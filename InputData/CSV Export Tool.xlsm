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kjh_local\NEXTgroup_local\2025_local\2. EPS\01. 업데이트 파일\eps-southkorea-3.3.1_2025update_v4.0.3\InputData\"/>
    </mc:Choice>
  </mc:AlternateContent>
  <xr:revisionPtr revIDLastSave="0" documentId="13_ncr:1_{486D2118-70B8-4386-9A53-885124F18EF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68" i="1" l="1"/>
  <c r="I868" i="1" s="1"/>
  <c r="H869" i="1"/>
  <c r="I869" i="1" s="1"/>
  <c r="H870" i="1"/>
  <c r="I870" i="1" s="1"/>
  <c r="H871" i="1"/>
  <c r="I871" i="1" s="1"/>
  <c r="H872" i="1"/>
  <c r="I872" i="1" s="1"/>
  <c r="H873" i="1"/>
  <c r="I873" i="1" s="1"/>
  <c r="H874" i="1"/>
  <c r="I874" i="1" s="1"/>
  <c r="H875" i="1"/>
  <c r="I875" i="1" s="1"/>
  <c r="H876" i="1"/>
  <c r="I876" i="1" s="1"/>
  <c r="H877" i="1"/>
  <c r="I877" i="1" s="1"/>
  <c r="H878" i="1"/>
  <c r="I878" i="1" s="1"/>
  <c r="H879" i="1"/>
  <c r="I879" i="1" s="1"/>
  <c r="H880" i="1"/>
  <c r="I880" i="1" s="1"/>
  <c r="H881" i="1"/>
  <c r="I881" i="1" s="1"/>
  <c r="H882" i="1"/>
  <c r="I882" i="1" s="1"/>
  <c r="H883" i="1"/>
  <c r="I883" i="1" s="1"/>
  <c r="H884" i="1"/>
  <c r="I884" i="1" s="1"/>
  <c r="H885" i="1"/>
  <c r="I885" i="1" s="1"/>
  <c r="H886" i="1"/>
  <c r="I886" i="1" s="1"/>
  <c r="H887" i="1"/>
  <c r="I887" i="1" s="1"/>
  <c r="H888" i="1"/>
  <c r="I888" i="1" s="1"/>
  <c r="H889" i="1"/>
  <c r="I889" i="1" s="1"/>
  <c r="H890" i="1"/>
  <c r="I890" i="1" s="1"/>
  <c r="H891" i="1"/>
  <c r="I891" i="1" s="1"/>
  <c r="H892" i="1"/>
  <c r="I892" i="1" s="1"/>
  <c r="H893" i="1"/>
  <c r="I893" i="1" s="1"/>
  <c r="H894" i="1"/>
  <c r="I894" i="1" s="1"/>
  <c r="H895" i="1"/>
  <c r="I895" i="1" s="1"/>
  <c r="H896" i="1"/>
  <c r="I896" i="1" s="1"/>
  <c r="H897" i="1"/>
  <c r="I897" i="1" s="1"/>
  <c r="H898" i="1"/>
  <c r="I898" i="1" s="1"/>
  <c r="H899" i="1"/>
  <c r="I899" i="1" s="1"/>
  <c r="H900" i="1"/>
  <c r="I900" i="1" s="1"/>
  <c r="H901" i="1"/>
  <c r="I901" i="1" s="1"/>
  <c r="H902" i="1"/>
  <c r="I902" i="1" s="1"/>
  <c r="H903" i="1"/>
  <c r="I903" i="1" s="1"/>
  <c r="H904" i="1"/>
  <c r="I904" i="1" s="1"/>
  <c r="H905" i="1"/>
  <c r="I905" i="1" s="1"/>
  <c r="H906" i="1"/>
  <c r="I906" i="1" s="1"/>
  <c r="H907" i="1"/>
  <c r="I907" i="1" s="1"/>
  <c r="H908" i="1"/>
  <c r="I908" i="1" s="1"/>
  <c r="H909" i="1"/>
  <c r="I909" i="1" s="1"/>
  <c r="H910" i="1"/>
  <c r="I910" i="1" s="1"/>
  <c r="H911" i="1"/>
  <c r="I911" i="1" s="1"/>
  <c r="H912" i="1"/>
  <c r="I912" i="1" s="1"/>
  <c r="H913" i="1"/>
  <c r="I913" i="1" s="1"/>
  <c r="H914" i="1"/>
  <c r="I914" i="1" s="1"/>
  <c r="H915" i="1"/>
  <c r="I915" i="1" s="1"/>
  <c r="H916" i="1"/>
  <c r="I916" i="1" s="1"/>
  <c r="H917" i="1"/>
  <c r="I917" i="1" s="1"/>
  <c r="H918" i="1"/>
  <c r="I918" i="1" s="1"/>
  <c r="H919" i="1"/>
  <c r="I919" i="1" s="1"/>
  <c r="H920" i="1"/>
  <c r="I920" i="1" s="1"/>
  <c r="H921" i="1"/>
  <c r="I921" i="1" s="1"/>
  <c r="H922" i="1"/>
  <c r="I922" i="1" s="1"/>
  <c r="H923" i="1"/>
  <c r="I923" i="1" s="1"/>
  <c r="H924" i="1"/>
  <c r="I924" i="1" s="1"/>
  <c r="H925" i="1"/>
  <c r="I925" i="1" s="1"/>
  <c r="H926" i="1"/>
  <c r="I926" i="1" s="1"/>
  <c r="H927" i="1"/>
  <c r="I927" i="1" s="1"/>
  <c r="H928" i="1"/>
  <c r="I928" i="1" s="1"/>
  <c r="H929" i="1"/>
  <c r="I929" i="1" s="1"/>
  <c r="H930" i="1"/>
  <c r="I930" i="1" s="1"/>
  <c r="H931" i="1"/>
  <c r="I931" i="1" s="1"/>
  <c r="H932" i="1"/>
  <c r="I932" i="1" s="1"/>
  <c r="H933" i="1"/>
  <c r="I933" i="1" s="1"/>
  <c r="H934" i="1"/>
  <c r="I934" i="1" s="1"/>
  <c r="H935" i="1"/>
  <c r="I935" i="1" s="1"/>
  <c r="H936" i="1"/>
  <c r="I936" i="1" s="1"/>
  <c r="H937" i="1"/>
  <c r="I937" i="1" s="1"/>
  <c r="H938" i="1"/>
  <c r="I938" i="1" s="1"/>
  <c r="H939" i="1"/>
  <c r="I939" i="1" s="1"/>
  <c r="H940" i="1"/>
  <c r="I940" i="1" s="1"/>
  <c r="H941" i="1"/>
  <c r="I941" i="1" s="1"/>
  <c r="H942" i="1"/>
  <c r="I942" i="1" s="1"/>
  <c r="H943" i="1"/>
  <c r="I943" i="1" s="1"/>
  <c r="H944" i="1"/>
  <c r="I944" i="1" s="1"/>
  <c r="H945" i="1"/>
  <c r="I945" i="1" s="1"/>
  <c r="H946" i="1"/>
  <c r="I946" i="1" s="1"/>
  <c r="H947" i="1"/>
  <c r="I947" i="1" s="1"/>
  <c r="H948" i="1"/>
  <c r="I948" i="1" s="1"/>
  <c r="H949" i="1"/>
  <c r="I949" i="1" s="1"/>
  <c r="H950" i="1"/>
  <c r="I950" i="1" s="1"/>
  <c r="H951" i="1"/>
  <c r="I951" i="1" s="1"/>
  <c r="H952" i="1"/>
  <c r="I952" i="1" s="1"/>
  <c r="H953" i="1"/>
  <c r="I953" i="1" s="1"/>
  <c r="H954" i="1"/>
  <c r="I954" i="1" s="1"/>
  <c r="H955" i="1"/>
  <c r="I955" i="1" s="1"/>
  <c r="H956" i="1"/>
  <c r="I956" i="1" s="1"/>
  <c r="H957" i="1"/>
  <c r="I957" i="1" s="1"/>
  <c r="H958" i="1"/>
  <c r="I958" i="1" s="1"/>
  <c r="H959" i="1"/>
  <c r="I959" i="1" s="1"/>
  <c r="H960" i="1"/>
  <c r="I960" i="1" s="1"/>
  <c r="H961" i="1"/>
  <c r="I961" i="1" s="1"/>
  <c r="H962" i="1"/>
  <c r="I962" i="1" s="1"/>
  <c r="H963" i="1"/>
  <c r="I963" i="1" s="1"/>
  <c r="H964" i="1"/>
  <c r="I964" i="1" s="1"/>
  <c r="H965" i="1"/>
  <c r="I965" i="1" s="1"/>
  <c r="H966" i="1"/>
  <c r="I966" i="1" s="1"/>
  <c r="H967" i="1"/>
  <c r="I967" i="1" s="1"/>
  <c r="H968" i="1"/>
  <c r="I968" i="1" s="1"/>
  <c r="H969" i="1"/>
  <c r="I969" i="1" s="1"/>
  <c r="H970" i="1"/>
  <c r="I970" i="1" s="1"/>
  <c r="H971" i="1"/>
  <c r="I971" i="1" s="1"/>
  <c r="H972" i="1"/>
  <c r="I972" i="1" s="1"/>
  <c r="H973" i="1"/>
  <c r="I973" i="1" s="1"/>
  <c r="H974" i="1"/>
  <c r="I974" i="1" s="1"/>
  <c r="H975" i="1"/>
  <c r="I975" i="1" s="1"/>
  <c r="H976" i="1"/>
  <c r="I976" i="1" s="1"/>
  <c r="H977" i="1"/>
  <c r="I977" i="1" s="1"/>
  <c r="H978" i="1"/>
  <c r="I978" i="1" s="1"/>
  <c r="H979" i="1"/>
  <c r="I979" i="1" s="1"/>
  <c r="H980" i="1"/>
  <c r="I980" i="1" s="1"/>
  <c r="H981" i="1"/>
  <c r="I981" i="1" s="1"/>
  <c r="H982" i="1"/>
  <c r="I982" i="1" s="1"/>
  <c r="H983" i="1"/>
  <c r="I983" i="1" s="1"/>
  <c r="H984" i="1"/>
  <c r="I984" i="1" s="1"/>
  <c r="H985" i="1"/>
  <c r="I985" i="1" s="1"/>
  <c r="H986" i="1"/>
  <c r="I986" i="1" s="1"/>
  <c r="H987" i="1"/>
  <c r="I987" i="1" s="1"/>
  <c r="H988" i="1"/>
  <c r="I988" i="1" s="1"/>
  <c r="H989" i="1"/>
  <c r="I989" i="1" s="1"/>
  <c r="H990" i="1"/>
  <c r="I990" i="1" s="1"/>
  <c r="H991" i="1"/>
  <c r="I991" i="1" s="1"/>
  <c r="H992" i="1"/>
  <c r="I992" i="1" s="1"/>
  <c r="H993" i="1"/>
  <c r="I993" i="1" s="1"/>
  <c r="H994" i="1"/>
  <c r="I994" i="1" s="1"/>
  <c r="H995" i="1"/>
  <c r="I995" i="1" s="1"/>
  <c r="H996" i="1"/>
  <c r="I996" i="1" s="1"/>
  <c r="H997" i="1"/>
  <c r="I997" i="1" s="1"/>
  <c r="H998" i="1"/>
  <c r="I998" i="1" s="1"/>
  <c r="H999" i="1"/>
  <c r="I999" i="1" s="1"/>
  <c r="H1000" i="1"/>
  <c r="I1000" i="1" s="1"/>
  <c r="H1001" i="1"/>
  <c r="I1001" i="1" s="1"/>
  <c r="H1002" i="1"/>
  <c r="I1002" i="1" s="1"/>
  <c r="H1003" i="1"/>
  <c r="I1003" i="1" s="1"/>
  <c r="H1004" i="1"/>
  <c r="I1004" i="1" s="1"/>
  <c r="H1005" i="1"/>
  <c r="I1005" i="1" s="1"/>
  <c r="H1006" i="1"/>
  <c r="I1006" i="1" s="1"/>
  <c r="H1007" i="1"/>
  <c r="I1007" i="1" s="1"/>
  <c r="H1008" i="1"/>
  <c r="I1008" i="1" s="1"/>
  <c r="H1009" i="1"/>
  <c r="I1009" i="1" s="1"/>
  <c r="H1010" i="1"/>
  <c r="I1010" i="1" s="1"/>
  <c r="H1011" i="1"/>
  <c r="I1011" i="1" s="1"/>
  <c r="H1012" i="1"/>
  <c r="I1012" i="1" s="1"/>
  <c r="H1013" i="1"/>
  <c r="I1013" i="1" s="1"/>
  <c r="H1014" i="1"/>
  <c r="I1014" i="1" s="1"/>
  <c r="H1015" i="1"/>
  <c r="I1015" i="1" s="1"/>
  <c r="H1016" i="1"/>
  <c r="I1016" i="1" s="1"/>
  <c r="H1017" i="1"/>
  <c r="I1017" i="1" s="1"/>
  <c r="H1018" i="1"/>
  <c r="I1018" i="1" s="1"/>
  <c r="H1019" i="1"/>
  <c r="I1019" i="1" s="1"/>
  <c r="H1020" i="1"/>
  <c r="I1020" i="1" s="1"/>
  <c r="H1021" i="1"/>
  <c r="I1021" i="1" s="1"/>
  <c r="H1022" i="1"/>
  <c r="I1022" i="1" s="1"/>
  <c r="H1023" i="1"/>
  <c r="I1023" i="1" s="1"/>
  <c r="H1024" i="1"/>
  <c r="I1024" i="1" s="1"/>
  <c r="H1025" i="1"/>
  <c r="I1025" i="1" s="1"/>
  <c r="H1026" i="1"/>
  <c r="I1026" i="1" s="1"/>
  <c r="H1027" i="1"/>
  <c r="I1027" i="1" s="1"/>
  <c r="H1028" i="1"/>
  <c r="I1028" i="1" s="1"/>
  <c r="H1029" i="1"/>
  <c r="I1029" i="1" s="1"/>
  <c r="H1030" i="1"/>
  <c r="I1030" i="1" s="1"/>
  <c r="H1031" i="1"/>
  <c r="I1031" i="1" s="1"/>
  <c r="H1032" i="1"/>
  <c r="I1032" i="1" s="1"/>
  <c r="H1033" i="1"/>
  <c r="I1033" i="1" s="1"/>
  <c r="H1034" i="1"/>
  <c r="I1034" i="1" s="1"/>
  <c r="H1035" i="1"/>
  <c r="I1035" i="1" s="1"/>
  <c r="H1036" i="1"/>
  <c r="I1036" i="1" s="1"/>
  <c r="H1037" i="1"/>
  <c r="I1037" i="1" s="1"/>
  <c r="H1038" i="1"/>
  <c r="I1038" i="1" s="1"/>
  <c r="H1039" i="1"/>
  <c r="I1039" i="1" s="1"/>
  <c r="H1040" i="1"/>
  <c r="I1040" i="1" s="1"/>
  <c r="H1041" i="1"/>
  <c r="I1041" i="1" s="1"/>
  <c r="H1042" i="1"/>
  <c r="I1042" i="1" s="1"/>
  <c r="H1043" i="1"/>
  <c r="I1043" i="1" s="1"/>
  <c r="H1044" i="1"/>
  <c r="I1044" i="1" s="1"/>
  <c r="H1045" i="1"/>
  <c r="I1045" i="1" s="1"/>
  <c r="H1046" i="1"/>
  <c r="I1046" i="1" s="1"/>
  <c r="H1047" i="1"/>
  <c r="I1047" i="1" s="1"/>
  <c r="H1048" i="1"/>
  <c r="I1048" i="1" s="1"/>
  <c r="H1049" i="1"/>
  <c r="I1049" i="1" s="1"/>
  <c r="H1050" i="1"/>
  <c r="I1050" i="1" s="1"/>
  <c r="H1051" i="1"/>
  <c r="I1051" i="1" s="1"/>
  <c r="H1052" i="1"/>
  <c r="I1052" i="1" s="1"/>
  <c r="H1053" i="1"/>
  <c r="I1053" i="1" s="1"/>
  <c r="H1054" i="1"/>
  <c r="I1054" i="1" s="1"/>
  <c r="H1055" i="1"/>
  <c r="I1055" i="1" s="1"/>
  <c r="H1056" i="1"/>
  <c r="I1056" i="1" s="1"/>
  <c r="H1057" i="1"/>
  <c r="I1057" i="1" s="1"/>
  <c r="H1058" i="1"/>
  <c r="I1058" i="1" s="1"/>
  <c r="H1059" i="1"/>
  <c r="I1059" i="1" s="1"/>
  <c r="H1060" i="1"/>
  <c r="I1060" i="1" s="1"/>
  <c r="H1061" i="1"/>
  <c r="I1061" i="1" s="1"/>
  <c r="H1062" i="1"/>
  <c r="I1062" i="1" s="1"/>
  <c r="H1063" i="1"/>
  <c r="I1063" i="1" s="1"/>
  <c r="H1064" i="1"/>
  <c r="I1064" i="1" s="1"/>
  <c r="H1065" i="1"/>
  <c r="I1065" i="1" s="1"/>
  <c r="H1066" i="1"/>
  <c r="I1066" i="1" s="1"/>
  <c r="H1067" i="1"/>
  <c r="I1067" i="1" s="1"/>
  <c r="H1068" i="1"/>
  <c r="I1068" i="1" s="1"/>
  <c r="H1069" i="1"/>
  <c r="I1069" i="1" s="1"/>
  <c r="H1070" i="1"/>
  <c r="I1070" i="1" s="1"/>
  <c r="H1071" i="1"/>
  <c r="I1071" i="1" s="1"/>
  <c r="H1072" i="1"/>
  <c r="I1072" i="1" s="1"/>
  <c r="H1073" i="1"/>
  <c r="I1073" i="1" s="1"/>
  <c r="H1074" i="1"/>
  <c r="I1074" i="1" s="1"/>
  <c r="H1075" i="1"/>
  <c r="I1075" i="1" s="1"/>
  <c r="H1076" i="1"/>
  <c r="I1076" i="1" s="1"/>
  <c r="H1077" i="1"/>
  <c r="I1077" i="1" s="1"/>
  <c r="H1078" i="1"/>
  <c r="I1078" i="1" s="1"/>
  <c r="H1079" i="1"/>
  <c r="I1079" i="1" s="1"/>
  <c r="H1080" i="1"/>
  <c r="I1080" i="1" s="1"/>
  <c r="H1081" i="1"/>
  <c r="I1081" i="1" s="1"/>
  <c r="H1082" i="1"/>
  <c r="I1082" i="1" s="1"/>
  <c r="H1083" i="1"/>
  <c r="I1083" i="1" s="1"/>
  <c r="H1084" i="1"/>
  <c r="I1084" i="1" s="1"/>
  <c r="H1085" i="1"/>
  <c r="I1085" i="1" s="1"/>
  <c r="H1086" i="1"/>
  <c r="I1086" i="1" s="1"/>
  <c r="H1087" i="1"/>
  <c r="I1087" i="1" s="1"/>
  <c r="H1088" i="1"/>
  <c r="I1088" i="1" s="1"/>
  <c r="H1089" i="1"/>
  <c r="I1089" i="1" s="1"/>
  <c r="H1090" i="1"/>
  <c r="I1090" i="1" s="1"/>
  <c r="H1091" i="1"/>
  <c r="I1091" i="1" s="1"/>
  <c r="H1092" i="1"/>
  <c r="I1092" i="1" s="1"/>
  <c r="H1093" i="1"/>
  <c r="I1093" i="1" s="1"/>
  <c r="H1094" i="1"/>
  <c r="I1094" i="1" s="1"/>
  <c r="H1095" i="1"/>
  <c r="I1095" i="1" s="1"/>
  <c r="H1096" i="1"/>
  <c r="I1096" i="1" s="1"/>
  <c r="H1097" i="1"/>
  <c r="I1097" i="1" s="1"/>
  <c r="H1098" i="1"/>
  <c r="I1098" i="1" s="1"/>
  <c r="H1099" i="1"/>
  <c r="I1099" i="1" s="1"/>
  <c r="H1100" i="1"/>
  <c r="I1100" i="1" s="1"/>
  <c r="H1101" i="1"/>
  <c r="I1101" i="1" s="1"/>
  <c r="H1102" i="1"/>
  <c r="I1102" i="1" s="1"/>
  <c r="H1103" i="1"/>
  <c r="I1103" i="1" s="1"/>
  <c r="H1104" i="1"/>
  <c r="I1104" i="1" s="1"/>
  <c r="H1105" i="1"/>
  <c r="I1105" i="1" s="1"/>
  <c r="H1106" i="1"/>
  <c r="I1106" i="1" s="1"/>
  <c r="H1107" i="1"/>
  <c r="I1107" i="1" s="1"/>
  <c r="H1108" i="1"/>
  <c r="I1108" i="1" s="1"/>
  <c r="H1109" i="1"/>
  <c r="I1109" i="1" s="1"/>
  <c r="H1110" i="1"/>
  <c r="I1110" i="1" s="1"/>
  <c r="H1111" i="1"/>
  <c r="I1111" i="1" s="1"/>
  <c r="H1112" i="1"/>
  <c r="I1112" i="1" s="1"/>
  <c r="H1113" i="1"/>
  <c r="I1113" i="1" s="1"/>
  <c r="H1114" i="1"/>
  <c r="I1114" i="1" s="1"/>
  <c r="H1115" i="1"/>
  <c r="I1115" i="1" s="1"/>
  <c r="H1116" i="1"/>
  <c r="I1116" i="1" s="1"/>
  <c r="H1117" i="1"/>
  <c r="I1117" i="1" s="1"/>
  <c r="H1118" i="1"/>
  <c r="I1118" i="1" s="1"/>
  <c r="H1119" i="1"/>
  <c r="I1119" i="1" s="1"/>
  <c r="H1120" i="1"/>
  <c r="I1120" i="1" s="1"/>
  <c r="H1121" i="1"/>
  <c r="I1121" i="1" s="1"/>
  <c r="H1122" i="1"/>
  <c r="I1122" i="1" s="1"/>
  <c r="H1123" i="1"/>
  <c r="I1123" i="1" s="1"/>
  <c r="H1124" i="1"/>
  <c r="I1124" i="1" s="1"/>
  <c r="H1125" i="1"/>
  <c r="I1125" i="1" s="1"/>
  <c r="H1126" i="1"/>
  <c r="I1126" i="1" s="1"/>
  <c r="H1127" i="1"/>
  <c r="I1127" i="1" s="1"/>
  <c r="H1128" i="1"/>
  <c r="I1128" i="1" s="1"/>
  <c r="H1129" i="1"/>
  <c r="I1129" i="1" s="1"/>
  <c r="H1130" i="1"/>
  <c r="I1130" i="1" s="1"/>
  <c r="H1131" i="1"/>
  <c r="I1131" i="1" s="1"/>
  <c r="H1132" i="1"/>
  <c r="I1132" i="1" s="1"/>
  <c r="H1133" i="1"/>
  <c r="I1133" i="1" s="1"/>
  <c r="H1134" i="1"/>
  <c r="I1134" i="1" s="1"/>
  <c r="H1135" i="1"/>
  <c r="I1135" i="1" s="1"/>
  <c r="H1136" i="1"/>
  <c r="I1136" i="1" s="1"/>
  <c r="H1137" i="1"/>
  <c r="I1137" i="1" s="1"/>
  <c r="H1138" i="1"/>
  <c r="I1138" i="1" s="1"/>
  <c r="H1139" i="1"/>
  <c r="I1139" i="1" s="1"/>
  <c r="H1140" i="1"/>
  <c r="I1140" i="1" s="1"/>
  <c r="H1141" i="1"/>
  <c r="I1141" i="1" s="1"/>
  <c r="H1142" i="1"/>
  <c r="I1142" i="1" s="1"/>
  <c r="H1143" i="1"/>
  <c r="I1143" i="1" s="1"/>
  <c r="H1144" i="1"/>
  <c r="I1144" i="1" s="1"/>
  <c r="H1145" i="1"/>
  <c r="I1145" i="1" s="1"/>
  <c r="H1146" i="1"/>
  <c r="I1146" i="1" s="1"/>
  <c r="H1147" i="1"/>
  <c r="I1147" i="1" s="1"/>
  <c r="H1148" i="1"/>
  <c r="I1148" i="1" s="1"/>
  <c r="H1149" i="1"/>
  <c r="I1149" i="1" s="1"/>
  <c r="H1150" i="1"/>
  <c r="I1150" i="1" s="1"/>
  <c r="H1151" i="1"/>
  <c r="I1151" i="1" s="1"/>
  <c r="H1152" i="1"/>
  <c r="I1152" i="1" s="1"/>
  <c r="H1153" i="1"/>
  <c r="I1153" i="1" s="1"/>
  <c r="H1154" i="1"/>
  <c r="I1154" i="1" s="1"/>
  <c r="H1155" i="1"/>
  <c r="I1155" i="1" s="1"/>
  <c r="H1156" i="1"/>
  <c r="I1156" i="1" s="1"/>
  <c r="H1157" i="1"/>
  <c r="I1157" i="1" s="1"/>
  <c r="H1158" i="1"/>
  <c r="I1158" i="1" s="1"/>
  <c r="H1159" i="1"/>
  <c r="I1159" i="1" s="1"/>
  <c r="H1160" i="1"/>
  <c r="I1160" i="1" s="1"/>
  <c r="H1161" i="1"/>
  <c r="I1161" i="1" s="1"/>
  <c r="H1162" i="1"/>
  <c r="I1162" i="1" s="1"/>
  <c r="H1163" i="1"/>
  <c r="I1163" i="1" s="1"/>
  <c r="H1164" i="1"/>
  <c r="I1164" i="1" s="1"/>
  <c r="H1165" i="1"/>
  <c r="I1165" i="1" s="1"/>
  <c r="H1166" i="1"/>
  <c r="I1166" i="1" s="1"/>
  <c r="H1167" i="1"/>
  <c r="I1167" i="1" s="1"/>
  <c r="H1168" i="1"/>
  <c r="I1168" i="1" s="1"/>
  <c r="H1169" i="1"/>
  <c r="I1169" i="1" s="1"/>
  <c r="H1170" i="1"/>
  <c r="I1170" i="1" s="1"/>
  <c r="H1171" i="1"/>
  <c r="I1171" i="1" s="1"/>
  <c r="H1172" i="1"/>
  <c r="I1172" i="1" s="1"/>
  <c r="H1173" i="1"/>
  <c r="I1173" i="1" s="1"/>
  <c r="H1174" i="1"/>
  <c r="I1174" i="1" s="1"/>
  <c r="H1175" i="1"/>
  <c r="I1175" i="1" s="1"/>
  <c r="H1176" i="1"/>
  <c r="I1176" i="1" s="1"/>
  <c r="H1177" i="1"/>
  <c r="I1177" i="1" s="1"/>
  <c r="H1178" i="1"/>
  <c r="I1178" i="1" s="1"/>
  <c r="H1179" i="1"/>
  <c r="I1179" i="1" s="1"/>
  <c r="H1180" i="1"/>
  <c r="I1180" i="1" s="1"/>
  <c r="H1181" i="1"/>
  <c r="I1181" i="1" s="1"/>
  <c r="H1182" i="1"/>
  <c r="I1182" i="1" s="1"/>
  <c r="H1183" i="1"/>
  <c r="I1183" i="1" s="1"/>
  <c r="H1184" i="1"/>
  <c r="I1184" i="1" s="1"/>
  <c r="H1185" i="1"/>
  <c r="I1185" i="1" s="1"/>
  <c r="H1186" i="1"/>
  <c r="I1186" i="1" s="1"/>
  <c r="H1187" i="1"/>
  <c r="I1187" i="1" s="1"/>
  <c r="H1188" i="1"/>
  <c r="I1188" i="1" s="1"/>
  <c r="H1189" i="1"/>
  <c r="I1189" i="1" s="1"/>
  <c r="H1190" i="1"/>
  <c r="I1190" i="1" s="1"/>
  <c r="H1191" i="1"/>
  <c r="I1191" i="1" s="1"/>
  <c r="H1192" i="1"/>
  <c r="I1192" i="1" s="1"/>
  <c r="H1193" i="1"/>
  <c r="I1193" i="1" s="1"/>
  <c r="H1194" i="1"/>
  <c r="I1194" i="1" s="1"/>
  <c r="H1195" i="1"/>
  <c r="I1195" i="1" s="1"/>
  <c r="H1196" i="1"/>
  <c r="I1196" i="1" s="1"/>
  <c r="H1197" i="1"/>
  <c r="I1197" i="1" s="1"/>
  <c r="H1198" i="1"/>
  <c r="I1198" i="1" s="1"/>
  <c r="H1199" i="1"/>
  <c r="I1199" i="1" s="1"/>
  <c r="H1200" i="1"/>
  <c r="I1200" i="1" s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868" i="1"/>
  <c r="G869" i="1"/>
  <c r="G870" i="1"/>
  <c r="G871" i="1"/>
  <c r="J878" i="1" l="1"/>
  <c r="J1183" i="1"/>
  <c r="J1127" i="1"/>
  <c r="J1091" i="1"/>
  <c r="J1055" i="1"/>
  <c r="J1037" i="1"/>
  <c r="J1130" i="1"/>
  <c r="J1195" i="1"/>
  <c r="J1148" i="1"/>
  <c r="J1106" i="1"/>
  <c r="J1156" i="1"/>
  <c r="J962" i="1"/>
  <c r="J1180" i="1"/>
  <c r="J1179" i="1"/>
  <c r="J1034" i="1"/>
  <c r="J1189" i="1"/>
  <c r="J1088" i="1"/>
  <c r="J890" i="1"/>
  <c r="J1036" i="1"/>
  <c r="J1070" i="1"/>
  <c r="J908" i="1"/>
  <c r="J1054" i="1"/>
  <c r="J946" i="1"/>
  <c r="J910" i="1"/>
  <c r="J892" i="1"/>
  <c r="J1196" i="1"/>
  <c r="J1178" i="1"/>
  <c r="J1125" i="1"/>
  <c r="J1071" i="1"/>
  <c r="J1035" i="1"/>
  <c r="J1126" i="1"/>
  <c r="J1160" i="1"/>
  <c r="J944" i="1"/>
  <c r="J1194" i="1"/>
  <c r="J998" i="1"/>
  <c r="J1158" i="1"/>
  <c r="J1140" i="1"/>
  <c r="J1122" i="1"/>
  <c r="J1104" i="1"/>
  <c r="J1086" i="1"/>
  <c r="J1068" i="1"/>
  <c r="J1032" i="1"/>
  <c r="J996" i="1"/>
  <c r="J960" i="1"/>
  <c r="J906" i="1"/>
  <c r="J870" i="1"/>
  <c r="J1090" i="1"/>
  <c r="J1124" i="1"/>
  <c r="J1192" i="1"/>
  <c r="J1174" i="1"/>
  <c r="J1157" i="1"/>
  <c r="J1139" i="1"/>
  <c r="J1103" i="1"/>
  <c r="J1067" i="1"/>
  <c r="J1013" i="1"/>
  <c r="J995" i="1"/>
  <c r="J959" i="1"/>
  <c r="J905" i="1"/>
  <c r="J1193" i="1"/>
  <c r="J1138" i="1"/>
  <c r="J1120" i="1"/>
  <c r="J1102" i="1"/>
  <c r="J1066" i="1"/>
  <c r="J1012" i="1"/>
  <c r="J994" i="1"/>
  <c r="J958" i="1"/>
  <c r="J922" i="1"/>
  <c r="J1155" i="1"/>
  <c r="J1137" i="1"/>
  <c r="J1101" i="1"/>
  <c r="J1083" i="1"/>
  <c r="J1047" i="1"/>
  <c r="J1029" i="1"/>
  <c r="J1011" i="1"/>
  <c r="J993" i="1"/>
  <c r="J975" i="1"/>
  <c r="J957" i="1"/>
  <c r="J939" i="1"/>
  <c r="J921" i="1"/>
  <c r="J1190" i="1"/>
  <c r="J1171" i="1"/>
  <c r="J1154" i="1"/>
  <c r="J1136" i="1"/>
  <c r="J1082" i="1"/>
  <c r="J1046" i="1"/>
  <c r="J1010" i="1"/>
  <c r="J974" i="1"/>
  <c r="J956" i="1"/>
  <c r="J920" i="1"/>
  <c r="J1009" i="1"/>
  <c r="J991" i="1"/>
  <c r="J973" i="1"/>
  <c r="J937" i="1"/>
  <c r="J919" i="1"/>
  <c r="J1117" i="1"/>
  <c r="J1062" i="1"/>
  <c r="J1191" i="1"/>
  <c r="J1173" i="1"/>
  <c r="J1188" i="1"/>
  <c r="J1081" i="1"/>
  <c r="J1045" i="1"/>
  <c r="J935" i="1"/>
  <c r="J881" i="1"/>
  <c r="J1063" i="1"/>
  <c r="J1150" i="1"/>
  <c r="J934" i="1"/>
  <c r="J880" i="1"/>
  <c r="J1153" i="1"/>
  <c r="J1184" i="1"/>
  <c r="J1149" i="1"/>
  <c r="J1041" i="1"/>
  <c r="J933" i="1"/>
  <c r="J879" i="1"/>
  <c r="J968" i="1"/>
  <c r="J932" i="1"/>
  <c r="J896" i="1"/>
  <c r="J1182" i="1"/>
  <c r="J1147" i="1"/>
  <c r="J1093" i="1"/>
  <c r="J1057" i="1"/>
  <c r="J985" i="1"/>
  <c r="J949" i="1"/>
  <c r="J895" i="1"/>
  <c r="J877" i="1"/>
  <c r="J1094" i="1"/>
  <c r="J1058" i="1"/>
  <c r="J986" i="1"/>
  <c r="J950" i="1"/>
  <c r="J914" i="1"/>
  <c r="J1181" i="1"/>
  <c r="J1146" i="1"/>
  <c r="J1092" i="1"/>
  <c r="J1056" i="1"/>
  <c r="J948" i="1"/>
  <c r="J930" i="1"/>
  <c r="J894" i="1"/>
  <c r="J876" i="1"/>
  <c r="J947" i="1"/>
  <c r="J911" i="1"/>
  <c r="J893" i="1"/>
  <c r="J981" i="1"/>
  <c r="J963" i="1"/>
  <c r="J945" i="1"/>
  <c r="J909" i="1"/>
  <c r="J891" i="1"/>
  <c r="J1176" i="1"/>
  <c r="J1159" i="1"/>
  <c r="J1123" i="1"/>
  <c r="J1105" i="1"/>
  <c r="J1069" i="1"/>
  <c r="J1033" i="1"/>
  <c r="J997" i="1"/>
  <c r="J961" i="1"/>
  <c r="J943" i="1"/>
  <c r="J907" i="1"/>
  <c r="J1048" i="1"/>
  <c r="J1112" i="1"/>
  <c r="J1098" i="1"/>
  <c r="J990" i="1"/>
  <c r="J1186" i="1"/>
  <c r="J1168" i="1"/>
  <c r="J1114" i="1"/>
  <c r="J1072" i="1"/>
  <c r="J1161" i="1"/>
  <c r="J1053" i="1"/>
  <c r="J1144" i="1"/>
  <c r="J1164" i="1"/>
  <c r="J951" i="1"/>
  <c r="J1118" i="1"/>
  <c r="J1028" i="1"/>
  <c r="J938" i="1"/>
  <c r="J931" i="1"/>
  <c r="J1084" i="1"/>
  <c r="J1044" i="1"/>
  <c r="J1008" i="1"/>
  <c r="J900" i="1"/>
  <c r="J1076" i="1"/>
  <c r="J1075" i="1"/>
  <c r="J1128" i="1"/>
  <c r="J912" i="1"/>
  <c r="J1197" i="1"/>
  <c r="J1143" i="1"/>
  <c r="J873" i="1"/>
  <c r="J1142" i="1"/>
  <c r="J1172" i="1"/>
  <c r="J1119" i="1"/>
  <c r="J883" i="1"/>
  <c r="J1152" i="1"/>
  <c r="J1116" i="1"/>
  <c r="J1145" i="1"/>
  <c r="J1135" i="1"/>
  <c r="J1100" i="1"/>
  <c r="J1089" i="1"/>
  <c r="J1007" i="1"/>
  <c r="J992" i="1"/>
  <c r="J982" i="1"/>
  <c r="J955" i="1"/>
  <c r="J942" i="1"/>
  <c r="J918" i="1"/>
  <c r="J904" i="1"/>
  <c r="J889" i="1"/>
  <c r="J874" i="1"/>
  <c r="J1024" i="1"/>
  <c r="J1170" i="1"/>
  <c r="J1177" i="1"/>
  <c r="J1166" i="1"/>
  <c r="J1134" i="1"/>
  <c r="J1121" i="1"/>
  <c r="J1065" i="1"/>
  <c r="J1031" i="1"/>
  <c r="J1019" i="1"/>
  <c r="J1006" i="1"/>
  <c r="J954" i="1"/>
  <c r="J941" i="1"/>
  <c r="J917" i="1"/>
  <c r="J903" i="1"/>
  <c r="J888" i="1"/>
  <c r="J1115" i="1"/>
  <c r="J1113" i="1"/>
  <c r="J1133" i="1"/>
  <c r="J1099" i="1"/>
  <c r="J1064" i="1"/>
  <c r="J1043" i="1"/>
  <c r="J1030" i="1"/>
  <c r="J1018" i="1"/>
  <c r="J1005" i="1"/>
  <c r="J953" i="1"/>
  <c r="J940" i="1"/>
  <c r="J916" i="1"/>
  <c r="J902" i="1"/>
  <c r="J887" i="1"/>
  <c r="J1026" i="1"/>
  <c r="J1025" i="1"/>
  <c r="J1023" i="1"/>
  <c r="J1079" i="1"/>
  <c r="J1078" i="1"/>
  <c r="J984" i="1"/>
  <c r="J1020" i="1"/>
  <c r="J1200" i="1"/>
  <c r="J1111" i="1"/>
  <c r="J1052" i="1"/>
  <c r="J980" i="1"/>
  <c r="J967" i="1"/>
  <c r="J952" i="1"/>
  <c r="J929" i="1"/>
  <c r="J915" i="1"/>
  <c r="J901" i="1"/>
  <c r="J886" i="1"/>
  <c r="J1199" i="1"/>
  <c r="J1175" i="1"/>
  <c r="J1131" i="1"/>
  <c r="J1087" i="1"/>
  <c r="J979" i="1"/>
  <c r="J966" i="1"/>
  <c r="J928" i="1"/>
  <c r="J885" i="1"/>
  <c r="J872" i="1"/>
  <c r="J1167" i="1"/>
  <c r="J983" i="1"/>
  <c r="J1042" i="1"/>
  <c r="J1198" i="1"/>
  <c r="J1110" i="1"/>
  <c r="J1051" i="1"/>
  <c r="J1016" i="1"/>
  <c r="J1003" i="1"/>
  <c r="J978" i="1"/>
  <c r="J965" i="1"/>
  <c r="J927" i="1"/>
  <c r="J884" i="1"/>
  <c r="J871" i="1"/>
  <c r="J1169" i="1"/>
  <c r="J1021" i="1"/>
  <c r="J1004" i="1"/>
  <c r="J1097" i="1"/>
  <c r="J1074" i="1"/>
  <c r="J1061" i="1"/>
  <c r="J1050" i="1"/>
  <c r="J1040" i="1"/>
  <c r="J1002" i="1"/>
  <c r="J989" i="1"/>
  <c r="J964" i="1"/>
  <c r="J926" i="1"/>
  <c r="J913" i="1"/>
  <c r="J1022" i="1"/>
  <c r="J1077" i="1"/>
  <c r="J875" i="1"/>
  <c r="J1165" i="1"/>
  <c r="J1017" i="1"/>
  <c r="J1187" i="1"/>
  <c r="J1109" i="1"/>
  <c r="J1163" i="1"/>
  <c r="J1129" i="1"/>
  <c r="J1108" i="1"/>
  <c r="J1096" i="1"/>
  <c r="J1085" i="1"/>
  <c r="J1073" i="1"/>
  <c r="J1060" i="1"/>
  <c r="J1039" i="1"/>
  <c r="J1015" i="1"/>
  <c r="J1001" i="1"/>
  <c r="J988" i="1"/>
  <c r="J977" i="1"/>
  <c r="J925" i="1"/>
  <c r="J899" i="1"/>
  <c r="J1080" i="1"/>
  <c r="J969" i="1"/>
  <c r="J1132" i="1"/>
  <c r="J1162" i="1"/>
  <c r="J1107" i="1"/>
  <c r="J1095" i="1"/>
  <c r="J1059" i="1"/>
  <c r="J1049" i="1"/>
  <c r="J1038" i="1"/>
  <c r="J1027" i="1"/>
  <c r="J1014" i="1"/>
  <c r="J1000" i="1"/>
  <c r="J987" i="1"/>
  <c r="J976" i="1"/>
  <c r="J924" i="1"/>
  <c r="J898" i="1"/>
  <c r="J869" i="1"/>
  <c r="J972" i="1"/>
  <c r="J971" i="1"/>
  <c r="J970" i="1"/>
  <c r="J1185" i="1"/>
  <c r="J1151" i="1"/>
  <c r="J1141" i="1"/>
  <c r="J999" i="1"/>
  <c r="J936" i="1"/>
  <c r="J923" i="1"/>
  <c r="J897" i="1"/>
  <c r="J882" i="1"/>
  <c r="J868" i="1"/>
  <c r="G805" i="1"/>
  <c r="H805" i="1"/>
  <c r="G806" i="1"/>
  <c r="H806" i="1"/>
  <c r="I806" i="1" s="1"/>
  <c r="G807" i="1"/>
  <c r="H807" i="1"/>
  <c r="I807" i="1" s="1"/>
  <c r="G808" i="1"/>
  <c r="H808" i="1"/>
  <c r="G809" i="1"/>
  <c r="H809" i="1"/>
  <c r="G810" i="1"/>
  <c r="H810" i="1"/>
  <c r="I810" i="1" s="1"/>
  <c r="G811" i="1"/>
  <c r="H811" i="1"/>
  <c r="G812" i="1"/>
  <c r="H812" i="1"/>
  <c r="G813" i="1"/>
  <c r="H813" i="1"/>
  <c r="G814" i="1"/>
  <c r="H814" i="1"/>
  <c r="G815" i="1"/>
  <c r="H815" i="1"/>
  <c r="G816" i="1"/>
  <c r="H816" i="1"/>
  <c r="I816" i="1" s="1"/>
  <c r="G817" i="1"/>
  <c r="H817" i="1"/>
  <c r="G818" i="1"/>
  <c r="H818" i="1"/>
  <c r="I818" i="1" s="1"/>
  <c r="G819" i="1"/>
  <c r="H819" i="1"/>
  <c r="I819" i="1" s="1"/>
  <c r="G820" i="1"/>
  <c r="H820" i="1"/>
  <c r="G821" i="1"/>
  <c r="H821" i="1"/>
  <c r="G822" i="1"/>
  <c r="H822" i="1"/>
  <c r="G823" i="1"/>
  <c r="H823" i="1"/>
  <c r="G824" i="1"/>
  <c r="H824" i="1"/>
  <c r="G825" i="1"/>
  <c r="H825" i="1"/>
  <c r="G826" i="1"/>
  <c r="H826" i="1"/>
  <c r="G827" i="1"/>
  <c r="H827" i="1"/>
  <c r="I827" i="1" s="1"/>
  <c r="G828" i="1"/>
  <c r="H828" i="1"/>
  <c r="G829" i="1"/>
  <c r="H829" i="1"/>
  <c r="G830" i="1"/>
  <c r="H830" i="1"/>
  <c r="G831" i="1"/>
  <c r="H831" i="1"/>
  <c r="G832" i="1"/>
  <c r="H832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G839" i="1"/>
  <c r="H839" i="1"/>
  <c r="G840" i="1"/>
  <c r="H840" i="1"/>
  <c r="G841" i="1"/>
  <c r="H841" i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G848" i="1"/>
  <c r="H848" i="1"/>
  <c r="G849" i="1"/>
  <c r="H849" i="1"/>
  <c r="G850" i="1"/>
  <c r="H850" i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G857" i="1"/>
  <c r="H857" i="1"/>
  <c r="G858" i="1"/>
  <c r="H858" i="1"/>
  <c r="G859" i="1"/>
  <c r="H859" i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G866" i="1"/>
  <c r="H866" i="1"/>
  <c r="G867" i="1"/>
  <c r="H867" i="1"/>
  <c r="I828" i="1" l="1"/>
  <c r="J828" i="1" s="1"/>
  <c r="I826" i="1"/>
  <c r="J826" i="1" s="1"/>
  <c r="I817" i="1"/>
  <c r="J817" i="1" s="1"/>
  <c r="I808" i="1"/>
  <c r="J808" i="1" s="1"/>
  <c r="I824" i="1"/>
  <c r="J824" i="1" s="1"/>
  <c r="I809" i="1"/>
  <c r="J809" i="1" s="1"/>
  <c r="I825" i="1"/>
  <c r="J825" i="1" s="1"/>
  <c r="I815" i="1"/>
  <c r="J815" i="1" s="1"/>
  <c r="I859" i="1"/>
  <c r="J859" i="1" s="1"/>
  <c r="I850" i="1"/>
  <c r="J850" i="1" s="1"/>
  <c r="I841" i="1"/>
  <c r="J841" i="1" s="1"/>
  <c r="I832" i="1"/>
  <c r="J832" i="1" s="1"/>
  <c r="I823" i="1"/>
  <c r="J823" i="1" s="1"/>
  <c r="I814" i="1"/>
  <c r="J814" i="1" s="1"/>
  <c r="I805" i="1"/>
  <c r="J805" i="1" s="1"/>
  <c r="I867" i="1"/>
  <c r="J867" i="1" s="1"/>
  <c r="I858" i="1"/>
  <c r="J858" i="1" s="1"/>
  <c r="I849" i="1"/>
  <c r="J849" i="1" s="1"/>
  <c r="I840" i="1"/>
  <c r="J840" i="1" s="1"/>
  <c r="I831" i="1"/>
  <c r="J831" i="1" s="1"/>
  <c r="I822" i="1"/>
  <c r="J822" i="1" s="1"/>
  <c r="I813" i="1"/>
  <c r="J813" i="1" s="1"/>
  <c r="I866" i="1"/>
  <c r="J866" i="1" s="1"/>
  <c r="I857" i="1"/>
  <c r="J857" i="1" s="1"/>
  <c r="I848" i="1"/>
  <c r="J848" i="1" s="1"/>
  <c r="I839" i="1"/>
  <c r="J839" i="1" s="1"/>
  <c r="I830" i="1"/>
  <c r="J830" i="1" s="1"/>
  <c r="I821" i="1"/>
  <c r="J821" i="1" s="1"/>
  <c r="I812" i="1"/>
  <c r="J812" i="1" s="1"/>
  <c r="I847" i="1"/>
  <c r="J847" i="1" s="1"/>
  <c r="I829" i="1"/>
  <c r="J829" i="1" s="1"/>
  <c r="I811" i="1"/>
  <c r="J811" i="1" s="1"/>
  <c r="I865" i="1"/>
  <c r="J865" i="1" s="1"/>
  <c r="I856" i="1"/>
  <c r="J856" i="1" s="1"/>
  <c r="I838" i="1"/>
  <c r="J838" i="1" s="1"/>
  <c r="I820" i="1"/>
  <c r="J820" i="1" s="1"/>
  <c r="J864" i="1"/>
  <c r="J860" i="1"/>
  <c r="J852" i="1"/>
  <c r="J845" i="1"/>
  <c r="J843" i="1"/>
  <c r="J836" i="1"/>
  <c r="J816" i="1"/>
  <c r="J863" i="1"/>
  <c r="J855" i="1"/>
  <c r="J851" i="1"/>
  <c r="J842" i="1"/>
  <c r="J835" i="1"/>
  <c r="J827" i="1"/>
  <c r="J819" i="1"/>
  <c r="J807" i="1"/>
  <c r="J862" i="1"/>
  <c r="J854" i="1"/>
  <c r="J844" i="1"/>
  <c r="J834" i="1"/>
  <c r="J818" i="1"/>
  <c r="J810" i="1"/>
  <c r="J806" i="1"/>
  <c r="J861" i="1"/>
  <c r="J853" i="1"/>
  <c r="J846" i="1"/>
  <c r="J837" i="1"/>
  <c r="J833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H624" i="1" l="1"/>
  <c r="I624" i="1" s="1"/>
  <c r="J624" i="1" s="1"/>
  <c r="H629" i="1" l="1"/>
  <c r="I629" i="1" s="1"/>
  <c r="J629" i="1" s="1"/>
  <c r="H631" i="1"/>
  <c r="I631" i="1" s="1"/>
  <c r="J631" i="1" s="1"/>
  <c r="H630" i="1"/>
  <c r="I630" i="1" s="1"/>
  <c r="J630" i="1" s="1"/>
  <c r="H628" i="1"/>
  <c r="I628" i="1" s="1"/>
  <c r="J628" i="1" s="1"/>
  <c r="H627" i="1"/>
  <c r="I627" i="1" s="1"/>
  <c r="J627" i="1" s="1"/>
  <c r="H626" i="1"/>
  <c r="I626" i="1" s="1"/>
  <c r="J626" i="1" s="1"/>
  <c r="H625" i="1"/>
  <c r="I625" i="1" s="1"/>
  <c r="J625" i="1" s="1"/>
  <c r="H696" i="1"/>
  <c r="I696" i="1" s="1"/>
  <c r="J696" i="1" s="1"/>
  <c r="H702" i="1"/>
  <c r="I702" i="1" s="1"/>
  <c r="J702" i="1" s="1"/>
  <c r="H697" i="1"/>
  <c r="I697" i="1" s="1"/>
  <c r="J697" i="1" s="1"/>
  <c r="H701" i="1"/>
  <c r="I701" i="1" s="1"/>
  <c r="J701" i="1" s="1"/>
  <c r="H698" i="1"/>
  <c r="I698" i="1" s="1"/>
  <c r="J698" i="1" s="1"/>
  <c r="H708" i="1"/>
  <c r="I708" i="1" s="1"/>
  <c r="J708" i="1" s="1"/>
  <c r="H707" i="1"/>
  <c r="I707" i="1" s="1"/>
  <c r="J707" i="1" s="1"/>
  <c r="H710" i="1"/>
  <c r="I710" i="1" s="1"/>
  <c r="J710" i="1" s="1"/>
  <c r="H700" i="1"/>
  <c r="I700" i="1" s="1"/>
  <c r="J700" i="1" s="1"/>
  <c r="H695" i="1"/>
  <c r="I695" i="1" s="1"/>
  <c r="J695" i="1" s="1"/>
  <c r="H711" i="1"/>
  <c r="I711" i="1" s="1"/>
  <c r="J711" i="1" s="1"/>
  <c r="H706" i="1"/>
  <c r="I706" i="1" s="1"/>
  <c r="J706" i="1" s="1"/>
  <c r="H699" i="1"/>
  <c r="I699" i="1" s="1"/>
  <c r="J699" i="1" s="1"/>
  <c r="H694" i="1"/>
  <c r="I694" i="1" s="1"/>
  <c r="J694" i="1" s="1"/>
  <c r="H705" i="1"/>
  <c r="I705" i="1" s="1"/>
  <c r="J705" i="1" s="1"/>
  <c r="H703" i="1"/>
  <c r="I703" i="1" s="1"/>
  <c r="J703" i="1" s="1"/>
  <c r="H704" i="1"/>
  <c r="I704" i="1" s="1"/>
  <c r="J704" i="1" s="1"/>
  <c r="H709" i="1"/>
  <c r="I709" i="1" s="1"/>
  <c r="J709" i="1" s="1"/>
  <c r="H642" i="1"/>
  <c r="I642" i="1" s="1"/>
  <c r="J642" i="1" s="1"/>
  <c r="H643" i="1"/>
  <c r="I643" i="1" s="1"/>
  <c r="J643" i="1" s="1"/>
  <c r="H641" i="1"/>
  <c r="I641" i="1" s="1"/>
  <c r="J641" i="1" s="1"/>
  <c r="H647" i="1"/>
  <c r="I647" i="1" s="1"/>
  <c r="J647" i="1" s="1"/>
  <c r="H644" i="1"/>
  <c r="I644" i="1" s="1"/>
  <c r="J644" i="1" s="1"/>
  <c r="H633" i="1"/>
  <c r="I633" i="1" s="1"/>
  <c r="J633" i="1" s="1"/>
  <c r="H638" i="1"/>
  <c r="I638" i="1" s="1"/>
  <c r="J638" i="1" s="1"/>
  <c r="H639" i="1"/>
  <c r="I639" i="1" s="1"/>
  <c r="J639" i="1" s="1"/>
  <c r="H635" i="1"/>
  <c r="I635" i="1" s="1"/>
  <c r="J635" i="1" s="1"/>
  <c r="H645" i="1"/>
  <c r="I645" i="1" s="1"/>
  <c r="J645" i="1" s="1"/>
  <c r="H646" i="1"/>
  <c r="I646" i="1" s="1"/>
  <c r="J646" i="1" s="1"/>
  <c r="H634" i="1"/>
  <c r="I634" i="1" s="1"/>
  <c r="J634" i="1" s="1"/>
  <c r="H649" i="1"/>
  <c r="I649" i="1" s="1"/>
  <c r="J649" i="1" s="1"/>
  <c r="H632" i="1"/>
  <c r="I632" i="1" s="1"/>
  <c r="J632" i="1" s="1"/>
  <c r="H640" i="1"/>
  <c r="I640" i="1" s="1"/>
  <c r="J640" i="1" s="1"/>
  <c r="H648" i="1"/>
  <c r="I648" i="1" s="1"/>
  <c r="J648" i="1" s="1"/>
  <c r="H636" i="1"/>
  <c r="I636" i="1" s="1"/>
  <c r="J636" i="1" s="1"/>
  <c r="H637" i="1"/>
  <c r="I637" i="1" s="1"/>
  <c r="J637" i="1" s="1"/>
  <c r="H800" i="1"/>
  <c r="I800" i="1" s="1"/>
  <c r="J800" i="1" s="1"/>
  <c r="H792" i="1"/>
  <c r="I792" i="1" s="1"/>
  <c r="J792" i="1" s="1"/>
  <c r="H784" i="1"/>
  <c r="I784" i="1" s="1"/>
  <c r="J784" i="1" s="1"/>
  <c r="H797" i="1"/>
  <c r="I797" i="1" s="1"/>
  <c r="J797" i="1" s="1"/>
  <c r="H799" i="1"/>
  <c r="I799" i="1" s="1"/>
  <c r="J799" i="1" s="1"/>
  <c r="H791" i="1"/>
  <c r="I791" i="1" s="1"/>
  <c r="J791" i="1" s="1"/>
  <c r="H786" i="1"/>
  <c r="I786" i="1" s="1"/>
  <c r="J786" i="1" s="1"/>
  <c r="H785" i="1"/>
  <c r="I785" i="1" s="1"/>
  <c r="J785" i="1" s="1"/>
  <c r="H789" i="1"/>
  <c r="I789" i="1" s="1"/>
  <c r="J789" i="1" s="1"/>
  <c r="H788" i="1"/>
  <c r="I788" i="1" s="1"/>
  <c r="J788" i="1" s="1"/>
  <c r="H795" i="1"/>
  <c r="I795" i="1" s="1"/>
  <c r="J795" i="1" s="1"/>
  <c r="H793" i="1"/>
  <c r="I793" i="1" s="1"/>
  <c r="J793" i="1" s="1"/>
  <c r="H801" i="1"/>
  <c r="I801" i="1" s="1"/>
  <c r="J801" i="1" s="1"/>
  <c r="H790" i="1"/>
  <c r="I790" i="1" s="1"/>
  <c r="J790" i="1" s="1"/>
  <c r="H787" i="1"/>
  <c r="I787" i="1" s="1"/>
  <c r="J787" i="1" s="1"/>
  <c r="H794" i="1"/>
  <c r="I794" i="1" s="1"/>
  <c r="J794" i="1" s="1"/>
  <c r="H798" i="1"/>
  <c r="I798" i="1" s="1"/>
  <c r="J798" i="1" s="1"/>
  <c r="H796" i="1"/>
  <c r="I796" i="1" s="1"/>
  <c r="J796" i="1" s="1"/>
</calcChain>
</file>

<file path=xl/sharedStrings.xml><?xml version="1.0" encoding="utf-8"?>
<sst xmlns="http://schemas.openxmlformats.org/spreadsheetml/2006/main" count="4512" uniqueCount="1528">
  <si>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</si>
  <si>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</si>
  <si>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</si>
  <si>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</si>
  <si>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</si>
  <si>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</si>
  <si>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</si>
  <si>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</si>
  <si>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</si>
  <si>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</si>
  <si>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</si>
  <si>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</si>
  <si>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</si>
  <si>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</si>
  <si>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</si>
  <si>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</si>
  <si>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</si>
  <si>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</si>
  <si>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</si>
  <si>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</si>
  <si>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</si>
  <si>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</si>
  <si>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</si>
  <si>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</si>
  <si>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</si>
  <si>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</si>
  <si>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</si>
  <si>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</si>
  <si>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</si>
  <si>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</si>
  <si>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</si>
  <si>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</si>
  <si>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</si>
  <si>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</si>
  <si>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</si>
  <si>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</si>
  <si>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</si>
  <si>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</si>
  <si>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</si>
  <si>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</si>
  <si>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</si>
  <si>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</si>
  <si>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</si>
  <si>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</si>
  <si>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</si>
  <si>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</si>
  <si>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</si>
  <si>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</si>
  <si>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</si>
  <si>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</si>
  <si>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</si>
  <si>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</si>
  <si>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</si>
  <si>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</si>
  <si>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</si>
  <si>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</si>
  <si>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</si>
  <si>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</si>
  <si>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</si>
  <si>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</si>
  <si>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</si>
  <si>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</si>
  <si>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</si>
  <si>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</si>
  <si>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</si>
  <si>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</si>
  <si>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</si>
  <si>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</si>
  <si>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</si>
  <si>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</si>
  <si>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</si>
  <si>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</si>
  <si>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</si>
  <si>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</si>
  <si>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</si>
  <si>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</si>
  <si>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</si>
  <si>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</si>
  <si>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</si>
  <si>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</si>
  <si>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</si>
  <si>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</si>
  <si>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</si>
  <si>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</si>
  <si>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</si>
  <si>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</si>
  <si>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</si>
  <si>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</si>
  <si>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</si>
  <si>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</si>
  <si>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</si>
  <si>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</si>
  <si>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</si>
  <si>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</si>
  <si>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</si>
  <si>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</si>
  <si>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</si>
  <si>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</si>
  <si>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</si>
  <si>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</si>
  <si>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</si>
  <si>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</si>
  <si>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</si>
  <si>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</si>
  <si>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</si>
  <si>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</si>
  <si>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</si>
  <si>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</si>
  <si>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</si>
  <si>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</si>
  <si>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</si>
  <si>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</si>
  <si>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</si>
  <si>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</si>
  <si>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</si>
  <si>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</si>
  <si>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</si>
  <si>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</si>
  <si>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</si>
  <si>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</si>
  <si>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</si>
  <si>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</si>
  <si>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</si>
  <si>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</si>
  <si>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</si>
  <si>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</si>
  <si>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</si>
  <si>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</si>
  <si>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</si>
  <si>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</si>
  <si>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</si>
  <si>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</si>
  <si>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</si>
  <si>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</si>
  <si>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</si>
  <si>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</si>
  <si>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</si>
  <si>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</si>
  <si>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</si>
  <si>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</si>
  <si>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</si>
  <si>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</si>
  <si>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</si>
  <si>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</si>
  <si>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</si>
  <si>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</si>
  <si>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</si>
  <si>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</si>
  <si>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</si>
  <si>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</si>
  <si>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</si>
  <si>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</si>
  <si>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</si>
  <si>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</si>
  <si>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</si>
  <si>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</si>
  <si>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</si>
  <si>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</si>
  <si>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</si>
  <si>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</si>
  <si>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</si>
  <si>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</si>
  <si>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</si>
  <si>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</si>
  <si>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</si>
  <si>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</si>
  <si>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</si>
  <si>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</si>
  <si>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</si>
  <si>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</si>
  <si>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</si>
  <si>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</si>
  <si>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</si>
  <si>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</si>
  <si>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</si>
  <si>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</si>
  <si>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</si>
  <si>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</si>
  <si>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</si>
  <si>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</si>
  <si>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</si>
  <si>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</si>
  <si>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</si>
  <si>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</si>
  <si>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</si>
  <si>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</si>
  <si>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</si>
  <si>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</si>
  <si>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</si>
  <si>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</si>
  <si>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</si>
  <si>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</si>
  <si>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</si>
  <si>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</si>
  <si>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</si>
  <si>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</si>
  <si>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</si>
  <si>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</si>
  <si>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</si>
  <si>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</si>
  <si>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</si>
  <si>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</si>
  <si>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</si>
  <si>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</si>
  <si>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</si>
  <si>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</si>
  <si>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</si>
  <si>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</si>
  <si>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</si>
  <si>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</si>
  <si>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</si>
  <si>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</si>
  <si>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</si>
  <si>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</si>
  <si>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</si>
  <si>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</si>
  <si>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</si>
  <si>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</si>
  <si>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</si>
  <si>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</si>
  <si>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</si>
  <si>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</si>
  <si>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</si>
  <si>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</si>
  <si>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</si>
  <si>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</si>
  <si>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</si>
  <si>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</si>
  <si>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</si>
  <si>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</si>
  <si>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</si>
  <si>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</si>
  <si>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</si>
  <si>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</si>
  <si>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</si>
  <si>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</si>
  <si>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</si>
  <si>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</si>
  <si>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</si>
  <si>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</si>
  <si>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</si>
  <si>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</si>
  <si>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</si>
  <si>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</si>
  <si>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</si>
  <si>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</si>
  <si>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</si>
  <si>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</si>
  <si>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</si>
  <si>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</si>
  <si>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</si>
  <si>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</si>
  <si>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</si>
  <si>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</si>
  <si>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</si>
  <si>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</si>
  <si>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</si>
  <si>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</si>
  <si>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</si>
  <si>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</si>
  <si>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</si>
  <si>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</si>
  <si>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</si>
  <si>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</si>
  <si>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</si>
  <si>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</si>
  <si>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</si>
  <si>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</si>
  <si>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</si>
  <si>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</si>
  <si>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</si>
  <si>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</si>
  <si>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</si>
  <si>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</si>
  <si>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</si>
  <si>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</si>
  <si>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</si>
  <si>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</si>
  <si>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</si>
  <si>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</si>
  <si>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</si>
  <si>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</si>
  <si>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</si>
  <si>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</si>
  <si>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</si>
  <si>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</si>
  <si>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</si>
  <si>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</si>
  <si>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</si>
  <si>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</si>
  <si>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</si>
  <si>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</si>
  <si>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</si>
  <si>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</si>
  <si>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</si>
  <si>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</si>
  <si>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</si>
  <si>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</si>
  <si>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</si>
  <si>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</si>
  <si>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</si>
  <si>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</si>
  <si>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</si>
  <si>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</si>
  <si>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</si>
  <si>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</si>
  <si>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</si>
  <si>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</si>
  <si>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</si>
  <si>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</si>
  <si>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</si>
  <si>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</si>
  <si>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</si>
  <si>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</si>
  <si>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</si>
  <si>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</si>
  <si>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</si>
  <si>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</si>
  <si>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</si>
  <si>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</si>
  <si>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</si>
  <si>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</si>
  <si>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</si>
  <si>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</si>
  <si>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</si>
  <si>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</si>
  <si>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</si>
  <si>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</si>
  <si>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</si>
  <si>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</si>
  <si>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</si>
  <si>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</si>
  <si>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</si>
  <si>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</si>
  <si>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</si>
  <si>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</si>
  <si>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</si>
  <si>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</si>
  <si>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</si>
  <si>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</si>
  <si>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</si>
  <si>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</si>
  <si>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</si>
  <si>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</si>
  <si>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</si>
  <si>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</si>
  <si>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</si>
  <si>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</si>
  <si>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</si>
  <si>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</si>
  <si>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</si>
  <si>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</si>
  <si>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</si>
  <si>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</si>
  <si>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</si>
  <si>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</si>
  <si>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</si>
  <si>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</si>
  <si>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</si>
  <si>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</si>
  <si>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</si>
  <si>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</si>
  <si>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</si>
  <si>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</si>
  <si>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</si>
  <si>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</si>
  <si>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</si>
  <si>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</si>
  <si>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</si>
  <si>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</si>
  <si>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</si>
  <si>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</si>
  <si>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</si>
  <si>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</si>
  <si>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</si>
  <si>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</si>
  <si>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</si>
  <si>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</si>
  <si>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</si>
  <si>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</si>
  <si>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</si>
  <si>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</si>
  <si>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</si>
  <si>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</si>
  <si>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</si>
  <si>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</si>
  <si>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</si>
  <si>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</si>
  <si>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</si>
  <si>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</si>
  <si>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</si>
  <si>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</si>
  <si>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</si>
  <si>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</si>
  <si>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</si>
  <si>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</si>
  <si>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</si>
  <si>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</si>
  <si>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</si>
  <si>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</si>
  <si>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</si>
  <si>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</si>
  <si>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</si>
  <si>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</si>
  <si>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</si>
  <si>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</si>
  <si>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</si>
  <si>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</si>
  <si>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</si>
  <si>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</si>
  <si>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</si>
  <si>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</si>
  <si>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</si>
  <si>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</si>
  <si>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</si>
  <si>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</si>
  <si>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</si>
  <si>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</si>
  <si>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</si>
  <si>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</si>
  <si>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</si>
  <si>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</si>
  <si>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</si>
  <si>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</si>
  <si>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</si>
  <si>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</si>
  <si>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</si>
  <si>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</si>
  <si>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</si>
  <si>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</si>
  <si>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</si>
  <si>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</si>
  <si>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</si>
  <si>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</si>
  <si>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</si>
  <si>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</si>
  <si>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</si>
  <si>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</si>
  <si>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</si>
  <si>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</si>
  <si>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</si>
  <si>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</si>
  <si>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</si>
  <si>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</si>
  <si>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</si>
  <si>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</si>
  <si>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</si>
  <si>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</si>
  <si>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</si>
  <si>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</si>
  <si>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</si>
  <si>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</si>
  <si>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</si>
  <si>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</si>
  <si>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</si>
  <si>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</si>
  <si>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</si>
  <si>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</si>
  <si>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</si>
  <si>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</si>
  <si>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</si>
  <si>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</si>
  <si>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</si>
  <si>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</si>
  <si>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</si>
  <si>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</si>
  <si>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</si>
  <si>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</si>
  <si>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</si>
  <si>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</si>
  <si>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</si>
  <si>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</si>
  <si>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</si>
  <si>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</si>
  <si>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</si>
  <si>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</si>
  <si>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</si>
  <si>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</si>
  <si>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</si>
  <si>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</si>
  <si>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</si>
  <si>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</si>
  <si>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</si>
  <si>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</si>
  <si>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</si>
  <si>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</si>
  <si>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</si>
  <si>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</si>
  <si>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</si>
  <si>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</si>
  <si>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</si>
  <si>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</si>
  <si>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</si>
  <si>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</si>
  <si>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</si>
  <si>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</si>
  <si>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</si>
  <si>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</si>
  <si>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</si>
  <si>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</si>
  <si>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</si>
  <si>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</si>
  <si>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</si>
  <si>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</si>
  <si>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</si>
  <si>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</si>
  <si>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</si>
  <si>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</si>
  <si>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</si>
  <si>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</si>
  <si>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</si>
  <si>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</si>
  <si>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</si>
  <si>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</si>
  <si>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</si>
  <si>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</si>
  <si>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</si>
  <si>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</si>
  <si>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</si>
  <si>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</si>
  <si>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</si>
  <si>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</si>
  <si>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</si>
  <si>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</si>
  <si>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</si>
  <si>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</si>
  <si>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</si>
  <si>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</si>
  <si>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</si>
  <si>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</si>
  <si>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</si>
  <si>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</si>
  <si>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</si>
  <si>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</si>
  <si>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</si>
  <si>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</si>
  <si>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</si>
  <si>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</si>
  <si>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</si>
  <si>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</si>
  <si>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</si>
  <si>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</si>
  <si>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</si>
  <si>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</si>
  <si>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</si>
  <si>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</si>
  <si>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</si>
  <si>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</si>
  <si>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</si>
  <si>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</si>
  <si>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</si>
  <si>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</si>
  <si>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</si>
  <si>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</si>
  <si>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</si>
  <si>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</si>
  <si>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</si>
  <si>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</si>
  <si>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</si>
  <si>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</si>
  <si>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</si>
  <si>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</si>
  <si>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</si>
  <si>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</si>
  <si>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</si>
  <si>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</si>
  <si>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</si>
  <si>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</si>
  <si>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</si>
  <si>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</si>
  <si>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</si>
  <si>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</si>
  <si>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</si>
  <si>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</si>
  <si>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</si>
  <si>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</si>
  <si>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</si>
  <si>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</si>
  <si>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</si>
  <si>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</si>
  <si>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</si>
  <si>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</si>
  <si>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</si>
  <si>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</si>
  <si>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</si>
  <si>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</si>
  <si>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</si>
  <si>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</si>
  <si>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</si>
  <si>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</si>
  <si>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</si>
  <si>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</si>
  <si>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</si>
  <si>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</si>
  <si>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</si>
  <si>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</si>
  <si>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</si>
  <si>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</si>
  <si>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</si>
  <si>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</si>
  <si>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</si>
  <si>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</si>
  <si>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</si>
  <si>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</si>
  <si>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</si>
  <si>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</si>
  <si>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</si>
  <si>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</si>
  <si>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</si>
  <si>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</si>
  <si>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</si>
  <si>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</si>
  <si>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</si>
  <si>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</si>
  <si>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</si>
  <si>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</si>
  <si>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</si>
  <si>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</si>
  <si>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</si>
  <si>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</si>
  <si>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</si>
  <si>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</si>
  <si>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</si>
  <si>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</si>
  <si>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</si>
  <si>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</si>
  <si>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</si>
  <si>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</si>
  <si>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</si>
  <si>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</si>
  <si>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</si>
  <si>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</si>
  <si>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</si>
  <si>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</si>
  <si>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</si>
  <si>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</si>
  <si>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</si>
  <si>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</si>
  <si>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</si>
  <si>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</si>
  <si>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</si>
  <si>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</si>
  <si>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</si>
  <si>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</si>
  <si>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</si>
  <si>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</si>
  <si>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</si>
  <si>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</si>
  <si>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</si>
  <si>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맑은 고딕"/>
        <family val="2"/>
        <scheme val="minor"/>
      </rPr>
      <t>cannot</t>
    </r>
    <r>
      <rPr>
        <sz val="11"/>
        <color theme="1"/>
        <rFont val="맑은 고딕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</si>
  <si>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</si>
  <si>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</si>
  <si>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</si>
  <si>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</si>
  <si>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</si>
  <si>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</si>
  <si>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</si>
  <si>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</si>
  <si>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</si>
  <si>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</si>
  <si>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</si>
  <si>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</si>
  <si>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</si>
  <si>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</si>
  <si>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</si>
  <si>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</si>
  <si>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</si>
  <si>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</si>
  <si>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</si>
  <si>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</si>
  <si>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</si>
  <si>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</si>
  <si>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</si>
  <si>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</si>
  <si>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</si>
  <si>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</si>
  <si>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</si>
  <si>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</si>
  <si>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</si>
  <si>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</si>
  <si>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</si>
  <si>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</si>
  <si>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</si>
  <si>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</si>
  <si>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</si>
  <si>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</si>
  <si>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</si>
  <si>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</si>
  <si>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</si>
  <si>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</si>
  <si>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</si>
  <si>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</si>
  <si>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</si>
  <si>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</si>
  <si>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</si>
  <si>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</si>
  <si>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</si>
  <si>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</si>
  <si>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</si>
  <si>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</si>
  <si>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</si>
  <si>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</si>
  <si>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</si>
  <si>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</si>
  <si>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</si>
  <si>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</si>
  <si>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</si>
  <si>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</si>
  <si>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</si>
  <si>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</si>
  <si>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</si>
  <si>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</si>
  <si>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</si>
  <si>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</si>
  <si>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</si>
  <si>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</si>
  <si>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</si>
  <si>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</si>
  <si>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</si>
  <si>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</si>
  <si>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</si>
  <si>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</si>
  <si>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</si>
  <si>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</si>
  <si>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</si>
  <si>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</si>
  <si>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</si>
  <si>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</si>
  <si>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</si>
  <si>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</si>
  <si>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</si>
  <si>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</si>
  <si>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</si>
  <si>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</si>
  <si>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</si>
  <si>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</si>
  <si>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</si>
  <si>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</si>
  <si>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</si>
  <si>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</si>
  <si>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</si>
  <si>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</si>
  <si>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</si>
  <si>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</si>
  <si>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</si>
  <si>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</si>
  <si>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</si>
  <si>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</si>
  <si>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</si>
  <si>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</si>
  <si>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</si>
  <si>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</si>
  <si>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</si>
  <si>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</si>
  <si>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</si>
  <si>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</si>
  <si>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</si>
  <si>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</si>
  <si>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</si>
  <si>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</si>
  <si>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</si>
  <si>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</si>
  <si>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</si>
  <si>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</si>
  <si>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</si>
  <si>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</si>
  <si>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</si>
  <si>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</si>
  <si>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</si>
  <si>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</si>
  <si>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</si>
  <si>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</si>
  <si>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</si>
  <si>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</si>
  <si>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</si>
  <si>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</si>
  <si>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</si>
  <si>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</si>
  <si>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</si>
  <si>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</si>
  <si>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</si>
  <si>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</si>
  <si>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</si>
  <si>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</si>
  <si>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</si>
  <si>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</si>
  <si>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</si>
  <si>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</si>
  <si>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</si>
  <si>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</si>
  <si>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</si>
  <si>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</si>
  <si>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</si>
  <si>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</si>
  <si>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</si>
  <si>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</si>
  <si>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</si>
  <si>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</si>
  <si>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</si>
  <si>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</si>
  <si>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</si>
  <si>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</si>
  <si>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</si>
  <si>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</si>
  <si>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</si>
  <si>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</si>
  <si>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</si>
  <si>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</si>
  <si>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</si>
  <si>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</si>
  <si>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</si>
  <si>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</si>
  <si>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</si>
  <si>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</si>
  <si>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</si>
  <si>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</si>
  <si>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</si>
  <si>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</si>
  <si>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</si>
  <si>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</si>
  <si>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</si>
  <si>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</si>
  <si>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</si>
  <si>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</si>
  <si>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</si>
  <si>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</si>
  <si>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</si>
  <si>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</si>
  <si>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</si>
  <si>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</si>
  <si>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</si>
  <si>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</si>
  <si>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</si>
  <si>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</si>
  <si>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</si>
  <si>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</si>
  <si>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</si>
  <si>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</si>
  <si>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</si>
  <si>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</si>
  <si>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</si>
  <si>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</si>
  <si>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</si>
  <si>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</si>
  <si>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</si>
  <si>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</si>
  <si>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</si>
  <si>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</si>
  <si>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</si>
  <si>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</si>
  <si>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</si>
  <si>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</si>
  <si>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</si>
  <si>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</si>
  <si>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</si>
  <si>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</si>
  <si>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</si>
  <si>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</si>
  <si>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</si>
  <si>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</si>
  <si>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</si>
  <si>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</si>
  <si>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</si>
  <si>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</si>
  <si>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</si>
  <si>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</si>
  <si>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</si>
  <si>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</si>
  <si>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</si>
  <si>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</si>
  <si>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</si>
  <si>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</si>
  <si>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</si>
  <si>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</si>
  <si>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</si>
  <si>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</si>
  <si>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</si>
  <si>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</si>
  <si>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</si>
  <si>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</si>
  <si>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</si>
  <si>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</si>
  <si>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</si>
  <si>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</si>
  <si>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</si>
  <si>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</si>
  <si>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</si>
  <si>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</si>
  <si>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</si>
  <si>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</si>
  <si>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</si>
  <si>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</si>
  <si>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</si>
  <si>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</si>
  <si>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</si>
  <si>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</si>
  <si>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</si>
  <si>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</si>
  <si>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</si>
  <si>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</si>
  <si>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</si>
  <si>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</si>
  <si>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</si>
  <si>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</si>
  <si>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</si>
  <si>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</si>
  <si>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</si>
  <si>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</si>
  <si>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</si>
  <si>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</si>
  <si>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</si>
  <si>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</si>
  <si>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</si>
  <si>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</si>
  <si>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FoPITY-policy-elements.csv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</si>
  <si>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</si>
  <si>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</si>
  <si>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</si>
  <si>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</si>
  <si>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</si>
  <si>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</si>
  <si>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</si>
  <si>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</si>
  <si>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</si>
  <si>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</si>
  <si>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</si>
  <si>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</si>
  <si>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</si>
  <si>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</si>
  <si>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</si>
  <si>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</si>
  <si>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</si>
  <si>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</si>
  <si>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</si>
  <si>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</si>
  <si>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</si>
  <si>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</si>
  <si>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</si>
  <si>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</si>
  <si>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</si>
  <si>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</si>
  <si>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</si>
  <si>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</si>
  <si>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</si>
  <si>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</si>
  <si>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</si>
  <si>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</si>
  <si>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</si>
  <si>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</si>
  <si>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</si>
  <si>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</si>
  <si>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</si>
  <si>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</si>
  <si>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</si>
  <si>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</si>
  <si>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</si>
  <si>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</si>
  <si>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</si>
  <si>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</si>
  <si>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</si>
  <si>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</si>
  <si>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</si>
  <si>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</si>
  <si>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</si>
  <si>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</si>
  <si>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</si>
  <si>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</si>
  <si>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</si>
  <si>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</si>
  <si>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</si>
  <si>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</si>
  <si>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</si>
  <si>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</si>
  <si>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</si>
  <si>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</si>
  <si>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</si>
  <si>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</si>
  <si>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</si>
  <si>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</si>
  <si>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</si>
  <si>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</si>
  <si>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</si>
  <si>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</si>
  <si>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</si>
  <si>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</si>
  <si>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</si>
  <si>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</si>
  <si>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</si>
  <si>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</si>
  <si>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</si>
  <si>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</si>
  <si>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</si>
  <si>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</si>
  <si>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</si>
  <si>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</si>
  <si>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</si>
  <si>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</si>
  <si>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</si>
  <si>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</si>
  <si>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</si>
  <si>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</si>
  <si>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</si>
  <si>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</si>
  <si>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</si>
  <si>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</si>
  <si>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</si>
  <si>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</si>
  <si>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</si>
  <si>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</si>
  <si>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</si>
  <si>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</si>
  <si>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</si>
  <si>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</si>
  <si>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</si>
  <si>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</si>
  <si>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</si>
  <si>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</si>
  <si>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</si>
  <si>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</si>
  <si>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</si>
  <si>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</si>
  <si>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</si>
  <si>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</si>
  <si>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</si>
  <si>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</si>
  <si>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</si>
  <si>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</si>
  <si>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</si>
  <si>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</si>
  <si>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</si>
  <si>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</si>
  <si>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</si>
  <si>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</si>
  <si>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</si>
  <si>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lCoLUPpUA</t>
  </si>
  <si>
    <t>FractionOfPolicyImplementedThisYear.py</t>
  </si>
  <si>
    <t>Supporting Calculations for Policy Schedules.xlsx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</si>
  <si>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</si>
  <si>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</si>
  <si>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</si>
  <si>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</si>
  <si>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</si>
  <si>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</si>
  <si>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</si>
  <si>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</si>
  <si>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</si>
  <si>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</si>
  <si>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</si>
  <si>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</si>
  <si>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</si>
  <si>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(비어 있음)</t>
  </si>
  <si>
    <t>QSfHO</t>
  </si>
  <si>
    <t>QSfHO.csv</t>
  </si>
  <si>
    <t>Quantization Size for Health Outcomes.xlsx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</si>
  <si>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</si>
  <si>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</si>
  <si>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</si>
  <si>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</si>
  <si>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</si>
  <si>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BPSfDSPC</t>
  </si>
  <si>
    <t>BAU Perc Subsidy for Distributed Solar PV Capacity.xlsx</t>
  </si>
  <si>
    <t>BPSfDSPC.csv</t>
  </si>
  <si>
    <t>MDSC</t>
  </si>
  <si>
    <t>Max Distrib Solar Capacity.xlsx</t>
  </si>
  <si>
    <t>MDSC.csv</t>
  </si>
  <si>
    <t>BCS</t>
  </si>
  <si>
    <t>BAU CCS Subsidy.xlsx</t>
  </si>
  <si>
    <t>BCS-BCS.csv</t>
  </si>
  <si>
    <t>BCS-DoSfCS.csv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</si>
  <si>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</si>
  <si>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</si>
  <si>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</si>
  <si>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</si>
  <si>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</si>
  <si>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</si>
  <si>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</si>
  <si>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</si>
  <si>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</si>
  <si>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</si>
  <si>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</si>
  <si>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</si>
  <si>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</si>
  <si>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</si>
  <si>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</si>
  <si>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</si>
  <si>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</si>
  <si>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CCSTaSC</t>
  </si>
  <si>
    <t>CCS Transportation and Storage Cost.xlsx</t>
  </si>
  <si>
    <t>CCSTaSC.csv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</si>
  <si>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</si>
  <si>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</si>
  <si>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</si>
  <si>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</si>
  <si>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</si>
  <si>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</si>
  <si>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BDCTBA</t>
  </si>
  <si>
    <t>BDCTBA.csv</t>
  </si>
  <si>
    <t>Boolean Disable Carbon Tax Border Adjustment.xlsx</t>
  </si>
  <si>
    <t>BESHFoFRV</t>
  </si>
  <si>
    <t>BESHFoFRV.csv</t>
  </si>
  <si>
    <t>Boolean Elec Suppliers Have Foresight of Future RPS Values.xlsx</t>
  </si>
  <si>
    <t>BRCToEP</t>
  </si>
  <si>
    <t>Bool Rebate Carbon Tax on Exported Products.xlsx</t>
  </si>
  <si>
    <t>BRCToEP.csv</t>
  </si>
  <si>
    <t>BUCMfNCR</t>
  </si>
  <si>
    <t>Boolean Use Capacity Market for New Capacity Revenue.xlsx</t>
  </si>
  <si>
    <t>BUCMfNCR.csv</t>
  </si>
  <si>
    <t>EGGRA</t>
  </si>
  <si>
    <t>EGGRA-gdp-adjustment.csv</t>
  </si>
  <si>
    <t>EGGRA-use-adjustment.csv</t>
  </si>
  <si>
    <t>Exogenous GDP Growth Rate Adjustment.xlsx</t>
  </si>
  <si>
    <t>GRA-CCSsubsidy.csv</t>
  </si>
  <si>
    <t>GRA-vehbatsubsidy.csv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</si>
  <si>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</si>
  <si>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</si>
  <si>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</si>
  <si>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</si>
  <si>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</si>
  <si>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</si>
  <si>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BCoESC</t>
  </si>
  <si>
    <t>BAU Cost of Electricity Sector Capital.xlsx</t>
  </si>
  <si>
    <t>BCoESC-other.csv</t>
  </si>
  <si>
    <t>BCoESC-power-plants.csv</t>
  </si>
  <si>
    <t>BBoSCaSoFYC.csv</t>
  </si>
  <si>
    <t>BCpUC-energy.csv</t>
  </si>
  <si>
    <t>BCpUC-power.csv</t>
  </si>
  <si>
    <t>BDTPTUMCF</t>
  </si>
  <si>
    <t>BDTPTUMCF.csv</t>
  </si>
  <si>
    <t>Boolean Does This Plant Type Use Maximum Capacity Factor.xlsx</t>
  </si>
  <si>
    <t>BEVGB</t>
  </si>
  <si>
    <t>BAU EV Grid Balancing.xlsx</t>
  </si>
  <si>
    <t>BEVGB-fraction-of-bat-cap.csv</t>
  </si>
  <si>
    <t>BEVGB-fraction-of-EVs.csv</t>
  </si>
  <si>
    <t>BHRaSYC</t>
  </si>
  <si>
    <t>BAU Heat Rates and Start Year Capacities.xlsx</t>
  </si>
  <si>
    <t>BHRaSYC-HeatRates.csv</t>
  </si>
  <si>
    <t>BHRaSYC-StartYearCapacities.csv</t>
  </si>
  <si>
    <t>BPMCRS</t>
  </si>
  <si>
    <t>BAU Pol Mandated Cap Retro Sched.xlsx</t>
  </si>
  <si>
    <t>BPMCRS.csv</t>
  </si>
  <si>
    <t>BPPEOUP</t>
  </si>
  <si>
    <t>BAU Pwr Plnt Elec Own Use Perc.xlsx</t>
  </si>
  <si>
    <t>BPPEOUP.csv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</si>
  <si>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</si>
  <si>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</si>
  <si>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</si>
  <si>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</si>
  <si>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</si>
  <si>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</si>
  <si>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</si>
  <si>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</si>
  <si>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</si>
  <si>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</si>
  <si>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BZECfNP</t>
  </si>
  <si>
    <t>BAU Zero Emis Credit for Nuc Plants.xlsx</t>
  </si>
  <si>
    <t>BZECfNP.csv</t>
  </si>
  <si>
    <t>CCaMC-ACAPEXpUC.csv</t>
  </si>
  <si>
    <t>CCaMC-AFOaMCpUC.csv</t>
  </si>
  <si>
    <t>CCaMC-BCCUSRCpUC.csv</t>
  </si>
  <si>
    <t>CCaMC-SLCCpUC.csv</t>
  </si>
  <si>
    <t>CCaMC-VOaMCpUC.csv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</si>
  <si>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</si>
  <si>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</si>
  <si>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</si>
  <si>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</si>
  <si>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</si>
  <si>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</si>
  <si>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</si>
  <si>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</si>
  <si>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</si>
  <si>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</si>
  <si>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</si>
  <si>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</si>
  <si>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</si>
  <si>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</si>
  <si>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</si>
  <si>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</si>
  <si>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</si>
  <si>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</si>
  <si>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</si>
  <si>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ESTRTE</t>
  </si>
  <si>
    <t>Elec Storage Tech Round Trip Efficiency.xlsx</t>
  </si>
  <si>
    <t>ESTRTE-grid-batteries.csv</t>
  </si>
  <si>
    <t>ESTRTE-pumped-hydro.csv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</si>
  <si>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</si>
  <si>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</si>
  <si>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</si>
  <si>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</si>
  <si>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</si>
  <si>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</si>
  <si>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</si>
  <si>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GBDSD.csv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</si>
  <si>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</si>
  <si>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</si>
  <si>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</si>
  <si>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</si>
  <si>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</si>
  <si>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</si>
  <si>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</si>
  <si>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</si>
  <si>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</si>
  <si>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</si>
  <si>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</si>
  <si>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</si>
  <si>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</si>
  <si>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</si>
  <si>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</si>
  <si>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</si>
  <si>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</si>
  <si>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</si>
  <si>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MaMHEIaE</t>
  </si>
  <si>
    <t>MaMHEIaE-exports.csv</t>
  </si>
  <si>
    <t>MaMHEIaE-imports.csv</t>
  </si>
  <si>
    <t>Max and Min Hourly Elec Imp and Exp.xlsx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</si>
  <si>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</si>
  <si>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</si>
  <si>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</si>
  <si>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</si>
  <si>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</si>
  <si>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</si>
  <si>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PMCRS</t>
  </si>
  <si>
    <t>PMCRS.csv</t>
  </si>
  <si>
    <t>Pol Mandated Cap Retro Sched.xlsx</t>
  </si>
  <si>
    <t>RACP</t>
  </si>
  <si>
    <t>RACP-BRACP.csv</t>
  </si>
  <si>
    <t>RACP-RACP.csv</t>
  </si>
  <si>
    <t>RPS Alternative Compliance Payment.xlsx</t>
  </si>
  <si>
    <t>RAF</t>
  </si>
  <si>
    <t>RAF-capacity.csv</t>
  </si>
  <si>
    <t>RAF-demand-altering-techs.csv</t>
  </si>
  <si>
    <t>RAF-generation.csv</t>
  </si>
  <si>
    <t>Regional Availability Factor.xlsx</t>
  </si>
  <si>
    <t>RPfFESCC</t>
  </si>
  <si>
    <t>RPfFESCC Repayment Period for Financed Elec Sector Capital Costs.xlsx</t>
  </si>
  <si>
    <t>RPfFESCC.csv</t>
  </si>
  <si>
    <t>SES</t>
  </si>
  <si>
    <t>Seasonal Electricity Storage.xlsx</t>
  </si>
  <si>
    <t>SES-annual-cycles.csv</t>
  </si>
  <si>
    <t>SES-capacity.csv</t>
  </si>
  <si>
    <t>SES-efficiency.csv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</si>
  <si>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</si>
  <si>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</si>
  <si>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</si>
  <si>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</si>
  <si>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</si>
  <si>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</si>
  <si>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</si>
  <si>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</si>
  <si>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</si>
  <si>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</si>
  <si>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</si>
  <si>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</si>
  <si>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</si>
  <si>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</si>
  <si>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</si>
  <si>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</si>
  <si>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</si>
  <si>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</si>
  <si>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</si>
  <si>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</si>
  <si>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</si>
  <si>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</si>
  <si>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</si>
  <si>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</si>
  <si>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</si>
  <si>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</si>
  <si>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</si>
  <si>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</si>
  <si>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</si>
  <si>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</si>
  <si>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</si>
  <si>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</si>
  <si>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</si>
  <si>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</si>
  <si>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</si>
  <si>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</si>
  <si>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STfESCE</t>
  </si>
  <si>
    <t>STfESCE Smoothing Time for Electricity Sector Capital Expenditures.xlsx</t>
  </si>
  <si>
    <t>STfESCE.csv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</si>
  <si>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</si>
  <si>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</si>
  <si>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</si>
  <si>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</si>
  <si>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</si>
  <si>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</si>
  <si>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</si>
  <si>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</si>
  <si>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</si>
  <si>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</si>
  <si>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</si>
  <si>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</si>
  <si>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</si>
  <si>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</si>
  <si>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</si>
  <si>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SYSHECF-hydrogen-CC.csv</t>
  </si>
  <si>
    <t>SYSHECF-hydrogen-CT.csv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</si>
  <si>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</si>
  <si>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</si>
  <si>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</si>
  <si>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</si>
  <si>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</si>
  <si>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</si>
  <si>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</si>
  <si>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</si>
  <si>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SYSHECF-pumped-hydro.csv</t>
  </si>
  <si>
    <t>SYSHECF-SMR.csv</t>
  </si>
  <si>
    <t>SYSHECF-solar-pv-dist.csv</t>
  </si>
  <si>
    <t>SYSHECF-solar-pv.csv</t>
  </si>
  <si>
    <t>SYSHECF-solar-thermal.csv</t>
  </si>
  <si>
    <t>SYSHECF-steam-turbine.csv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</si>
  <si>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</si>
  <si>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</si>
  <si>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</si>
  <si>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</si>
  <si>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</si>
  <si>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</si>
  <si>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</si>
  <si>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</si>
  <si>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</si>
  <si>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</si>
  <si>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SYBGSaWC.csv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</si>
  <si>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</si>
  <si>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</si>
  <si>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</si>
  <si>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</si>
  <si>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</si>
  <si>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</si>
  <si>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</si>
  <si>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</si>
  <si>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</si>
  <si>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FoICbCTBA</t>
  </si>
  <si>
    <t>FoICbCTBA.csv</t>
  </si>
  <si>
    <t>Fraction of Industry Covered by Carbon Tax Border Adjustment.xlsx</t>
  </si>
  <si>
    <t>FoICStCT</t>
  </si>
  <si>
    <t>FoICStCT.csv</t>
  </si>
  <si>
    <t>Fraction of Industry Category Subject to Carbon Tax.xlsx</t>
  </si>
  <si>
    <t>FoVTStCT</t>
  </si>
  <si>
    <t>FoVTStCT.csv</t>
  </si>
  <si>
    <t>Fraction of Vehicle Types Subject to Carbon Tax.xlsx</t>
  </si>
  <si>
    <t>FSPbPPT</t>
  </si>
  <si>
    <t>FSPbPPT.csv</t>
  </si>
  <si>
    <t>Fuel Surcharge Perc by Power Plant Type.xlsx</t>
  </si>
  <si>
    <t>ERWD</t>
  </si>
  <si>
    <t>Enhanced Rock Weathering Data.xlsx</t>
  </si>
  <si>
    <t>ERWD-capex.csv</t>
  </si>
  <si>
    <t>ERWD-energyintensity.csv</t>
  </si>
  <si>
    <t>ERWD-potential.csv</t>
  </si>
  <si>
    <t>BPFUbIP</t>
  </si>
  <si>
    <t>BAU Perc Fuel Use by Industrial Process.xlsx</t>
  </si>
  <si>
    <t>BPFUbIP-electricity.csv</t>
  </si>
  <si>
    <t>BPFUbIP-thermal-fuels.csv</t>
  </si>
  <si>
    <t>IESE</t>
  </si>
  <si>
    <t>IESE Import Export Substitution Elasticities.xlsx</t>
  </si>
  <si>
    <t>IESE.csv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</si>
  <si>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</si>
  <si>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</si>
  <si>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</si>
  <si>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</si>
  <si>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</si>
  <si>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</si>
  <si>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</si>
  <si>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RoNEPtAPPpULA</t>
  </si>
  <si>
    <t>Ratio of Nutr Eqiv Plant to Anim Products Prd per Unit Land Area.xlsx</t>
  </si>
  <si>
    <t>RoNEPtAPPpULA.csv</t>
  </si>
  <si>
    <t>ACTR</t>
  </si>
  <si>
    <t>ACTR.csv</t>
  </si>
  <si>
    <t>Avg Corp Tax Rate.xlsx</t>
  </si>
  <si>
    <t>BDCSoCaESoPbIC</t>
  </si>
  <si>
    <t>BAU Dmst Cnt Shr of Cnsmptn and Exp Shr of Prdtn by ISIC Code.xlsx</t>
  </si>
  <si>
    <t>BESoP.csv</t>
  </si>
  <si>
    <t>BEaCP</t>
  </si>
  <si>
    <t>BAU Employment and Compensation Projections.xlsx</t>
  </si>
  <si>
    <t>BEaCP-employedpop.csv</t>
  </si>
  <si>
    <t>BEaCP-employeecomp.csv</t>
  </si>
  <si>
    <t>BPCiOaDCSbIC</t>
  </si>
  <si>
    <t>BAU Perc Cng in Output and Domestic Content Share by ISIC Code.xlsx</t>
  </si>
  <si>
    <t>BPCiDCSbIC.csv</t>
  </si>
  <si>
    <t>VoSTR</t>
  </si>
  <si>
    <t>VAT or Sales Tax Rate.xlsx</t>
  </si>
  <si>
    <t>VoSTR.csv</t>
  </si>
  <si>
    <t>FY</t>
  </si>
  <si>
    <t>FY Future Years.xlsx</t>
  </si>
  <si>
    <t>FY.csv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</si>
  <si>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</si>
  <si>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</si>
  <si>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</si>
  <si>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</si>
  <si>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</si>
  <si>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</si>
  <si>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AVOP</t>
  </si>
  <si>
    <t>Avg Veh Ownership Period.xlsx</t>
  </si>
  <si>
    <t>AVOP.csv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</si>
  <si>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</si>
  <si>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</si>
  <si>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</si>
  <si>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</si>
  <si>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</si>
  <si>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</si>
  <si>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</si>
  <si>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</si>
  <si>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</si>
  <si>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</si>
  <si>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</si>
  <si>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</si>
  <si>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</si>
  <si>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BRZSPbS</t>
  </si>
  <si>
    <t>BAU Required ZEV Sales Perc by Subregion.xlsx</t>
  </si>
  <si>
    <t>BRZSPbS-frgt-aircraft.csv</t>
  </si>
  <si>
    <t>BRZSPbS-frgt-hdv.csv</t>
  </si>
  <si>
    <t>BRZSPbS-frgt-ldv.csv</t>
  </si>
  <si>
    <t>BRZSPbS-frgt-mtrbk.csv</t>
  </si>
  <si>
    <t>BRZSPbS-frgt-rail.csv</t>
  </si>
  <si>
    <t>BRZSPbS-frgt-ships.csv</t>
  </si>
  <si>
    <t>BRZSPbS-psgr-aircraft.csv</t>
  </si>
  <si>
    <t>BRZSPbS-psgr-hdv.csv</t>
  </si>
  <si>
    <t>BRZSPbS-psgr-ldv.csv</t>
  </si>
  <si>
    <t>BRZSPbS-psgr-mtrbk.csv</t>
  </si>
  <si>
    <t>BRZSPbS-psgr-rail.csv</t>
  </si>
  <si>
    <t>BRZSPbS-psgr-ships.csv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</si>
  <si>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</si>
  <si>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</si>
  <si>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</si>
  <si>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</si>
  <si>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</si>
  <si>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</si>
  <si>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</si>
  <si>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</si>
  <si>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</si>
  <si>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</si>
  <si>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</si>
  <si>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</si>
  <si>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</si>
  <si>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</si>
  <si>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BVS-psgr-rail.csv</t>
  </si>
  <si>
    <t>BVS-psgr-ships.csv</t>
  </si>
  <si>
    <t>BVTQaZ</t>
  </si>
  <si>
    <t>BAU Veh Techs Qualifying as ZEVs.xlsx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</si>
  <si>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</si>
  <si>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</si>
  <si>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</si>
  <si>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</si>
  <si>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</si>
  <si>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</si>
  <si>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</si>
  <si>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</si>
  <si>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</si>
  <si>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</si>
  <si>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</si>
  <si>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</si>
  <si>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</si>
  <si>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</si>
  <si>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</si>
  <si>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</si>
  <si>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</si>
  <si>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</si>
  <si>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</si>
  <si>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</si>
  <si>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</si>
  <si>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</si>
  <si>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</si>
  <si>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</si>
  <si>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</si>
  <si>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</si>
  <si>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</si>
  <si>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</si>
  <si>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</si>
  <si>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</si>
  <si>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</si>
  <si>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</si>
  <si>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</si>
  <si>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RPEF</t>
  </si>
  <si>
    <t>Retail Price Equivalent Factor.xlsx</t>
  </si>
  <si>
    <t>RPEF.csv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</si>
  <si>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</si>
  <si>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</si>
  <si>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</si>
  <si>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</si>
  <si>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</si>
  <si>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</si>
  <si>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</si>
  <si>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</si>
  <si>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</si>
  <si>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</si>
  <si>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</si>
  <si>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</si>
  <si>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</si>
  <si>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</si>
  <si>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</si>
  <si>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</si>
  <si>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</si>
  <si>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</si>
  <si>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</si>
  <si>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</si>
  <si>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</si>
  <si>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</si>
  <si>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</si>
  <si>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</si>
  <si>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</si>
  <si>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</si>
  <si>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</si>
  <si>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</si>
  <si>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</si>
  <si>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</si>
  <si>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</si>
  <si>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</si>
  <si>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</si>
  <si>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</si>
  <si>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</si>
  <si>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</si>
  <si>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CID</t>
  </si>
  <si>
    <t>Check Input Data.xlsx</t>
  </si>
  <si>
    <t>MOU</t>
  </si>
  <si>
    <t>Mass Output Units.xlsx</t>
  </si>
  <si>
    <t>MOU-large.csv</t>
  </si>
  <si>
    <t>MOU-small.csv</t>
  </si>
  <si>
    <t>SYAADTbVT-freight.csv</t>
  </si>
  <si>
    <t>SYAADTbVT-passengers.csv</t>
  </si>
  <si>
    <t>BVS-psgr-motorbikes.CSV</t>
  </si>
  <si>
    <t>SYAVLo-freight.csv</t>
  </si>
  <si>
    <t>SYAVLo-passengers.csv</t>
  </si>
  <si>
    <t>BCF-BpMMTH.csv</t>
  </si>
  <si>
    <t>BS-BSpUEO.csv</t>
  </si>
  <si>
    <t>BS-DoSpUEO.csv</t>
  </si>
  <si>
    <t>EditScheduleTool.py</t>
  </si>
  <si>
    <t>FoPITY.xlsx</t>
  </si>
  <si>
    <t>PERAC-alum-inspctmaintretrofit.csv</t>
  </si>
  <si>
    <t>PERAC-chem-inspctmaintretrofit.csv</t>
  </si>
  <si>
    <t>PERAC-tillage.csv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</si>
</sst>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Alignment="1">
      <alignment vertical="center"/>
    </xf>
  </cellXfs>
  <cellStyles count="1">
    <cellStyle name="표준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er" refreshedDate="45726.402925347225" createdVersion="6" refreshedVersion="8" minRefreshableVersion="3" recordCount="120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8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l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BDEQ" u="1"/>
        <s v="DSCF" u="1"/>
        <s v="BFoCPAbS" u="1"/>
        <s v="GDPGR" u="1"/>
        <s v="ARpUIiRC" u="1"/>
        <s v="BDPbES" u="1"/>
        <s v="BDSBaPCF" u="1"/>
        <s v="BECF" u="1"/>
        <s v="BGCL" u="1"/>
        <s v="BHRbEF" u="1"/>
        <s v="BPaFF" u="1"/>
        <s v="BRPSPTY" u="1"/>
        <s v="BTC" u="1"/>
        <s v="EDLE" u="1"/>
        <s v="ELF" u="1"/>
        <s v="EoPPFTSwFP" u="1"/>
        <s v="EoTCCwTC" u="1"/>
        <s v="ETLE" u="1"/>
        <s v="ETS" u="1"/>
        <s v="FoTCAMRBtPF" u="1"/>
        <s v="FPC" u="1"/>
        <s v="FPCbS" u="1"/>
        <s v="FSCaFoCC" u="1"/>
        <s v="MOfEDS" u="1"/>
        <s v="PTCF" u="1"/>
        <s v="SoTCCbIC" u="1"/>
        <s v="SYC" u="1"/>
        <s v="TCAMRB" u="1"/>
        <s v="TCCpUCD" u="1"/>
        <s v="BCbVT" u="1"/>
        <s v="GBEtPR" u="1"/>
        <s v="CoNEPPpCAPS" u="1"/>
        <s v="BDCSoCbIC" u="1"/>
        <s v="BPCiObIC" u="1"/>
        <s v="BPEaCP" u="1"/>
        <s v="DToPaSoVAbIC" u="1"/>
        <s v="BBSoEVP" u="1"/>
        <s v="BESP" u="1"/>
        <s v="BMRESP" u="1"/>
        <s v="BNVP" u="1"/>
        <s v="BRAaCTSC" u="1"/>
        <s v="EoCSoEVMS" u="1"/>
        <s v="open" u="1"/>
        <s v="NSDoDC" u="1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DCSoCbIC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  <s v="SYBSoEVP" u="1"/>
      </sharedItems>
    </cacheField>
    <cacheField name="FileName" numFmtId="0">
      <sharedItems containsBlank="1" count="1581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PERAC-inspctmaintretrofit.csv" u="1"/>
        <s v="BS-BSpUEO-NewBlt.csv" u="1"/>
        <s v="BS-BSpUEO-PreNonRet.csv" u="1"/>
        <s v="BS-BSpUEO-PreRet.csv" u="1"/>
        <s v="CCaMC-AFOaMCpUC-new.csv" u="1"/>
        <s v="CCaMC-AFOaMCpUC-pre-nonret.csv" u="1"/>
        <s v="CCaMC-AFOaMCpUC-pre-ret.csv" u="1"/>
        <s v="CCaMC-VOaMCpUC-new.csv" u="1"/>
        <s v="CCaMC-VOaMCpUC-pre-nonret.csv" u="1"/>
        <s v="CCaMC-VOaMCpUC-pre-ret.csv" u="1"/>
        <s v="PAGBSC.csv" u="1"/>
        <s v="BBoSCpUC.csv" u="1"/>
        <s v="BCpUC.csv" u="1"/>
        <s v="CC-CCoEtSOToCpY.csv" u="1"/>
        <s v="CC-EUpTCS.csv" u="1"/>
        <s v="CC-TOMCpTS.csv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GDP Growth Rates.xlsx" u="1"/>
        <s v="GDPGR-alternate.csv" u="1"/>
        <s v="GDPGR-bau.csv" u="1"/>
        <s v="Ann Ret per Unit Inc in Relative Cost.xlsx" u="1"/>
        <s v="ARpUIiR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-new.csv" u="1"/>
        <s v="BECF-pre-nonret.csv" u="1"/>
        <s v="BECF-pre-ret.csv" u="1"/>
        <s v="BAU Generation Capacity Lifetime.xlsx" u="1"/>
        <s v="BGCL.csv" u="1"/>
        <s v="BAU Heat Rate by Electricity Fuel.xlsx" u="1"/>
        <s v="BHRbEF.csv" u="1"/>
        <s v="Boolean Peaking and Flexibility Flags.xlsx" u="1"/>
        <s v="BPaFF-BDTPTPF.csv" u="1"/>
        <s v="BPaFF-BITPTaP.csv" u="1"/>
        <s v="BAU RPS Percentage This Year.xlsx" u="1"/>
        <s v="BRPSPTY.csv" u="1"/>
        <s v="BAU Transmission Capacity.xlsx" u="1"/>
        <s v="BTC.csv" u="1"/>
        <s v="EDLE.csv" u="1"/>
        <s v="Electricity Dispatch Logit Exponent.xlsx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asticity of TCC wrt Transmission Capacity.xlsx" u="1"/>
        <s v="EoTCCwTC.csv" u="1"/>
        <s v="Electricity Technology Logit Exponent.xlsx" u="1"/>
        <s v="ETLE.csv" u="1"/>
        <s v="Electricity Technology Shareweights.xlsx" u="1"/>
        <s v="ETS.csv" u="1"/>
        <s v="FoTCAMRBtPF.csv" u="1"/>
        <s v="Frac of TCAMRB that Provides Flexibility.xlsx" u="1"/>
        <s v="Flexibility Point Calculations.xlsx" u="1"/>
        <s v="FPC-BTCC.csv" u="1"/>
        <s v="FPC-CFOC.csv" u="1"/>
        <s v="FPC-CSOC.csv" u="1"/>
        <s v="FPC-CTOC.csv" u="1"/>
        <s v="FPC-CZOC.csv" u="1"/>
        <s v="FPC-FPPpEV.csv" u="1"/>
        <s v="FPC-FPPpUBS.csv" u="1"/>
        <s v="FPC-FPPpUDRC.csv" u="1"/>
        <s v="FPC-FPPpUPC.csv" u="1"/>
        <s v="FPC-FPPpUPH.csv" u="1"/>
        <s v="FPC-FPPpUTCAMRB.csv" u="1"/>
        <s v="FPC-TMFoFPU.csv" u="1"/>
        <s v="Flexibility Points Consumed by Source.xlsx" u="1"/>
        <s v="FPCbS.csv" u="1"/>
        <s v="FSCaFoCC.csv" u="1"/>
        <s v="Fuel Shifting Cost as Frac of Const Cost.xlsx" u="1"/>
        <s v="Manual Override for Elec Dispatch Shareweights.xlsx" u="1"/>
        <s v="MOfEDS-newly-built.csv" u="1"/>
        <s v="MOfEDS-preexisting-nonretiring.csv" u="1"/>
        <s v="MOfEDS-preexisting-retiring.csv" u="1"/>
        <s v="Peak Time Capacity Factors.xlsx" u="1"/>
        <s v="PTCF.csv" u="1"/>
        <s v="Share of Transmission Capital Costs by ISIC Code.xlsx" u="1"/>
        <s v="SoTCCbIC.csv" u="1"/>
        <s v="Start Year Capacities.xlsx" u="1"/>
        <s v="SYC-FoPtPFP.csv" u="1"/>
        <s v="SYC-SYEGC.csv" u="1"/>
        <s v="TCAMRB.csv" u="1"/>
        <s v="Trans Cap Across Modeled Region Border.xlsx" u="1"/>
        <s v="TCCpUCD.csv" u="1"/>
        <s v="Trans Const Cost per Unit Cap Dist.xlsx" u="1"/>
        <s v="Battery Cap by Veh Type.xlsx" u="1"/>
        <s v="BCbVT-freight.csv" u="1"/>
        <s v="BCbVT-passenger.csv" u="1"/>
        <s v="GBEtPR.csv" u="1"/>
        <s v="Grid Battery Energy to Power Ratio.xlsx" u="1"/>
        <s v="Cal of Nutritionally Equiv Plant Products per Cal Animal Prd Shifted.xlsx" u="1"/>
        <s v="CoNEPPpCAPS.csv" u="1"/>
        <s v="BAU Domestic Content Share of Consumption by ISIC Code.xlsx" u="1"/>
        <s v="BAU Perc Cng in Output by ISIC Code.xlsx" u="1"/>
        <s v="BAU Pop Employment and Compensation Projections.xlsx" u="1"/>
        <s v="BPEaCP-employedpop.csv" u="1"/>
        <s v="BPEaCP-employeecomp.csv" u="1"/>
        <s v="BPEaCP-population.csv" u="1"/>
        <s v="Domestic Taxes on Prod as Shr of Val Added by ISIC Code.xlsx" u="1"/>
        <s v="DToPaSoVAbIC.csv" u="1"/>
        <s v="BBSoEVP BAU Battery Share of Electric Vehicle Price.xlsx" u="1"/>
        <s v="BBSoEVP-freight.csv" u="1"/>
        <s v="BBSoEVP-passenger.csv" u="1"/>
        <s v="BAU EV Subsidy Perc.xlsx" u="1"/>
        <s v="BESP-freight.csv" u="1"/>
        <s v="BESP-passengers.csv" u="1"/>
        <s v="BAU Min Req EV Sales Perc.xlsx" u="1"/>
        <s v="BMRESP-freight.csv" u="1"/>
        <s v="BMRESP-passenger.csv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BAU Rng Anxiety and Charge Time Shadow Costs.xlsx" u="1"/>
        <s v="BRAaCTSC.csv" u="1"/>
        <s v="Effect of Charging Stations on EV Market Share.xlsx" u="1"/>
        <s v="EoCSoEVMS.csv" u="1"/>
        <s v="cluster_network.py" u="1"/>
        <s v="components.csv" u="1"/>
        <s v="components.py" u="1"/>
        <s v="descriptors.py" u="1"/>
        <s v="geo.py" u="1"/>
        <s v="graph.py" u="1"/>
        <s v="io.py" u="1"/>
        <s v="opf.py" u="1"/>
        <s v="opt.py" u="1"/>
        <s v="pf.py" u="1"/>
        <s v="plot.py" u="1"/>
        <s v="statistics.py" u="1"/>
        <s v="_helpers.py" u="1"/>
        <s v="__init__.py" u="1"/>
        <s v="clustering" u="1"/>
        <s v="component_attrs" u="1"/>
        <s v="module" u="1"/>
        <s v="standard_types" u="1"/>
        <s v="__pycache__" u="1"/>
        <s v="_2023_EnergyOutlook.pdf" u="1"/>
        <s v="[연구보고서]기후위기에_역행하는_국내_화석연료_보조금의_실체_GESI.pdf" u="1"/>
        <s v="BFoCPAbS-industry.csv" u="1"/>
        <s v="Normalized Standard Deviation of Dispatch Costs.xlsx" u="1"/>
        <s v="NSDoDC.csv" u="1"/>
        <s v="Frac of Pol Impl This Yr - 1 - Default.xlsx" u="1"/>
        <s v="Frac of Pol Impl This Yr - 2 - NDC.xlsx" u="1"/>
        <s v="Frac of Pol Impl This Yr - 3 - Example Scenario.xlsx" u="1"/>
        <s v="BBSoEVP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9"/>
    <x v="125"/>
  </r>
  <r>
    <x v="7"/>
    <x v="29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3"/>
    <x v="135"/>
  </r>
  <r>
    <x v="7"/>
    <x v="33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8"/>
    <x v="149"/>
  </r>
  <r>
    <x v="8"/>
    <x v="38"/>
    <x v="150"/>
  </r>
  <r>
    <x v="8"/>
    <x v="38"/>
    <x v="151"/>
  </r>
  <r>
    <x v="8"/>
    <x v="38"/>
    <x v="152"/>
  </r>
  <r>
    <x v="8"/>
    <x v="38"/>
    <x v="153"/>
  </r>
  <r>
    <x v="8"/>
    <x v="38"/>
    <x v="154"/>
  </r>
  <r>
    <x v="8"/>
    <x v="38"/>
    <x v="155"/>
  </r>
  <r>
    <x v="8"/>
    <x v="38"/>
    <x v="156"/>
  </r>
  <r>
    <x v="8"/>
    <x v="38"/>
    <x v="157"/>
  </r>
  <r>
    <x v="8"/>
    <x v="38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8"/>
    <x v="42"/>
    <x v="167"/>
  </r>
  <r>
    <x v="8"/>
    <x v="42"/>
    <x v="168"/>
  </r>
  <r>
    <x v="9"/>
    <x v="43"/>
    <x v="169"/>
  </r>
  <r>
    <x v="9"/>
    <x v="43"/>
    <x v="170"/>
  </r>
  <r>
    <x v="9"/>
    <x v="44"/>
    <x v="171"/>
  </r>
  <r>
    <x v="9"/>
    <x v="44"/>
    <x v="172"/>
  </r>
  <r>
    <x v="10"/>
    <x v="45"/>
    <x v="173"/>
  </r>
  <r>
    <x v="10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59"/>
    <x v="204"/>
  </r>
  <r>
    <x v="11"/>
    <x v="59"/>
    <x v="205"/>
  </r>
  <r>
    <x v="11"/>
    <x v="59"/>
    <x v="206"/>
  </r>
  <r>
    <x v="11"/>
    <x v="59"/>
    <x v="207"/>
  </r>
  <r>
    <x v="11"/>
    <x v="59"/>
    <x v="208"/>
  </r>
  <r>
    <x v="11"/>
    <x v="59"/>
    <x v="209"/>
  </r>
  <r>
    <x v="11"/>
    <x v="59"/>
    <x v="210"/>
  </r>
  <r>
    <x v="11"/>
    <x v="59"/>
    <x v="211"/>
  </r>
  <r>
    <x v="11"/>
    <x v="59"/>
    <x v="212"/>
  </r>
  <r>
    <x v="11"/>
    <x v="59"/>
    <x v="213"/>
  </r>
  <r>
    <x v="12"/>
    <x v="60"/>
    <x v="214"/>
  </r>
  <r>
    <x v="12"/>
    <x v="60"/>
    <x v="215"/>
  </r>
  <r>
    <x v="12"/>
    <x v="61"/>
    <x v="216"/>
  </r>
  <r>
    <x v="12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3"/>
    <x v="65"/>
    <x v="224"/>
  </r>
  <r>
    <x v="13"/>
    <x v="65"/>
    <x v="225"/>
  </r>
  <r>
    <x v="13"/>
    <x v="66"/>
    <x v="226"/>
  </r>
  <r>
    <x v="13"/>
    <x v="66"/>
    <x v="227"/>
  </r>
  <r>
    <x v="13"/>
    <x v="67"/>
    <x v="228"/>
  </r>
  <r>
    <x v="13"/>
    <x v="67"/>
    <x v="229"/>
  </r>
  <r>
    <x v="13"/>
    <x v="67"/>
    <x v="230"/>
  </r>
  <r>
    <x v="13"/>
    <x v="68"/>
    <x v="231"/>
  </r>
  <r>
    <x v="13"/>
    <x v="68"/>
    <x v="232"/>
  </r>
  <r>
    <x v="13"/>
    <x v="68"/>
    <x v="233"/>
  </r>
  <r>
    <x v="13"/>
    <x v="68"/>
    <x v="234"/>
  </r>
  <r>
    <x v="13"/>
    <x v="69"/>
    <x v="235"/>
  </r>
  <r>
    <x v="13"/>
    <x v="69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8"/>
    <x v="255"/>
  </r>
  <r>
    <x v="13"/>
    <x v="78"/>
    <x v="256"/>
  </r>
  <r>
    <x v="13"/>
    <x v="79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1"/>
    <x v="262"/>
  </r>
  <r>
    <x v="13"/>
    <x v="81"/>
    <x v="263"/>
  </r>
  <r>
    <x v="13"/>
    <x v="82"/>
    <x v="264"/>
  </r>
  <r>
    <x v="13"/>
    <x v="82"/>
    <x v="265"/>
  </r>
  <r>
    <x v="13"/>
    <x v="83"/>
    <x v="266"/>
  </r>
  <r>
    <x v="13"/>
    <x v="83"/>
    <x v="267"/>
  </r>
  <r>
    <x v="13"/>
    <x v="83"/>
    <x v="268"/>
  </r>
  <r>
    <x v="13"/>
    <x v="83"/>
    <x v="269"/>
  </r>
  <r>
    <x v="13"/>
    <x v="83"/>
    <x v="270"/>
  </r>
  <r>
    <x v="13"/>
    <x v="83"/>
    <x v="271"/>
  </r>
  <r>
    <x v="13"/>
    <x v="83"/>
    <x v="272"/>
  </r>
  <r>
    <x v="13"/>
    <x v="83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7"/>
    <x v="280"/>
  </r>
  <r>
    <x v="13"/>
    <x v="87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1"/>
    <x v="290"/>
  </r>
  <r>
    <x v="13"/>
    <x v="91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3"/>
    <x v="297"/>
  </r>
  <r>
    <x v="13"/>
    <x v="93"/>
    <x v="298"/>
  </r>
  <r>
    <x v="13"/>
    <x v="93"/>
    <x v="299"/>
  </r>
  <r>
    <x v="13"/>
    <x v="94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8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100"/>
    <x v="318"/>
  </r>
  <r>
    <x v="13"/>
    <x v="100"/>
    <x v="319"/>
  </r>
  <r>
    <x v="13"/>
    <x v="101"/>
    <x v="320"/>
  </r>
  <r>
    <x v="13"/>
    <x v="101"/>
    <x v="321"/>
  </r>
  <r>
    <x v="13"/>
    <x v="102"/>
    <x v="322"/>
  </r>
  <r>
    <x v="13"/>
    <x v="102"/>
    <x v="323"/>
  </r>
  <r>
    <x v="13"/>
    <x v="103"/>
    <x v="324"/>
  </r>
  <r>
    <x v="13"/>
    <x v="103"/>
    <x v="325"/>
  </r>
  <r>
    <x v="13"/>
    <x v="104"/>
    <x v="326"/>
  </r>
  <r>
    <x v="13"/>
    <x v="104"/>
    <x v="327"/>
  </r>
  <r>
    <x v="13"/>
    <x v="105"/>
    <x v="328"/>
  </r>
  <r>
    <x v="13"/>
    <x v="105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3"/>
    <x v="347"/>
  </r>
  <r>
    <x v="13"/>
    <x v="114"/>
    <x v="348"/>
  </r>
  <r>
    <x v="13"/>
    <x v="114"/>
    <x v="349"/>
  </r>
  <r>
    <x v="13"/>
    <x v="114"/>
    <x v="350"/>
  </r>
  <r>
    <x v="13"/>
    <x v="114"/>
    <x v="351"/>
  </r>
  <r>
    <x v="13"/>
    <x v="115"/>
    <x v="352"/>
  </r>
  <r>
    <x v="13"/>
    <x v="115"/>
    <x v="353"/>
  </r>
  <r>
    <x v="13"/>
    <x v="116"/>
    <x v="354"/>
  </r>
  <r>
    <x v="13"/>
    <x v="116"/>
    <x v="355"/>
  </r>
  <r>
    <x v="13"/>
    <x v="117"/>
    <x v="356"/>
  </r>
  <r>
    <x v="13"/>
    <x v="117"/>
    <x v="357"/>
  </r>
  <r>
    <x v="13"/>
    <x v="117"/>
    <x v="358"/>
  </r>
  <r>
    <x v="13"/>
    <x v="118"/>
    <x v="359"/>
  </r>
  <r>
    <x v="13"/>
    <x v="118"/>
    <x v="360"/>
  </r>
  <r>
    <x v="13"/>
    <x v="118"/>
    <x v="361"/>
  </r>
  <r>
    <x v="13"/>
    <x v="118"/>
    <x v="362"/>
  </r>
  <r>
    <x v="13"/>
    <x v="119"/>
    <x v="363"/>
  </r>
  <r>
    <x v="13"/>
    <x v="119"/>
    <x v="364"/>
  </r>
  <r>
    <x v="13"/>
    <x v="119"/>
    <x v="365"/>
  </r>
  <r>
    <x v="13"/>
    <x v="119"/>
    <x v="366"/>
  </r>
  <r>
    <x v="13"/>
    <x v="119"/>
    <x v="367"/>
  </r>
  <r>
    <x v="13"/>
    <x v="119"/>
    <x v="368"/>
  </r>
  <r>
    <x v="13"/>
    <x v="119"/>
    <x v="369"/>
  </r>
  <r>
    <x v="13"/>
    <x v="119"/>
    <x v="370"/>
  </r>
  <r>
    <x v="13"/>
    <x v="119"/>
    <x v="371"/>
  </r>
  <r>
    <x v="13"/>
    <x v="119"/>
    <x v="372"/>
  </r>
  <r>
    <x v="13"/>
    <x v="119"/>
    <x v="373"/>
  </r>
  <r>
    <x v="13"/>
    <x v="119"/>
    <x v="374"/>
  </r>
  <r>
    <x v="13"/>
    <x v="119"/>
    <x v="375"/>
  </r>
  <r>
    <x v="13"/>
    <x v="119"/>
    <x v="376"/>
  </r>
  <r>
    <x v="13"/>
    <x v="119"/>
    <x v="377"/>
  </r>
  <r>
    <x v="13"/>
    <x v="119"/>
    <x v="378"/>
  </r>
  <r>
    <x v="13"/>
    <x v="119"/>
    <x v="379"/>
  </r>
  <r>
    <x v="13"/>
    <x v="119"/>
    <x v="380"/>
  </r>
  <r>
    <x v="13"/>
    <x v="119"/>
    <x v="381"/>
  </r>
  <r>
    <x v="13"/>
    <x v="119"/>
    <x v="382"/>
  </r>
  <r>
    <x v="13"/>
    <x v="119"/>
    <x v="383"/>
  </r>
  <r>
    <x v="13"/>
    <x v="119"/>
    <x v="384"/>
  </r>
  <r>
    <x v="13"/>
    <x v="119"/>
    <x v="385"/>
  </r>
  <r>
    <x v="13"/>
    <x v="120"/>
    <x v="386"/>
  </r>
  <r>
    <x v="13"/>
    <x v="120"/>
    <x v="387"/>
  </r>
  <r>
    <x v="13"/>
    <x v="121"/>
    <x v="388"/>
  </r>
  <r>
    <x v="13"/>
    <x v="121"/>
    <x v="389"/>
  </r>
  <r>
    <x v="13"/>
    <x v="121"/>
    <x v="390"/>
  </r>
  <r>
    <x v="13"/>
    <x v="121"/>
    <x v="391"/>
  </r>
  <r>
    <x v="13"/>
    <x v="122"/>
    <x v="392"/>
  </r>
  <r>
    <x v="13"/>
    <x v="122"/>
    <x v="393"/>
  </r>
  <r>
    <x v="13"/>
    <x v="123"/>
    <x v="394"/>
  </r>
  <r>
    <x v="13"/>
    <x v="123"/>
    <x v="395"/>
  </r>
  <r>
    <x v="13"/>
    <x v="124"/>
    <x v="396"/>
  </r>
  <r>
    <x v="13"/>
    <x v="124"/>
    <x v="397"/>
  </r>
  <r>
    <x v="13"/>
    <x v="125"/>
    <x v="398"/>
  </r>
  <r>
    <x v="13"/>
    <x v="125"/>
    <x v="399"/>
  </r>
  <r>
    <x v="13"/>
    <x v="126"/>
    <x v="400"/>
  </r>
  <r>
    <x v="13"/>
    <x v="126"/>
    <x v="401"/>
  </r>
  <r>
    <x v="13"/>
    <x v="127"/>
    <x v="402"/>
  </r>
  <r>
    <x v="13"/>
    <x v="127"/>
    <x v="403"/>
  </r>
  <r>
    <x v="13"/>
    <x v="127"/>
    <x v="404"/>
  </r>
  <r>
    <x v="13"/>
    <x v="127"/>
    <x v="405"/>
  </r>
  <r>
    <x v="13"/>
    <x v="127"/>
    <x v="406"/>
  </r>
  <r>
    <x v="13"/>
    <x v="127"/>
    <x v="407"/>
  </r>
  <r>
    <x v="13"/>
    <x v="127"/>
    <x v="408"/>
  </r>
  <r>
    <x v="13"/>
    <x v="127"/>
    <x v="409"/>
  </r>
  <r>
    <x v="13"/>
    <x v="127"/>
    <x v="410"/>
  </r>
  <r>
    <x v="13"/>
    <x v="127"/>
    <x v="411"/>
  </r>
  <r>
    <x v="13"/>
    <x v="127"/>
    <x v="412"/>
  </r>
  <r>
    <x v="13"/>
    <x v="127"/>
    <x v="413"/>
  </r>
  <r>
    <x v="13"/>
    <x v="127"/>
    <x v="414"/>
  </r>
  <r>
    <x v="13"/>
    <x v="127"/>
    <x v="415"/>
  </r>
  <r>
    <x v="13"/>
    <x v="127"/>
    <x v="416"/>
  </r>
  <r>
    <x v="13"/>
    <x v="127"/>
    <x v="417"/>
  </r>
  <r>
    <x v="13"/>
    <x v="127"/>
    <x v="418"/>
  </r>
  <r>
    <x v="13"/>
    <x v="127"/>
    <x v="419"/>
  </r>
  <r>
    <x v="13"/>
    <x v="127"/>
    <x v="420"/>
  </r>
  <r>
    <x v="13"/>
    <x v="127"/>
    <x v="421"/>
  </r>
  <r>
    <x v="13"/>
    <x v="127"/>
    <x v="422"/>
  </r>
  <r>
    <x v="13"/>
    <x v="127"/>
    <x v="423"/>
  </r>
  <r>
    <x v="13"/>
    <x v="127"/>
    <x v="424"/>
  </r>
  <r>
    <x v="13"/>
    <x v="127"/>
    <x v="425"/>
  </r>
  <r>
    <x v="13"/>
    <x v="127"/>
    <x v="426"/>
  </r>
  <r>
    <x v="13"/>
    <x v="127"/>
    <x v="427"/>
  </r>
  <r>
    <x v="13"/>
    <x v="127"/>
    <x v="428"/>
  </r>
  <r>
    <x v="13"/>
    <x v="128"/>
    <x v="429"/>
  </r>
  <r>
    <x v="13"/>
    <x v="128"/>
    <x v="430"/>
  </r>
  <r>
    <x v="13"/>
    <x v="128"/>
    <x v="431"/>
  </r>
  <r>
    <x v="13"/>
    <x v="128"/>
    <x v="432"/>
  </r>
  <r>
    <x v="13"/>
    <x v="128"/>
    <x v="433"/>
  </r>
  <r>
    <x v="13"/>
    <x v="129"/>
    <x v="434"/>
  </r>
  <r>
    <x v="13"/>
    <x v="129"/>
    <x v="435"/>
  </r>
  <r>
    <x v="13"/>
    <x v="130"/>
    <x v="436"/>
  </r>
  <r>
    <x v="13"/>
    <x v="130"/>
    <x v="437"/>
  </r>
  <r>
    <x v="13"/>
    <x v="130"/>
    <x v="438"/>
  </r>
  <r>
    <x v="14"/>
    <x v="131"/>
    <x v="439"/>
  </r>
  <r>
    <x v="14"/>
    <x v="131"/>
    <x v="440"/>
  </r>
  <r>
    <x v="14"/>
    <x v="131"/>
    <x v="441"/>
  </r>
  <r>
    <x v="14"/>
    <x v="132"/>
    <x v="442"/>
  </r>
  <r>
    <x v="14"/>
    <x v="132"/>
    <x v="443"/>
  </r>
  <r>
    <x v="14"/>
    <x v="132"/>
    <x v="315"/>
  </r>
  <r>
    <x v="14"/>
    <x v="133"/>
    <x v="444"/>
  </r>
  <r>
    <x v="14"/>
    <x v="133"/>
    <x v="445"/>
  </r>
  <r>
    <x v="14"/>
    <x v="133"/>
    <x v="446"/>
  </r>
  <r>
    <x v="14"/>
    <x v="134"/>
    <x v="447"/>
  </r>
  <r>
    <x v="14"/>
    <x v="134"/>
    <x v="448"/>
  </r>
  <r>
    <x v="14"/>
    <x v="135"/>
    <x v="449"/>
  </r>
  <r>
    <x v="14"/>
    <x v="135"/>
    <x v="450"/>
  </r>
  <r>
    <x v="14"/>
    <x v="136"/>
    <x v="451"/>
  </r>
  <r>
    <x v="14"/>
    <x v="136"/>
    <x v="452"/>
  </r>
  <r>
    <x v="14"/>
    <x v="137"/>
    <x v="453"/>
  </r>
  <r>
    <x v="14"/>
    <x v="137"/>
    <x v="454"/>
  </r>
  <r>
    <x v="15"/>
    <x v="138"/>
    <x v="455"/>
  </r>
  <r>
    <x v="15"/>
    <x v="138"/>
    <x v="456"/>
  </r>
  <r>
    <x v="15"/>
    <x v="139"/>
    <x v="457"/>
  </r>
  <r>
    <x v="15"/>
    <x v="139"/>
    <x v="458"/>
  </r>
  <r>
    <x v="15"/>
    <x v="140"/>
    <x v="459"/>
  </r>
  <r>
    <x v="15"/>
    <x v="140"/>
    <x v="460"/>
  </r>
  <r>
    <x v="15"/>
    <x v="141"/>
    <x v="461"/>
  </r>
  <r>
    <x v="15"/>
    <x v="141"/>
    <x v="462"/>
  </r>
  <r>
    <x v="15"/>
    <x v="142"/>
    <x v="463"/>
  </r>
  <r>
    <x v="15"/>
    <x v="142"/>
    <x v="464"/>
  </r>
  <r>
    <x v="15"/>
    <x v="142"/>
    <x v="465"/>
  </r>
  <r>
    <x v="15"/>
    <x v="142"/>
    <x v="466"/>
  </r>
  <r>
    <x v="15"/>
    <x v="142"/>
    <x v="467"/>
  </r>
  <r>
    <x v="15"/>
    <x v="142"/>
    <x v="468"/>
  </r>
  <r>
    <x v="15"/>
    <x v="142"/>
    <x v="469"/>
  </r>
  <r>
    <x v="15"/>
    <x v="142"/>
    <x v="470"/>
  </r>
  <r>
    <x v="15"/>
    <x v="142"/>
    <x v="471"/>
  </r>
  <r>
    <x v="15"/>
    <x v="142"/>
    <x v="472"/>
  </r>
  <r>
    <x v="15"/>
    <x v="142"/>
    <x v="473"/>
  </r>
  <r>
    <x v="15"/>
    <x v="142"/>
    <x v="474"/>
  </r>
  <r>
    <x v="15"/>
    <x v="142"/>
    <x v="475"/>
  </r>
  <r>
    <x v="15"/>
    <x v="142"/>
    <x v="476"/>
  </r>
  <r>
    <x v="15"/>
    <x v="142"/>
    <x v="477"/>
  </r>
  <r>
    <x v="15"/>
    <x v="142"/>
    <x v="478"/>
  </r>
  <r>
    <x v="15"/>
    <x v="142"/>
    <x v="479"/>
  </r>
  <r>
    <x v="15"/>
    <x v="142"/>
    <x v="480"/>
  </r>
  <r>
    <x v="15"/>
    <x v="142"/>
    <x v="481"/>
  </r>
  <r>
    <x v="15"/>
    <x v="142"/>
    <x v="482"/>
  </r>
  <r>
    <x v="15"/>
    <x v="142"/>
    <x v="483"/>
  </r>
  <r>
    <x v="15"/>
    <x v="142"/>
    <x v="484"/>
  </r>
  <r>
    <x v="15"/>
    <x v="142"/>
    <x v="485"/>
  </r>
  <r>
    <x v="15"/>
    <x v="142"/>
    <x v="486"/>
  </r>
  <r>
    <x v="15"/>
    <x v="142"/>
    <x v="487"/>
  </r>
  <r>
    <x v="15"/>
    <x v="142"/>
    <x v="488"/>
  </r>
  <r>
    <x v="15"/>
    <x v="142"/>
    <x v="489"/>
  </r>
  <r>
    <x v="15"/>
    <x v="142"/>
    <x v="490"/>
  </r>
  <r>
    <x v="15"/>
    <x v="142"/>
    <x v="491"/>
  </r>
  <r>
    <x v="15"/>
    <x v="142"/>
    <x v="492"/>
  </r>
  <r>
    <x v="15"/>
    <x v="142"/>
    <x v="493"/>
  </r>
  <r>
    <x v="15"/>
    <x v="142"/>
    <x v="494"/>
  </r>
  <r>
    <x v="15"/>
    <x v="142"/>
    <x v="495"/>
  </r>
  <r>
    <x v="15"/>
    <x v="142"/>
    <x v="496"/>
  </r>
  <r>
    <x v="15"/>
    <x v="142"/>
    <x v="497"/>
  </r>
  <r>
    <x v="15"/>
    <x v="142"/>
    <x v="498"/>
  </r>
  <r>
    <x v="15"/>
    <x v="142"/>
    <x v="499"/>
  </r>
  <r>
    <x v="15"/>
    <x v="142"/>
    <x v="500"/>
  </r>
  <r>
    <x v="15"/>
    <x v="142"/>
    <x v="501"/>
  </r>
  <r>
    <x v="15"/>
    <x v="142"/>
    <x v="502"/>
  </r>
  <r>
    <x v="15"/>
    <x v="142"/>
    <x v="503"/>
  </r>
  <r>
    <x v="15"/>
    <x v="142"/>
    <x v="504"/>
  </r>
  <r>
    <x v="15"/>
    <x v="142"/>
    <x v="505"/>
  </r>
  <r>
    <x v="15"/>
    <x v="143"/>
    <x v="506"/>
  </r>
  <r>
    <x v="15"/>
    <x v="143"/>
    <x v="507"/>
  </r>
  <r>
    <x v="15"/>
    <x v="143"/>
    <x v="508"/>
  </r>
  <r>
    <x v="15"/>
    <x v="143"/>
    <x v="509"/>
  </r>
  <r>
    <x v="15"/>
    <x v="144"/>
    <x v="510"/>
  </r>
  <r>
    <x v="15"/>
    <x v="144"/>
    <x v="511"/>
  </r>
  <r>
    <x v="15"/>
    <x v="144"/>
    <x v="512"/>
  </r>
  <r>
    <x v="15"/>
    <x v="144"/>
    <x v="513"/>
  </r>
  <r>
    <x v="15"/>
    <x v="144"/>
    <x v="514"/>
  </r>
  <r>
    <x v="15"/>
    <x v="145"/>
    <x v="515"/>
  </r>
  <r>
    <x v="15"/>
    <x v="145"/>
    <x v="516"/>
  </r>
  <r>
    <x v="15"/>
    <x v="146"/>
    <x v="517"/>
  </r>
  <r>
    <x v="15"/>
    <x v="146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9"/>
    <x v="523"/>
  </r>
  <r>
    <x v="15"/>
    <x v="149"/>
    <x v="524"/>
  </r>
  <r>
    <x v="15"/>
    <x v="150"/>
    <x v="525"/>
  </r>
  <r>
    <x v="15"/>
    <x v="150"/>
    <x v="526"/>
  </r>
  <r>
    <x v="15"/>
    <x v="151"/>
    <x v="527"/>
  </r>
  <r>
    <x v="15"/>
    <x v="151"/>
    <x v="528"/>
  </r>
  <r>
    <x v="15"/>
    <x v="152"/>
    <x v="529"/>
  </r>
  <r>
    <x v="15"/>
    <x v="152"/>
    <x v="530"/>
  </r>
  <r>
    <x v="15"/>
    <x v="153"/>
    <x v="531"/>
  </r>
  <r>
    <x v="15"/>
    <x v="153"/>
    <x v="532"/>
  </r>
  <r>
    <x v="15"/>
    <x v="154"/>
    <x v="533"/>
  </r>
  <r>
    <x v="15"/>
    <x v="154"/>
    <x v="534"/>
  </r>
  <r>
    <x v="15"/>
    <x v="155"/>
    <x v="535"/>
  </r>
  <r>
    <x v="15"/>
    <x v="155"/>
    <x v="536"/>
  </r>
  <r>
    <x v="15"/>
    <x v="156"/>
    <x v="537"/>
  </r>
  <r>
    <x v="15"/>
    <x v="156"/>
    <x v="538"/>
  </r>
  <r>
    <x v="15"/>
    <x v="157"/>
    <x v="539"/>
  </r>
  <r>
    <x v="15"/>
    <x v="157"/>
    <x v="540"/>
  </r>
  <r>
    <x v="15"/>
    <x v="157"/>
    <x v="541"/>
  </r>
  <r>
    <x v="15"/>
    <x v="157"/>
    <x v="542"/>
  </r>
  <r>
    <x v="15"/>
    <x v="157"/>
    <x v="543"/>
  </r>
  <r>
    <x v="15"/>
    <x v="157"/>
    <x v="544"/>
  </r>
  <r>
    <x v="15"/>
    <x v="157"/>
    <x v="545"/>
  </r>
  <r>
    <x v="15"/>
    <x v="157"/>
    <x v="546"/>
  </r>
  <r>
    <x v="15"/>
    <x v="157"/>
    <x v="547"/>
  </r>
  <r>
    <x v="15"/>
    <x v="157"/>
    <x v="548"/>
  </r>
  <r>
    <x v="15"/>
    <x v="158"/>
    <x v="549"/>
  </r>
  <r>
    <x v="15"/>
    <x v="158"/>
    <x v="550"/>
  </r>
  <r>
    <x v="15"/>
    <x v="158"/>
    <x v="551"/>
  </r>
  <r>
    <x v="15"/>
    <x v="158"/>
    <x v="552"/>
  </r>
  <r>
    <x v="15"/>
    <x v="158"/>
    <x v="553"/>
  </r>
  <r>
    <x v="15"/>
    <x v="158"/>
    <x v="554"/>
  </r>
  <r>
    <x v="15"/>
    <x v="158"/>
    <x v="555"/>
  </r>
  <r>
    <x v="15"/>
    <x v="158"/>
    <x v="556"/>
  </r>
  <r>
    <x v="15"/>
    <x v="158"/>
    <x v="557"/>
  </r>
  <r>
    <x v="15"/>
    <x v="158"/>
    <x v="558"/>
  </r>
  <r>
    <x v="15"/>
    <x v="159"/>
    <x v="559"/>
  </r>
  <r>
    <x v="15"/>
    <x v="159"/>
    <x v="560"/>
  </r>
  <r>
    <x v="15"/>
    <x v="160"/>
    <x v="561"/>
  </r>
  <r>
    <x v="15"/>
    <x v="160"/>
    <x v="562"/>
  </r>
  <r>
    <x v="16"/>
    <x v="161"/>
    <x v="563"/>
  </r>
  <r>
    <x v="16"/>
    <x v="161"/>
    <x v="564"/>
  </r>
  <r>
    <x v="16"/>
    <x v="161"/>
    <x v="565"/>
  </r>
  <r>
    <x v="16"/>
    <x v="161"/>
    <x v="566"/>
  </r>
  <r>
    <x v="16"/>
    <x v="162"/>
    <x v="567"/>
  </r>
  <r>
    <x v="16"/>
    <x v="162"/>
    <x v="568"/>
  </r>
  <r>
    <x v="16"/>
    <x v="162"/>
    <x v="569"/>
  </r>
  <r>
    <x v="16"/>
    <x v="162"/>
    <x v="570"/>
  </r>
  <r>
    <x v="17"/>
    <x v="163"/>
    <x v="571"/>
  </r>
  <r>
    <x v="17"/>
    <x v="163"/>
    <x v="572"/>
  </r>
  <r>
    <x v="17"/>
    <x v="164"/>
    <x v="573"/>
  </r>
  <r>
    <x v="17"/>
    <x v="164"/>
    <x v="574"/>
  </r>
  <r>
    <x v="17"/>
    <x v="165"/>
    <x v="575"/>
  </r>
  <r>
    <x v="17"/>
    <x v="165"/>
    <x v="576"/>
  </r>
  <r>
    <x v="17"/>
    <x v="166"/>
    <x v="577"/>
  </r>
  <r>
    <x v="17"/>
    <x v="166"/>
    <x v="578"/>
  </r>
  <r>
    <x v="17"/>
    <x v="166"/>
    <x v="579"/>
  </r>
  <r>
    <x v="17"/>
    <x v="167"/>
    <x v="580"/>
  </r>
  <r>
    <x v="17"/>
    <x v="167"/>
    <x v="581"/>
  </r>
  <r>
    <x v="17"/>
    <x v="168"/>
    <x v="582"/>
  </r>
  <r>
    <x v="17"/>
    <x v="168"/>
    <x v="583"/>
  </r>
  <r>
    <x v="17"/>
    <x v="169"/>
    <x v="584"/>
  </r>
  <r>
    <x v="17"/>
    <x v="169"/>
    <x v="585"/>
  </r>
  <r>
    <x v="17"/>
    <x v="170"/>
    <x v="586"/>
  </r>
  <r>
    <x v="17"/>
    <x v="170"/>
    <x v="587"/>
  </r>
  <r>
    <x v="18"/>
    <x v="171"/>
    <x v="588"/>
  </r>
  <r>
    <x v="18"/>
    <x v="171"/>
    <x v="589"/>
  </r>
  <r>
    <x v="18"/>
    <x v="171"/>
    <x v="590"/>
  </r>
  <r>
    <x v="18"/>
    <x v="171"/>
    <x v="591"/>
  </r>
  <r>
    <x v="18"/>
    <x v="171"/>
    <x v="592"/>
  </r>
  <r>
    <x v="18"/>
    <x v="171"/>
    <x v="593"/>
  </r>
  <r>
    <x v="18"/>
    <x v="171"/>
    <x v="594"/>
  </r>
  <r>
    <x v="18"/>
    <x v="171"/>
    <x v="595"/>
  </r>
  <r>
    <x v="18"/>
    <x v="171"/>
    <x v="596"/>
  </r>
  <r>
    <x v="18"/>
    <x v="171"/>
    <x v="597"/>
  </r>
  <r>
    <x v="18"/>
    <x v="171"/>
    <x v="598"/>
  </r>
  <r>
    <x v="18"/>
    <x v="172"/>
    <x v="599"/>
  </r>
  <r>
    <x v="18"/>
    <x v="172"/>
    <x v="600"/>
  </r>
  <r>
    <x v="18"/>
    <x v="172"/>
    <x v="601"/>
  </r>
  <r>
    <x v="18"/>
    <x v="172"/>
    <x v="602"/>
  </r>
  <r>
    <x v="18"/>
    <x v="172"/>
    <x v="603"/>
  </r>
  <r>
    <x v="18"/>
    <x v="172"/>
    <x v="604"/>
  </r>
  <r>
    <x v="18"/>
    <x v="172"/>
    <x v="605"/>
  </r>
  <r>
    <x v="18"/>
    <x v="172"/>
    <x v="606"/>
  </r>
  <r>
    <x v="18"/>
    <x v="172"/>
    <x v="607"/>
  </r>
  <r>
    <x v="18"/>
    <x v="172"/>
    <x v="608"/>
  </r>
  <r>
    <x v="18"/>
    <x v="172"/>
    <x v="609"/>
  </r>
  <r>
    <x v="18"/>
    <x v="172"/>
    <x v="610"/>
  </r>
  <r>
    <x v="18"/>
    <x v="172"/>
    <x v="611"/>
  </r>
  <r>
    <x v="18"/>
    <x v="172"/>
    <x v="612"/>
  </r>
  <r>
    <x v="18"/>
    <x v="173"/>
    <x v="613"/>
  </r>
  <r>
    <x v="18"/>
    <x v="173"/>
    <x v="614"/>
  </r>
  <r>
    <x v="18"/>
    <x v="173"/>
    <x v="615"/>
  </r>
  <r>
    <x v="18"/>
    <x v="174"/>
    <x v="616"/>
  </r>
  <r>
    <x v="18"/>
    <x v="174"/>
    <x v="617"/>
  </r>
  <r>
    <x v="18"/>
    <x v="174"/>
    <x v="618"/>
  </r>
  <r>
    <x v="18"/>
    <x v="174"/>
    <x v="619"/>
  </r>
  <r>
    <x v="18"/>
    <x v="174"/>
    <x v="620"/>
  </r>
  <r>
    <x v="18"/>
    <x v="174"/>
    <x v="621"/>
  </r>
  <r>
    <x v="18"/>
    <x v="174"/>
    <x v="622"/>
  </r>
  <r>
    <x v="18"/>
    <x v="174"/>
    <x v="623"/>
  </r>
  <r>
    <x v="18"/>
    <x v="174"/>
    <x v="624"/>
  </r>
  <r>
    <x v="18"/>
    <x v="174"/>
    <x v="625"/>
  </r>
  <r>
    <x v="18"/>
    <x v="174"/>
    <x v="626"/>
  </r>
  <r>
    <x v="18"/>
    <x v="175"/>
    <x v="627"/>
  </r>
  <r>
    <x v="18"/>
    <x v="175"/>
    <x v="628"/>
  </r>
  <r>
    <x v="18"/>
    <x v="176"/>
    <x v="629"/>
  </r>
  <r>
    <x v="18"/>
    <x v="176"/>
    <x v="630"/>
  </r>
  <r>
    <x v="18"/>
    <x v="177"/>
    <x v="631"/>
  </r>
  <r>
    <x v="18"/>
    <x v="177"/>
    <x v="632"/>
  </r>
  <r>
    <x v="18"/>
    <x v="178"/>
    <x v="633"/>
  </r>
  <r>
    <x v="18"/>
    <x v="178"/>
    <x v="634"/>
  </r>
  <r>
    <x v="18"/>
    <x v="179"/>
    <x v="635"/>
  </r>
  <r>
    <x v="18"/>
    <x v="179"/>
    <x v="636"/>
  </r>
  <r>
    <x v="18"/>
    <x v="180"/>
    <x v="637"/>
  </r>
  <r>
    <x v="18"/>
    <x v="180"/>
    <x v="638"/>
  </r>
  <r>
    <x v="18"/>
    <x v="180"/>
    <x v="639"/>
  </r>
  <r>
    <x v="18"/>
    <x v="181"/>
    <x v="640"/>
  </r>
  <r>
    <x v="18"/>
    <x v="181"/>
    <x v="641"/>
  </r>
  <r>
    <x v="18"/>
    <x v="182"/>
    <x v="642"/>
  </r>
  <r>
    <x v="18"/>
    <x v="182"/>
    <x v="643"/>
  </r>
  <r>
    <x v="18"/>
    <x v="183"/>
    <x v="644"/>
  </r>
  <r>
    <x v="18"/>
    <x v="183"/>
    <x v="645"/>
  </r>
  <r>
    <x v="18"/>
    <x v="184"/>
    <x v="646"/>
  </r>
  <r>
    <x v="18"/>
    <x v="184"/>
    <x v="647"/>
  </r>
  <r>
    <x v="18"/>
    <x v="184"/>
    <x v="648"/>
  </r>
  <r>
    <x v="18"/>
    <x v="184"/>
    <x v="649"/>
  </r>
  <r>
    <x v="18"/>
    <x v="184"/>
    <x v="650"/>
  </r>
  <r>
    <x v="18"/>
    <x v="184"/>
    <x v="651"/>
  </r>
  <r>
    <x v="18"/>
    <x v="184"/>
    <x v="652"/>
  </r>
  <r>
    <x v="18"/>
    <x v="184"/>
    <x v="653"/>
  </r>
  <r>
    <x v="18"/>
    <x v="184"/>
    <x v="654"/>
  </r>
  <r>
    <x v="18"/>
    <x v="184"/>
    <x v="655"/>
  </r>
  <r>
    <x v="18"/>
    <x v="184"/>
    <x v="656"/>
  </r>
  <r>
    <x v="18"/>
    <x v="184"/>
    <x v="657"/>
  </r>
  <r>
    <x v="18"/>
    <x v="184"/>
    <x v="658"/>
  </r>
  <r>
    <x v="18"/>
    <x v="184"/>
    <x v="659"/>
  </r>
  <r>
    <x v="18"/>
    <x v="184"/>
    <x v="660"/>
  </r>
  <r>
    <x v="18"/>
    <x v="184"/>
    <x v="661"/>
  </r>
  <r>
    <x v="18"/>
    <x v="184"/>
    <x v="662"/>
  </r>
  <r>
    <x v="18"/>
    <x v="184"/>
    <x v="663"/>
  </r>
  <r>
    <x v="18"/>
    <x v="184"/>
    <x v="664"/>
  </r>
  <r>
    <x v="18"/>
    <x v="184"/>
    <x v="665"/>
  </r>
  <r>
    <x v="18"/>
    <x v="185"/>
    <x v="666"/>
  </r>
  <r>
    <x v="18"/>
    <x v="185"/>
    <x v="667"/>
  </r>
  <r>
    <x v="18"/>
    <x v="186"/>
    <x v="668"/>
  </r>
  <r>
    <x v="18"/>
    <x v="186"/>
    <x v="669"/>
  </r>
  <r>
    <x v="18"/>
    <x v="187"/>
    <x v="670"/>
  </r>
  <r>
    <x v="18"/>
    <x v="187"/>
    <x v="671"/>
  </r>
  <r>
    <x v="18"/>
    <x v="188"/>
    <x v="672"/>
  </r>
  <r>
    <x v="18"/>
    <x v="188"/>
    <x v="673"/>
  </r>
  <r>
    <x v="18"/>
    <x v="189"/>
    <x v="674"/>
  </r>
  <r>
    <x v="18"/>
    <x v="189"/>
    <x v="675"/>
  </r>
  <r>
    <x v="18"/>
    <x v="190"/>
    <x v="676"/>
  </r>
  <r>
    <x v="18"/>
    <x v="190"/>
    <x v="677"/>
  </r>
  <r>
    <x v="18"/>
    <x v="191"/>
    <x v="678"/>
  </r>
  <r>
    <x v="18"/>
    <x v="191"/>
    <x v="679"/>
  </r>
  <r>
    <x v="18"/>
    <x v="192"/>
    <x v="680"/>
  </r>
  <r>
    <x v="18"/>
    <x v="192"/>
    <x v="681"/>
  </r>
  <r>
    <x v="19"/>
    <x v="193"/>
    <x v="682"/>
  </r>
  <r>
    <x v="19"/>
    <x v="193"/>
    <x v="683"/>
  </r>
  <r>
    <x v="19"/>
    <x v="194"/>
    <x v="684"/>
  </r>
  <r>
    <x v="19"/>
    <x v="194"/>
    <x v="685"/>
  </r>
  <r>
    <x v="19"/>
    <x v="194"/>
    <x v="686"/>
  </r>
  <r>
    <x v="19"/>
    <x v="195"/>
    <x v="687"/>
  </r>
  <r>
    <x v="19"/>
    <x v="195"/>
    <x v="688"/>
  </r>
  <r>
    <x v="19"/>
    <x v="195"/>
    <x v="689"/>
  </r>
  <r>
    <x v="19"/>
    <x v="196"/>
    <x v="690"/>
  </r>
  <r>
    <x v="19"/>
    <x v="196"/>
    <x v="691"/>
  </r>
  <r>
    <x v="19"/>
    <x v="197"/>
    <x v="692"/>
  </r>
  <r>
    <x v="19"/>
    <x v="197"/>
    <x v="693"/>
  </r>
  <r>
    <x v="19"/>
    <x v="198"/>
    <x v="694"/>
  </r>
  <r>
    <x v="19"/>
    <x v="198"/>
    <x v="695"/>
  </r>
  <r>
    <x v="19"/>
    <x v="199"/>
    <x v="696"/>
  </r>
  <r>
    <x v="19"/>
    <x v="199"/>
    <x v="697"/>
  </r>
  <r>
    <x v="19"/>
    <x v="200"/>
    <x v="698"/>
  </r>
  <r>
    <x v="19"/>
    <x v="200"/>
    <x v="699"/>
  </r>
  <r>
    <x v="19"/>
    <x v="200"/>
    <x v="700"/>
  </r>
  <r>
    <x v="19"/>
    <x v="201"/>
    <x v="701"/>
  </r>
  <r>
    <x v="19"/>
    <x v="201"/>
    <x v="702"/>
  </r>
  <r>
    <x v="19"/>
    <x v="202"/>
    <x v="703"/>
  </r>
  <r>
    <x v="19"/>
    <x v="202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3"/>
    <x v="713"/>
  </r>
  <r>
    <x v="19"/>
    <x v="203"/>
    <x v="714"/>
  </r>
  <r>
    <x v="19"/>
    <x v="203"/>
    <x v="715"/>
  </r>
  <r>
    <x v="19"/>
    <x v="203"/>
    <x v="716"/>
  </r>
  <r>
    <x v="19"/>
    <x v="203"/>
    <x v="717"/>
  </r>
  <r>
    <x v="19"/>
    <x v="203"/>
    <x v="718"/>
  </r>
  <r>
    <x v="19"/>
    <x v="203"/>
    <x v="719"/>
  </r>
  <r>
    <x v="19"/>
    <x v="203"/>
    <x v="720"/>
  </r>
  <r>
    <x v="19"/>
    <x v="204"/>
    <x v="721"/>
  </r>
  <r>
    <x v="19"/>
    <x v="204"/>
    <x v="722"/>
  </r>
  <r>
    <x v="19"/>
    <x v="204"/>
    <x v="723"/>
  </r>
  <r>
    <x v="19"/>
    <x v="205"/>
    <x v="724"/>
  </r>
  <r>
    <x v="19"/>
    <x v="205"/>
    <x v="725"/>
  </r>
  <r>
    <x v="19"/>
    <x v="206"/>
    <x v="726"/>
  </r>
  <r>
    <x v="19"/>
    <x v="206"/>
    <x v="727"/>
  </r>
  <r>
    <x v="19"/>
    <x v="206"/>
    <x v="728"/>
  </r>
  <r>
    <x v="19"/>
    <x v="207"/>
    <x v="729"/>
  </r>
  <r>
    <x v="19"/>
    <x v="207"/>
    <x v="730"/>
  </r>
  <r>
    <x v="19"/>
    <x v="208"/>
    <x v="731"/>
  </r>
  <r>
    <x v="19"/>
    <x v="208"/>
    <x v="732"/>
  </r>
  <r>
    <x v="19"/>
    <x v="209"/>
    <x v="733"/>
  </r>
  <r>
    <x v="19"/>
    <x v="209"/>
    <x v="734"/>
  </r>
  <r>
    <x v="19"/>
    <x v="210"/>
    <x v="735"/>
  </r>
  <r>
    <x v="19"/>
    <x v="210"/>
    <x v="736"/>
  </r>
  <r>
    <x v="19"/>
    <x v="211"/>
    <x v="737"/>
  </r>
  <r>
    <x v="19"/>
    <x v="211"/>
    <x v="738"/>
  </r>
  <r>
    <x v="19"/>
    <x v="212"/>
    <x v="739"/>
  </r>
  <r>
    <x v="19"/>
    <x v="212"/>
    <x v="740"/>
  </r>
  <r>
    <x v="19"/>
    <x v="213"/>
    <x v="741"/>
  </r>
  <r>
    <x v="19"/>
    <x v="213"/>
    <x v="742"/>
  </r>
  <r>
    <x v="19"/>
    <x v="214"/>
    <x v="743"/>
  </r>
  <r>
    <x v="19"/>
    <x v="214"/>
    <x v="744"/>
  </r>
  <r>
    <x v="20"/>
    <x v="215"/>
    <x v="745"/>
  </r>
  <r>
    <x v="20"/>
    <x v="215"/>
    <x v="746"/>
  </r>
  <r>
    <x v="20"/>
    <x v="216"/>
    <x v="747"/>
  </r>
  <r>
    <x v="20"/>
    <x v="216"/>
    <x v="748"/>
  </r>
  <r>
    <x v="20"/>
    <x v="217"/>
    <x v="749"/>
  </r>
  <r>
    <x v="20"/>
    <x v="217"/>
    <x v="750"/>
  </r>
  <r>
    <x v="20"/>
    <x v="218"/>
    <x v="751"/>
  </r>
  <r>
    <x v="20"/>
    <x v="218"/>
    <x v="752"/>
  </r>
  <r>
    <x v="20"/>
    <x v="219"/>
    <x v="753"/>
  </r>
  <r>
    <x v="20"/>
    <x v="219"/>
    <x v="754"/>
  </r>
  <r>
    <x v="20"/>
    <x v="220"/>
    <x v="755"/>
  </r>
  <r>
    <x v="20"/>
    <x v="220"/>
    <x v="756"/>
  </r>
  <r>
    <x v="20"/>
    <x v="221"/>
    <x v="757"/>
  </r>
  <r>
    <x v="20"/>
    <x v="221"/>
    <x v="758"/>
  </r>
  <r>
    <x v="20"/>
    <x v="222"/>
    <x v="758"/>
  </r>
  <r>
    <x v="20"/>
    <x v="223"/>
    <x v="759"/>
  </r>
  <r>
    <x v="20"/>
    <x v="223"/>
    <x v="760"/>
  </r>
  <r>
    <x v="20"/>
    <x v="224"/>
    <x v="761"/>
  </r>
  <r>
    <x v="20"/>
    <x v="224"/>
    <x v="762"/>
  </r>
  <r>
    <x v="21"/>
    <x v="225"/>
    <x v="763"/>
  </r>
  <r>
    <x v="21"/>
    <x v="225"/>
    <x v="764"/>
  </r>
  <r>
    <x v="21"/>
    <x v="225"/>
    <x v="765"/>
  </r>
  <r>
    <x v="21"/>
    <x v="225"/>
    <x v="766"/>
  </r>
  <r>
    <x v="21"/>
    <x v="225"/>
    <x v="767"/>
  </r>
  <r>
    <x v="21"/>
    <x v="225"/>
    <x v="768"/>
  </r>
  <r>
    <x v="21"/>
    <x v="225"/>
    <x v="769"/>
  </r>
  <r>
    <x v="21"/>
    <x v="225"/>
    <x v="770"/>
  </r>
  <r>
    <x v="21"/>
    <x v="225"/>
    <x v="771"/>
  </r>
  <r>
    <x v="21"/>
    <x v="225"/>
    <x v="772"/>
  </r>
  <r>
    <x v="21"/>
    <x v="225"/>
    <x v="773"/>
  </r>
  <r>
    <x v="21"/>
    <x v="225"/>
    <x v="774"/>
  </r>
  <r>
    <x v="21"/>
    <x v="225"/>
    <x v="775"/>
  </r>
  <r>
    <x v="21"/>
    <x v="225"/>
    <x v="776"/>
  </r>
  <r>
    <x v="21"/>
    <x v="225"/>
    <x v="777"/>
  </r>
  <r>
    <x v="21"/>
    <x v="225"/>
    <x v="778"/>
  </r>
  <r>
    <x v="21"/>
    <x v="225"/>
    <x v="779"/>
  </r>
  <r>
    <x v="21"/>
    <x v="225"/>
    <x v="780"/>
  </r>
  <r>
    <x v="21"/>
    <x v="225"/>
    <x v="781"/>
  </r>
  <r>
    <x v="21"/>
    <x v="225"/>
    <x v="782"/>
  </r>
  <r>
    <x v="21"/>
    <x v="225"/>
    <x v="783"/>
  </r>
  <r>
    <x v="21"/>
    <x v="225"/>
    <x v="784"/>
  </r>
  <r>
    <x v="21"/>
    <x v="225"/>
    <x v="785"/>
  </r>
  <r>
    <x v="21"/>
    <x v="226"/>
    <x v="786"/>
  </r>
  <r>
    <x v="21"/>
    <x v="226"/>
    <x v="787"/>
  </r>
  <r>
    <x v="21"/>
    <x v="227"/>
    <x v="788"/>
  </r>
  <r>
    <x v="21"/>
    <x v="227"/>
    <x v="789"/>
  </r>
  <r>
    <x v="21"/>
    <x v="228"/>
    <x v="790"/>
  </r>
  <r>
    <x v="21"/>
    <x v="228"/>
    <x v="791"/>
  </r>
  <r>
    <x v="22"/>
    <x v="229"/>
    <x v="792"/>
  </r>
  <r>
    <x v="22"/>
    <x v="229"/>
    <x v="793"/>
  </r>
  <r>
    <x v="22"/>
    <x v="229"/>
    <x v="794"/>
  </r>
  <r>
    <x v="22"/>
    <x v="229"/>
    <x v="795"/>
  </r>
  <r>
    <x v="22"/>
    <x v="229"/>
    <x v="796"/>
  </r>
  <r>
    <x v="22"/>
    <x v="230"/>
    <x v="797"/>
  </r>
  <r>
    <x v="22"/>
    <x v="230"/>
    <x v="798"/>
  </r>
  <r>
    <x v="22"/>
    <x v="231"/>
    <x v="799"/>
  </r>
  <r>
    <x v="22"/>
    <x v="231"/>
    <x v="800"/>
  </r>
  <r>
    <x v="22"/>
    <x v="232"/>
    <x v="801"/>
  </r>
  <r>
    <x v="22"/>
    <x v="232"/>
    <x v="802"/>
  </r>
  <r>
    <x v="22"/>
    <x v="232"/>
    <x v="803"/>
  </r>
  <r>
    <x v="22"/>
    <x v="232"/>
    <x v="804"/>
  </r>
  <r>
    <x v="22"/>
    <x v="232"/>
    <x v="805"/>
  </r>
  <r>
    <x v="22"/>
    <x v="233"/>
    <x v="806"/>
  </r>
  <r>
    <x v="22"/>
    <x v="233"/>
    <x v="807"/>
  </r>
  <r>
    <x v="22"/>
    <x v="234"/>
    <x v="808"/>
  </r>
  <r>
    <x v="22"/>
    <x v="234"/>
    <x v="809"/>
  </r>
  <r>
    <x v="22"/>
    <x v="234"/>
    <x v="810"/>
  </r>
  <r>
    <x v="22"/>
    <x v="235"/>
    <x v="811"/>
  </r>
  <r>
    <x v="22"/>
    <x v="235"/>
    <x v="812"/>
  </r>
  <r>
    <x v="22"/>
    <x v="236"/>
    <x v="813"/>
  </r>
  <r>
    <x v="22"/>
    <x v="236"/>
    <x v="814"/>
  </r>
  <r>
    <x v="22"/>
    <x v="237"/>
    <x v="815"/>
  </r>
  <r>
    <x v="22"/>
    <x v="237"/>
    <x v="816"/>
  </r>
  <r>
    <x v="22"/>
    <x v="237"/>
    <x v="817"/>
  </r>
  <r>
    <x v="22"/>
    <x v="237"/>
    <x v="818"/>
  </r>
  <r>
    <x v="22"/>
    <x v="237"/>
    <x v="819"/>
  </r>
  <r>
    <x v="22"/>
    <x v="238"/>
    <x v="820"/>
  </r>
  <r>
    <x v="22"/>
    <x v="238"/>
    <x v="821"/>
  </r>
  <r>
    <x v="22"/>
    <x v="238"/>
    <x v="822"/>
  </r>
  <r>
    <x v="22"/>
    <x v="239"/>
    <x v="823"/>
  </r>
  <r>
    <x v="22"/>
    <x v="239"/>
    <x v="824"/>
  </r>
  <r>
    <x v="22"/>
    <x v="239"/>
    <x v="825"/>
  </r>
  <r>
    <x v="22"/>
    <x v="239"/>
    <x v="826"/>
  </r>
  <r>
    <x v="22"/>
    <x v="239"/>
    <x v="827"/>
  </r>
  <r>
    <x v="22"/>
    <x v="239"/>
    <x v="828"/>
  </r>
  <r>
    <x v="22"/>
    <x v="239"/>
    <x v="829"/>
  </r>
  <r>
    <x v="22"/>
    <x v="239"/>
    <x v="830"/>
  </r>
  <r>
    <x v="22"/>
    <x v="239"/>
    <x v="831"/>
  </r>
  <r>
    <x v="22"/>
    <x v="239"/>
    <x v="832"/>
  </r>
  <r>
    <x v="22"/>
    <x v="239"/>
    <x v="833"/>
  </r>
  <r>
    <x v="22"/>
    <x v="239"/>
    <x v="834"/>
  </r>
  <r>
    <x v="22"/>
    <x v="239"/>
    <x v="835"/>
  </r>
  <r>
    <x v="22"/>
    <x v="240"/>
    <x v="836"/>
  </r>
  <r>
    <x v="22"/>
    <x v="240"/>
    <x v="837"/>
  </r>
  <r>
    <x v="22"/>
    <x v="241"/>
    <x v="838"/>
  </r>
  <r>
    <x v="22"/>
    <x v="241"/>
    <x v="839"/>
  </r>
  <r>
    <x v="22"/>
    <x v="242"/>
    <x v="840"/>
  </r>
  <r>
    <x v="22"/>
    <x v="242"/>
    <x v="841"/>
  </r>
  <r>
    <x v="22"/>
    <x v="243"/>
    <x v="842"/>
  </r>
  <r>
    <x v="22"/>
    <x v="243"/>
    <x v="843"/>
  </r>
  <r>
    <x v="22"/>
    <x v="243"/>
    <x v="844"/>
  </r>
  <r>
    <x v="22"/>
    <x v="243"/>
    <x v="845"/>
  </r>
  <r>
    <x v="22"/>
    <x v="243"/>
    <x v="846"/>
  </r>
  <r>
    <x v="22"/>
    <x v="243"/>
    <x v="847"/>
  </r>
  <r>
    <x v="22"/>
    <x v="243"/>
    <x v="848"/>
  </r>
  <r>
    <x v="22"/>
    <x v="243"/>
    <x v="849"/>
  </r>
  <r>
    <x v="22"/>
    <x v="243"/>
    <x v="850"/>
  </r>
  <r>
    <x v="22"/>
    <x v="243"/>
    <x v="851"/>
  </r>
  <r>
    <x v="22"/>
    <x v="243"/>
    <x v="852"/>
  </r>
  <r>
    <x v="22"/>
    <x v="243"/>
    <x v="853"/>
  </r>
  <r>
    <x v="22"/>
    <x v="243"/>
    <x v="854"/>
  </r>
  <r>
    <x v="22"/>
    <x v="244"/>
    <x v="855"/>
  </r>
  <r>
    <x v="22"/>
    <x v="244"/>
    <x v="856"/>
  </r>
  <r>
    <x v="22"/>
    <x v="244"/>
    <x v="857"/>
  </r>
  <r>
    <x v="22"/>
    <x v="244"/>
    <x v="858"/>
  </r>
  <r>
    <x v="22"/>
    <x v="244"/>
    <x v="859"/>
  </r>
  <r>
    <x v="22"/>
    <x v="244"/>
    <x v="860"/>
  </r>
  <r>
    <x v="22"/>
    <x v="244"/>
    <x v="861"/>
  </r>
  <r>
    <x v="22"/>
    <x v="244"/>
    <x v="862"/>
  </r>
  <r>
    <x v="22"/>
    <x v="244"/>
    <x v="863"/>
  </r>
  <r>
    <x v="22"/>
    <x v="244"/>
    <x v="864"/>
  </r>
  <r>
    <x v="22"/>
    <x v="244"/>
    <x v="865"/>
  </r>
  <r>
    <x v="22"/>
    <x v="244"/>
    <x v="866"/>
  </r>
  <r>
    <x v="22"/>
    <x v="244"/>
    <x v="867"/>
  </r>
  <r>
    <x v="22"/>
    <x v="244"/>
    <x v="868"/>
  </r>
  <r>
    <x v="22"/>
    <x v="244"/>
    <x v="869"/>
  </r>
  <r>
    <x v="22"/>
    <x v="244"/>
    <x v="870"/>
  </r>
  <r>
    <x v="22"/>
    <x v="244"/>
    <x v="871"/>
  </r>
  <r>
    <x v="22"/>
    <x v="244"/>
    <x v="872"/>
  </r>
  <r>
    <x v="22"/>
    <x v="244"/>
    <x v="873"/>
  </r>
  <r>
    <x v="22"/>
    <x v="244"/>
    <x v="874"/>
  </r>
  <r>
    <x v="22"/>
    <x v="244"/>
    <x v="875"/>
  </r>
  <r>
    <x v="22"/>
    <x v="244"/>
    <x v="876"/>
  </r>
  <r>
    <x v="22"/>
    <x v="244"/>
    <x v="877"/>
  </r>
  <r>
    <x v="22"/>
    <x v="244"/>
    <x v="878"/>
  </r>
  <r>
    <x v="22"/>
    <x v="244"/>
    <x v="879"/>
  </r>
  <r>
    <x v="22"/>
    <x v="244"/>
    <x v="880"/>
  </r>
  <r>
    <x v="22"/>
    <x v="244"/>
    <x v="881"/>
  </r>
  <r>
    <x v="22"/>
    <x v="244"/>
    <x v="882"/>
  </r>
  <r>
    <x v="22"/>
    <x v="244"/>
    <x v="883"/>
  </r>
  <r>
    <x v="22"/>
    <x v="244"/>
    <x v="884"/>
  </r>
  <r>
    <x v="22"/>
    <x v="244"/>
    <x v="885"/>
  </r>
  <r>
    <x v="22"/>
    <x v="244"/>
    <x v="886"/>
  </r>
  <r>
    <x v="22"/>
    <x v="244"/>
    <x v="887"/>
  </r>
  <r>
    <x v="22"/>
    <x v="244"/>
    <x v="888"/>
  </r>
  <r>
    <x v="22"/>
    <x v="244"/>
    <x v="889"/>
  </r>
  <r>
    <x v="22"/>
    <x v="244"/>
    <x v="890"/>
  </r>
  <r>
    <x v="22"/>
    <x v="244"/>
    <x v="891"/>
  </r>
  <r>
    <x v="22"/>
    <x v="244"/>
    <x v="892"/>
  </r>
  <r>
    <x v="22"/>
    <x v="244"/>
    <x v="893"/>
  </r>
  <r>
    <x v="22"/>
    <x v="244"/>
    <x v="894"/>
  </r>
  <r>
    <x v="22"/>
    <x v="244"/>
    <x v="895"/>
  </r>
  <r>
    <x v="22"/>
    <x v="244"/>
    <x v="896"/>
  </r>
  <r>
    <x v="22"/>
    <x v="244"/>
    <x v="897"/>
  </r>
  <r>
    <x v="22"/>
    <x v="244"/>
    <x v="898"/>
  </r>
  <r>
    <x v="22"/>
    <x v="244"/>
    <x v="899"/>
  </r>
  <r>
    <x v="22"/>
    <x v="244"/>
    <x v="900"/>
  </r>
  <r>
    <x v="22"/>
    <x v="244"/>
    <x v="901"/>
  </r>
  <r>
    <x v="22"/>
    <x v="244"/>
    <x v="902"/>
  </r>
  <r>
    <x v="22"/>
    <x v="244"/>
    <x v="903"/>
  </r>
  <r>
    <x v="22"/>
    <x v="244"/>
    <x v="904"/>
  </r>
  <r>
    <x v="22"/>
    <x v="244"/>
    <x v="905"/>
  </r>
  <r>
    <x v="22"/>
    <x v="244"/>
    <x v="906"/>
  </r>
  <r>
    <x v="22"/>
    <x v="244"/>
    <x v="907"/>
  </r>
  <r>
    <x v="22"/>
    <x v="244"/>
    <x v="908"/>
  </r>
  <r>
    <x v="22"/>
    <x v="244"/>
    <x v="909"/>
  </r>
  <r>
    <x v="22"/>
    <x v="244"/>
    <x v="910"/>
  </r>
  <r>
    <x v="22"/>
    <x v="244"/>
    <x v="911"/>
  </r>
  <r>
    <x v="22"/>
    <x v="244"/>
    <x v="912"/>
  </r>
  <r>
    <x v="22"/>
    <x v="244"/>
    <x v="913"/>
  </r>
  <r>
    <x v="22"/>
    <x v="244"/>
    <x v="914"/>
  </r>
  <r>
    <x v="22"/>
    <x v="244"/>
    <x v="915"/>
  </r>
  <r>
    <x v="22"/>
    <x v="244"/>
    <x v="916"/>
  </r>
  <r>
    <x v="22"/>
    <x v="244"/>
    <x v="917"/>
  </r>
  <r>
    <x v="22"/>
    <x v="244"/>
    <x v="918"/>
  </r>
  <r>
    <x v="22"/>
    <x v="244"/>
    <x v="919"/>
  </r>
  <r>
    <x v="22"/>
    <x v="244"/>
    <x v="920"/>
  </r>
  <r>
    <x v="22"/>
    <x v="244"/>
    <x v="921"/>
  </r>
  <r>
    <x v="22"/>
    <x v="244"/>
    <x v="922"/>
  </r>
  <r>
    <x v="22"/>
    <x v="244"/>
    <x v="923"/>
  </r>
  <r>
    <x v="22"/>
    <x v="244"/>
    <x v="924"/>
  </r>
  <r>
    <x v="22"/>
    <x v="244"/>
    <x v="925"/>
  </r>
  <r>
    <x v="22"/>
    <x v="244"/>
    <x v="926"/>
  </r>
  <r>
    <x v="22"/>
    <x v="244"/>
    <x v="927"/>
  </r>
  <r>
    <x v="22"/>
    <x v="245"/>
    <x v="928"/>
  </r>
  <r>
    <x v="22"/>
    <x v="245"/>
    <x v="929"/>
  </r>
  <r>
    <x v="22"/>
    <x v="245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7"/>
    <x v="935"/>
  </r>
  <r>
    <x v="22"/>
    <x v="247"/>
    <x v="936"/>
  </r>
  <r>
    <x v="22"/>
    <x v="247"/>
    <x v="937"/>
  </r>
  <r>
    <x v="22"/>
    <x v="247"/>
    <x v="938"/>
  </r>
  <r>
    <x v="22"/>
    <x v="247"/>
    <x v="939"/>
  </r>
  <r>
    <x v="22"/>
    <x v="247"/>
    <x v="940"/>
  </r>
  <r>
    <x v="22"/>
    <x v="247"/>
    <x v="941"/>
  </r>
  <r>
    <x v="22"/>
    <x v="247"/>
    <x v="942"/>
  </r>
  <r>
    <x v="22"/>
    <x v="247"/>
    <x v="943"/>
  </r>
  <r>
    <x v="22"/>
    <x v="247"/>
    <x v="944"/>
  </r>
  <r>
    <x v="22"/>
    <x v="247"/>
    <x v="945"/>
  </r>
  <r>
    <x v="22"/>
    <x v="248"/>
    <x v="946"/>
  </r>
  <r>
    <x v="22"/>
    <x v="248"/>
    <x v="947"/>
  </r>
  <r>
    <x v="22"/>
    <x v="249"/>
    <x v="948"/>
  </r>
  <r>
    <x v="22"/>
    <x v="249"/>
    <x v="949"/>
  </r>
  <r>
    <x v="22"/>
    <x v="249"/>
    <x v="950"/>
  </r>
  <r>
    <x v="22"/>
    <x v="249"/>
    <x v="951"/>
  </r>
  <r>
    <x v="22"/>
    <x v="249"/>
    <x v="952"/>
  </r>
  <r>
    <x v="22"/>
    <x v="249"/>
    <x v="953"/>
  </r>
  <r>
    <x v="22"/>
    <x v="249"/>
    <x v="954"/>
  </r>
  <r>
    <x v="22"/>
    <x v="249"/>
    <x v="955"/>
  </r>
  <r>
    <x v="22"/>
    <x v="249"/>
    <x v="956"/>
  </r>
  <r>
    <x v="22"/>
    <x v="249"/>
    <x v="957"/>
  </r>
  <r>
    <x v="22"/>
    <x v="249"/>
    <x v="958"/>
  </r>
  <r>
    <x v="22"/>
    <x v="249"/>
    <x v="959"/>
  </r>
  <r>
    <x v="22"/>
    <x v="249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1"/>
    <x v="968"/>
  </r>
  <r>
    <x v="22"/>
    <x v="251"/>
    <x v="969"/>
  </r>
  <r>
    <x v="22"/>
    <x v="252"/>
    <x v="970"/>
  </r>
  <r>
    <x v="22"/>
    <x v="252"/>
    <x v="971"/>
  </r>
  <r>
    <x v="22"/>
    <x v="253"/>
    <x v="972"/>
  </r>
  <r>
    <x v="22"/>
    <x v="253"/>
    <x v="973"/>
  </r>
  <r>
    <x v="22"/>
    <x v="254"/>
    <x v="974"/>
  </r>
  <r>
    <x v="22"/>
    <x v="254"/>
    <x v="975"/>
  </r>
  <r>
    <x v="22"/>
    <x v="255"/>
    <x v="976"/>
  </r>
  <r>
    <x v="22"/>
    <x v="255"/>
    <x v="977"/>
  </r>
  <r>
    <x v="22"/>
    <x v="255"/>
    <x v="978"/>
  </r>
  <r>
    <x v="22"/>
    <x v="255"/>
    <x v="979"/>
  </r>
  <r>
    <x v="22"/>
    <x v="255"/>
    <x v="980"/>
  </r>
  <r>
    <x v="22"/>
    <x v="255"/>
    <x v="981"/>
  </r>
  <r>
    <x v="22"/>
    <x v="255"/>
    <x v="982"/>
  </r>
  <r>
    <x v="22"/>
    <x v="256"/>
    <x v="983"/>
  </r>
  <r>
    <x v="22"/>
    <x v="256"/>
    <x v="984"/>
  </r>
  <r>
    <x v="22"/>
    <x v="257"/>
    <x v="985"/>
  </r>
  <r>
    <x v="22"/>
    <x v="257"/>
    <x v="986"/>
  </r>
  <r>
    <x v="22"/>
    <x v="257"/>
    <x v="987"/>
  </r>
  <r>
    <x v="22"/>
    <x v="258"/>
    <x v="988"/>
  </r>
  <r>
    <x v="22"/>
    <x v="258"/>
    <x v="989"/>
  </r>
  <r>
    <x v="22"/>
    <x v="259"/>
    <x v="990"/>
  </r>
  <r>
    <x v="22"/>
    <x v="259"/>
    <x v="991"/>
  </r>
  <r>
    <x v="22"/>
    <x v="260"/>
    <x v="992"/>
  </r>
  <r>
    <x v="22"/>
    <x v="260"/>
    <x v="993"/>
  </r>
  <r>
    <x v="22"/>
    <x v="261"/>
    <x v="994"/>
  </r>
  <r>
    <x v="22"/>
    <x v="261"/>
    <x v="995"/>
  </r>
  <r>
    <x v="22"/>
    <x v="262"/>
    <x v="996"/>
  </r>
  <r>
    <x v="22"/>
    <x v="262"/>
    <x v="997"/>
  </r>
  <r>
    <x v="22"/>
    <x v="262"/>
    <x v="998"/>
  </r>
  <r>
    <x v="22"/>
    <x v="263"/>
    <x v="999"/>
  </r>
  <r>
    <x v="22"/>
    <x v="263"/>
    <x v="1000"/>
  </r>
  <r>
    <x v="22"/>
    <x v="263"/>
    <x v="1001"/>
  </r>
  <r>
    <x v="22"/>
    <x v="264"/>
    <x v="1002"/>
  </r>
  <r>
    <x v="22"/>
    <x v="264"/>
    <x v="1003"/>
  </r>
  <r>
    <x v="22"/>
    <x v="265"/>
    <x v="1004"/>
  </r>
  <r>
    <x v="22"/>
    <x v="265"/>
    <x v="1005"/>
  </r>
  <r>
    <x v="22"/>
    <x v="266"/>
    <x v="1006"/>
  </r>
  <r>
    <x v="22"/>
    <x v="266"/>
    <x v="1007"/>
  </r>
  <r>
    <x v="22"/>
    <x v="267"/>
    <x v="1008"/>
  </r>
  <r>
    <x v="22"/>
    <x v="267"/>
    <x v="1009"/>
  </r>
  <r>
    <x v="22"/>
    <x v="267"/>
    <x v="1010"/>
  </r>
  <r>
    <x v="22"/>
    <x v="267"/>
    <x v="1011"/>
  </r>
  <r>
    <x v="22"/>
    <x v="267"/>
    <x v="1012"/>
  </r>
  <r>
    <x v="22"/>
    <x v="267"/>
    <x v="1013"/>
  </r>
  <r>
    <x v="22"/>
    <x v="267"/>
    <x v="1014"/>
  </r>
  <r>
    <x v="22"/>
    <x v="267"/>
    <x v="1015"/>
  </r>
  <r>
    <x v="22"/>
    <x v="267"/>
    <x v="1016"/>
  </r>
  <r>
    <x v="22"/>
    <x v="267"/>
    <x v="1017"/>
  </r>
  <r>
    <x v="22"/>
    <x v="267"/>
    <x v="1018"/>
  </r>
  <r>
    <x v="22"/>
    <x v="267"/>
    <x v="1019"/>
  </r>
  <r>
    <x v="22"/>
    <x v="267"/>
    <x v="1020"/>
  </r>
  <r>
    <x v="22"/>
    <x v="267"/>
    <x v="1021"/>
  </r>
  <r>
    <x v="22"/>
    <x v="267"/>
    <x v="1022"/>
  </r>
  <r>
    <x v="22"/>
    <x v="267"/>
    <x v="1023"/>
  </r>
  <r>
    <x v="22"/>
    <x v="267"/>
    <x v="1024"/>
  </r>
  <r>
    <x v="22"/>
    <x v="267"/>
    <x v="1025"/>
  </r>
  <r>
    <x v="22"/>
    <x v="267"/>
    <x v="1026"/>
  </r>
  <r>
    <x v="22"/>
    <x v="267"/>
    <x v="1027"/>
  </r>
  <r>
    <x v="22"/>
    <x v="267"/>
    <x v="1028"/>
  </r>
  <r>
    <x v="22"/>
    <x v="267"/>
    <x v="1029"/>
  </r>
  <r>
    <x v="22"/>
    <x v="267"/>
    <x v="1030"/>
  </r>
  <r>
    <x v="22"/>
    <x v="267"/>
    <x v="1031"/>
  </r>
  <r>
    <x v="22"/>
    <x v="267"/>
    <x v="1032"/>
  </r>
  <r>
    <x v="22"/>
    <x v="267"/>
    <x v="1033"/>
  </r>
  <r>
    <x v="22"/>
    <x v="267"/>
    <x v="1034"/>
  </r>
  <r>
    <x v="22"/>
    <x v="267"/>
    <x v="1035"/>
  </r>
  <r>
    <x v="22"/>
    <x v="267"/>
    <x v="1036"/>
  </r>
  <r>
    <x v="22"/>
    <x v="267"/>
    <x v="1037"/>
  </r>
  <r>
    <x v="22"/>
    <x v="267"/>
    <x v="1038"/>
  </r>
  <r>
    <x v="22"/>
    <x v="267"/>
    <x v="1039"/>
  </r>
  <r>
    <x v="22"/>
    <x v="267"/>
    <x v="1040"/>
  </r>
  <r>
    <x v="22"/>
    <x v="267"/>
    <x v="1041"/>
  </r>
  <r>
    <x v="22"/>
    <x v="267"/>
    <x v="1042"/>
  </r>
  <r>
    <x v="22"/>
    <x v="267"/>
    <x v="1043"/>
  </r>
  <r>
    <x v="22"/>
    <x v="267"/>
    <x v="1044"/>
  </r>
  <r>
    <x v="22"/>
    <x v="267"/>
    <x v="1045"/>
  </r>
  <r>
    <x v="22"/>
    <x v="267"/>
    <x v="1046"/>
  </r>
  <r>
    <x v="22"/>
    <x v="267"/>
    <x v="1047"/>
  </r>
  <r>
    <x v="22"/>
    <x v="267"/>
    <x v="1048"/>
  </r>
  <r>
    <x v="22"/>
    <x v="267"/>
    <x v="1049"/>
  </r>
  <r>
    <x v="22"/>
    <x v="267"/>
    <x v="1050"/>
  </r>
  <r>
    <x v="22"/>
    <x v="267"/>
    <x v="1051"/>
  </r>
  <r>
    <x v="22"/>
    <x v="267"/>
    <x v="1052"/>
  </r>
  <r>
    <x v="22"/>
    <x v="267"/>
    <x v="1053"/>
  </r>
  <r>
    <x v="22"/>
    <x v="267"/>
    <x v="1054"/>
  </r>
  <r>
    <x v="22"/>
    <x v="267"/>
    <x v="1055"/>
  </r>
  <r>
    <x v="22"/>
    <x v="267"/>
    <x v="1056"/>
  </r>
  <r>
    <x v="22"/>
    <x v="267"/>
    <x v="1057"/>
  </r>
  <r>
    <x v="22"/>
    <x v="267"/>
    <x v="1058"/>
  </r>
  <r>
    <x v="22"/>
    <x v="267"/>
    <x v="1059"/>
  </r>
  <r>
    <x v="22"/>
    <x v="267"/>
    <x v="1060"/>
  </r>
  <r>
    <x v="22"/>
    <x v="267"/>
    <x v="1061"/>
  </r>
  <r>
    <x v="22"/>
    <x v="267"/>
    <x v="1062"/>
  </r>
  <r>
    <x v="22"/>
    <x v="267"/>
    <x v="1063"/>
  </r>
  <r>
    <x v="22"/>
    <x v="267"/>
    <x v="1064"/>
  </r>
  <r>
    <x v="22"/>
    <x v="267"/>
    <x v="1065"/>
  </r>
  <r>
    <x v="22"/>
    <x v="267"/>
    <x v="1066"/>
  </r>
  <r>
    <x v="22"/>
    <x v="267"/>
    <x v="1067"/>
  </r>
  <r>
    <x v="22"/>
    <x v="267"/>
    <x v="1068"/>
  </r>
  <r>
    <x v="22"/>
    <x v="267"/>
    <x v="1069"/>
  </r>
  <r>
    <x v="22"/>
    <x v="267"/>
    <x v="1070"/>
  </r>
  <r>
    <x v="22"/>
    <x v="267"/>
    <x v="1071"/>
  </r>
  <r>
    <x v="22"/>
    <x v="267"/>
    <x v="1072"/>
  </r>
  <r>
    <x v="22"/>
    <x v="267"/>
    <x v="1073"/>
  </r>
  <r>
    <x v="22"/>
    <x v="267"/>
    <x v="1074"/>
  </r>
  <r>
    <x v="22"/>
    <x v="267"/>
    <x v="1075"/>
  </r>
  <r>
    <x v="22"/>
    <x v="267"/>
    <x v="1076"/>
  </r>
  <r>
    <x v="22"/>
    <x v="267"/>
    <x v="1077"/>
  </r>
  <r>
    <x v="22"/>
    <x v="267"/>
    <x v="1078"/>
  </r>
  <r>
    <x v="22"/>
    <x v="267"/>
    <x v="1079"/>
  </r>
  <r>
    <x v="22"/>
    <x v="267"/>
    <x v="1080"/>
  </r>
  <r>
    <x v="22"/>
    <x v="268"/>
    <x v="1081"/>
  </r>
  <r>
    <x v="22"/>
    <x v="268"/>
    <x v="1082"/>
  </r>
  <r>
    <x v="22"/>
    <x v="268"/>
    <x v="1083"/>
  </r>
  <r>
    <x v="22"/>
    <x v="268"/>
    <x v="1084"/>
  </r>
  <r>
    <x v="22"/>
    <x v="268"/>
    <x v="1085"/>
  </r>
  <r>
    <x v="22"/>
    <x v="268"/>
    <x v="1086"/>
  </r>
  <r>
    <x v="22"/>
    <x v="268"/>
    <x v="1087"/>
  </r>
  <r>
    <x v="22"/>
    <x v="268"/>
    <x v="1088"/>
  </r>
  <r>
    <x v="22"/>
    <x v="268"/>
    <x v="1089"/>
  </r>
  <r>
    <x v="22"/>
    <x v="268"/>
    <x v="1090"/>
  </r>
  <r>
    <x v="22"/>
    <x v="268"/>
    <x v="1091"/>
  </r>
  <r>
    <x v="22"/>
    <x v="268"/>
    <x v="1092"/>
  </r>
  <r>
    <x v="22"/>
    <x v="268"/>
    <x v="1093"/>
  </r>
  <r>
    <x v="22"/>
    <x v="269"/>
    <x v="1094"/>
  </r>
  <r>
    <x v="22"/>
    <x v="269"/>
    <x v="1095"/>
  </r>
  <r>
    <x v="22"/>
    <x v="270"/>
    <x v="1096"/>
  </r>
  <r>
    <x v="22"/>
    <x v="270"/>
    <x v="1097"/>
  </r>
  <r>
    <x v="22"/>
    <x v="271"/>
    <x v="1098"/>
  </r>
  <r>
    <x v="22"/>
    <x v="271"/>
    <x v="1099"/>
  </r>
  <r>
    <x v="22"/>
    <x v="272"/>
    <x v="1100"/>
  </r>
  <r>
    <x v="22"/>
    <x v="272"/>
    <x v="1101"/>
  </r>
  <r>
    <x v="22"/>
    <x v="273"/>
    <x v="1102"/>
  </r>
  <r>
    <x v="22"/>
    <x v="273"/>
    <x v="1103"/>
  </r>
  <r>
    <x v="22"/>
    <x v="273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5"/>
    <x v="1118"/>
  </r>
  <r>
    <x v="22"/>
    <x v="275"/>
    <x v="1119"/>
  </r>
  <r>
    <x v="22"/>
    <x v="275"/>
    <x v="1120"/>
  </r>
  <r>
    <x v="22"/>
    <x v="276"/>
    <x v="1121"/>
  </r>
  <r>
    <x v="22"/>
    <x v="276"/>
    <x v="1122"/>
  </r>
  <r>
    <x v="22"/>
    <x v="277"/>
    <x v="1123"/>
  </r>
  <r>
    <x v="22"/>
    <x v="277"/>
    <x v="1124"/>
  </r>
  <r>
    <x v="22"/>
    <x v="277"/>
    <x v="1125"/>
  </r>
  <r>
    <x v="22"/>
    <x v="278"/>
    <x v="1126"/>
  </r>
  <r>
    <x v="22"/>
    <x v="278"/>
    <x v="1127"/>
  </r>
  <r>
    <x v="22"/>
    <x v="278"/>
    <x v="1128"/>
  </r>
  <r>
    <x v="22"/>
    <x v="279"/>
    <x v="1129"/>
  </r>
  <r>
    <x v="22"/>
    <x v="279"/>
    <x v="1130"/>
  </r>
  <r>
    <x v="22"/>
    <x v="280"/>
    <x v="1131"/>
  </r>
  <r>
    <x v="22"/>
    <x v="280"/>
    <x v="1132"/>
  </r>
  <r>
    <x v="22"/>
    <x v="280"/>
    <x v="1133"/>
  </r>
  <r>
    <x v="22"/>
    <x v="281"/>
    <x v="1134"/>
  </r>
  <r>
    <x v="22"/>
    <x v="281"/>
    <x v="1135"/>
  </r>
  <r>
    <x v="22"/>
    <x v="282"/>
    <x v="1136"/>
  </r>
  <r>
    <x v="22"/>
    <x v="282"/>
    <x v="1137"/>
  </r>
  <r>
    <x v="22"/>
    <x v="282"/>
    <x v="1138"/>
  </r>
  <r>
    <x v="22"/>
    <x v="282"/>
    <x v="1139"/>
  </r>
  <r>
    <x v="22"/>
    <x v="282"/>
    <x v="1140"/>
  </r>
  <r>
    <x v="22"/>
    <x v="282"/>
    <x v="1141"/>
  </r>
  <r>
    <x v="22"/>
    <x v="282"/>
    <x v="1142"/>
  </r>
  <r>
    <x v="22"/>
    <x v="282"/>
    <x v="1143"/>
  </r>
  <r>
    <x v="22"/>
    <x v="282"/>
    <x v="1144"/>
  </r>
  <r>
    <x v="22"/>
    <x v="282"/>
    <x v="1145"/>
  </r>
  <r>
    <x v="22"/>
    <x v="282"/>
    <x v="1146"/>
  </r>
  <r>
    <x v="22"/>
    <x v="282"/>
    <x v="1147"/>
  </r>
  <r>
    <x v="22"/>
    <x v="282"/>
    <x v="1148"/>
  </r>
  <r>
    <x v="22"/>
    <x v="283"/>
    <x v="1149"/>
  </r>
  <r>
    <x v="22"/>
    <x v="283"/>
    <x v="1150"/>
  </r>
  <r>
    <x v="22"/>
    <x v="284"/>
    <x v="1151"/>
  </r>
  <r>
    <x v="22"/>
    <x v="284"/>
    <x v="1152"/>
  </r>
  <r>
    <x v="22"/>
    <x v="285"/>
    <x v="1153"/>
  </r>
  <r>
    <x v="22"/>
    <x v="285"/>
    <x v="1154"/>
  </r>
  <r>
    <x v="22"/>
    <x v="285"/>
    <x v="1155"/>
  </r>
  <r>
    <x v="22"/>
    <x v="286"/>
    <x v="1156"/>
  </r>
  <r>
    <x v="22"/>
    <x v="286"/>
    <x v="1157"/>
  </r>
  <r>
    <x v="22"/>
    <x v="286"/>
    <x v="1158"/>
  </r>
  <r>
    <x v="22"/>
    <x v="286"/>
    <x v="1159"/>
  </r>
  <r>
    <x v="22"/>
    <x v="286"/>
    <x v="1160"/>
  </r>
  <r>
    <x v="22"/>
    <x v="286"/>
    <x v="1161"/>
  </r>
  <r>
    <x v="22"/>
    <x v="286"/>
    <x v="1162"/>
  </r>
  <r>
    <x v="22"/>
    <x v="287"/>
    <x v="1163"/>
  </r>
  <r>
    <x v="22"/>
    <x v="287"/>
    <x v="1164"/>
  </r>
  <r>
    <x v="23"/>
    <x v="288"/>
    <x v="1165"/>
  </r>
  <r>
    <x v="23"/>
    <x v="288"/>
    <x v="1166"/>
  </r>
  <r>
    <x v="23"/>
    <x v="288"/>
    <x v="1167"/>
  </r>
  <r>
    <x v="23"/>
    <x v="288"/>
    <x v="1168"/>
  </r>
  <r>
    <x v="23"/>
    <x v="288"/>
    <x v="1169"/>
  </r>
  <r>
    <x v="23"/>
    <x v="288"/>
    <x v="1170"/>
  </r>
  <r>
    <x v="23"/>
    <x v="289"/>
    <x v="1171"/>
  </r>
  <r>
    <x v="23"/>
    <x v="289"/>
    <x v="1172"/>
  </r>
  <r>
    <x v="23"/>
    <x v="289"/>
    <x v="1173"/>
  </r>
  <r>
    <x v="23"/>
    <x v="290"/>
    <x v="1174"/>
  </r>
  <r>
    <x v="23"/>
    <x v="290"/>
    <x v="1175"/>
  </r>
  <r>
    <x v="23"/>
    <x v="290"/>
    <x v="1176"/>
  </r>
  <r>
    <x v="23"/>
    <x v="291"/>
    <x v="1177"/>
  </r>
  <r>
    <x v="23"/>
    <x v="292"/>
    <x v="1178"/>
  </r>
  <r>
    <x v="23"/>
    <x v="292"/>
    <x v="1179"/>
  </r>
  <r>
    <x v="23"/>
    <x v="293"/>
    <x v="1180"/>
  </r>
  <r>
    <x v="23"/>
    <x v="293"/>
    <x v="1181"/>
  </r>
  <r>
    <x v="23"/>
    <x v="293"/>
    <x v="1182"/>
  </r>
  <r>
    <x v="23"/>
    <x v="294"/>
    <x v="1183"/>
  </r>
  <r>
    <x v="23"/>
    <x v="294"/>
    <x v="1184"/>
  </r>
  <r>
    <x v="23"/>
    <x v="294"/>
    <x v="1185"/>
  </r>
  <r>
    <x v="23"/>
    <x v="294"/>
    <x v="1186"/>
  </r>
  <r>
    <x v="23"/>
    <x v="294"/>
    <x v="1185"/>
  </r>
  <r>
    <x v="23"/>
    <x v="294"/>
    <x v="1186"/>
  </r>
  <r>
    <x v="23"/>
    <x v="294"/>
    <x v="1184"/>
  </r>
  <r>
    <x v="23"/>
    <x v="294"/>
    <x v="1185"/>
  </r>
  <r>
    <x v="23"/>
    <x v="294"/>
    <x v="1186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3">
        <item x="193"/>
        <item m="1" x="345"/>
        <item x="229"/>
        <item x="215"/>
        <item m="1" x="299"/>
        <item x="230"/>
        <item x="231"/>
        <item x="232"/>
        <item x="233"/>
        <item x="234"/>
        <item x="235"/>
        <item x="236"/>
        <item x="237"/>
        <item x="46"/>
        <item x="7"/>
        <item x="65"/>
        <item x="66"/>
        <item m="1" x="331"/>
        <item m="1" x="324"/>
        <item x="238"/>
        <item x="8"/>
        <item x="288"/>
        <item x="67"/>
        <item x="68"/>
        <item x="69"/>
        <item x="35"/>
        <item x="131"/>
        <item x="138"/>
        <item x="1"/>
        <item x="194"/>
        <item m="1" x="327"/>
        <item x="47"/>
        <item m="1" x="295"/>
        <item x="9"/>
        <item x="48"/>
        <item m="1" x="300"/>
        <item m="1" x="301"/>
        <item x="70"/>
        <item x="195"/>
        <item x="196"/>
        <item x="197"/>
        <item m="1" x="302"/>
        <item x="49"/>
        <item x="50"/>
        <item x="51"/>
        <item m="1" x="332"/>
        <item x="71"/>
        <item m="1" x="361"/>
        <item x="36"/>
        <item m="1" x="297"/>
        <item x="10"/>
        <item x="60"/>
        <item x="61"/>
        <item x="139"/>
        <item x="140"/>
        <item x="141"/>
        <item x="142"/>
        <item x="143"/>
        <item x="132"/>
        <item m="1" x="303"/>
        <item x="198"/>
        <item x="72"/>
        <item m="1" x="369"/>
        <item x="133"/>
        <item x="239"/>
        <item x="163"/>
        <item x="73"/>
        <item m="1" x="304"/>
        <item x="52"/>
        <item x="53"/>
        <item x="171"/>
        <item x="216"/>
        <item x="240"/>
        <item m="1" x="333"/>
        <item x="241"/>
        <item x="242"/>
        <item m="1" x="347"/>
        <item x="243"/>
        <item m="1" x="334"/>
        <item x="199"/>
        <item m="1" x="305"/>
        <item x="200"/>
        <item m="1" x="328"/>
        <item x="172"/>
        <item m="1" x="329"/>
        <item m="1" x="342"/>
        <item x="173"/>
        <item x="74"/>
        <item x="75"/>
        <item x="76"/>
        <item x="244"/>
        <item x="174"/>
        <item x="245"/>
        <item x="77"/>
        <item x="11"/>
        <item x="78"/>
        <item x="289"/>
        <item m="1" x="335"/>
        <item x="246"/>
        <item x="54"/>
        <item x="12"/>
        <item x="79"/>
        <item m="1" x="306"/>
        <item x="247"/>
        <item x="144"/>
        <item x="248"/>
        <item x="175"/>
        <item m="1" x="353"/>
        <item x="80"/>
        <item x="81"/>
        <item m="1" x="307"/>
        <item m="1" x="376"/>
        <item x="55"/>
        <item x="56"/>
        <item x="201"/>
        <item x="249"/>
        <item x="250"/>
        <item x="251"/>
        <item x="37"/>
        <item x="82"/>
        <item x="217"/>
        <item x="38"/>
        <item x="83"/>
        <item x="39"/>
        <item x="40"/>
        <item x="290"/>
        <item x="84"/>
        <item m="1" x="365"/>
        <item m="1" x="379"/>
        <item x="291"/>
        <item x="218"/>
        <item x="252"/>
        <item x="13"/>
        <item m="1" x="326"/>
        <item m="1" x="348"/>
        <item x="14"/>
        <item x="85"/>
        <item x="86"/>
        <item m="1" x="358"/>
        <item x="87"/>
        <item x="219"/>
        <item x="176"/>
        <item x="161"/>
        <item x="88"/>
        <item x="89"/>
        <item m="1" x="363"/>
        <item x="202"/>
        <item x="203"/>
        <item x="90"/>
        <item x="43"/>
        <item x="91"/>
        <item x="92"/>
        <item m="1" x="296"/>
        <item m="1" x="330"/>
        <item m="1" x="375"/>
        <item m="1" x="377"/>
        <item m="1" x="308"/>
        <item x="93"/>
        <item x="57"/>
        <item x="164"/>
        <item x="94"/>
        <item m="1" x="309"/>
        <item x="15"/>
        <item x="16"/>
        <item x="17"/>
        <item m="1" x="336"/>
        <item x="62"/>
        <item x="177"/>
        <item x="253"/>
        <item x="18"/>
        <item x="254"/>
        <item x="255"/>
        <item m="1" x="362"/>
        <item m="1" x="310"/>
        <item x="58"/>
        <item m="1" x="311"/>
        <item x="256"/>
        <item m="1" x="368"/>
        <item x="162"/>
        <item x="95"/>
        <item x="96"/>
        <item m="1" x="312"/>
        <item x="145"/>
        <item m="1" x="313"/>
        <item x="257"/>
        <item x="258"/>
        <item m="1" x="380"/>
        <item m="1" x="344"/>
        <item x="259"/>
        <item x="178"/>
        <item x="19"/>
        <item m="1" x="356"/>
        <item x="220"/>
        <item x="204"/>
        <item x="2"/>
        <item x="146"/>
        <item x="147"/>
        <item m="1" x="371"/>
        <item m="1" x="340"/>
        <item m="1" x="370"/>
        <item x="225"/>
        <item x="148"/>
        <item x="260"/>
        <item m="1" x="314"/>
        <item x="134"/>
        <item x="261"/>
        <item x="262"/>
        <item x="149"/>
        <item m="1" x="315"/>
        <item m="1" x="316"/>
        <item x="150"/>
        <item x="263"/>
        <item m="1" x="317"/>
        <item x="151"/>
        <item x="226"/>
        <item x="205"/>
        <item x="227"/>
        <item x="206"/>
        <item x="97"/>
        <item m="1" x="325"/>
        <item x="152"/>
        <item x="98"/>
        <item x="264"/>
        <item x="99"/>
        <item m="1" x="298"/>
        <item m="1" x="354"/>
        <item x="100"/>
        <item x="101"/>
        <item x="59"/>
        <item x="63"/>
        <item m="1" x="367"/>
        <item x="102"/>
        <item x="103"/>
        <item x="3"/>
        <item x="165"/>
        <item x="166"/>
        <item x="167"/>
        <item x="168"/>
        <item x="207"/>
        <item x="221"/>
        <item x="20"/>
        <item x="265"/>
        <item x="179"/>
        <item x="180"/>
        <item x="181"/>
        <item x="182"/>
        <item x="104"/>
        <item x="153"/>
        <item x="208"/>
        <item x="228"/>
        <item m="1" x="351"/>
        <item x="222"/>
        <item x="266"/>
        <item x="105"/>
        <item x="209"/>
        <item x="292"/>
        <item x="106"/>
        <item x="107"/>
        <item m="1" x="343"/>
        <item x="21"/>
        <item x="183"/>
        <item x="108"/>
        <item m="1" x="318"/>
        <item x="293"/>
        <item x="109"/>
        <item x="154"/>
        <item x="155"/>
        <item x="156"/>
        <item m="1" x="355"/>
        <item x="267"/>
        <item x="110"/>
        <item x="22"/>
        <item x="268"/>
        <item m="1" x="352"/>
        <item m="1" x="338"/>
        <item m="1" x="381"/>
        <item x="294"/>
        <item m="1" x="337"/>
        <item m="1" x="373"/>
        <item x="23"/>
        <item m="1" x="341"/>
        <item x="135"/>
        <item x="136"/>
        <item x="137"/>
        <item x="157"/>
        <item x="158"/>
        <item x="184"/>
        <item x="24"/>
        <item x="185"/>
        <item x="223"/>
        <item x="111"/>
        <item x="112"/>
        <item x="159"/>
        <item x="210"/>
        <item x="25"/>
        <item x="26"/>
        <item x="186"/>
        <item x="187"/>
        <item x="188"/>
        <item m="1" x="357"/>
        <item m="1" x="319"/>
        <item x="269"/>
        <item x="270"/>
        <item x="44"/>
        <item x="160"/>
        <item x="4"/>
        <item x="45"/>
        <item x="271"/>
        <item x="113"/>
        <item x="114"/>
        <item x="27"/>
        <item x="64"/>
        <item x="169"/>
        <item m="1" x="374"/>
        <item x="115"/>
        <item x="189"/>
        <item m="1" x="350"/>
        <item x="28"/>
        <item x="272"/>
        <item x="224"/>
        <item x="116"/>
        <item x="117"/>
        <item x="273"/>
        <item x="274"/>
        <item x="5"/>
        <item m="1" x="349"/>
        <item m="1" x="360"/>
        <item x="118"/>
        <item x="119"/>
        <item m="1" x="372"/>
        <item m="1" x="364"/>
        <item x="29"/>
        <item x="30"/>
        <item x="190"/>
        <item x="275"/>
        <item x="31"/>
        <item x="191"/>
        <item x="41"/>
        <item x="120"/>
        <item x="32"/>
        <item x="121"/>
        <item x="122"/>
        <item x="170"/>
        <item x="192"/>
        <item x="123"/>
        <item x="124"/>
        <item m="1" x="320"/>
        <item x="276"/>
        <item x="42"/>
        <item x="125"/>
        <item x="277"/>
        <item m="1" x="382"/>
        <item m="1" x="321"/>
        <item x="33"/>
        <item x="34"/>
        <item x="278"/>
        <item m="1" x="339"/>
        <item x="279"/>
        <item x="126"/>
        <item x="127"/>
        <item m="1" x="359"/>
        <item x="128"/>
        <item x="280"/>
        <item m="1" x="322"/>
        <item m="1" x="323"/>
        <item x="129"/>
        <item x="211"/>
        <item m="1" x="366"/>
        <item x="281"/>
        <item x="282"/>
        <item x="212"/>
        <item x="283"/>
        <item x="6"/>
        <item x="213"/>
        <item m="1" x="378"/>
        <item m="1" x="346"/>
        <item x="284"/>
        <item x="285"/>
        <item x="286"/>
        <item x="287"/>
        <item x="214"/>
        <item x="13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1">
        <item m="1" x="1219"/>
        <item x="745"/>
        <item x="746"/>
        <item m="1" x="1220"/>
        <item x="799"/>
        <item x="801"/>
        <item x="800"/>
        <item x="802"/>
        <item x="803"/>
        <item x="815"/>
        <item x="816"/>
        <item x="175"/>
        <item x="50"/>
        <item x="51"/>
        <item x="52"/>
        <item m="1" x="1289"/>
        <item x="231"/>
        <item x="53"/>
        <item x="817"/>
        <item x="235"/>
        <item x="820"/>
        <item x="439"/>
        <item x="54"/>
        <item m="1" x="1221"/>
        <item m="1" x="1203"/>
        <item m="1" x="1307"/>
        <item m="1" x="1225"/>
        <item x="75"/>
        <item x="216"/>
        <item x="214"/>
        <item m="1" x="1389"/>
        <item x="506"/>
        <item m="1" x="1229"/>
        <item x="442"/>
        <item x="444"/>
        <item m="1" x="1472"/>
        <item x="242"/>
        <item m="1" x="1231"/>
        <item x="823"/>
        <item x="571"/>
        <item x="588"/>
        <item x="836"/>
        <item x="747"/>
        <item m="1" x="1310"/>
        <item x="842"/>
        <item m="1" x="1313"/>
        <item x="855"/>
        <item x="249"/>
        <item m="1" x="1477"/>
        <item x="616"/>
        <item x="247"/>
        <item m="1" x="1326"/>
        <item m="1" x="1236"/>
        <item m="1" x="1432"/>
        <item x="627"/>
        <item x="510"/>
        <item x="262"/>
        <item m="1" x="1238"/>
        <item m="1" x="1290"/>
        <item m="1" x="1291"/>
        <item x="821"/>
        <item x="82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65"/>
        <item x="1166"/>
        <item x="1168"/>
        <item x="1169"/>
        <item m="1" x="1199"/>
        <item x="236"/>
        <item x="440"/>
        <item m="1" x="1204"/>
        <item m="1" x="1205"/>
        <item m="1" x="1206"/>
        <item m="1" x="1207"/>
        <item m="1" x="1208"/>
        <item m="1" x="1209"/>
        <item m="1" x="1222"/>
        <item m="1" x="1223"/>
        <item m="1" x="1226"/>
        <item m="1" x="1227"/>
        <item m="1" x="1228"/>
        <item x="181"/>
        <item x="183"/>
        <item m="1" x="1308"/>
        <item m="1" x="1309"/>
        <item m="1" x="1511"/>
        <item m="1" x="1530"/>
        <item m="1" x="1430"/>
        <item m="1" x="1471"/>
        <item m="1" x="1518"/>
        <item m="1" x="1578"/>
        <item m="1" x="1371"/>
        <item m="1" x="1560"/>
        <item m="1" x="1484"/>
        <item m="1" x="1406"/>
        <item m="1" x="1544"/>
        <item m="1" x="1574"/>
        <item m="1" x="1491"/>
        <item m="1" x="1525"/>
        <item m="1" x="1362"/>
        <item m="1" x="1512"/>
        <item m="1" x="1415"/>
        <item m="1" x="1563"/>
        <item m="1" x="1361"/>
        <item m="1" x="1555"/>
        <item m="1" x="1422"/>
        <item x="76"/>
        <item x="77"/>
        <item x="78"/>
        <item x="215"/>
        <item x="217"/>
        <item x="507"/>
        <item x="508"/>
        <item x="509"/>
        <item x="443"/>
        <item m="1" x="1230"/>
        <item x="243"/>
        <item m="1" x="1553"/>
        <item x="445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572"/>
        <item m="1" x="1232"/>
        <item x="189"/>
        <item x="589"/>
        <item x="590"/>
        <item x="591"/>
        <item x="592"/>
        <item x="593"/>
        <item x="594"/>
        <item x="595"/>
        <item x="596"/>
        <item x="597"/>
        <item x="598"/>
        <item x="748"/>
        <item x="81"/>
        <item x="837"/>
        <item m="1" x="1311"/>
        <item m="1" x="131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x="176"/>
        <item m="1" x="1224"/>
        <item x="182"/>
        <item x="184"/>
        <item x="190"/>
        <item m="1" x="1233"/>
        <item x="195"/>
        <item x="968"/>
        <item m="1" x="1234"/>
        <item m="1" x="1235"/>
        <item m="1" x="1433"/>
        <item m="1" x="1519"/>
        <item m="1" x="1481"/>
        <item m="1" x="1542"/>
        <item m="1" x="1379"/>
        <item x="248"/>
        <item x="250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m="1" x="1478"/>
        <item m="1" x="1394"/>
        <item m="1" x="1327"/>
        <item x="82"/>
        <item x="83"/>
        <item m="1" x="1237"/>
        <item x="511"/>
        <item x="512"/>
        <item x="513"/>
        <item x="628"/>
        <item m="1" x="1535"/>
        <item x="263"/>
        <item m="1" x="1239"/>
        <item x="1170"/>
        <item x="1173"/>
        <item x="196"/>
        <item x="969"/>
        <item x="266"/>
        <item m="1" x="1444"/>
        <item x="749"/>
        <item x="970"/>
        <item m="1" x="1464"/>
        <item x="1174"/>
        <item m="1" x="1423"/>
        <item x="268"/>
        <item x="269"/>
        <item x="273"/>
        <item m="1" x="1200"/>
        <item m="1" x="1201"/>
        <item m="1" x="1577"/>
        <item m="1" x="1375"/>
        <item m="1" x="1202"/>
        <item x="1175"/>
        <item x="1176"/>
        <item m="1" x="1503"/>
        <item m="1" x="1411"/>
        <item x="751"/>
        <item x="752"/>
        <item x="971"/>
        <item x="84"/>
        <item x="750"/>
        <item x="753"/>
        <item x="85"/>
        <item x="86"/>
        <item x="629"/>
        <item m="1" x="1401"/>
        <item m="1" x="1400"/>
        <item m="1" x="1569"/>
        <item m="1" x="1499"/>
        <item m="1" x="1580"/>
        <item m="1" x="1404"/>
        <item x="754"/>
        <item x="630"/>
        <item x="286"/>
        <item x="287"/>
        <item x="290"/>
        <item x="294"/>
        <item x="169"/>
        <item x="288"/>
        <item m="1" x="1210"/>
        <item x="289"/>
        <item x="170"/>
        <item x="292"/>
        <item x="295"/>
        <item x="296"/>
        <item x="293"/>
        <item m="1" x="1211"/>
        <item m="1" x="1363"/>
        <item m="1" x="1364"/>
        <item m="1" x="1556"/>
        <item m="1" x="1328"/>
        <item x="974"/>
        <item x="218"/>
        <item x="573"/>
        <item x="300"/>
        <item x="302"/>
        <item x="89"/>
        <item x="91"/>
        <item x="93"/>
        <item x="972"/>
        <item x="976"/>
        <item m="1" x="1383"/>
        <item x="95"/>
        <item x="983"/>
        <item x="304"/>
        <item x="574"/>
        <item m="1" x="1558"/>
        <item m="1" x="1374"/>
        <item m="1" x="1365"/>
        <item x="90"/>
        <item x="92"/>
        <item x="94"/>
        <item m="1" x="1329"/>
        <item x="219"/>
        <item x="973"/>
        <item x="96"/>
        <item x="975"/>
        <item x="977"/>
        <item x="978"/>
        <item x="979"/>
        <item x="980"/>
        <item x="981"/>
        <item x="982"/>
        <item m="1" x="1489"/>
        <item m="1" x="1557"/>
        <item x="984"/>
        <item m="1" x="1469"/>
        <item x="515"/>
        <item m="1" x="1463"/>
        <item m="1" x="1450"/>
        <item m="1" x="1376"/>
        <item m="1" x="1427"/>
        <item x="516"/>
        <item x="786"/>
        <item m="1" x="1257"/>
        <item m="1" x="1270"/>
        <item x="633"/>
        <item x="97"/>
        <item m="1" x="1473"/>
        <item x="755"/>
        <item m="1" x="1395"/>
        <item m="1" x="1579"/>
        <item m="1" x="1496"/>
        <item m="1" x="1431"/>
        <item x="765"/>
        <item x="764"/>
        <item x="767"/>
        <item x="766"/>
        <item x="769"/>
        <item x="771"/>
        <item x="773"/>
        <item x="775"/>
        <item x="777"/>
        <item x="779"/>
        <item x="781"/>
        <item x="634"/>
        <item m="1" x="1255"/>
        <item x="996"/>
        <item x="997"/>
        <item m="1" x="1271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x="98"/>
        <item m="1" x="1399"/>
        <item m="1" x="1418"/>
        <item m="1" x="1354"/>
        <item m="1" x="1532"/>
        <item m="1" x="1256"/>
        <item x="756"/>
        <item m="1" x="1515"/>
        <item m="1" x="1538"/>
        <item x="998"/>
        <item x="787"/>
        <item m="1" x="1292"/>
        <item x="529"/>
        <item x="1002"/>
        <item x="316"/>
        <item x="1003"/>
        <item m="1" x="1293"/>
        <item x="317"/>
        <item x="530"/>
        <item x="575"/>
        <item x="577"/>
        <item x="578"/>
        <item x="580"/>
        <item x="582"/>
        <item x="581"/>
        <item x="576"/>
        <item x="583"/>
        <item x="579"/>
        <item x="757"/>
        <item x="1004"/>
        <item x="531"/>
        <item x="758"/>
        <item x="1005"/>
        <item x="790"/>
        <item x="532"/>
        <item x="791"/>
        <item x="1006"/>
        <item x="1007"/>
        <item x="1178"/>
        <item x="1179"/>
        <item x="111"/>
        <item m="1" x="1443"/>
        <item x="533"/>
        <item x="535"/>
        <item x="537"/>
        <item m="1" x="1441"/>
        <item x="1008"/>
        <item x="337"/>
        <item m="1" x="1360"/>
        <item x="644"/>
        <item x="645"/>
        <item x="339"/>
        <item x="338"/>
        <item x="534"/>
        <item x="536"/>
        <item x="538"/>
        <item m="1" x="1524"/>
        <item m="1" x="1571"/>
        <item m="1" x="1457"/>
        <item m="1" x="1474"/>
        <item m="1" x="1458"/>
        <item m="1" x="1475"/>
        <item m="1" x="1435"/>
        <item m="1" x="1366"/>
        <item m="1" x="1459"/>
        <item m="1" x="1476"/>
        <item m="1" x="1449"/>
        <item m="1" x="1554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340"/>
        <item x="112"/>
        <item m="1" x="1419"/>
        <item m="1" x="1570"/>
        <item m="1" x="1564"/>
        <item m="1" x="1352"/>
        <item m="1" x="1353"/>
        <item m="1" x="1545"/>
        <item x="1183"/>
        <item x="1184"/>
        <item x="1185"/>
        <item x="1186"/>
        <item m="1" x="1566"/>
        <item x="113"/>
        <item m="1" x="1540"/>
        <item x="449"/>
        <item x="451"/>
        <item x="453"/>
        <item m="1" x="1278"/>
        <item x="539"/>
        <item x="540"/>
        <item m="1" x="1396"/>
        <item m="1" x="1565"/>
        <item m="1" x="1505"/>
        <item m="1" x="1377"/>
        <item m="1" x="1466"/>
        <item m="1" x="1568"/>
        <item m="1" x="1576"/>
        <item m="1" x="1409"/>
        <item x="549"/>
        <item x="550"/>
        <item m="1" x="1388"/>
        <item m="1" x="1407"/>
        <item m="1" x="1386"/>
        <item m="1" x="1523"/>
        <item m="1" x="1416"/>
        <item m="1" x="1514"/>
        <item m="1" x="1421"/>
        <item m="1" x="1413"/>
        <item x="552"/>
        <item x="553"/>
        <item x="554"/>
        <item x="555"/>
        <item x="556"/>
        <item x="557"/>
        <item x="542"/>
        <item x="543"/>
        <item x="544"/>
        <item x="545"/>
        <item x="546"/>
        <item x="547"/>
        <item m="1" x="1384"/>
        <item m="1" x="1408"/>
        <item m="1" x="1567"/>
        <item m="1" x="1573"/>
        <item m="1" x="1534"/>
        <item m="1" x="1412"/>
        <item m="1" x="1414"/>
        <item m="1" x="1456"/>
        <item m="1" x="1495"/>
        <item m="1" x="1446"/>
        <item m="1" x="1479"/>
        <item m="1" x="1436"/>
        <item m="1" x="1539"/>
        <item m="1" x="1426"/>
        <item m="1" x="1552"/>
        <item x="114"/>
        <item x="450"/>
        <item x="452"/>
        <item x="454"/>
        <item x="115"/>
        <item x="666"/>
        <item x="559"/>
        <item x="1094"/>
        <item x="116"/>
        <item x="667"/>
        <item x="759"/>
        <item x="341"/>
        <item x="560"/>
        <item x="342"/>
        <item x="548"/>
        <item x="558"/>
        <item m="1" x="1562"/>
        <item x="117"/>
        <item x="672"/>
        <item x="670"/>
        <item x="668"/>
        <item x="760"/>
        <item x="119"/>
        <item x="118"/>
        <item x="120"/>
        <item x="669"/>
        <item x="671"/>
        <item x="673"/>
        <item m="1" x="1279"/>
        <item x="1095"/>
        <item m="1" x="1440"/>
        <item x="121"/>
        <item x="761"/>
        <item x="122"/>
        <item x="222"/>
        <item x="584"/>
        <item m="1" x="1417"/>
        <item x="352"/>
        <item x="223"/>
        <item x="585"/>
        <item m="1" x="1517"/>
        <item m="1" x="1498"/>
        <item m="1" x="1529"/>
        <item m="1" x="1513"/>
        <item m="1" x="1368"/>
        <item m="1" x="1490"/>
        <item m="1" x="1531"/>
        <item m="1" x="1504"/>
        <item x="353"/>
        <item m="1" x="1405"/>
        <item x="762"/>
        <item x="356"/>
        <item x="357"/>
        <item x="358"/>
        <item x="46"/>
        <item m="1" x="1543"/>
        <item m="1" x="1548"/>
        <item m="1" x="1486"/>
        <item m="1" x="1387"/>
        <item m="1" x="1442"/>
        <item m="1" x="1445"/>
        <item m="1" x="1453"/>
        <item x="1121"/>
        <item x="1118"/>
        <item x="131"/>
        <item m="1" x="1439"/>
        <item m="1" x="1488"/>
        <item x="132"/>
        <item x="47"/>
        <item m="1" x="1455"/>
        <item x="1122"/>
        <item m="1" x="1434"/>
        <item m="1" x="1282"/>
        <item x="1126"/>
        <item x="1131"/>
        <item m="1" x="1373"/>
        <item m="1" x="1541"/>
        <item m="1" x="1393"/>
        <item m="1" x="1397"/>
        <item m="1" x="1509"/>
        <item m="1" x="1283"/>
        <item m="1" x="1284"/>
        <item x="1127"/>
        <item x="1128"/>
        <item m="1" x="1420"/>
        <item m="1" x="1429"/>
        <item x="1132"/>
        <item x="1133"/>
        <item m="1" x="1285"/>
        <item m="1" x="1287"/>
        <item m="1" x="1533"/>
        <item m="1" x="1546"/>
        <item m="1" x="1286"/>
        <item m="1" x="1288"/>
        <item x="48"/>
        <item x="1149"/>
        <item x="1150"/>
        <item x="1163"/>
        <item m="1" x="1522"/>
        <item x="49"/>
        <item m="1" x="1391"/>
        <item x="1164"/>
        <item x="436"/>
        <item x="743"/>
        <item x="744"/>
        <item x="437"/>
        <item x="438"/>
        <item x="0"/>
        <item m="1" x="1506"/>
        <item m="1" x="1390"/>
        <item m="1" x="1451"/>
        <item x="768"/>
        <item n="Frac of Pol Impl This Yr - 2 - NDC.xlsx" m="1" x="1492"/>
        <item m="1" x="1461"/>
        <item x="694"/>
        <item x="695"/>
        <item m="1" x="1467"/>
        <item m="1" x="1382"/>
        <item m="1" x="1247"/>
        <item m="1" x="1248"/>
        <item m="1" x="1272"/>
        <item m="1" x="1273"/>
        <item x="563"/>
        <item x="564"/>
        <item x="565"/>
        <item x="566"/>
        <item x="647"/>
        <item x="650"/>
        <item x="651"/>
        <item x="652"/>
        <item x="653"/>
        <item x="654"/>
        <item x="655"/>
        <item m="1" x="1187"/>
        <item x="656"/>
        <item x="657"/>
        <item m="1" x="1398"/>
        <item m="1" x="1536"/>
        <item x="663"/>
        <item x="664"/>
        <item x="665"/>
        <item x="1119"/>
        <item x="1120"/>
        <item x="1171"/>
        <item x="1172"/>
        <item m="1" x="1212"/>
        <item m="1" x="1380"/>
        <item x="159"/>
        <item x="160"/>
        <item x="162"/>
        <item x="200"/>
        <item x="201"/>
        <item m="1" x="1216"/>
        <item m="1" x="1217"/>
        <item m="1" x="1218"/>
        <item m="1" x="1465"/>
        <item m="1" x="1359"/>
        <item x="808"/>
        <item x="809"/>
        <item x="810"/>
        <item m="1" x="1392"/>
        <item m="1" x="1410"/>
        <item m="1" x="1480"/>
        <item m="1" x="1385"/>
        <item m="1" x="1572"/>
        <item m="1" x="1378"/>
        <item m="1" x="1537"/>
        <item m="1" x="1249"/>
        <item m="1" x="1250"/>
        <item m="1" x="1424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3"/>
        <item x="124"/>
        <item x="125"/>
        <item x="126"/>
        <item x="127"/>
        <item x="128"/>
        <item x="135"/>
        <item x="136"/>
        <item x="137"/>
        <item x="138"/>
        <item x="139"/>
        <item x="140"/>
        <item x="158"/>
        <item x="171"/>
        <item x="172"/>
        <item x="179"/>
        <item x="180"/>
        <item x="173"/>
        <item x="174"/>
        <item m="1" x="1198"/>
        <item x="301"/>
        <item x="303"/>
        <item x="388"/>
        <item x="389"/>
        <item x="390"/>
        <item x="391"/>
        <item m="1" x="1403"/>
        <item x="315"/>
        <item x="447"/>
        <item x="448"/>
        <item x="561"/>
        <item x="562"/>
        <item m="1" x="1547"/>
        <item m="1" x="1527"/>
        <item m="1" x="1550"/>
        <item m="1" x="1447"/>
        <item m="1" x="1516"/>
        <item x="690"/>
        <item x="691"/>
        <item x="692"/>
        <item x="693"/>
        <item x="696"/>
        <item x="697"/>
        <item m="1" x="1497"/>
        <item m="1" x="1507"/>
        <item x="701"/>
        <item x="702"/>
        <item m="1" x="1370"/>
        <item m="1" x="1460"/>
        <item x="703"/>
        <item x="704"/>
        <item m="1" x="1302"/>
        <item m="1" x="1303"/>
        <item m="1" x="1381"/>
        <item m="1" x="1454"/>
        <item m="1" x="1493"/>
        <item m="1" x="1575"/>
        <item x="733"/>
        <item x="734"/>
        <item x="737"/>
        <item x="738"/>
        <item x="739"/>
        <item x="740"/>
        <item x="988"/>
        <item x="989"/>
        <item x="1098"/>
        <item x="1099"/>
        <item x="55"/>
        <item x="87"/>
        <item x="88"/>
        <item x="202"/>
        <item m="1" x="1510"/>
        <item m="1" x="1437"/>
        <item m="1" x="1485"/>
        <item m="1" x="1528"/>
        <item m="1" x="1438"/>
        <item x="271"/>
        <item m="1" x="1242"/>
        <item m="1" x="1243"/>
        <item m="1" x="1244"/>
        <item m="1" x="1245"/>
        <item m="1" x="1246"/>
        <item x="455"/>
        <item x="456"/>
        <item x="463"/>
        <item m="1" x="1551"/>
        <item m="1" x="1402"/>
        <item m="1" x="1298"/>
        <item m="1" x="1299"/>
        <item m="1" x="1300"/>
        <item m="1" x="1301"/>
        <item x="731"/>
        <item x="732"/>
        <item x="735"/>
        <item x="736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99"/>
        <item m="1" x="1369"/>
        <item x="100"/>
        <item m="1" x="1462"/>
        <item x="101"/>
        <item x="102"/>
        <item m="1" x="1520"/>
        <item x="103"/>
        <item m="1" x="1500"/>
        <item x="104"/>
        <item x="105"/>
        <item m="1" x="1521"/>
        <item x="106"/>
        <item m="1" x="1501"/>
        <item x="107"/>
        <item x="108"/>
        <item x="203"/>
        <item x="205"/>
        <item x="206"/>
        <item x="207"/>
        <item x="208"/>
        <item x="209"/>
        <item x="210"/>
        <item x="211"/>
        <item x="212"/>
        <item x="676"/>
        <item x="677"/>
        <item x="721"/>
        <item x="722"/>
        <item m="1" x="1487"/>
        <item x="990"/>
        <item x="991"/>
        <item x="133"/>
        <item x="134"/>
        <item x="314"/>
        <item m="1" x="1197"/>
        <item x="586"/>
        <item x="587"/>
        <item m="1" x="1549"/>
        <item m="1" x="1502"/>
        <item m="1" x="1294"/>
        <item m="1" x="1295"/>
        <item x="631"/>
        <item x="632"/>
        <item x="678"/>
        <item x="679"/>
        <item x="680"/>
        <item x="681"/>
        <item x="729"/>
        <item x="730"/>
        <item x="723"/>
        <item x="726"/>
        <item x="727"/>
        <item x="728"/>
        <item m="1" x="1526"/>
        <item x="129"/>
        <item x="130"/>
        <item m="1" x="1213"/>
        <item m="1" x="1351"/>
        <item x="187"/>
        <item x="188"/>
        <item m="1" x="1191"/>
        <item m="1" x="1192"/>
        <item m="1" x="1193"/>
        <item m="1" x="1194"/>
        <item m="1" x="1195"/>
        <item m="1" x="1196"/>
        <item x="276"/>
        <item x="277"/>
        <item m="1" x="1452"/>
        <item m="1" x="1280"/>
        <item m="1" x="1281"/>
        <item m="1" x="1358"/>
        <item m="1" x="1367"/>
        <item m="1" x="1561"/>
        <item m="1" x="1483"/>
        <item m="1" x="1372"/>
        <item m="1" x="1470"/>
        <item m="1" x="1559"/>
        <item m="1" x="1494"/>
        <item m="1" x="1425"/>
        <item x="782"/>
        <item n="Frac of Pol Impl This Yr - 3 - Example Scenario.xlsx" m="1" x="1448"/>
        <item m="1" x="1482"/>
        <item x="1102"/>
        <item x="1103"/>
        <item x="1104"/>
        <item m="1" x="1251"/>
        <item m="1" x="1252"/>
        <item m="1" x="1253"/>
        <item m="1" x="1254"/>
        <item x="521"/>
        <item x="522"/>
        <item x="541"/>
        <item x="551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7"/>
        <item x="618"/>
        <item x="619"/>
        <item x="620"/>
        <item x="621"/>
        <item x="622"/>
        <item x="623"/>
        <item x="624"/>
        <item x="625"/>
        <item x="626"/>
        <item x="642"/>
        <item x="643"/>
        <item x="658"/>
        <item x="659"/>
        <item x="660"/>
        <item x="661"/>
        <item x="724"/>
        <item x="725"/>
        <item m="1" x="1508"/>
        <item m="1" x="1468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0"/>
        <item x="221"/>
        <item x="525"/>
        <item x="526"/>
        <item x="649"/>
        <item m="1" x="1296"/>
        <item x="685"/>
        <item m="1" x="1297"/>
        <item x="700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n="Frac of Pol Impl This Yr - 2 - NDC.xlsx2" m="1" x="1355"/>
        <item n="Frac of Pol Impl This Yr - 3 - Example Scenario.xlsx2" m="1" x="1356"/>
        <item m="1" x="1304"/>
        <item m="1" x="1357"/>
        <item m="1" x="1428"/>
        <item m="1" x="1330"/>
        <item m="1" x="1331"/>
        <item m="1" x="1332"/>
        <item m="1" x="1333"/>
        <item m="1" x="1334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214"/>
        <item m="1" x="1215"/>
        <item m="1" x="1240"/>
        <item m="1" x="1241"/>
        <item m="1" x="1274"/>
        <item m="1" x="1275"/>
        <item m="1" x="1276"/>
        <item m="1" x="1277"/>
        <item m="1" x="1349"/>
        <item m="1" x="1188"/>
        <item m="1" x="1189"/>
        <item m="1" x="1190"/>
        <item m="1" x="1350"/>
        <item x="770"/>
        <item x="772"/>
        <item x="774"/>
        <item x="776"/>
        <item x="778"/>
        <item x="780"/>
        <item x="784"/>
        <item x="785"/>
        <item x="797"/>
        <item x="798"/>
        <item x="806"/>
        <item x="807"/>
        <item x="813"/>
        <item x="814"/>
        <item m="1" x="1305"/>
        <item m="1" x="1306"/>
        <item x="999"/>
        <item x="1000"/>
        <item x="1001"/>
        <item x="44"/>
        <item x="45"/>
        <item x="71"/>
        <item x="72"/>
        <item x="73"/>
        <item x="74"/>
        <item x="79"/>
        <item x="80"/>
        <item x="109"/>
        <item x="11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1"/>
        <item x="163"/>
        <item x="164"/>
        <item x="165"/>
        <item x="166"/>
        <item x="167"/>
        <item x="168"/>
        <item x="177"/>
        <item x="178"/>
        <item x="185"/>
        <item x="186"/>
        <item x="191"/>
        <item x="192"/>
        <item x="193"/>
        <item x="194"/>
        <item x="197"/>
        <item x="198"/>
        <item x="199"/>
        <item x="204"/>
        <item x="213"/>
        <item x="224"/>
        <item x="225"/>
        <item x="226"/>
        <item x="227"/>
        <item x="228"/>
        <item x="229"/>
        <item x="230"/>
        <item x="232"/>
        <item x="233"/>
        <item x="234"/>
        <item x="237"/>
        <item x="238"/>
        <item x="239"/>
        <item x="240"/>
        <item x="241"/>
        <item x="244"/>
        <item x="245"/>
        <item x="246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4"/>
        <item x="265"/>
        <item x="267"/>
        <item x="270"/>
        <item x="272"/>
        <item x="274"/>
        <item x="275"/>
        <item x="278"/>
        <item x="279"/>
        <item x="280"/>
        <item x="281"/>
        <item x="282"/>
        <item x="283"/>
        <item x="284"/>
        <item x="285"/>
        <item x="291"/>
        <item x="297"/>
        <item x="298"/>
        <item x="299"/>
        <item x="305"/>
        <item x="306"/>
        <item x="307"/>
        <item x="308"/>
        <item x="309"/>
        <item x="310"/>
        <item x="311"/>
        <item x="312"/>
        <item x="313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43"/>
        <item x="344"/>
        <item x="345"/>
        <item x="346"/>
        <item x="347"/>
        <item x="348"/>
        <item x="349"/>
        <item x="350"/>
        <item x="351"/>
        <item x="354"/>
        <item x="355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41"/>
        <item x="446"/>
        <item x="457"/>
        <item x="458"/>
        <item x="459"/>
        <item x="460"/>
        <item x="461"/>
        <item x="462"/>
        <item x="517"/>
        <item x="518"/>
        <item x="519"/>
        <item x="520"/>
        <item x="523"/>
        <item x="524"/>
        <item x="527"/>
        <item x="528"/>
        <item x="567"/>
        <item x="568"/>
        <item x="569"/>
        <item x="570"/>
        <item x="613"/>
        <item x="614"/>
        <item x="615"/>
        <item x="635"/>
        <item x="636"/>
        <item x="637"/>
        <item x="638"/>
        <item x="639"/>
        <item x="640"/>
        <item x="641"/>
        <item x="674"/>
        <item x="675"/>
        <item x="682"/>
        <item x="683"/>
        <item x="684"/>
        <item x="686"/>
        <item x="687"/>
        <item x="688"/>
        <item x="689"/>
        <item x="698"/>
        <item x="699"/>
        <item x="741"/>
        <item x="742"/>
        <item x="788"/>
        <item x="789"/>
        <item x="792"/>
        <item x="793"/>
        <item x="794"/>
        <item x="795"/>
        <item x="796"/>
        <item x="811"/>
        <item x="812"/>
        <item x="838"/>
        <item x="839"/>
        <item x="840"/>
        <item x="841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85"/>
        <item x="986"/>
        <item x="987"/>
        <item x="992"/>
        <item x="993"/>
        <item x="994"/>
        <item x="995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6"/>
        <item x="1097"/>
        <item x="1100"/>
        <item x="1101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23"/>
        <item x="1124"/>
        <item x="1125"/>
        <item x="1129"/>
        <item x="113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77"/>
        <item x="1180"/>
        <item x="1181"/>
        <item x="1182"/>
        <item x="818"/>
        <item x="819"/>
        <item x="804"/>
        <item x="805"/>
        <item x="1167"/>
        <item x="514"/>
        <item x="763"/>
        <item x="783"/>
        <item x="646"/>
        <item x="648"/>
        <item x="66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8"/>
      <x v="1101"/>
    </i>
    <i r="1">
      <x v="194"/>
      <x v="1127"/>
    </i>
    <i r="1">
      <x v="233"/>
      <x v="804"/>
    </i>
    <i r="1">
      <x v="305"/>
      <x v="1210"/>
    </i>
    <i r="1">
      <x v="324"/>
      <x v="702"/>
    </i>
    <i r="1">
      <x v="372"/>
      <x v="728"/>
    </i>
    <i>
      <x v="3"/>
      <x v="14"/>
      <x v="17"/>
    </i>
    <i r="1">
      <x v="20"/>
      <x v="22"/>
    </i>
    <i r="1">
      <x v="33"/>
      <x v="1211"/>
    </i>
    <i r="1">
      <x v="50"/>
      <x v="27"/>
    </i>
    <i r="1">
      <x v="94"/>
      <x v="1215"/>
    </i>
    <i r="1">
      <x v="100"/>
      <x v="159"/>
    </i>
    <i r="1">
      <x v="132"/>
      <x v="318"/>
    </i>
    <i r="1">
      <x v="135"/>
      <x v="319"/>
    </i>
    <i r="1">
      <x v="162"/>
      <x v="352"/>
    </i>
    <i r="1">
      <x v="163"/>
      <x v="353"/>
    </i>
    <i r="1">
      <x v="164"/>
      <x v="354"/>
    </i>
    <i r="1">
      <x v="169"/>
      <x v="358"/>
    </i>
    <i r="1">
      <x v="190"/>
      <x v="428"/>
    </i>
    <i r="1">
      <x v="240"/>
      <x v="972"/>
    </i>
    <i r="1">
      <x v="259"/>
      <x v="1217"/>
    </i>
    <i r="1">
      <x v="271"/>
      <x v="468"/>
    </i>
    <i r="1">
      <x v="279"/>
      <x v="634"/>
    </i>
    <i r="1">
      <x v="287"/>
      <x v="638"/>
    </i>
    <i r="1">
      <x v="294"/>
      <x v="651"/>
    </i>
    <i r="1">
      <x v="295"/>
      <x v="656"/>
    </i>
    <i r="1">
      <x v="310"/>
      <x v="667"/>
    </i>
    <i r="1">
      <x v="317"/>
      <x v="820"/>
    </i>
    <i r="1">
      <x v="331"/>
      <x v="822"/>
    </i>
    <i r="1">
      <x v="332"/>
      <x v="1012"/>
    </i>
    <i r="1">
      <x v="335"/>
      <x v="698"/>
    </i>
    <i r="1">
      <x v="339"/>
      <x v="989"/>
    </i>
    <i r="1">
      <x v="353"/>
      <x v="826"/>
    </i>
    <i r="1">
      <x v="354"/>
      <x v="830"/>
    </i>
    <i>
      <x v="4"/>
      <x v="25"/>
      <x v="1219"/>
    </i>
    <i r="1">
      <x v="48"/>
      <x v="1222"/>
    </i>
    <i r="1">
      <x v="118"/>
      <x v="1225"/>
    </i>
    <i r="1">
      <x v="121"/>
      <x v="832"/>
    </i>
    <i r="1">
      <x v="123"/>
      <x v="781"/>
    </i>
    <i r="1">
      <x v="124"/>
      <x v="1237"/>
    </i>
    <i r="1">
      <x v="337"/>
      <x v="1239"/>
    </i>
    <i r="1">
      <x v="348"/>
      <x v="1241"/>
    </i>
    <i>
      <x v="5"/>
      <x v="149"/>
      <x v="333"/>
    </i>
    <i r="1">
      <x v="303"/>
      <x v="834"/>
    </i>
    <i>
      <x v="7"/>
      <x v="306"/>
      <x v="838"/>
    </i>
    <i>
      <x v="10"/>
      <x v="13"/>
      <x v="187"/>
    </i>
    <i r="1">
      <x v="31"/>
      <x v="1244"/>
    </i>
    <i r="1">
      <x v="34"/>
      <x v="836"/>
    </i>
    <i r="1">
      <x v="42"/>
      <x v="189"/>
    </i>
    <i r="1">
      <x v="43"/>
      <x v="190"/>
    </i>
    <i r="1">
      <x v="44"/>
      <x v="1246"/>
    </i>
    <i r="1">
      <x v="68"/>
      <x v="1017"/>
    </i>
    <i r="1">
      <x v="69"/>
      <x v="191"/>
    </i>
    <i r="1">
      <x v="99"/>
      <x v="1247"/>
    </i>
    <i r="1">
      <x v="112"/>
      <x v="1249"/>
    </i>
    <i r="1">
      <x v="113"/>
      <x v="193"/>
    </i>
    <i r="1">
      <x v="158"/>
      <x v="1253"/>
    </i>
    <i r="1">
      <x v="174"/>
      <x v="784"/>
    </i>
    <i r="1">
      <x v="228"/>
      <x v="890"/>
    </i>
    <i>
      <x v="12"/>
      <x v="51"/>
      <x v="29"/>
    </i>
    <i r="1">
      <x v="52"/>
      <x v="28"/>
    </i>
    <i r="1">
      <x v="166"/>
      <x v="348"/>
    </i>
    <i r="1">
      <x v="229"/>
      <x v="1129"/>
    </i>
    <i r="1">
      <x v="311"/>
      <x v="668"/>
    </i>
    <i>
      <x v="13"/>
      <x v="15"/>
      <x v="1256"/>
    </i>
    <i r="1">
      <x v="16"/>
      <x v="1258"/>
    </i>
    <i r="1">
      <x v="22"/>
      <x v="1260"/>
    </i>
    <i r="1">
      <x v="23"/>
      <x v="16"/>
    </i>
    <i r="1">
      <x v="24"/>
      <x v="19"/>
    </i>
    <i r="1">
      <x v="37"/>
      <x v="1267"/>
    </i>
    <i r="1">
      <x v="46"/>
      <x v="1268"/>
    </i>
    <i r="1">
      <x v="61"/>
      <x v="36"/>
    </i>
    <i r="1">
      <x v="66"/>
      <x v="1271"/>
    </i>
    <i r="1">
      <x v="87"/>
      <x v="50"/>
    </i>
    <i r="1">
      <x v="88"/>
      <x v="47"/>
    </i>
    <i r="1">
      <x v="89"/>
      <x v="1274"/>
    </i>
    <i r="1">
      <x v="93"/>
      <x v="1276"/>
    </i>
    <i r="1">
      <x v="95"/>
      <x v="1278"/>
    </i>
    <i r="1">
      <x v="101"/>
      <x v="1280"/>
    </i>
    <i r="1">
      <x v="108"/>
      <x v="1283"/>
    </i>
    <i r="1">
      <x v="109"/>
      <x v="56"/>
    </i>
    <i r="1">
      <x v="119"/>
      <x v="1285"/>
    </i>
    <i r="1">
      <x v="122"/>
      <x v="293"/>
    </i>
    <i r="1">
      <x v="126"/>
      <x v="1291"/>
    </i>
    <i r="1">
      <x v="136"/>
      <x v="1024"/>
    </i>
    <i r="1">
      <x v="137"/>
      <x v="1292"/>
    </i>
    <i r="1">
      <x v="139"/>
      <x v="1294"/>
    </i>
    <i r="1">
      <x v="143"/>
      <x v="1299"/>
    </i>
    <i r="1">
      <x v="144"/>
      <x v="330"/>
    </i>
    <i r="1">
      <x v="148"/>
      <x v="334"/>
    </i>
    <i r="1">
      <x v="150"/>
      <x v="331"/>
    </i>
    <i r="1">
      <x v="151"/>
      <x v="332"/>
    </i>
    <i r="1">
      <x v="157"/>
      <x v="1303"/>
    </i>
    <i r="1">
      <x v="160"/>
      <x v="360"/>
    </i>
    <i r="1">
      <x v="179"/>
      <x v="1304"/>
    </i>
    <i r="1">
      <x v="180"/>
      <x v="1307"/>
    </i>
    <i r="1">
      <x v="218"/>
      <x v="1311"/>
    </i>
    <i r="1">
      <x v="221"/>
      <x v="991"/>
    </i>
    <i r="1">
      <x v="223"/>
      <x v="445"/>
    </i>
    <i r="1">
      <x v="226"/>
      <x v="1314"/>
    </i>
    <i r="1">
      <x v="227"/>
      <x v="1316"/>
    </i>
    <i r="1">
      <x v="231"/>
      <x v="1318"/>
    </i>
    <i r="1">
      <x v="232"/>
      <x v="1319"/>
    </i>
    <i r="1">
      <x v="246"/>
      <x v="1322"/>
    </i>
    <i r="1">
      <x v="253"/>
      <x v="1324"/>
    </i>
    <i r="1">
      <x v="256"/>
      <x v="1327"/>
    </i>
    <i r="1">
      <x v="257"/>
      <x v="1328"/>
    </i>
    <i r="1">
      <x v="261"/>
      <x v="1330"/>
    </i>
    <i r="1">
      <x v="264"/>
      <x v="475"/>
    </i>
    <i r="1">
      <x v="270"/>
      <x v="479"/>
    </i>
    <i r="1">
      <x v="290"/>
      <x v="647"/>
    </i>
    <i r="1">
      <x v="291"/>
      <x v="1333"/>
    </i>
    <i r="1">
      <x v="308"/>
      <x v="1336"/>
    </i>
    <i r="1">
      <x v="309"/>
      <x v="1340"/>
    </i>
    <i r="1">
      <x v="314"/>
      <x v="671"/>
    </i>
    <i r="1">
      <x v="320"/>
      <x v="1341"/>
    </i>
    <i r="1">
      <x v="321"/>
      <x v="685"/>
    </i>
    <i r="1">
      <x v="327"/>
      <x v="1343"/>
    </i>
    <i r="1">
      <x v="328"/>
      <x v="1347"/>
    </i>
    <i r="1">
      <x v="338"/>
      <x v="1370"/>
    </i>
    <i r="1">
      <x v="340"/>
      <x v="842"/>
    </i>
    <i r="1">
      <x v="341"/>
      <x v="1372"/>
    </i>
    <i r="1">
      <x v="344"/>
      <x v="1374"/>
    </i>
    <i r="1">
      <x v="345"/>
      <x v="1376"/>
    </i>
    <i r="1">
      <x v="349"/>
      <x v="1378"/>
    </i>
    <i r="1">
      <x v="358"/>
      <x v="1380"/>
    </i>
    <i r="1">
      <x v="359"/>
      <x v="1382"/>
    </i>
    <i r="1">
      <x v="361"/>
      <x v="1409"/>
    </i>
    <i r="1">
      <x v="365"/>
      <x v="1415"/>
    </i>
    <i r="1">
      <x v="381"/>
      <x v="736"/>
    </i>
    <i>
      <x v="14"/>
      <x v="26"/>
      <x v="21"/>
    </i>
    <i r="1">
      <x v="58"/>
      <x v="33"/>
    </i>
    <i r="1">
      <x v="63"/>
      <x v="34"/>
    </i>
    <i r="1">
      <x v="204"/>
      <x v="849"/>
    </i>
    <i r="1">
      <x v="281"/>
      <x v="635"/>
    </i>
    <i r="1">
      <x v="282"/>
      <x v="636"/>
    </i>
    <i r="1">
      <x v="283"/>
      <x v="637"/>
    </i>
    <i>
      <x v="15"/>
      <x v="382"/>
      <x v="741"/>
    </i>
    <i>
      <x v="17"/>
      <x v="27"/>
      <x v="902"/>
    </i>
    <i r="1">
      <x v="53"/>
      <x v="1418"/>
    </i>
    <i r="1">
      <x v="54"/>
      <x v="1420"/>
    </i>
    <i r="1">
      <x v="55"/>
      <x v="1422"/>
    </i>
    <i r="1">
      <x v="56"/>
      <x v="904"/>
    </i>
    <i r="1">
      <x v="57"/>
      <x v="31"/>
    </i>
    <i r="1">
      <x v="104"/>
      <x v="55"/>
    </i>
    <i r="1">
      <x v="182"/>
      <x v="388"/>
    </i>
    <i r="1">
      <x v="195"/>
      <x v="1425"/>
    </i>
    <i r="1">
      <x v="196"/>
      <x v="1427"/>
    </i>
    <i r="1">
      <x v="201"/>
      <x v="1049"/>
    </i>
    <i r="1">
      <x v="207"/>
      <x v="1429"/>
    </i>
    <i r="1">
      <x v="210"/>
      <x v="1131"/>
    </i>
    <i r="1">
      <x v="213"/>
      <x v="1431"/>
    </i>
    <i r="1">
      <x v="220"/>
      <x v="446"/>
    </i>
    <i r="1">
      <x v="247"/>
      <x v="462"/>
    </i>
    <i r="1">
      <x v="265"/>
      <x v="470"/>
    </i>
    <i r="1">
      <x v="266"/>
      <x v="471"/>
    </i>
    <i r="1">
      <x v="267"/>
      <x v="472"/>
    </i>
    <i r="1">
      <x v="284"/>
      <x v="648"/>
    </i>
    <i r="1">
      <x v="285"/>
      <x v="649"/>
    </i>
    <i r="1">
      <x v="292"/>
      <x v="640"/>
    </i>
    <i r="1">
      <x v="304"/>
      <x v="851"/>
    </i>
    <i>
      <x v="18"/>
      <x v="142"/>
      <x v="759"/>
    </i>
    <i r="1">
      <x v="178"/>
      <x v="1432"/>
    </i>
    <i>
      <x v="19"/>
      <x v="65"/>
      <x v="39"/>
    </i>
    <i r="1">
      <x v="159"/>
      <x v="361"/>
    </i>
    <i r="1">
      <x v="234"/>
      <x v="453"/>
    </i>
    <i r="1">
      <x v="235"/>
      <x v="455"/>
    </i>
    <i r="1">
      <x v="236"/>
      <x v="452"/>
    </i>
    <i r="1">
      <x v="237"/>
      <x v="454"/>
    </i>
    <i r="1">
      <x v="312"/>
      <x v="669"/>
    </i>
    <i r="1">
      <x v="342"/>
      <x v="993"/>
    </i>
    <i>
      <x v="20"/>
      <x v="70"/>
      <x v="40"/>
    </i>
    <i r="1">
      <x v="83"/>
      <x v="1052"/>
    </i>
    <i r="1">
      <x v="86"/>
      <x v="1436"/>
    </i>
    <i r="1">
      <x v="91"/>
      <x v="49"/>
    </i>
    <i r="1">
      <x v="106"/>
      <x v="54"/>
    </i>
    <i r="1">
      <x v="141"/>
      <x v="320"/>
    </i>
    <i r="1">
      <x v="167"/>
      <x v="999"/>
    </i>
    <i r="1">
      <x v="189"/>
      <x v="411"/>
    </i>
    <i r="1">
      <x v="242"/>
      <x v="1439"/>
    </i>
    <i r="1">
      <x v="243"/>
      <x v="1443"/>
    </i>
    <i r="1">
      <x v="244"/>
      <x v="1445"/>
    </i>
    <i r="1">
      <x v="245"/>
      <x v="1077"/>
    </i>
    <i r="1">
      <x v="260"/>
      <x v="477"/>
    </i>
    <i r="1">
      <x v="286"/>
      <x v="774"/>
    </i>
    <i r="1">
      <x v="288"/>
      <x v="639"/>
    </i>
    <i r="1">
      <x v="296"/>
      <x v="654"/>
    </i>
    <i r="1">
      <x v="297"/>
      <x v="653"/>
    </i>
    <i r="1">
      <x v="298"/>
      <x v="652"/>
    </i>
    <i r="1">
      <x v="315"/>
      <x v="1446"/>
    </i>
    <i r="1">
      <x v="333"/>
      <x v="982"/>
    </i>
    <i r="1">
      <x v="336"/>
      <x v="1001"/>
    </i>
    <i r="1">
      <x v="343"/>
      <x v="1003"/>
    </i>
    <i>
      <x v="21"/>
      <x/>
      <x v="1449"/>
    </i>
    <i r="1">
      <x v="29"/>
      <x v="1450"/>
    </i>
    <i r="1">
      <x v="38"/>
      <x v="145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455"/>
    </i>
    <i r="1">
      <x v="114"/>
      <x v="865"/>
    </i>
    <i r="1">
      <x v="146"/>
      <x v="870"/>
    </i>
    <i r="1">
      <x v="147"/>
      <x v="1137"/>
    </i>
    <i r="1">
      <x v="193"/>
      <x v="1007"/>
    </i>
    <i r="1">
      <x v="215"/>
      <x v="1083"/>
    </i>
    <i r="1">
      <x v="217"/>
      <x v="1010"/>
    </i>
    <i r="1">
      <x v="238"/>
      <x v="1005"/>
    </i>
    <i r="1">
      <x v="248"/>
      <x v="911"/>
    </i>
    <i r="1">
      <x v="254"/>
      <x v="877"/>
    </i>
    <i r="1">
      <x v="293"/>
      <x v="913"/>
    </i>
    <i r="1">
      <x v="366"/>
      <x v="880"/>
    </i>
    <i r="1">
      <x v="370"/>
      <x v="881"/>
    </i>
    <i r="1">
      <x v="373"/>
      <x v="1457"/>
    </i>
    <i r="1">
      <x v="380"/>
      <x v="738"/>
    </i>
    <i>
      <x v="22"/>
      <x v="3"/>
      <x v="1"/>
    </i>
    <i r="1">
      <x v="71"/>
      <x v="42"/>
    </i>
    <i r="1">
      <x v="120"/>
      <x v="316"/>
    </i>
    <i r="1">
      <x v="130"/>
      <x v="312"/>
    </i>
    <i r="1">
      <x v="140"/>
      <x v="317"/>
    </i>
    <i r="1">
      <x v="192"/>
      <x v="434"/>
    </i>
    <i r="1">
      <x v="239"/>
      <x v="459"/>
    </i>
    <i r="1">
      <x v="251"/>
      <x v="459"/>
    </i>
    <i r="1">
      <x v="289"/>
      <x v="655"/>
    </i>
    <i r="1">
      <x v="319"/>
      <x v="666"/>
    </i>
    <i>
      <x v="25"/>
      <x v="200"/>
      <x v="1196"/>
    </i>
    <i r="2">
      <x v="1197"/>
    </i>
    <i r="2">
      <x v="1576"/>
    </i>
    <i r="2">
      <x v="1577"/>
    </i>
    <i r="1">
      <x v="214"/>
      <x v="389"/>
    </i>
    <i r="1">
      <x v="216"/>
      <x v="1459"/>
    </i>
    <i r="1">
      <x v="249"/>
      <x v="461"/>
    </i>
    <i>
      <x v="26"/>
      <x v="2"/>
      <x v="1465"/>
    </i>
    <i r="1">
      <x v="5"/>
      <x v="1198"/>
    </i>
    <i r="1">
      <x v="6"/>
      <x v="4"/>
    </i>
    <i r="1">
      <x v="7"/>
      <x v="5"/>
    </i>
    <i r="1">
      <x v="8"/>
      <x v="1200"/>
    </i>
    <i r="1">
      <x v="9"/>
      <x v="791"/>
    </i>
    <i r="1">
      <x v="10"/>
      <x v="1466"/>
    </i>
    <i r="1">
      <x v="11"/>
      <x v="1202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468"/>
    </i>
    <i r="1">
      <x v="75"/>
      <x v="1470"/>
    </i>
    <i r="1">
      <x v="77"/>
      <x v="44"/>
    </i>
    <i r="1">
      <x v="90"/>
      <x v="46"/>
    </i>
    <i r="1">
      <x v="92"/>
      <x v="1472"/>
    </i>
    <i r="1">
      <x v="98"/>
      <x v="1475"/>
    </i>
    <i r="1">
      <x v="103"/>
      <x v="1477"/>
    </i>
    <i r="1">
      <x v="105"/>
      <x v="1490"/>
    </i>
    <i r="1">
      <x v="115"/>
      <x v="1492"/>
    </i>
    <i r="1">
      <x v="116"/>
      <x v="1505"/>
    </i>
    <i r="1">
      <x v="117"/>
      <x v="194"/>
    </i>
    <i r="1">
      <x v="131"/>
      <x v="296"/>
    </i>
    <i r="1">
      <x v="168"/>
      <x v="355"/>
    </i>
    <i r="1">
      <x v="170"/>
      <x v="347"/>
    </i>
    <i r="1">
      <x v="171"/>
      <x v="356"/>
    </i>
    <i r="1">
      <x v="176"/>
      <x v="359"/>
    </i>
    <i r="1">
      <x v="184"/>
      <x v="1512"/>
    </i>
    <i r="1">
      <x v="185"/>
      <x v="883"/>
    </i>
    <i r="1">
      <x v="188"/>
      <x v="987"/>
    </i>
    <i r="1">
      <x v="202"/>
      <x v="1516"/>
    </i>
    <i r="1">
      <x v="205"/>
      <x v="1518"/>
    </i>
    <i r="1">
      <x v="206"/>
      <x v="437"/>
    </i>
    <i r="1">
      <x v="211"/>
      <x v="1206"/>
    </i>
    <i r="1">
      <x v="222"/>
      <x v="443"/>
    </i>
    <i r="1">
      <x v="241"/>
      <x v="460"/>
    </i>
    <i r="1">
      <x v="252"/>
      <x v="464"/>
    </i>
    <i r="1">
      <x v="269"/>
      <x v="474"/>
    </i>
    <i r="1">
      <x v="272"/>
      <x v="1531"/>
    </i>
    <i r="1">
      <x v="301"/>
      <x v="641"/>
    </i>
    <i r="1">
      <x v="302"/>
      <x v="1532"/>
    </i>
    <i r="1">
      <x v="307"/>
      <x v="886"/>
    </i>
    <i r="1">
      <x v="318"/>
      <x v="1534"/>
    </i>
    <i r="1">
      <x v="322"/>
      <x v="1041"/>
    </i>
    <i r="1">
      <x v="323"/>
      <x v="1536"/>
    </i>
    <i r="1">
      <x v="334"/>
      <x v="697"/>
    </i>
    <i r="1">
      <x v="347"/>
      <x v="696"/>
    </i>
    <i r="1">
      <x v="350"/>
      <x v="1549"/>
    </i>
    <i r="1">
      <x v="355"/>
      <x v="707"/>
    </i>
    <i r="1">
      <x v="357"/>
      <x v="1552"/>
    </i>
    <i r="1">
      <x v="362"/>
      <x v="708"/>
    </i>
    <i r="1">
      <x v="368"/>
      <x v="1086"/>
    </i>
    <i r="1">
      <x v="369"/>
      <x v="1088"/>
    </i>
    <i r="1">
      <x v="371"/>
      <x v="730"/>
    </i>
    <i r="1">
      <x v="376"/>
      <x v="1554"/>
    </i>
    <i r="1">
      <x v="377"/>
      <x v="1556"/>
    </i>
    <i r="1">
      <x v="378"/>
      <x v="1559"/>
    </i>
    <i r="1">
      <x v="379"/>
      <x v="731"/>
    </i>
    <i>
      <x v="27"/>
      <x v="382"/>
      <x v="741"/>
    </i>
    <i>
      <x v="28"/>
      <x v="21"/>
      <x v="289"/>
    </i>
    <i r="1">
      <x v="96"/>
      <x v="290"/>
    </i>
    <i r="1">
      <x v="125"/>
      <x v="298"/>
    </i>
    <i r="1">
      <x v="129"/>
      <x v="1566"/>
    </i>
    <i r="1">
      <x v="255"/>
      <x v="466"/>
    </i>
    <i r="1">
      <x v="263"/>
      <x v="1567"/>
    </i>
    <i r="1">
      <x v="276"/>
      <x v="579"/>
    </i>
    <i>
      <x v="29"/>
      <x v="38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8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200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00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20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00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8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8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8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200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00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8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8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4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zoomScaleNormal="100" workbookViewId="0">
      <selection activeCell="G8" sqref="G8"/>
    </sheetView>
  </sheetViews>
  <sheetFormatPr defaultRowHeight="16.5" x14ac:dyDescent="0.3"/>
  <cols>
    <col min="1" max="1" width="23.375" customWidth="1"/>
    <col min="2" max="2" width="26.375" customWidth="1"/>
    <col min="3" max="3" width="73.5" bestFit="1" customWidth="1"/>
    <col min="4" max="4" width="16.25" customWidth="1"/>
  </cols>
  <sheetData>
    <row r="1" spans="1:1" x14ac:dyDescent="0.3">
      <c r="A1" s="2" t="s">
        <v>640</v>
      </c>
    </row>
    <row r="3" spans="1:1" x14ac:dyDescent="0.3">
      <c r="A3" s="2" t="s">
        <v>650</v>
      </c>
    </row>
    <row r="4" spans="1:1" x14ac:dyDescent="0.3">
      <c r="A4" t="s">
        <v>644</v>
      </c>
    </row>
    <row r="5" spans="1:1" x14ac:dyDescent="0.3">
      <c r="A5" t="s">
        <v>690</v>
      </c>
    </row>
    <row r="7" spans="1:1" x14ac:dyDescent="0.3">
      <c r="A7" t="s">
        <v>641</v>
      </c>
    </row>
    <row r="8" spans="1:1" x14ac:dyDescent="0.3">
      <c r="A8" t="s">
        <v>642</v>
      </c>
    </row>
    <row r="9" spans="1:1" x14ac:dyDescent="0.3">
      <c r="A9" t="s">
        <v>649</v>
      </c>
    </row>
    <row r="11" spans="1:1" x14ac:dyDescent="0.3">
      <c r="A11" t="s">
        <v>652</v>
      </c>
    </row>
    <row r="12" spans="1:1" x14ac:dyDescent="0.3">
      <c r="A12" t="s">
        <v>643</v>
      </c>
    </row>
    <row r="14" spans="1:1" x14ac:dyDescent="0.3">
      <c r="A14" s="2" t="s">
        <v>651</v>
      </c>
    </row>
    <row r="15" spans="1:1" x14ac:dyDescent="0.3">
      <c r="A15" t="s">
        <v>645</v>
      </c>
    </row>
    <row r="16" spans="1:1" x14ac:dyDescent="0.3">
      <c r="A16" t="s">
        <v>646</v>
      </c>
    </row>
    <row r="17" spans="1:4" x14ac:dyDescent="0.3">
      <c r="A17" t="s">
        <v>647</v>
      </c>
    </row>
    <row r="18" spans="1:4" x14ac:dyDescent="0.3">
      <c r="A18" t="s">
        <v>648</v>
      </c>
    </row>
    <row r="20" spans="1:4" x14ac:dyDescent="0.3">
      <c r="A20" t="s">
        <v>689</v>
      </c>
    </row>
    <row r="21" spans="1:4" x14ac:dyDescent="0.3">
      <c r="A21" t="s">
        <v>688</v>
      </c>
    </row>
    <row r="24" spans="1:4" x14ac:dyDescent="0.3">
      <c r="A24" s="1" t="s">
        <v>635</v>
      </c>
      <c r="B24" s="1" t="s">
        <v>636</v>
      </c>
      <c r="C24" s="1" t="s">
        <v>637</v>
      </c>
      <c r="D24" s="4" t="s">
        <v>638</v>
      </c>
    </row>
    <row r="25" spans="1:4" x14ac:dyDescent="0.3">
      <c r="A25" t="s">
        <v>2</v>
      </c>
      <c r="B25" t="s">
        <v>976</v>
      </c>
      <c r="C25" t="s">
        <v>977</v>
      </c>
      <c r="D25">
        <v>0</v>
      </c>
    </row>
    <row r="26" spans="1:4" x14ac:dyDescent="0.3">
      <c r="A26" t="s">
        <v>2</v>
      </c>
      <c r="B26" t="s">
        <v>979</v>
      </c>
      <c r="C26" t="s">
        <v>1004</v>
      </c>
      <c r="D26">
        <v>0</v>
      </c>
    </row>
    <row r="27" spans="1:4" x14ac:dyDescent="0.3">
      <c r="A27" t="s">
        <v>2</v>
      </c>
      <c r="B27" t="s">
        <v>706</v>
      </c>
      <c r="C27" t="s">
        <v>707</v>
      </c>
      <c r="D27">
        <v>0</v>
      </c>
    </row>
    <row r="28" spans="1:4" x14ac:dyDescent="0.3">
      <c r="A28" t="s">
        <v>2</v>
      </c>
      <c r="B28" t="s">
        <v>1051</v>
      </c>
      <c r="C28" t="s">
        <v>1053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1054</v>
      </c>
      <c r="C33" t="s">
        <v>1055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1059</v>
      </c>
      <c r="C35" t="s">
        <v>1060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41</v>
      </c>
      <c r="C37" t="s">
        <v>43</v>
      </c>
      <c r="D37">
        <v>0</v>
      </c>
    </row>
    <row r="38" spans="1:4" x14ac:dyDescent="0.3">
      <c r="A38" t="s">
        <v>9</v>
      </c>
      <c r="B38" t="s">
        <v>44</v>
      </c>
      <c r="C38" t="s">
        <v>45</v>
      </c>
      <c r="D38">
        <v>0</v>
      </c>
    </row>
    <row r="39" spans="1:4" x14ac:dyDescent="0.3">
      <c r="A39" t="s">
        <v>9</v>
      </c>
      <c r="B39" t="s">
        <v>46</v>
      </c>
      <c r="C39" t="s">
        <v>47</v>
      </c>
      <c r="D39">
        <v>0</v>
      </c>
    </row>
    <row r="40" spans="1:4" x14ac:dyDescent="0.3">
      <c r="A40" t="s">
        <v>9</v>
      </c>
      <c r="B40" t="s">
        <v>49</v>
      </c>
      <c r="C40" t="s">
        <v>50</v>
      </c>
      <c r="D40">
        <v>0</v>
      </c>
    </row>
    <row r="41" spans="1:4" x14ac:dyDescent="0.3">
      <c r="A41" t="s">
        <v>9</v>
      </c>
      <c r="B41" t="s">
        <v>52</v>
      </c>
      <c r="C41" t="s">
        <v>53</v>
      </c>
      <c r="D41">
        <v>0</v>
      </c>
    </row>
    <row r="42" spans="1:4" x14ac:dyDescent="0.3">
      <c r="A42" t="s">
        <v>9</v>
      </c>
      <c r="B42" t="s">
        <v>55</v>
      </c>
      <c r="C42" t="s">
        <v>56</v>
      </c>
      <c r="D42">
        <v>0</v>
      </c>
    </row>
    <row r="43" spans="1:4" x14ac:dyDescent="0.3">
      <c r="A43" t="s">
        <v>9</v>
      </c>
      <c r="B43" t="s">
        <v>58</v>
      </c>
      <c r="C43" t="s">
        <v>60</v>
      </c>
      <c r="D43">
        <v>0</v>
      </c>
    </row>
    <row r="44" spans="1:4" x14ac:dyDescent="0.3">
      <c r="A44" t="s">
        <v>9</v>
      </c>
      <c r="B44" t="s">
        <v>850</v>
      </c>
      <c r="C44" t="s">
        <v>860</v>
      </c>
      <c r="D44">
        <v>0</v>
      </c>
    </row>
    <row r="45" spans="1:4" x14ac:dyDescent="0.3">
      <c r="A45" t="s">
        <v>9</v>
      </c>
      <c r="B45" t="s">
        <v>1062</v>
      </c>
      <c r="C45" t="s">
        <v>1063</v>
      </c>
      <c r="D45">
        <v>0</v>
      </c>
    </row>
    <row r="46" spans="1:4" x14ac:dyDescent="0.3">
      <c r="A46" t="s">
        <v>9</v>
      </c>
      <c r="B46" t="s">
        <v>61</v>
      </c>
      <c r="C46" t="s">
        <v>62</v>
      </c>
      <c r="D46">
        <v>0</v>
      </c>
    </row>
    <row r="47" spans="1:4" x14ac:dyDescent="0.3">
      <c r="A47" t="s">
        <v>9</v>
      </c>
      <c r="B47" t="s">
        <v>64</v>
      </c>
      <c r="C47" t="s">
        <v>66</v>
      </c>
      <c r="D47">
        <v>0</v>
      </c>
    </row>
    <row r="48" spans="1:4" x14ac:dyDescent="0.3">
      <c r="A48" t="s">
        <v>9</v>
      </c>
      <c r="B48" t="s">
        <v>67</v>
      </c>
      <c r="C48" t="s">
        <v>68</v>
      </c>
      <c r="D48">
        <v>0</v>
      </c>
    </row>
    <row r="49" spans="1:4" x14ac:dyDescent="0.3">
      <c r="A49" t="s">
        <v>9</v>
      </c>
      <c r="B49" t="s">
        <v>70</v>
      </c>
      <c r="C49" t="s">
        <v>71</v>
      </c>
      <c r="D49">
        <v>0</v>
      </c>
    </row>
    <row r="50" spans="1:4" x14ac:dyDescent="0.3">
      <c r="A50" t="s">
        <v>9</v>
      </c>
      <c r="B50" t="s">
        <v>73</v>
      </c>
      <c r="C50" t="s">
        <v>74</v>
      </c>
      <c r="D50">
        <v>0</v>
      </c>
    </row>
    <row r="51" spans="1:4" x14ac:dyDescent="0.3">
      <c r="A51" t="s">
        <v>9</v>
      </c>
      <c r="B51" t="s">
        <v>76</v>
      </c>
      <c r="C51" t="s">
        <v>78</v>
      </c>
      <c r="D51">
        <v>0</v>
      </c>
    </row>
    <row r="52" spans="1:4" x14ac:dyDescent="0.3">
      <c r="A52" t="s">
        <v>9</v>
      </c>
      <c r="B52" t="s">
        <v>723</v>
      </c>
      <c r="C52" t="s">
        <v>724</v>
      </c>
      <c r="D52">
        <v>0</v>
      </c>
    </row>
    <row r="53" spans="1:4" x14ac:dyDescent="0.3">
      <c r="A53" t="s">
        <v>9</v>
      </c>
      <c r="B53" t="s">
        <v>726</v>
      </c>
      <c r="C53" t="s">
        <v>727</v>
      </c>
      <c r="D53">
        <v>0</v>
      </c>
    </row>
    <row r="54" spans="1:4" x14ac:dyDescent="0.3">
      <c r="A54" t="s">
        <v>9</v>
      </c>
      <c r="B54" t="s">
        <v>905</v>
      </c>
      <c r="C54" t="s">
        <v>906</v>
      </c>
      <c r="D54">
        <v>0</v>
      </c>
    </row>
    <row r="55" spans="1:4" x14ac:dyDescent="0.3">
      <c r="A55" t="s">
        <v>9</v>
      </c>
      <c r="B55" t="s">
        <v>79</v>
      </c>
      <c r="C55" t="s">
        <v>80</v>
      </c>
      <c r="D55">
        <v>0</v>
      </c>
    </row>
    <row r="56" spans="1:4" x14ac:dyDescent="0.3">
      <c r="A56" t="s">
        <v>9</v>
      </c>
      <c r="B56" t="s">
        <v>880</v>
      </c>
      <c r="C56" t="s">
        <v>881</v>
      </c>
      <c r="D56">
        <v>0</v>
      </c>
    </row>
    <row r="57" spans="1:4" x14ac:dyDescent="0.3">
      <c r="A57" t="s">
        <v>9</v>
      </c>
      <c r="B57" t="s">
        <v>731</v>
      </c>
      <c r="C57" t="s">
        <v>732</v>
      </c>
      <c r="D57">
        <v>0</v>
      </c>
    </row>
    <row r="58" spans="1:4" x14ac:dyDescent="0.3">
      <c r="A58" t="s">
        <v>9</v>
      </c>
      <c r="B58" t="s">
        <v>736</v>
      </c>
      <c r="C58" t="s">
        <v>737</v>
      </c>
      <c r="D58">
        <v>0</v>
      </c>
    </row>
    <row r="59" spans="1:4" x14ac:dyDescent="0.3">
      <c r="A59" t="s">
        <v>82</v>
      </c>
      <c r="B59" t="s">
        <v>1065</v>
      </c>
      <c r="C59" t="s">
        <v>1066</v>
      </c>
      <c r="D59">
        <v>0</v>
      </c>
    </row>
    <row r="60" spans="1:4" x14ac:dyDescent="0.3">
      <c r="A60" t="s">
        <v>82</v>
      </c>
      <c r="B60" t="s">
        <v>1069</v>
      </c>
      <c r="C60" t="s">
        <v>1070</v>
      </c>
      <c r="D60">
        <v>0</v>
      </c>
    </row>
    <row r="61" spans="1:4" x14ac:dyDescent="0.3">
      <c r="A61" t="s">
        <v>82</v>
      </c>
      <c r="B61" t="s">
        <v>1073</v>
      </c>
      <c r="C61" t="s">
        <v>1074</v>
      </c>
      <c r="D61">
        <v>0</v>
      </c>
    </row>
    <row r="62" spans="1:4" x14ac:dyDescent="0.3">
      <c r="A62" t="s">
        <v>82</v>
      </c>
      <c r="B62" t="s">
        <v>83</v>
      </c>
      <c r="C62" t="s">
        <v>739</v>
      </c>
      <c r="D62">
        <v>0</v>
      </c>
    </row>
    <row r="63" spans="1:4" x14ac:dyDescent="0.3">
      <c r="A63" t="s">
        <v>82</v>
      </c>
      <c r="B63" t="s">
        <v>691</v>
      </c>
      <c r="C63" t="s">
        <v>692</v>
      </c>
      <c r="D63">
        <v>0</v>
      </c>
    </row>
    <row r="64" spans="1:4" x14ac:dyDescent="0.3">
      <c r="A64" t="s">
        <v>82</v>
      </c>
      <c r="B64" t="s">
        <v>1086</v>
      </c>
      <c r="C64" t="s">
        <v>1087</v>
      </c>
      <c r="D64">
        <v>0</v>
      </c>
    </row>
    <row r="65" spans="1:4" x14ac:dyDescent="0.3">
      <c r="A65" t="s">
        <v>82</v>
      </c>
      <c r="B65" t="s">
        <v>1089</v>
      </c>
      <c r="C65" t="s">
        <v>1090</v>
      </c>
      <c r="D65">
        <v>0</v>
      </c>
    </row>
    <row r="66" spans="1:4" x14ac:dyDescent="0.3">
      <c r="A66" t="s">
        <v>82</v>
      </c>
      <c r="B66" t="s">
        <v>1092</v>
      </c>
      <c r="C66" t="s">
        <v>1093</v>
      </c>
      <c r="D66">
        <v>0</v>
      </c>
    </row>
    <row r="67" spans="1:4" x14ac:dyDescent="0.3">
      <c r="A67" t="s">
        <v>84</v>
      </c>
      <c r="B67" t="s">
        <v>85</v>
      </c>
      <c r="C67" t="s">
        <v>86</v>
      </c>
      <c r="D67">
        <v>0</v>
      </c>
    </row>
    <row r="68" spans="1:4" x14ac:dyDescent="0.3">
      <c r="A68" t="s">
        <v>84</v>
      </c>
      <c r="B68" t="s">
        <v>740</v>
      </c>
      <c r="C68" t="s">
        <v>742</v>
      </c>
      <c r="D68">
        <v>0</v>
      </c>
    </row>
    <row r="69" spans="1:4" x14ac:dyDescent="0.3">
      <c r="A69" t="s">
        <v>879</v>
      </c>
      <c r="B69" t="s">
        <v>746</v>
      </c>
      <c r="C69" t="s">
        <v>748</v>
      </c>
      <c r="D69">
        <v>0</v>
      </c>
    </row>
    <row r="70" spans="1:4" x14ac:dyDescent="0.3">
      <c r="A70" t="s">
        <v>695</v>
      </c>
      <c r="B70" t="s">
        <v>327</v>
      </c>
      <c r="C70" t="s">
        <v>329</v>
      </c>
      <c r="D70">
        <v>0</v>
      </c>
    </row>
    <row r="71" spans="1:4" x14ac:dyDescent="0.3">
      <c r="A71" t="s">
        <v>695</v>
      </c>
      <c r="B71" t="s">
        <v>1095</v>
      </c>
      <c r="C71" t="s">
        <v>1097</v>
      </c>
      <c r="D71">
        <v>0</v>
      </c>
    </row>
    <row r="72" spans="1:4" x14ac:dyDescent="0.3">
      <c r="A72" t="s">
        <v>695</v>
      </c>
      <c r="B72" t="s">
        <v>743</v>
      </c>
      <c r="C72" t="s">
        <v>745</v>
      </c>
      <c r="D72">
        <v>0</v>
      </c>
    </row>
    <row r="73" spans="1:4" x14ac:dyDescent="0.3">
      <c r="A73" t="s">
        <v>695</v>
      </c>
      <c r="B73" t="s">
        <v>330</v>
      </c>
      <c r="C73" t="s">
        <v>332</v>
      </c>
      <c r="D73">
        <v>0</v>
      </c>
    </row>
    <row r="74" spans="1:4" x14ac:dyDescent="0.3">
      <c r="A74" t="s">
        <v>695</v>
      </c>
      <c r="B74" t="s">
        <v>696</v>
      </c>
      <c r="C74" t="s">
        <v>697</v>
      </c>
      <c r="D74">
        <v>0</v>
      </c>
    </row>
    <row r="75" spans="1:4" x14ac:dyDescent="0.3">
      <c r="A75" t="s">
        <v>695</v>
      </c>
      <c r="B75" t="s">
        <v>1098</v>
      </c>
      <c r="C75" t="s">
        <v>1100</v>
      </c>
      <c r="D75">
        <v>0</v>
      </c>
    </row>
    <row r="76" spans="1:4" x14ac:dyDescent="0.3">
      <c r="A76" t="s">
        <v>695</v>
      </c>
      <c r="B76" t="s">
        <v>908</v>
      </c>
      <c r="C76" t="s">
        <v>910</v>
      </c>
      <c r="D76">
        <v>0</v>
      </c>
    </row>
    <row r="77" spans="1:4" x14ac:dyDescent="0.3">
      <c r="A77" t="s">
        <v>695</v>
      </c>
      <c r="B77" t="s">
        <v>334</v>
      </c>
      <c r="C77" t="s">
        <v>336</v>
      </c>
      <c r="D77">
        <v>0</v>
      </c>
    </row>
    <row r="78" spans="1:4" x14ac:dyDescent="0.3">
      <c r="A78" t="s">
        <v>695</v>
      </c>
      <c r="B78" t="s">
        <v>1101</v>
      </c>
      <c r="C78" t="s">
        <v>1102</v>
      </c>
      <c r="D78">
        <v>0</v>
      </c>
    </row>
    <row r="79" spans="1:4" x14ac:dyDescent="0.3">
      <c r="A79" t="s">
        <v>695</v>
      </c>
      <c r="B79" t="s">
        <v>1104</v>
      </c>
      <c r="C79" t="s">
        <v>1105</v>
      </c>
      <c r="D79">
        <v>0</v>
      </c>
    </row>
    <row r="80" spans="1:4" x14ac:dyDescent="0.3">
      <c r="A80" t="s">
        <v>695</v>
      </c>
      <c r="B80" t="s">
        <v>337</v>
      </c>
      <c r="C80" t="s">
        <v>338</v>
      </c>
      <c r="D80">
        <v>0</v>
      </c>
    </row>
    <row r="81" spans="1:4" x14ac:dyDescent="0.3">
      <c r="A81" t="s">
        <v>695</v>
      </c>
      <c r="B81" t="s">
        <v>1107</v>
      </c>
      <c r="C81" t="s">
        <v>1110</v>
      </c>
      <c r="D81">
        <v>0</v>
      </c>
    </row>
    <row r="82" spans="1:4" x14ac:dyDescent="0.3">
      <c r="A82" t="s">
        <v>695</v>
      </c>
      <c r="B82" t="s">
        <v>698</v>
      </c>
      <c r="C82" t="s">
        <v>699</v>
      </c>
      <c r="D82">
        <v>0</v>
      </c>
    </row>
    <row r="83" spans="1:4" x14ac:dyDescent="0.3">
      <c r="A83" t="s">
        <v>695</v>
      </c>
      <c r="B83" t="s">
        <v>794</v>
      </c>
      <c r="C83" t="s">
        <v>795</v>
      </c>
      <c r="D83">
        <v>0</v>
      </c>
    </row>
    <row r="84" spans="1:4" x14ac:dyDescent="0.3">
      <c r="A84" t="s">
        <v>88</v>
      </c>
      <c r="B84" t="s">
        <v>89</v>
      </c>
      <c r="C84" t="s">
        <v>90</v>
      </c>
      <c r="D84">
        <v>0</v>
      </c>
    </row>
    <row r="85" spans="1:4" x14ac:dyDescent="0.3">
      <c r="A85" t="s">
        <v>88</v>
      </c>
      <c r="B85" t="s">
        <v>92</v>
      </c>
      <c r="C85" t="s">
        <v>93</v>
      </c>
      <c r="D85">
        <v>0</v>
      </c>
    </row>
    <row r="86" spans="1:4" x14ac:dyDescent="0.3">
      <c r="A86" t="s">
        <v>88</v>
      </c>
      <c r="B86" t="s">
        <v>95</v>
      </c>
      <c r="C86" t="s">
        <v>96</v>
      </c>
      <c r="D86">
        <v>0</v>
      </c>
    </row>
    <row r="87" spans="1:4" x14ac:dyDescent="0.3">
      <c r="A87" t="s">
        <v>88</v>
      </c>
      <c r="B87" t="s">
        <v>1005</v>
      </c>
      <c r="C87" t="s">
        <v>1007</v>
      </c>
      <c r="D87">
        <v>0</v>
      </c>
    </row>
    <row r="88" spans="1:4" x14ac:dyDescent="0.3">
      <c r="A88" t="s">
        <v>88</v>
      </c>
      <c r="B88" t="s">
        <v>98</v>
      </c>
      <c r="C88" t="s">
        <v>99</v>
      </c>
      <c r="D88">
        <v>0</v>
      </c>
    </row>
    <row r="89" spans="1:4" x14ac:dyDescent="0.3">
      <c r="A89" t="s">
        <v>101</v>
      </c>
      <c r="B89" t="s">
        <v>1113</v>
      </c>
      <c r="C89" t="s">
        <v>1114</v>
      </c>
      <c r="D89">
        <v>0</v>
      </c>
    </row>
    <row r="90" spans="1:4" x14ac:dyDescent="0.3">
      <c r="A90" t="s">
        <v>101</v>
      </c>
      <c r="B90" t="s">
        <v>1116</v>
      </c>
      <c r="C90" t="s">
        <v>1117</v>
      </c>
      <c r="D90">
        <v>0</v>
      </c>
    </row>
    <row r="91" spans="1:4" x14ac:dyDescent="0.3">
      <c r="A91" t="s">
        <v>101</v>
      </c>
      <c r="B91" t="s">
        <v>1119</v>
      </c>
      <c r="C91" t="s">
        <v>1120</v>
      </c>
      <c r="D91">
        <v>0</v>
      </c>
    </row>
    <row r="92" spans="1:4" x14ac:dyDescent="0.3">
      <c r="A92" t="s">
        <v>101</v>
      </c>
      <c r="B92" t="s">
        <v>102</v>
      </c>
      <c r="C92" t="s">
        <v>103</v>
      </c>
      <c r="D92">
        <v>0</v>
      </c>
    </row>
    <row r="93" spans="1:4" x14ac:dyDescent="0.3">
      <c r="A93" t="s">
        <v>101</v>
      </c>
      <c r="B93" t="s">
        <v>104</v>
      </c>
      <c r="C93" t="s">
        <v>105</v>
      </c>
      <c r="D93">
        <v>0</v>
      </c>
    </row>
    <row r="94" spans="1:4" x14ac:dyDescent="0.3">
      <c r="A94" t="s">
        <v>101</v>
      </c>
      <c r="B94" t="s">
        <v>1126</v>
      </c>
      <c r="C94" t="s">
        <v>1128</v>
      </c>
      <c r="D94">
        <v>0</v>
      </c>
    </row>
    <row r="95" spans="1:4" x14ac:dyDescent="0.3">
      <c r="A95" t="s">
        <v>101</v>
      </c>
      <c r="B95" t="s">
        <v>1129</v>
      </c>
      <c r="C95" t="s">
        <v>1130</v>
      </c>
      <c r="D95">
        <v>0</v>
      </c>
    </row>
    <row r="96" spans="1:4" x14ac:dyDescent="0.3">
      <c r="A96" t="s">
        <v>101</v>
      </c>
      <c r="B96" t="s">
        <v>107</v>
      </c>
      <c r="C96" t="s">
        <v>108</v>
      </c>
      <c r="D96">
        <v>0</v>
      </c>
    </row>
    <row r="97" spans="1:4" x14ac:dyDescent="0.3">
      <c r="A97" t="s">
        <v>101</v>
      </c>
      <c r="B97" t="s">
        <v>1133</v>
      </c>
      <c r="C97" t="s">
        <v>1134</v>
      </c>
      <c r="D97">
        <v>0</v>
      </c>
    </row>
    <row r="98" spans="1:4" x14ac:dyDescent="0.3">
      <c r="A98" t="s">
        <v>101</v>
      </c>
      <c r="B98" t="s">
        <v>110</v>
      </c>
      <c r="C98" t="s">
        <v>111</v>
      </c>
      <c r="D98">
        <v>0</v>
      </c>
    </row>
    <row r="99" spans="1:4" x14ac:dyDescent="0.3">
      <c r="A99" t="s">
        <v>101</v>
      </c>
      <c r="B99" t="s">
        <v>113</v>
      </c>
      <c r="C99" t="s">
        <v>114</v>
      </c>
      <c r="D99">
        <v>0</v>
      </c>
    </row>
    <row r="100" spans="1:4" x14ac:dyDescent="0.3">
      <c r="A100" t="s">
        <v>101</v>
      </c>
      <c r="B100" t="s">
        <v>1137</v>
      </c>
      <c r="C100" t="s">
        <v>1138</v>
      </c>
      <c r="D100">
        <v>0</v>
      </c>
    </row>
    <row r="101" spans="1:4" x14ac:dyDescent="0.3">
      <c r="A101" t="s">
        <v>101</v>
      </c>
      <c r="B101" t="s">
        <v>1140</v>
      </c>
      <c r="C101" t="s">
        <v>1141</v>
      </c>
      <c r="D101">
        <v>0</v>
      </c>
    </row>
    <row r="102" spans="1:4" x14ac:dyDescent="0.3">
      <c r="A102" t="s">
        <v>101</v>
      </c>
      <c r="B102" t="s">
        <v>1143</v>
      </c>
      <c r="C102" t="s">
        <v>1144</v>
      </c>
      <c r="D102">
        <v>0</v>
      </c>
    </row>
    <row r="103" spans="1:4" x14ac:dyDescent="0.3">
      <c r="A103" t="s">
        <v>101</v>
      </c>
      <c r="B103" t="s">
        <v>1146</v>
      </c>
      <c r="C103" t="s">
        <v>1147</v>
      </c>
      <c r="D103">
        <v>0</v>
      </c>
    </row>
    <row r="104" spans="1:4" x14ac:dyDescent="0.3">
      <c r="A104" t="s">
        <v>101</v>
      </c>
      <c r="B104" t="s">
        <v>1150</v>
      </c>
      <c r="C104" t="s">
        <v>1151</v>
      </c>
      <c r="D104">
        <v>0</v>
      </c>
    </row>
    <row r="105" spans="1:4" x14ac:dyDescent="0.3">
      <c r="A105" t="s">
        <v>101</v>
      </c>
      <c r="B105" t="s">
        <v>116</v>
      </c>
      <c r="C105" t="s">
        <v>117</v>
      </c>
      <c r="D105">
        <v>0</v>
      </c>
    </row>
    <row r="106" spans="1:4" x14ac:dyDescent="0.3">
      <c r="A106" t="s">
        <v>101</v>
      </c>
      <c r="B106" t="s">
        <v>1153</v>
      </c>
      <c r="C106" t="s">
        <v>1154</v>
      </c>
      <c r="D106">
        <v>0</v>
      </c>
    </row>
    <row r="107" spans="1:4" x14ac:dyDescent="0.3">
      <c r="A107" t="s">
        <v>101</v>
      </c>
      <c r="B107" t="s">
        <v>119</v>
      </c>
      <c r="C107" t="s">
        <v>120</v>
      </c>
      <c r="D107">
        <v>0</v>
      </c>
    </row>
    <row r="108" spans="1:4" x14ac:dyDescent="0.3">
      <c r="A108" t="s">
        <v>101</v>
      </c>
      <c r="B108" t="s">
        <v>1161</v>
      </c>
      <c r="C108" t="s">
        <v>1163</v>
      </c>
      <c r="D108">
        <v>0</v>
      </c>
    </row>
    <row r="109" spans="1:4" x14ac:dyDescent="0.3">
      <c r="A109" t="s">
        <v>101</v>
      </c>
      <c r="B109" t="s">
        <v>911</v>
      </c>
      <c r="C109" t="s">
        <v>912</v>
      </c>
      <c r="D109">
        <v>0</v>
      </c>
    </row>
    <row r="110" spans="1:4" x14ac:dyDescent="0.3">
      <c r="A110" t="s">
        <v>101</v>
      </c>
      <c r="B110" t="s">
        <v>1164</v>
      </c>
      <c r="C110" t="s">
        <v>1165</v>
      </c>
      <c r="D110">
        <v>0</v>
      </c>
    </row>
    <row r="111" spans="1:4" x14ac:dyDescent="0.3">
      <c r="A111" t="s">
        <v>101</v>
      </c>
      <c r="B111" t="s">
        <v>1167</v>
      </c>
      <c r="C111" t="s">
        <v>1168</v>
      </c>
      <c r="D111">
        <v>0</v>
      </c>
    </row>
    <row r="112" spans="1:4" x14ac:dyDescent="0.3">
      <c r="A112" t="s">
        <v>101</v>
      </c>
      <c r="B112" t="s">
        <v>1172</v>
      </c>
      <c r="C112" t="s">
        <v>1174</v>
      </c>
      <c r="D112">
        <v>0</v>
      </c>
    </row>
    <row r="113" spans="1:4" x14ac:dyDescent="0.3">
      <c r="A113" t="s">
        <v>101</v>
      </c>
      <c r="B113" t="s">
        <v>122</v>
      </c>
      <c r="C113" t="s">
        <v>124</v>
      </c>
      <c r="D113">
        <v>0</v>
      </c>
    </row>
    <row r="114" spans="1:4" x14ac:dyDescent="0.3">
      <c r="A114" t="s">
        <v>101</v>
      </c>
      <c r="B114" t="s">
        <v>125</v>
      </c>
      <c r="C114" t="s">
        <v>126</v>
      </c>
      <c r="D114">
        <v>0</v>
      </c>
    </row>
    <row r="115" spans="1:4" x14ac:dyDescent="0.3">
      <c r="A115" t="s">
        <v>101</v>
      </c>
      <c r="B115" t="s">
        <v>128</v>
      </c>
      <c r="C115" t="s">
        <v>129</v>
      </c>
      <c r="D115">
        <v>0</v>
      </c>
    </row>
    <row r="116" spans="1:4" x14ac:dyDescent="0.3">
      <c r="A116" t="s">
        <v>101</v>
      </c>
      <c r="B116" t="s">
        <v>132</v>
      </c>
      <c r="C116" t="s">
        <v>133</v>
      </c>
      <c r="D116">
        <v>0</v>
      </c>
    </row>
    <row r="117" spans="1:4" x14ac:dyDescent="0.3">
      <c r="A117" t="s">
        <v>101</v>
      </c>
      <c r="B117" t="s">
        <v>1176</v>
      </c>
      <c r="C117" t="s">
        <v>1179</v>
      </c>
      <c r="D117">
        <v>0</v>
      </c>
    </row>
    <row r="118" spans="1:4" x14ac:dyDescent="0.3">
      <c r="A118" t="s">
        <v>101</v>
      </c>
      <c r="B118" t="s">
        <v>136</v>
      </c>
      <c r="C118" t="s">
        <v>139</v>
      </c>
      <c r="D118">
        <v>0</v>
      </c>
    </row>
    <row r="119" spans="1:4" x14ac:dyDescent="0.3">
      <c r="A119" t="s">
        <v>101</v>
      </c>
      <c r="B119" t="s">
        <v>1180</v>
      </c>
      <c r="C119" t="s">
        <v>1181</v>
      </c>
      <c r="D119">
        <v>0</v>
      </c>
    </row>
    <row r="120" spans="1:4" x14ac:dyDescent="0.3">
      <c r="A120" t="s">
        <v>101</v>
      </c>
      <c r="B120" t="s">
        <v>1184</v>
      </c>
      <c r="C120" t="s">
        <v>1185</v>
      </c>
      <c r="D120">
        <v>0</v>
      </c>
    </row>
    <row r="121" spans="1:4" x14ac:dyDescent="0.3">
      <c r="A121" t="s">
        <v>101</v>
      </c>
      <c r="B121" t="s">
        <v>1188</v>
      </c>
      <c r="C121" t="s">
        <v>1190</v>
      </c>
      <c r="D121">
        <v>0</v>
      </c>
    </row>
    <row r="122" spans="1:4" x14ac:dyDescent="0.3">
      <c r="A122" t="s">
        <v>101</v>
      </c>
      <c r="B122" t="s">
        <v>883</v>
      </c>
      <c r="C122" t="s">
        <v>884</v>
      </c>
      <c r="D122">
        <v>0</v>
      </c>
    </row>
    <row r="123" spans="1:4" x14ac:dyDescent="0.3">
      <c r="A123" t="s">
        <v>101</v>
      </c>
      <c r="B123" t="s">
        <v>140</v>
      </c>
      <c r="C123" t="s">
        <v>142</v>
      </c>
      <c r="D123">
        <v>0</v>
      </c>
    </row>
    <row r="124" spans="1:4" x14ac:dyDescent="0.3">
      <c r="A124" t="s">
        <v>101</v>
      </c>
      <c r="B124" t="s">
        <v>1192</v>
      </c>
      <c r="C124" t="s">
        <v>1194</v>
      </c>
      <c r="D124">
        <v>0</v>
      </c>
    </row>
    <row r="125" spans="1:4" x14ac:dyDescent="0.3">
      <c r="A125" t="s">
        <v>101</v>
      </c>
      <c r="B125" t="s">
        <v>1195</v>
      </c>
      <c r="C125" t="s">
        <v>1197</v>
      </c>
      <c r="D125">
        <v>0</v>
      </c>
    </row>
    <row r="126" spans="1:4" x14ac:dyDescent="0.3">
      <c r="A126" t="s">
        <v>101</v>
      </c>
      <c r="B126" t="s">
        <v>1198</v>
      </c>
      <c r="C126" t="s">
        <v>1200</v>
      </c>
      <c r="D126">
        <v>0</v>
      </c>
    </row>
    <row r="127" spans="1:4" x14ac:dyDescent="0.3">
      <c r="A127" t="s">
        <v>101</v>
      </c>
      <c r="B127" t="s">
        <v>1201</v>
      </c>
      <c r="C127" t="s">
        <v>1202</v>
      </c>
      <c r="D127">
        <v>0</v>
      </c>
    </row>
    <row r="128" spans="1:4" x14ac:dyDescent="0.3">
      <c r="A128" t="s">
        <v>101</v>
      </c>
      <c r="B128" t="s">
        <v>1204</v>
      </c>
      <c r="C128" t="s">
        <v>1206</v>
      </c>
      <c r="D128">
        <v>0</v>
      </c>
    </row>
    <row r="129" spans="1:4" x14ac:dyDescent="0.3">
      <c r="A129" t="s">
        <v>101</v>
      </c>
      <c r="B129" t="s">
        <v>1207</v>
      </c>
      <c r="C129" t="s">
        <v>1209</v>
      </c>
      <c r="D129">
        <v>0</v>
      </c>
    </row>
    <row r="130" spans="1:4" x14ac:dyDescent="0.3">
      <c r="A130" t="s">
        <v>101</v>
      </c>
      <c r="B130" t="s">
        <v>1210</v>
      </c>
      <c r="C130" t="s">
        <v>1213</v>
      </c>
      <c r="D130">
        <v>0</v>
      </c>
    </row>
    <row r="131" spans="1:4" x14ac:dyDescent="0.3">
      <c r="A131" t="s">
        <v>101</v>
      </c>
      <c r="B131" t="s">
        <v>1214</v>
      </c>
      <c r="C131" t="s">
        <v>1215</v>
      </c>
      <c r="D131">
        <v>0</v>
      </c>
    </row>
    <row r="132" spans="1:4" x14ac:dyDescent="0.3">
      <c r="A132" t="s">
        <v>101</v>
      </c>
      <c r="B132" t="s">
        <v>1217</v>
      </c>
      <c r="C132" t="s">
        <v>1218</v>
      </c>
      <c r="D132">
        <v>0</v>
      </c>
    </row>
    <row r="133" spans="1:4" x14ac:dyDescent="0.3">
      <c r="A133" t="s">
        <v>101</v>
      </c>
      <c r="B133" t="s">
        <v>143</v>
      </c>
      <c r="C133" t="s">
        <v>144</v>
      </c>
      <c r="D133">
        <v>0</v>
      </c>
    </row>
    <row r="134" spans="1:4" x14ac:dyDescent="0.3">
      <c r="A134" t="s">
        <v>101</v>
      </c>
      <c r="B134" t="s">
        <v>146</v>
      </c>
      <c r="C134" t="s">
        <v>147</v>
      </c>
      <c r="D134">
        <v>0</v>
      </c>
    </row>
    <row r="135" spans="1:4" x14ac:dyDescent="0.3">
      <c r="A135" t="s">
        <v>101</v>
      </c>
      <c r="B135" t="s">
        <v>149</v>
      </c>
      <c r="C135" t="s">
        <v>151</v>
      </c>
      <c r="D135">
        <v>0</v>
      </c>
    </row>
    <row r="136" spans="1:4" x14ac:dyDescent="0.3">
      <c r="A136" t="s">
        <v>101</v>
      </c>
      <c r="B136" t="s">
        <v>1220</v>
      </c>
      <c r="C136" t="s">
        <v>1222</v>
      </c>
      <c r="D136">
        <v>0</v>
      </c>
    </row>
    <row r="137" spans="1:4" x14ac:dyDescent="0.3">
      <c r="A137" t="s">
        <v>101</v>
      </c>
      <c r="B137" t="s">
        <v>1223</v>
      </c>
      <c r="C137" t="s">
        <v>1226</v>
      </c>
      <c r="D137">
        <v>0</v>
      </c>
    </row>
    <row r="138" spans="1:4" x14ac:dyDescent="0.3">
      <c r="A138" t="s">
        <v>101</v>
      </c>
      <c r="B138" t="s">
        <v>1227</v>
      </c>
      <c r="C138" t="s">
        <v>1231</v>
      </c>
      <c r="D138">
        <v>0</v>
      </c>
    </row>
    <row r="139" spans="1:4" x14ac:dyDescent="0.3">
      <c r="A139" t="s">
        <v>101</v>
      </c>
      <c r="B139" t="s">
        <v>152</v>
      </c>
      <c r="C139" t="s">
        <v>153</v>
      </c>
      <c r="D139">
        <v>0</v>
      </c>
    </row>
    <row r="140" spans="1:4" x14ac:dyDescent="0.3">
      <c r="A140" t="s">
        <v>101</v>
      </c>
      <c r="B140" t="s">
        <v>1232</v>
      </c>
      <c r="C140" t="s">
        <v>1233</v>
      </c>
      <c r="D140">
        <v>0</v>
      </c>
    </row>
    <row r="141" spans="1:4" x14ac:dyDescent="0.3">
      <c r="A141" t="s">
        <v>101</v>
      </c>
      <c r="B141" t="s">
        <v>155</v>
      </c>
      <c r="C141" t="s">
        <v>156</v>
      </c>
      <c r="D141">
        <v>0</v>
      </c>
    </row>
    <row r="142" spans="1:4" x14ac:dyDescent="0.3">
      <c r="A142" t="s">
        <v>101</v>
      </c>
      <c r="B142" t="s">
        <v>1235</v>
      </c>
      <c r="C142" t="s">
        <v>1236</v>
      </c>
      <c r="D142">
        <v>0</v>
      </c>
    </row>
    <row r="143" spans="1:4" x14ac:dyDescent="0.3">
      <c r="A143" t="s">
        <v>101</v>
      </c>
      <c r="B143" t="s">
        <v>1240</v>
      </c>
      <c r="C143" t="s">
        <v>1241</v>
      </c>
      <c r="D143">
        <v>0</v>
      </c>
    </row>
    <row r="144" spans="1:4" x14ac:dyDescent="0.3">
      <c r="A144" t="s">
        <v>101</v>
      </c>
      <c r="B144" t="s">
        <v>1264</v>
      </c>
      <c r="C144" t="s">
        <v>1265</v>
      </c>
      <c r="D144">
        <v>0</v>
      </c>
    </row>
    <row r="145" spans="1:4" x14ac:dyDescent="0.3">
      <c r="A145" t="s">
        <v>101</v>
      </c>
      <c r="B145" t="s">
        <v>751</v>
      </c>
      <c r="C145" t="s">
        <v>752</v>
      </c>
      <c r="D145">
        <v>0</v>
      </c>
    </row>
    <row r="146" spans="1:4" x14ac:dyDescent="0.3">
      <c r="A146" t="s">
        <v>101</v>
      </c>
      <c r="B146" t="s">
        <v>1267</v>
      </c>
      <c r="C146" t="s">
        <v>1268</v>
      </c>
      <c r="D146">
        <v>0</v>
      </c>
    </row>
    <row r="147" spans="1:4" x14ac:dyDescent="0.3">
      <c r="A147" t="s">
        <v>101</v>
      </c>
      <c r="B147" t="s">
        <v>1270</v>
      </c>
      <c r="C147" t="s">
        <v>1271</v>
      </c>
      <c r="D147">
        <v>0</v>
      </c>
    </row>
    <row r="148" spans="1:4" x14ac:dyDescent="0.3">
      <c r="A148" t="s">
        <v>101</v>
      </c>
      <c r="B148" t="s">
        <v>1273</v>
      </c>
      <c r="C148" t="s">
        <v>1274</v>
      </c>
      <c r="D148">
        <v>0</v>
      </c>
    </row>
    <row r="149" spans="1:4" x14ac:dyDescent="0.3">
      <c r="A149" t="s">
        <v>101</v>
      </c>
      <c r="B149" t="s">
        <v>1276</v>
      </c>
      <c r="C149" t="s">
        <v>1277</v>
      </c>
      <c r="D149">
        <v>0</v>
      </c>
    </row>
    <row r="150" spans="1:4" x14ac:dyDescent="0.3">
      <c r="A150" t="s">
        <v>101</v>
      </c>
      <c r="B150" t="s">
        <v>1279</v>
      </c>
      <c r="C150" t="s">
        <v>1280</v>
      </c>
      <c r="D150">
        <v>0</v>
      </c>
    </row>
    <row r="151" spans="1:4" x14ac:dyDescent="0.3">
      <c r="A151" t="s">
        <v>101</v>
      </c>
      <c r="B151" t="s">
        <v>1282</v>
      </c>
      <c r="C151" t="s">
        <v>1283</v>
      </c>
      <c r="D151">
        <v>0</v>
      </c>
    </row>
    <row r="152" spans="1:4" x14ac:dyDescent="0.3">
      <c r="A152" t="s">
        <v>101</v>
      </c>
      <c r="B152" t="s">
        <v>1310</v>
      </c>
      <c r="C152" t="s">
        <v>1311</v>
      </c>
      <c r="D152">
        <v>0</v>
      </c>
    </row>
    <row r="153" spans="1:4" x14ac:dyDescent="0.3">
      <c r="A153" t="s">
        <v>101</v>
      </c>
      <c r="B153" t="s">
        <v>1316</v>
      </c>
      <c r="C153" t="s">
        <v>1318</v>
      </c>
      <c r="D153">
        <v>0</v>
      </c>
    </row>
    <row r="154" spans="1:4" x14ac:dyDescent="0.3">
      <c r="A154" t="s">
        <v>101</v>
      </c>
      <c r="B154" t="s">
        <v>159</v>
      </c>
      <c r="C154" t="s">
        <v>160</v>
      </c>
      <c r="D154">
        <v>0</v>
      </c>
    </row>
    <row r="155" spans="1:4" x14ac:dyDescent="0.3">
      <c r="A155" t="s">
        <v>163</v>
      </c>
      <c r="B155" t="s">
        <v>164</v>
      </c>
      <c r="C155" t="s">
        <v>165</v>
      </c>
      <c r="D155">
        <v>0</v>
      </c>
    </row>
    <row r="156" spans="1:4" x14ac:dyDescent="0.3">
      <c r="A156" t="s">
        <v>163</v>
      </c>
      <c r="B156" t="s">
        <v>167</v>
      </c>
      <c r="C156" t="s">
        <v>168</v>
      </c>
      <c r="D156">
        <v>0</v>
      </c>
    </row>
    <row r="157" spans="1:4" x14ac:dyDescent="0.3">
      <c r="A157" t="s">
        <v>163</v>
      </c>
      <c r="B157" t="s">
        <v>170</v>
      </c>
      <c r="C157" t="s">
        <v>171</v>
      </c>
      <c r="D157">
        <v>0</v>
      </c>
    </row>
    <row r="158" spans="1:4" x14ac:dyDescent="0.3">
      <c r="A158" t="s">
        <v>163</v>
      </c>
      <c r="B158" t="s">
        <v>757</v>
      </c>
      <c r="C158" t="s">
        <v>759</v>
      </c>
      <c r="D158">
        <v>0</v>
      </c>
    </row>
    <row r="159" spans="1:4" x14ac:dyDescent="0.3">
      <c r="A159" t="s">
        <v>163</v>
      </c>
      <c r="B159" t="s">
        <v>173</v>
      </c>
      <c r="C159" t="s">
        <v>175</v>
      </c>
      <c r="D159">
        <v>0</v>
      </c>
    </row>
    <row r="160" spans="1:4" x14ac:dyDescent="0.3">
      <c r="A160" t="s">
        <v>163</v>
      </c>
      <c r="B160" t="s">
        <v>176</v>
      </c>
      <c r="C160" t="s">
        <v>178</v>
      </c>
      <c r="D160">
        <v>0</v>
      </c>
    </row>
    <row r="161" spans="1:4" x14ac:dyDescent="0.3">
      <c r="A161" t="s">
        <v>163</v>
      </c>
      <c r="B161" t="s">
        <v>179</v>
      </c>
      <c r="C161" t="s">
        <v>181</v>
      </c>
      <c r="D161">
        <v>0</v>
      </c>
    </row>
    <row r="162" spans="1:4" x14ac:dyDescent="0.3">
      <c r="A162" t="s">
        <v>687</v>
      </c>
      <c r="B162" t="s">
        <v>1050</v>
      </c>
      <c r="C162" t="s">
        <v>1050</v>
      </c>
      <c r="D162">
        <v>0</v>
      </c>
    </row>
    <row r="163" spans="1:4" x14ac:dyDescent="0.3">
      <c r="A163" t="s">
        <v>182</v>
      </c>
      <c r="B163" t="s">
        <v>797</v>
      </c>
      <c r="C163" t="s">
        <v>798</v>
      </c>
      <c r="D163">
        <v>0</v>
      </c>
    </row>
    <row r="164" spans="1:4" x14ac:dyDescent="0.3">
      <c r="A164" t="s">
        <v>182</v>
      </c>
      <c r="B164" t="s">
        <v>1321</v>
      </c>
      <c r="C164" t="s">
        <v>1322</v>
      </c>
      <c r="D164">
        <v>0</v>
      </c>
    </row>
    <row r="165" spans="1:4" x14ac:dyDescent="0.3">
      <c r="A165" t="s">
        <v>182</v>
      </c>
      <c r="B165" t="s">
        <v>1324</v>
      </c>
      <c r="C165" t="s">
        <v>1325</v>
      </c>
      <c r="D165">
        <v>0</v>
      </c>
    </row>
    <row r="166" spans="1:4" x14ac:dyDescent="0.3">
      <c r="A166" t="s">
        <v>182</v>
      </c>
      <c r="B166" t="s">
        <v>1327</v>
      </c>
      <c r="C166" t="s">
        <v>1328</v>
      </c>
      <c r="D166">
        <v>0</v>
      </c>
    </row>
    <row r="167" spans="1:4" x14ac:dyDescent="0.3">
      <c r="A167" t="s">
        <v>182</v>
      </c>
      <c r="B167" t="s">
        <v>800</v>
      </c>
      <c r="C167" t="s">
        <v>801</v>
      </c>
      <c r="D167">
        <v>0</v>
      </c>
    </row>
    <row r="168" spans="1:4" x14ac:dyDescent="0.3">
      <c r="A168" t="s">
        <v>182</v>
      </c>
      <c r="B168" t="s">
        <v>183</v>
      </c>
      <c r="C168" t="s">
        <v>184</v>
      </c>
      <c r="D168">
        <v>0</v>
      </c>
    </row>
    <row r="169" spans="1:4" x14ac:dyDescent="0.3">
      <c r="A169" t="s">
        <v>182</v>
      </c>
      <c r="B169" t="s">
        <v>188</v>
      </c>
      <c r="C169" t="s">
        <v>189</v>
      </c>
      <c r="D169">
        <v>1</v>
      </c>
    </row>
    <row r="170" spans="1:4" x14ac:dyDescent="0.3">
      <c r="A170" t="s">
        <v>182</v>
      </c>
      <c r="B170" t="s">
        <v>192</v>
      </c>
      <c r="C170" t="s">
        <v>194</v>
      </c>
      <c r="D170">
        <v>0</v>
      </c>
    </row>
    <row r="171" spans="1:4" x14ac:dyDescent="0.3">
      <c r="A171" t="s">
        <v>182</v>
      </c>
      <c r="B171" t="s">
        <v>1330</v>
      </c>
      <c r="C171" t="s">
        <v>1332</v>
      </c>
      <c r="D171">
        <v>0</v>
      </c>
    </row>
    <row r="172" spans="1:4" x14ac:dyDescent="0.3">
      <c r="A172" t="s">
        <v>182</v>
      </c>
      <c r="B172" t="s">
        <v>1333</v>
      </c>
      <c r="C172" t="s">
        <v>1335</v>
      </c>
      <c r="D172">
        <v>0</v>
      </c>
    </row>
    <row r="173" spans="1:4" x14ac:dyDescent="0.3">
      <c r="A173" t="s">
        <v>182</v>
      </c>
      <c r="B173" t="s">
        <v>919</v>
      </c>
      <c r="C173" t="s">
        <v>921</v>
      </c>
      <c r="D173">
        <v>0</v>
      </c>
    </row>
    <row r="174" spans="1:4" x14ac:dyDescent="0.3">
      <c r="A174" t="s">
        <v>182</v>
      </c>
      <c r="B174" t="s">
        <v>1336</v>
      </c>
      <c r="C174" t="s">
        <v>1338</v>
      </c>
      <c r="D174">
        <v>0</v>
      </c>
    </row>
    <row r="175" spans="1:4" x14ac:dyDescent="0.3">
      <c r="A175" t="s">
        <v>182</v>
      </c>
      <c r="B175" t="s">
        <v>1008</v>
      </c>
      <c r="C175" t="s">
        <v>1010</v>
      </c>
      <c r="D175">
        <v>0</v>
      </c>
    </row>
    <row r="176" spans="1:4" x14ac:dyDescent="0.3">
      <c r="A176" t="s">
        <v>182</v>
      </c>
      <c r="B176" t="s">
        <v>1339</v>
      </c>
      <c r="C176" t="s">
        <v>1341</v>
      </c>
      <c r="D176">
        <v>0</v>
      </c>
    </row>
    <row r="177" spans="1:4" x14ac:dyDescent="0.3">
      <c r="A177" t="s">
        <v>182</v>
      </c>
      <c r="B177" t="s">
        <v>195</v>
      </c>
      <c r="C177" t="s">
        <v>197</v>
      </c>
      <c r="D177">
        <v>0</v>
      </c>
    </row>
    <row r="178" spans="1:4" x14ac:dyDescent="0.3">
      <c r="A178" t="s">
        <v>182</v>
      </c>
      <c r="B178" t="s">
        <v>198</v>
      </c>
      <c r="C178" t="s">
        <v>200</v>
      </c>
      <c r="D178">
        <v>0</v>
      </c>
    </row>
    <row r="179" spans="1:4" x14ac:dyDescent="0.3">
      <c r="A179" t="s">
        <v>182</v>
      </c>
      <c r="B179" t="s">
        <v>201</v>
      </c>
      <c r="C179" t="s">
        <v>202</v>
      </c>
      <c r="D179">
        <v>0</v>
      </c>
    </row>
    <row r="180" spans="1:4" x14ac:dyDescent="0.3">
      <c r="A180" t="s">
        <v>182</v>
      </c>
      <c r="B180" t="s">
        <v>204</v>
      </c>
      <c r="C180" t="s">
        <v>205</v>
      </c>
      <c r="D180">
        <v>0</v>
      </c>
    </row>
    <row r="181" spans="1:4" x14ac:dyDescent="0.3">
      <c r="A181" t="s">
        <v>182</v>
      </c>
      <c r="B181" t="s">
        <v>207</v>
      </c>
      <c r="C181" t="s">
        <v>208</v>
      </c>
      <c r="D181">
        <v>0</v>
      </c>
    </row>
    <row r="182" spans="1:4" x14ac:dyDescent="0.3">
      <c r="A182" t="s">
        <v>182</v>
      </c>
      <c r="B182" t="s">
        <v>210</v>
      </c>
      <c r="C182" t="s">
        <v>219</v>
      </c>
      <c r="D182">
        <v>0</v>
      </c>
    </row>
    <row r="183" spans="1:4" x14ac:dyDescent="0.3">
      <c r="A183" t="s">
        <v>182</v>
      </c>
      <c r="B183" t="s">
        <v>220</v>
      </c>
      <c r="C183" t="s">
        <v>229</v>
      </c>
      <c r="D183">
        <v>0</v>
      </c>
    </row>
    <row r="184" spans="1:4" x14ac:dyDescent="0.3">
      <c r="A184" t="s">
        <v>182</v>
      </c>
      <c r="B184" t="s">
        <v>230</v>
      </c>
      <c r="C184" t="s">
        <v>231</v>
      </c>
      <c r="D184">
        <v>0</v>
      </c>
    </row>
    <row r="185" spans="1:4" x14ac:dyDescent="0.3">
      <c r="A185" t="s">
        <v>182</v>
      </c>
      <c r="B185" t="s">
        <v>760</v>
      </c>
      <c r="C185" t="s">
        <v>762</v>
      </c>
      <c r="D185">
        <v>0</v>
      </c>
    </row>
    <row r="186" spans="1:4" x14ac:dyDescent="0.3">
      <c r="A186" t="s">
        <v>665</v>
      </c>
      <c r="B186" t="s">
        <v>666</v>
      </c>
      <c r="C186" t="s">
        <v>670</v>
      </c>
      <c r="D186">
        <v>0</v>
      </c>
    </row>
    <row r="187" spans="1:4" x14ac:dyDescent="0.3">
      <c r="A187" t="s">
        <v>665</v>
      </c>
      <c r="B187" t="s">
        <v>1342</v>
      </c>
      <c r="C187" t="s">
        <v>1343</v>
      </c>
      <c r="D187">
        <v>0</v>
      </c>
    </row>
    <row r="188" spans="1:4" x14ac:dyDescent="0.3">
      <c r="A188" t="s">
        <v>233</v>
      </c>
      <c r="B188" t="s">
        <v>234</v>
      </c>
      <c r="C188" t="s">
        <v>235</v>
      </c>
      <c r="D188">
        <v>0</v>
      </c>
    </row>
    <row r="189" spans="1:4" x14ac:dyDescent="0.3">
      <c r="A189" t="s">
        <v>233</v>
      </c>
      <c r="B189" t="s">
        <v>237</v>
      </c>
      <c r="C189" t="s">
        <v>239</v>
      </c>
      <c r="D189">
        <v>0</v>
      </c>
    </row>
    <row r="190" spans="1:4" x14ac:dyDescent="0.3">
      <c r="A190" t="s">
        <v>233</v>
      </c>
      <c r="B190" t="s">
        <v>240</v>
      </c>
      <c r="C190" t="s">
        <v>242</v>
      </c>
      <c r="D190">
        <v>0</v>
      </c>
    </row>
    <row r="191" spans="1:4" x14ac:dyDescent="0.3">
      <c r="A191" t="s">
        <v>233</v>
      </c>
      <c r="B191" t="s">
        <v>243</v>
      </c>
      <c r="C191" t="s">
        <v>246</v>
      </c>
      <c r="D191">
        <v>0</v>
      </c>
    </row>
    <row r="192" spans="1:4" x14ac:dyDescent="0.3">
      <c r="A192" t="s">
        <v>233</v>
      </c>
      <c r="B192" t="s">
        <v>247</v>
      </c>
      <c r="C192" t="s">
        <v>249</v>
      </c>
      <c r="D192">
        <v>0</v>
      </c>
    </row>
    <row r="193" spans="1:4" x14ac:dyDescent="0.3">
      <c r="A193" t="s">
        <v>233</v>
      </c>
      <c r="B193" t="s">
        <v>250</v>
      </c>
      <c r="C193" t="s">
        <v>252</v>
      </c>
      <c r="D193">
        <v>0</v>
      </c>
    </row>
    <row r="194" spans="1:4" x14ac:dyDescent="0.3">
      <c r="A194" t="s">
        <v>233</v>
      </c>
      <c r="B194" t="s">
        <v>253</v>
      </c>
      <c r="C194" t="s">
        <v>254</v>
      </c>
      <c r="D194">
        <v>0</v>
      </c>
    </row>
    <row r="195" spans="1:4" x14ac:dyDescent="0.3">
      <c r="A195" t="s">
        <v>233</v>
      </c>
      <c r="B195" t="s">
        <v>885</v>
      </c>
      <c r="C195" t="s">
        <v>886</v>
      </c>
      <c r="D195">
        <v>0</v>
      </c>
    </row>
    <row r="196" spans="1:4" x14ac:dyDescent="0.3">
      <c r="A196" t="s">
        <v>256</v>
      </c>
      <c r="B196" t="s">
        <v>257</v>
      </c>
      <c r="C196" t="s">
        <v>258</v>
      </c>
      <c r="D196">
        <v>0</v>
      </c>
    </row>
    <row r="197" spans="1:4" x14ac:dyDescent="0.3">
      <c r="A197" t="s">
        <v>256</v>
      </c>
      <c r="B197" t="s">
        <v>924</v>
      </c>
      <c r="C197" t="s">
        <v>925</v>
      </c>
      <c r="D197">
        <v>0</v>
      </c>
    </row>
    <row r="198" spans="1:4" x14ac:dyDescent="0.3">
      <c r="A198" t="s">
        <v>256</v>
      </c>
      <c r="B198" t="s">
        <v>1347</v>
      </c>
      <c r="C198" t="s">
        <v>1348</v>
      </c>
      <c r="D198">
        <v>0</v>
      </c>
    </row>
    <row r="199" spans="1:4" x14ac:dyDescent="0.3">
      <c r="A199" t="s">
        <v>256</v>
      </c>
      <c r="B199" t="s">
        <v>269</v>
      </c>
      <c r="C199" t="s">
        <v>270</v>
      </c>
      <c r="D199">
        <v>0</v>
      </c>
    </row>
    <row r="200" spans="1:4" x14ac:dyDescent="0.3">
      <c r="A200" t="s">
        <v>256</v>
      </c>
      <c r="B200" t="s">
        <v>271</v>
      </c>
      <c r="C200" t="s">
        <v>272</v>
      </c>
      <c r="D200">
        <v>0</v>
      </c>
    </row>
    <row r="201" spans="1:4" x14ac:dyDescent="0.3">
      <c r="A201" t="s">
        <v>256</v>
      </c>
      <c r="B201" t="s">
        <v>274</v>
      </c>
      <c r="C201" t="s">
        <v>275</v>
      </c>
      <c r="D201">
        <v>0</v>
      </c>
    </row>
    <row r="202" spans="1:4" x14ac:dyDescent="0.3">
      <c r="A202" t="s">
        <v>256</v>
      </c>
      <c r="B202" t="s">
        <v>888</v>
      </c>
      <c r="C202" t="s">
        <v>889</v>
      </c>
      <c r="D202">
        <v>0</v>
      </c>
    </row>
    <row r="203" spans="1:4" x14ac:dyDescent="0.3">
      <c r="A203" t="s">
        <v>256</v>
      </c>
      <c r="B203" t="s">
        <v>277</v>
      </c>
      <c r="C203" t="s">
        <v>279</v>
      </c>
      <c r="D203">
        <v>0</v>
      </c>
    </row>
    <row r="204" spans="1:4" x14ac:dyDescent="0.3">
      <c r="A204" t="s">
        <v>256</v>
      </c>
      <c r="B204" t="s">
        <v>1351</v>
      </c>
      <c r="C204" t="s">
        <v>1352</v>
      </c>
      <c r="D204">
        <v>0</v>
      </c>
    </row>
    <row r="205" spans="1:4" x14ac:dyDescent="0.3">
      <c r="A205" t="s">
        <v>256</v>
      </c>
      <c r="B205" t="s">
        <v>1354</v>
      </c>
      <c r="C205" t="s">
        <v>1357</v>
      </c>
      <c r="D205">
        <v>0</v>
      </c>
    </row>
    <row r="206" spans="1:4" x14ac:dyDescent="0.3">
      <c r="A206" t="s">
        <v>256</v>
      </c>
      <c r="B206" t="s">
        <v>1358</v>
      </c>
      <c r="C206" t="s">
        <v>1360</v>
      </c>
      <c r="D206">
        <v>0</v>
      </c>
    </row>
    <row r="207" spans="1:4" x14ac:dyDescent="0.3">
      <c r="A207" t="s">
        <v>256</v>
      </c>
      <c r="B207" t="s">
        <v>949</v>
      </c>
      <c r="C207" t="s">
        <v>951</v>
      </c>
      <c r="D207">
        <v>0</v>
      </c>
    </row>
    <row r="208" spans="1:4" x14ac:dyDescent="0.3">
      <c r="A208" t="s">
        <v>256</v>
      </c>
      <c r="B208" t="s">
        <v>280</v>
      </c>
      <c r="C208" t="s">
        <v>281</v>
      </c>
      <c r="D208">
        <v>0</v>
      </c>
    </row>
    <row r="209" spans="1:4" x14ac:dyDescent="0.3">
      <c r="A209" t="s">
        <v>256</v>
      </c>
      <c r="B209" t="s">
        <v>283</v>
      </c>
      <c r="C209" t="s">
        <v>682</v>
      </c>
      <c r="D209">
        <v>0</v>
      </c>
    </row>
    <row r="210" spans="1:4" x14ac:dyDescent="0.3">
      <c r="A210" t="s">
        <v>256</v>
      </c>
      <c r="B210" t="s">
        <v>284</v>
      </c>
      <c r="C210" t="s">
        <v>285</v>
      </c>
      <c r="D210">
        <v>0</v>
      </c>
    </row>
    <row r="211" spans="1:4" x14ac:dyDescent="0.3">
      <c r="A211" t="s">
        <v>256</v>
      </c>
      <c r="B211" t="s">
        <v>287</v>
      </c>
      <c r="C211" t="s">
        <v>288</v>
      </c>
      <c r="D211">
        <v>0</v>
      </c>
    </row>
    <row r="212" spans="1:4" x14ac:dyDescent="0.3">
      <c r="A212" t="s">
        <v>256</v>
      </c>
      <c r="B212" t="s">
        <v>290</v>
      </c>
      <c r="C212" t="s">
        <v>291</v>
      </c>
      <c r="D212">
        <v>0</v>
      </c>
    </row>
    <row r="213" spans="1:4" x14ac:dyDescent="0.3">
      <c r="A213" t="s">
        <v>256</v>
      </c>
      <c r="B213" t="s">
        <v>293</v>
      </c>
      <c r="C213" t="s">
        <v>294</v>
      </c>
      <c r="D213">
        <v>0</v>
      </c>
    </row>
    <row r="214" spans="1:4" x14ac:dyDescent="0.3">
      <c r="A214" t="s">
        <v>256</v>
      </c>
      <c r="B214" t="s">
        <v>1361</v>
      </c>
      <c r="C214" t="s">
        <v>1362</v>
      </c>
      <c r="D214">
        <v>0</v>
      </c>
    </row>
    <row r="215" spans="1:4" x14ac:dyDescent="0.3">
      <c r="A215" t="s">
        <v>256</v>
      </c>
      <c r="B215" t="s">
        <v>870</v>
      </c>
      <c r="C215" t="s">
        <v>871</v>
      </c>
      <c r="D215">
        <v>0</v>
      </c>
    </row>
    <row r="216" spans="1:4" x14ac:dyDescent="0.3">
      <c r="A216" t="s">
        <v>256</v>
      </c>
      <c r="B216" t="s">
        <v>891</v>
      </c>
      <c r="C216" t="s">
        <v>892</v>
      </c>
      <c r="D216">
        <v>0</v>
      </c>
    </row>
    <row r="217" spans="1:4" x14ac:dyDescent="0.3">
      <c r="A217" t="s">
        <v>256</v>
      </c>
      <c r="B217" t="s">
        <v>894</v>
      </c>
      <c r="C217" t="s">
        <v>895</v>
      </c>
      <c r="D217">
        <v>0</v>
      </c>
    </row>
    <row r="218" spans="1:4" x14ac:dyDescent="0.3">
      <c r="A218" t="s">
        <v>763</v>
      </c>
      <c r="B218" t="s">
        <v>1364</v>
      </c>
      <c r="C218" t="s">
        <v>1366</v>
      </c>
      <c r="D218">
        <v>0</v>
      </c>
    </row>
    <row r="219" spans="1:4" x14ac:dyDescent="0.3">
      <c r="A219" t="s">
        <v>763</v>
      </c>
      <c r="B219" t="s">
        <v>1367</v>
      </c>
      <c r="C219" t="s">
        <v>1368</v>
      </c>
      <c r="D219">
        <v>0</v>
      </c>
    </row>
    <row r="220" spans="1:4" x14ac:dyDescent="0.3">
      <c r="A220" t="s">
        <v>763</v>
      </c>
      <c r="B220" t="s">
        <v>1370</v>
      </c>
      <c r="C220" t="s">
        <v>1371</v>
      </c>
      <c r="D220">
        <v>0</v>
      </c>
    </row>
    <row r="221" spans="1:4" x14ac:dyDescent="0.3">
      <c r="A221" t="s">
        <v>763</v>
      </c>
      <c r="B221" t="s">
        <v>764</v>
      </c>
      <c r="C221" t="s">
        <v>765</v>
      </c>
      <c r="D221">
        <v>0</v>
      </c>
    </row>
    <row r="222" spans="1:4" x14ac:dyDescent="0.3">
      <c r="A222" t="s">
        <v>763</v>
      </c>
      <c r="B222" t="s">
        <v>767</v>
      </c>
      <c r="C222" t="s">
        <v>768</v>
      </c>
      <c r="D222">
        <v>0</v>
      </c>
    </row>
    <row r="223" spans="1:4" x14ac:dyDescent="0.3">
      <c r="A223" t="s">
        <v>763</v>
      </c>
      <c r="B223" t="s">
        <v>662</v>
      </c>
      <c r="C223" t="s">
        <v>663</v>
      </c>
      <c r="D223">
        <v>0</v>
      </c>
    </row>
    <row r="224" spans="1:4" x14ac:dyDescent="0.3">
      <c r="A224" t="s">
        <v>763</v>
      </c>
      <c r="B224" t="s">
        <v>770</v>
      </c>
      <c r="C224" t="s">
        <v>771</v>
      </c>
      <c r="D224">
        <v>0</v>
      </c>
    </row>
    <row r="225" spans="1:4" x14ac:dyDescent="0.3">
      <c r="A225" t="s">
        <v>763</v>
      </c>
      <c r="B225" t="s">
        <v>1374</v>
      </c>
      <c r="C225" t="s">
        <v>1375</v>
      </c>
      <c r="D225">
        <v>0</v>
      </c>
    </row>
    <row r="226" spans="1:4" x14ac:dyDescent="0.3">
      <c r="A226" t="s">
        <v>763</v>
      </c>
      <c r="B226" t="s">
        <v>773</v>
      </c>
      <c r="C226" t="s">
        <v>774</v>
      </c>
      <c r="D226">
        <v>0</v>
      </c>
    </row>
    <row r="227" spans="1:4" x14ac:dyDescent="0.3">
      <c r="A227" t="s">
        <v>763</v>
      </c>
      <c r="B227" t="s">
        <v>776</v>
      </c>
      <c r="C227" t="s">
        <v>778</v>
      </c>
      <c r="D227">
        <v>0</v>
      </c>
    </row>
    <row r="228" spans="1:4" x14ac:dyDescent="0.3">
      <c r="A228" t="s">
        <v>763</v>
      </c>
      <c r="B228" t="s">
        <v>1014</v>
      </c>
      <c r="C228" t="s">
        <v>1015</v>
      </c>
      <c r="D228">
        <v>0</v>
      </c>
    </row>
    <row r="229" spans="1:4" x14ac:dyDescent="0.3">
      <c r="A229" t="s">
        <v>763</v>
      </c>
      <c r="B229" t="s">
        <v>873</v>
      </c>
      <c r="C229" t="s">
        <v>900</v>
      </c>
      <c r="D229">
        <v>0</v>
      </c>
    </row>
    <row r="230" spans="1:4" x14ac:dyDescent="0.3">
      <c r="A230" t="s">
        <v>763</v>
      </c>
      <c r="B230" t="s">
        <v>956</v>
      </c>
      <c r="C230" t="s">
        <v>958</v>
      </c>
      <c r="D230">
        <v>0</v>
      </c>
    </row>
    <row r="231" spans="1:4" x14ac:dyDescent="0.3">
      <c r="A231" t="s">
        <v>763</v>
      </c>
      <c r="B231" t="s">
        <v>901</v>
      </c>
      <c r="C231" t="s">
        <v>904</v>
      </c>
      <c r="D231">
        <v>0</v>
      </c>
    </row>
    <row r="232" spans="1:4" x14ac:dyDescent="0.3">
      <c r="A232" t="s">
        <v>763</v>
      </c>
      <c r="B232" t="s">
        <v>897</v>
      </c>
      <c r="C232" t="s">
        <v>898</v>
      </c>
      <c r="D232">
        <v>0</v>
      </c>
    </row>
    <row r="233" spans="1:4" x14ac:dyDescent="0.3">
      <c r="A233" t="s">
        <v>763</v>
      </c>
      <c r="B233" t="s">
        <v>802</v>
      </c>
      <c r="C233" t="s">
        <v>803</v>
      </c>
      <c r="D233">
        <v>0</v>
      </c>
    </row>
    <row r="234" spans="1:4" x14ac:dyDescent="0.3">
      <c r="A234" t="s">
        <v>763</v>
      </c>
      <c r="B234" t="s">
        <v>779</v>
      </c>
      <c r="C234" t="s">
        <v>780</v>
      </c>
      <c r="D234">
        <v>0</v>
      </c>
    </row>
    <row r="235" spans="1:4" x14ac:dyDescent="0.3">
      <c r="A235" t="s">
        <v>763</v>
      </c>
      <c r="B235" t="s">
        <v>805</v>
      </c>
      <c r="C235" t="s">
        <v>806</v>
      </c>
      <c r="D235">
        <v>0</v>
      </c>
    </row>
    <row r="236" spans="1:4" x14ac:dyDescent="0.3">
      <c r="A236" t="s">
        <v>763</v>
      </c>
      <c r="B236" t="s">
        <v>1031</v>
      </c>
      <c r="C236" t="s">
        <v>1033</v>
      </c>
      <c r="D236">
        <v>0</v>
      </c>
    </row>
    <row r="237" spans="1:4" x14ac:dyDescent="0.3">
      <c r="A237" t="s">
        <v>763</v>
      </c>
      <c r="B237" t="s">
        <v>782</v>
      </c>
      <c r="C237" t="s">
        <v>783</v>
      </c>
      <c r="D237">
        <v>0</v>
      </c>
    </row>
    <row r="238" spans="1:4" x14ac:dyDescent="0.3">
      <c r="A238" t="s">
        <v>763</v>
      </c>
      <c r="B238" t="s">
        <v>1377</v>
      </c>
      <c r="C238" t="s">
        <v>1378</v>
      </c>
      <c r="D238">
        <v>0</v>
      </c>
    </row>
    <row r="239" spans="1:4" x14ac:dyDescent="0.3">
      <c r="A239" t="s">
        <v>763</v>
      </c>
      <c r="B239" t="s">
        <v>296</v>
      </c>
      <c r="C239" t="s">
        <v>298</v>
      </c>
      <c r="D239">
        <v>0</v>
      </c>
    </row>
    <row r="240" spans="1:4" x14ac:dyDescent="0.3">
      <c r="A240" t="s">
        <v>299</v>
      </c>
      <c r="B240" t="s">
        <v>300</v>
      </c>
      <c r="C240" t="s">
        <v>301</v>
      </c>
      <c r="D240">
        <v>0</v>
      </c>
    </row>
    <row r="241" spans="1:4" x14ac:dyDescent="0.3">
      <c r="A241" t="s">
        <v>299</v>
      </c>
      <c r="B241" t="s">
        <v>303</v>
      </c>
      <c r="C241" t="s">
        <v>304</v>
      </c>
      <c r="D241">
        <v>0</v>
      </c>
    </row>
    <row r="242" spans="1:4" x14ac:dyDescent="0.3">
      <c r="A242" t="s">
        <v>299</v>
      </c>
      <c r="B242" t="s">
        <v>306</v>
      </c>
      <c r="C242" t="s">
        <v>308</v>
      </c>
      <c r="D242">
        <v>0</v>
      </c>
    </row>
    <row r="243" spans="1:4" x14ac:dyDescent="0.3">
      <c r="A243" t="s">
        <v>299</v>
      </c>
      <c r="B243" t="s">
        <v>309</v>
      </c>
      <c r="C243" t="s">
        <v>310</v>
      </c>
      <c r="D243">
        <v>0</v>
      </c>
    </row>
    <row r="244" spans="1:4" x14ac:dyDescent="0.3">
      <c r="A244" t="s">
        <v>299</v>
      </c>
      <c r="B244" t="s">
        <v>312</v>
      </c>
      <c r="C244" t="s">
        <v>313</v>
      </c>
      <c r="D244">
        <v>0</v>
      </c>
    </row>
    <row r="245" spans="1:4" x14ac:dyDescent="0.3">
      <c r="A245" t="s">
        <v>299</v>
      </c>
      <c r="B245" t="s">
        <v>315</v>
      </c>
      <c r="C245" t="s">
        <v>317</v>
      </c>
      <c r="D245">
        <v>0</v>
      </c>
    </row>
    <row r="246" spans="1:4" x14ac:dyDescent="0.3">
      <c r="A246" t="s">
        <v>299</v>
      </c>
      <c r="B246" t="s">
        <v>318</v>
      </c>
      <c r="C246" t="s">
        <v>320</v>
      </c>
      <c r="D246">
        <v>0</v>
      </c>
    </row>
    <row r="247" spans="1:4" x14ac:dyDescent="0.3">
      <c r="A247" t="s">
        <v>299</v>
      </c>
      <c r="B247" t="s">
        <v>1034</v>
      </c>
      <c r="C247" t="s">
        <v>320</v>
      </c>
      <c r="D247">
        <v>0</v>
      </c>
    </row>
    <row r="248" spans="1:4" x14ac:dyDescent="0.3">
      <c r="A248" t="s">
        <v>299</v>
      </c>
      <c r="B248" t="s">
        <v>321</v>
      </c>
      <c r="C248" t="s">
        <v>323</v>
      </c>
      <c r="D248">
        <v>0</v>
      </c>
    </row>
    <row r="249" spans="1:4" x14ac:dyDescent="0.3">
      <c r="A249" t="s">
        <v>299</v>
      </c>
      <c r="B249" t="s">
        <v>324</v>
      </c>
      <c r="C249" t="s">
        <v>325</v>
      </c>
      <c r="D249">
        <v>0</v>
      </c>
    </row>
    <row r="250" spans="1:4" x14ac:dyDescent="0.3">
      <c r="A250" t="s">
        <v>340</v>
      </c>
      <c r="B250" t="s">
        <v>341</v>
      </c>
      <c r="C250" t="s">
        <v>1035</v>
      </c>
      <c r="D250">
        <v>0</v>
      </c>
    </row>
    <row r="251" spans="1:4" x14ac:dyDescent="0.3">
      <c r="A251" t="s">
        <v>340</v>
      </c>
      <c r="B251" t="s">
        <v>341</v>
      </c>
      <c r="C251" t="s">
        <v>1036</v>
      </c>
      <c r="D251">
        <v>0</v>
      </c>
    </row>
    <row r="252" spans="1:4" x14ac:dyDescent="0.3">
      <c r="A252" t="s">
        <v>340</v>
      </c>
      <c r="B252" t="s">
        <v>341</v>
      </c>
      <c r="C252" t="s">
        <v>1523</v>
      </c>
      <c r="D252">
        <v>0</v>
      </c>
    </row>
    <row r="253" spans="1:4" x14ac:dyDescent="0.3">
      <c r="A253" t="s">
        <v>340</v>
      </c>
      <c r="B253" t="s">
        <v>341</v>
      </c>
      <c r="C253" t="s">
        <v>1524</v>
      </c>
      <c r="D253">
        <v>0</v>
      </c>
    </row>
    <row r="254" spans="1:4" x14ac:dyDescent="0.3">
      <c r="A254" t="s">
        <v>340</v>
      </c>
      <c r="B254" t="s">
        <v>353</v>
      </c>
      <c r="C254" t="s">
        <v>354</v>
      </c>
      <c r="D254">
        <v>0</v>
      </c>
    </row>
    <row r="255" spans="1:4" x14ac:dyDescent="0.3">
      <c r="A255" t="s">
        <v>340</v>
      </c>
      <c r="B255" t="s">
        <v>1380</v>
      </c>
      <c r="C255" t="s">
        <v>1381</v>
      </c>
      <c r="D255">
        <v>0</v>
      </c>
    </row>
    <row r="256" spans="1:4" x14ac:dyDescent="0.3">
      <c r="A256" t="s">
        <v>340</v>
      </c>
      <c r="B256" t="s">
        <v>356</v>
      </c>
      <c r="C256" t="s">
        <v>357</v>
      </c>
      <c r="D256">
        <v>0</v>
      </c>
    </row>
    <row r="257" spans="1:4" x14ac:dyDescent="0.3">
      <c r="A257" t="s">
        <v>359</v>
      </c>
      <c r="B257" t="s">
        <v>1383</v>
      </c>
      <c r="C257" t="s">
        <v>1388</v>
      </c>
      <c r="D257">
        <v>0</v>
      </c>
    </row>
    <row r="258" spans="1:4" x14ac:dyDescent="0.3">
      <c r="A258" t="s">
        <v>359</v>
      </c>
      <c r="B258" t="s">
        <v>1037</v>
      </c>
      <c r="C258" t="s">
        <v>1038</v>
      </c>
      <c r="D258">
        <v>0</v>
      </c>
    </row>
    <row r="259" spans="1:4" x14ac:dyDescent="0.3">
      <c r="A259" t="s">
        <v>359</v>
      </c>
      <c r="B259" t="s">
        <v>360</v>
      </c>
      <c r="C259" t="s">
        <v>361</v>
      </c>
      <c r="D259">
        <v>0</v>
      </c>
    </row>
    <row r="260" spans="1:4" x14ac:dyDescent="0.3">
      <c r="A260" t="s">
        <v>359</v>
      </c>
      <c r="B260" t="s">
        <v>363</v>
      </c>
      <c r="C260" t="s">
        <v>364</v>
      </c>
      <c r="D260">
        <v>0</v>
      </c>
    </row>
    <row r="261" spans="1:4" x14ac:dyDescent="0.3">
      <c r="A261" t="s">
        <v>359</v>
      </c>
      <c r="B261" t="s">
        <v>1040</v>
      </c>
      <c r="C261" t="s">
        <v>1041</v>
      </c>
      <c r="D261">
        <v>0</v>
      </c>
    </row>
    <row r="262" spans="1:4" x14ac:dyDescent="0.3">
      <c r="A262" t="s">
        <v>359</v>
      </c>
      <c r="B262" t="s">
        <v>701</v>
      </c>
      <c r="C262" t="s">
        <v>702</v>
      </c>
      <c r="D262">
        <v>0</v>
      </c>
    </row>
    <row r="263" spans="1:4" x14ac:dyDescent="0.3">
      <c r="A263" t="s">
        <v>359</v>
      </c>
      <c r="B263" t="s">
        <v>1389</v>
      </c>
      <c r="C263" t="s">
        <v>1390</v>
      </c>
      <c r="D263">
        <v>0</v>
      </c>
    </row>
    <row r="264" spans="1:4" x14ac:dyDescent="0.3">
      <c r="A264" t="s">
        <v>359</v>
      </c>
      <c r="B264" t="s">
        <v>1043</v>
      </c>
      <c r="C264" t="s">
        <v>1044</v>
      </c>
      <c r="D264">
        <v>0</v>
      </c>
    </row>
    <row r="265" spans="1:4" x14ac:dyDescent="0.3">
      <c r="A265" t="s">
        <v>359</v>
      </c>
      <c r="B265" t="s">
        <v>367</v>
      </c>
      <c r="C265" t="s">
        <v>370</v>
      </c>
      <c r="D265">
        <v>0</v>
      </c>
    </row>
    <row r="266" spans="1:4" x14ac:dyDescent="0.3">
      <c r="A266" t="s">
        <v>359</v>
      </c>
      <c r="B266" t="s">
        <v>371</v>
      </c>
      <c r="C266" t="s">
        <v>372</v>
      </c>
      <c r="D266">
        <v>0</v>
      </c>
    </row>
    <row r="267" spans="1:4" x14ac:dyDescent="0.3">
      <c r="A267" t="s">
        <v>359</v>
      </c>
      <c r="B267" t="s">
        <v>375</v>
      </c>
      <c r="C267" t="s">
        <v>376</v>
      </c>
      <c r="D267">
        <v>0</v>
      </c>
    </row>
    <row r="268" spans="1:4" x14ac:dyDescent="0.3">
      <c r="A268" t="s">
        <v>359</v>
      </c>
      <c r="B268" t="s">
        <v>389</v>
      </c>
      <c r="C268" t="s">
        <v>390</v>
      </c>
      <c r="D268">
        <v>0</v>
      </c>
    </row>
    <row r="269" spans="1:4" x14ac:dyDescent="0.3">
      <c r="A269" t="s">
        <v>359</v>
      </c>
      <c r="B269" t="s">
        <v>1392</v>
      </c>
      <c r="C269" t="s">
        <v>1393</v>
      </c>
      <c r="D269">
        <v>0</v>
      </c>
    </row>
    <row r="270" spans="1:4" x14ac:dyDescent="0.3">
      <c r="A270" t="s">
        <v>359</v>
      </c>
      <c r="B270" t="s">
        <v>1395</v>
      </c>
      <c r="C270" t="s">
        <v>1396</v>
      </c>
      <c r="D270">
        <v>0</v>
      </c>
    </row>
    <row r="271" spans="1:4" x14ac:dyDescent="0.3">
      <c r="A271" t="s">
        <v>359</v>
      </c>
      <c r="B271" t="s">
        <v>392</v>
      </c>
      <c r="C271" t="s">
        <v>393</v>
      </c>
      <c r="D271">
        <v>0</v>
      </c>
    </row>
    <row r="272" spans="1:4" x14ac:dyDescent="0.3">
      <c r="A272" t="s">
        <v>359</v>
      </c>
      <c r="B272" t="s">
        <v>406</v>
      </c>
      <c r="C272" t="s">
        <v>407</v>
      </c>
      <c r="D272">
        <v>0</v>
      </c>
    </row>
    <row r="273" spans="1:4" x14ac:dyDescent="0.3">
      <c r="A273" t="s">
        <v>359</v>
      </c>
      <c r="B273" t="s">
        <v>1398</v>
      </c>
      <c r="C273" t="s">
        <v>1399</v>
      </c>
      <c r="D273">
        <v>0</v>
      </c>
    </row>
    <row r="274" spans="1:4" x14ac:dyDescent="0.3">
      <c r="A274" t="s">
        <v>359</v>
      </c>
      <c r="B274" t="s">
        <v>1402</v>
      </c>
      <c r="C274" t="s">
        <v>1403</v>
      </c>
      <c r="D274">
        <v>0</v>
      </c>
    </row>
    <row r="275" spans="1:4" x14ac:dyDescent="0.3">
      <c r="A275" t="s">
        <v>359</v>
      </c>
      <c r="B275" t="s">
        <v>1405</v>
      </c>
      <c r="C275" t="s">
        <v>1406</v>
      </c>
      <c r="D275">
        <v>0</v>
      </c>
    </row>
    <row r="276" spans="1:4" x14ac:dyDescent="0.3">
      <c r="A276" t="s">
        <v>359</v>
      </c>
      <c r="B276" t="s">
        <v>1419</v>
      </c>
      <c r="C276" t="s">
        <v>1420</v>
      </c>
      <c r="D276">
        <v>0</v>
      </c>
    </row>
    <row r="277" spans="1:4" x14ac:dyDescent="0.3">
      <c r="A277" t="s">
        <v>359</v>
      </c>
      <c r="B277" t="s">
        <v>1422</v>
      </c>
      <c r="C277" t="s">
        <v>1423</v>
      </c>
      <c r="D277">
        <v>0</v>
      </c>
    </row>
    <row r="278" spans="1:4" x14ac:dyDescent="0.3">
      <c r="A278" t="s">
        <v>359</v>
      </c>
      <c r="B278" t="s">
        <v>1435</v>
      </c>
      <c r="C278" t="s">
        <v>1436</v>
      </c>
      <c r="D278">
        <v>0</v>
      </c>
    </row>
    <row r="279" spans="1:4" x14ac:dyDescent="0.3">
      <c r="A279" t="s">
        <v>359</v>
      </c>
      <c r="B279" t="s">
        <v>480</v>
      </c>
      <c r="C279" t="s">
        <v>481</v>
      </c>
      <c r="D279">
        <v>0</v>
      </c>
    </row>
    <row r="280" spans="1:4" x14ac:dyDescent="0.3">
      <c r="A280" t="s">
        <v>359</v>
      </c>
      <c r="B280" t="s">
        <v>483</v>
      </c>
      <c r="C280" t="s">
        <v>484</v>
      </c>
      <c r="D280">
        <v>0</v>
      </c>
    </row>
    <row r="281" spans="1:4" x14ac:dyDescent="0.3">
      <c r="A281" t="s">
        <v>359</v>
      </c>
      <c r="B281" t="s">
        <v>486</v>
      </c>
      <c r="C281" t="s">
        <v>487</v>
      </c>
      <c r="D281">
        <v>0</v>
      </c>
    </row>
    <row r="282" spans="1:4" x14ac:dyDescent="0.3">
      <c r="A282" t="s">
        <v>359</v>
      </c>
      <c r="B282" t="s">
        <v>489</v>
      </c>
      <c r="C282" t="s">
        <v>490</v>
      </c>
      <c r="D282">
        <v>0</v>
      </c>
    </row>
    <row r="283" spans="1:4" x14ac:dyDescent="0.3">
      <c r="A283" t="s">
        <v>359</v>
      </c>
      <c r="B283" t="s">
        <v>492</v>
      </c>
      <c r="C283" t="s">
        <v>493</v>
      </c>
      <c r="D283">
        <v>0</v>
      </c>
    </row>
    <row r="284" spans="1:4" x14ac:dyDescent="0.3">
      <c r="A284" t="s">
        <v>359</v>
      </c>
      <c r="B284" t="s">
        <v>500</v>
      </c>
      <c r="C284" t="s">
        <v>501</v>
      </c>
      <c r="D284">
        <v>0</v>
      </c>
    </row>
    <row r="285" spans="1:4" x14ac:dyDescent="0.3">
      <c r="A285" t="s">
        <v>359</v>
      </c>
      <c r="B285" t="s">
        <v>1443</v>
      </c>
      <c r="C285" t="s">
        <v>1444</v>
      </c>
      <c r="D285">
        <v>0</v>
      </c>
    </row>
    <row r="286" spans="1:4" x14ac:dyDescent="0.3">
      <c r="A286" t="s">
        <v>359</v>
      </c>
      <c r="B286" t="s">
        <v>785</v>
      </c>
      <c r="C286" t="s">
        <v>786</v>
      </c>
      <c r="D286">
        <v>0</v>
      </c>
    </row>
    <row r="287" spans="1:4" x14ac:dyDescent="0.3">
      <c r="A287" t="s">
        <v>359</v>
      </c>
      <c r="B287" t="s">
        <v>876</v>
      </c>
      <c r="C287" t="s">
        <v>877</v>
      </c>
      <c r="D287">
        <v>0</v>
      </c>
    </row>
    <row r="288" spans="1:4" x14ac:dyDescent="0.3">
      <c r="A288" t="s">
        <v>359</v>
      </c>
      <c r="B288" t="s">
        <v>1447</v>
      </c>
      <c r="C288" t="s">
        <v>1449</v>
      </c>
      <c r="D288">
        <v>0</v>
      </c>
    </row>
    <row r="289" spans="1:4" x14ac:dyDescent="0.3">
      <c r="A289" t="s">
        <v>359</v>
      </c>
      <c r="B289" t="s">
        <v>1450</v>
      </c>
      <c r="C289" t="s">
        <v>1452</v>
      </c>
      <c r="D289">
        <v>0</v>
      </c>
    </row>
    <row r="290" spans="1:4" x14ac:dyDescent="0.3">
      <c r="A290" t="s">
        <v>359</v>
      </c>
      <c r="B290" t="s">
        <v>503</v>
      </c>
      <c r="C290" t="s">
        <v>506</v>
      </c>
      <c r="D290">
        <v>0</v>
      </c>
    </row>
    <row r="291" spans="1:4" x14ac:dyDescent="0.3">
      <c r="A291" t="s">
        <v>359</v>
      </c>
      <c r="B291" t="s">
        <v>1046</v>
      </c>
      <c r="C291" t="s">
        <v>1047</v>
      </c>
      <c r="D291">
        <v>0</v>
      </c>
    </row>
    <row r="292" spans="1:4" x14ac:dyDescent="0.3">
      <c r="A292" t="s">
        <v>359</v>
      </c>
      <c r="B292" t="s">
        <v>507</v>
      </c>
      <c r="C292" t="s">
        <v>509</v>
      </c>
      <c r="D292">
        <v>0</v>
      </c>
    </row>
    <row r="293" spans="1:4" x14ac:dyDescent="0.3">
      <c r="A293" t="s">
        <v>359</v>
      </c>
      <c r="B293" t="s">
        <v>510</v>
      </c>
      <c r="C293" t="s">
        <v>512</v>
      </c>
      <c r="D293">
        <v>0</v>
      </c>
    </row>
    <row r="294" spans="1:4" x14ac:dyDescent="0.3">
      <c r="A294" t="s">
        <v>359</v>
      </c>
      <c r="B294" t="s">
        <v>513</v>
      </c>
      <c r="C294" t="s">
        <v>514</v>
      </c>
      <c r="D294">
        <v>0</v>
      </c>
    </row>
    <row r="295" spans="1:4" x14ac:dyDescent="0.3">
      <c r="A295" t="s">
        <v>359</v>
      </c>
      <c r="B295" t="s">
        <v>516</v>
      </c>
      <c r="C295" t="s">
        <v>517</v>
      </c>
      <c r="D295">
        <v>0</v>
      </c>
    </row>
    <row r="296" spans="1:4" x14ac:dyDescent="0.3">
      <c r="A296" t="s">
        <v>359</v>
      </c>
      <c r="B296" t="s">
        <v>1453</v>
      </c>
      <c r="C296" t="s">
        <v>1466</v>
      </c>
      <c r="D296">
        <v>0</v>
      </c>
    </row>
    <row r="297" spans="1:4" x14ac:dyDescent="0.3">
      <c r="A297" t="s">
        <v>359</v>
      </c>
      <c r="B297" t="s">
        <v>590</v>
      </c>
      <c r="C297" t="s">
        <v>591</v>
      </c>
      <c r="D297">
        <v>0</v>
      </c>
    </row>
    <row r="298" spans="1:4" x14ac:dyDescent="0.3">
      <c r="A298" t="s">
        <v>359</v>
      </c>
      <c r="B298" t="s">
        <v>1467</v>
      </c>
      <c r="C298" t="s">
        <v>1468</v>
      </c>
      <c r="D298">
        <v>0</v>
      </c>
    </row>
    <row r="299" spans="1:4" x14ac:dyDescent="0.3">
      <c r="A299" t="s">
        <v>359</v>
      </c>
      <c r="B299" t="s">
        <v>788</v>
      </c>
      <c r="C299" t="s">
        <v>790</v>
      </c>
      <c r="D299">
        <v>0</v>
      </c>
    </row>
    <row r="300" spans="1:4" x14ac:dyDescent="0.3">
      <c r="A300" t="s">
        <v>359</v>
      </c>
      <c r="B300" t="s">
        <v>1470</v>
      </c>
      <c r="C300" t="s">
        <v>1471</v>
      </c>
      <c r="D300">
        <v>0</v>
      </c>
    </row>
    <row r="301" spans="1:4" x14ac:dyDescent="0.3">
      <c r="A301" t="s">
        <v>359</v>
      </c>
      <c r="B301" t="s">
        <v>915</v>
      </c>
      <c r="C301" t="s">
        <v>916</v>
      </c>
      <c r="D301">
        <v>0</v>
      </c>
    </row>
    <row r="302" spans="1:4" x14ac:dyDescent="0.3">
      <c r="A302" t="s">
        <v>359</v>
      </c>
      <c r="B302" t="s">
        <v>1473</v>
      </c>
      <c r="C302" t="s">
        <v>1474</v>
      </c>
      <c r="D302">
        <v>0</v>
      </c>
    </row>
    <row r="303" spans="1:4" x14ac:dyDescent="0.3">
      <c r="A303" t="s">
        <v>359</v>
      </c>
      <c r="B303" t="s">
        <v>593</v>
      </c>
      <c r="C303" t="s">
        <v>594</v>
      </c>
      <c r="D303">
        <v>0</v>
      </c>
    </row>
    <row r="304" spans="1:4" x14ac:dyDescent="0.3">
      <c r="A304" t="s">
        <v>359</v>
      </c>
      <c r="B304" t="s">
        <v>595</v>
      </c>
      <c r="C304" t="s">
        <v>596</v>
      </c>
      <c r="D304">
        <v>0</v>
      </c>
    </row>
    <row r="305" spans="1:4" x14ac:dyDescent="0.3">
      <c r="A305" t="s">
        <v>359</v>
      </c>
      <c r="B305" t="s">
        <v>1487</v>
      </c>
      <c r="C305" t="s">
        <v>1488</v>
      </c>
      <c r="D305">
        <v>0</v>
      </c>
    </row>
    <row r="306" spans="1:4" x14ac:dyDescent="0.3">
      <c r="A306" t="s">
        <v>359</v>
      </c>
      <c r="B306" t="s">
        <v>598</v>
      </c>
      <c r="C306" t="s">
        <v>599</v>
      </c>
      <c r="D306">
        <v>0</v>
      </c>
    </row>
    <row r="307" spans="1:4" x14ac:dyDescent="0.3">
      <c r="A307" t="s">
        <v>359</v>
      </c>
      <c r="B307" t="s">
        <v>1491</v>
      </c>
      <c r="C307" t="s">
        <v>1492</v>
      </c>
      <c r="D307">
        <v>0</v>
      </c>
    </row>
    <row r="308" spans="1:4" x14ac:dyDescent="0.3">
      <c r="A308" t="s">
        <v>359</v>
      </c>
      <c r="B308" t="s">
        <v>602</v>
      </c>
      <c r="C308" t="s">
        <v>603</v>
      </c>
      <c r="D308">
        <v>0</v>
      </c>
    </row>
    <row r="309" spans="1:4" x14ac:dyDescent="0.3">
      <c r="A309" t="s">
        <v>359</v>
      </c>
      <c r="B309" t="s">
        <v>959</v>
      </c>
      <c r="C309" t="s">
        <v>960</v>
      </c>
      <c r="D309">
        <v>0</v>
      </c>
    </row>
    <row r="310" spans="1:4" x14ac:dyDescent="0.3">
      <c r="A310" t="s">
        <v>359</v>
      </c>
      <c r="B310" t="s">
        <v>962</v>
      </c>
      <c r="C310" t="s">
        <v>963</v>
      </c>
      <c r="D310">
        <v>0</v>
      </c>
    </row>
    <row r="311" spans="1:4" x14ac:dyDescent="0.3">
      <c r="A311" t="s">
        <v>359</v>
      </c>
      <c r="B311" t="s">
        <v>606</v>
      </c>
      <c r="C311" t="s">
        <v>608</v>
      </c>
      <c r="D311">
        <v>0</v>
      </c>
    </row>
    <row r="312" spans="1:4" x14ac:dyDescent="0.3">
      <c r="A312" t="s">
        <v>359</v>
      </c>
      <c r="B312" t="s">
        <v>1494</v>
      </c>
      <c r="C312" t="s">
        <v>1495</v>
      </c>
      <c r="D312">
        <v>0</v>
      </c>
    </row>
    <row r="313" spans="1:4" x14ac:dyDescent="0.3">
      <c r="A313" t="s">
        <v>359</v>
      </c>
      <c r="B313" t="s">
        <v>1497</v>
      </c>
      <c r="C313" t="s">
        <v>1498</v>
      </c>
      <c r="D313">
        <v>0</v>
      </c>
    </row>
    <row r="314" spans="1:4" x14ac:dyDescent="0.3">
      <c r="A314" t="s">
        <v>359</v>
      </c>
      <c r="B314" t="s">
        <v>1501</v>
      </c>
      <c r="C314" t="s">
        <v>1502</v>
      </c>
      <c r="D314">
        <v>0</v>
      </c>
    </row>
    <row r="315" spans="1:4" x14ac:dyDescent="0.3">
      <c r="A315" t="s">
        <v>359</v>
      </c>
      <c r="B315" t="s">
        <v>609</v>
      </c>
      <c r="C315" t="s">
        <v>610</v>
      </c>
      <c r="D315">
        <v>0</v>
      </c>
    </row>
    <row r="316" spans="1:4" x14ac:dyDescent="0.3">
      <c r="A316" t="s">
        <v>705</v>
      </c>
      <c r="B316" t="s">
        <v>1050</v>
      </c>
      <c r="C316" t="s">
        <v>1050</v>
      </c>
      <c r="D316">
        <v>0</v>
      </c>
    </row>
    <row r="317" spans="1:4" x14ac:dyDescent="0.3">
      <c r="A317" t="s">
        <v>612</v>
      </c>
      <c r="B317" t="s">
        <v>613</v>
      </c>
      <c r="C317" t="s">
        <v>618</v>
      </c>
      <c r="D317">
        <v>0</v>
      </c>
    </row>
    <row r="318" spans="1:4" x14ac:dyDescent="0.3">
      <c r="A318" t="s">
        <v>612</v>
      </c>
      <c r="B318" t="s">
        <v>619</v>
      </c>
      <c r="C318" t="s">
        <v>620</v>
      </c>
      <c r="D318">
        <v>0</v>
      </c>
    </row>
    <row r="319" spans="1:4" x14ac:dyDescent="0.3">
      <c r="A319" t="s">
        <v>612</v>
      </c>
      <c r="B319" t="s">
        <v>621</v>
      </c>
      <c r="C319" t="s">
        <v>622</v>
      </c>
      <c r="D319">
        <v>0</v>
      </c>
    </row>
    <row r="320" spans="1:4" x14ac:dyDescent="0.3">
      <c r="A320" t="s">
        <v>612</v>
      </c>
      <c r="B320" t="s">
        <v>1509</v>
      </c>
      <c r="C320" t="s">
        <v>1510</v>
      </c>
      <c r="D320">
        <v>0</v>
      </c>
    </row>
    <row r="321" spans="1:4" x14ac:dyDescent="0.3">
      <c r="A321" t="s">
        <v>612</v>
      </c>
      <c r="B321" t="s">
        <v>625</v>
      </c>
      <c r="C321" t="s">
        <v>626</v>
      </c>
      <c r="D321">
        <v>0</v>
      </c>
    </row>
    <row r="322" spans="1:4" x14ac:dyDescent="0.3">
      <c r="A322" t="s">
        <v>612</v>
      </c>
      <c r="B322" t="s">
        <v>1511</v>
      </c>
      <c r="C322" t="s">
        <v>1512</v>
      </c>
      <c r="D322">
        <v>0</v>
      </c>
    </row>
    <row r="323" spans="1:4" x14ac:dyDescent="0.3">
      <c r="A323" t="s">
        <v>612</v>
      </c>
      <c r="B323" t="s">
        <v>628</v>
      </c>
      <c r="C323" t="s">
        <v>632</v>
      </c>
      <c r="D323">
        <v>0</v>
      </c>
    </row>
    <row r="324" spans="1:4" x14ac:dyDescent="0.3">
      <c r="A324" t="s">
        <v>1050</v>
      </c>
      <c r="B324" t="s">
        <v>1050</v>
      </c>
      <c r="C324" t="s">
        <v>1050</v>
      </c>
      <c r="D324">
        <v>0</v>
      </c>
    </row>
  </sheetData>
  <phoneticPr fontId="3" type="noConversion"/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00"/>
  <sheetViews>
    <sheetView topLeftCell="A802" workbookViewId="0">
      <selection activeCell="A958" sqref="A958"/>
    </sheetView>
  </sheetViews>
  <sheetFormatPr defaultRowHeight="16.5" x14ac:dyDescent="0.3"/>
  <cols>
    <col min="1" max="1" width="29.875" bestFit="1" customWidth="1"/>
    <col min="2" max="2" width="14.375" customWidth="1"/>
    <col min="3" max="3" width="59.5" bestFit="1" customWidth="1"/>
    <col min="8" max="8" width="59.5" bestFit="1" customWidth="1"/>
  </cols>
  <sheetData>
    <row r="1" spans="1:10" x14ac:dyDescent="0.3">
      <c r="A1" t="s">
        <v>635</v>
      </c>
      <c r="B1" t="s">
        <v>636</v>
      </c>
      <c r="C1" t="s">
        <v>637</v>
      </c>
      <c r="G1" t="s">
        <v>633</v>
      </c>
      <c r="H1" t="s">
        <v>634</v>
      </c>
      <c r="I1" s="3" t="s">
        <v>639</v>
      </c>
      <c r="J1" t="s">
        <v>638</v>
      </c>
    </row>
    <row r="2" spans="1:10" x14ac:dyDescent="0.3">
      <c r="A2" s="7" t="s">
        <v>0</v>
      </c>
    </row>
    <row r="3" spans="1:10" x14ac:dyDescent="0.3">
      <c r="A3" s="7" t="s">
        <v>1</v>
      </c>
    </row>
    <row r="4" spans="1:10" x14ac:dyDescent="0.3">
      <c r="A4" s="7" t="s">
        <v>660</v>
      </c>
    </row>
    <row r="5" spans="1:10" x14ac:dyDescent="0.3">
      <c r="A5" s="7" t="s">
        <v>687</v>
      </c>
    </row>
    <row r="6" spans="1:10" x14ac:dyDescent="0.3">
      <c r="A6" s="7" t="s">
        <v>705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s="7" t="s">
        <v>661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s="7" t="s">
        <v>2</v>
      </c>
      <c r="B8" t="s">
        <v>976</v>
      </c>
      <c r="C8" t="s">
        <v>977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s="7" t="s">
        <v>2</v>
      </c>
      <c r="B9" t="s">
        <v>976</v>
      </c>
      <c r="C9" t="s">
        <v>978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s="7" t="s">
        <v>2</v>
      </c>
      <c r="B10" t="s">
        <v>979</v>
      </c>
      <c r="C10" t="s">
        <v>980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s="7" t="s">
        <v>2</v>
      </c>
      <c r="B11" t="s">
        <v>979</v>
      </c>
      <c r="C11" t="s">
        <v>981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s="7" t="s">
        <v>2</v>
      </c>
      <c r="B12" t="s">
        <v>979</v>
      </c>
      <c r="C12" t="s">
        <v>982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s="7" t="s">
        <v>2</v>
      </c>
      <c r="B13" t="s">
        <v>979</v>
      </c>
      <c r="C13" t="s">
        <v>983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s="7" t="s">
        <v>2</v>
      </c>
      <c r="B14" t="s">
        <v>979</v>
      </c>
      <c r="C14" t="s">
        <v>984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s="7" t="s">
        <v>2</v>
      </c>
      <c r="B15" t="s">
        <v>979</v>
      </c>
      <c r="C15" t="s">
        <v>985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s="7" t="s">
        <v>2</v>
      </c>
      <c r="B16" t="s">
        <v>979</v>
      </c>
      <c r="C16" t="s">
        <v>986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s="7" t="s">
        <v>2</v>
      </c>
      <c r="B17" t="s">
        <v>979</v>
      </c>
      <c r="C17" t="s">
        <v>987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s="7" t="s">
        <v>2</v>
      </c>
      <c r="B18" t="s">
        <v>979</v>
      </c>
      <c r="C18" t="s">
        <v>988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s="7" t="s">
        <v>2</v>
      </c>
      <c r="B19" t="s">
        <v>979</v>
      </c>
      <c r="C19" t="s">
        <v>989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s="7" t="s">
        <v>2</v>
      </c>
      <c r="B20" t="s">
        <v>979</v>
      </c>
      <c r="C20" t="s">
        <v>990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s="7" t="s">
        <v>2</v>
      </c>
      <c r="B21" t="s">
        <v>979</v>
      </c>
      <c r="C21" t="s">
        <v>991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s="7" t="s">
        <v>2</v>
      </c>
      <c r="B22" t="s">
        <v>979</v>
      </c>
      <c r="C22" t="s">
        <v>992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s="7" t="s">
        <v>2</v>
      </c>
      <c r="B23" t="s">
        <v>979</v>
      </c>
      <c r="C23" t="s">
        <v>993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s="7" t="s">
        <v>2</v>
      </c>
      <c r="B24" t="s">
        <v>979</v>
      </c>
      <c r="C24" t="s">
        <v>994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s="7" t="s">
        <v>2</v>
      </c>
      <c r="B25" t="s">
        <v>979</v>
      </c>
      <c r="C25" t="s">
        <v>995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s="7" t="s">
        <v>2</v>
      </c>
      <c r="B26" t="s">
        <v>979</v>
      </c>
      <c r="C26" t="s">
        <v>996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s="7" t="s">
        <v>2</v>
      </c>
      <c r="B27" t="s">
        <v>979</v>
      </c>
      <c r="C27" t="s">
        <v>997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s="7" t="s">
        <v>2</v>
      </c>
      <c r="B28" t="s">
        <v>979</v>
      </c>
      <c r="C28" t="s">
        <v>998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s="7" t="s">
        <v>2</v>
      </c>
      <c r="B29" t="s">
        <v>979</v>
      </c>
      <c r="C29" t="s">
        <v>999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s="7" t="s">
        <v>2</v>
      </c>
      <c r="B30" t="s">
        <v>979</v>
      </c>
      <c r="C30" t="s">
        <v>1000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s="7" t="s">
        <v>2</v>
      </c>
      <c r="B31" t="s">
        <v>979</v>
      </c>
      <c r="C31" t="s">
        <v>1001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s="7" t="s">
        <v>2</v>
      </c>
      <c r="B32" t="s">
        <v>979</v>
      </c>
      <c r="C32" t="s">
        <v>1002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s="7" t="s">
        <v>2</v>
      </c>
      <c r="B33" t="s">
        <v>979</v>
      </c>
      <c r="C33" t="s">
        <v>1003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s="7" t="s">
        <v>2</v>
      </c>
      <c r="B34" t="s">
        <v>979</v>
      </c>
      <c r="C34" t="s">
        <v>1004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s="7" t="s">
        <v>2</v>
      </c>
      <c r="B35" t="s">
        <v>706</v>
      </c>
      <c r="C35" t="s">
        <v>707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s="7" t="s">
        <v>2</v>
      </c>
      <c r="B36" t="s">
        <v>706</v>
      </c>
      <c r="C36" t="s">
        <v>708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s="7" t="s">
        <v>2</v>
      </c>
      <c r="B37" t="s">
        <v>706</v>
      </c>
      <c r="C37" t="s">
        <v>709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s="7" t="s">
        <v>2</v>
      </c>
      <c r="B38" t="s">
        <v>706</v>
      </c>
      <c r="C38" t="s">
        <v>710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s="7" t="s">
        <v>2</v>
      </c>
      <c r="B39" t="s">
        <v>706</v>
      </c>
      <c r="C39" t="s">
        <v>711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s="7" t="s">
        <v>2</v>
      </c>
      <c r="B40" t="s">
        <v>706</v>
      </c>
      <c r="C40" t="s">
        <v>712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s="7" t="s">
        <v>2</v>
      </c>
      <c r="B41" t="s">
        <v>706</v>
      </c>
      <c r="C41" t="s">
        <v>713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s="7" t="s">
        <v>2</v>
      </c>
      <c r="B42" t="s">
        <v>706</v>
      </c>
      <c r="C42" t="s">
        <v>714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s="7" t="s">
        <v>2</v>
      </c>
      <c r="B43" t="s">
        <v>706</v>
      </c>
      <c r="C43" t="s">
        <v>715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s="7" t="s">
        <v>2</v>
      </c>
      <c r="B44" t="s">
        <v>706</v>
      </c>
      <c r="C44" t="s">
        <v>716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s="7" t="s">
        <v>2</v>
      </c>
      <c r="B45" t="s">
        <v>706</v>
      </c>
      <c r="C45" t="s">
        <v>717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s="7" t="s">
        <v>2</v>
      </c>
      <c r="B46" t="s">
        <v>706</v>
      </c>
      <c r="C46" t="s">
        <v>718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s="7" t="s">
        <v>2</v>
      </c>
      <c r="B47" t="s">
        <v>706</v>
      </c>
      <c r="C47" t="s">
        <v>719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s="7" t="s">
        <v>2</v>
      </c>
      <c r="B48" t="s">
        <v>706</v>
      </c>
      <c r="C48" t="s">
        <v>720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s="7" t="s">
        <v>2</v>
      </c>
      <c r="B49" t="s">
        <v>706</v>
      </c>
      <c r="C49" t="s">
        <v>721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s="7" t="s">
        <v>2</v>
      </c>
      <c r="B50" t="s">
        <v>706</v>
      </c>
      <c r="C50" t="s">
        <v>722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s="7" t="s">
        <v>2</v>
      </c>
      <c r="B51" t="s">
        <v>1051</v>
      </c>
      <c r="C51" t="s">
        <v>1052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s="7" t="s">
        <v>2</v>
      </c>
      <c r="B52" t="s">
        <v>1051</v>
      </c>
      <c r="C52" t="s">
        <v>1053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s="7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s="7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s="7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s="7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s="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s="7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s="7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s="7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s="7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s="7" t="s">
        <v>9</v>
      </c>
      <c r="B62" t="s">
        <v>15</v>
      </c>
      <c r="C62" t="s">
        <v>791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s="7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s="7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s="7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s="7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s="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s="7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s="7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s="7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s="7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s="7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s="7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s="7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s="7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s="7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s="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s="7" t="s">
        <v>9</v>
      </c>
      <c r="B78" t="s">
        <v>1054</v>
      </c>
      <c r="C78" t="s">
        <v>1055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s="7" t="s">
        <v>9</v>
      </c>
      <c r="B79" t="s">
        <v>1054</v>
      </c>
      <c r="C79" t="s">
        <v>1056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s="7" t="s">
        <v>9</v>
      </c>
      <c r="B80" t="s">
        <v>1054</v>
      </c>
      <c r="C80" t="s">
        <v>1057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s="7" t="s">
        <v>9</v>
      </c>
      <c r="B81" t="s">
        <v>1054</v>
      </c>
      <c r="C81" t="s">
        <v>1058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s="7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s="7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s="7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s="7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s="7" t="s">
        <v>9</v>
      </c>
      <c r="B86" t="s">
        <v>1059</v>
      </c>
      <c r="C86" t="s">
        <v>1060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s="7" t="s">
        <v>9</v>
      </c>
      <c r="B87" t="s">
        <v>1059</v>
      </c>
      <c r="C87" t="s">
        <v>1061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s="7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s="7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s="7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s="7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s="7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s="7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s="7" t="s">
        <v>9</v>
      </c>
      <c r="B94" t="s">
        <v>44</v>
      </c>
      <c r="C94" t="s">
        <v>792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s="7" t="s">
        <v>9</v>
      </c>
      <c r="B95" t="s">
        <v>44</v>
      </c>
      <c r="C95" t="s">
        <v>793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s="7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s="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s="7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s="7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s="7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s="7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s="7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s="7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s="7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s="7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s="7" t="s">
        <v>9</v>
      </c>
      <c r="B106" t="s">
        <v>850</v>
      </c>
      <c r="C106" t="s">
        <v>851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s="7" t="s">
        <v>9</v>
      </c>
      <c r="B107" t="s">
        <v>850</v>
      </c>
      <c r="C107" t="s">
        <v>852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s="7" t="s">
        <v>9</v>
      </c>
      <c r="B108" t="s">
        <v>850</v>
      </c>
      <c r="C108" t="s">
        <v>853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s="7" t="s">
        <v>9</v>
      </c>
      <c r="B109" t="s">
        <v>850</v>
      </c>
      <c r="C109" t="s">
        <v>854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s="7" t="s">
        <v>9</v>
      </c>
      <c r="B110" t="s">
        <v>850</v>
      </c>
      <c r="C110" t="s">
        <v>855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s="7" t="s">
        <v>9</v>
      </c>
      <c r="B111" t="s">
        <v>850</v>
      </c>
      <c r="C111" t="s">
        <v>856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s="7" t="s">
        <v>9</v>
      </c>
      <c r="B112" t="s">
        <v>850</v>
      </c>
      <c r="C112" t="s">
        <v>857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s="7" t="s">
        <v>9</v>
      </c>
      <c r="B113" t="s">
        <v>850</v>
      </c>
      <c r="C113" t="s">
        <v>858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s="7" t="s">
        <v>9</v>
      </c>
      <c r="B114" t="s">
        <v>850</v>
      </c>
      <c r="C114" t="s">
        <v>859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s="7" t="s">
        <v>9</v>
      </c>
      <c r="B115" t="s">
        <v>850</v>
      </c>
      <c r="C115" t="s">
        <v>860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s="7" t="s">
        <v>9</v>
      </c>
      <c r="B116" t="s">
        <v>1062</v>
      </c>
      <c r="C116" t="s">
        <v>1063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Max Distrib Solar Capacity.xlsx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s="7" t="s">
        <v>9</v>
      </c>
      <c r="B117" t="s">
        <v>1062</v>
      </c>
      <c r="C117" t="s">
        <v>1064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Max Distrib Solar Capacity.xlsx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s="7" t="s">
        <v>9</v>
      </c>
      <c r="B118" t="s">
        <v>61</v>
      </c>
      <c r="C118" t="s">
        <v>62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s="7" t="s">
        <v>9</v>
      </c>
      <c r="B119" t="s">
        <v>61</v>
      </c>
      <c r="C119" t="s">
        <v>63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s="7" t="s">
        <v>9</v>
      </c>
      <c r="B120" t="s">
        <v>64</v>
      </c>
      <c r="C120" t="s">
        <v>65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s="7" t="s">
        <v>9</v>
      </c>
      <c r="B121" t="s">
        <v>64</v>
      </c>
      <c r="C121" t="s">
        <v>66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s="7" t="s">
        <v>9</v>
      </c>
      <c r="B122" t="s">
        <v>67</v>
      </c>
      <c r="C122" t="s">
        <v>68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s="7" t="s">
        <v>9</v>
      </c>
      <c r="B123" t="s">
        <v>67</v>
      </c>
      <c r="C123" t="s">
        <v>69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s="7" t="s">
        <v>9</v>
      </c>
      <c r="B124" t="s">
        <v>70</v>
      </c>
      <c r="C124" t="s">
        <v>71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s="7" t="s">
        <v>9</v>
      </c>
      <c r="B125" t="s">
        <v>70</v>
      </c>
      <c r="C125" t="s">
        <v>72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s="7" t="s">
        <v>9</v>
      </c>
      <c r="B126" t="s">
        <v>73</v>
      </c>
      <c r="C126" t="s">
        <v>74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s="7" t="s">
        <v>9</v>
      </c>
      <c r="B127" t="s">
        <v>73</v>
      </c>
      <c r="C127" t="s">
        <v>75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s="7" t="s">
        <v>9</v>
      </c>
      <c r="B128" t="s">
        <v>76</v>
      </c>
      <c r="C128" t="s">
        <v>77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s="7" t="s">
        <v>9</v>
      </c>
      <c r="B129" t="s">
        <v>76</v>
      </c>
      <c r="C129" t="s">
        <v>78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s="7" t="s">
        <v>9</v>
      </c>
      <c r="B130" t="s">
        <v>723</v>
      </c>
      <c r="C130" t="s">
        <v>724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s="7" t="s">
        <v>9</v>
      </c>
      <c r="B131" t="s">
        <v>723</v>
      </c>
      <c r="C131" t="s">
        <v>725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s="7" t="s">
        <v>9</v>
      </c>
      <c r="B132" t="s">
        <v>726</v>
      </c>
      <c r="C132" t="s">
        <v>727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s="7" t="s">
        <v>9</v>
      </c>
      <c r="B133" t="s">
        <v>726</v>
      </c>
      <c r="C133" t="s">
        <v>728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s="7" t="s">
        <v>9</v>
      </c>
      <c r="B134" t="s">
        <v>726</v>
      </c>
      <c r="C134" t="s">
        <v>729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s="7" t="s">
        <v>9</v>
      </c>
      <c r="B135" t="s">
        <v>726</v>
      </c>
      <c r="C135" t="s">
        <v>730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s="7" t="s">
        <v>9</v>
      </c>
      <c r="B136" t="s">
        <v>905</v>
      </c>
      <c r="C136" t="s">
        <v>906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s="7" t="s">
        <v>9</v>
      </c>
      <c r="B137" t="s">
        <v>905</v>
      </c>
      <c r="C137" t="s">
        <v>907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s="7" t="s">
        <v>9</v>
      </c>
      <c r="B138" t="s">
        <v>79</v>
      </c>
      <c r="C138" t="s">
        <v>80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s="7" t="s">
        <v>9</v>
      </c>
      <c r="B139" t="s">
        <v>79</v>
      </c>
      <c r="C139" t="s">
        <v>81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s="7" t="s">
        <v>9</v>
      </c>
      <c r="B140" t="s">
        <v>880</v>
      </c>
      <c r="C140" t="s">
        <v>881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s="7" t="s">
        <v>9</v>
      </c>
      <c r="B141" t="s">
        <v>880</v>
      </c>
      <c r="C141" t="s">
        <v>882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s="7" t="s">
        <v>9</v>
      </c>
      <c r="B142" t="s">
        <v>731</v>
      </c>
      <c r="C142" t="s">
        <v>732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s="7" t="s">
        <v>9</v>
      </c>
      <c r="B143" t="s">
        <v>731</v>
      </c>
      <c r="C143" t="s">
        <v>733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s="7" t="s">
        <v>9</v>
      </c>
      <c r="B144" t="s">
        <v>731</v>
      </c>
      <c r="C144" t="s">
        <v>734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s="7" t="s">
        <v>9</v>
      </c>
      <c r="B145" t="s">
        <v>731</v>
      </c>
      <c r="C145" t="s">
        <v>735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s="7" t="s">
        <v>9</v>
      </c>
      <c r="B146" t="s">
        <v>736</v>
      </c>
      <c r="C146" t="s">
        <v>737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s="7" t="s">
        <v>9</v>
      </c>
      <c r="B147" t="s">
        <v>736</v>
      </c>
      <c r="C147" t="s">
        <v>738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s="7" t="s">
        <v>82</v>
      </c>
      <c r="B148" t="s">
        <v>1065</v>
      </c>
      <c r="C148" t="s">
        <v>1066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s="7" t="s">
        <v>82</v>
      </c>
      <c r="B149" t="s">
        <v>1065</v>
      </c>
      <c r="C149" t="s">
        <v>1067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s="7" t="s">
        <v>82</v>
      </c>
      <c r="B150" t="s">
        <v>1065</v>
      </c>
      <c r="C150" t="s">
        <v>1068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s="7" t="s">
        <v>82</v>
      </c>
      <c r="B151" t="s">
        <v>1069</v>
      </c>
      <c r="C151" t="s">
        <v>1070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s="7" t="s">
        <v>82</v>
      </c>
      <c r="B152" t="s">
        <v>1069</v>
      </c>
      <c r="C152" t="s">
        <v>1071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s="7" t="s">
        <v>82</v>
      </c>
      <c r="B153" t="s">
        <v>1069</v>
      </c>
      <c r="C153" t="s">
        <v>1072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s="7" t="s">
        <v>82</v>
      </c>
      <c r="B154" t="s">
        <v>1073</v>
      </c>
      <c r="C154" t="s">
        <v>1074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s="7" t="s">
        <v>82</v>
      </c>
      <c r="B155" t="s">
        <v>1073</v>
      </c>
      <c r="C155" t="s">
        <v>1075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s="7" t="s">
        <v>82</v>
      </c>
      <c r="B156" t="s">
        <v>83</v>
      </c>
      <c r="C156" t="s">
        <v>1076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s="7" t="s">
        <v>82</v>
      </c>
      <c r="B157" t="s">
        <v>83</v>
      </c>
      <c r="C157" t="s">
        <v>1077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s="7" t="s">
        <v>82</v>
      </c>
      <c r="B158" t="s">
        <v>83</v>
      </c>
      <c r="C158" t="s">
        <v>1078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s="7" t="s">
        <v>82</v>
      </c>
      <c r="B159" t="s">
        <v>83</v>
      </c>
      <c r="C159" t="s">
        <v>1079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s="7" t="s">
        <v>82</v>
      </c>
      <c r="B160" t="s">
        <v>83</v>
      </c>
      <c r="C160" t="s">
        <v>1080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s="7" t="s">
        <v>82</v>
      </c>
      <c r="B161" t="s">
        <v>83</v>
      </c>
      <c r="C161" t="s">
        <v>1081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s="7" t="s">
        <v>82</v>
      </c>
      <c r="B162" t="s">
        <v>83</v>
      </c>
      <c r="C162" t="s">
        <v>1082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s="7" t="s">
        <v>82</v>
      </c>
      <c r="B163" t="s">
        <v>83</v>
      </c>
      <c r="C163" t="s">
        <v>1083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s="7" t="s">
        <v>82</v>
      </c>
      <c r="B164" t="s">
        <v>83</v>
      </c>
      <c r="C164" t="s">
        <v>1084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s="7" t="s">
        <v>82</v>
      </c>
      <c r="B165" t="s">
        <v>83</v>
      </c>
      <c r="C165" t="s">
        <v>739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s="7" t="s">
        <v>82</v>
      </c>
      <c r="B166" t="s">
        <v>691</v>
      </c>
      <c r="C166" t="s">
        <v>692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s="7" t="s">
        <v>82</v>
      </c>
      <c r="B167" t="s">
        <v>691</v>
      </c>
      <c r="C167" t="s">
        <v>693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s="7" t="s">
        <v>82</v>
      </c>
      <c r="B168" t="s">
        <v>691</v>
      </c>
      <c r="C168" t="s">
        <v>1085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CO2 Capture Potentials.xlsx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s="7" t="s">
        <v>82</v>
      </c>
      <c r="B169" t="s">
        <v>691</v>
      </c>
      <c r="C169" t="s">
        <v>694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CO2 Capture Potentials.xlsx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s="7" t="s">
        <v>82</v>
      </c>
      <c r="B170" t="s">
        <v>1086</v>
      </c>
      <c r="C170" t="s">
        <v>1087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CCS Transportation and Storage Cost.xlsx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s="7" t="s">
        <v>82</v>
      </c>
      <c r="B171" t="s">
        <v>1086</v>
      </c>
      <c r="C171" t="s">
        <v>1088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Transportation and Storage Cost.xlsx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s="7" t="s">
        <v>82</v>
      </c>
      <c r="B172" t="s">
        <v>1089</v>
      </c>
      <c r="C172" t="s">
        <v>1090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Share of CCS Transportation and Storage Costs by Recipient ISIC Code.xlsx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s="7" t="s">
        <v>82</v>
      </c>
      <c r="B173" t="s">
        <v>1089</v>
      </c>
      <c r="C173" t="s">
        <v>1091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Share of CCS Transportation and Storage Costs by Recipient ISIC Code.xlsx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s="7" t="s">
        <v>82</v>
      </c>
      <c r="B174" t="s">
        <v>1092</v>
      </c>
      <c r="C174" t="s">
        <v>1093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STfCCE Smoothing Time for CCS Capital Expenditures.xlsx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s="7" t="s">
        <v>82</v>
      </c>
      <c r="B175" t="s">
        <v>1092</v>
      </c>
      <c r="C175" t="s">
        <v>1094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STfCCE Smoothing Time for CCS Capital Expenditures.xlsx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s="7" t="s">
        <v>84</v>
      </c>
      <c r="B176" t="s">
        <v>85</v>
      </c>
      <c r="C176" t="s">
        <v>86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Discount Rate.xlsx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s="7" t="s">
        <v>84</v>
      </c>
      <c r="B177" t="s">
        <v>85</v>
      </c>
      <c r="C177" t="s">
        <v>87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Discount Rate.xlsx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s="7" t="s">
        <v>84</v>
      </c>
      <c r="B178" t="s">
        <v>740</v>
      </c>
      <c r="C178" t="s">
        <v>741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Cash Flows.xlsx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s="7" t="s">
        <v>84</v>
      </c>
      <c r="B179" t="s">
        <v>740</v>
      </c>
      <c r="C179" t="s">
        <v>742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Cash Flows.xlsx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s="7" t="s">
        <v>879</v>
      </c>
      <c r="B180" t="s">
        <v>746</v>
      </c>
      <c r="C180" t="s">
        <v>747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Quantization Size for Pollutants.xlsx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s="7" t="s">
        <v>879</v>
      </c>
      <c r="B181" t="s">
        <v>746</v>
      </c>
      <c r="C181" t="s">
        <v>748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Quantization Size for Pollutants.xlsx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s="7" t="s">
        <v>695</v>
      </c>
      <c r="B182" t="s">
        <v>327</v>
      </c>
      <c r="C182" t="s">
        <v>328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 Are Energy Prices Affected by Chng in Production Costs.xlsx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s="7" t="s">
        <v>695</v>
      </c>
      <c r="B183" t="s">
        <v>327</v>
      </c>
      <c r="C183" t="s">
        <v>329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 Are Energy Prices Affected by Chng in Production Costs.xlsx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s="7" t="s">
        <v>695</v>
      </c>
      <c r="B184" t="s">
        <v>1095</v>
      </c>
      <c r="C184" t="s">
        <v>1096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Carbon Tax Border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s="7" t="s">
        <v>695</v>
      </c>
      <c r="B185" t="s">
        <v>1095</v>
      </c>
      <c r="C185" t="s">
        <v>1097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Carbon Tax Border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s="7" t="s">
        <v>695</v>
      </c>
      <c r="B186" t="s">
        <v>743</v>
      </c>
      <c r="C186" t="s">
        <v>744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Disable Macroecon Feedback Loops.xlsx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s="7" t="s">
        <v>695</v>
      </c>
      <c r="B187" t="s">
        <v>743</v>
      </c>
      <c r="C187" t="s">
        <v>745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Disable Macroecon Feedback Loops.xlsx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s="7" t="s">
        <v>695</v>
      </c>
      <c r="B188" t="s">
        <v>330</v>
      </c>
      <c r="C188" t="s">
        <v>331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Non CO2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s="7" t="s">
        <v>695</v>
      </c>
      <c r="B189" t="s">
        <v>330</v>
      </c>
      <c r="C189" t="s">
        <v>332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Non CO2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s="7" t="s">
        <v>695</v>
      </c>
      <c r="B190" t="s">
        <v>696</v>
      </c>
      <c r="C190" t="s">
        <v>333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Exempt Process Emissions From Carbon Tax.xlsx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s="7" t="s">
        <v>695</v>
      </c>
      <c r="B191" t="s">
        <v>696</v>
      </c>
      <c r="C191" t="s">
        <v>697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Exempt Process Emissions From Carbon Tax.xlsx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s="7" t="s">
        <v>695</v>
      </c>
      <c r="B192" t="s">
        <v>1098</v>
      </c>
      <c r="C192" t="s">
        <v>1099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Elec Suppliers Have Foresight of Future RPS Values.xlsx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s="7" t="s">
        <v>695</v>
      </c>
      <c r="B193" t="s">
        <v>1098</v>
      </c>
      <c r="C193" t="s">
        <v>1100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Elec Suppliers Have Foresight of Future RPS Values.xlsx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s="7" t="s">
        <v>695</v>
      </c>
      <c r="B194" t="s">
        <v>908</v>
      </c>
      <c r="C194" t="s">
        <v>909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Exported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s="7" t="s">
        <v>695</v>
      </c>
      <c r="B195" t="s">
        <v>908</v>
      </c>
      <c r="C195" t="s">
        <v>910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Exported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s="7" t="s">
        <v>695</v>
      </c>
      <c r="B196" t="s">
        <v>334</v>
      </c>
      <c r="C196" t="s">
        <v>335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Include Emissions from Imported Electricity.xlsx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s="7" t="s">
        <v>695</v>
      </c>
      <c r="B197" t="s">
        <v>334</v>
      </c>
      <c r="C197" t="s">
        <v>336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Include Emissions from Imported Electricity.xlsx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s="7" t="s">
        <v>695</v>
      </c>
      <c r="B198" t="s">
        <v>1101</v>
      </c>
      <c r="C198" t="s">
        <v>1102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 Rebate Carbon Tax on Exported Products.xlsx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s="7" t="s">
        <v>695</v>
      </c>
      <c r="B199" t="s">
        <v>1101</v>
      </c>
      <c r="C199" t="s">
        <v>1103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 Rebate Carbon Tax on Exported Products.xlsx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3">
      <c r="A200" s="7" t="s">
        <v>695</v>
      </c>
      <c r="B200" t="s">
        <v>1104</v>
      </c>
      <c r="C200" t="s">
        <v>1105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Boolean Use Capacity Market for New Capacity Revenue.xlsx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s="7" t="s">
        <v>695</v>
      </c>
      <c r="B201" t="s">
        <v>1104</v>
      </c>
      <c r="C201" t="s">
        <v>1106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Boolean Use Capacity Market for New Capacity Revenue.xlsx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s="7" t="s">
        <v>695</v>
      </c>
      <c r="B202" t="s">
        <v>337</v>
      </c>
      <c r="C202" t="s">
        <v>338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Boolean Use Twenty Year GWP Values.xlsx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s="7" t="s">
        <v>695</v>
      </c>
      <c r="B203" t="s">
        <v>337</v>
      </c>
      <c r="C203" t="s">
        <v>339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Use Twenty Year GWP Values.xlsx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s="7" t="s">
        <v>695</v>
      </c>
      <c r="B204" t="s">
        <v>1107</v>
      </c>
      <c r="C204" t="s">
        <v>1108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Exogenous GDP Growth Rate Adjustment.xlsx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s="7" t="s">
        <v>695</v>
      </c>
      <c r="B205" t="s">
        <v>1107</v>
      </c>
      <c r="C205" t="s">
        <v>1109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Exogenous GDP Growth Rate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s="7" t="s">
        <v>695</v>
      </c>
      <c r="B206" t="s">
        <v>1107</v>
      </c>
      <c r="C206" t="s">
        <v>1110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Exogenous GDP Growth Rate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s="7" t="s">
        <v>695</v>
      </c>
      <c r="B207" t="s">
        <v>698</v>
      </c>
      <c r="C207" t="s">
        <v>699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Elasticity of Sectoral Energy Use wrt Per Capita GDP in Recession.xlsx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s="7" t="s">
        <v>695</v>
      </c>
      <c r="B208" t="s">
        <v>698</v>
      </c>
      <c r="C208" t="s">
        <v>700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Elasticity of Sectoral Energy Use wrt Per Capita GDP in Recession.xlsx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s="7" t="s">
        <v>695</v>
      </c>
      <c r="B209" t="s">
        <v>794</v>
      </c>
      <c r="C209" t="s">
        <v>795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s="7" t="s">
        <v>695</v>
      </c>
      <c r="B210" t="s">
        <v>794</v>
      </c>
      <c r="C210" t="s">
        <v>861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s="7" t="s">
        <v>695</v>
      </c>
      <c r="B211" t="s">
        <v>794</v>
      </c>
      <c r="C211" t="s">
        <v>1111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s="7" t="s">
        <v>695</v>
      </c>
      <c r="B212" t="s">
        <v>794</v>
      </c>
      <c r="C212" t="s">
        <v>862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s="7" t="s">
        <v>695</v>
      </c>
      <c r="B213" t="s">
        <v>794</v>
      </c>
      <c r="C213" t="s">
        <v>863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s="7" t="s">
        <v>695</v>
      </c>
      <c r="B214" t="s">
        <v>794</v>
      </c>
      <c r="C214" t="s">
        <v>864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s="7" t="s">
        <v>695</v>
      </c>
      <c r="B215" t="s">
        <v>794</v>
      </c>
      <c r="C215" t="s">
        <v>865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s="7" t="s">
        <v>695</v>
      </c>
      <c r="B216" t="s">
        <v>794</v>
      </c>
      <c r="C216" t="s">
        <v>866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s="7" t="s">
        <v>695</v>
      </c>
      <c r="B217" t="s">
        <v>794</v>
      </c>
      <c r="C217" t="s">
        <v>867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s="7" t="s">
        <v>695</v>
      </c>
      <c r="B218" t="s">
        <v>794</v>
      </c>
      <c r="C218" t="s">
        <v>868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s="7" t="s">
        <v>695</v>
      </c>
      <c r="B219" t="s">
        <v>794</v>
      </c>
      <c r="C219" t="s">
        <v>869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s="7" t="s">
        <v>695</v>
      </c>
      <c r="B220" t="s">
        <v>794</v>
      </c>
      <c r="C220" t="s">
        <v>1112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s="7" t="s">
        <v>88</v>
      </c>
      <c r="B221" t="s">
        <v>89</v>
      </c>
      <c r="C221" t="s">
        <v>90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Fraction of Heat from CHP.xlsx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s="7" t="s">
        <v>88</v>
      </c>
      <c r="B222" t="s">
        <v>89</v>
      </c>
      <c r="C222" t="s">
        <v>91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Fraction of Heat from CHP.xlsx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s="7" t="s">
        <v>88</v>
      </c>
      <c r="B223" t="s">
        <v>92</v>
      </c>
      <c r="C223" t="s">
        <v>93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BAU Frac of Heat Provided by Fuel.xlsx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s="7" t="s">
        <v>88</v>
      </c>
      <c r="B224" t="s">
        <v>92</v>
      </c>
      <c r="C224" t="s">
        <v>94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Frac of Heat Provided by Fuel.xlsx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s="7" t="s">
        <v>88</v>
      </c>
      <c r="B225" t="s">
        <v>95</v>
      </c>
      <c r="C225" t="s">
        <v>96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Efficiency of Conversion to Usable Heat.xlsx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s="7" t="s">
        <v>88</v>
      </c>
      <c r="B226" t="s">
        <v>95</v>
      </c>
      <c r="C226" t="s">
        <v>97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Efficiency of Conversion to Usable Heat.xlsx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s="7" t="s">
        <v>88</v>
      </c>
      <c r="B227" t="s">
        <v>1005</v>
      </c>
      <c r="C227" t="s">
        <v>1006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Heat Distribution Losses.xlsx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s="7" t="s">
        <v>88</v>
      </c>
      <c r="B228" t="s">
        <v>1005</v>
      </c>
      <c r="C228" t="s">
        <v>1007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Heat Distribution Losses.xlsx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s="7" t="s">
        <v>88</v>
      </c>
      <c r="B229" t="s">
        <v>98</v>
      </c>
      <c r="C229" t="s">
        <v>99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Recipient Heat Fuel Fractions.xlsx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s="7" t="s">
        <v>88</v>
      </c>
      <c r="B230" t="s">
        <v>98</v>
      </c>
      <c r="C230" t="s">
        <v>100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Recipient Heat Fuel Fractions.xlsx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s="7" t="s">
        <v>101</v>
      </c>
      <c r="B231" t="s">
        <v>1113</v>
      </c>
      <c r="C231" t="s">
        <v>1114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Ban New Power Plants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s="7" t="s">
        <v>101</v>
      </c>
      <c r="B232" t="s">
        <v>1113</v>
      </c>
      <c r="C232" t="s">
        <v>1115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Ban New Power Plants This Year.xlsx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s="7" t="s">
        <v>101</v>
      </c>
      <c r="B233" t="s">
        <v>1116</v>
      </c>
      <c r="C233" t="s">
        <v>1117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Ban Power Plant Retrofits This Year.xlsx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s="7" t="s">
        <v>101</v>
      </c>
      <c r="B234" t="s">
        <v>1116</v>
      </c>
      <c r="C234" t="s">
        <v>1118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Ban Power Plant Retrofits This Year.xlsx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s="7" t="s">
        <v>101</v>
      </c>
      <c r="B235" t="s">
        <v>1119</v>
      </c>
      <c r="C235" t="s">
        <v>1120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s="7" t="s">
        <v>101</v>
      </c>
      <c r="B236" t="s">
        <v>1119</v>
      </c>
      <c r="C236" t="s">
        <v>1121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s="7" t="s">
        <v>101</v>
      </c>
      <c r="B237" t="s">
        <v>1119</v>
      </c>
      <c r="C237" t="s">
        <v>1122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Cost of Electricity Sector Capital.xlsx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s="7" t="s">
        <v>101</v>
      </c>
      <c r="B238" t="s">
        <v>102</v>
      </c>
      <c r="C238" t="s">
        <v>103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s="7" t="s">
        <v>101</v>
      </c>
      <c r="B239" t="s">
        <v>102</v>
      </c>
      <c r="C239" t="s">
        <v>1123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s="7" t="s">
        <v>101</v>
      </c>
      <c r="B240" t="s">
        <v>102</v>
      </c>
      <c r="C240" t="s">
        <v>1124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s="7" t="s">
        <v>101</v>
      </c>
      <c r="B241" t="s">
        <v>102</v>
      </c>
      <c r="C241" t="s">
        <v>1125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Battery Cost per Unit Cap.xlsx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s="7" t="s">
        <v>101</v>
      </c>
      <c r="B242" t="s">
        <v>104</v>
      </c>
      <c r="C242" t="s">
        <v>105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s="7" t="s">
        <v>101</v>
      </c>
      <c r="B243" t="s">
        <v>104</v>
      </c>
      <c r="C243" t="s">
        <v>106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Cap Retirements before Quantization.xlsx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s="7" t="s">
        <v>101</v>
      </c>
      <c r="B244" t="s">
        <v>1126</v>
      </c>
      <c r="C244" t="s">
        <v>1127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s="7" t="s">
        <v>101</v>
      </c>
      <c r="B245" t="s">
        <v>1126</v>
      </c>
      <c r="C245" t="s">
        <v>1128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Boolean Does This Plant Type Use Maximum Capacity Factor.xlsx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s="7" t="s">
        <v>101</v>
      </c>
      <c r="B246" t="s">
        <v>1129</v>
      </c>
      <c r="C246" t="s">
        <v>1130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s="7" t="s">
        <v>101</v>
      </c>
      <c r="B247" t="s">
        <v>1129</v>
      </c>
      <c r="C247" t="s">
        <v>1131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s="7" t="s">
        <v>101</v>
      </c>
      <c r="B248" t="s">
        <v>1129</v>
      </c>
      <c r="C248" t="s">
        <v>1132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EV Grid Balancing.xlsx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s="7" t="s">
        <v>101</v>
      </c>
      <c r="B249" t="s">
        <v>107</v>
      </c>
      <c r="C249" t="s">
        <v>108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s="7" t="s">
        <v>101</v>
      </c>
      <c r="B250" t="s">
        <v>107</v>
      </c>
      <c r="C250" t="s">
        <v>109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Guaranteed Dispatch Perc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s="7" t="s">
        <v>101</v>
      </c>
      <c r="B251" t="s">
        <v>1133</v>
      </c>
      <c r="C251" t="s">
        <v>1134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s="7" t="s">
        <v>101</v>
      </c>
      <c r="B252" t="s">
        <v>1133</v>
      </c>
      <c r="C252" t="s">
        <v>1135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s="7" t="s">
        <v>101</v>
      </c>
      <c r="B253" t="s">
        <v>1133</v>
      </c>
      <c r="C253" t="s">
        <v>1136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Heat Rates and Start Year Capacities.xlsx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s="7" t="s">
        <v>101</v>
      </c>
      <c r="B254" t="s">
        <v>110</v>
      </c>
      <c r="C254" t="s">
        <v>111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s="7" t="s">
        <v>101</v>
      </c>
      <c r="B255" t="s">
        <v>110</v>
      </c>
      <c r="C255" t="s">
        <v>112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Pumped Hydro Cap.xlsx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s="7" t="s">
        <v>101</v>
      </c>
      <c r="B256" t="s">
        <v>113</v>
      </c>
      <c r="C256" t="s">
        <v>114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s="7" t="s">
        <v>101</v>
      </c>
      <c r="B257" t="s">
        <v>113</v>
      </c>
      <c r="C257" t="s">
        <v>115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Pol Mandated Cap Const Sched.xlsx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s="7" t="s">
        <v>101</v>
      </c>
      <c r="B258" t="s">
        <v>1137</v>
      </c>
      <c r="C258" t="s">
        <v>1138</v>
      </c>
      <c r="G258" t="str">
        <f t="shared" si="6"/>
        <v>xlsx</v>
      </c>
      <c r="H258" s="5" t="str">
        <f>IFERROR(IF(B258="FoPITY",INDEX(Customizations!$C$2:$C$19,MATCH(Sheet1!C258,Customizations!$B$2:$B$19,0),1),INDEX(About!C:C,MATCH(Sheet1!B258,About!B:B,0),1)),"")</f>
        <v>BAU Pol Mandated Cap Retro Sched.xlsx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s="7" t="s">
        <v>101</v>
      </c>
      <c r="B259" t="s">
        <v>1137</v>
      </c>
      <c r="C259" t="s">
        <v>1139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BAU Pol Mandated Cap Retro Sched.xlsx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3">
      <c r="A260" s="7" t="s">
        <v>101</v>
      </c>
      <c r="B260" t="s">
        <v>1140</v>
      </c>
      <c r="C260" t="s">
        <v>1141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BAU Pwr Plnt Elec Own Use Perc.xlsx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3">
      <c r="A261" s="7" t="s">
        <v>101</v>
      </c>
      <c r="B261" t="s">
        <v>1140</v>
      </c>
      <c r="C261" t="s">
        <v>1142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BAU Pwr Plnt Elec Own Use Perc.xlsx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3">
      <c r="A262" s="7" t="s">
        <v>101</v>
      </c>
      <c r="B262" t="s">
        <v>1143</v>
      </c>
      <c r="C262" t="s">
        <v>1144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Subsidy per Unit Grid Battery Capacity Deployed.xlsx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3">
      <c r="A263" s="7" t="s">
        <v>101</v>
      </c>
      <c r="B263" t="s">
        <v>1143</v>
      </c>
      <c r="C263" t="s">
        <v>1145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Subsidy per Unit Grid Battery Capacity Deployed.xlsx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3">
      <c r="A264" s="7" t="s">
        <v>101</v>
      </c>
      <c r="B264" t="s">
        <v>1146</v>
      </c>
      <c r="C264" t="s">
        <v>1147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RPS Data by Subregion.xlsx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s="7" t="s">
        <v>101</v>
      </c>
      <c r="B265" t="s">
        <v>1146</v>
      </c>
      <c r="C265" t="s">
        <v>1148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RPS Data by Subregion.xlsx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s="7" t="s">
        <v>101</v>
      </c>
      <c r="B266" t="s">
        <v>1146</v>
      </c>
      <c r="C266" t="s">
        <v>1149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RPS Data by Subregion.xlsx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s="7" t="s">
        <v>101</v>
      </c>
      <c r="B267" t="s">
        <v>1150</v>
      </c>
      <c r="C267" t="s">
        <v>1151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Subsidy per Unit Electricity Supplied to the Grid by Grid Batteries.xlsx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s="7" t="s">
        <v>101</v>
      </c>
      <c r="B268" t="s">
        <v>1150</v>
      </c>
      <c r="C268" t="s">
        <v>1152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Subsidy per Unit Electricity Supplied to the Grid by Grid Batteries.xlsx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s="7" t="s">
        <v>101</v>
      </c>
      <c r="B269" t="s">
        <v>116</v>
      </c>
      <c r="C269" t="s">
        <v>117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Trans and Distr Loss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s="7" t="s">
        <v>101</v>
      </c>
      <c r="B270" t="s">
        <v>116</v>
      </c>
      <c r="C270" t="s">
        <v>118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Trans and Distr Loss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s="7" t="s">
        <v>101</v>
      </c>
      <c r="B271" t="s">
        <v>1153</v>
      </c>
      <c r="C271" t="s">
        <v>1154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Zero Emis Credit for Nuc Plants.xlsx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s="7" t="s">
        <v>101</v>
      </c>
      <c r="B272" t="s">
        <v>1153</v>
      </c>
      <c r="C272" t="s">
        <v>1155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Zero Emis Credit for Nuc Plants.xlsx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s="7" t="s">
        <v>101</v>
      </c>
      <c r="B273" t="s">
        <v>119</v>
      </c>
      <c r="C273" t="s">
        <v>120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s="7" t="s">
        <v>101</v>
      </c>
      <c r="B274" t="s">
        <v>119</v>
      </c>
      <c r="C274" t="s">
        <v>1156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s="7" t="s">
        <v>101</v>
      </c>
      <c r="B275" t="s">
        <v>119</v>
      </c>
      <c r="C275" t="s">
        <v>1157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s="7" t="s">
        <v>101</v>
      </c>
      <c r="B276" t="s">
        <v>119</v>
      </c>
      <c r="C276" t="s">
        <v>121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s="7" t="s">
        <v>101</v>
      </c>
      <c r="B277" t="s">
        <v>119</v>
      </c>
      <c r="C277" t="s">
        <v>1158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s="7" t="s">
        <v>101</v>
      </c>
      <c r="B278" t="s">
        <v>119</v>
      </c>
      <c r="C278" t="s">
        <v>796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s="7" t="s">
        <v>101</v>
      </c>
      <c r="B279" t="s">
        <v>119</v>
      </c>
      <c r="C279" t="s">
        <v>1159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s="7" t="s">
        <v>101</v>
      </c>
      <c r="B280" t="s">
        <v>119</v>
      </c>
      <c r="C280" t="s">
        <v>1160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s="7" t="s">
        <v>101</v>
      </c>
      <c r="B281" t="s">
        <v>1161</v>
      </c>
      <c r="C281" t="s">
        <v>1162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Cln Dsptchble Rsrc Dmnd for Rlbty Curve Param.xlsx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s="7" t="s">
        <v>101</v>
      </c>
      <c r="B282" t="s">
        <v>1161</v>
      </c>
      <c r="C282" t="s">
        <v>1163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Cln Dsptchble Rsrc Dmnd for Rlbty Curve Param.xlsx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s="7" t="s">
        <v>101</v>
      </c>
      <c r="B283" t="s">
        <v>911</v>
      </c>
      <c r="C283" t="s">
        <v>912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Cap Retirements before Quantization.xlsx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s="7" t="s">
        <v>101</v>
      </c>
      <c r="B284" t="s">
        <v>911</v>
      </c>
      <c r="C284" t="s">
        <v>913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 Retirements before Quantization.xlsx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s="7" t="s">
        <v>101</v>
      </c>
      <c r="B285" t="s">
        <v>1164</v>
      </c>
      <c r="C285" t="s">
        <v>1165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Cap Ret per Unit Net Loss.xlsx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s="7" t="s">
        <v>101</v>
      </c>
      <c r="B286" t="s">
        <v>1164</v>
      </c>
      <c r="C286" t="s">
        <v>1166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 Ret per Unit Net Loss.xlsx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s="7" t="s">
        <v>101</v>
      </c>
      <c r="B287" t="s">
        <v>1167</v>
      </c>
      <c r="C287" t="s">
        <v>1168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Capacity Supply Curve.xlsx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s="7" t="s">
        <v>101</v>
      </c>
      <c r="B288" t="s">
        <v>1167</v>
      </c>
      <c r="C288" t="s">
        <v>1169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Supply Curve.xlsx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s="7" t="s">
        <v>101</v>
      </c>
      <c r="B289" t="s">
        <v>1167</v>
      </c>
      <c r="C289" t="s">
        <v>1170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Supply Curve.xlsx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s="7" t="s">
        <v>101</v>
      </c>
      <c r="B290" t="s">
        <v>1167</v>
      </c>
      <c r="C290" t="s">
        <v>1171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s="7" t="s">
        <v>101</v>
      </c>
      <c r="B291" t="s">
        <v>1172</v>
      </c>
      <c r="C291" t="s">
        <v>1173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Dist Construction Cost per Unit Increase in Peak Load.xlsx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s="7" t="s">
        <v>101</v>
      </c>
      <c r="B292" t="s">
        <v>1172</v>
      </c>
      <c r="C292" t="s">
        <v>1174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Dist Construction Cost per Unit Increase in Peak Load.xlsx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s="7" t="s">
        <v>101</v>
      </c>
      <c r="B293" t="s">
        <v>122</v>
      </c>
      <c r="C293" t="s">
        <v>123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Decommissioning Cost per Unit Cap.xlsx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s="7" t="s">
        <v>101</v>
      </c>
      <c r="B294" t="s">
        <v>122</v>
      </c>
      <c r="C294" t="s">
        <v>124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Decommissioning Cost per Unit Cap.xlsx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s="7" t="s">
        <v>101</v>
      </c>
      <c r="B295" t="s">
        <v>125</v>
      </c>
      <c r="C295" t="s">
        <v>126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Dispatch Priority by Elec Source.xlsx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s="7" t="s">
        <v>101</v>
      </c>
      <c r="B296" t="s">
        <v>125</v>
      </c>
      <c r="C296" t="s">
        <v>127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Dispatch Priority by Elec Source.xlsx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s="7" t="s">
        <v>101</v>
      </c>
      <c r="B297" t="s">
        <v>128</v>
      </c>
      <c r="C297" t="s">
        <v>129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Capacity.xlsx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s="7" t="s">
        <v>101</v>
      </c>
      <c r="B298" t="s">
        <v>128</v>
      </c>
      <c r="C298" t="s">
        <v>1175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Capacity.xlsx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s="7" t="s">
        <v>101</v>
      </c>
      <c r="B299" t="s">
        <v>128</v>
      </c>
      <c r="C299" t="s">
        <v>130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Capacity.xlsx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s="7" t="s">
        <v>101</v>
      </c>
      <c r="B300" t="s">
        <v>128</v>
      </c>
      <c r="C300" t="s">
        <v>131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Demand Response Capacity.xlsx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s="7" t="s">
        <v>101</v>
      </c>
      <c r="B301" t="s">
        <v>132</v>
      </c>
      <c r="C301" t="s">
        <v>133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Costs.xlsx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s="7" t="s">
        <v>101</v>
      </c>
      <c r="B302" t="s">
        <v>132</v>
      </c>
      <c r="C302" t="s">
        <v>134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Costs.xlsx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s="7" t="s">
        <v>101</v>
      </c>
      <c r="B303" t="s">
        <v>132</v>
      </c>
      <c r="C303" t="s">
        <v>135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Costs.xlsx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s="7" t="s">
        <v>101</v>
      </c>
      <c r="B304" t="s">
        <v>1176</v>
      </c>
      <c r="C304" t="s">
        <v>1177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Electricity Dispatch Weibull Parameters.xlsx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s="7" t="s">
        <v>101</v>
      </c>
      <c r="B305" t="s">
        <v>1176</v>
      </c>
      <c r="C305" t="s">
        <v>1178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Electricity Dispatch Weibull Parameters.xlsx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s="7" t="s">
        <v>101</v>
      </c>
      <c r="B306" t="s">
        <v>1176</v>
      </c>
      <c r="C306" t="s">
        <v>1179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Electricity Dispatch Weibull Parameters.xlsx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s="7" t="s">
        <v>101</v>
      </c>
      <c r="B307" t="s">
        <v>136</v>
      </c>
      <c r="C307" t="s">
        <v>137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s="7" t="s">
        <v>101</v>
      </c>
      <c r="B308" t="s">
        <v>136</v>
      </c>
      <c r="C308" t="s">
        <v>749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Imports and Exports.xlsx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s="7" t="s">
        <v>101</v>
      </c>
      <c r="B309" t="s">
        <v>136</v>
      </c>
      <c r="C309" t="s">
        <v>138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Imports and Exports.xlsx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s="7" t="s">
        <v>101</v>
      </c>
      <c r="B310" t="s">
        <v>136</v>
      </c>
      <c r="C310" t="s">
        <v>750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Imports and Exports.xlsx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s="7" t="s">
        <v>101</v>
      </c>
      <c r="B311" t="s">
        <v>136</v>
      </c>
      <c r="C311" t="s">
        <v>139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s="7" t="s">
        <v>101</v>
      </c>
      <c r="B312" t="s">
        <v>1180</v>
      </c>
      <c r="C312" t="s">
        <v>1181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Elec Storage Tech Round Trip Efficiency.xlsx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s="7" t="s">
        <v>101</v>
      </c>
      <c r="B313" t="s">
        <v>1180</v>
      </c>
      <c r="C313" t="s">
        <v>1182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Storage Tech Round Trip Efficiency.xlsx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s="7" t="s">
        <v>101</v>
      </c>
      <c r="B314" t="s">
        <v>1180</v>
      </c>
      <c r="C314" t="s">
        <v>1183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Storage Tech Round Trip Efficiency.xlsx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s="7" t="s">
        <v>101</v>
      </c>
      <c r="B315" t="s">
        <v>1184</v>
      </c>
      <c r="C315" t="s">
        <v>1185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Sources Used for Rlbty and Lst Cst Dsptch.xlsx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s="7" t="s">
        <v>101</v>
      </c>
      <c r="B316" t="s">
        <v>1184</v>
      </c>
      <c r="C316" t="s">
        <v>1186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Sources Used for Rlbty and Lst Cst Dsptch.xlsx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s="7" t="s">
        <v>101</v>
      </c>
      <c r="B317" t="s">
        <v>1184</v>
      </c>
      <c r="C317" t="s">
        <v>1187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Sources Used for Rlbty and Lst Cst Dsptch.xlsx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s="7" t="s">
        <v>101</v>
      </c>
      <c r="B318" t="s">
        <v>1188</v>
      </c>
      <c r="C318" t="s">
        <v>1189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 Cap Growth per Unit Net Revenue.xlsx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s="7" t="s">
        <v>101</v>
      </c>
      <c r="B319" t="s">
        <v>1188</v>
      </c>
      <c r="C319" t="s">
        <v>1190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 Cap Growth per Unit Net Revenue.xlsx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s="7" t="s">
        <v>101</v>
      </c>
      <c r="B320" t="s">
        <v>883</v>
      </c>
      <c r="C320" t="s">
        <v>1191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s="7" t="s">
        <v>101</v>
      </c>
      <c r="B321" t="s">
        <v>883</v>
      </c>
      <c r="C321" t="s">
        <v>884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Grid Battery Storage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s="7" t="s">
        <v>101</v>
      </c>
      <c r="B322" t="s">
        <v>883</v>
      </c>
      <c r="C322" t="s">
        <v>756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Grid Battery Storage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3">
      <c r="A323" s="7" t="s">
        <v>101</v>
      </c>
      <c r="B323" t="s">
        <v>140</v>
      </c>
      <c r="C323" t="s">
        <v>141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Guaranteed Dispatch Perc by Elec Source.xlsx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3">
      <c r="A324" s="7" t="s">
        <v>101</v>
      </c>
      <c r="B324" t="s">
        <v>140</v>
      </c>
      <c r="C324" t="s">
        <v>142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Guaranteed Dispatch Perc by Elec Source.xlsx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3">
      <c r="A325" s="7" t="s">
        <v>101</v>
      </c>
      <c r="B325" t="s">
        <v>1192</v>
      </c>
      <c r="C325" t="s">
        <v>1193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Green Hydrogen Electricity Supply Logit Exponent.xlsx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3">
      <c r="A326" s="7" t="s">
        <v>101</v>
      </c>
      <c r="B326" t="s">
        <v>1192</v>
      </c>
      <c r="C326" t="s">
        <v>1194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Green Hydrogen Electricity Supply Logit Exponent.xlsx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3">
      <c r="A327" s="7" t="s">
        <v>101</v>
      </c>
      <c r="B327" t="s">
        <v>1195</v>
      </c>
      <c r="C327" t="s">
        <v>1196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Green Hydrogen Electricity Supply Shareweights.xlsx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3">
      <c r="A328" s="7" t="s">
        <v>101</v>
      </c>
      <c r="B328" t="s">
        <v>1195</v>
      </c>
      <c r="C328" t="s">
        <v>1197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Green Hydrogen Electricity Supply Shareweights.xlsx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s="7" t="s">
        <v>101</v>
      </c>
      <c r="B329" t="s">
        <v>1198</v>
      </c>
      <c r="C329" t="s">
        <v>1199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s="7" t="s">
        <v>101</v>
      </c>
      <c r="B330" t="s">
        <v>1198</v>
      </c>
      <c r="C330" t="s">
        <v>1200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s="7" t="s">
        <v>101</v>
      </c>
      <c r="B331" t="s">
        <v>1201</v>
      </c>
      <c r="C331" t="s">
        <v>1202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s="7" t="s">
        <v>101</v>
      </c>
      <c r="B332" t="s">
        <v>1201</v>
      </c>
      <c r="C332" t="s">
        <v>1203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s="7" t="s">
        <v>101</v>
      </c>
      <c r="B333" t="s">
        <v>1204</v>
      </c>
      <c r="C333" t="s">
        <v>1205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s="7" t="s">
        <v>101</v>
      </c>
      <c r="B334" t="s">
        <v>1204</v>
      </c>
      <c r="C334" t="s">
        <v>1206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s="7" t="s">
        <v>101</v>
      </c>
      <c r="B335" t="s">
        <v>1207</v>
      </c>
      <c r="C335" t="s">
        <v>1208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s="7" t="s">
        <v>101</v>
      </c>
      <c r="B336" t="s">
        <v>1207</v>
      </c>
      <c r="C336" t="s">
        <v>1209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s="7" t="s">
        <v>101</v>
      </c>
      <c r="B337" t="s">
        <v>1210</v>
      </c>
      <c r="C337" t="s">
        <v>1211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s="7" t="s">
        <v>101</v>
      </c>
      <c r="B338" t="s">
        <v>1210</v>
      </c>
      <c r="C338" t="s">
        <v>1212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s="7" t="s">
        <v>101</v>
      </c>
      <c r="B339" t="s">
        <v>1210</v>
      </c>
      <c r="C339" t="s">
        <v>1213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s="7" t="s">
        <v>101</v>
      </c>
      <c r="B340" t="s">
        <v>1214</v>
      </c>
      <c r="C340" t="s">
        <v>1215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s="7" t="s">
        <v>101</v>
      </c>
      <c r="B341" t="s">
        <v>1214</v>
      </c>
      <c r="C341" t="s">
        <v>1216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s="7" t="s">
        <v>101</v>
      </c>
      <c r="B342" t="s">
        <v>1217</v>
      </c>
      <c r="C342" t="s">
        <v>1218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s="7" t="s">
        <v>101</v>
      </c>
      <c r="B343" t="s">
        <v>1217</v>
      </c>
      <c r="C343" t="s">
        <v>1219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s="7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s="7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s="7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s="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s="7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s="7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s="7" t="s">
        <v>101</v>
      </c>
      <c r="B350" t="s">
        <v>1220</v>
      </c>
      <c r="C350" t="s">
        <v>1221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s="7" t="s">
        <v>101</v>
      </c>
      <c r="B351" t="s">
        <v>1220</v>
      </c>
      <c r="C351" t="s">
        <v>1222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s="7" t="s">
        <v>101</v>
      </c>
      <c r="B352" t="s">
        <v>1223</v>
      </c>
      <c r="C352" t="s">
        <v>1224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RPS Alternative Compliance Payment.xlsx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s="7" t="s">
        <v>101</v>
      </c>
      <c r="B353" t="s">
        <v>1223</v>
      </c>
      <c r="C353" t="s">
        <v>1225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RPS Alternative Compliance Payment.xlsx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s="7" t="s">
        <v>101</v>
      </c>
      <c r="B354" t="s">
        <v>1223</v>
      </c>
      <c r="C354" t="s">
        <v>1226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RPS Alternative Compliance Payment.xlsx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s="7" t="s">
        <v>101</v>
      </c>
      <c r="B355" t="s">
        <v>1227</v>
      </c>
      <c r="C355" t="s">
        <v>1228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s="7" t="s">
        <v>101</v>
      </c>
      <c r="B356" t="s">
        <v>1227</v>
      </c>
      <c r="C356" t="s">
        <v>1229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s="7" t="s">
        <v>101</v>
      </c>
      <c r="B357" t="s">
        <v>1227</v>
      </c>
      <c r="C357" t="s">
        <v>1230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Regional Availability Factor.xlsx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s="7" t="s">
        <v>101</v>
      </c>
      <c r="B358" t="s">
        <v>1227</v>
      </c>
      <c r="C358" t="s">
        <v>1231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Regional Availability Factor.xlsx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s="7" t="s">
        <v>101</v>
      </c>
      <c r="B359" t="s">
        <v>152</v>
      </c>
      <c r="C359" t="s">
        <v>153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Reserve Margin.xlsx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s="7" t="s">
        <v>101</v>
      </c>
      <c r="B360" t="s">
        <v>152</v>
      </c>
      <c r="C360" t="s">
        <v>154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Reserve Margin.xlsx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s="7" t="s">
        <v>101</v>
      </c>
      <c r="B361" t="s">
        <v>1232</v>
      </c>
      <c r="C361" t="s">
        <v>1233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RPfFESCC Repayment Period for Financed Elec Sector Capital Costs.xlsx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s="7" t="s">
        <v>101</v>
      </c>
      <c r="B362" t="s">
        <v>1232</v>
      </c>
      <c r="C362" t="s">
        <v>1234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RPfFESCC Repayment Period for Financed Elec Sector Capital Costs.xlsx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s="7" t="s">
        <v>101</v>
      </c>
      <c r="B363" t="s">
        <v>155</v>
      </c>
      <c r="C363" t="s">
        <v>156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s="7" t="s">
        <v>101</v>
      </c>
      <c r="B364" t="s">
        <v>155</v>
      </c>
      <c r="C364" t="s">
        <v>157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RPS Qualifying Source Definitions.xlsx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s="7" t="s">
        <v>101</v>
      </c>
      <c r="B365" t="s">
        <v>155</v>
      </c>
      <c r="C365" t="s">
        <v>158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Qualifying Source Definitions.xlsx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s="7" t="s">
        <v>101</v>
      </c>
      <c r="B366" t="s">
        <v>1235</v>
      </c>
      <c r="C366" t="s">
        <v>1236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s="7" t="s">
        <v>101</v>
      </c>
      <c r="B367" t="s">
        <v>1235</v>
      </c>
      <c r="C367" t="s">
        <v>1237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s="7" t="s">
        <v>101</v>
      </c>
      <c r="B368" t="s">
        <v>1235</v>
      </c>
      <c r="C368" t="s">
        <v>1238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Electricity Storage.xlsx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s="7" t="s">
        <v>101</v>
      </c>
      <c r="B369" t="s">
        <v>1235</v>
      </c>
      <c r="C369" t="s">
        <v>1239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Electricity Storage.xlsx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s="7" t="s">
        <v>101</v>
      </c>
      <c r="B370" t="s">
        <v>1240</v>
      </c>
      <c r="C370" t="s">
        <v>1241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s="7" t="s">
        <v>101</v>
      </c>
      <c r="B371" t="s">
        <v>1240</v>
      </c>
      <c r="C371" t="s">
        <v>1242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s="7" t="s">
        <v>101</v>
      </c>
      <c r="B372" t="s">
        <v>1240</v>
      </c>
      <c r="C372" t="s">
        <v>1243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s="7" t="s">
        <v>101</v>
      </c>
      <c r="B373" t="s">
        <v>1240</v>
      </c>
      <c r="C373" t="s">
        <v>1244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s="7" t="s">
        <v>101</v>
      </c>
      <c r="B374" t="s">
        <v>1240</v>
      </c>
      <c r="C374" t="s">
        <v>1245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s="7" t="s">
        <v>101</v>
      </c>
      <c r="B375" t="s">
        <v>1240</v>
      </c>
      <c r="C375" t="s">
        <v>1246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s="7" t="s">
        <v>101</v>
      </c>
      <c r="B376" t="s">
        <v>1240</v>
      </c>
      <c r="C376" t="s">
        <v>1247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s="7" t="s">
        <v>101</v>
      </c>
      <c r="B377" t="s">
        <v>1240</v>
      </c>
      <c r="C377" t="s">
        <v>1248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s="7" t="s">
        <v>101</v>
      </c>
      <c r="B378" t="s">
        <v>1240</v>
      </c>
      <c r="C378" t="s">
        <v>1249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s="7" t="s">
        <v>101</v>
      </c>
      <c r="B379" t="s">
        <v>1240</v>
      </c>
      <c r="C379" t="s">
        <v>1250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s="7" t="s">
        <v>101</v>
      </c>
      <c r="B380" t="s">
        <v>1240</v>
      </c>
      <c r="C380" t="s">
        <v>1251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s="7" t="s">
        <v>101</v>
      </c>
      <c r="B381" t="s">
        <v>1240</v>
      </c>
      <c r="C381" t="s">
        <v>1252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s="7" t="s">
        <v>101</v>
      </c>
      <c r="B382" t="s">
        <v>1240</v>
      </c>
      <c r="C382" t="s">
        <v>1253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3">
      <c r="A383" s="7" t="s">
        <v>101</v>
      </c>
      <c r="B383" t="s">
        <v>1240</v>
      </c>
      <c r="C383" t="s">
        <v>1254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3">
      <c r="A384" s="7" t="s">
        <v>101</v>
      </c>
      <c r="B384" t="s">
        <v>1240</v>
      </c>
      <c r="C384" t="s">
        <v>1255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3">
      <c r="A385" s="7" t="s">
        <v>101</v>
      </c>
      <c r="B385" t="s">
        <v>1240</v>
      </c>
      <c r="C385" t="s">
        <v>1256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3">
      <c r="A386" s="7" t="s">
        <v>101</v>
      </c>
      <c r="B386" t="s">
        <v>1240</v>
      </c>
      <c r="C386" t="s">
        <v>1257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3">
      <c r="A387" s="7" t="s">
        <v>101</v>
      </c>
      <c r="B387" t="s">
        <v>1240</v>
      </c>
      <c r="C387" t="s">
        <v>1258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3">
      <c r="A388" s="7" t="s">
        <v>101</v>
      </c>
      <c r="B388" t="s">
        <v>1240</v>
      </c>
      <c r="C388" t="s">
        <v>1259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3">
      <c r="A389" s="7" t="s">
        <v>101</v>
      </c>
      <c r="B389" t="s">
        <v>1240</v>
      </c>
      <c r="C389" t="s">
        <v>1260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3">
      <c r="A390" s="7" t="s">
        <v>101</v>
      </c>
      <c r="B390" t="s">
        <v>1240</v>
      </c>
      <c r="C390" t="s">
        <v>1261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s="7" t="s">
        <v>101</v>
      </c>
      <c r="B391" t="s">
        <v>1240</v>
      </c>
      <c r="C391" t="s">
        <v>1262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s="7" t="s">
        <v>101</v>
      </c>
      <c r="B392" t="s">
        <v>1240</v>
      </c>
      <c r="C392" t="s">
        <v>1263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s="7" t="s">
        <v>101</v>
      </c>
      <c r="B393" t="s">
        <v>1264</v>
      </c>
      <c r="C393" t="s">
        <v>1265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Shr of Costs that Must be Covered to be Deemed Profitable.xlsx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s="7" t="s">
        <v>101</v>
      </c>
      <c r="B394" t="s">
        <v>1264</v>
      </c>
      <c r="C394" t="s">
        <v>1266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Shr of Costs that Must be Covered to be Deemed Profitable.xlsx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s="7" t="s">
        <v>101</v>
      </c>
      <c r="B395" t="s">
        <v>751</v>
      </c>
      <c r="C395" t="s">
        <v>752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s="7" t="s">
        <v>101</v>
      </c>
      <c r="B396" t="s">
        <v>751</v>
      </c>
      <c r="C396" t="s">
        <v>753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s="7" t="s">
        <v>101</v>
      </c>
      <c r="B397" t="s">
        <v>751</v>
      </c>
      <c r="C397" t="s">
        <v>754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Share of Electricity Sector Capital and OM Costs by ISIC Code.xlsx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s="7" t="s">
        <v>101</v>
      </c>
      <c r="B398" t="s">
        <v>751</v>
      </c>
      <c r="C398" t="s">
        <v>755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Share of Electricity Sector Capital and OM Costs by ISIC Code.xlsx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s="7" t="s">
        <v>101</v>
      </c>
      <c r="B399" t="s">
        <v>1267</v>
      </c>
      <c r="C399" t="s">
        <v>1268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Shr of Fwd Costs that Must be Covered to be Prevent Retirement.xlsx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s="7" t="s">
        <v>101</v>
      </c>
      <c r="B400" t="s">
        <v>1267</v>
      </c>
      <c r="C400" t="s">
        <v>1269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Shr of Fwd Costs that Must be Covered to be Prevent Retirement.xlsx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s="7" t="s">
        <v>101</v>
      </c>
      <c r="B401" t="s">
        <v>1270</v>
      </c>
      <c r="C401" t="s">
        <v>1271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Capital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s="7" t="s">
        <v>101</v>
      </c>
      <c r="B402" t="s">
        <v>1270</v>
      </c>
      <c r="C402" t="s">
        <v>1272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Capital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s="7" t="s">
        <v>101</v>
      </c>
      <c r="B403" t="s">
        <v>1273</v>
      </c>
      <c r="C403" t="s">
        <v>1274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Share of Transmission and Distribution OM Costs by ISIC Code.xlsx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s="7" t="s">
        <v>101</v>
      </c>
      <c r="B404" t="s">
        <v>1273</v>
      </c>
      <c r="C404" t="s">
        <v>1275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Share of Transmission and Distribution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s="7" t="s">
        <v>101</v>
      </c>
      <c r="B405" t="s">
        <v>1276</v>
      </c>
      <c r="C405" t="s">
        <v>1277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STfESCE Smoothing Time for Electricity Sector Capital Expenditures.xlsx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s="7" t="s">
        <v>101</v>
      </c>
      <c r="B406" t="s">
        <v>1276</v>
      </c>
      <c r="C406" t="s">
        <v>1278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STfESCE Smoothing Time for Electricity Sector Capital Expenditures.xlsx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s="7" t="s">
        <v>101</v>
      </c>
      <c r="B407" t="s">
        <v>1279</v>
      </c>
      <c r="C407" t="s">
        <v>1280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Peak Electricity Load.xlsx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s="7" t="s">
        <v>101</v>
      </c>
      <c r="B408" t="s">
        <v>1279</v>
      </c>
      <c r="C408" t="s">
        <v>1281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Peak Electricity Load.xlsx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s="7" t="s">
        <v>101</v>
      </c>
      <c r="B409" t="s">
        <v>1282</v>
      </c>
      <c r="C409" t="s">
        <v>1283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s="7" t="s">
        <v>101</v>
      </c>
      <c r="B410" t="s">
        <v>1282</v>
      </c>
      <c r="C410" t="s">
        <v>1284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s="7" t="s">
        <v>101</v>
      </c>
      <c r="B411" t="s">
        <v>1282</v>
      </c>
      <c r="C411" t="s">
        <v>1285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s="7" t="s">
        <v>101</v>
      </c>
      <c r="B412" t="s">
        <v>1282</v>
      </c>
      <c r="C412" t="s">
        <v>1286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s="7" t="s">
        <v>101</v>
      </c>
      <c r="B413" t="s">
        <v>1282</v>
      </c>
      <c r="C413" t="s">
        <v>1287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s="7" t="s">
        <v>101</v>
      </c>
      <c r="B414" t="s">
        <v>1282</v>
      </c>
      <c r="C414" t="s">
        <v>1288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s="7" t="s">
        <v>101</v>
      </c>
      <c r="B415" t="s">
        <v>1282</v>
      </c>
      <c r="C415" t="s">
        <v>1289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s="7" t="s">
        <v>101</v>
      </c>
      <c r="B416" t="s">
        <v>1282</v>
      </c>
      <c r="C416" t="s">
        <v>1290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s="7" t="s">
        <v>101</v>
      </c>
      <c r="B417" t="s">
        <v>1282</v>
      </c>
      <c r="C417" t="s">
        <v>1291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s="7" t="s">
        <v>101</v>
      </c>
      <c r="B418" t="s">
        <v>1282</v>
      </c>
      <c r="C418" t="s">
        <v>1292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s="7" t="s">
        <v>101</v>
      </c>
      <c r="B419" t="s">
        <v>1282</v>
      </c>
      <c r="C419" t="s">
        <v>1293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s="7" t="s">
        <v>101</v>
      </c>
      <c r="B420" t="s">
        <v>1282</v>
      </c>
      <c r="C420" t="s">
        <v>1294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s="7" t="s">
        <v>101</v>
      </c>
      <c r="B421" t="s">
        <v>1282</v>
      </c>
      <c r="C421" t="s">
        <v>1295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s="7" t="s">
        <v>101</v>
      </c>
      <c r="B422" t="s">
        <v>1282</v>
      </c>
      <c r="C422" t="s">
        <v>1296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s="7" t="s">
        <v>101</v>
      </c>
      <c r="B423" t="s">
        <v>1282</v>
      </c>
      <c r="C423" t="s">
        <v>1297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s="7" t="s">
        <v>101</v>
      </c>
      <c r="B424" t="s">
        <v>1282</v>
      </c>
      <c r="C424" t="s">
        <v>1298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s="7" t="s">
        <v>101</v>
      </c>
      <c r="B425" t="s">
        <v>1282</v>
      </c>
      <c r="C425" t="s">
        <v>1299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s="7" t="s">
        <v>101</v>
      </c>
      <c r="B426" t="s">
        <v>1282</v>
      </c>
      <c r="C426" t="s">
        <v>1300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s="7" t="s">
        <v>101</v>
      </c>
      <c r="B427" t="s">
        <v>1282</v>
      </c>
      <c r="C427" t="s">
        <v>1301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s="7" t="s">
        <v>101</v>
      </c>
      <c r="B428" t="s">
        <v>1282</v>
      </c>
      <c r="C428" t="s">
        <v>1302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s="7" t="s">
        <v>101</v>
      </c>
      <c r="B429" t="s">
        <v>1282</v>
      </c>
      <c r="C429" t="s">
        <v>1303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s="7" t="s">
        <v>101</v>
      </c>
      <c r="B430" t="s">
        <v>1282</v>
      </c>
      <c r="C430" t="s">
        <v>1304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s="7" t="s">
        <v>101</v>
      </c>
      <c r="B431" t="s">
        <v>1282</v>
      </c>
      <c r="C431" t="s">
        <v>1305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s="7" t="s">
        <v>101</v>
      </c>
      <c r="B432" t="s">
        <v>1282</v>
      </c>
      <c r="C432" t="s">
        <v>1306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s="7" t="s">
        <v>101</v>
      </c>
      <c r="B433" t="s">
        <v>1282</v>
      </c>
      <c r="C433" t="s">
        <v>1307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s="7" t="s">
        <v>101</v>
      </c>
      <c r="B434" t="s">
        <v>1282</v>
      </c>
      <c r="C434" t="s">
        <v>1308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s="7" t="s">
        <v>101</v>
      </c>
      <c r="B435" t="s">
        <v>1282</v>
      </c>
      <c r="C435" t="s">
        <v>1309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s="7" t="s">
        <v>101</v>
      </c>
      <c r="B436" t="s">
        <v>1310</v>
      </c>
      <c r="C436" t="s">
        <v>1311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s="7" t="s">
        <v>101</v>
      </c>
      <c r="B437" t="s">
        <v>1310</v>
      </c>
      <c r="C437" t="s">
        <v>1312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s="7" t="s">
        <v>101</v>
      </c>
      <c r="B438" t="s">
        <v>1310</v>
      </c>
      <c r="C438" t="s">
        <v>1313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s="7" t="s">
        <v>101</v>
      </c>
      <c r="B439" t="s">
        <v>1310</v>
      </c>
      <c r="C439" t="s">
        <v>1314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Transmission and Distribution Costs.xlsx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s="7" t="s">
        <v>101</v>
      </c>
      <c r="B440" t="s">
        <v>1310</v>
      </c>
      <c r="C440" t="s">
        <v>1315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Transmission and Distribution Costs.xlsx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s="7" t="s">
        <v>101</v>
      </c>
      <c r="B441" t="s">
        <v>1316</v>
      </c>
      <c r="C441" t="s">
        <v>1317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s="7" t="s">
        <v>101</v>
      </c>
      <c r="B442" t="s">
        <v>1316</v>
      </c>
      <c r="C442" t="s">
        <v>1318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Trans Const Cost per Unit New Electricity Capacity.xlsx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s="7" t="s">
        <v>101</v>
      </c>
      <c r="B443" t="s">
        <v>159</v>
      </c>
      <c r="C443" t="s">
        <v>160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s="7" t="s">
        <v>101</v>
      </c>
      <c r="B444" t="s">
        <v>159</v>
      </c>
      <c r="C444" t="s">
        <v>161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3">
      <c r="A445" s="7" t="s">
        <v>101</v>
      </c>
      <c r="B445" t="s">
        <v>159</v>
      </c>
      <c r="C445" t="s">
        <v>162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Water Use by Power Plant Type.xlsx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3">
      <c r="A446" s="7" t="s">
        <v>163</v>
      </c>
      <c r="B446" t="s">
        <v>164</v>
      </c>
      <c r="C446" t="s">
        <v>165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3">
      <c r="A447" s="7" t="s">
        <v>163</v>
      </c>
      <c r="B447" t="s">
        <v>164</v>
      </c>
      <c r="C447" t="s">
        <v>166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3">
      <c r="A448" s="7" t="s">
        <v>163</v>
      </c>
      <c r="B448" t="s">
        <v>164</v>
      </c>
      <c r="C448" t="s">
        <v>1319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CO2 Sequestered Globally.xlsx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3">
      <c r="A449" s="7" t="s">
        <v>163</v>
      </c>
      <c r="B449" t="s">
        <v>167</v>
      </c>
      <c r="C449" t="s">
        <v>168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3">
      <c r="A450" s="7" t="s">
        <v>163</v>
      </c>
      <c r="B450" t="s">
        <v>167</v>
      </c>
      <c r="C450" t="s">
        <v>169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3">
      <c r="A451" s="7" t="s">
        <v>163</v>
      </c>
      <c r="B451" t="s">
        <v>167</v>
      </c>
      <c r="C451" t="s">
        <v>756</v>
      </c>
      <c r="G451" t="str">
        <f t="shared" ref="G451:G511" si="15">RIGHT(C451,"4")</f>
        <v>.csv</v>
      </c>
      <c r="H451" s="5" t="str">
        <f>IFERROR(IF(B451="FoPITY",INDEX(Customizations!$C$2:$C$19,MATCH(Sheet1!C451,Customizations!$B$2:$B$19,0),1),INDEX(About!C:C,MATCH(Sheet1!B451,About!B:B,0),1)),"")</f>
        <v>BAU Global Battery Storage Cap.xlsx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3">
      <c r="A452" s="7" t="s">
        <v>163</v>
      </c>
      <c r="B452" t="s">
        <v>170</v>
      </c>
      <c r="C452" t="s">
        <v>171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3">
      <c r="A453" s="7" t="s">
        <v>163</v>
      </c>
      <c r="B453" t="s">
        <v>170</v>
      </c>
      <c r="C453" t="s">
        <v>172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s="7" t="s">
        <v>163</v>
      </c>
      <c r="B454" t="s">
        <v>170</v>
      </c>
      <c r="C454" t="s">
        <v>1320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BAU Global Solar and Wind Cap.xlsx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s="7" t="s">
        <v>163</v>
      </c>
      <c r="B455" t="s">
        <v>757</v>
      </c>
      <c r="C455" t="s">
        <v>758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s="7" t="s">
        <v>163</v>
      </c>
      <c r="B456" t="s">
        <v>757</v>
      </c>
      <c r="C456" t="s">
        <v>759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Frac of Tech Outside Modeled Region Affecting Endo Learning.xlsx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s="7" t="s">
        <v>163</v>
      </c>
      <c r="B457" t="s">
        <v>173</v>
      </c>
      <c r="C457" t="s">
        <v>174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s="7" t="s">
        <v>163</v>
      </c>
      <c r="B458" t="s">
        <v>173</v>
      </c>
      <c r="C458" t="s">
        <v>175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Perc Decline in Battery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s="7" t="s">
        <v>163</v>
      </c>
      <c r="B459" t="s">
        <v>176</v>
      </c>
      <c r="C459" t="s">
        <v>177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s="7" t="s">
        <v>163</v>
      </c>
      <c r="B460" t="s">
        <v>176</v>
      </c>
      <c r="C460" t="s">
        <v>178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Perc Decline in Cap Cost per Doubling of Cap.xlsx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s="7" t="s">
        <v>163</v>
      </c>
      <c r="B461" t="s">
        <v>179</v>
      </c>
      <c r="C461" t="s">
        <v>180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s="7" t="s">
        <v>163</v>
      </c>
      <c r="B462" t="s">
        <v>179</v>
      </c>
      <c r="C462" t="s">
        <v>181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Perc Decline in CCS Eqpt Cost per Doubling of Capacity.xlsx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s="7" t="s">
        <v>182</v>
      </c>
      <c r="B463" t="s">
        <v>797</v>
      </c>
      <c r="C463" t="s">
        <v>798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s="7" t="s">
        <v>182</v>
      </c>
      <c r="B464" t="s">
        <v>797</v>
      </c>
      <c r="C464" t="s">
        <v>799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Carbon Tax Rate.xlsx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s="7" t="s">
        <v>182</v>
      </c>
      <c r="B465" t="s">
        <v>1321</v>
      </c>
      <c r="C465" t="s">
        <v>1322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s="7" t="s">
        <v>182</v>
      </c>
      <c r="B466" t="s">
        <v>1321</v>
      </c>
      <c r="C466" t="s">
        <v>1323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Fraction of Industry Covered by Carbon Tax Border Adjustment.xlsx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s="7" t="s">
        <v>182</v>
      </c>
      <c r="B467" t="s">
        <v>1324</v>
      </c>
      <c r="C467" t="s">
        <v>1325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s="7" t="s">
        <v>182</v>
      </c>
      <c r="B468" t="s">
        <v>1324</v>
      </c>
      <c r="C468" t="s">
        <v>1326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Fraction of Industry Category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s="7" t="s">
        <v>182</v>
      </c>
      <c r="B469" t="s">
        <v>1327</v>
      </c>
      <c r="C469" t="s">
        <v>1328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s="7" t="s">
        <v>182</v>
      </c>
      <c r="B470" t="s">
        <v>1327</v>
      </c>
      <c r="C470" t="s">
        <v>1329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Fraction of Vehicle Types Subject to Carbon Tax.xlsx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s="7" t="s">
        <v>182</v>
      </c>
      <c r="B471" t="s">
        <v>800</v>
      </c>
      <c r="C471" t="s">
        <v>801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s="7" t="s">
        <v>182</v>
      </c>
      <c r="B472" t="s">
        <v>800</v>
      </c>
      <c r="C472" t="s">
        <v>808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s="7" t="s">
        <v>182</v>
      </c>
      <c r="B473" t="s">
        <v>800</v>
      </c>
      <c r="C473" t="s">
        <v>809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s="7" t="s">
        <v>182</v>
      </c>
      <c r="B474" t="s">
        <v>800</v>
      </c>
      <c r="C474" t="s">
        <v>810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s="7" t="s">
        <v>182</v>
      </c>
      <c r="B475" t="s">
        <v>800</v>
      </c>
      <c r="C475" t="s">
        <v>811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s="7" t="s">
        <v>182</v>
      </c>
      <c r="B476" t="s">
        <v>800</v>
      </c>
      <c r="C476" t="s">
        <v>812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s="7" t="s">
        <v>182</v>
      </c>
      <c r="B477" t="s">
        <v>800</v>
      </c>
      <c r="C477" t="s">
        <v>813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s="7" t="s">
        <v>182</v>
      </c>
      <c r="B478" t="s">
        <v>800</v>
      </c>
      <c r="C478" t="s">
        <v>814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s="7" t="s">
        <v>182</v>
      </c>
      <c r="B479" t="s">
        <v>800</v>
      </c>
      <c r="C479" t="s">
        <v>815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s="7" t="s">
        <v>182</v>
      </c>
      <c r="B480" t="s">
        <v>800</v>
      </c>
      <c r="C480" t="s">
        <v>816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s="7" t="s">
        <v>182</v>
      </c>
      <c r="B481" t="s">
        <v>800</v>
      </c>
      <c r="C481" t="s">
        <v>817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s="7" t="s">
        <v>182</v>
      </c>
      <c r="B482" t="s">
        <v>800</v>
      </c>
      <c r="C482" t="s">
        <v>818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s="7" t="s">
        <v>182</v>
      </c>
      <c r="B483" t="s">
        <v>800</v>
      </c>
      <c r="C483" t="s">
        <v>819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s="7" t="s">
        <v>182</v>
      </c>
      <c r="B484" t="s">
        <v>800</v>
      </c>
      <c r="C484" t="s">
        <v>820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s="7" t="s">
        <v>182</v>
      </c>
      <c r="B485" t="s">
        <v>800</v>
      </c>
      <c r="C485" t="s">
        <v>821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s="7" t="s">
        <v>182</v>
      </c>
      <c r="B486" t="s">
        <v>800</v>
      </c>
      <c r="C486" t="s">
        <v>822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s="7" t="s">
        <v>182</v>
      </c>
      <c r="B487" t="s">
        <v>800</v>
      </c>
      <c r="C487" t="s">
        <v>823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s="7" t="s">
        <v>182</v>
      </c>
      <c r="B488" t="s">
        <v>800</v>
      </c>
      <c r="C488" t="s">
        <v>824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s="7" t="s">
        <v>182</v>
      </c>
      <c r="B489" t="s">
        <v>800</v>
      </c>
      <c r="C489" t="s">
        <v>825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s="7" t="s">
        <v>182</v>
      </c>
      <c r="B490" t="s">
        <v>800</v>
      </c>
      <c r="C490" t="s">
        <v>826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s="7" t="s">
        <v>182</v>
      </c>
      <c r="B491" t="s">
        <v>800</v>
      </c>
      <c r="C491" t="s">
        <v>827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s="7" t="s">
        <v>182</v>
      </c>
      <c r="B492" t="s">
        <v>800</v>
      </c>
      <c r="C492" t="s">
        <v>828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s="7" t="s">
        <v>182</v>
      </c>
      <c r="B493" t="s">
        <v>800</v>
      </c>
      <c r="C493" t="s">
        <v>829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s="7" t="s">
        <v>182</v>
      </c>
      <c r="B494" t="s">
        <v>800</v>
      </c>
      <c r="C494" t="s">
        <v>830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s="7" t="s">
        <v>182</v>
      </c>
      <c r="B495" t="s">
        <v>800</v>
      </c>
      <c r="C495" t="s">
        <v>831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s="7" t="s">
        <v>182</v>
      </c>
      <c r="B496" t="s">
        <v>800</v>
      </c>
      <c r="C496" t="s">
        <v>832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s="7" t="s">
        <v>182</v>
      </c>
      <c r="B497" t="s">
        <v>800</v>
      </c>
      <c r="C497" t="s">
        <v>833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s="7" t="s">
        <v>182</v>
      </c>
      <c r="B498" t="s">
        <v>800</v>
      </c>
      <c r="C498" t="s">
        <v>834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s="7" t="s">
        <v>182</v>
      </c>
      <c r="B499" t="s">
        <v>800</v>
      </c>
      <c r="C499" t="s">
        <v>835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s="7" t="s">
        <v>182</v>
      </c>
      <c r="B500" t="s">
        <v>800</v>
      </c>
      <c r="C500" t="s">
        <v>836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s="7" t="s">
        <v>182</v>
      </c>
      <c r="B501" t="s">
        <v>800</v>
      </c>
      <c r="C501" t="s">
        <v>837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s="7" t="s">
        <v>182</v>
      </c>
      <c r="B502" t="s">
        <v>800</v>
      </c>
      <c r="C502" t="s">
        <v>838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s="7" t="s">
        <v>182</v>
      </c>
      <c r="B503" t="s">
        <v>800</v>
      </c>
      <c r="C503" t="s">
        <v>839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3">
      <c r="A504" s="7" t="s">
        <v>182</v>
      </c>
      <c r="B504" t="s">
        <v>800</v>
      </c>
      <c r="C504" t="s">
        <v>840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3">
      <c r="A505" s="7" t="s">
        <v>182</v>
      </c>
      <c r="B505" t="s">
        <v>800</v>
      </c>
      <c r="C505" t="s">
        <v>841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3">
      <c r="A506" s="7" t="s">
        <v>182</v>
      </c>
      <c r="B506" t="s">
        <v>800</v>
      </c>
      <c r="C506" t="s">
        <v>842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3">
      <c r="A507" s="7" t="s">
        <v>182</v>
      </c>
      <c r="B507" t="s">
        <v>800</v>
      </c>
      <c r="C507" t="s">
        <v>843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3">
      <c r="A508" s="7" t="s">
        <v>182</v>
      </c>
      <c r="B508" t="s">
        <v>800</v>
      </c>
      <c r="C508" t="s">
        <v>844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3">
      <c r="A509" s="7" t="s">
        <v>182</v>
      </c>
      <c r="B509" t="s">
        <v>800</v>
      </c>
      <c r="C509" t="s">
        <v>845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3">
      <c r="A510" s="7" t="s">
        <v>182</v>
      </c>
      <c r="B510" t="s">
        <v>800</v>
      </c>
      <c r="C510" t="s">
        <v>846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3">
      <c r="A511" s="7" t="s">
        <v>182</v>
      </c>
      <c r="B511" t="s">
        <v>800</v>
      </c>
      <c r="C511" t="s">
        <v>847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3">
      <c r="A512" s="7" t="s">
        <v>182</v>
      </c>
      <c r="B512" t="s">
        <v>800</v>
      </c>
      <c r="C512" t="s">
        <v>848</v>
      </c>
      <c r="G512" t="str">
        <f t="shared" ref="G512:G573" si="18">RIGHT(C512,"4")</f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3">
      <c r="A513" s="7" t="s">
        <v>182</v>
      </c>
      <c r="B513" t="s">
        <v>800</v>
      </c>
      <c r="C513" t="s">
        <v>849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s="7" t="s">
        <v>182</v>
      </c>
      <c r="B514" t="s">
        <v>183</v>
      </c>
      <c r="C514" t="s">
        <v>184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s="7" t="s">
        <v>182</v>
      </c>
      <c r="B515" t="s">
        <v>183</v>
      </c>
      <c r="C515" t="s">
        <v>185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s="7" t="s">
        <v>182</v>
      </c>
      <c r="B516" t="s">
        <v>183</v>
      </c>
      <c r="C516" t="s">
        <v>186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s="7" t="s">
        <v>182</v>
      </c>
      <c r="B517" t="s">
        <v>183</v>
      </c>
      <c r="C517" t="s">
        <v>187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Production Imports and Exports.xlsx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s="7" t="s">
        <v>182</v>
      </c>
      <c r="B518" t="s">
        <v>188</v>
      </c>
      <c r="C518" t="s">
        <v>189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3">
      <c r="A519" s="7" t="s">
        <v>182</v>
      </c>
      <c r="B519" t="s">
        <v>188</v>
      </c>
      <c r="C519" t="s">
        <v>190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">
      <c r="A520" s="7" t="s">
        <v>182</v>
      </c>
      <c r="B520" t="s">
        <v>188</v>
      </c>
      <c r="C520" t="s">
        <v>191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">
      <c r="A521" s="7" t="s">
        <v>182</v>
      </c>
      <c r="B521" t="s">
        <v>188</v>
      </c>
      <c r="C521" t="s">
        <v>1521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">
      <c r="A522" s="7" t="s">
        <v>182</v>
      </c>
      <c r="B522" t="s">
        <v>188</v>
      </c>
      <c r="C522" t="s">
        <v>1522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Subsidies.xlsx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">
      <c r="A523" s="7" t="s">
        <v>182</v>
      </c>
      <c r="B523" t="s">
        <v>192</v>
      </c>
      <c r="C523" t="s">
        <v>193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s="7" t="s">
        <v>182</v>
      </c>
      <c r="B524" t="s">
        <v>192</v>
      </c>
      <c r="C524" t="s">
        <v>194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Export Tax Rate by Fuel.xlsx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s="7" t="s">
        <v>182</v>
      </c>
      <c r="B525" t="s">
        <v>1330</v>
      </c>
      <c r="C525" t="s">
        <v>1331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s="7" t="s">
        <v>182</v>
      </c>
      <c r="B526" t="s">
        <v>1330</v>
      </c>
      <c r="C526" t="s">
        <v>1332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Fraction of Industry Covered by Carbon Tax Border Adjustment.xlsx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s="7" t="s">
        <v>182</v>
      </c>
      <c r="B527" t="s">
        <v>1333</v>
      </c>
      <c r="C527" t="s">
        <v>1334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s="7" t="s">
        <v>182</v>
      </c>
      <c r="B528" t="s">
        <v>1333</v>
      </c>
      <c r="C528" t="s">
        <v>1335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Fraction of Industry Category Subject to Carbon Tax.xlsx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s="7" t="s">
        <v>182</v>
      </c>
      <c r="B529" t="s">
        <v>919</v>
      </c>
      <c r="C529" t="s">
        <v>920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s="7" t="s">
        <v>182</v>
      </c>
      <c r="B530" t="s">
        <v>919</v>
      </c>
      <c r="C530" t="s">
        <v>921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Fractions of Products That are Fuels by ISIC Code.xlsx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s="7" t="s">
        <v>182</v>
      </c>
      <c r="B531" t="s">
        <v>1336</v>
      </c>
      <c r="C531" t="s">
        <v>1337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s="7" t="s">
        <v>182</v>
      </c>
      <c r="B532" t="s">
        <v>1336</v>
      </c>
      <c r="C532" t="s">
        <v>1338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Fraction of Vehicle Types Subject to Carbon Tax.xlsx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s="7" t="s">
        <v>182</v>
      </c>
      <c r="B533" t="s">
        <v>1008</v>
      </c>
      <c r="C533" t="s">
        <v>1009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s="7" t="s">
        <v>182</v>
      </c>
      <c r="B534" t="s">
        <v>1008</v>
      </c>
      <c r="C534" t="s">
        <v>1010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Fuel Prod Imp Exp Balancing Priorities.xlsx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s="7" t="s">
        <v>182</v>
      </c>
      <c r="B535" t="s">
        <v>1339</v>
      </c>
      <c r="C535" t="s">
        <v>1340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s="7" t="s">
        <v>182</v>
      </c>
      <c r="B536" t="s">
        <v>1339</v>
      </c>
      <c r="C536" t="s">
        <v>1341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Fuel Surcharge Perc by Power Plant Type.xlsx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s="7" t="s">
        <v>182</v>
      </c>
      <c r="B537" t="s">
        <v>195</v>
      </c>
      <c r="C537" t="s">
        <v>196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s="7" t="s">
        <v>182</v>
      </c>
      <c r="B538" t="s">
        <v>195</v>
      </c>
      <c r="C538" t="s">
        <v>197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GWP by Pollutant by Timeframe.xlsx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s="7" t="s">
        <v>182</v>
      </c>
      <c r="B539" t="s">
        <v>198</v>
      </c>
      <c r="C539" t="s">
        <v>199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s="7" t="s">
        <v>182</v>
      </c>
      <c r="B540" t="s">
        <v>198</v>
      </c>
      <c r="C540" t="s">
        <v>200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Intnl Market Fuel Price by Fuel Type.xlsx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s="7" t="s">
        <v>182</v>
      </c>
      <c r="B541" t="s">
        <v>201</v>
      </c>
      <c r="C541" t="s">
        <v>202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s="7" t="s">
        <v>182</v>
      </c>
      <c r="B542" t="s">
        <v>201</v>
      </c>
      <c r="C542" t="s">
        <v>203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Max Perc Inc in Fuel Exports.xlsx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s="7" t="s">
        <v>182</v>
      </c>
      <c r="B543" t="s">
        <v>204</v>
      </c>
      <c r="C543" t="s">
        <v>205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s="7" t="s">
        <v>182</v>
      </c>
      <c r="B544" t="s">
        <v>204</v>
      </c>
      <c r="C544" t="s">
        <v>206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Max Perc Inc in Fuel Imports.xlsx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s="7" t="s">
        <v>182</v>
      </c>
      <c r="B545" t="s">
        <v>207</v>
      </c>
      <c r="C545" t="s">
        <v>208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s="7" t="s">
        <v>182</v>
      </c>
      <c r="B546" t="s">
        <v>207</v>
      </c>
      <c r="C546" t="s">
        <v>209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Max Perc Inc in Fuel Production.xlsx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s="7" t="s">
        <v>182</v>
      </c>
      <c r="B547" t="s">
        <v>210</v>
      </c>
      <c r="C547" t="s">
        <v>211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s="7" t="s">
        <v>182</v>
      </c>
      <c r="B548" t="s">
        <v>210</v>
      </c>
      <c r="C548" t="s">
        <v>212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s="7" t="s">
        <v>182</v>
      </c>
      <c r="B549" t="s">
        <v>210</v>
      </c>
      <c r="C549" t="s">
        <v>922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s="7" t="s">
        <v>182</v>
      </c>
      <c r="B550" t="s">
        <v>210</v>
      </c>
      <c r="C550" t="s">
        <v>213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s="7" t="s">
        <v>182</v>
      </c>
      <c r="B551" t="s">
        <v>210</v>
      </c>
      <c r="C551" t="s">
        <v>214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s="7" t="s">
        <v>182</v>
      </c>
      <c r="B552" t="s">
        <v>210</v>
      </c>
      <c r="C552" t="s">
        <v>215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s="7" t="s">
        <v>182</v>
      </c>
      <c r="B553" t="s">
        <v>210</v>
      </c>
      <c r="C553" t="s">
        <v>216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s="7" t="s">
        <v>182</v>
      </c>
      <c r="B554" t="s">
        <v>210</v>
      </c>
      <c r="C554" t="s">
        <v>217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s="7" t="s">
        <v>182</v>
      </c>
      <c r="B555" t="s">
        <v>210</v>
      </c>
      <c r="C555" t="s">
        <v>218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s="7" t="s">
        <v>182</v>
      </c>
      <c r="B556" t="s">
        <v>210</v>
      </c>
      <c r="C556" t="s">
        <v>219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s="7" t="s">
        <v>182</v>
      </c>
      <c r="B557" t="s">
        <v>220</v>
      </c>
      <c r="C557" t="s">
        <v>221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s="7" t="s">
        <v>182</v>
      </c>
      <c r="B558" t="s">
        <v>220</v>
      </c>
      <c r="C558" t="s">
        <v>222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s="7" t="s">
        <v>182</v>
      </c>
      <c r="B559" t="s">
        <v>220</v>
      </c>
      <c r="C559" t="s">
        <v>923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s="7" t="s">
        <v>182</v>
      </c>
      <c r="B560" t="s">
        <v>220</v>
      </c>
      <c r="C560" t="s">
        <v>223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s="7" t="s">
        <v>182</v>
      </c>
      <c r="B561" t="s">
        <v>220</v>
      </c>
      <c r="C561" t="s">
        <v>224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s="7" t="s">
        <v>182</v>
      </c>
      <c r="B562" t="s">
        <v>220</v>
      </c>
      <c r="C562" t="s">
        <v>225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s="7" t="s">
        <v>182</v>
      </c>
      <c r="B563" t="s">
        <v>220</v>
      </c>
      <c r="C563" t="s">
        <v>226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3">
      <c r="A564" s="7" t="s">
        <v>182</v>
      </c>
      <c r="B564" t="s">
        <v>220</v>
      </c>
      <c r="C564" t="s">
        <v>227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3">
      <c r="A565" s="7" t="s">
        <v>182</v>
      </c>
      <c r="B565" t="s">
        <v>220</v>
      </c>
      <c r="C565" t="s">
        <v>228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3">
      <c r="A566" s="7" t="s">
        <v>182</v>
      </c>
      <c r="B566" t="s">
        <v>220</v>
      </c>
      <c r="C566" t="s">
        <v>229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3">
      <c r="A567" s="7" t="s">
        <v>182</v>
      </c>
      <c r="B567" t="s">
        <v>230</v>
      </c>
      <c r="C567" t="s">
        <v>231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3">
      <c r="A568" s="7" t="s">
        <v>182</v>
      </c>
      <c r="B568" t="s">
        <v>230</v>
      </c>
      <c r="C568" t="s">
        <v>232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Perc of Fuel Demand Changes that Affect Exports.xlsx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3">
      <c r="A569" s="7" t="s">
        <v>182</v>
      </c>
      <c r="B569" t="s">
        <v>760</v>
      </c>
      <c r="C569" t="s">
        <v>761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3">
      <c r="A570" s="7" t="s">
        <v>182</v>
      </c>
      <c r="B570" t="s">
        <v>760</v>
      </c>
      <c r="C570" t="s">
        <v>762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Quantization Size for Energy.xlsx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3">
      <c r="A571" s="7" t="s">
        <v>665</v>
      </c>
      <c r="B571" t="s">
        <v>666</v>
      </c>
      <c r="C571" t="s">
        <v>667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3">
      <c r="A572" s="7" t="s">
        <v>665</v>
      </c>
      <c r="B572" t="s">
        <v>666</v>
      </c>
      <c r="C572" t="s">
        <v>668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3">
      <c r="A573" s="7" t="s">
        <v>665</v>
      </c>
      <c r="B573" t="s">
        <v>666</v>
      </c>
      <c r="C573" t="s">
        <v>669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3">
      <c r="A574" s="7" t="s">
        <v>665</v>
      </c>
      <c r="B574" t="s">
        <v>666</v>
      </c>
      <c r="C574" t="s">
        <v>670</v>
      </c>
      <c r="G574" t="str">
        <f t="shared" ref="G574:G635" si="20">RIGHT(C574,"4")</f>
        <v>xlsx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3">
      <c r="A575" s="7" t="s">
        <v>665</v>
      </c>
      <c r="B575" t="s">
        <v>1342</v>
      </c>
      <c r="C575" t="s">
        <v>1343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s="7" t="s">
        <v>665</v>
      </c>
      <c r="B576" t="s">
        <v>1342</v>
      </c>
      <c r="C576" t="s">
        <v>1344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s="7" t="s">
        <v>665</v>
      </c>
      <c r="B577" t="s">
        <v>1342</v>
      </c>
      <c r="C577" t="s">
        <v>1345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s="7" t="s">
        <v>665</v>
      </c>
      <c r="B578" t="s">
        <v>1342</v>
      </c>
      <c r="C578" t="s">
        <v>1346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s="7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s="7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s="7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s="7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s="7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s="7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s="7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s="7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s="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s="7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s="7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s="7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s="7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s="7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s="7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s="7" t="s">
        <v>233</v>
      </c>
      <c r="B594" t="s">
        <v>885</v>
      </c>
      <c r="C594" t="s">
        <v>886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s="7" t="s">
        <v>233</v>
      </c>
      <c r="B595" t="s">
        <v>885</v>
      </c>
      <c r="C595" t="s">
        <v>887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s="7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s="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s="7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s="7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s="7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s="7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s="7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s="7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s="7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s="7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s="7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s="7" t="s">
        <v>256</v>
      </c>
      <c r="B607" t="s">
        <v>924</v>
      </c>
      <c r="C607" t="s">
        <v>925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s="7" t="s">
        <v>256</v>
      </c>
      <c r="B608" t="s">
        <v>924</v>
      </c>
      <c r="C608" t="s">
        <v>926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s="7" t="s">
        <v>256</v>
      </c>
      <c r="B609" t="s">
        <v>924</v>
      </c>
      <c r="C609" t="s">
        <v>927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s="7" t="s">
        <v>256</v>
      </c>
      <c r="B610" t="s">
        <v>924</v>
      </c>
      <c r="C610" t="s">
        <v>928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s="7" t="s">
        <v>256</v>
      </c>
      <c r="B611" t="s">
        <v>924</v>
      </c>
      <c r="C611" t="s">
        <v>929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s="7" t="s">
        <v>256</v>
      </c>
      <c r="B612" t="s">
        <v>924</v>
      </c>
      <c r="C612" t="s">
        <v>930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s="7" t="s">
        <v>256</v>
      </c>
      <c r="B613" t="s">
        <v>924</v>
      </c>
      <c r="C613" t="s">
        <v>931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s="7" t="s">
        <v>256</v>
      </c>
      <c r="B614" t="s">
        <v>924</v>
      </c>
      <c r="C614" t="s">
        <v>932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s="7" t="s">
        <v>256</v>
      </c>
      <c r="B615" t="s">
        <v>924</v>
      </c>
      <c r="C615" t="s">
        <v>933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s="7" t="s">
        <v>256</v>
      </c>
      <c r="B616" t="s">
        <v>924</v>
      </c>
      <c r="C616" t="s">
        <v>934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s="7" t="s">
        <v>256</v>
      </c>
      <c r="B617" t="s">
        <v>924</v>
      </c>
      <c r="C617" t="s">
        <v>935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s="7" t="s">
        <v>256</v>
      </c>
      <c r="B618" t="s">
        <v>924</v>
      </c>
      <c r="C618" t="s">
        <v>936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s="7" t="s">
        <v>256</v>
      </c>
      <c r="B619" t="s">
        <v>924</v>
      </c>
      <c r="C619" t="s">
        <v>937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s="7" t="s">
        <v>256</v>
      </c>
      <c r="B620" t="s">
        <v>924</v>
      </c>
      <c r="C620" t="s">
        <v>938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s="7" t="s">
        <v>256</v>
      </c>
      <c r="B621" t="s">
        <v>1347</v>
      </c>
      <c r="C621" t="s">
        <v>1348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s="7" t="s">
        <v>256</v>
      </c>
      <c r="B622" t="s">
        <v>1347</v>
      </c>
      <c r="C622" t="s">
        <v>1349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3">
      <c r="A623" s="7" t="s">
        <v>256</v>
      </c>
      <c r="B623" t="s">
        <v>1347</v>
      </c>
      <c r="C623" t="s">
        <v>1350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3">
      <c r="A624" s="7" t="s">
        <v>256</v>
      </c>
      <c r="B624" t="s">
        <v>269</v>
      </c>
      <c r="C624" t="s">
        <v>270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3">
      <c r="A625" s="7" t="s">
        <v>256</v>
      </c>
      <c r="B625" t="s">
        <v>269</v>
      </c>
      <c r="C625" t="s">
        <v>939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3">
      <c r="A626" s="7" t="s">
        <v>256</v>
      </c>
      <c r="B626" t="s">
        <v>269</v>
      </c>
      <c r="C626" t="s">
        <v>940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3">
      <c r="A627" s="7" t="s">
        <v>256</v>
      </c>
      <c r="B627" t="s">
        <v>269</v>
      </c>
      <c r="C627" t="s">
        <v>941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3">
      <c r="A628" s="7" t="s">
        <v>256</v>
      </c>
      <c r="B628" t="s">
        <v>269</v>
      </c>
      <c r="C628" t="s">
        <v>942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3">
      <c r="A629" s="7" t="s">
        <v>256</v>
      </c>
      <c r="B629" t="s">
        <v>269</v>
      </c>
      <c r="C629" t="s">
        <v>943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3">
      <c r="A630" s="7" t="s">
        <v>256</v>
      </c>
      <c r="B630" t="s">
        <v>269</v>
      </c>
      <c r="C630" t="s">
        <v>944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3">
      <c r="A631" s="7" t="s">
        <v>256</v>
      </c>
      <c r="B631" t="s">
        <v>269</v>
      </c>
      <c r="C631" t="s">
        <v>945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3">
      <c r="A632" s="7" t="s">
        <v>256</v>
      </c>
      <c r="B632" t="s">
        <v>269</v>
      </c>
      <c r="C632" t="s">
        <v>946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3">
      <c r="A633" s="7" t="s">
        <v>256</v>
      </c>
      <c r="B633" t="s">
        <v>269</v>
      </c>
      <c r="C633" t="s">
        <v>947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3">
      <c r="A634" s="7" t="s">
        <v>256</v>
      </c>
      <c r="B634" t="s">
        <v>269</v>
      </c>
      <c r="C634" t="s">
        <v>948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3">
      <c r="A635" s="7" t="s">
        <v>256</v>
      </c>
      <c r="B635" t="s">
        <v>271</v>
      </c>
      <c r="C635" t="s">
        <v>272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3">
      <c r="A636" s="7" t="s">
        <v>256</v>
      </c>
      <c r="B636" t="s">
        <v>271</v>
      </c>
      <c r="C636" t="s">
        <v>273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>BAU Shr of Ag Indst Going to Anml Prdcts.xlsx</v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3">
      <c r="A637" s="7" t="s">
        <v>256</v>
      </c>
      <c r="B637" t="s">
        <v>274</v>
      </c>
      <c r="C637" t="s">
        <v>275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s="7" t="s">
        <v>256</v>
      </c>
      <c r="B638" t="s">
        <v>274</v>
      </c>
      <c r="C638" t="s">
        <v>276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Cost to Impl Eff Policy per Unit E Saved or Shifted.xlsx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s="7" t="s">
        <v>256</v>
      </c>
      <c r="B639" t="s">
        <v>888</v>
      </c>
      <c r="C639" t="s">
        <v>889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s="7" t="s">
        <v>256</v>
      </c>
      <c r="B640" t="s">
        <v>888</v>
      </c>
      <c r="C640" t="s">
        <v>890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Elasticities of Demand for Industrial Products.xlsx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s="7" t="s">
        <v>256</v>
      </c>
      <c r="B641" t="s">
        <v>277</v>
      </c>
      <c r="C641" t="s">
        <v>278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s="7" t="s">
        <v>256</v>
      </c>
      <c r="B642" t="s">
        <v>277</v>
      </c>
      <c r="C642" t="s">
        <v>279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Foreign Leakage Rate by Industry.xlsx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s="7" t="s">
        <v>256</v>
      </c>
      <c r="B643" t="s">
        <v>1351</v>
      </c>
      <c r="C643" t="s">
        <v>1352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s="7" t="s">
        <v>256</v>
      </c>
      <c r="B644" t="s">
        <v>1351</v>
      </c>
      <c r="C644" t="s">
        <v>1353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IESE Import Export Substitution Elasticities.xlsx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s="7" t="s">
        <v>256</v>
      </c>
      <c r="B645" t="s">
        <v>1354</v>
      </c>
      <c r="C645" t="s">
        <v>1355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Industrial Fuel Shifting Ratio.xlsx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s="7" t="s">
        <v>256</v>
      </c>
      <c r="B646" t="s">
        <v>1354</v>
      </c>
      <c r="C646" t="s">
        <v>1356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Industrial Fuel Shifting Ratio.xlsx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s="7" t="s">
        <v>256</v>
      </c>
      <c r="B647" t="s">
        <v>1354</v>
      </c>
      <c r="C647" t="s">
        <v>1357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Industrial Fuel Shifting Ratio.xlsx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s="7" t="s">
        <v>256</v>
      </c>
      <c r="B648" t="s">
        <v>1358</v>
      </c>
      <c r="C648" t="s">
        <v>1359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Industrial Feedstock Switching Recipient Fuel.xlsx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s="7" t="s">
        <v>256</v>
      </c>
      <c r="B649" t="s">
        <v>1358</v>
      </c>
      <c r="C649" t="s">
        <v>1360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Industrial Feedstock Switching Recipient Fuel.xlsx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s="7" t="s">
        <v>256</v>
      </c>
      <c r="B650" t="s">
        <v>949</v>
      </c>
      <c r="C650" t="s">
        <v>950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Indst Fuels Subject to Fuel Shifting.xlsx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s="7" t="s">
        <v>256</v>
      </c>
      <c r="B651" t="s">
        <v>949</v>
      </c>
      <c r="C651" t="s">
        <v>951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Indst Fuels Subject to Fuel Shifting.xlsx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s="7" t="s">
        <v>256</v>
      </c>
      <c r="B652" t="s">
        <v>280</v>
      </c>
      <c r="C652" t="s">
        <v>281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Methane Heating Value.xlsx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s="7" t="s">
        <v>256</v>
      </c>
      <c r="B653" t="s">
        <v>280</v>
      </c>
      <c r="C653" t="s">
        <v>282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Methane Heating Value.xlsx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s="7" t="s">
        <v>256</v>
      </c>
      <c r="B654" t="s">
        <v>283</v>
      </c>
      <c r="C654" t="s">
        <v>1525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s="7" t="s">
        <v>256</v>
      </c>
      <c r="B655" t="s">
        <v>283</v>
      </c>
      <c r="C655" t="s">
        <v>671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s="7" t="s">
        <v>256</v>
      </c>
      <c r="B656" t="s">
        <v>283</v>
      </c>
      <c r="C656" t="s">
        <v>1526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s="7" t="s">
        <v>256</v>
      </c>
      <c r="B657" t="s">
        <v>283</v>
      </c>
      <c r="C657" t="s">
        <v>1011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s="7" t="s">
        <v>256</v>
      </c>
      <c r="B658" t="s">
        <v>283</v>
      </c>
      <c r="C658" t="s">
        <v>672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s="7" t="s">
        <v>256</v>
      </c>
      <c r="B659" t="s">
        <v>283</v>
      </c>
      <c r="C659" t="s">
        <v>673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s="7" t="s">
        <v>256</v>
      </c>
      <c r="B660" t="s">
        <v>283</v>
      </c>
      <c r="C660" t="s">
        <v>674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s="7" t="s">
        <v>256</v>
      </c>
      <c r="B661" t="s">
        <v>283</v>
      </c>
      <c r="C661" t="s">
        <v>675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s="7" t="s">
        <v>256</v>
      </c>
      <c r="B662" t="s">
        <v>283</v>
      </c>
      <c r="C662" t="s">
        <v>676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s="7" t="s">
        <v>256</v>
      </c>
      <c r="B663" t="s">
        <v>283</v>
      </c>
      <c r="C663" t="s">
        <v>677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">
      <c r="A664" s="7" t="s">
        <v>256</v>
      </c>
      <c r="B664" t="s">
        <v>283</v>
      </c>
      <c r="C664" t="s">
        <v>678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">
      <c r="A665" s="7" t="s">
        <v>256</v>
      </c>
      <c r="B665" t="s">
        <v>283</v>
      </c>
      <c r="C665" t="s">
        <v>679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3">
      <c r="A666" s="7" t="s">
        <v>256</v>
      </c>
      <c r="B666" t="s">
        <v>283</v>
      </c>
      <c r="C666" t="s">
        <v>952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3">
      <c r="A667" s="7" t="s">
        <v>256</v>
      </c>
      <c r="B667" t="s">
        <v>283</v>
      </c>
      <c r="C667" t="s">
        <v>953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3">
      <c r="A668" s="7" t="s">
        <v>256</v>
      </c>
      <c r="B668" t="s">
        <v>283</v>
      </c>
      <c r="C668" t="s">
        <v>954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3">
      <c r="A669" s="7" t="s">
        <v>256</v>
      </c>
      <c r="B669" t="s">
        <v>283</v>
      </c>
      <c r="C669" t="s">
        <v>955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3">
      <c r="A670" s="7" t="s">
        <v>256</v>
      </c>
      <c r="B670" t="s">
        <v>283</v>
      </c>
      <c r="C670" t="s">
        <v>1527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3">
      <c r="A671" s="7" t="s">
        <v>256</v>
      </c>
      <c r="B671" t="s">
        <v>283</v>
      </c>
      <c r="C671" t="s">
        <v>680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Proc Emis Reductions and Costs.xlsx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3">
      <c r="A672" s="7" t="s">
        <v>256</v>
      </c>
      <c r="B672" t="s">
        <v>283</v>
      </c>
      <c r="C672" t="s">
        <v>681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Proc Emis Reductions and Costs.xlsx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3">
      <c r="A673" s="7" t="s">
        <v>256</v>
      </c>
      <c r="B673" t="s">
        <v>283</v>
      </c>
      <c r="C673" t="s">
        <v>682</v>
      </c>
      <c r="G673" t="str">
        <f t="shared" si="22"/>
        <v>xlsx</v>
      </c>
      <c r="H673" s="5" t="str">
        <f>IFERROR(IF(B673="FoPITY",INDEX(Customizations!$C$2:$C$19,MATCH(Sheet1!C673,Customizations!$B$2:$B$19,0),1),INDEX(About!C:C,MATCH(Sheet1!B673,About!B:B,0),1)),"")</f>
        <v>Proc Emis Reductions and Costs.xlsx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3">
      <c r="A674" s="7" t="s">
        <v>256</v>
      </c>
      <c r="B674" t="s">
        <v>284</v>
      </c>
      <c r="C674" t="s">
        <v>285</v>
      </c>
      <c r="G674" t="str">
        <f t="shared" si="22"/>
        <v>xlsx</v>
      </c>
      <c r="H674" s="5" t="str">
        <f>IFERROR(IF(B674="FoPITY",INDEX(Customizations!$C$2:$C$19,MATCH(Sheet1!C674,Customizations!$B$2:$B$19,0),1),INDEX(About!C:C,MATCH(Sheet1!B674,About!B:B,0),1)),"")</f>
        <v>Perc Indst Fuel Use Reduction for Elec.xlsx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3">
      <c r="A675" s="7" t="s">
        <v>256</v>
      </c>
      <c r="B675" t="s">
        <v>284</v>
      </c>
      <c r="C675" t="s">
        <v>286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Perc Indst Fuel Use Reduction for Elec.xlsx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3">
      <c r="A676" s="7" t="s">
        <v>256</v>
      </c>
      <c r="B676" t="s">
        <v>287</v>
      </c>
      <c r="C676" t="s">
        <v>288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Pot Perc Reduction in Fuel Use from Early Retirement.xlsx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3">
      <c r="A677" s="7" t="s">
        <v>256</v>
      </c>
      <c r="B677" t="s">
        <v>287</v>
      </c>
      <c r="C677" t="s">
        <v>289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Pot Perc Reduction in Fuel Use from Early Retirement.xlsx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3">
      <c r="A678" s="7" t="s">
        <v>256</v>
      </c>
      <c r="B678" t="s">
        <v>290</v>
      </c>
      <c r="C678" t="s">
        <v>291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Pot Perc Red in Fuel Use fr Inc Cogen and WHR.xlsx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3">
      <c r="A679" s="7" t="s">
        <v>256</v>
      </c>
      <c r="B679" t="s">
        <v>290</v>
      </c>
      <c r="C679" t="s">
        <v>292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Pot Perc Red in Fuel Use fr Inc Cogen and WHR.xlsx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3">
      <c r="A680" s="7" t="s">
        <v>256</v>
      </c>
      <c r="B680" t="s">
        <v>293</v>
      </c>
      <c r="C680" t="s">
        <v>294</v>
      </c>
      <c r="G680" t="str">
        <f t="shared" si="22"/>
        <v>xlsx</v>
      </c>
      <c r="H680" s="5" t="str">
        <f>IFERROR(IF(B680="FoPITY",INDEX(Customizations!$C$2:$C$19,MATCH(Sheet1!C680,Customizations!$B$2:$B$19,0),1),INDEX(About!C:C,MATCH(Sheet1!B680,About!B:B,0),1)),"")</f>
        <v>Pot Perc Red in Fuel Use fr Impr Inst and Integ of Eqpt.xlsx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3">
      <c r="A681" s="7" t="s">
        <v>256</v>
      </c>
      <c r="B681" t="s">
        <v>293</v>
      </c>
      <c r="C681" t="s">
        <v>295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Pot Perc Red in Fuel Use fr Impr Inst and Integ of Eqpt.xlsx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3">
      <c r="A682" s="7" t="s">
        <v>256</v>
      </c>
      <c r="B682" t="s">
        <v>1361</v>
      </c>
      <c r="C682" t="s">
        <v>1362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Ratio of Nutr Eqiv Plant to Anim Products Prd per Unit Land Area.xlsx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3">
      <c r="A683" s="7" t="s">
        <v>256</v>
      </c>
      <c r="B683" t="s">
        <v>1361</v>
      </c>
      <c r="C683" t="s">
        <v>1363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Ratio of Nutr Eqiv Plant to Anim Products Prd per Unit Land Area.xlsx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3">
      <c r="A684" s="7" t="s">
        <v>256</v>
      </c>
      <c r="B684" t="s">
        <v>870</v>
      </c>
      <c r="C684" t="s">
        <v>871</v>
      </c>
      <c r="G684" t="str">
        <f t="shared" si="22"/>
        <v>xlsx</v>
      </c>
      <c r="H684" s="5" t="str">
        <f>IFERROR(IF(B684="FoPITY",INDEX(Customizations!$C$2:$C$19,MATCH(Sheet1!C684,Customizations!$B$2:$B$19,0),1),INDEX(About!C:C,MATCH(Sheet1!B684,About!B:B,0),1)),"")</f>
        <v>Share of Capital and OM Spending by ISIC Code.xlsx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3">
      <c r="A685" s="7" t="s">
        <v>256</v>
      </c>
      <c r="B685" t="s">
        <v>870</v>
      </c>
      <c r="C685" t="s">
        <v>872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Share of Capital and OM Spending by ISIC Code.xlsx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3">
      <c r="A686" s="7" t="s">
        <v>256</v>
      </c>
      <c r="B686" t="s">
        <v>891</v>
      </c>
      <c r="C686" t="s">
        <v>892</v>
      </c>
      <c r="G686" t="str">
        <f t="shared" si="22"/>
        <v>xlsx</v>
      </c>
      <c r="H686" s="5" t="str">
        <f>IFERROR(IF(B686="FoPITY",INDEX(Customizations!$C$2:$C$19,MATCH(Sheet1!C686,Customizations!$B$2:$B$19,0),1),INDEX(About!C:C,MATCH(Sheet1!B686,About!B:B,0),1)),"")</f>
        <v>Shr of Cng in Indst Expenses Passed Thr to Buyers.xlsx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3">
      <c r="A687" s="7" t="s">
        <v>256</v>
      </c>
      <c r="B687" t="s">
        <v>891</v>
      </c>
      <c r="C687" t="s">
        <v>893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Shr of Cng in Indst Expenses Passed Thr to Buyers.xlsx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3">
      <c r="A688" s="7" t="s">
        <v>256</v>
      </c>
      <c r="B688" t="s">
        <v>894</v>
      </c>
      <c r="C688" t="s">
        <v>895</v>
      </c>
      <c r="G688" t="str">
        <f t="shared" si="22"/>
        <v>xlsx</v>
      </c>
      <c r="H688" s="5" t="str">
        <f>IFERROR(IF(B688="FoPITY",INDEX(Customizations!$C$2:$C$19,MATCH(Sheet1!C688,Customizations!$B$2:$B$19,0),1),INDEX(About!C:C,MATCH(Sheet1!B688,About!B:B,0),1)),"")</f>
        <v>Share of Process Emis Abatement Spending by ISIC Code.xlsx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3">
      <c r="A689" s="7" t="s">
        <v>256</v>
      </c>
      <c r="B689" t="s">
        <v>894</v>
      </c>
      <c r="C689" t="s">
        <v>896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Share of Process Emis Abatement Spending by ISIC Code.xlsx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3">
      <c r="A690" s="7" t="s">
        <v>763</v>
      </c>
      <c r="B690" t="s">
        <v>1364</v>
      </c>
      <c r="C690" t="s">
        <v>1365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Avg Corp Tax Rate.xlsx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3">
      <c r="A691" s="7" t="s">
        <v>763</v>
      </c>
      <c r="B691" t="s">
        <v>1364</v>
      </c>
      <c r="C691" t="s">
        <v>1366</v>
      </c>
      <c r="G691" t="str">
        <f t="shared" si="22"/>
        <v>xlsx</v>
      </c>
      <c r="H691" s="5" t="str">
        <f>IFERROR(IF(B691="FoPITY",INDEX(Customizations!$C$2:$C$19,MATCH(Sheet1!C691,Customizations!$B$2:$B$19,0),1),INDEX(About!C:C,MATCH(Sheet1!B691,About!B:B,0),1)),"")</f>
        <v>Avg Corp Tax Rate.xlsx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3">
      <c r="A692" s="7" t="s">
        <v>763</v>
      </c>
      <c r="B692" t="s">
        <v>1367</v>
      </c>
      <c r="C692" t="s">
        <v>1368</v>
      </c>
      <c r="G692" t="str">
        <f t="shared" si="22"/>
        <v>xlsx</v>
      </c>
      <c r="H692" s="5" t="str">
        <f>IFERROR(IF(B692="FoPITY",INDEX(Customizations!$C$2:$C$19,MATCH(Sheet1!C692,Customizations!$B$2:$B$19,0),1),INDEX(About!C:C,MATCH(Sheet1!B692,About!B:B,0),1)),"")</f>
        <v>BAU Dmst Cnt Shr of Cnsmptn and Exp Shr of Prdtn by ISIC Code.xlsx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3">
      <c r="A693" s="7" t="s">
        <v>763</v>
      </c>
      <c r="B693" t="s">
        <v>1367</v>
      </c>
      <c r="C693" t="s">
        <v>1012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Dmst Cnt Shr of Cnsmptn and Exp Shr of Prdtn by ISIC Code.xlsx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3">
      <c r="A694" s="7" t="s">
        <v>763</v>
      </c>
      <c r="B694" t="s">
        <v>1367</v>
      </c>
      <c r="C694" t="s">
        <v>1369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Dmst Cnt Shr of Cnsmptn and Exp Shr of Prdtn by ISIC Code.xlsx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3">
      <c r="A695" s="7" t="s">
        <v>763</v>
      </c>
      <c r="B695" t="s">
        <v>1370</v>
      </c>
      <c r="C695" t="s">
        <v>1371</v>
      </c>
      <c r="G695" t="str">
        <f t="shared" si="22"/>
        <v>xlsx</v>
      </c>
      <c r="H695" s="5" t="str">
        <f>IFERROR(IF(B695="FoPITY",INDEX(Customizations!$C$2:$C$19,MATCH(Sheet1!C695,Customizations!$B$2:$B$19,0),1),INDEX(About!C:C,MATCH(Sheet1!B695,About!B:B,0),1)),"")</f>
        <v>BAU Employment and Compensation Projections.xlsx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3">
      <c r="A696" s="7" t="s">
        <v>763</v>
      </c>
      <c r="B696" t="s">
        <v>1370</v>
      </c>
      <c r="C696" t="s">
        <v>1372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Employment and Compensation Projections.xlsx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3">
      <c r="A697" s="7" t="s">
        <v>763</v>
      </c>
      <c r="B697" t="s">
        <v>1370</v>
      </c>
      <c r="C697" t="s">
        <v>1373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Employment and Compensation Projections.xlsx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3">
      <c r="A698" s="7" t="s">
        <v>763</v>
      </c>
      <c r="B698" t="s">
        <v>764</v>
      </c>
      <c r="C698" t="s">
        <v>765</v>
      </c>
      <c r="G698" t="str">
        <f t="shared" ref="G698:G761" si="24">RIGHT(C698,"4")</f>
        <v>xlsx</v>
      </c>
      <c r="H698" s="5" t="str">
        <f>IFERROR(IF(B698="FoPITY",INDEX(Customizations!$C$2:$C$19,MATCH(Sheet1!C698,Customizations!$B$2:$B$19,0),1),INDEX(About!C:C,MATCH(Sheet1!B698,About!B:B,0),1)),"")</f>
        <v>BAU Employment by ISIC Code.xlsx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3">
      <c r="A699" s="7" t="s">
        <v>763</v>
      </c>
      <c r="B699" t="s">
        <v>764</v>
      </c>
      <c r="C699" t="s">
        <v>766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Employment by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s="7" t="s">
        <v>763</v>
      </c>
      <c r="B700" t="s">
        <v>767</v>
      </c>
      <c r="C700" t="s">
        <v>768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Employee Compensation by ISIC Code.xlsx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s="7" t="s">
        <v>763</v>
      </c>
      <c r="B701" t="s">
        <v>767</v>
      </c>
      <c r="C701" t="s">
        <v>769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Employee Compensation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s="7" t="s">
        <v>763</v>
      </c>
      <c r="B702" t="s">
        <v>662</v>
      </c>
      <c r="C702" t="s">
        <v>663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GDP.xlsx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s="7" t="s">
        <v>763</v>
      </c>
      <c r="B703" t="s">
        <v>662</v>
      </c>
      <c r="C703" t="s">
        <v>664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GDP.xlsx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s="7" t="s">
        <v>763</v>
      </c>
      <c r="B704" t="s">
        <v>770</v>
      </c>
      <c r="C704" t="s">
        <v>771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Output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s="7" t="s">
        <v>763</v>
      </c>
      <c r="B705" t="s">
        <v>770</v>
      </c>
      <c r="C705" t="s">
        <v>772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Output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s="7" t="s">
        <v>763</v>
      </c>
      <c r="B706" t="s">
        <v>1374</v>
      </c>
      <c r="C706" t="s">
        <v>1375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Perc Cng in Output and Domestic Content Share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s="7" t="s">
        <v>763</v>
      </c>
      <c r="B707" t="s">
        <v>1374</v>
      </c>
      <c r="C707" t="s">
        <v>1376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Cng in Output and Domestic Content Share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s="7" t="s">
        <v>763</v>
      </c>
      <c r="B708" t="s">
        <v>1374</v>
      </c>
      <c r="C708" t="s">
        <v>1013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Cng in Output and Domestic Content Share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s="7" t="s">
        <v>763</v>
      </c>
      <c r="B709" t="s">
        <v>773</v>
      </c>
      <c r="C709" t="s">
        <v>774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BAU Value Added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s="7" t="s">
        <v>763</v>
      </c>
      <c r="B710" t="s">
        <v>773</v>
      </c>
      <c r="C710" t="s">
        <v>775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Value Added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s="7" t="s">
        <v>763</v>
      </c>
      <c r="B711" t="s">
        <v>776</v>
      </c>
      <c r="C711" t="s">
        <v>777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Domestic Leontief Inverse Matrix.xlsx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s="7" t="s">
        <v>763</v>
      </c>
      <c r="B712" t="s">
        <v>776</v>
      </c>
      <c r="C712" t="s">
        <v>778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Domestic Leontief Inverse Matrix.xlsx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s="7" t="s">
        <v>763</v>
      </c>
      <c r="B713" t="s">
        <v>1014</v>
      </c>
      <c r="C713" t="s">
        <v>1015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s="7" t="s">
        <v>763</v>
      </c>
      <c r="B714" t="s">
        <v>1014</v>
      </c>
      <c r="C714" t="s">
        <v>1016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s="7" t="s">
        <v>763</v>
      </c>
      <c r="B715" t="s">
        <v>1014</v>
      </c>
      <c r="C715" t="s">
        <v>1017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s="7" t="s">
        <v>763</v>
      </c>
      <c r="B716" t="s">
        <v>1014</v>
      </c>
      <c r="C716" t="s">
        <v>1018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s="7" t="s">
        <v>763</v>
      </c>
      <c r="B717" t="s">
        <v>1014</v>
      </c>
      <c r="C717" t="s">
        <v>1019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s="7" t="s">
        <v>763</v>
      </c>
      <c r="B718" t="s">
        <v>1014</v>
      </c>
      <c r="C718" t="s">
        <v>1020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s="7" t="s">
        <v>763</v>
      </c>
      <c r="B719" t="s">
        <v>1014</v>
      </c>
      <c r="C719" t="s">
        <v>1021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s="7" t="s">
        <v>763</v>
      </c>
      <c r="B720" t="s">
        <v>1014</v>
      </c>
      <c r="C720" t="s">
        <v>1022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s="7" t="s">
        <v>763</v>
      </c>
      <c r="B721" t="s">
        <v>1014</v>
      </c>
      <c r="C721" t="s">
        <v>1023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s="7" t="s">
        <v>763</v>
      </c>
      <c r="B722" t="s">
        <v>1014</v>
      </c>
      <c r="C722" t="s">
        <v>1024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s="7" t="s">
        <v>763</v>
      </c>
      <c r="B723" t="s">
        <v>1014</v>
      </c>
      <c r="C723" t="s">
        <v>1025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s="7" t="s">
        <v>763</v>
      </c>
      <c r="B724" t="s">
        <v>1014</v>
      </c>
      <c r="C724" t="s">
        <v>1026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s="7" t="s">
        <v>763</v>
      </c>
      <c r="B725" t="s">
        <v>1014</v>
      </c>
      <c r="C725" t="s">
        <v>1027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s="7" t="s">
        <v>763</v>
      </c>
      <c r="B726" t="s">
        <v>1014</v>
      </c>
      <c r="C726" t="s">
        <v>1028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Demographics of Employees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s="7" t="s">
        <v>763</v>
      </c>
      <c r="B727" t="s">
        <v>1014</v>
      </c>
      <c r="C727" t="s">
        <v>1029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Demographics of Employees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3">
      <c r="A728" s="7" t="s">
        <v>763</v>
      </c>
      <c r="B728" t="s">
        <v>1014</v>
      </c>
      <c r="C728" t="s">
        <v>1030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Demographics of Employees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3">
      <c r="A729" s="7" t="s">
        <v>763</v>
      </c>
      <c r="B729" t="s">
        <v>873</v>
      </c>
      <c r="C729" t="s">
        <v>874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Frac of Goods Purchased by Entity and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3">
      <c r="A730" s="7" t="s">
        <v>763</v>
      </c>
      <c r="B730" t="s">
        <v>873</v>
      </c>
      <c r="C730" t="s">
        <v>875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Frac of Goods Purchased by Entity and ISIC Code.xlsx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3">
      <c r="A731" s="7" t="s">
        <v>763</v>
      </c>
      <c r="B731" t="s">
        <v>873</v>
      </c>
      <c r="C731" t="s">
        <v>900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Frac of Goods Purchased by Entity and ISIC Code.xlsx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3">
      <c r="A732" s="7" t="s">
        <v>763</v>
      </c>
      <c r="B732" t="s">
        <v>956</v>
      </c>
      <c r="C732" t="s">
        <v>957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Fuel to Producing ISIC Code Map.xlsx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3">
      <c r="A733" s="7" t="s">
        <v>763</v>
      </c>
      <c r="B733" t="s">
        <v>956</v>
      </c>
      <c r="C733" t="s">
        <v>958</v>
      </c>
      <c r="G733" t="str">
        <f t="shared" si="24"/>
        <v>xlsx</v>
      </c>
      <c r="H733" s="5" t="str">
        <f>IFERROR(IF(B733="FoPITY",INDEX(Customizations!$C$2:$C$19,MATCH(Sheet1!C733,Customizations!$B$2:$B$19,0),1),INDEX(About!C:C,MATCH(Sheet1!B733,About!B:B,0),1)),"")</f>
        <v>Fuel to Producing ISIC Code Map.xlsx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3">
      <c r="A734" s="7" t="s">
        <v>763</v>
      </c>
      <c r="B734" t="s">
        <v>901</v>
      </c>
      <c r="C734" t="s">
        <v>902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Govt and Hhld Expenditures by ISIC Code.xlsx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3">
      <c r="A735" s="7" t="s">
        <v>763</v>
      </c>
      <c r="B735" t="s">
        <v>901</v>
      </c>
      <c r="C735" t="s">
        <v>903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Govt and Hhld Expenditures by ISIC Code.xlsx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3">
      <c r="A736" s="7" t="s">
        <v>763</v>
      </c>
      <c r="B736" t="s">
        <v>901</v>
      </c>
      <c r="C736" t="s">
        <v>904</v>
      </c>
      <c r="G736" t="str">
        <f t="shared" si="24"/>
        <v>xlsx</v>
      </c>
      <c r="H736" s="5" t="str">
        <f>IFERROR(IF(B736="FoPITY",INDEX(Customizations!$C$2:$C$19,MATCH(Sheet1!C736,Customizations!$B$2:$B$19,0),1),INDEX(About!C:C,MATCH(Sheet1!B736,About!B:B,0),1)),"")</f>
        <v>Govt and Hhld Expenditures by ISIC Code.xlsx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3">
      <c r="A737" s="7" t="s">
        <v>763</v>
      </c>
      <c r="B737" t="s">
        <v>897</v>
      </c>
      <c r="C737" t="s">
        <v>898</v>
      </c>
      <c r="G737" t="str">
        <f t="shared" si="24"/>
        <v>xlsx</v>
      </c>
      <c r="H737" s="5" t="str">
        <f>IFERROR(IF(B737="FoPITY",INDEX(Customizations!$C$2:$C$19,MATCH(Sheet1!C737,Customizations!$B$2:$B$19,0),1),INDEX(About!C:C,MATCH(Sheet1!B737,About!B:B,0),1)),"")</f>
        <v>Household Savings Rate.xlsx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3">
      <c r="A738" s="7" t="s">
        <v>763</v>
      </c>
      <c r="B738" t="s">
        <v>897</v>
      </c>
      <c r="C738" t="s">
        <v>899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Household Savings Rate.xlsx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3">
      <c r="A739" s="7" t="s">
        <v>763</v>
      </c>
      <c r="B739" t="s">
        <v>802</v>
      </c>
      <c r="C739" t="s">
        <v>803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Interest Rate on National Debt.xlsx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3">
      <c r="A740" s="7" t="s">
        <v>763</v>
      </c>
      <c r="B740" t="s">
        <v>802</v>
      </c>
      <c r="C740" t="s">
        <v>804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Interest Rate on National Debt.xlsx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3">
      <c r="A741" s="7" t="s">
        <v>763</v>
      </c>
      <c r="B741" t="s">
        <v>779</v>
      </c>
      <c r="C741" t="s">
        <v>780</v>
      </c>
      <c r="G741" t="str">
        <f t="shared" si="24"/>
        <v>xlsx</v>
      </c>
      <c r="H741" s="5" t="str">
        <f>IFERROR(IF(B741="FoPITY",INDEX(Customizations!$C$2:$C$19,MATCH(Sheet1!C741,Customizations!$B$2:$B$19,0),1),INDEX(About!C:C,MATCH(Sheet1!B741,About!B:B,0),1)),"")</f>
        <v>Labor Productivity Growth Rate by ISIC Code.xlsx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3">
      <c r="A742" s="7" t="s">
        <v>763</v>
      </c>
      <c r="B742" t="s">
        <v>779</v>
      </c>
      <c r="C742" t="s">
        <v>781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Labor Productivity Growth Rate by ISIC Code.xlsx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3">
      <c r="A743" s="7" t="s">
        <v>763</v>
      </c>
      <c r="B743" t="s">
        <v>805</v>
      </c>
      <c r="C743" t="s">
        <v>806</v>
      </c>
      <c r="G743" t="str">
        <f t="shared" si="24"/>
        <v>xlsx</v>
      </c>
      <c r="H743" s="5" t="str">
        <f>IFERROR(IF(B743="FoPITY",INDEX(Customizations!$C$2:$C$19,MATCH(Sheet1!C743,Customizations!$B$2:$B$19,0),1),INDEX(About!C:C,MATCH(Sheet1!B743,About!B:B,0),1)),"")</f>
        <v>Perc of National Debt Held by Entity.xlsx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3">
      <c r="A744" s="7" t="s">
        <v>763</v>
      </c>
      <c r="B744" t="s">
        <v>805</v>
      </c>
      <c r="C744" t="s">
        <v>807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Perc of National Debt Held by Entity.xlsx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3">
      <c r="A745" s="7" t="s">
        <v>763</v>
      </c>
      <c r="B745" t="s">
        <v>1031</v>
      </c>
      <c r="C745" t="s">
        <v>1032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Total Leontief Inverse Matrix.xlsx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3">
      <c r="A746" s="7" t="s">
        <v>763</v>
      </c>
      <c r="B746" t="s">
        <v>1031</v>
      </c>
      <c r="C746" t="s">
        <v>1033</v>
      </c>
      <c r="G746" t="str">
        <f t="shared" si="24"/>
        <v>xlsx</v>
      </c>
      <c r="H746" s="5" t="str">
        <f>IFERROR(IF(B746="FoPITY",INDEX(Customizations!$C$2:$C$19,MATCH(Sheet1!C746,Customizations!$B$2:$B$19,0),1),INDEX(About!C:C,MATCH(Sheet1!B746,About!B:B,0),1)),"")</f>
        <v>Total Leontief Inverse Matrix.xlsx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3">
      <c r="A747" s="7" t="s">
        <v>763</v>
      </c>
      <c r="B747" t="s">
        <v>782</v>
      </c>
      <c r="C747" t="s">
        <v>783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Union Representation Perc by ISIC Code.xlsx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3">
      <c r="A748" s="7" t="s">
        <v>763</v>
      </c>
      <c r="B748" t="s">
        <v>782</v>
      </c>
      <c r="C748" t="s">
        <v>784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Union Representation Perc by ISIC Code.xlsx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3">
      <c r="A749" s="7" t="s">
        <v>763</v>
      </c>
      <c r="B749" t="s">
        <v>1377</v>
      </c>
      <c r="C749" t="s">
        <v>1378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VAT or Sales Tax Rate.xlsx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3">
      <c r="A750" s="7" t="s">
        <v>763</v>
      </c>
      <c r="B750" t="s">
        <v>1377</v>
      </c>
      <c r="C750" t="s">
        <v>1379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VAT or Sales Tax Rate.xlsx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3">
      <c r="A751" s="7" t="s">
        <v>763</v>
      </c>
      <c r="B751" t="s">
        <v>296</v>
      </c>
      <c r="C751" t="s">
        <v>297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Worker Marg Income Tax Rate.xlsx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3">
      <c r="A752" s="7" t="s">
        <v>763</v>
      </c>
      <c r="B752" t="s">
        <v>296</v>
      </c>
      <c r="C752" t="s">
        <v>298</v>
      </c>
      <c r="G752" t="str">
        <f t="shared" si="24"/>
        <v>xlsx</v>
      </c>
      <c r="H752" s="5" t="str">
        <f>IFERROR(IF(B752="FoPITY",INDEX(Customizations!$C$2:$C$19,MATCH(Sheet1!C752,Customizations!$B$2:$B$19,0),1),INDEX(About!C:C,MATCH(Sheet1!B752,About!B:B,0),1)),"")</f>
        <v>Worker Marg Income Tax Rate.xlsx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3">
      <c r="A753" s="7" t="s">
        <v>299</v>
      </c>
      <c r="B753" t="s">
        <v>300</v>
      </c>
      <c r="C753" t="s">
        <v>301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Annual Ongoing Cost of Land Use Pol per Unit Area.xlsx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3">
      <c r="A754" s="7" t="s">
        <v>299</v>
      </c>
      <c r="B754" t="s">
        <v>300</v>
      </c>
      <c r="C754" t="s">
        <v>302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Annual Ongoing Cost of Land Use Pol per Unit Area.xlsx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3">
      <c r="A755" s="7" t="s">
        <v>299</v>
      </c>
      <c r="B755" t="s">
        <v>303</v>
      </c>
      <c r="C755" t="s">
        <v>304</v>
      </c>
      <c r="G755" t="str">
        <f t="shared" si="24"/>
        <v>xlsx</v>
      </c>
      <c r="H755" s="5" t="str">
        <f>IFERROR(IF(B755="FoPITY",INDEX(Customizations!$C$2:$C$19,MATCH(Sheet1!C755,Customizations!$B$2:$B$19,0),1),INDEX(About!C:C,MATCH(Sheet1!B755,About!B:B,0),1)),"")</f>
        <v>BAU LULUCF Anthro Pollutant Emis.xlsx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3">
      <c r="A756" s="7" t="s">
        <v>299</v>
      </c>
      <c r="B756" t="s">
        <v>303</v>
      </c>
      <c r="C756" t="s">
        <v>305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LULUCF Anthro Pollutant Emis.xlsx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3">
      <c r="A757" s="7" t="s">
        <v>299</v>
      </c>
      <c r="B757" t="s">
        <v>306</v>
      </c>
      <c r="C757" t="s">
        <v>307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CO2 Abated per Unit Land Area by Impr For Mgmt.xlsx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3">
      <c r="A758" s="7" t="s">
        <v>299</v>
      </c>
      <c r="B758" t="s">
        <v>306</v>
      </c>
      <c r="C758" t="s">
        <v>308</v>
      </c>
      <c r="G758" t="str">
        <f t="shared" si="24"/>
        <v>xlsx</v>
      </c>
      <c r="H758" s="5" t="str">
        <f>IFERROR(IF(B758="FoPITY",INDEX(Customizations!$C$2:$C$19,MATCH(Sheet1!C758,Customizations!$B$2:$B$19,0),1),INDEX(About!C:C,MATCH(Sheet1!B758,About!B:B,0),1)),"")</f>
        <v>CO2 Abated per Unit Land Area by Impr For Mgmt.xlsx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3">
      <c r="A759" s="7" t="s">
        <v>299</v>
      </c>
      <c r="B759" t="s">
        <v>309</v>
      </c>
      <c r="C759" t="s">
        <v>310</v>
      </c>
      <c r="G759" t="str">
        <f t="shared" si="24"/>
        <v>xlsx</v>
      </c>
      <c r="H759" s="5" t="str">
        <f>IFERROR(IF(B759="FoPITY",INDEX(Customizations!$C$2:$C$19,MATCH(Sheet1!C759,Customizations!$B$2:$B$19,0),1),INDEX(About!C:C,MATCH(Sheet1!B759,About!B:B,0),1)),"")</f>
        <v>Chg in Land Val per Unit Area Affected by Pol.xlsx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3">
      <c r="A760" s="7" t="s">
        <v>299</v>
      </c>
      <c r="B760" t="s">
        <v>309</v>
      </c>
      <c r="C760" t="s">
        <v>311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Chg in Land Val per Unit Area Affected by Pol.xlsx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3">
      <c r="A761" s="7" t="s">
        <v>299</v>
      </c>
      <c r="B761" t="s">
        <v>312</v>
      </c>
      <c r="C761" t="s">
        <v>313</v>
      </c>
      <c r="G761" t="str">
        <f t="shared" si="24"/>
        <v>xlsx</v>
      </c>
      <c r="H761" s="5" t="str">
        <f>IFERROR(IF(B761="FoPITY",INDEX(Customizations!$C$2:$C$19,MATCH(Sheet1!C761,Customizations!$B$2:$B$19,0),1),INDEX(About!C:C,MATCH(Sheet1!B761,About!B:B,0),1)),"")</f>
        <v>CO2 Sequestered per Unit Land Area per Year by Pol.xlsx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3">
      <c r="A762" s="7" t="s">
        <v>299</v>
      </c>
      <c r="B762" t="s">
        <v>312</v>
      </c>
      <c r="C762" t="s">
        <v>314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CO2 Sequestered per Unit Land Area per Year by Pol.xlsx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3">
      <c r="A763" s="7" t="s">
        <v>299</v>
      </c>
      <c r="B763" t="s">
        <v>315</v>
      </c>
      <c r="C763" t="s">
        <v>316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Fraction of Forests Owned by Entity.xlsx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s="7" t="s">
        <v>299</v>
      </c>
      <c r="B764" t="s">
        <v>315</v>
      </c>
      <c r="C764" t="s">
        <v>317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Fraction of Forests Owned by Entity.xlsx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s="7" t="s">
        <v>299</v>
      </c>
      <c r="B765" t="s">
        <v>318</v>
      </c>
      <c r="C765" t="s">
        <v>319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Impl Cost of Land Use Policies per Unit Area.xlsx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s="7" t="s">
        <v>299</v>
      </c>
      <c r="B766" t="s">
        <v>318</v>
      </c>
      <c r="C766" t="s">
        <v>320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Impl Cost of Land Use Policies per Unit Area.xlsx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s="7" t="s">
        <v>299</v>
      </c>
      <c r="B767" t="s">
        <v>1034</v>
      </c>
      <c r="C767" t="s">
        <v>320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Impl Cost of Land Use Policies per Unit Area.xlsx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s="7" t="s">
        <v>299</v>
      </c>
      <c r="B768" t="s">
        <v>321</v>
      </c>
      <c r="C768" t="s">
        <v>322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Potential Land Area Newly Affected by Pol in a Single Yr.xlsx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s="7" t="s">
        <v>299</v>
      </c>
      <c r="B769" t="s">
        <v>321</v>
      </c>
      <c r="C769" t="s">
        <v>323</v>
      </c>
      <c r="G769" t="str">
        <f t="shared" si="26"/>
        <v>xlsx</v>
      </c>
      <c r="H769" s="5" t="str">
        <f>IFERROR(IF(B769="FoPITY",INDEX(Customizations!$C$2:$C$19,MATCH(Sheet1!C769,Customizations!$B$2:$B$19,0),1),INDEX(About!C:C,MATCH(Sheet1!B769,About!B:B,0),1)),"")</f>
        <v>Potential Land Area Newly Affected by Pol in a Single Yr.xlsx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s="7" t="s">
        <v>299</v>
      </c>
      <c r="B770" t="s">
        <v>324</v>
      </c>
      <c r="C770" t="s">
        <v>325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Rebound Pol Emis per Unit Avoided CO2 Emis.xlsx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3">
      <c r="A771" s="7" t="s">
        <v>299</v>
      </c>
      <c r="B771" t="s">
        <v>324</v>
      </c>
      <c r="C771" t="s">
        <v>326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Rebound Pol Emis per Unit Avoided CO2 Emis.xlsx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3">
      <c r="A772" s="7" t="s">
        <v>340</v>
      </c>
      <c r="B772" t="s">
        <v>341</v>
      </c>
      <c r="C772" t="s">
        <v>1523</v>
      </c>
      <c r="G772" t="str">
        <f t="shared" si="26"/>
        <v>l.py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3">
      <c r="A773" s="7" t="s">
        <v>340</v>
      </c>
      <c r="B773" t="s">
        <v>341</v>
      </c>
      <c r="C773" t="s">
        <v>342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3">
      <c r="A774" s="7" t="s">
        <v>340</v>
      </c>
      <c r="B774" t="s">
        <v>341</v>
      </c>
      <c r="C774" t="s">
        <v>343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3">
      <c r="A775" s="7" t="s">
        <v>340</v>
      </c>
      <c r="B775" t="s">
        <v>341</v>
      </c>
      <c r="C775" t="s">
        <v>344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3">
      <c r="A776" s="7" t="s">
        <v>340</v>
      </c>
      <c r="B776" t="s">
        <v>341</v>
      </c>
      <c r="C776" t="s">
        <v>345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3">
      <c r="A777" s="7" t="s">
        <v>340</v>
      </c>
      <c r="B777" t="s">
        <v>341</v>
      </c>
      <c r="C777" t="s">
        <v>653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3">
      <c r="A778" s="7" t="s">
        <v>340</v>
      </c>
      <c r="B778" t="s">
        <v>341</v>
      </c>
      <c r="C778" t="s">
        <v>346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3">
      <c r="A779" s="7" t="s">
        <v>340</v>
      </c>
      <c r="B779" t="s">
        <v>341</v>
      </c>
      <c r="C779" t="s">
        <v>654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3">
      <c r="A780" s="7" t="s">
        <v>340</v>
      </c>
      <c r="B780" t="s">
        <v>341</v>
      </c>
      <c r="C780" t="s">
        <v>347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3">
      <c r="A781" s="7" t="s">
        <v>340</v>
      </c>
      <c r="B781" t="s">
        <v>341</v>
      </c>
      <c r="C781" t="s">
        <v>655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3">
      <c r="A782" s="7" t="s">
        <v>340</v>
      </c>
      <c r="B782" t="s">
        <v>341</v>
      </c>
      <c r="C782" t="s">
        <v>348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3">
      <c r="A783" s="7" t="s">
        <v>340</v>
      </c>
      <c r="B783" t="s">
        <v>341</v>
      </c>
      <c r="C783" t="s">
        <v>656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3">
      <c r="A784" s="7" t="s">
        <v>340</v>
      </c>
      <c r="B784" t="s">
        <v>341</v>
      </c>
      <c r="C784" t="s">
        <v>349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3">
      <c r="A785" s="7" t="s">
        <v>340</v>
      </c>
      <c r="B785" t="s">
        <v>341</v>
      </c>
      <c r="C785" t="s">
        <v>657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3">
      <c r="A786" s="7" t="s">
        <v>340</v>
      </c>
      <c r="B786" t="s">
        <v>341</v>
      </c>
      <c r="C786" t="s">
        <v>350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3">
      <c r="A787" s="7" t="s">
        <v>340</v>
      </c>
      <c r="B787" t="s">
        <v>341</v>
      </c>
      <c r="C787" t="s">
        <v>658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3">
      <c r="A788" s="7" t="s">
        <v>340</v>
      </c>
      <c r="B788" t="s">
        <v>341</v>
      </c>
      <c r="C788" t="s">
        <v>351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3">
      <c r="A789" s="7" t="s">
        <v>340</v>
      </c>
      <c r="B789" t="s">
        <v>341</v>
      </c>
      <c r="C789" t="s">
        <v>659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3">
      <c r="A790" s="7" t="s">
        <v>340</v>
      </c>
      <c r="B790" t="s">
        <v>341</v>
      </c>
      <c r="C790" t="s">
        <v>352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3">
      <c r="A791" s="7" t="s">
        <v>340</v>
      </c>
      <c r="B791" t="s">
        <v>341</v>
      </c>
      <c r="C791" t="s">
        <v>914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3">
      <c r="A792" s="7" t="s">
        <v>340</v>
      </c>
      <c r="B792" t="s">
        <v>341</v>
      </c>
      <c r="C792" t="s">
        <v>1524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3">
      <c r="A793" s="7" t="s">
        <v>340</v>
      </c>
      <c r="B793" t="s">
        <v>341</v>
      </c>
      <c r="C793" t="s">
        <v>1035</v>
      </c>
      <c r="G793" t="str">
        <f t="shared" si="26"/>
        <v>r.py</v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3">
      <c r="A794" s="7" t="s">
        <v>340</v>
      </c>
      <c r="B794" t="s">
        <v>341</v>
      </c>
      <c r="C794" t="s">
        <v>1036</v>
      </c>
      <c r="G794" t="str">
        <f t="shared" si="26"/>
        <v>xlsx</v>
      </c>
      <c r="H794" s="5" t="str">
        <f>IFERROR(IF(B794="FoPITY",INDEX(Customizations!$C$2:$C$19,MATCH(Sheet1!C794,Customizations!$B$2:$B$19,0),1),INDEX(About!C:C,MATCH(Sheet1!B794,About!B:B,0),1)),"")</f>
        <v/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3">
      <c r="A795" s="7" t="s">
        <v>340</v>
      </c>
      <c r="B795" t="s">
        <v>353</v>
      </c>
      <c r="C795" t="s">
        <v>354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Final Time.xlsx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3">
      <c r="A796" s="7" t="s">
        <v>340</v>
      </c>
      <c r="B796" t="s">
        <v>353</v>
      </c>
      <c r="C796" t="s">
        <v>355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Final Time.xlsx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3">
      <c r="A797" s="7" t="s">
        <v>340</v>
      </c>
      <c r="B797" t="s">
        <v>1380</v>
      </c>
      <c r="C797" t="s">
        <v>1381</v>
      </c>
      <c r="G797" t="str">
        <f t="shared" si="26"/>
        <v>xlsx</v>
      </c>
      <c r="H797" s="5" t="str">
        <f>IFERROR(IF(B797="FoPITY",INDEX(Customizations!$C$2:$C$19,MATCH(Sheet1!C797,Customizations!$B$2:$B$19,0),1),INDEX(About!C:C,MATCH(Sheet1!B797,About!B:B,0),1)),"")</f>
        <v>FY Future Years.xlsx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3">
      <c r="A798" s="7" t="s">
        <v>340</v>
      </c>
      <c r="B798" t="s">
        <v>1380</v>
      </c>
      <c r="C798" t="s">
        <v>1382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FY Future Years.xlsx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3">
      <c r="A799" s="7" t="s">
        <v>340</v>
      </c>
      <c r="B799" t="s">
        <v>356</v>
      </c>
      <c r="C799" t="s">
        <v>357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Initial Time.xlsx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3">
      <c r="A800" s="7" t="s">
        <v>340</v>
      </c>
      <c r="B800" t="s">
        <v>356</v>
      </c>
      <c r="C800" t="s">
        <v>358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Initial Time.xlsx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3">
      <c r="A801" s="7" t="s">
        <v>359</v>
      </c>
      <c r="B801" t="s">
        <v>1383</v>
      </c>
      <c r="C801" t="s">
        <v>1384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Ann Impvmt in Bat Cap by Veh Type.xlsx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3">
      <c r="A802" s="7" t="s">
        <v>359</v>
      </c>
      <c r="B802" t="s">
        <v>1383</v>
      </c>
      <c r="C802" t="s">
        <v>1385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Ann Impvmt in Bat Cap by Veh Type.xlsx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3">
      <c r="A803" s="7" t="s">
        <v>359</v>
      </c>
      <c r="B803" t="s">
        <v>1383</v>
      </c>
      <c r="C803" t="s">
        <v>1386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Ann Impvmt in Bat Cap by Veh Type.xlsx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3">
      <c r="A804" s="7" t="s">
        <v>359</v>
      </c>
      <c r="B804" t="s">
        <v>1383</v>
      </c>
      <c r="C804" t="s">
        <v>1387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Ann Impvmt in Bat Cap by Veh Type.xlsx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3">
      <c r="A805" s="7" t="s">
        <v>359</v>
      </c>
      <c r="B805" t="s">
        <v>1383</v>
      </c>
      <c r="C805" t="s">
        <v>1388</v>
      </c>
      <c r="G805" t="str">
        <f t="shared" ref="G805:G864" si="28">RIGHT(C805,"4")</f>
        <v>xlsx</v>
      </c>
      <c r="H805" s="5" t="str">
        <f>IFERROR(IF(B805="FoPITY",INDEX(Customizations!$C$2:$C$19,MATCH(Sheet1!C805,Customizations!$B$2:$B$19,0),1),INDEX(About!C:C,MATCH(Sheet1!B805,About!B:B,0),1)),"")</f>
        <v>Ann Impvmt in Bat Cap by Veh Type.xlsx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3">
      <c r="A806" s="7" t="s">
        <v>359</v>
      </c>
      <c r="B806" t="s">
        <v>1037</v>
      </c>
      <c r="C806" t="s">
        <v>1038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Annual Vehicle Insurance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s="7" t="s">
        <v>359</v>
      </c>
      <c r="B807" t="s">
        <v>1037</v>
      </c>
      <c r="C807" t="s">
        <v>1039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Annual Vehicle Insurance Cost.xlsx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s="7" t="s">
        <v>359</v>
      </c>
      <c r="B808" t="s">
        <v>360</v>
      </c>
      <c r="C808" t="s">
        <v>361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Avg Vehicle Lifetime.xlsx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s="7" t="s">
        <v>359</v>
      </c>
      <c r="B809" t="s">
        <v>360</v>
      </c>
      <c r="C809" t="s">
        <v>362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Lifetime.xlsx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s="7" t="s">
        <v>359</v>
      </c>
      <c r="B810" t="s">
        <v>363</v>
      </c>
      <c r="C810" t="s">
        <v>364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Avg Vehicle Loading.xlsx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s="7" t="s">
        <v>359</v>
      </c>
      <c r="B811" t="s">
        <v>363</v>
      </c>
      <c r="C811" t="s">
        <v>365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Avg Vehicle Loading.xlsx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s="7" t="s">
        <v>359</v>
      </c>
      <c r="B812" t="s">
        <v>363</v>
      </c>
      <c r="C812" t="s">
        <v>366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Avg Vehicle Loading.xlsx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s="7" t="s">
        <v>359</v>
      </c>
      <c r="B813" t="s">
        <v>363</v>
      </c>
      <c r="C813" t="s">
        <v>1518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Avg Vehicle Loading.xlsx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s="7" t="s">
        <v>359</v>
      </c>
      <c r="B814" t="s">
        <v>363</v>
      </c>
      <c r="C814" t="s">
        <v>1519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Avg Vehicle Loading.xlsx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s="7" t="s">
        <v>359</v>
      </c>
      <c r="B815" t="s">
        <v>1040</v>
      </c>
      <c r="C815" t="s">
        <v>1041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Annual Vehicle Licensing Registration and Property Tax Costs.xlsx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s="7" t="s">
        <v>359</v>
      </c>
      <c r="B816" t="s">
        <v>1040</v>
      </c>
      <c r="C816" t="s">
        <v>1042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Annual Vehicle Licensing Registration and Property Tax Costs.xlsx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s="7" t="s">
        <v>359</v>
      </c>
      <c r="B817" t="s">
        <v>701</v>
      </c>
      <c r="C817" t="s">
        <v>702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Maint Cost.xlsx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s="7" t="s">
        <v>359</v>
      </c>
      <c r="B818" t="s">
        <v>701</v>
      </c>
      <c r="C818" t="s">
        <v>703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Maint Cost.xlsx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s="7" t="s">
        <v>359</v>
      </c>
      <c r="B819" t="s">
        <v>701</v>
      </c>
      <c r="C819" t="s">
        <v>704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Annual Vehicle Maint Cost.xlsx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s="7" t="s">
        <v>359</v>
      </c>
      <c r="B820" t="s">
        <v>1389</v>
      </c>
      <c r="C820" t="s">
        <v>1390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Avg Veh Ownership Period.xlsx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s="7" t="s">
        <v>359</v>
      </c>
      <c r="B821" t="s">
        <v>1389</v>
      </c>
      <c r="C821" t="s">
        <v>1391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Avg Veh Ownership Period.xlsx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s="7" t="s">
        <v>359</v>
      </c>
      <c r="B822" t="s">
        <v>1043</v>
      </c>
      <c r="C822" t="s">
        <v>1044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Annual Vehicle Parking Costs.xlsx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s="7" t="s">
        <v>359</v>
      </c>
      <c r="B823" t="s">
        <v>1043</v>
      </c>
      <c r="C823" t="s">
        <v>1045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Annual Vehicle Parking Costs.xlsx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s="7" t="s">
        <v>359</v>
      </c>
      <c r="B824" t="s">
        <v>367</v>
      </c>
      <c r="C824" t="s">
        <v>368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Avg Annual Dist Traveled by Veh Type.xlsx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s="7" t="s">
        <v>359</v>
      </c>
      <c r="B825" t="s">
        <v>367</v>
      </c>
      <c r="C825" t="s">
        <v>369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Avg Annual Dist Traveled by Veh Type.xlsx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s="7" t="s">
        <v>359</v>
      </c>
      <c r="B826" t="s">
        <v>367</v>
      </c>
      <c r="C826" t="s">
        <v>370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BAU Avg Annual Dist Traveled by Veh Type.xlsx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s="7" t="s">
        <v>359</v>
      </c>
      <c r="B827" t="s">
        <v>367</v>
      </c>
      <c r="C827" t="s">
        <v>1515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Avg Annual Dist Traveled by Veh Type.xlsx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s="7" t="s">
        <v>359</v>
      </c>
      <c r="B828" t="s">
        <v>367</v>
      </c>
      <c r="C828" t="s">
        <v>1516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Avg Annual Dist Traveled by Veh Type.xlsx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s="7" t="s">
        <v>359</v>
      </c>
      <c r="B829" t="s">
        <v>371</v>
      </c>
      <c r="C829" t="s">
        <v>372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BAU Cargo Dist Transported Relative to Start Yr.xlsx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s="7" t="s">
        <v>359</v>
      </c>
      <c r="B830" t="s">
        <v>371</v>
      </c>
      <c r="C830" t="s">
        <v>373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Cargo Dist Transported Relative to Start Yr.xlsx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3">
      <c r="A831" s="7" t="s">
        <v>359</v>
      </c>
      <c r="B831" t="s">
        <v>371</v>
      </c>
      <c r="C831" t="s">
        <v>374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Cargo Dist Transported Relative to Start Yr.xlsx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3">
      <c r="A832" s="7" t="s">
        <v>359</v>
      </c>
      <c r="B832" t="s">
        <v>375</v>
      </c>
      <c r="C832" t="s">
        <v>376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3">
      <c r="A833" s="7" t="s">
        <v>359</v>
      </c>
      <c r="B833" t="s">
        <v>375</v>
      </c>
      <c r="C833" t="s">
        <v>377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3">
      <c r="A834" s="7" t="s">
        <v>359</v>
      </c>
      <c r="B834" t="s">
        <v>375</v>
      </c>
      <c r="C834" t="s">
        <v>378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3">
      <c r="A835" s="7" t="s">
        <v>359</v>
      </c>
      <c r="B835" t="s">
        <v>375</v>
      </c>
      <c r="C835" t="s">
        <v>379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3">
      <c r="A836" s="7" t="s">
        <v>359</v>
      </c>
      <c r="B836" t="s">
        <v>375</v>
      </c>
      <c r="C836" t="s">
        <v>380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3">
      <c r="A837" s="7" t="s">
        <v>359</v>
      </c>
      <c r="B837" t="s">
        <v>375</v>
      </c>
      <c r="C837" t="s">
        <v>381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3">
      <c r="A838" s="7" t="s">
        <v>359</v>
      </c>
      <c r="B838" t="s">
        <v>375</v>
      </c>
      <c r="C838" t="s">
        <v>382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3">
      <c r="A839" s="7" t="s">
        <v>359</v>
      </c>
      <c r="B839" t="s">
        <v>375</v>
      </c>
      <c r="C839" t="s">
        <v>383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3">
      <c r="A840" s="7" t="s">
        <v>359</v>
      </c>
      <c r="B840" t="s">
        <v>375</v>
      </c>
      <c r="C840" t="s">
        <v>384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BAU Historical New Veh Fuel Economy After Lifetime.xlsx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3">
      <c r="A841" s="7" t="s">
        <v>359</v>
      </c>
      <c r="B841" t="s">
        <v>375</v>
      </c>
      <c r="C841" t="s">
        <v>385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BAU Historical New Veh Fuel Economy After Lifetime.xlsx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3">
      <c r="A842" s="7" t="s">
        <v>359</v>
      </c>
      <c r="B842" t="s">
        <v>375</v>
      </c>
      <c r="C842" t="s">
        <v>386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BAU Historical New Veh Fuel Economy After Lifetime.xlsx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3">
      <c r="A843" s="7" t="s">
        <v>359</v>
      </c>
      <c r="B843" t="s">
        <v>375</v>
      </c>
      <c r="C843" t="s">
        <v>387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BAU Historical New Veh Fuel Economy After Lifetime.xlsx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3">
      <c r="A844" s="7" t="s">
        <v>359</v>
      </c>
      <c r="B844" t="s">
        <v>375</v>
      </c>
      <c r="C844" t="s">
        <v>388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BAU Historical New Veh Fuel Economy After Lifetime.xlsx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3">
      <c r="A845" s="7" t="s">
        <v>359</v>
      </c>
      <c r="B845" t="s">
        <v>389</v>
      </c>
      <c r="C845" t="s">
        <v>390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BAU LCFS Perc.xlsx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3">
      <c r="A846" s="7" t="s">
        <v>359</v>
      </c>
      <c r="B846" t="s">
        <v>389</v>
      </c>
      <c r="C846" t="s">
        <v>391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BAU LCFS Perc.xlsx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3">
      <c r="A847" s="7" t="s">
        <v>359</v>
      </c>
      <c r="B847" t="s">
        <v>1392</v>
      </c>
      <c r="C847" t="s">
        <v>1393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BAU Number of EV Chargers.xlsx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3">
      <c r="A848" s="7" t="s">
        <v>359</v>
      </c>
      <c r="B848" t="s">
        <v>1392</v>
      </c>
      <c r="C848" t="s">
        <v>1394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BAU Number of EV Chargers.xlsx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3">
      <c r="A849" s="7" t="s">
        <v>359</v>
      </c>
      <c r="B849" t="s">
        <v>1395</v>
      </c>
      <c r="C849" t="s">
        <v>1396</v>
      </c>
      <c r="G849" t="str">
        <f t="shared" si="28"/>
        <v>xlsx</v>
      </c>
      <c r="H849" s="5" t="str">
        <f>IFERROR(IF(B849="FoPITY",INDEX(Customizations!$C$2:$C$19,MATCH(Sheet1!C849,Customizations!$B$2:$B$19,0),1),INDEX(About!C:C,MATCH(Sheet1!B849,About!B:B,0),1)),"")</f>
        <v>BAU Number of Gas Pumps.xlsx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3">
      <c r="A850" s="7" t="s">
        <v>359</v>
      </c>
      <c r="B850" t="s">
        <v>1395</v>
      </c>
      <c r="C850" t="s">
        <v>1397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BAU Number of Gas Pumps.xlsx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3">
      <c r="A851" s="7" t="s">
        <v>359</v>
      </c>
      <c r="B851" t="s">
        <v>392</v>
      </c>
      <c r="C851" t="s">
        <v>393</v>
      </c>
      <c r="G851" t="str">
        <f t="shared" si="28"/>
        <v>xlsx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3">
      <c r="A852" s="7" t="s">
        <v>359</v>
      </c>
      <c r="B852" t="s">
        <v>392</v>
      </c>
      <c r="C852" t="s">
        <v>394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3">
      <c r="A853" s="7" t="s">
        <v>359</v>
      </c>
      <c r="B853" t="s">
        <v>392</v>
      </c>
      <c r="C853" t="s">
        <v>395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3">
      <c r="A854" s="7" t="s">
        <v>359</v>
      </c>
      <c r="B854" t="s">
        <v>392</v>
      </c>
      <c r="C854" t="s">
        <v>396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3">
      <c r="A855" s="7" t="s">
        <v>359</v>
      </c>
      <c r="B855" t="s">
        <v>392</v>
      </c>
      <c r="C855" t="s">
        <v>397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3">
      <c r="A856" s="7" t="s">
        <v>359</v>
      </c>
      <c r="B856" t="s">
        <v>392</v>
      </c>
      <c r="C856" t="s">
        <v>398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3">
      <c r="A857" s="7" t="s">
        <v>359</v>
      </c>
      <c r="B857" t="s">
        <v>392</v>
      </c>
      <c r="C857" t="s">
        <v>399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3">
      <c r="A858" s="7" t="s">
        <v>359</v>
      </c>
      <c r="B858" t="s">
        <v>392</v>
      </c>
      <c r="C858" t="s">
        <v>400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3">
      <c r="A859" s="7" t="s">
        <v>359</v>
      </c>
      <c r="B859" t="s">
        <v>392</v>
      </c>
      <c r="C859" t="s">
        <v>401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BAU New Veh Fuel Economy.xlsx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3">
      <c r="A860" s="7" t="s">
        <v>359</v>
      </c>
      <c r="B860" t="s">
        <v>392</v>
      </c>
      <c r="C860" t="s">
        <v>402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BAU New Veh Fuel Economy.xlsx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3">
      <c r="A861" s="7" t="s">
        <v>359</v>
      </c>
      <c r="B861" t="s">
        <v>392</v>
      </c>
      <c r="C861" t="s">
        <v>403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BAU New Veh Fuel Economy.xlsx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3">
      <c r="A862" s="7" t="s">
        <v>359</v>
      </c>
      <c r="B862" t="s">
        <v>392</v>
      </c>
      <c r="C862" t="s">
        <v>404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BAU New Veh Fuel Economy.xlsx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3">
      <c r="A863" s="7" t="s">
        <v>359</v>
      </c>
      <c r="B863" t="s">
        <v>392</v>
      </c>
      <c r="C863" t="s">
        <v>405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BAU New Veh Fuel Economy.xlsx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3">
      <c r="A864" s="7" t="s">
        <v>359</v>
      </c>
      <c r="B864" t="s">
        <v>406</v>
      </c>
      <c r="C864" t="s">
        <v>407</v>
      </c>
      <c r="G864" t="str">
        <f t="shared" si="28"/>
        <v>xlsx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3">
      <c r="A865" s="7" t="s">
        <v>359</v>
      </c>
      <c r="B865" t="s">
        <v>406</v>
      </c>
      <c r="C865" t="s">
        <v>408</v>
      </c>
      <c r="G865" t="str">
        <f t="shared" ref="G865:G928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3">
      <c r="A866" s="7" t="s">
        <v>359</v>
      </c>
      <c r="B866" t="s">
        <v>406</v>
      </c>
      <c r="C866" t="s">
        <v>409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3">
      <c r="A867" s="7" t="s">
        <v>359</v>
      </c>
      <c r="B867" t="s">
        <v>406</v>
      </c>
      <c r="C867" t="s">
        <v>410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3">
      <c r="A868" s="7" t="s">
        <v>359</v>
      </c>
      <c r="B868" t="s">
        <v>406</v>
      </c>
      <c r="C868" t="s">
        <v>411</v>
      </c>
      <c r="G868" t="str">
        <f t="shared" si="30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ref="J868:J931" si="32">IF(G868=".csv",1,0)*I868</f>
        <v>0</v>
      </c>
    </row>
    <row r="869" spans="1:10" x14ac:dyDescent="0.3">
      <c r="A869" s="7" t="s">
        <v>359</v>
      </c>
      <c r="B869" t="s">
        <v>406</v>
      </c>
      <c r="C869" t="s">
        <v>412</v>
      </c>
      <c r="G869" t="str">
        <f t="shared" si="30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2"/>
        <v>0</v>
      </c>
    </row>
    <row r="870" spans="1:10" x14ac:dyDescent="0.3">
      <c r="A870" s="7" t="s">
        <v>359</v>
      </c>
      <c r="B870" t="s">
        <v>406</v>
      </c>
      <c r="C870" t="s">
        <v>413</v>
      </c>
      <c r="G870" t="str">
        <f t="shared" si="30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2"/>
        <v>0</v>
      </c>
    </row>
    <row r="871" spans="1:10" x14ac:dyDescent="0.3">
      <c r="A871" s="7" t="s">
        <v>359</v>
      </c>
      <c r="B871" t="s">
        <v>406</v>
      </c>
      <c r="C871" t="s">
        <v>414</v>
      </c>
      <c r="G871" t="str">
        <f t="shared" si="30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2"/>
        <v>0</v>
      </c>
    </row>
    <row r="872" spans="1:10" x14ac:dyDescent="0.3">
      <c r="A872" s="7" t="s">
        <v>359</v>
      </c>
      <c r="B872" t="s">
        <v>406</v>
      </c>
      <c r="C872" t="s">
        <v>415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2"/>
        <v>0</v>
      </c>
    </row>
    <row r="873" spans="1:10" x14ac:dyDescent="0.3">
      <c r="A873" s="7" t="s">
        <v>359</v>
      </c>
      <c r="B873" t="s">
        <v>406</v>
      </c>
      <c r="C873" t="s">
        <v>416</v>
      </c>
      <c r="G873" t="str">
        <f t="shared" si="30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2"/>
        <v>0</v>
      </c>
    </row>
    <row r="874" spans="1:10" x14ac:dyDescent="0.3">
      <c r="A874" s="7" t="s">
        <v>359</v>
      </c>
      <c r="B874" t="s">
        <v>406</v>
      </c>
      <c r="C874" t="s">
        <v>417</v>
      </c>
      <c r="G874" t="str">
        <f t="shared" si="30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2"/>
        <v>0</v>
      </c>
    </row>
    <row r="875" spans="1:10" x14ac:dyDescent="0.3">
      <c r="A875" s="7" t="s">
        <v>359</v>
      </c>
      <c r="B875" t="s">
        <v>406</v>
      </c>
      <c r="C875" t="s">
        <v>418</v>
      </c>
      <c r="G875" t="str">
        <f t="shared" si="30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2"/>
        <v>0</v>
      </c>
    </row>
    <row r="876" spans="1:10" x14ac:dyDescent="0.3">
      <c r="A876" s="7" t="s">
        <v>359</v>
      </c>
      <c r="B876" t="s">
        <v>406</v>
      </c>
      <c r="C876" t="s">
        <v>419</v>
      </c>
      <c r="G876" t="str">
        <f t="shared" si="30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2"/>
        <v>0</v>
      </c>
    </row>
    <row r="877" spans="1:10" x14ac:dyDescent="0.3">
      <c r="A877" s="7" t="s">
        <v>359</v>
      </c>
      <c r="B877" t="s">
        <v>406</v>
      </c>
      <c r="C877" t="s">
        <v>420</v>
      </c>
      <c r="G877" t="str">
        <f t="shared" si="30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2"/>
        <v>0</v>
      </c>
    </row>
    <row r="878" spans="1:10" x14ac:dyDescent="0.3">
      <c r="A878" s="7" t="s">
        <v>359</v>
      </c>
      <c r="B878" t="s">
        <v>406</v>
      </c>
      <c r="C878" t="s">
        <v>421</v>
      </c>
      <c r="G878" t="str">
        <f t="shared" si="30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2"/>
        <v>0</v>
      </c>
    </row>
    <row r="879" spans="1:10" x14ac:dyDescent="0.3">
      <c r="A879" s="7" t="s">
        <v>359</v>
      </c>
      <c r="B879" t="s">
        <v>406</v>
      </c>
      <c r="C879" t="s">
        <v>422</v>
      </c>
      <c r="G879" t="str">
        <f t="shared" si="30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2"/>
        <v>0</v>
      </c>
    </row>
    <row r="880" spans="1:10" x14ac:dyDescent="0.3">
      <c r="A880" s="7" t="s">
        <v>359</v>
      </c>
      <c r="B880" t="s">
        <v>406</v>
      </c>
      <c r="C880" t="s">
        <v>423</v>
      </c>
      <c r="G880" t="str">
        <f t="shared" si="30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2"/>
        <v>0</v>
      </c>
    </row>
    <row r="881" spans="1:10" x14ac:dyDescent="0.3">
      <c r="A881" s="7" t="s">
        <v>359</v>
      </c>
      <c r="B881" t="s">
        <v>406</v>
      </c>
      <c r="C881" t="s">
        <v>424</v>
      </c>
      <c r="G881" t="str">
        <f t="shared" si="30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2"/>
        <v>0</v>
      </c>
    </row>
    <row r="882" spans="1:10" x14ac:dyDescent="0.3">
      <c r="A882" s="7" t="s">
        <v>359</v>
      </c>
      <c r="B882" t="s">
        <v>406</v>
      </c>
      <c r="C882" t="s">
        <v>425</v>
      </c>
      <c r="G882" t="str">
        <f t="shared" si="30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2"/>
        <v>0</v>
      </c>
    </row>
    <row r="883" spans="1:10" x14ac:dyDescent="0.3">
      <c r="A883" s="7" t="s">
        <v>359</v>
      </c>
      <c r="B883" t="s">
        <v>406</v>
      </c>
      <c r="C883" t="s">
        <v>426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2"/>
        <v>0</v>
      </c>
    </row>
    <row r="884" spans="1:10" x14ac:dyDescent="0.3">
      <c r="A884" s="7" t="s">
        <v>359</v>
      </c>
      <c r="B884" t="s">
        <v>406</v>
      </c>
      <c r="C884" t="s">
        <v>427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2"/>
        <v>0</v>
      </c>
    </row>
    <row r="885" spans="1:10" x14ac:dyDescent="0.3">
      <c r="A885" s="7" t="s">
        <v>359</v>
      </c>
      <c r="B885" t="s">
        <v>406</v>
      </c>
      <c r="C885" t="s">
        <v>428</v>
      </c>
      <c r="G885" t="str">
        <f t="shared" si="30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2"/>
        <v>0</v>
      </c>
    </row>
    <row r="886" spans="1:10" x14ac:dyDescent="0.3">
      <c r="A886" s="7" t="s">
        <v>359</v>
      </c>
      <c r="B886" t="s">
        <v>406</v>
      </c>
      <c r="C886" t="s">
        <v>429</v>
      </c>
      <c r="G886" t="str">
        <f t="shared" si="30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2"/>
        <v>0</v>
      </c>
    </row>
    <row r="887" spans="1:10" x14ac:dyDescent="0.3">
      <c r="A887" s="7" t="s">
        <v>359</v>
      </c>
      <c r="B887" t="s">
        <v>406</v>
      </c>
      <c r="C887" t="s">
        <v>430</v>
      </c>
      <c r="G887" t="str">
        <f t="shared" si="30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2"/>
        <v>0</v>
      </c>
    </row>
    <row r="888" spans="1:10" x14ac:dyDescent="0.3">
      <c r="A888" s="7" t="s">
        <v>359</v>
      </c>
      <c r="B888" t="s">
        <v>406</v>
      </c>
      <c r="C888" t="s">
        <v>431</v>
      </c>
      <c r="G888" t="str">
        <f t="shared" si="30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2"/>
        <v>0</v>
      </c>
    </row>
    <row r="889" spans="1:10" x14ac:dyDescent="0.3">
      <c r="A889" s="7" t="s">
        <v>359</v>
      </c>
      <c r="B889" t="s">
        <v>406</v>
      </c>
      <c r="C889" t="s">
        <v>432</v>
      </c>
      <c r="G889" t="str">
        <f t="shared" si="30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2"/>
        <v>0</v>
      </c>
    </row>
    <row r="890" spans="1:10" x14ac:dyDescent="0.3">
      <c r="A890" s="7" t="s">
        <v>359</v>
      </c>
      <c r="B890" t="s">
        <v>406</v>
      </c>
      <c r="C890" t="s">
        <v>433</v>
      </c>
      <c r="G890" t="str">
        <f t="shared" si="30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2"/>
        <v>0</v>
      </c>
    </row>
    <row r="891" spans="1:10" x14ac:dyDescent="0.3">
      <c r="A891" s="7" t="s">
        <v>359</v>
      </c>
      <c r="B891" t="s">
        <v>406</v>
      </c>
      <c r="C891" t="s">
        <v>434</v>
      </c>
      <c r="G891" t="str">
        <f t="shared" si="30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2"/>
        <v>0</v>
      </c>
    </row>
    <row r="892" spans="1:10" x14ac:dyDescent="0.3">
      <c r="A892" s="7" t="s">
        <v>359</v>
      </c>
      <c r="B892" t="s">
        <v>406</v>
      </c>
      <c r="C892" t="s">
        <v>435</v>
      </c>
      <c r="G892" t="str">
        <f t="shared" si="30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2"/>
        <v>0</v>
      </c>
    </row>
    <row r="893" spans="1:10" x14ac:dyDescent="0.3">
      <c r="A893" s="7" t="s">
        <v>359</v>
      </c>
      <c r="B893" t="s">
        <v>406</v>
      </c>
      <c r="C893" t="s">
        <v>436</v>
      </c>
      <c r="G893" t="str">
        <f t="shared" si="30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2"/>
        <v>0</v>
      </c>
    </row>
    <row r="894" spans="1:10" x14ac:dyDescent="0.3">
      <c r="A894" s="7" t="s">
        <v>359</v>
      </c>
      <c r="B894" t="s">
        <v>406</v>
      </c>
      <c r="C894" t="s">
        <v>437</v>
      </c>
      <c r="G894" t="str">
        <f t="shared" si="30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2"/>
        <v>0</v>
      </c>
    </row>
    <row r="895" spans="1:10" x14ac:dyDescent="0.3">
      <c r="A895" s="7" t="s">
        <v>359</v>
      </c>
      <c r="B895" t="s">
        <v>406</v>
      </c>
      <c r="C895" t="s">
        <v>438</v>
      </c>
      <c r="G895" t="str">
        <f t="shared" si="30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2"/>
        <v>0</v>
      </c>
    </row>
    <row r="896" spans="1:10" x14ac:dyDescent="0.3">
      <c r="A896" s="7" t="s">
        <v>359</v>
      </c>
      <c r="B896" t="s">
        <v>406</v>
      </c>
      <c r="C896" t="s">
        <v>439</v>
      </c>
      <c r="G896" t="str">
        <f t="shared" si="30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2"/>
        <v>0</v>
      </c>
    </row>
    <row r="897" spans="1:10" x14ac:dyDescent="0.3">
      <c r="A897" s="7" t="s">
        <v>359</v>
      </c>
      <c r="B897" t="s">
        <v>406</v>
      </c>
      <c r="C897" t="s">
        <v>440</v>
      </c>
      <c r="G897" t="str">
        <f t="shared" si="30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2"/>
        <v>0</v>
      </c>
    </row>
    <row r="898" spans="1:10" x14ac:dyDescent="0.3">
      <c r="A898" s="7" t="s">
        <v>359</v>
      </c>
      <c r="B898" t="s">
        <v>406</v>
      </c>
      <c r="C898" t="s">
        <v>441</v>
      </c>
      <c r="G898" t="str">
        <f t="shared" si="30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2"/>
        <v>0</v>
      </c>
    </row>
    <row r="899" spans="1:10" x14ac:dyDescent="0.3">
      <c r="A899" s="7" t="s">
        <v>359</v>
      </c>
      <c r="B899" t="s">
        <v>406</v>
      </c>
      <c r="C899" t="s">
        <v>442</v>
      </c>
      <c r="G899" t="str">
        <f t="shared" si="30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2"/>
        <v>0</v>
      </c>
    </row>
    <row r="900" spans="1:10" x14ac:dyDescent="0.3">
      <c r="A900" s="7" t="s">
        <v>359</v>
      </c>
      <c r="B900" t="s">
        <v>406</v>
      </c>
      <c r="C900" t="s">
        <v>443</v>
      </c>
      <c r="G900" t="str">
        <f t="shared" si="30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2"/>
        <v>0</v>
      </c>
    </row>
    <row r="901" spans="1:10" x14ac:dyDescent="0.3">
      <c r="A901" s="7" t="s">
        <v>359</v>
      </c>
      <c r="B901" t="s">
        <v>406</v>
      </c>
      <c r="C901" t="s">
        <v>444</v>
      </c>
      <c r="G901" t="str">
        <f t="shared" si="30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2"/>
        <v>0</v>
      </c>
    </row>
    <row r="902" spans="1:10" x14ac:dyDescent="0.3">
      <c r="A902" s="7" t="s">
        <v>359</v>
      </c>
      <c r="B902" t="s">
        <v>406</v>
      </c>
      <c r="C902" t="s">
        <v>445</v>
      </c>
      <c r="G902" t="str">
        <f t="shared" si="30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2"/>
        <v>0</v>
      </c>
    </row>
    <row r="903" spans="1:10" x14ac:dyDescent="0.3">
      <c r="A903" s="7" t="s">
        <v>359</v>
      </c>
      <c r="B903" t="s">
        <v>406</v>
      </c>
      <c r="C903" t="s">
        <v>446</v>
      </c>
      <c r="G903" t="str">
        <f t="shared" si="30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2"/>
        <v>0</v>
      </c>
    </row>
    <row r="904" spans="1:10" x14ac:dyDescent="0.3">
      <c r="A904" s="7" t="s">
        <v>359</v>
      </c>
      <c r="B904" t="s">
        <v>406</v>
      </c>
      <c r="C904" t="s">
        <v>447</v>
      </c>
      <c r="G904" t="str">
        <f t="shared" si="30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2"/>
        <v>0</v>
      </c>
    </row>
    <row r="905" spans="1:10" x14ac:dyDescent="0.3">
      <c r="A905" s="7" t="s">
        <v>359</v>
      </c>
      <c r="B905" t="s">
        <v>406</v>
      </c>
      <c r="C905" t="s">
        <v>448</v>
      </c>
      <c r="G905" t="str">
        <f t="shared" si="30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2"/>
        <v>0</v>
      </c>
    </row>
    <row r="906" spans="1:10" x14ac:dyDescent="0.3">
      <c r="A906" s="7" t="s">
        <v>359</v>
      </c>
      <c r="B906" t="s">
        <v>406</v>
      </c>
      <c r="C906" t="s">
        <v>449</v>
      </c>
      <c r="G906" t="str">
        <f t="shared" si="30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2"/>
        <v>0</v>
      </c>
    </row>
    <row r="907" spans="1:10" x14ac:dyDescent="0.3">
      <c r="A907" s="7" t="s">
        <v>359</v>
      </c>
      <c r="B907" t="s">
        <v>406</v>
      </c>
      <c r="C907" t="s">
        <v>450</v>
      </c>
      <c r="G907" t="str">
        <f t="shared" si="30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2"/>
        <v>0</v>
      </c>
    </row>
    <row r="908" spans="1:10" x14ac:dyDescent="0.3">
      <c r="A908" s="7" t="s">
        <v>359</v>
      </c>
      <c r="B908" t="s">
        <v>406</v>
      </c>
      <c r="C908" t="s">
        <v>451</v>
      </c>
      <c r="G908" t="str">
        <f t="shared" si="30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2"/>
        <v>0</v>
      </c>
    </row>
    <row r="909" spans="1:10" x14ac:dyDescent="0.3">
      <c r="A909" s="7" t="s">
        <v>359</v>
      </c>
      <c r="B909" t="s">
        <v>406</v>
      </c>
      <c r="C909" t="s">
        <v>452</v>
      </c>
      <c r="G909" t="str">
        <f t="shared" si="30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2"/>
        <v>0</v>
      </c>
    </row>
    <row r="910" spans="1:10" x14ac:dyDescent="0.3">
      <c r="A910" s="7" t="s">
        <v>359</v>
      </c>
      <c r="B910" t="s">
        <v>406</v>
      </c>
      <c r="C910" t="s">
        <v>453</v>
      </c>
      <c r="G910" t="str">
        <f t="shared" si="30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2"/>
        <v>0</v>
      </c>
    </row>
    <row r="911" spans="1:10" x14ac:dyDescent="0.3">
      <c r="A911" s="7" t="s">
        <v>359</v>
      </c>
      <c r="B911" t="s">
        <v>406</v>
      </c>
      <c r="C911" t="s">
        <v>454</v>
      </c>
      <c r="G911" t="str">
        <f t="shared" si="30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2"/>
        <v>0</v>
      </c>
    </row>
    <row r="912" spans="1:10" x14ac:dyDescent="0.3">
      <c r="A912" s="7" t="s">
        <v>359</v>
      </c>
      <c r="B912" t="s">
        <v>406</v>
      </c>
      <c r="C912" t="s">
        <v>455</v>
      </c>
      <c r="G912" t="str">
        <f t="shared" si="30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2"/>
        <v>0</v>
      </c>
    </row>
    <row r="913" spans="1:10" x14ac:dyDescent="0.3">
      <c r="A913" s="7" t="s">
        <v>359</v>
      </c>
      <c r="B913" t="s">
        <v>406</v>
      </c>
      <c r="C913" t="s">
        <v>456</v>
      </c>
      <c r="G913" t="str">
        <f t="shared" si="30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2"/>
        <v>0</v>
      </c>
    </row>
    <row r="914" spans="1:10" x14ac:dyDescent="0.3">
      <c r="A914" s="7" t="s">
        <v>359</v>
      </c>
      <c r="B914" t="s">
        <v>406</v>
      </c>
      <c r="C914" t="s">
        <v>457</v>
      </c>
      <c r="G914" t="str">
        <f t="shared" si="30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2"/>
        <v>0</v>
      </c>
    </row>
    <row r="915" spans="1:10" x14ac:dyDescent="0.3">
      <c r="A915" s="7" t="s">
        <v>359</v>
      </c>
      <c r="B915" t="s">
        <v>406</v>
      </c>
      <c r="C915" t="s">
        <v>458</v>
      </c>
      <c r="G915" t="str">
        <f t="shared" si="30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2"/>
        <v>0</v>
      </c>
    </row>
    <row r="916" spans="1:10" x14ac:dyDescent="0.3">
      <c r="A916" s="7" t="s">
        <v>359</v>
      </c>
      <c r="B916" t="s">
        <v>406</v>
      </c>
      <c r="C916" t="s">
        <v>459</v>
      </c>
      <c r="G916" t="str">
        <f t="shared" si="30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2"/>
        <v>0</v>
      </c>
    </row>
    <row r="917" spans="1:10" x14ac:dyDescent="0.3">
      <c r="A917" s="7" t="s">
        <v>359</v>
      </c>
      <c r="B917" t="s">
        <v>406</v>
      </c>
      <c r="C917" t="s">
        <v>460</v>
      </c>
      <c r="G917" t="str">
        <f t="shared" si="30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2"/>
        <v>0</v>
      </c>
    </row>
    <row r="918" spans="1:10" x14ac:dyDescent="0.3">
      <c r="A918" s="7" t="s">
        <v>359</v>
      </c>
      <c r="B918" t="s">
        <v>406</v>
      </c>
      <c r="C918" t="s">
        <v>461</v>
      </c>
      <c r="G918" t="str">
        <f t="shared" si="30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2"/>
        <v>0</v>
      </c>
    </row>
    <row r="919" spans="1:10" x14ac:dyDescent="0.3">
      <c r="A919" s="7" t="s">
        <v>359</v>
      </c>
      <c r="B919" t="s">
        <v>406</v>
      </c>
      <c r="C919" t="s">
        <v>462</v>
      </c>
      <c r="G919" t="str">
        <f t="shared" si="30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2"/>
        <v>0</v>
      </c>
    </row>
    <row r="920" spans="1:10" x14ac:dyDescent="0.3">
      <c r="A920" s="7" t="s">
        <v>359</v>
      </c>
      <c r="B920" t="s">
        <v>406</v>
      </c>
      <c r="C920" t="s">
        <v>463</v>
      </c>
      <c r="G920" t="str">
        <f t="shared" si="30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2"/>
        <v>0</v>
      </c>
    </row>
    <row r="921" spans="1:10" x14ac:dyDescent="0.3">
      <c r="A921" s="7" t="s">
        <v>359</v>
      </c>
      <c r="B921" t="s">
        <v>406</v>
      </c>
      <c r="C921" t="s">
        <v>464</v>
      </c>
      <c r="G921" t="str">
        <f t="shared" si="30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2"/>
        <v>0</v>
      </c>
    </row>
    <row r="922" spans="1:10" x14ac:dyDescent="0.3">
      <c r="A922" s="7" t="s">
        <v>359</v>
      </c>
      <c r="B922" t="s">
        <v>406</v>
      </c>
      <c r="C922" t="s">
        <v>465</v>
      </c>
      <c r="G922" t="str">
        <f t="shared" si="30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2"/>
        <v>0</v>
      </c>
    </row>
    <row r="923" spans="1:10" x14ac:dyDescent="0.3">
      <c r="A923" s="7" t="s">
        <v>359</v>
      </c>
      <c r="B923" t="s">
        <v>406</v>
      </c>
      <c r="C923" t="s">
        <v>466</v>
      </c>
      <c r="G923" t="str">
        <f t="shared" si="30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2"/>
        <v>0</v>
      </c>
    </row>
    <row r="924" spans="1:10" x14ac:dyDescent="0.3">
      <c r="A924" s="7" t="s">
        <v>359</v>
      </c>
      <c r="B924" t="s">
        <v>406</v>
      </c>
      <c r="C924" t="s">
        <v>467</v>
      </c>
      <c r="G924" t="str">
        <f t="shared" si="30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2"/>
        <v>0</v>
      </c>
    </row>
    <row r="925" spans="1:10" x14ac:dyDescent="0.3">
      <c r="A925" s="7" t="s">
        <v>359</v>
      </c>
      <c r="B925" t="s">
        <v>406</v>
      </c>
      <c r="C925" t="s">
        <v>468</v>
      </c>
      <c r="G925" t="str">
        <f t="shared" si="30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2"/>
        <v>0</v>
      </c>
    </row>
    <row r="926" spans="1:10" x14ac:dyDescent="0.3">
      <c r="A926" s="7" t="s">
        <v>359</v>
      </c>
      <c r="B926" t="s">
        <v>406</v>
      </c>
      <c r="C926" t="s">
        <v>469</v>
      </c>
      <c r="G926" t="str">
        <f t="shared" si="30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2"/>
        <v>0</v>
      </c>
    </row>
    <row r="927" spans="1:10" x14ac:dyDescent="0.3">
      <c r="A927" s="7" t="s">
        <v>359</v>
      </c>
      <c r="B927" t="s">
        <v>406</v>
      </c>
      <c r="C927" t="s">
        <v>470</v>
      </c>
      <c r="G927" t="str">
        <f t="shared" si="30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2"/>
        <v>0</v>
      </c>
    </row>
    <row r="928" spans="1:10" x14ac:dyDescent="0.3">
      <c r="A928" s="7" t="s">
        <v>359</v>
      </c>
      <c r="B928" t="s">
        <v>406</v>
      </c>
      <c r="C928" t="s">
        <v>471</v>
      </c>
      <c r="G928" t="str">
        <f t="shared" si="30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2"/>
        <v>0</v>
      </c>
    </row>
    <row r="929" spans="1:10" x14ac:dyDescent="0.3">
      <c r="A929" s="7" t="s">
        <v>359</v>
      </c>
      <c r="B929" t="s">
        <v>406</v>
      </c>
      <c r="C929" t="s">
        <v>472</v>
      </c>
      <c r="G929" t="str">
        <f t="shared" ref="G929:G992" si="33">RIGHT(C929,"4")</f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2"/>
        <v>0</v>
      </c>
    </row>
    <row r="930" spans="1:10" x14ac:dyDescent="0.3">
      <c r="A930" s="7" t="s">
        <v>359</v>
      </c>
      <c r="B930" t="s">
        <v>406</v>
      </c>
      <c r="C930" t="s">
        <v>473</v>
      </c>
      <c r="G930" t="str">
        <f t="shared" si="33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2"/>
        <v>0</v>
      </c>
    </row>
    <row r="931" spans="1:10" x14ac:dyDescent="0.3">
      <c r="A931" s="7" t="s">
        <v>359</v>
      </c>
      <c r="B931" t="s">
        <v>406</v>
      </c>
      <c r="C931" t="s">
        <v>474</v>
      </c>
      <c r="G931" t="str">
        <f t="shared" si="33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2"/>
        <v>0</v>
      </c>
    </row>
    <row r="932" spans="1:10" x14ac:dyDescent="0.3">
      <c r="A932" s="7" t="s">
        <v>359</v>
      </c>
      <c r="B932" t="s">
        <v>406</v>
      </c>
      <c r="C932" t="s">
        <v>475</v>
      </c>
      <c r="G932" t="str">
        <f t="shared" si="33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ref="J932:J995" si="34">IF(G932=".csv",1,0)*I932</f>
        <v>0</v>
      </c>
    </row>
    <row r="933" spans="1:10" x14ac:dyDescent="0.3">
      <c r="A933" s="7" t="s">
        <v>359</v>
      </c>
      <c r="B933" t="s">
        <v>406</v>
      </c>
      <c r="C933" t="s">
        <v>476</v>
      </c>
      <c r="G933" t="str">
        <f t="shared" si="33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4"/>
        <v>0</v>
      </c>
    </row>
    <row r="934" spans="1:10" x14ac:dyDescent="0.3">
      <c r="A934" s="7" t="s">
        <v>359</v>
      </c>
      <c r="B934" t="s">
        <v>406</v>
      </c>
      <c r="C934" t="s">
        <v>477</v>
      </c>
      <c r="G934" t="str">
        <f t="shared" si="33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4"/>
        <v>0</v>
      </c>
    </row>
    <row r="935" spans="1:10" x14ac:dyDescent="0.3">
      <c r="A935" s="7" t="s">
        <v>359</v>
      </c>
      <c r="B935" t="s">
        <v>406</v>
      </c>
      <c r="C935" t="s">
        <v>478</v>
      </c>
      <c r="G935" t="str">
        <f t="shared" si="33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4"/>
        <v>0</v>
      </c>
    </row>
    <row r="936" spans="1:10" x14ac:dyDescent="0.3">
      <c r="A936" s="7" t="s">
        <v>359</v>
      </c>
      <c r="B936" t="s">
        <v>406</v>
      </c>
      <c r="C936" t="s">
        <v>479</v>
      </c>
      <c r="G936" t="str">
        <f t="shared" si="33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4"/>
        <v>0</v>
      </c>
    </row>
    <row r="937" spans="1:10" x14ac:dyDescent="0.3">
      <c r="A937" s="7" t="s">
        <v>359</v>
      </c>
      <c r="B937" t="s">
        <v>1398</v>
      </c>
      <c r="C937" t="s">
        <v>1399</v>
      </c>
      <c r="G937" t="str">
        <f t="shared" si="33"/>
        <v>xlsx</v>
      </c>
      <c r="H937" s="5" t="str">
        <f>IFERROR(IF(B937="FoPITY",INDEX(Customizations!$C$2:$C$19,MATCH(Sheet1!C937,Customizations!$B$2:$B$19,0),1),INDEX(About!C:C,MATCH(Sheet1!B937,About!B:B,0),1)),"")</f>
        <v>Battery Pack Price.xlsx</v>
      </c>
      <c r="I937" s="5">
        <f>IFERROR(INDEX(About!$D:$D,MATCH(Sheet1!H937,About!$C:$C,0),1),0)</f>
        <v>0</v>
      </c>
      <c r="J937" s="6">
        <f t="shared" si="34"/>
        <v>0</v>
      </c>
    </row>
    <row r="938" spans="1:10" x14ac:dyDescent="0.3">
      <c r="A938" s="7" t="s">
        <v>359</v>
      </c>
      <c r="B938" t="s">
        <v>1398</v>
      </c>
      <c r="C938" t="s">
        <v>1400</v>
      </c>
      <c r="G938" t="str">
        <f t="shared" si="33"/>
        <v>.csv</v>
      </c>
      <c r="H938" s="5" t="str">
        <f>IFERROR(IF(B938="FoPITY",INDEX(Customizations!$C$2:$C$19,MATCH(Sheet1!C938,Customizations!$B$2:$B$19,0),1),INDEX(About!C:C,MATCH(Sheet1!B938,About!B:B,0),1)),"")</f>
        <v>Battery Pack Price.xlsx</v>
      </c>
      <c r="I938" s="5">
        <f>IFERROR(INDEX(About!$D:$D,MATCH(Sheet1!H938,About!$C:$C,0),1),0)</f>
        <v>0</v>
      </c>
      <c r="J938" s="6">
        <f t="shared" si="34"/>
        <v>0</v>
      </c>
    </row>
    <row r="939" spans="1:10" x14ac:dyDescent="0.3">
      <c r="A939" s="7" t="s">
        <v>359</v>
      </c>
      <c r="B939" t="s">
        <v>1398</v>
      </c>
      <c r="C939" t="s">
        <v>1401</v>
      </c>
      <c r="G939" t="str">
        <f t="shared" si="33"/>
        <v>.csv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4"/>
        <v>0</v>
      </c>
    </row>
    <row r="940" spans="1:10" x14ac:dyDescent="0.3">
      <c r="A940" s="7" t="s">
        <v>359</v>
      </c>
      <c r="B940" t="s">
        <v>1402</v>
      </c>
      <c r="C940" t="s">
        <v>1403</v>
      </c>
      <c r="G940" t="str">
        <f t="shared" si="33"/>
        <v>xlsx</v>
      </c>
      <c r="H940" s="5" t="str">
        <f>IFERROR(IF(B940="FoPITY",INDEX(Customizations!$C$2:$C$19,MATCH(Sheet1!C940,Customizations!$B$2:$B$19,0),1),INDEX(About!C:C,MATCH(Sheet1!B940,About!B:B,0),1)),"")</f>
        <v>BAU Rng Anxiety Shadow Costs.xlsx</v>
      </c>
      <c r="I940" s="5">
        <f>IFERROR(INDEX(About!$D:$D,MATCH(Sheet1!H940,About!$C:$C,0),1),0)</f>
        <v>0</v>
      </c>
      <c r="J940" s="6">
        <f t="shared" si="34"/>
        <v>0</v>
      </c>
    </row>
    <row r="941" spans="1:10" x14ac:dyDescent="0.3">
      <c r="A941" s="7" t="s">
        <v>359</v>
      </c>
      <c r="B941" t="s">
        <v>1402</v>
      </c>
      <c r="C941" t="s">
        <v>1404</v>
      </c>
      <c r="G941" t="str">
        <f t="shared" si="33"/>
        <v>.csv</v>
      </c>
      <c r="H941" s="5" t="str">
        <f>IFERROR(IF(B941="FoPITY",INDEX(Customizations!$C$2:$C$19,MATCH(Sheet1!C941,Customizations!$B$2:$B$19,0),1),INDEX(About!C:C,MATCH(Sheet1!B941,About!B:B,0),1)),"")</f>
        <v>BAU Rng Anxiety Shadow Costs.xlsx</v>
      </c>
      <c r="I941" s="5">
        <f>IFERROR(INDEX(About!$D:$D,MATCH(Sheet1!H941,About!$C:$C,0),1),0)</f>
        <v>0</v>
      </c>
      <c r="J941" s="6">
        <f t="shared" si="34"/>
        <v>0</v>
      </c>
    </row>
    <row r="942" spans="1:10" x14ac:dyDescent="0.3">
      <c r="A942" s="7" t="s">
        <v>359</v>
      </c>
      <c r="B942" t="s">
        <v>1405</v>
      </c>
      <c r="C942" t="s">
        <v>1406</v>
      </c>
      <c r="G942" t="str">
        <f t="shared" si="33"/>
        <v>xlsx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4"/>
        <v>0</v>
      </c>
    </row>
    <row r="943" spans="1:10" x14ac:dyDescent="0.3">
      <c r="A943" s="7" t="s">
        <v>359</v>
      </c>
      <c r="B943" t="s">
        <v>1405</v>
      </c>
      <c r="C943" t="s">
        <v>1407</v>
      </c>
      <c r="G943" t="str">
        <f t="shared" si="33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4"/>
        <v>0</v>
      </c>
    </row>
    <row r="944" spans="1:10" x14ac:dyDescent="0.3">
      <c r="A944" s="7" t="s">
        <v>359</v>
      </c>
      <c r="B944" t="s">
        <v>1405</v>
      </c>
      <c r="C944" t="s">
        <v>1408</v>
      </c>
      <c r="G944" t="str">
        <f t="shared" si="33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4"/>
        <v>0</v>
      </c>
    </row>
    <row r="945" spans="1:10" x14ac:dyDescent="0.3">
      <c r="A945" s="7" t="s">
        <v>359</v>
      </c>
      <c r="B945" t="s">
        <v>1405</v>
      </c>
      <c r="C945" t="s">
        <v>1409</v>
      </c>
      <c r="G945" t="str">
        <f t="shared" si="33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4"/>
        <v>0</v>
      </c>
    </row>
    <row r="946" spans="1:10" x14ac:dyDescent="0.3">
      <c r="A946" s="7" t="s">
        <v>359</v>
      </c>
      <c r="B946" t="s">
        <v>1405</v>
      </c>
      <c r="C946" t="s">
        <v>1410</v>
      </c>
      <c r="G946" t="str">
        <f t="shared" si="33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4"/>
        <v>0</v>
      </c>
    </row>
    <row r="947" spans="1:10" x14ac:dyDescent="0.3">
      <c r="A947" s="7" t="s">
        <v>359</v>
      </c>
      <c r="B947" t="s">
        <v>1405</v>
      </c>
      <c r="C947" t="s">
        <v>1411</v>
      </c>
      <c r="G947" t="str">
        <f t="shared" si="33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4"/>
        <v>0</v>
      </c>
    </row>
    <row r="948" spans="1:10" x14ac:dyDescent="0.3">
      <c r="A948" s="7" t="s">
        <v>359</v>
      </c>
      <c r="B948" t="s">
        <v>1405</v>
      </c>
      <c r="C948" t="s">
        <v>1412</v>
      </c>
      <c r="G948" t="str">
        <f t="shared" si="33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4"/>
        <v>0</v>
      </c>
    </row>
    <row r="949" spans="1:10" x14ac:dyDescent="0.3">
      <c r="A949" s="7" t="s">
        <v>359</v>
      </c>
      <c r="B949" t="s">
        <v>1405</v>
      </c>
      <c r="C949" t="s">
        <v>1413</v>
      </c>
      <c r="G949" t="str">
        <f t="shared" si="33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4"/>
        <v>0</v>
      </c>
    </row>
    <row r="950" spans="1:10" x14ac:dyDescent="0.3">
      <c r="A950" s="7" t="s">
        <v>359</v>
      </c>
      <c r="B950" t="s">
        <v>1405</v>
      </c>
      <c r="C950" t="s">
        <v>1414</v>
      </c>
      <c r="G950" t="str">
        <f t="shared" si="33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4"/>
        <v>0</v>
      </c>
    </row>
    <row r="951" spans="1:10" x14ac:dyDescent="0.3">
      <c r="A951" s="7" t="s">
        <v>359</v>
      </c>
      <c r="B951" t="s">
        <v>1405</v>
      </c>
      <c r="C951" t="s">
        <v>1415</v>
      </c>
      <c r="G951" t="str">
        <f t="shared" si="33"/>
        <v>.csv</v>
      </c>
      <c r="H951" s="5" t="str">
        <f>IFERROR(IF(B951="FoPITY",INDEX(Customizations!$C$2:$C$19,MATCH(Sheet1!C951,Customizations!$B$2:$B$19,0),1),INDEX(About!C:C,MATCH(Sheet1!B951,About!B:B,0),1)),"")</f>
        <v>BAU Required ZEV Sales Perc by Subregion.xlsx</v>
      </c>
      <c r="I951" s="5">
        <f>IFERROR(INDEX(About!$D:$D,MATCH(Sheet1!H951,About!$C:$C,0),1),0)</f>
        <v>0</v>
      </c>
      <c r="J951" s="6">
        <f t="shared" si="34"/>
        <v>0</v>
      </c>
    </row>
    <row r="952" spans="1:10" x14ac:dyDescent="0.3">
      <c r="A952" s="7" t="s">
        <v>359</v>
      </c>
      <c r="B952" t="s">
        <v>1405</v>
      </c>
      <c r="C952" t="s">
        <v>1416</v>
      </c>
      <c r="G952" t="str">
        <f t="shared" si="33"/>
        <v>.csv</v>
      </c>
      <c r="H952" s="5" t="str">
        <f>IFERROR(IF(B952="FoPITY",INDEX(Customizations!$C$2:$C$19,MATCH(Sheet1!C952,Customizations!$B$2:$B$19,0),1),INDEX(About!C:C,MATCH(Sheet1!B952,About!B:B,0),1)),"")</f>
        <v>BAU Required ZEV Sales Perc by Subregion.xlsx</v>
      </c>
      <c r="I952" s="5">
        <f>IFERROR(INDEX(About!$D:$D,MATCH(Sheet1!H952,About!$C:$C,0),1),0)</f>
        <v>0</v>
      </c>
      <c r="J952" s="6">
        <f t="shared" si="34"/>
        <v>0</v>
      </c>
    </row>
    <row r="953" spans="1:10" x14ac:dyDescent="0.3">
      <c r="A953" s="7" t="s">
        <v>359</v>
      </c>
      <c r="B953" t="s">
        <v>1405</v>
      </c>
      <c r="C953" t="s">
        <v>1417</v>
      </c>
      <c r="G953" t="str">
        <f t="shared" si="33"/>
        <v>.csv</v>
      </c>
      <c r="H953" s="5" t="str">
        <f>IFERROR(IF(B953="FoPITY",INDEX(Customizations!$C$2:$C$19,MATCH(Sheet1!C953,Customizations!$B$2:$B$19,0),1),INDEX(About!C:C,MATCH(Sheet1!B953,About!B:B,0),1)),"")</f>
        <v>BAU Required ZEV Sales Perc by Subregion.xlsx</v>
      </c>
      <c r="I953" s="5">
        <f>IFERROR(INDEX(About!$D:$D,MATCH(Sheet1!H953,About!$C:$C,0),1),0)</f>
        <v>0</v>
      </c>
      <c r="J953" s="6">
        <f t="shared" si="34"/>
        <v>0</v>
      </c>
    </row>
    <row r="954" spans="1:10" x14ac:dyDescent="0.3">
      <c r="A954" s="7" t="s">
        <v>359</v>
      </c>
      <c r="B954" t="s">
        <v>1405</v>
      </c>
      <c r="C954" t="s">
        <v>1418</v>
      </c>
      <c r="G954" t="str">
        <f t="shared" si="33"/>
        <v>.csv</v>
      </c>
      <c r="H954" s="5" t="str">
        <f>IFERROR(IF(B954="FoPITY",INDEX(Customizations!$C$2:$C$19,MATCH(Sheet1!C954,Customizations!$B$2:$B$19,0),1),INDEX(About!C:C,MATCH(Sheet1!B954,About!B:B,0),1)),"")</f>
        <v>BAU Required ZEV Sales Perc by Subregion.xlsx</v>
      </c>
      <c r="I954" s="5">
        <f>IFERROR(INDEX(About!$D:$D,MATCH(Sheet1!H954,About!$C:$C,0),1),0)</f>
        <v>0</v>
      </c>
      <c r="J954" s="6">
        <f t="shared" si="34"/>
        <v>0</v>
      </c>
    </row>
    <row r="955" spans="1:10" x14ac:dyDescent="0.3">
      <c r="A955" s="7" t="s">
        <v>359</v>
      </c>
      <c r="B955" t="s">
        <v>1419</v>
      </c>
      <c r="C955" t="s">
        <v>1420</v>
      </c>
      <c r="G955" t="str">
        <f t="shared" si="33"/>
        <v>xlsx</v>
      </c>
      <c r="H955" s="5" t="str">
        <f>IFERROR(IF(B955="FoPITY",INDEX(Customizations!$C$2:$C$19,MATCH(Sheet1!C955,Customizations!$B$2:$B$19,0),1),INDEX(About!C:C,MATCH(Sheet1!B955,About!B:B,0),1)),"")</f>
        <v>BAU Subsidy for Vehicle Battery Production.xlsx</v>
      </c>
      <c r="I955" s="5">
        <f>IFERROR(INDEX(About!$D:$D,MATCH(Sheet1!H955,About!$C:$C,0),1),0)</f>
        <v>0</v>
      </c>
      <c r="J955" s="6">
        <f t="shared" si="34"/>
        <v>0</v>
      </c>
    </row>
    <row r="956" spans="1:10" x14ac:dyDescent="0.3">
      <c r="A956" s="7" t="s">
        <v>359</v>
      </c>
      <c r="B956" t="s">
        <v>1419</v>
      </c>
      <c r="C956" t="s">
        <v>1421</v>
      </c>
      <c r="G956" t="str">
        <f t="shared" si="33"/>
        <v>.csv</v>
      </c>
      <c r="H956" s="5" t="str">
        <f>IFERROR(IF(B956="FoPITY",INDEX(Customizations!$C$2:$C$19,MATCH(Sheet1!C956,Customizations!$B$2:$B$19,0),1),INDEX(About!C:C,MATCH(Sheet1!B956,About!B:B,0),1)),"")</f>
        <v>BAU Subsidy for Vehicle Battery Production.xlsx</v>
      </c>
      <c r="I956" s="5">
        <f>IFERROR(INDEX(About!$D:$D,MATCH(Sheet1!H956,About!$C:$C,0),1),0)</f>
        <v>0</v>
      </c>
      <c r="J956" s="6">
        <f t="shared" si="34"/>
        <v>0</v>
      </c>
    </row>
    <row r="957" spans="1:10" x14ac:dyDescent="0.3">
      <c r="A957" s="7" t="s">
        <v>359</v>
      </c>
      <c r="B957" t="s">
        <v>1422</v>
      </c>
      <c r="C957" t="s">
        <v>1423</v>
      </c>
      <c r="G957" t="str">
        <f t="shared" si="33"/>
        <v>xlsx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4"/>
        <v>0</v>
      </c>
    </row>
    <row r="958" spans="1:10" x14ac:dyDescent="0.3">
      <c r="A958" s="7" t="s">
        <v>359</v>
      </c>
      <c r="B958" t="s">
        <v>1422</v>
      </c>
      <c r="C958" t="s">
        <v>1424</v>
      </c>
      <c r="G958" t="str">
        <f t="shared" si="33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4"/>
        <v>0</v>
      </c>
    </row>
    <row r="959" spans="1:10" x14ac:dyDescent="0.3">
      <c r="A959" s="7" t="s">
        <v>359</v>
      </c>
      <c r="B959" t="s">
        <v>1422</v>
      </c>
      <c r="C959" t="s">
        <v>1425</v>
      </c>
      <c r="G959" t="str">
        <f t="shared" si="33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4"/>
        <v>0</v>
      </c>
    </row>
    <row r="960" spans="1:10" x14ac:dyDescent="0.3">
      <c r="A960" s="7" t="s">
        <v>359</v>
      </c>
      <c r="B960" t="s">
        <v>1422</v>
      </c>
      <c r="C960" t="s">
        <v>1426</v>
      </c>
      <c r="G960" t="str">
        <f t="shared" si="33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4"/>
        <v>0</v>
      </c>
    </row>
    <row r="961" spans="1:10" x14ac:dyDescent="0.3">
      <c r="A961" s="7" t="s">
        <v>359</v>
      </c>
      <c r="B961" t="s">
        <v>1422</v>
      </c>
      <c r="C961" t="s">
        <v>1427</v>
      </c>
      <c r="G961" t="str">
        <f t="shared" si="33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4"/>
        <v>0</v>
      </c>
    </row>
    <row r="962" spans="1:10" x14ac:dyDescent="0.3">
      <c r="A962" s="7" t="s">
        <v>359</v>
      </c>
      <c r="B962" t="s">
        <v>1422</v>
      </c>
      <c r="C962" t="s">
        <v>1428</v>
      </c>
      <c r="G962" t="str">
        <f t="shared" si="33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4"/>
        <v>0</v>
      </c>
    </row>
    <row r="963" spans="1:10" x14ac:dyDescent="0.3">
      <c r="A963" s="7" t="s">
        <v>359</v>
      </c>
      <c r="B963" t="s">
        <v>1422</v>
      </c>
      <c r="C963" t="s">
        <v>1429</v>
      </c>
      <c r="G963" t="str">
        <f t="shared" si="33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4"/>
        <v>0</v>
      </c>
    </row>
    <row r="964" spans="1:10" x14ac:dyDescent="0.3">
      <c r="A964" s="7" t="s">
        <v>359</v>
      </c>
      <c r="B964" t="s">
        <v>1422</v>
      </c>
      <c r="C964" t="s">
        <v>1430</v>
      </c>
      <c r="G964" t="str">
        <f t="shared" si="33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4"/>
        <v>0</v>
      </c>
    </row>
    <row r="965" spans="1:10" x14ac:dyDescent="0.3">
      <c r="A965" s="7" t="s">
        <v>359</v>
      </c>
      <c r="B965" t="s">
        <v>1422</v>
      </c>
      <c r="C965" t="s">
        <v>1431</v>
      </c>
      <c r="G965" t="str">
        <f t="shared" si="33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4"/>
        <v>0</v>
      </c>
    </row>
    <row r="966" spans="1:10" x14ac:dyDescent="0.3">
      <c r="A966" s="7" t="s">
        <v>359</v>
      </c>
      <c r="B966" t="s">
        <v>1422</v>
      </c>
      <c r="C966" t="s">
        <v>1432</v>
      </c>
      <c r="G966" t="str">
        <f t="shared" si="33"/>
        <v>.csv</v>
      </c>
      <c r="H966" s="5" t="str">
        <f>IFERROR(IF(B966="FoPITY",INDEX(Customizations!$C$2:$C$19,MATCH(Sheet1!C966,Customizations!$B$2:$B$19,0),1),INDEX(About!C:C,MATCH(Sheet1!B966,About!B:B,0),1)),"")</f>
        <v>BAU Vehicle Subsidy.xlsx</v>
      </c>
      <c r="I966" s="5">
        <f>IFERROR(INDEX(About!$D:$D,MATCH(Sheet1!H966,About!$C:$C,0),1),0)</f>
        <v>0</v>
      </c>
      <c r="J966" s="6">
        <f t="shared" si="34"/>
        <v>0</v>
      </c>
    </row>
    <row r="967" spans="1:10" x14ac:dyDescent="0.3">
      <c r="A967" s="7" t="s">
        <v>359</v>
      </c>
      <c r="B967" t="s">
        <v>1422</v>
      </c>
      <c r="C967" t="s">
        <v>1517</v>
      </c>
      <c r="G967" t="str">
        <f t="shared" si="33"/>
        <v>.CSV</v>
      </c>
      <c r="H967" s="5" t="str">
        <f>IFERROR(IF(B967="FoPITY",INDEX(Customizations!$C$2:$C$19,MATCH(Sheet1!C967,Customizations!$B$2:$B$19,0),1),INDEX(About!C:C,MATCH(Sheet1!B967,About!B:B,0),1)),"")</f>
        <v>BAU Vehicle Subsidy.xlsx</v>
      </c>
      <c r="I967" s="5">
        <f>IFERROR(INDEX(About!$D:$D,MATCH(Sheet1!H967,About!$C:$C,0),1),0)</f>
        <v>0</v>
      </c>
      <c r="J967" s="6">
        <f t="shared" si="34"/>
        <v>0</v>
      </c>
    </row>
    <row r="968" spans="1:10" x14ac:dyDescent="0.3">
      <c r="A968" s="7" t="s">
        <v>359</v>
      </c>
      <c r="B968" t="s">
        <v>1422</v>
      </c>
      <c r="C968" t="s">
        <v>1433</v>
      </c>
      <c r="G968" t="str">
        <f t="shared" si="33"/>
        <v>.csv</v>
      </c>
      <c r="H968" s="5" t="str">
        <f>IFERROR(IF(B968="FoPITY",INDEX(Customizations!$C$2:$C$19,MATCH(Sheet1!C968,Customizations!$B$2:$B$19,0),1),INDEX(About!C:C,MATCH(Sheet1!B968,About!B:B,0),1)),"")</f>
        <v>BAU Vehicle Subsidy.xlsx</v>
      </c>
      <c r="I968" s="5">
        <f>IFERROR(INDEX(About!$D:$D,MATCH(Sheet1!H968,About!$C:$C,0),1),0)</f>
        <v>0</v>
      </c>
      <c r="J968" s="6">
        <f t="shared" si="34"/>
        <v>0</v>
      </c>
    </row>
    <row r="969" spans="1:10" x14ac:dyDescent="0.3">
      <c r="A969" s="7" t="s">
        <v>359</v>
      </c>
      <c r="B969" t="s">
        <v>1422</v>
      </c>
      <c r="C969" t="s">
        <v>1434</v>
      </c>
      <c r="G969" t="str">
        <f t="shared" si="33"/>
        <v>.csv</v>
      </c>
      <c r="H969" s="5" t="str">
        <f>IFERROR(IF(B969="FoPITY",INDEX(Customizations!$C$2:$C$19,MATCH(Sheet1!C969,Customizations!$B$2:$B$19,0),1),INDEX(About!C:C,MATCH(Sheet1!B969,About!B:B,0),1)),"")</f>
        <v>BAU Vehicle Subsidy.xlsx</v>
      </c>
      <c r="I969" s="5">
        <f>IFERROR(INDEX(About!$D:$D,MATCH(Sheet1!H969,About!$C:$C,0),1),0)</f>
        <v>0</v>
      </c>
      <c r="J969" s="6">
        <f t="shared" si="34"/>
        <v>0</v>
      </c>
    </row>
    <row r="970" spans="1:10" x14ac:dyDescent="0.3">
      <c r="A970" s="7" t="s">
        <v>359</v>
      </c>
      <c r="B970" t="s">
        <v>1435</v>
      </c>
      <c r="C970" t="s">
        <v>1436</v>
      </c>
      <c r="G970" t="str">
        <f t="shared" si="33"/>
        <v>xlsx</v>
      </c>
      <c r="H970" s="5" t="str">
        <f>IFERROR(IF(B970="FoPITY",INDEX(Customizations!$C$2:$C$19,MATCH(Sheet1!C970,Customizations!$B$2:$B$19,0),1),INDEX(About!C:C,MATCH(Sheet1!B970,About!B:B,0),1)),"")</f>
        <v>BAU Veh Techs Qualifying as ZEVs.xlsx</v>
      </c>
      <c r="I970" s="5">
        <f>IFERROR(INDEX(About!$D:$D,MATCH(Sheet1!H970,About!$C:$C,0),1),0)</f>
        <v>0</v>
      </c>
      <c r="J970" s="6">
        <f t="shared" si="34"/>
        <v>0</v>
      </c>
    </row>
    <row r="971" spans="1:10" x14ac:dyDescent="0.3">
      <c r="A971" s="7" t="s">
        <v>359</v>
      </c>
      <c r="B971" t="s">
        <v>1435</v>
      </c>
      <c r="C971" t="s">
        <v>1437</v>
      </c>
      <c r="G971" t="str">
        <f t="shared" si="33"/>
        <v>.csv</v>
      </c>
      <c r="H971" s="5" t="str">
        <f>IFERROR(IF(B971="FoPITY",INDEX(Customizations!$C$2:$C$19,MATCH(Sheet1!C971,Customizations!$B$2:$B$19,0),1),INDEX(About!C:C,MATCH(Sheet1!B971,About!B:B,0),1)),"")</f>
        <v>BAU Veh Techs Qualifying as ZEVs.xlsx</v>
      </c>
      <c r="I971" s="5">
        <f>IFERROR(INDEX(About!$D:$D,MATCH(Sheet1!H971,About!$C:$C,0),1),0)</f>
        <v>0</v>
      </c>
      <c r="J971" s="6">
        <f t="shared" si="34"/>
        <v>0</v>
      </c>
    </row>
    <row r="972" spans="1:10" x14ac:dyDescent="0.3">
      <c r="A972" s="7" t="s">
        <v>359</v>
      </c>
      <c r="B972" t="s">
        <v>1435</v>
      </c>
      <c r="C972" t="s">
        <v>1438</v>
      </c>
      <c r="G972" t="str">
        <f t="shared" si="33"/>
        <v>.csv</v>
      </c>
      <c r="H972" s="5" t="str">
        <f>IFERROR(IF(B972="FoPITY",INDEX(Customizations!$C$2:$C$19,MATCH(Sheet1!C972,Customizations!$B$2:$B$19,0),1),INDEX(About!C:C,MATCH(Sheet1!B972,About!B:B,0),1)),"")</f>
        <v>BAU Veh Techs Qualifying as ZEVs.xlsx</v>
      </c>
      <c r="I972" s="5">
        <f>IFERROR(INDEX(About!$D:$D,MATCH(Sheet1!H972,About!$C:$C,0),1),0)</f>
        <v>0</v>
      </c>
      <c r="J972" s="6">
        <f t="shared" si="34"/>
        <v>0</v>
      </c>
    </row>
    <row r="973" spans="1:10" x14ac:dyDescent="0.3">
      <c r="A973" s="7" t="s">
        <v>359</v>
      </c>
      <c r="B973" t="s">
        <v>1435</v>
      </c>
      <c r="C973" t="s">
        <v>1439</v>
      </c>
      <c r="G973" t="str">
        <f t="shared" si="33"/>
        <v>.csv</v>
      </c>
      <c r="H973" s="5" t="str">
        <f>IFERROR(IF(B973="FoPITY",INDEX(Customizations!$C$2:$C$19,MATCH(Sheet1!C973,Customizations!$B$2:$B$19,0),1),INDEX(About!C:C,MATCH(Sheet1!B973,About!B:B,0),1)),"")</f>
        <v>BAU Veh Techs Qualifying as ZEVs.xlsx</v>
      </c>
      <c r="I973" s="5">
        <f>IFERROR(INDEX(About!$D:$D,MATCH(Sheet1!H973,About!$C:$C,0),1),0)</f>
        <v>0</v>
      </c>
      <c r="J973" s="6">
        <f t="shared" si="34"/>
        <v>0</v>
      </c>
    </row>
    <row r="974" spans="1:10" x14ac:dyDescent="0.3">
      <c r="A974" s="7" t="s">
        <v>359</v>
      </c>
      <c r="B974" t="s">
        <v>1435</v>
      </c>
      <c r="C974" t="s">
        <v>1440</v>
      </c>
      <c r="G974" t="str">
        <f t="shared" si="33"/>
        <v>.csv</v>
      </c>
      <c r="H974" s="5" t="str">
        <f>IFERROR(IF(B974="FoPITY",INDEX(Customizations!$C$2:$C$19,MATCH(Sheet1!C974,Customizations!$B$2:$B$19,0),1),INDEX(About!C:C,MATCH(Sheet1!B974,About!B:B,0),1)),"")</f>
        <v>BAU Veh Techs Qualifying as ZEVs.xlsx</v>
      </c>
      <c r="I974" s="5">
        <f>IFERROR(INDEX(About!$D:$D,MATCH(Sheet1!H974,About!$C:$C,0),1),0)</f>
        <v>0</v>
      </c>
      <c r="J974" s="6">
        <f t="shared" si="34"/>
        <v>0</v>
      </c>
    </row>
    <row r="975" spans="1:10" x14ac:dyDescent="0.3">
      <c r="A975" s="7" t="s">
        <v>359</v>
      </c>
      <c r="B975" t="s">
        <v>1435</v>
      </c>
      <c r="C975" t="s">
        <v>1441</v>
      </c>
      <c r="G975" t="str">
        <f t="shared" si="33"/>
        <v>.csv</v>
      </c>
      <c r="H975" s="5" t="str">
        <f>IFERROR(IF(B975="FoPITY",INDEX(Customizations!$C$2:$C$19,MATCH(Sheet1!C975,Customizations!$B$2:$B$19,0),1),INDEX(About!C:C,MATCH(Sheet1!B975,About!B:B,0),1)),"")</f>
        <v>BAU Veh Techs Qualifying as ZEVs.xlsx</v>
      </c>
      <c r="I975" s="5">
        <f>IFERROR(INDEX(About!$D:$D,MATCH(Sheet1!H975,About!$C:$C,0),1),0)</f>
        <v>0</v>
      </c>
      <c r="J975" s="6">
        <f t="shared" si="34"/>
        <v>0</v>
      </c>
    </row>
    <row r="976" spans="1:10" x14ac:dyDescent="0.3">
      <c r="A976" s="7" t="s">
        <v>359</v>
      </c>
      <c r="B976" t="s">
        <v>1435</v>
      </c>
      <c r="C976" t="s">
        <v>1442</v>
      </c>
      <c r="G976" t="str">
        <f t="shared" si="33"/>
        <v>.csv</v>
      </c>
      <c r="H976" s="5" t="str">
        <f>IFERROR(IF(B976="FoPITY",INDEX(Customizations!$C$2:$C$19,MATCH(Sheet1!C976,Customizations!$B$2:$B$19,0),1),INDEX(About!C:C,MATCH(Sheet1!B976,About!B:B,0),1)),"")</f>
        <v>BAU Veh Techs Qualifying as ZEVs.xlsx</v>
      </c>
      <c r="I976" s="5">
        <f>IFERROR(INDEX(About!$D:$D,MATCH(Sheet1!H976,About!$C:$C,0),1),0)</f>
        <v>0</v>
      </c>
      <c r="J976" s="6">
        <f t="shared" si="34"/>
        <v>0</v>
      </c>
    </row>
    <row r="977" spans="1:10" x14ac:dyDescent="0.3">
      <c r="A977" s="7" t="s">
        <v>359</v>
      </c>
      <c r="B977" t="s">
        <v>480</v>
      </c>
      <c r="C977" t="s">
        <v>481</v>
      </c>
      <c r="G977" t="str">
        <f t="shared" si="33"/>
        <v>xlsx</v>
      </c>
      <c r="H977" s="5" t="str">
        <f>IFERROR(IF(B977="FoPITY",INDEX(Customizations!$C$2:$C$19,MATCH(Sheet1!C977,Customizations!$B$2:$B$19,0),1),INDEX(About!C:C,MATCH(Sheet1!B977,About!B:B,0),1)),"")</f>
        <v>Boolean Veh Types Subject to LCFS.xlsx</v>
      </c>
      <c r="I977" s="5">
        <f>IFERROR(INDEX(About!$D:$D,MATCH(Sheet1!H977,About!$C:$C,0),1),0)</f>
        <v>0</v>
      </c>
      <c r="J977" s="6">
        <f t="shared" si="34"/>
        <v>0</v>
      </c>
    </row>
    <row r="978" spans="1:10" x14ac:dyDescent="0.3">
      <c r="A978" s="7" t="s">
        <v>359</v>
      </c>
      <c r="B978" t="s">
        <v>480</v>
      </c>
      <c r="C978" t="s">
        <v>482</v>
      </c>
      <c r="G978" t="str">
        <f t="shared" si="33"/>
        <v>.csv</v>
      </c>
      <c r="H978" s="5" t="str">
        <f>IFERROR(IF(B978="FoPITY",INDEX(Customizations!$C$2:$C$19,MATCH(Sheet1!C978,Customizations!$B$2:$B$19,0),1),INDEX(About!C:C,MATCH(Sheet1!B978,About!B:B,0),1)),"")</f>
        <v>Boolean Veh Types Subject to LCFS.xlsx</v>
      </c>
      <c r="I978" s="5">
        <f>IFERROR(INDEX(About!$D:$D,MATCH(Sheet1!H978,About!$C:$C,0),1),0)</f>
        <v>0</v>
      </c>
      <c r="J978" s="6">
        <f t="shared" si="34"/>
        <v>0</v>
      </c>
    </row>
    <row r="979" spans="1:10" x14ac:dyDescent="0.3">
      <c r="A979" s="7" t="s">
        <v>359</v>
      </c>
      <c r="B979" t="s">
        <v>483</v>
      </c>
      <c r="C979" t="s">
        <v>484</v>
      </c>
      <c r="G979" t="str">
        <f t="shared" si="33"/>
        <v>xlsx</v>
      </c>
      <c r="H979" s="5" t="str">
        <f>IFERROR(IF(B979="FoPITY",INDEX(Customizations!$C$2:$C$19,MATCH(Sheet1!C979,Customizations!$B$2:$B$19,0),1),INDEX(About!C:C,MATCH(Sheet1!B979,About!B:B,0),1)),"")</f>
        <v>Carbon Intensity Ratios by Transport Fuel.xlsx</v>
      </c>
      <c r="I979" s="5">
        <f>IFERROR(INDEX(About!$D:$D,MATCH(Sheet1!H979,About!$C:$C,0),1),0)</f>
        <v>0</v>
      </c>
      <c r="J979" s="6">
        <f t="shared" si="34"/>
        <v>0</v>
      </c>
    </row>
    <row r="980" spans="1:10" x14ac:dyDescent="0.3">
      <c r="A980" s="7" t="s">
        <v>359</v>
      </c>
      <c r="B980" t="s">
        <v>483</v>
      </c>
      <c r="C980" t="s">
        <v>485</v>
      </c>
      <c r="G980" t="str">
        <f t="shared" si="33"/>
        <v>.csv</v>
      </c>
      <c r="H980" s="5" t="str">
        <f>IFERROR(IF(B980="FoPITY",INDEX(Customizations!$C$2:$C$19,MATCH(Sheet1!C980,Customizations!$B$2:$B$19,0),1),INDEX(About!C:C,MATCH(Sheet1!B980,About!B:B,0),1)),"")</f>
        <v>Carbon Intensity Ratios by Transport Fuel.xlsx</v>
      </c>
      <c r="I980" s="5">
        <f>IFERROR(INDEX(About!$D:$D,MATCH(Sheet1!H980,About!$C:$C,0),1),0)</f>
        <v>0</v>
      </c>
      <c r="J980" s="6">
        <f t="shared" si="34"/>
        <v>0</v>
      </c>
    </row>
    <row r="981" spans="1:10" x14ac:dyDescent="0.3">
      <c r="A981" s="7" t="s">
        <v>359</v>
      </c>
      <c r="B981" t="s">
        <v>486</v>
      </c>
      <c r="C981" t="s">
        <v>487</v>
      </c>
      <c r="G981" t="str">
        <f t="shared" si="33"/>
        <v>xlsx</v>
      </c>
      <c r="H981" s="5" t="str">
        <f>IFERROR(IF(B981="FoPITY",INDEX(Customizations!$C$2:$C$19,MATCH(Sheet1!C981,Customizations!$B$2:$B$19,0),1),INDEX(About!C:C,MATCH(Sheet1!B981,About!B:B,0),1)),"")</f>
        <v>Elast of Demand for Veh Use wrt Fuel Cost.xlsx</v>
      </c>
      <c r="I981" s="5">
        <f>IFERROR(INDEX(About!$D:$D,MATCH(Sheet1!H981,About!$C:$C,0),1),0)</f>
        <v>0</v>
      </c>
      <c r="J981" s="6">
        <f t="shared" si="34"/>
        <v>0</v>
      </c>
    </row>
    <row r="982" spans="1:10" x14ac:dyDescent="0.3">
      <c r="A982" s="7" t="s">
        <v>359</v>
      </c>
      <c r="B982" t="s">
        <v>486</v>
      </c>
      <c r="C982" t="s">
        <v>488</v>
      </c>
      <c r="G982" t="str">
        <f t="shared" si="33"/>
        <v>.csv</v>
      </c>
      <c r="H982" s="5" t="str">
        <f>IFERROR(IF(B982="FoPITY",INDEX(Customizations!$C$2:$C$19,MATCH(Sheet1!C982,Customizations!$B$2:$B$19,0),1),INDEX(About!C:C,MATCH(Sheet1!B982,About!B:B,0),1)),"")</f>
        <v>Elast of Demand for Veh Use wrt Fuel Cost.xlsx</v>
      </c>
      <c r="I982" s="5">
        <f>IFERROR(INDEX(About!$D:$D,MATCH(Sheet1!H982,About!$C:$C,0),1),0)</f>
        <v>0</v>
      </c>
      <c r="J982" s="6">
        <f t="shared" si="34"/>
        <v>0</v>
      </c>
    </row>
    <row r="983" spans="1:10" x14ac:dyDescent="0.3">
      <c r="A983" s="7" t="s">
        <v>359</v>
      </c>
      <c r="B983" t="s">
        <v>489</v>
      </c>
      <c r="C983" t="s">
        <v>490</v>
      </c>
      <c r="G983" t="str">
        <f t="shared" si="33"/>
        <v>xlsx</v>
      </c>
      <c r="H983" s="5" t="str">
        <f>IFERROR(IF(B983="FoPITY",INDEX(Customizations!$C$2:$C$19,MATCH(Sheet1!C983,Customizations!$B$2:$B$19,0),1),INDEX(About!C:C,MATCH(Sheet1!B983,About!B:B,0),1)),"")</f>
        <v>Effect of Feebate on New Veh Fuel Econ.xlsx</v>
      </c>
      <c r="I983" s="5">
        <f>IFERROR(INDEX(About!$D:$D,MATCH(Sheet1!H983,About!$C:$C,0),1),0)</f>
        <v>0</v>
      </c>
      <c r="J983" s="6">
        <f t="shared" si="34"/>
        <v>0</v>
      </c>
    </row>
    <row r="984" spans="1:10" x14ac:dyDescent="0.3">
      <c r="A984" s="7" t="s">
        <v>359</v>
      </c>
      <c r="B984" t="s">
        <v>489</v>
      </c>
      <c r="C984" t="s">
        <v>491</v>
      </c>
      <c r="G984" t="str">
        <f t="shared" si="33"/>
        <v>.csv</v>
      </c>
      <c r="H984" s="5" t="str">
        <f>IFERROR(IF(B984="FoPITY",INDEX(Customizations!$C$2:$C$19,MATCH(Sheet1!C984,Customizations!$B$2:$B$19,0),1),INDEX(About!C:C,MATCH(Sheet1!B984,About!B:B,0),1)),"")</f>
        <v>Effect of Feebate on New Veh Fuel Econ.xlsx</v>
      </c>
      <c r="I984" s="5">
        <f>IFERROR(INDEX(About!$D:$D,MATCH(Sheet1!H984,About!$C:$C,0),1),0)</f>
        <v>0</v>
      </c>
      <c r="J984" s="6">
        <f t="shared" si="34"/>
        <v>0</v>
      </c>
    </row>
    <row r="985" spans="1:10" x14ac:dyDescent="0.3">
      <c r="A985" s="7" t="s">
        <v>359</v>
      </c>
      <c r="B985" t="s">
        <v>492</v>
      </c>
      <c r="C985" t="s">
        <v>493</v>
      </c>
      <c r="G985" t="str">
        <f t="shared" si="33"/>
        <v>xlsx</v>
      </c>
      <c r="H985" s="5" t="str">
        <f>IFERROR(IF(B985="FoPITY",INDEX(Customizations!$C$2:$C$19,MATCH(Sheet1!C985,Customizations!$B$2:$B$19,0),1),INDEX(About!C:C,MATCH(Sheet1!B985,About!B:B,0),1)),"")</f>
        <v>Elast of New Veh Fuel Econ wrt Fuel Cost.xlsx</v>
      </c>
      <c r="I985" s="5">
        <f>IFERROR(INDEX(About!$D:$D,MATCH(Sheet1!H985,About!$C:$C,0),1),0)</f>
        <v>0</v>
      </c>
      <c r="J985" s="6">
        <f t="shared" si="34"/>
        <v>0</v>
      </c>
    </row>
    <row r="986" spans="1:10" x14ac:dyDescent="0.3">
      <c r="A986" s="7" t="s">
        <v>359</v>
      </c>
      <c r="B986" t="s">
        <v>492</v>
      </c>
      <c r="C986" t="s">
        <v>494</v>
      </c>
      <c r="G986" t="str">
        <f t="shared" si="33"/>
        <v>.csv</v>
      </c>
      <c r="H986" s="5" t="str">
        <f>IFERROR(IF(B986="FoPITY",INDEX(Customizations!$C$2:$C$19,MATCH(Sheet1!C986,Customizations!$B$2:$B$19,0),1),INDEX(About!C:C,MATCH(Sheet1!B986,About!B:B,0),1)),"")</f>
        <v>Elast of New Veh Fuel Econ wrt Fuel Cost.xlsx</v>
      </c>
      <c r="I986" s="5">
        <f>IFERROR(INDEX(About!$D:$D,MATCH(Sheet1!H986,About!$C:$C,0),1),0)</f>
        <v>0</v>
      </c>
      <c r="J986" s="6">
        <f t="shared" si="34"/>
        <v>0</v>
      </c>
    </row>
    <row r="987" spans="1:10" x14ac:dyDescent="0.3">
      <c r="A987" s="7" t="s">
        <v>359</v>
      </c>
      <c r="B987" t="s">
        <v>492</v>
      </c>
      <c r="C987" t="s">
        <v>495</v>
      </c>
      <c r="G987" t="str">
        <f t="shared" si="33"/>
        <v>.csv</v>
      </c>
      <c r="H987" s="5" t="str">
        <f>IFERROR(IF(B987="FoPITY",INDEX(Customizations!$C$2:$C$19,MATCH(Sheet1!C987,Customizations!$B$2:$B$19,0),1),INDEX(About!C:C,MATCH(Sheet1!B987,About!B:B,0),1)),"")</f>
        <v>Elast of New Veh Fuel Econ wrt Fuel Cost.xlsx</v>
      </c>
      <c r="I987" s="5">
        <f>IFERROR(INDEX(About!$D:$D,MATCH(Sheet1!H987,About!$C:$C,0),1),0)</f>
        <v>0</v>
      </c>
      <c r="J987" s="6">
        <f t="shared" si="34"/>
        <v>0</v>
      </c>
    </row>
    <row r="988" spans="1:10" x14ac:dyDescent="0.3">
      <c r="A988" s="7" t="s">
        <v>359</v>
      </c>
      <c r="B988" t="s">
        <v>492</v>
      </c>
      <c r="C988" t="s">
        <v>496</v>
      </c>
      <c r="G988" t="str">
        <f t="shared" si="33"/>
        <v>.csv</v>
      </c>
      <c r="H988" s="5" t="str">
        <f>IFERROR(IF(B988="FoPITY",INDEX(Customizations!$C$2:$C$19,MATCH(Sheet1!C988,Customizations!$B$2:$B$19,0),1),INDEX(About!C:C,MATCH(Sheet1!B988,About!B:B,0),1)),"")</f>
        <v>Elast of New Veh Fuel Econ wrt Fuel Cost.xlsx</v>
      </c>
      <c r="I988" s="5">
        <f>IFERROR(INDEX(About!$D:$D,MATCH(Sheet1!H988,About!$C:$C,0),1),0)</f>
        <v>0</v>
      </c>
      <c r="J988" s="6">
        <f t="shared" si="34"/>
        <v>0</v>
      </c>
    </row>
    <row r="989" spans="1:10" x14ac:dyDescent="0.3">
      <c r="A989" s="7" t="s">
        <v>359</v>
      </c>
      <c r="B989" t="s">
        <v>492</v>
      </c>
      <c r="C989" t="s">
        <v>497</v>
      </c>
      <c r="G989" t="str">
        <f t="shared" si="33"/>
        <v>.csv</v>
      </c>
      <c r="H989" s="5" t="str">
        <f>IFERROR(IF(B989="FoPITY",INDEX(Customizations!$C$2:$C$19,MATCH(Sheet1!C989,Customizations!$B$2:$B$19,0),1),INDEX(About!C:C,MATCH(Sheet1!B989,About!B:B,0),1)),"")</f>
        <v>Elast of New Veh Fuel Econ wrt Fuel Cost.xlsx</v>
      </c>
      <c r="I989" s="5">
        <f>IFERROR(INDEX(About!$D:$D,MATCH(Sheet1!H989,About!$C:$C,0),1),0)</f>
        <v>0</v>
      </c>
      <c r="J989" s="6">
        <f t="shared" si="34"/>
        <v>0</v>
      </c>
    </row>
    <row r="990" spans="1:10" x14ac:dyDescent="0.3">
      <c r="A990" s="7" t="s">
        <v>359</v>
      </c>
      <c r="B990" t="s">
        <v>492</v>
      </c>
      <c r="C990" t="s">
        <v>498</v>
      </c>
      <c r="G990" t="str">
        <f t="shared" si="33"/>
        <v>.csv</v>
      </c>
      <c r="H990" s="5" t="str">
        <f>IFERROR(IF(B990="FoPITY",INDEX(Customizations!$C$2:$C$19,MATCH(Sheet1!C990,Customizations!$B$2:$B$19,0),1),INDEX(About!C:C,MATCH(Sheet1!B990,About!B:B,0),1)),"")</f>
        <v>Elast of New Veh Fuel Econ wrt Fuel Cost.xlsx</v>
      </c>
      <c r="I990" s="5">
        <f>IFERROR(INDEX(About!$D:$D,MATCH(Sheet1!H990,About!$C:$C,0),1),0)</f>
        <v>0</v>
      </c>
      <c r="J990" s="6">
        <f t="shared" si="34"/>
        <v>0</v>
      </c>
    </row>
    <row r="991" spans="1:10" x14ac:dyDescent="0.3">
      <c r="A991" s="7" t="s">
        <v>359</v>
      </c>
      <c r="B991" t="s">
        <v>492</v>
      </c>
      <c r="C991" t="s">
        <v>499</v>
      </c>
      <c r="G991" t="str">
        <f t="shared" si="33"/>
        <v>.csv</v>
      </c>
      <c r="H991" s="5" t="str">
        <f>IFERROR(IF(B991="FoPITY",INDEX(Customizations!$C$2:$C$19,MATCH(Sheet1!C991,Customizations!$B$2:$B$19,0),1),INDEX(About!C:C,MATCH(Sheet1!B991,About!B:B,0),1)),"")</f>
        <v>Elast of New Veh Fuel Econ wrt Fuel Cost.xlsx</v>
      </c>
      <c r="I991" s="5">
        <f>IFERROR(INDEX(About!$D:$D,MATCH(Sheet1!H991,About!$C:$C,0),1),0)</f>
        <v>0</v>
      </c>
      <c r="J991" s="6">
        <f t="shared" si="34"/>
        <v>0</v>
      </c>
    </row>
    <row r="992" spans="1:10" x14ac:dyDescent="0.3">
      <c r="A992" s="7" t="s">
        <v>359</v>
      </c>
      <c r="B992" t="s">
        <v>500</v>
      </c>
      <c r="C992" t="s">
        <v>501</v>
      </c>
      <c r="G992" t="str">
        <f t="shared" si="33"/>
        <v>xlsx</v>
      </c>
      <c r="H992" s="5" t="str">
        <f>IFERROR(IF(B992="FoPITY",INDEX(Customizations!$C$2:$C$19,MATCH(Sheet1!C992,Customizations!$B$2:$B$19,0),1),INDEX(About!C:C,MATCH(Sheet1!B992,About!B:B,0),1)),"")</f>
        <v>Elasticity of Veh Price wrt Fuel Econ.xlsx</v>
      </c>
      <c r="I992" s="5">
        <f>IFERROR(INDEX(About!$D:$D,MATCH(Sheet1!H992,About!$C:$C,0),1),0)</f>
        <v>0</v>
      </c>
      <c r="J992" s="6">
        <f t="shared" si="34"/>
        <v>0</v>
      </c>
    </row>
    <row r="993" spans="1:10" x14ac:dyDescent="0.3">
      <c r="A993" s="7" t="s">
        <v>359</v>
      </c>
      <c r="B993" t="s">
        <v>500</v>
      </c>
      <c r="C993" t="s">
        <v>502</v>
      </c>
      <c r="G993" t="str">
        <f t="shared" ref="G993:G1056" si="35">RIGHT(C993,"4")</f>
        <v>.csv</v>
      </c>
      <c r="H993" s="5" t="str">
        <f>IFERROR(IF(B993="FoPITY",INDEX(Customizations!$C$2:$C$19,MATCH(Sheet1!C993,Customizations!$B$2:$B$19,0),1),INDEX(About!C:C,MATCH(Sheet1!B993,About!B:B,0),1)),"")</f>
        <v>Elasticity of Veh Price wrt Fuel Econ.xlsx</v>
      </c>
      <c r="I993" s="5">
        <f>IFERROR(INDEX(About!$D:$D,MATCH(Sheet1!H993,About!$C:$C,0),1),0)</f>
        <v>0</v>
      </c>
      <c r="J993" s="6">
        <f t="shared" si="34"/>
        <v>0</v>
      </c>
    </row>
    <row r="994" spans="1:10" x14ac:dyDescent="0.3">
      <c r="A994" s="7" t="s">
        <v>359</v>
      </c>
      <c r="B994" t="s">
        <v>1443</v>
      </c>
      <c r="C994" t="s">
        <v>1444</v>
      </c>
      <c r="G994" t="str">
        <f t="shared" si="35"/>
        <v>xlsx</v>
      </c>
      <c r="H994" s="5" t="str">
        <f>IFERROR(IF(B994="FoPITY",INDEX(Customizations!$C$2:$C$19,MATCH(Sheet1!C994,Customizations!$B$2:$B$19,0),1),INDEX(About!C:C,MATCH(Sheet1!B994,About!B:B,0),1)),"")</f>
        <v>EV Charging Availability Parameters.xlsx</v>
      </c>
      <c r="I994" s="5">
        <f>IFERROR(INDEX(About!$D:$D,MATCH(Sheet1!H994,About!$C:$C,0),1),0)</f>
        <v>0</v>
      </c>
      <c r="J994" s="6">
        <f t="shared" si="34"/>
        <v>0</v>
      </c>
    </row>
    <row r="995" spans="1:10" x14ac:dyDescent="0.3">
      <c r="A995" s="7" t="s">
        <v>359</v>
      </c>
      <c r="B995" t="s">
        <v>1443</v>
      </c>
      <c r="C995" t="s">
        <v>1445</v>
      </c>
      <c r="G995" t="str">
        <f t="shared" si="35"/>
        <v>.csv</v>
      </c>
      <c r="H995" s="5" t="str">
        <f>IFERROR(IF(B995="FoPITY",INDEX(Customizations!$C$2:$C$19,MATCH(Sheet1!C995,Customizations!$B$2:$B$19,0),1),INDEX(About!C:C,MATCH(Sheet1!B995,About!B:B,0),1)),"")</f>
        <v>EV Charging Availability Parameters.xlsx</v>
      </c>
      <c r="I995" s="5">
        <f>IFERROR(INDEX(About!$D:$D,MATCH(Sheet1!H995,About!$C:$C,0),1),0)</f>
        <v>0</v>
      </c>
      <c r="J995" s="6">
        <f t="shared" si="34"/>
        <v>0</v>
      </c>
    </row>
    <row r="996" spans="1:10" x14ac:dyDescent="0.3">
      <c r="A996" s="7" t="s">
        <v>359</v>
      </c>
      <c r="B996" t="s">
        <v>1443</v>
      </c>
      <c r="C996" t="s">
        <v>1446</v>
      </c>
      <c r="G996" t="str">
        <f t="shared" si="35"/>
        <v>.csv</v>
      </c>
      <c r="H996" s="5" t="str">
        <f>IFERROR(IF(B996="FoPITY",INDEX(Customizations!$C$2:$C$19,MATCH(Sheet1!C996,Customizations!$B$2:$B$19,0),1),INDEX(About!C:C,MATCH(Sheet1!B996,About!B:B,0),1)),"")</f>
        <v>EV Charging Availability Parameters.xlsx</v>
      </c>
      <c r="I996" s="5">
        <f>IFERROR(INDEX(About!$D:$D,MATCH(Sheet1!H996,About!$C:$C,0),1),0)</f>
        <v>0</v>
      </c>
      <c r="J996" s="6">
        <f t="shared" ref="J996:J1059" si="36">IF(G996=".csv",1,0)*I996</f>
        <v>0</v>
      </c>
    </row>
    <row r="997" spans="1:10" x14ac:dyDescent="0.3">
      <c r="A997" s="7" t="s">
        <v>359</v>
      </c>
      <c r="B997" t="s">
        <v>785</v>
      </c>
      <c r="C997" t="s">
        <v>786</v>
      </c>
      <c r="G997" t="str">
        <f t="shared" si="35"/>
        <v>xlsx</v>
      </c>
      <c r="H997" s="5" t="str">
        <f>IFERROR(IF(B997="FoPITY",INDEX(Customizations!$C$2:$C$19,MATCH(Sheet1!C997,Customizations!$B$2:$B$19,0),1),INDEX(About!C:C,MATCH(Sheet1!B997,About!B:B,0),1)),"")</f>
        <v>EV Charger Cost.xlsx</v>
      </c>
      <c r="I997" s="5">
        <f>IFERROR(INDEX(About!$D:$D,MATCH(Sheet1!H997,About!$C:$C,0),1),0)</f>
        <v>0</v>
      </c>
      <c r="J997" s="6">
        <f t="shared" si="36"/>
        <v>0</v>
      </c>
    </row>
    <row r="998" spans="1:10" x14ac:dyDescent="0.3">
      <c r="A998" s="7" t="s">
        <v>359</v>
      </c>
      <c r="B998" t="s">
        <v>785</v>
      </c>
      <c r="C998" t="s">
        <v>787</v>
      </c>
      <c r="G998" t="str">
        <f t="shared" si="35"/>
        <v>.csv</v>
      </c>
      <c r="H998" s="5" t="str">
        <f>IFERROR(IF(B998="FoPITY",INDEX(Customizations!$C$2:$C$19,MATCH(Sheet1!C998,Customizations!$B$2:$B$19,0),1),INDEX(About!C:C,MATCH(Sheet1!B998,About!B:B,0),1)),"")</f>
        <v>EV Charger Cost.xlsx</v>
      </c>
      <c r="I998" s="5">
        <f>IFERROR(INDEX(About!$D:$D,MATCH(Sheet1!H998,About!$C:$C,0),1),0)</f>
        <v>0</v>
      </c>
      <c r="J998" s="6">
        <f t="shared" si="36"/>
        <v>0</v>
      </c>
    </row>
    <row r="999" spans="1:10" x14ac:dyDescent="0.3">
      <c r="A999" s="7" t="s">
        <v>359</v>
      </c>
      <c r="B999" t="s">
        <v>876</v>
      </c>
      <c r="C999" t="s">
        <v>877</v>
      </c>
      <c r="G999" t="str">
        <f t="shared" si="35"/>
        <v>xlsx</v>
      </c>
      <c r="H999" s="5" t="str">
        <f>IFERROR(IF(B999="FoPITY",INDEX(Customizations!$C$2:$C$19,MATCH(Sheet1!C999,Customizations!$B$2:$B$19,0),1),INDEX(About!C:C,MATCH(Sheet1!B999,About!B:B,0),1)),"")</f>
        <v>EV Charger Revenue Share by Recip ISIC Code.xlsx</v>
      </c>
      <c r="I999" s="5">
        <f>IFERROR(INDEX(About!$D:$D,MATCH(Sheet1!H999,About!$C:$C,0),1),0)</f>
        <v>0</v>
      </c>
      <c r="J999" s="6">
        <f t="shared" si="36"/>
        <v>0</v>
      </c>
    </row>
    <row r="1000" spans="1:10" x14ac:dyDescent="0.3">
      <c r="A1000" s="7" t="s">
        <v>359</v>
      </c>
      <c r="B1000" t="s">
        <v>876</v>
      </c>
      <c r="C1000" t="s">
        <v>878</v>
      </c>
      <c r="G1000" t="str">
        <f t="shared" si="35"/>
        <v>.csv</v>
      </c>
      <c r="H1000" s="5" t="str">
        <f>IFERROR(IF(B1000="FoPITY",INDEX(Customizations!$C$2:$C$19,MATCH(Sheet1!C1000,Customizations!$B$2:$B$19,0),1),INDEX(About!C:C,MATCH(Sheet1!B1000,About!B:B,0),1)),"")</f>
        <v>EV Charger Revenue Share by Recip ISIC Code.xlsx</v>
      </c>
      <c r="I1000" s="5">
        <f>IFERROR(INDEX(About!$D:$D,MATCH(Sheet1!H1000,About!$C:$C,0),1),0)</f>
        <v>0</v>
      </c>
      <c r="J1000" s="6">
        <f t="shared" si="36"/>
        <v>0</v>
      </c>
    </row>
    <row r="1001" spans="1:10" x14ac:dyDescent="0.3">
      <c r="A1001" s="7" t="s">
        <v>359</v>
      </c>
      <c r="B1001" t="s">
        <v>1447</v>
      </c>
      <c r="C1001" t="s">
        <v>1448</v>
      </c>
      <c r="G1001" t="str">
        <f t="shared" si="35"/>
        <v>.csv</v>
      </c>
      <c r="H1001" s="5" t="str">
        <f>IFERROR(IF(B1001="FoPITY",INDEX(Customizations!$C$2:$C$19,MATCH(Sheet1!C1001,Customizations!$B$2:$B$19,0),1),INDEX(About!C:C,MATCH(Sheet1!B1001,About!B:B,0),1)),"")</f>
        <v>Fraction of Subsidy for Battery Production Passed Through to Consumers.xlsx</v>
      </c>
      <c r="I1001" s="5">
        <f>IFERROR(INDEX(About!$D:$D,MATCH(Sheet1!H1001,About!$C:$C,0),1),0)</f>
        <v>0</v>
      </c>
      <c r="J1001" s="6">
        <f t="shared" si="36"/>
        <v>0</v>
      </c>
    </row>
    <row r="1002" spans="1:10" x14ac:dyDescent="0.3">
      <c r="A1002" s="7" t="s">
        <v>359</v>
      </c>
      <c r="B1002" t="s">
        <v>1447</v>
      </c>
      <c r="C1002" t="s">
        <v>1449</v>
      </c>
      <c r="G1002" t="str">
        <f t="shared" si="35"/>
        <v>xlsx</v>
      </c>
      <c r="H1002" s="5" t="str">
        <f>IFERROR(IF(B1002="FoPITY",INDEX(Customizations!$C$2:$C$19,MATCH(Sheet1!C1002,Customizations!$B$2:$B$19,0),1),INDEX(About!C:C,MATCH(Sheet1!B1002,About!B:B,0),1)),"")</f>
        <v>Fraction of Subsidy for Battery Production Passed Through to Consumers.xlsx</v>
      </c>
      <c r="I1002" s="5">
        <f>IFERROR(INDEX(About!$D:$D,MATCH(Sheet1!H1002,About!$C:$C,0),1),0)</f>
        <v>0</v>
      </c>
      <c r="J1002" s="6">
        <f t="shared" si="36"/>
        <v>0</v>
      </c>
    </row>
    <row r="1003" spans="1:10" x14ac:dyDescent="0.3">
      <c r="A1003" s="7" t="s">
        <v>359</v>
      </c>
      <c r="B1003" t="s">
        <v>1450</v>
      </c>
      <c r="C1003" t="s">
        <v>1451</v>
      </c>
      <c r="G1003" t="str">
        <f t="shared" si="35"/>
        <v>.csv</v>
      </c>
      <c r="H1003" s="5" t="str">
        <f>IFERROR(IF(B1003="FoPITY",INDEX(Customizations!$C$2:$C$19,MATCH(Sheet1!C1003,Customizations!$B$2:$B$19,0),1),INDEX(About!C:C,MATCH(Sheet1!B1003,About!B:B,0),1)),"")</f>
        <v>Fraction of Vehicle Batteries Produced Domestically.xlsx</v>
      </c>
      <c r="I1003" s="5">
        <f>IFERROR(INDEX(About!$D:$D,MATCH(Sheet1!H1003,About!$C:$C,0),1),0)</f>
        <v>0</v>
      </c>
      <c r="J1003" s="6">
        <f t="shared" si="36"/>
        <v>0</v>
      </c>
    </row>
    <row r="1004" spans="1:10" x14ac:dyDescent="0.3">
      <c r="A1004" s="7" t="s">
        <v>359</v>
      </c>
      <c r="B1004" t="s">
        <v>1450</v>
      </c>
      <c r="C1004" t="s">
        <v>1452</v>
      </c>
      <c r="G1004" t="str">
        <f t="shared" si="35"/>
        <v>xlsx</v>
      </c>
      <c r="H1004" s="5" t="str">
        <f>IFERROR(IF(B1004="FoPITY",INDEX(Customizations!$C$2:$C$19,MATCH(Sheet1!C1004,Customizations!$B$2:$B$19,0),1),INDEX(About!C:C,MATCH(Sheet1!B1004,About!B:B,0),1)),"")</f>
        <v>Fraction of Vehicle Batteries Produced Domestically.xlsx</v>
      </c>
      <c r="I1004" s="5">
        <f>IFERROR(INDEX(About!$D:$D,MATCH(Sheet1!H1004,About!$C:$C,0),1),0)</f>
        <v>0</v>
      </c>
      <c r="J1004" s="6">
        <f t="shared" si="36"/>
        <v>0</v>
      </c>
    </row>
    <row r="1005" spans="1:10" x14ac:dyDescent="0.3">
      <c r="A1005" s="7" t="s">
        <v>359</v>
      </c>
      <c r="B1005" t="s">
        <v>503</v>
      </c>
      <c r="C1005" t="s">
        <v>504</v>
      </c>
      <c r="G1005" t="str">
        <f t="shared" si="35"/>
        <v>.csv</v>
      </c>
      <c r="H1005" s="5" t="str">
        <f>IFERROR(IF(B1005="FoPITY",INDEX(Customizations!$C$2:$C$19,MATCH(Sheet1!C1005,Customizations!$B$2:$B$19,0),1),INDEX(About!C:C,MATCH(Sheet1!B1005,About!B:B,0),1)),"")</f>
        <v>Fraction of Veh Owned by Entity.xlsx</v>
      </c>
      <c r="I1005" s="5">
        <f>IFERROR(INDEX(About!$D:$D,MATCH(Sheet1!H1005,About!$C:$C,0),1),0)</f>
        <v>0</v>
      </c>
      <c r="J1005" s="6">
        <f t="shared" si="36"/>
        <v>0</v>
      </c>
    </row>
    <row r="1006" spans="1:10" x14ac:dyDescent="0.3">
      <c r="A1006" s="7" t="s">
        <v>359</v>
      </c>
      <c r="B1006" t="s">
        <v>503</v>
      </c>
      <c r="C1006" t="s">
        <v>505</v>
      </c>
      <c r="G1006" t="str">
        <f t="shared" si="35"/>
        <v>.csv</v>
      </c>
      <c r="H1006" s="5" t="str">
        <f>IFERROR(IF(B1006="FoPITY",INDEX(Customizations!$C$2:$C$19,MATCH(Sheet1!C1006,Customizations!$B$2:$B$19,0),1),INDEX(About!C:C,MATCH(Sheet1!B1006,About!B:B,0),1)),"")</f>
        <v>Fraction of Veh Owned by Entity.xlsx</v>
      </c>
      <c r="I1006" s="5">
        <f>IFERROR(INDEX(About!$D:$D,MATCH(Sheet1!H1006,About!$C:$C,0),1),0)</f>
        <v>0</v>
      </c>
      <c r="J1006" s="6">
        <f t="shared" si="36"/>
        <v>0</v>
      </c>
    </row>
    <row r="1007" spans="1:10" x14ac:dyDescent="0.3">
      <c r="A1007" s="7" t="s">
        <v>359</v>
      </c>
      <c r="B1007" t="s">
        <v>503</v>
      </c>
      <c r="C1007" t="s">
        <v>506</v>
      </c>
      <c r="G1007" t="str">
        <f t="shared" si="35"/>
        <v>xlsx</v>
      </c>
      <c r="H1007" s="5" t="str">
        <f>IFERROR(IF(B1007="FoPITY",INDEX(Customizations!$C$2:$C$19,MATCH(Sheet1!C1007,Customizations!$B$2:$B$19,0),1),INDEX(About!C:C,MATCH(Sheet1!B1007,About!B:B,0),1)),"")</f>
        <v>Fraction of Veh Owned by Entity.xlsx</v>
      </c>
      <c r="I1007" s="5">
        <f>IFERROR(INDEX(About!$D:$D,MATCH(Sheet1!H1007,About!$C:$C,0),1),0)</f>
        <v>0</v>
      </c>
      <c r="J1007" s="6">
        <f t="shared" si="36"/>
        <v>0</v>
      </c>
    </row>
    <row r="1008" spans="1:10" x14ac:dyDescent="0.3">
      <c r="A1008" s="7" t="s">
        <v>359</v>
      </c>
      <c r="B1008" t="s">
        <v>1046</v>
      </c>
      <c r="C1008" t="s">
        <v>1047</v>
      </c>
      <c r="G1008" t="str">
        <f t="shared" si="35"/>
        <v>xlsx</v>
      </c>
      <c r="H1008" s="5" t="str">
        <f>IFERROR(IF(B1008="FoPITY",INDEX(Customizations!$C$2:$C$19,MATCH(Sheet1!C1008,Customizations!$B$2:$B$19,0),1),INDEX(About!C:C,MATCH(Sheet1!B1008,About!B:B,0),1)),"")</f>
        <v>Fare per Unit Cargo Dist.xlsx</v>
      </c>
      <c r="I1008" s="5">
        <f>IFERROR(INDEX(About!$D:$D,MATCH(Sheet1!H1008,About!$C:$C,0),1),0)</f>
        <v>0</v>
      </c>
      <c r="J1008" s="6">
        <f t="shared" si="36"/>
        <v>0</v>
      </c>
    </row>
    <row r="1009" spans="1:10" x14ac:dyDescent="0.3">
      <c r="A1009" s="7" t="s">
        <v>359</v>
      </c>
      <c r="B1009" t="s">
        <v>1046</v>
      </c>
      <c r="C1009" t="s">
        <v>1048</v>
      </c>
      <c r="G1009" t="str">
        <f t="shared" si="35"/>
        <v>.csv</v>
      </c>
      <c r="H1009" s="5" t="str">
        <f>IFERROR(IF(B1009="FoPITY",INDEX(Customizations!$C$2:$C$19,MATCH(Sheet1!C1009,Customizations!$B$2:$B$19,0),1),INDEX(About!C:C,MATCH(Sheet1!B1009,About!B:B,0),1)),"")</f>
        <v>Fare per Unit Cargo Dist.xlsx</v>
      </c>
      <c r="I1009" s="5">
        <f>IFERROR(INDEX(About!$D:$D,MATCH(Sheet1!H1009,About!$C:$C,0),1),0)</f>
        <v>0</v>
      </c>
      <c r="J1009" s="6">
        <f t="shared" si="36"/>
        <v>0</v>
      </c>
    </row>
    <row r="1010" spans="1:10" x14ac:dyDescent="0.3">
      <c r="A1010" s="7" t="s">
        <v>359</v>
      </c>
      <c r="B1010" t="s">
        <v>1046</v>
      </c>
      <c r="C1010" t="s">
        <v>1049</v>
      </c>
      <c r="G1010" t="str">
        <f t="shared" si="35"/>
        <v>.csv</v>
      </c>
      <c r="H1010" s="5" t="str">
        <f>IFERROR(IF(B1010="FoPITY",INDEX(Customizations!$C$2:$C$19,MATCH(Sheet1!C1010,Customizations!$B$2:$B$19,0),1),INDEX(About!C:C,MATCH(Sheet1!B1010,About!B:B,0),1)),"")</f>
        <v>Fare per Unit Cargo Dist.xlsx</v>
      </c>
      <c r="I1010" s="5">
        <f>IFERROR(INDEX(About!$D:$D,MATCH(Sheet1!H1010,About!$C:$C,0),1),0)</f>
        <v>0</v>
      </c>
      <c r="J1010" s="6">
        <f t="shared" si="36"/>
        <v>0</v>
      </c>
    </row>
    <row r="1011" spans="1:10" x14ac:dyDescent="0.3">
      <c r="A1011" s="7" t="s">
        <v>359</v>
      </c>
      <c r="B1011" t="s">
        <v>507</v>
      </c>
      <c r="C1011" t="s">
        <v>508</v>
      </c>
      <c r="G1011" t="str">
        <f t="shared" si="35"/>
        <v>.csv</v>
      </c>
      <c r="H1011" s="5" t="str">
        <f>IFERROR(IF(B1011="FoPITY",INDEX(Customizations!$C$2:$C$19,MATCH(Sheet1!C1011,Customizations!$B$2:$B$19,0),1),INDEX(About!C:C,MATCH(Sheet1!B1011,About!B:B,0),1)),"")</f>
        <v>Grams CO2e Avoided per LCFS Credit.xlsx</v>
      </c>
      <c r="I1011" s="5">
        <f>IFERROR(INDEX(About!$D:$D,MATCH(Sheet1!H1011,About!$C:$C,0),1),0)</f>
        <v>0</v>
      </c>
      <c r="J1011" s="6">
        <f t="shared" si="36"/>
        <v>0</v>
      </c>
    </row>
    <row r="1012" spans="1:10" x14ac:dyDescent="0.3">
      <c r="A1012" s="7" t="s">
        <v>359</v>
      </c>
      <c r="B1012" t="s">
        <v>507</v>
      </c>
      <c r="C1012" t="s">
        <v>509</v>
      </c>
      <c r="G1012" t="str">
        <f t="shared" si="35"/>
        <v>xlsx</v>
      </c>
      <c r="H1012" s="5" t="str">
        <f>IFERROR(IF(B1012="FoPITY",INDEX(Customizations!$C$2:$C$19,MATCH(Sheet1!C1012,Customizations!$B$2:$B$19,0),1),INDEX(About!C:C,MATCH(Sheet1!B1012,About!B:B,0),1)),"")</f>
        <v>Grams CO2e Avoided per LCFS Credit.xlsx</v>
      </c>
      <c r="I1012" s="5">
        <f>IFERROR(INDEX(About!$D:$D,MATCH(Sheet1!H1012,About!$C:$C,0),1),0)</f>
        <v>0</v>
      </c>
      <c r="J1012" s="6">
        <f t="shared" si="36"/>
        <v>0</v>
      </c>
    </row>
    <row r="1013" spans="1:10" x14ac:dyDescent="0.3">
      <c r="A1013" s="7" t="s">
        <v>359</v>
      </c>
      <c r="B1013" t="s">
        <v>510</v>
      </c>
      <c r="C1013" t="s">
        <v>511</v>
      </c>
      <c r="G1013" t="str">
        <f t="shared" si="35"/>
        <v>.csv</v>
      </c>
      <c r="H1013" s="5" t="str">
        <f>IFERROR(IF(B1013="FoPITY",INDEX(Customizations!$C$2:$C$19,MATCH(Sheet1!C1013,Customizations!$B$2:$B$19,0),1),INDEX(About!C:C,MATCH(Sheet1!B1013,About!B:B,0),1)),"")</f>
        <v>Incremental Cost to Produce Substitute Fuel for LCFS.xlsx</v>
      </c>
      <c r="I1013" s="5">
        <f>IFERROR(INDEX(About!$D:$D,MATCH(Sheet1!H1013,About!$C:$C,0),1),0)</f>
        <v>0</v>
      </c>
      <c r="J1013" s="6">
        <f t="shared" si="36"/>
        <v>0</v>
      </c>
    </row>
    <row r="1014" spans="1:10" x14ac:dyDescent="0.3">
      <c r="A1014" s="7" t="s">
        <v>359</v>
      </c>
      <c r="B1014" t="s">
        <v>510</v>
      </c>
      <c r="C1014" t="s">
        <v>512</v>
      </c>
      <c r="G1014" t="str">
        <f t="shared" si="35"/>
        <v>xlsx</v>
      </c>
      <c r="H1014" s="5" t="str">
        <f>IFERROR(IF(B1014="FoPITY",INDEX(Customizations!$C$2:$C$19,MATCH(Sheet1!C1014,Customizations!$B$2:$B$19,0),1),INDEX(About!C:C,MATCH(Sheet1!B1014,About!B:B,0),1)),"")</f>
        <v>Incremental Cost to Produce Substitute Fuel for LCFS.xlsx</v>
      </c>
      <c r="I1014" s="5">
        <f>IFERROR(INDEX(About!$D:$D,MATCH(Sheet1!H1014,About!$C:$C,0),1),0)</f>
        <v>0</v>
      </c>
      <c r="J1014" s="6">
        <f t="shared" si="36"/>
        <v>0</v>
      </c>
    </row>
    <row r="1015" spans="1:10" x14ac:dyDescent="0.3">
      <c r="A1015" s="7" t="s">
        <v>359</v>
      </c>
      <c r="B1015" t="s">
        <v>513</v>
      </c>
      <c r="C1015" t="s">
        <v>514</v>
      </c>
      <c r="G1015" t="str">
        <f t="shared" si="35"/>
        <v>xlsx</v>
      </c>
      <c r="H1015" s="5" t="str">
        <f>IFERROR(IF(B1015="FoPITY",INDEX(Customizations!$C$2:$C$19,MATCH(Sheet1!C1015,Customizations!$B$2:$B$19,0),1),INDEX(About!C:C,MATCH(Sheet1!B1015,About!B:B,0),1)),"")</f>
        <v>LCFS Credit Price Cap.xlsx</v>
      </c>
      <c r="I1015" s="5">
        <f>IFERROR(INDEX(About!$D:$D,MATCH(Sheet1!H1015,About!$C:$C,0),1),0)</f>
        <v>0</v>
      </c>
      <c r="J1015" s="6">
        <f t="shared" si="36"/>
        <v>0</v>
      </c>
    </row>
    <row r="1016" spans="1:10" x14ac:dyDescent="0.3">
      <c r="A1016" s="7" t="s">
        <v>359</v>
      </c>
      <c r="B1016" t="s">
        <v>513</v>
      </c>
      <c r="C1016" t="s">
        <v>515</v>
      </c>
      <c r="G1016" t="str">
        <f t="shared" si="35"/>
        <v>.csv</v>
      </c>
      <c r="H1016" s="5" t="str">
        <f>IFERROR(IF(B1016="FoPITY",INDEX(Customizations!$C$2:$C$19,MATCH(Sheet1!C1016,Customizations!$B$2:$B$19,0),1),INDEX(About!C:C,MATCH(Sheet1!B1016,About!B:B,0),1)),"")</f>
        <v>LCFS Credit Price Cap.xlsx</v>
      </c>
      <c r="I1016" s="5">
        <f>IFERROR(INDEX(About!$D:$D,MATCH(Sheet1!H1016,About!$C:$C,0),1),0)</f>
        <v>0</v>
      </c>
      <c r="J1016" s="6">
        <f t="shared" si="36"/>
        <v>0</v>
      </c>
    </row>
    <row r="1017" spans="1:10" x14ac:dyDescent="0.3">
      <c r="A1017" s="7" t="s">
        <v>359</v>
      </c>
      <c r="B1017" t="s">
        <v>516</v>
      </c>
      <c r="C1017" t="s">
        <v>517</v>
      </c>
      <c r="G1017" t="str">
        <f t="shared" si="35"/>
        <v>xlsx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6"/>
        <v>0</v>
      </c>
    </row>
    <row r="1018" spans="1:10" x14ac:dyDescent="0.3">
      <c r="A1018" s="7" t="s">
        <v>359</v>
      </c>
      <c r="B1018" t="s">
        <v>516</v>
      </c>
      <c r="C1018" t="s">
        <v>518</v>
      </c>
      <c r="G1018" t="str">
        <f t="shared" si="35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6"/>
        <v>0</v>
      </c>
    </row>
    <row r="1019" spans="1:10" x14ac:dyDescent="0.3">
      <c r="A1019" s="7" t="s">
        <v>359</v>
      </c>
      <c r="B1019" t="s">
        <v>516</v>
      </c>
      <c r="C1019" t="s">
        <v>519</v>
      </c>
      <c r="G1019" t="str">
        <f t="shared" si="35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6"/>
        <v>0</v>
      </c>
    </row>
    <row r="1020" spans="1:10" x14ac:dyDescent="0.3">
      <c r="A1020" s="7" t="s">
        <v>359</v>
      </c>
      <c r="B1020" t="s">
        <v>516</v>
      </c>
      <c r="C1020" t="s">
        <v>520</v>
      </c>
      <c r="G1020" t="str">
        <f t="shared" si="35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6"/>
        <v>0</v>
      </c>
    </row>
    <row r="1021" spans="1:10" x14ac:dyDescent="0.3">
      <c r="A1021" s="7" t="s">
        <v>359</v>
      </c>
      <c r="B1021" t="s">
        <v>516</v>
      </c>
      <c r="C1021" t="s">
        <v>521</v>
      </c>
      <c r="G1021" t="str">
        <f t="shared" si="35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6"/>
        <v>0</v>
      </c>
    </row>
    <row r="1022" spans="1:10" x14ac:dyDescent="0.3">
      <c r="A1022" s="7" t="s">
        <v>359</v>
      </c>
      <c r="B1022" t="s">
        <v>516</v>
      </c>
      <c r="C1022" t="s">
        <v>522</v>
      </c>
      <c r="G1022" t="str">
        <f t="shared" si="35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6"/>
        <v>0</v>
      </c>
    </row>
    <row r="1023" spans="1:10" x14ac:dyDescent="0.3">
      <c r="A1023" s="7" t="s">
        <v>359</v>
      </c>
      <c r="B1023" t="s">
        <v>516</v>
      </c>
      <c r="C1023" t="s">
        <v>523</v>
      </c>
      <c r="G1023" t="str">
        <f t="shared" si="35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6"/>
        <v>0</v>
      </c>
    </row>
    <row r="1024" spans="1:10" x14ac:dyDescent="0.3">
      <c r="A1024" s="7" t="s">
        <v>359</v>
      </c>
      <c r="B1024" t="s">
        <v>516</v>
      </c>
      <c r="C1024" t="s">
        <v>524</v>
      </c>
      <c r="G1024" t="str">
        <f t="shared" si="35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6"/>
        <v>0</v>
      </c>
    </row>
    <row r="1025" spans="1:10" x14ac:dyDescent="0.3">
      <c r="A1025" s="7" t="s">
        <v>359</v>
      </c>
      <c r="B1025" t="s">
        <v>516</v>
      </c>
      <c r="C1025" t="s">
        <v>525</v>
      </c>
      <c r="G1025" t="str">
        <f t="shared" si="35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6"/>
        <v>0</v>
      </c>
    </row>
    <row r="1026" spans="1:10" x14ac:dyDescent="0.3">
      <c r="A1026" s="7" t="s">
        <v>359</v>
      </c>
      <c r="B1026" t="s">
        <v>516</v>
      </c>
      <c r="C1026" t="s">
        <v>526</v>
      </c>
      <c r="G1026" t="str">
        <f t="shared" si="35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6"/>
        <v>0</v>
      </c>
    </row>
    <row r="1027" spans="1:10" x14ac:dyDescent="0.3">
      <c r="A1027" s="7" t="s">
        <v>359</v>
      </c>
      <c r="B1027" t="s">
        <v>516</v>
      </c>
      <c r="C1027" t="s">
        <v>527</v>
      </c>
      <c r="G1027" t="str">
        <f t="shared" si="35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6"/>
        <v>0</v>
      </c>
    </row>
    <row r="1028" spans="1:10" x14ac:dyDescent="0.3">
      <c r="A1028" s="7" t="s">
        <v>359</v>
      </c>
      <c r="B1028" t="s">
        <v>516</v>
      </c>
      <c r="C1028" t="s">
        <v>528</v>
      </c>
      <c r="G1028" t="str">
        <f t="shared" si="35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6"/>
        <v>0</v>
      </c>
    </row>
    <row r="1029" spans="1:10" x14ac:dyDescent="0.3">
      <c r="A1029" s="7" t="s">
        <v>359</v>
      </c>
      <c r="B1029" t="s">
        <v>516</v>
      </c>
      <c r="C1029" t="s">
        <v>529</v>
      </c>
      <c r="G1029" t="str">
        <f t="shared" si="35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6"/>
        <v>0</v>
      </c>
    </row>
    <row r="1030" spans="1:10" x14ac:dyDescent="0.3">
      <c r="A1030" s="7" t="s">
        <v>359</v>
      </c>
      <c r="B1030" t="s">
        <v>516</v>
      </c>
      <c r="C1030" t="s">
        <v>530</v>
      </c>
      <c r="G1030" t="str">
        <f t="shared" si="35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6"/>
        <v>0</v>
      </c>
    </row>
    <row r="1031" spans="1:10" x14ac:dyDescent="0.3">
      <c r="A1031" s="7" t="s">
        <v>359</v>
      </c>
      <c r="B1031" t="s">
        <v>516</v>
      </c>
      <c r="C1031" t="s">
        <v>531</v>
      </c>
      <c r="G1031" t="str">
        <f t="shared" si="35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6"/>
        <v>0</v>
      </c>
    </row>
    <row r="1032" spans="1:10" x14ac:dyDescent="0.3">
      <c r="A1032" s="7" t="s">
        <v>359</v>
      </c>
      <c r="B1032" t="s">
        <v>516</v>
      </c>
      <c r="C1032" t="s">
        <v>532</v>
      </c>
      <c r="G1032" t="str">
        <f t="shared" si="35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6"/>
        <v>0</v>
      </c>
    </row>
    <row r="1033" spans="1:10" x14ac:dyDescent="0.3">
      <c r="A1033" s="7" t="s">
        <v>359</v>
      </c>
      <c r="B1033" t="s">
        <v>516</v>
      </c>
      <c r="C1033" t="s">
        <v>533</v>
      </c>
      <c r="G1033" t="str">
        <f t="shared" si="35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6"/>
        <v>0</v>
      </c>
    </row>
    <row r="1034" spans="1:10" x14ac:dyDescent="0.3">
      <c r="A1034" s="7" t="s">
        <v>359</v>
      </c>
      <c r="B1034" t="s">
        <v>516</v>
      </c>
      <c r="C1034" t="s">
        <v>534</v>
      </c>
      <c r="G1034" t="str">
        <f t="shared" si="35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6"/>
        <v>0</v>
      </c>
    </row>
    <row r="1035" spans="1:10" x14ac:dyDescent="0.3">
      <c r="A1035" s="7" t="s">
        <v>359</v>
      </c>
      <c r="B1035" t="s">
        <v>516</v>
      </c>
      <c r="C1035" t="s">
        <v>535</v>
      </c>
      <c r="G1035" t="str">
        <f t="shared" si="35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6"/>
        <v>0</v>
      </c>
    </row>
    <row r="1036" spans="1:10" x14ac:dyDescent="0.3">
      <c r="A1036" s="7" t="s">
        <v>359</v>
      </c>
      <c r="B1036" t="s">
        <v>516</v>
      </c>
      <c r="C1036" t="s">
        <v>536</v>
      </c>
      <c r="G1036" t="str">
        <f t="shared" si="35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6"/>
        <v>0</v>
      </c>
    </row>
    <row r="1037" spans="1:10" x14ac:dyDescent="0.3">
      <c r="A1037" s="7" t="s">
        <v>359</v>
      </c>
      <c r="B1037" t="s">
        <v>516</v>
      </c>
      <c r="C1037" t="s">
        <v>537</v>
      </c>
      <c r="G1037" t="str">
        <f t="shared" si="35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6"/>
        <v>0</v>
      </c>
    </row>
    <row r="1038" spans="1:10" x14ac:dyDescent="0.3">
      <c r="A1038" s="7" t="s">
        <v>359</v>
      </c>
      <c r="B1038" t="s">
        <v>516</v>
      </c>
      <c r="C1038" t="s">
        <v>538</v>
      </c>
      <c r="G1038" t="str">
        <f t="shared" si="35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6"/>
        <v>0</v>
      </c>
    </row>
    <row r="1039" spans="1:10" x14ac:dyDescent="0.3">
      <c r="A1039" s="7" t="s">
        <v>359</v>
      </c>
      <c r="B1039" t="s">
        <v>516</v>
      </c>
      <c r="C1039" t="s">
        <v>539</v>
      </c>
      <c r="G1039" t="str">
        <f t="shared" si="35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6"/>
        <v>0</v>
      </c>
    </row>
    <row r="1040" spans="1:10" x14ac:dyDescent="0.3">
      <c r="A1040" s="7" t="s">
        <v>359</v>
      </c>
      <c r="B1040" t="s">
        <v>516</v>
      </c>
      <c r="C1040" t="s">
        <v>540</v>
      </c>
      <c r="G1040" t="str">
        <f t="shared" si="35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6"/>
        <v>0</v>
      </c>
    </row>
    <row r="1041" spans="1:10" x14ac:dyDescent="0.3">
      <c r="A1041" s="7" t="s">
        <v>359</v>
      </c>
      <c r="B1041" t="s">
        <v>516</v>
      </c>
      <c r="C1041" t="s">
        <v>541</v>
      </c>
      <c r="G1041" t="str">
        <f t="shared" si="35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6"/>
        <v>0</v>
      </c>
    </row>
    <row r="1042" spans="1:10" x14ac:dyDescent="0.3">
      <c r="A1042" s="7" t="s">
        <v>359</v>
      </c>
      <c r="B1042" t="s">
        <v>516</v>
      </c>
      <c r="C1042" t="s">
        <v>542</v>
      </c>
      <c r="G1042" t="str">
        <f t="shared" si="35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6"/>
        <v>0</v>
      </c>
    </row>
    <row r="1043" spans="1:10" x14ac:dyDescent="0.3">
      <c r="A1043" s="7" t="s">
        <v>359</v>
      </c>
      <c r="B1043" t="s">
        <v>516</v>
      </c>
      <c r="C1043" t="s">
        <v>543</v>
      </c>
      <c r="G1043" t="str">
        <f t="shared" si="35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6"/>
        <v>0</v>
      </c>
    </row>
    <row r="1044" spans="1:10" x14ac:dyDescent="0.3">
      <c r="A1044" s="7" t="s">
        <v>359</v>
      </c>
      <c r="B1044" t="s">
        <v>516</v>
      </c>
      <c r="C1044" t="s">
        <v>544</v>
      </c>
      <c r="G1044" t="str">
        <f t="shared" si="35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6"/>
        <v>0</v>
      </c>
    </row>
    <row r="1045" spans="1:10" x14ac:dyDescent="0.3">
      <c r="A1045" s="7" t="s">
        <v>359</v>
      </c>
      <c r="B1045" t="s">
        <v>516</v>
      </c>
      <c r="C1045" t="s">
        <v>545</v>
      </c>
      <c r="G1045" t="str">
        <f t="shared" si="35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6"/>
        <v>0</v>
      </c>
    </row>
    <row r="1046" spans="1:10" x14ac:dyDescent="0.3">
      <c r="A1046" s="7" t="s">
        <v>359</v>
      </c>
      <c r="B1046" t="s">
        <v>516</v>
      </c>
      <c r="C1046" t="s">
        <v>546</v>
      </c>
      <c r="G1046" t="str">
        <f t="shared" si="35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6"/>
        <v>0</v>
      </c>
    </row>
    <row r="1047" spans="1:10" x14ac:dyDescent="0.3">
      <c r="A1047" s="7" t="s">
        <v>359</v>
      </c>
      <c r="B1047" t="s">
        <v>516</v>
      </c>
      <c r="C1047" t="s">
        <v>547</v>
      </c>
      <c r="G1047" t="str">
        <f t="shared" si="35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6"/>
        <v>0</v>
      </c>
    </row>
    <row r="1048" spans="1:10" x14ac:dyDescent="0.3">
      <c r="A1048" s="7" t="s">
        <v>359</v>
      </c>
      <c r="B1048" t="s">
        <v>516</v>
      </c>
      <c r="C1048" t="s">
        <v>548</v>
      </c>
      <c r="G1048" t="str">
        <f t="shared" si="35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6"/>
        <v>0</v>
      </c>
    </row>
    <row r="1049" spans="1:10" x14ac:dyDescent="0.3">
      <c r="A1049" s="7" t="s">
        <v>359</v>
      </c>
      <c r="B1049" t="s">
        <v>516</v>
      </c>
      <c r="C1049" t="s">
        <v>549</v>
      </c>
      <c r="G1049" t="str">
        <f t="shared" si="35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6"/>
        <v>0</v>
      </c>
    </row>
    <row r="1050" spans="1:10" x14ac:dyDescent="0.3">
      <c r="A1050" s="7" t="s">
        <v>359</v>
      </c>
      <c r="B1050" t="s">
        <v>516</v>
      </c>
      <c r="C1050" t="s">
        <v>550</v>
      </c>
      <c r="G1050" t="str">
        <f t="shared" si="35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6"/>
        <v>0</v>
      </c>
    </row>
    <row r="1051" spans="1:10" x14ac:dyDescent="0.3">
      <c r="A1051" s="7" t="s">
        <v>359</v>
      </c>
      <c r="B1051" t="s">
        <v>516</v>
      </c>
      <c r="C1051" t="s">
        <v>551</v>
      </c>
      <c r="G1051" t="str">
        <f t="shared" si="35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6"/>
        <v>0</v>
      </c>
    </row>
    <row r="1052" spans="1:10" x14ac:dyDescent="0.3">
      <c r="A1052" s="7" t="s">
        <v>359</v>
      </c>
      <c r="B1052" t="s">
        <v>516</v>
      </c>
      <c r="C1052" t="s">
        <v>552</v>
      </c>
      <c r="G1052" t="str">
        <f t="shared" si="35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6"/>
        <v>0</v>
      </c>
    </row>
    <row r="1053" spans="1:10" x14ac:dyDescent="0.3">
      <c r="A1053" s="7" t="s">
        <v>359</v>
      </c>
      <c r="B1053" t="s">
        <v>516</v>
      </c>
      <c r="C1053" t="s">
        <v>553</v>
      </c>
      <c r="G1053" t="str">
        <f t="shared" si="35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6"/>
        <v>0</v>
      </c>
    </row>
    <row r="1054" spans="1:10" x14ac:dyDescent="0.3">
      <c r="A1054" s="7" t="s">
        <v>359</v>
      </c>
      <c r="B1054" t="s">
        <v>516</v>
      </c>
      <c r="C1054" t="s">
        <v>554</v>
      </c>
      <c r="G1054" t="str">
        <f t="shared" si="35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6"/>
        <v>0</v>
      </c>
    </row>
    <row r="1055" spans="1:10" x14ac:dyDescent="0.3">
      <c r="A1055" s="7" t="s">
        <v>359</v>
      </c>
      <c r="B1055" t="s">
        <v>516</v>
      </c>
      <c r="C1055" t="s">
        <v>555</v>
      </c>
      <c r="G1055" t="str">
        <f t="shared" si="35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6"/>
        <v>0</v>
      </c>
    </row>
    <row r="1056" spans="1:10" x14ac:dyDescent="0.3">
      <c r="A1056" s="7" t="s">
        <v>359</v>
      </c>
      <c r="B1056" t="s">
        <v>516</v>
      </c>
      <c r="C1056" t="s">
        <v>556</v>
      </c>
      <c r="G1056" t="str">
        <f t="shared" si="35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6"/>
        <v>0</v>
      </c>
    </row>
    <row r="1057" spans="1:10" x14ac:dyDescent="0.3">
      <c r="A1057" s="7" t="s">
        <v>359</v>
      </c>
      <c r="B1057" t="s">
        <v>516</v>
      </c>
      <c r="C1057" t="s">
        <v>557</v>
      </c>
      <c r="G1057" t="str">
        <f t="shared" ref="G1057:G1120" si="37">RIGHT(C1057,"4")</f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6"/>
        <v>0</v>
      </c>
    </row>
    <row r="1058" spans="1:10" x14ac:dyDescent="0.3">
      <c r="A1058" s="7" t="s">
        <v>359</v>
      </c>
      <c r="B1058" t="s">
        <v>516</v>
      </c>
      <c r="C1058" t="s">
        <v>558</v>
      </c>
      <c r="G1058" t="str">
        <f t="shared" si="37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6"/>
        <v>0</v>
      </c>
    </row>
    <row r="1059" spans="1:10" x14ac:dyDescent="0.3">
      <c r="A1059" s="7" t="s">
        <v>359</v>
      </c>
      <c r="B1059" t="s">
        <v>516</v>
      </c>
      <c r="C1059" t="s">
        <v>559</v>
      </c>
      <c r="G1059" t="str">
        <f t="shared" si="37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6"/>
        <v>0</v>
      </c>
    </row>
    <row r="1060" spans="1:10" x14ac:dyDescent="0.3">
      <c r="A1060" s="7" t="s">
        <v>359</v>
      </c>
      <c r="B1060" t="s">
        <v>516</v>
      </c>
      <c r="C1060" t="s">
        <v>560</v>
      </c>
      <c r="G1060" t="str">
        <f t="shared" si="37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ref="J1060:J1123" si="38">IF(G1060=".csv",1,0)*I1060</f>
        <v>0</v>
      </c>
    </row>
    <row r="1061" spans="1:10" x14ac:dyDescent="0.3">
      <c r="A1061" s="7" t="s">
        <v>359</v>
      </c>
      <c r="B1061" t="s">
        <v>516</v>
      </c>
      <c r="C1061" t="s">
        <v>561</v>
      </c>
      <c r="G1061" t="str">
        <f t="shared" si="37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8"/>
        <v>0</v>
      </c>
    </row>
    <row r="1062" spans="1:10" x14ac:dyDescent="0.3">
      <c r="A1062" s="7" t="s">
        <v>359</v>
      </c>
      <c r="B1062" t="s">
        <v>516</v>
      </c>
      <c r="C1062" t="s">
        <v>562</v>
      </c>
      <c r="G1062" t="str">
        <f t="shared" si="37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8"/>
        <v>0</v>
      </c>
    </row>
    <row r="1063" spans="1:10" x14ac:dyDescent="0.3">
      <c r="A1063" s="7" t="s">
        <v>359</v>
      </c>
      <c r="B1063" t="s">
        <v>516</v>
      </c>
      <c r="C1063" t="s">
        <v>563</v>
      </c>
      <c r="G1063" t="str">
        <f t="shared" si="37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8"/>
        <v>0</v>
      </c>
    </row>
    <row r="1064" spans="1:10" x14ac:dyDescent="0.3">
      <c r="A1064" s="7" t="s">
        <v>359</v>
      </c>
      <c r="B1064" t="s">
        <v>516</v>
      </c>
      <c r="C1064" t="s">
        <v>564</v>
      </c>
      <c r="G1064" t="str">
        <f t="shared" si="37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8"/>
        <v>0</v>
      </c>
    </row>
    <row r="1065" spans="1:10" x14ac:dyDescent="0.3">
      <c r="A1065" s="7" t="s">
        <v>359</v>
      </c>
      <c r="B1065" t="s">
        <v>516</v>
      </c>
      <c r="C1065" t="s">
        <v>565</v>
      </c>
      <c r="G1065" t="str">
        <f t="shared" si="37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8"/>
        <v>0</v>
      </c>
    </row>
    <row r="1066" spans="1:10" x14ac:dyDescent="0.3">
      <c r="A1066" s="7" t="s">
        <v>359</v>
      </c>
      <c r="B1066" t="s">
        <v>516</v>
      </c>
      <c r="C1066" t="s">
        <v>566</v>
      </c>
      <c r="G1066" t="str">
        <f t="shared" si="37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8"/>
        <v>0</v>
      </c>
    </row>
    <row r="1067" spans="1:10" x14ac:dyDescent="0.3">
      <c r="A1067" s="7" t="s">
        <v>359</v>
      </c>
      <c r="B1067" t="s">
        <v>516</v>
      </c>
      <c r="C1067" t="s">
        <v>567</v>
      </c>
      <c r="G1067" t="str">
        <f t="shared" si="37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8"/>
        <v>0</v>
      </c>
    </row>
    <row r="1068" spans="1:10" x14ac:dyDescent="0.3">
      <c r="A1068" s="7" t="s">
        <v>359</v>
      </c>
      <c r="B1068" t="s">
        <v>516</v>
      </c>
      <c r="C1068" t="s">
        <v>568</v>
      </c>
      <c r="G1068" t="str">
        <f t="shared" si="37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8"/>
        <v>0</v>
      </c>
    </row>
    <row r="1069" spans="1:10" x14ac:dyDescent="0.3">
      <c r="A1069" s="7" t="s">
        <v>359</v>
      </c>
      <c r="B1069" t="s">
        <v>516</v>
      </c>
      <c r="C1069" t="s">
        <v>569</v>
      </c>
      <c r="G1069" t="str">
        <f t="shared" si="37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8"/>
        <v>0</v>
      </c>
    </row>
    <row r="1070" spans="1:10" x14ac:dyDescent="0.3">
      <c r="A1070" s="7" t="s">
        <v>359</v>
      </c>
      <c r="B1070" t="s">
        <v>516</v>
      </c>
      <c r="C1070" t="s">
        <v>570</v>
      </c>
      <c r="G1070" t="str">
        <f t="shared" si="37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8"/>
        <v>0</v>
      </c>
    </row>
    <row r="1071" spans="1:10" x14ac:dyDescent="0.3">
      <c r="A1071" s="7" t="s">
        <v>359</v>
      </c>
      <c r="B1071" t="s">
        <v>516</v>
      </c>
      <c r="C1071" t="s">
        <v>571</v>
      </c>
      <c r="G1071" t="str">
        <f t="shared" si="37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8"/>
        <v>0</v>
      </c>
    </row>
    <row r="1072" spans="1:10" x14ac:dyDescent="0.3">
      <c r="A1072" s="7" t="s">
        <v>359</v>
      </c>
      <c r="B1072" t="s">
        <v>516</v>
      </c>
      <c r="C1072" t="s">
        <v>572</v>
      </c>
      <c r="G1072" t="str">
        <f t="shared" si="37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8"/>
        <v>0</v>
      </c>
    </row>
    <row r="1073" spans="1:10" x14ac:dyDescent="0.3">
      <c r="A1073" s="7" t="s">
        <v>359</v>
      </c>
      <c r="B1073" t="s">
        <v>516</v>
      </c>
      <c r="C1073" t="s">
        <v>573</v>
      </c>
      <c r="G1073" t="str">
        <f t="shared" si="37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8"/>
        <v>0</v>
      </c>
    </row>
    <row r="1074" spans="1:10" x14ac:dyDescent="0.3">
      <c r="A1074" s="7" t="s">
        <v>359</v>
      </c>
      <c r="B1074" t="s">
        <v>516</v>
      </c>
      <c r="C1074" t="s">
        <v>574</v>
      </c>
      <c r="G1074" t="str">
        <f t="shared" si="37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8"/>
        <v>0</v>
      </c>
    </row>
    <row r="1075" spans="1:10" x14ac:dyDescent="0.3">
      <c r="A1075" s="7" t="s">
        <v>359</v>
      </c>
      <c r="B1075" t="s">
        <v>516</v>
      </c>
      <c r="C1075" t="s">
        <v>575</v>
      </c>
      <c r="G1075" t="str">
        <f t="shared" si="37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8"/>
        <v>0</v>
      </c>
    </row>
    <row r="1076" spans="1:10" x14ac:dyDescent="0.3">
      <c r="A1076" s="7" t="s">
        <v>359</v>
      </c>
      <c r="B1076" t="s">
        <v>516</v>
      </c>
      <c r="C1076" t="s">
        <v>576</v>
      </c>
      <c r="G1076" t="str">
        <f t="shared" si="37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8"/>
        <v>0</v>
      </c>
    </row>
    <row r="1077" spans="1:10" x14ac:dyDescent="0.3">
      <c r="A1077" s="7" t="s">
        <v>359</v>
      </c>
      <c r="B1077" t="s">
        <v>516</v>
      </c>
      <c r="C1077" t="s">
        <v>577</v>
      </c>
      <c r="G1077" t="str">
        <f t="shared" si="37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8"/>
        <v>0</v>
      </c>
    </row>
    <row r="1078" spans="1:10" x14ac:dyDescent="0.3">
      <c r="A1078" s="7" t="s">
        <v>359</v>
      </c>
      <c r="B1078" t="s">
        <v>516</v>
      </c>
      <c r="C1078" t="s">
        <v>578</v>
      </c>
      <c r="G1078" t="str">
        <f t="shared" si="37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8"/>
        <v>0</v>
      </c>
    </row>
    <row r="1079" spans="1:10" x14ac:dyDescent="0.3">
      <c r="A1079" s="7" t="s">
        <v>359</v>
      </c>
      <c r="B1079" t="s">
        <v>516</v>
      </c>
      <c r="C1079" t="s">
        <v>579</v>
      </c>
      <c r="G1079" t="str">
        <f t="shared" si="37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8"/>
        <v>0</v>
      </c>
    </row>
    <row r="1080" spans="1:10" x14ac:dyDescent="0.3">
      <c r="A1080" s="7" t="s">
        <v>359</v>
      </c>
      <c r="B1080" t="s">
        <v>516</v>
      </c>
      <c r="C1080" t="s">
        <v>580</v>
      </c>
      <c r="G1080" t="str">
        <f t="shared" si="37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8"/>
        <v>0</v>
      </c>
    </row>
    <row r="1081" spans="1:10" x14ac:dyDescent="0.3">
      <c r="A1081" s="7" t="s">
        <v>359</v>
      </c>
      <c r="B1081" t="s">
        <v>516</v>
      </c>
      <c r="C1081" t="s">
        <v>581</v>
      </c>
      <c r="G1081" t="str">
        <f t="shared" si="37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8"/>
        <v>0</v>
      </c>
    </row>
    <row r="1082" spans="1:10" x14ac:dyDescent="0.3">
      <c r="A1082" s="7" t="s">
        <v>359</v>
      </c>
      <c r="B1082" t="s">
        <v>516</v>
      </c>
      <c r="C1082" t="s">
        <v>582</v>
      </c>
      <c r="G1082" t="str">
        <f t="shared" si="37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8"/>
        <v>0</v>
      </c>
    </row>
    <row r="1083" spans="1:10" x14ac:dyDescent="0.3">
      <c r="A1083" s="7" t="s">
        <v>359</v>
      </c>
      <c r="B1083" t="s">
        <v>516</v>
      </c>
      <c r="C1083" t="s">
        <v>583</v>
      </c>
      <c r="G1083" t="str">
        <f t="shared" si="37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8"/>
        <v>0</v>
      </c>
    </row>
    <row r="1084" spans="1:10" x14ac:dyDescent="0.3">
      <c r="A1084" s="7" t="s">
        <v>359</v>
      </c>
      <c r="B1084" t="s">
        <v>516</v>
      </c>
      <c r="C1084" t="s">
        <v>584</v>
      </c>
      <c r="G1084" t="str">
        <f t="shared" si="37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8"/>
        <v>0</v>
      </c>
    </row>
    <row r="1085" spans="1:10" x14ac:dyDescent="0.3">
      <c r="A1085" s="7" t="s">
        <v>359</v>
      </c>
      <c r="B1085" t="s">
        <v>516</v>
      </c>
      <c r="C1085" t="s">
        <v>585</v>
      </c>
      <c r="G1085" t="str">
        <f t="shared" si="37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8"/>
        <v>0</v>
      </c>
    </row>
    <row r="1086" spans="1:10" x14ac:dyDescent="0.3">
      <c r="A1086" s="7" t="s">
        <v>359</v>
      </c>
      <c r="B1086" t="s">
        <v>516</v>
      </c>
      <c r="C1086" t="s">
        <v>586</v>
      </c>
      <c r="G1086" t="str">
        <f t="shared" si="37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38"/>
        <v>0</v>
      </c>
    </row>
    <row r="1087" spans="1:10" x14ac:dyDescent="0.3">
      <c r="A1087" s="7" t="s">
        <v>359</v>
      </c>
      <c r="B1087" t="s">
        <v>516</v>
      </c>
      <c r="C1087" t="s">
        <v>587</v>
      </c>
      <c r="G1087" t="str">
        <f t="shared" si="37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38"/>
        <v>0</v>
      </c>
    </row>
    <row r="1088" spans="1:10" x14ac:dyDescent="0.3">
      <c r="A1088" s="7" t="s">
        <v>359</v>
      </c>
      <c r="B1088" t="s">
        <v>516</v>
      </c>
      <c r="C1088" t="s">
        <v>588</v>
      </c>
      <c r="G1088" t="str">
        <f t="shared" si="37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38"/>
        <v>0</v>
      </c>
    </row>
    <row r="1089" spans="1:10" x14ac:dyDescent="0.3">
      <c r="A1089" s="7" t="s">
        <v>359</v>
      </c>
      <c r="B1089" t="s">
        <v>516</v>
      </c>
      <c r="C1089" t="s">
        <v>589</v>
      </c>
      <c r="G1089" t="str">
        <f t="shared" si="37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38"/>
        <v>0</v>
      </c>
    </row>
    <row r="1090" spans="1:10" x14ac:dyDescent="0.3">
      <c r="A1090" s="7" t="s">
        <v>359</v>
      </c>
      <c r="B1090" t="s">
        <v>1453</v>
      </c>
      <c r="C1090" t="s">
        <v>1454</v>
      </c>
      <c r="G1090" t="str">
        <f t="shared" si="37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38"/>
        <v>0</v>
      </c>
    </row>
    <row r="1091" spans="1:10" x14ac:dyDescent="0.3">
      <c r="A1091" s="7" t="s">
        <v>359</v>
      </c>
      <c r="B1091" t="s">
        <v>1453</v>
      </c>
      <c r="C1091" t="s">
        <v>1455</v>
      </c>
      <c r="G1091" t="str">
        <f t="shared" si="37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38"/>
        <v>0</v>
      </c>
    </row>
    <row r="1092" spans="1:10" x14ac:dyDescent="0.3">
      <c r="A1092" s="7" t="s">
        <v>359</v>
      </c>
      <c r="B1092" t="s">
        <v>1453</v>
      </c>
      <c r="C1092" t="s">
        <v>1456</v>
      </c>
      <c r="G1092" t="str">
        <f t="shared" si="37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38"/>
        <v>0</v>
      </c>
    </row>
    <row r="1093" spans="1:10" x14ac:dyDescent="0.3">
      <c r="A1093" s="7" t="s">
        <v>359</v>
      </c>
      <c r="B1093" t="s">
        <v>1453</v>
      </c>
      <c r="C1093" t="s">
        <v>1457</v>
      </c>
      <c r="G1093" t="str">
        <f t="shared" si="37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38"/>
        <v>0</v>
      </c>
    </row>
    <row r="1094" spans="1:10" x14ac:dyDescent="0.3">
      <c r="A1094" s="7" t="s">
        <v>359</v>
      </c>
      <c r="B1094" t="s">
        <v>1453</v>
      </c>
      <c r="C1094" t="s">
        <v>1458</v>
      </c>
      <c r="G1094" t="str">
        <f t="shared" si="37"/>
        <v>.csv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38"/>
        <v>0</v>
      </c>
    </row>
    <row r="1095" spans="1:10" x14ac:dyDescent="0.3">
      <c r="A1095" s="7" t="s">
        <v>359</v>
      </c>
      <c r="B1095" t="s">
        <v>1453</v>
      </c>
      <c r="C1095" t="s">
        <v>1459</v>
      </c>
      <c r="G1095" t="str">
        <f t="shared" si="37"/>
        <v>.csv</v>
      </c>
      <c r="H1095" s="5" t="str">
        <f>IFERROR(IF(B1095="FoPITY",INDEX(Customizations!$C$2:$C$19,MATCH(Sheet1!C1095,Customizations!$B$2:$B$19,0),1),INDEX(About!C:C,MATCH(Sheet1!B1095,About!B:B,0),1)),"")</f>
        <v>Non-Battery Portion of New Vehicle Price.xlsx</v>
      </c>
      <c r="I1095" s="5">
        <f>IFERROR(INDEX(About!$D:$D,MATCH(Sheet1!H1095,About!$C:$C,0),1),0)</f>
        <v>0</v>
      </c>
      <c r="J1095" s="6">
        <f t="shared" si="38"/>
        <v>0</v>
      </c>
    </row>
    <row r="1096" spans="1:10" x14ac:dyDescent="0.3">
      <c r="A1096" s="7" t="s">
        <v>359</v>
      </c>
      <c r="B1096" t="s">
        <v>1453</v>
      </c>
      <c r="C1096" t="s">
        <v>1460</v>
      </c>
      <c r="G1096" t="str">
        <f t="shared" si="37"/>
        <v>.csv</v>
      </c>
      <c r="H1096" s="5" t="str">
        <f>IFERROR(IF(B1096="FoPITY",INDEX(Customizations!$C$2:$C$19,MATCH(Sheet1!C1096,Customizations!$B$2:$B$19,0),1),INDEX(About!C:C,MATCH(Sheet1!B1096,About!B:B,0),1)),"")</f>
        <v>Non-Battery Portion of New Vehicle Price.xlsx</v>
      </c>
      <c r="I1096" s="5">
        <f>IFERROR(INDEX(About!$D:$D,MATCH(Sheet1!H1096,About!$C:$C,0),1),0)</f>
        <v>0</v>
      </c>
      <c r="J1096" s="6">
        <f t="shared" si="38"/>
        <v>0</v>
      </c>
    </row>
    <row r="1097" spans="1:10" x14ac:dyDescent="0.3">
      <c r="A1097" s="7" t="s">
        <v>359</v>
      </c>
      <c r="B1097" t="s">
        <v>1453</v>
      </c>
      <c r="C1097" t="s">
        <v>1461</v>
      </c>
      <c r="G1097" t="str">
        <f t="shared" si="37"/>
        <v>.csv</v>
      </c>
      <c r="H1097" s="5" t="str">
        <f>IFERROR(IF(B1097="FoPITY",INDEX(Customizations!$C$2:$C$19,MATCH(Sheet1!C1097,Customizations!$B$2:$B$19,0),1),INDEX(About!C:C,MATCH(Sheet1!B1097,About!B:B,0),1)),"")</f>
        <v>Non-Battery Portion of New Vehicle Price.xlsx</v>
      </c>
      <c r="I1097" s="5">
        <f>IFERROR(INDEX(About!$D:$D,MATCH(Sheet1!H1097,About!$C:$C,0),1),0)</f>
        <v>0</v>
      </c>
      <c r="J1097" s="6">
        <f t="shared" si="38"/>
        <v>0</v>
      </c>
    </row>
    <row r="1098" spans="1:10" x14ac:dyDescent="0.3">
      <c r="A1098" s="7" t="s">
        <v>359</v>
      </c>
      <c r="B1098" t="s">
        <v>1453</v>
      </c>
      <c r="C1098" t="s">
        <v>1462</v>
      </c>
      <c r="G1098" t="str">
        <f t="shared" si="37"/>
        <v>.csv</v>
      </c>
      <c r="H1098" s="5" t="str">
        <f>IFERROR(IF(B1098="FoPITY",INDEX(Customizations!$C$2:$C$19,MATCH(Sheet1!C1098,Customizations!$B$2:$B$19,0),1),INDEX(About!C:C,MATCH(Sheet1!B1098,About!B:B,0),1)),"")</f>
        <v>Non-Battery Portion of New Vehicle Price.xlsx</v>
      </c>
      <c r="I1098" s="5">
        <f>IFERROR(INDEX(About!$D:$D,MATCH(Sheet1!H1098,About!$C:$C,0),1),0)</f>
        <v>0</v>
      </c>
      <c r="J1098" s="6">
        <f t="shared" si="38"/>
        <v>0</v>
      </c>
    </row>
    <row r="1099" spans="1:10" x14ac:dyDescent="0.3">
      <c r="A1099" s="7" t="s">
        <v>359</v>
      </c>
      <c r="B1099" t="s">
        <v>1453</v>
      </c>
      <c r="C1099" t="s">
        <v>1463</v>
      </c>
      <c r="G1099" t="str">
        <f t="shared" si="37"/>
        <v>.csv</v>
      </c>
      <c r="H1099" s="5" t="str">
        <f>IFERROR(IF(B1099="FoPITY",INDEX(Customizations!$C$2:$C$19,MATCH(Sheet1!C1099,Customizations!$B$2:$B$19,0),1),INDEX(About!C:C,MATCH(Sheet1!B1099,About!B:B,0),1)),"")</f>
        <v>Non-Battery Portion of New Vehicle Price.xlsx</v>
      </c>
      <c r="I1099" s="5">
        <f>IFERROR(INDEX(About!$D:$D,MATCH(Sheet1!H1099,About!$C:$C,0),1),0)</f>
        <v>0</v>
      </c>
      <c r="J1099" s="6">
        <f t="shared" si="38"/>
        <v>0</v>
      </c>
    </row>
    <row r="1100" spans="1:10" x14ac:dyDescent="0.3">
      <c r="A1100" s="7" t="s">
        <v>359</v>
      </c>
      <c r="B1100" t="s">
        <v>1453</v>
      </c>
      <c r="C1100" t="s">
        <v>1464</v>
      </c>
      <c r="G1100" t="str">
        <f t="shared" si="37"/>
        <v>.csv</v>
      </c>
      <c r="H1100" s="5" t="str">
        <f>IFERROR(IF(B1100="FoPITY",INDEX(Customizations!$C$2:$C$19,MATCH(Sheet1!C1100,Customizations!$B$2:$B$19,0),1),INDEX(About!C:C,MATCH(Sheet1!B1100,About!B:B,0),1)),"")</f>
        <v>Non-Battery Portion of New Vehicle Price.xlsx</v>
      </c>
      <c r="I1100" s="5">
        <f>IFERROR(INDEX(About!$D:$D,MATCH(Sheet1!H1100,About!$C:$C,0),1),0)</f>
        <v>0</v>
      </c>
      <c r="J1100" s="6">
        <f t="shared" si="38"/>
        <v>0</v>
      </c>
    </row>
    <row r="1101" spans="1:10" x14ac:dyDescent="0.3">
      <c r="A1101" s="7" t="s">
        <v>359</v>
      </c>
      <c r="B1101" t="s">
        <v>1453</v>
      </c>
      <c r="C1101" t="s">
        <v>1465</v>
      </c>
      <c r="G1101" t="str">
        <f t="shared" si="37"/>
        <v>.csv</v>
      </c>
      <c r="H1101" s="5" t="str">
        <f>IFERROR(IF(B1101="FoPITY",INDEX(Customizations!$C$2:$C$19,MATCH(Sheet1!C1101,Customizations!$B$2:$B$19,0),1),INDEX(About!C:C,MATCH(Sheet1!B1101,About!B:B,0),1)),"")</f>
        <v>Non-Battery Portion of New Vehicle Price.xlsx</v>
      </c>
      <c r="I1101" s="5">
        <f>IFERROR(INDEX(About!$D:$D,MATCH(Sheet1!H1101,About!$C:$C,0),1),0)</f>
        <v>0</v>
      </c>
      <c r="J1101" s="6">
        <f t="shared" si="38"/>
        <v>0</v>
      </c>
    </row>
    <row r="1102" spans="1:10" x14ac:dyDescent="0.3">
      <c r="A1102" s="7" t="s">
        <v>359</v>
      </c>
      <c r="B1102" t="s">
        <v>1453</v>
      </c>
      <c r="C1102" t="s">
        <v>1466</v>
      </c>
      <c r="G1102" t="str">
        <f t="shared" si="37"/>
        <v>xlsx</v>
      </c>
      <c r="H1102" s="5" t="str">
        <f>IFERROR(IF(B1102="FoPITY",INDEX(Customizations!$C$2:$C$19,MATCH(Sheet1!C1102,Customizations!$B$2:$B$19,0),1),INDEX(About!C:C,MATCH(Sheet1!B1102,About!B:B,0),1)),"")</f>
        <v>Non-Battery Portion of New Vehicle Price.xlsx</v>
      </c>
      <c r="I1102" s="5">
        <f>IFERROR(INDEX(About!$D:$D,MATCH(Sheet1!H1102,About!$C:$C,0),1),0)</f>
        <v>0</v>
      </c>
      <c r="J1102" s="6">
        <f t="shared" si="38"/>
        <v>0</v>
      </c>
    </row>
    <row r="1103" spans="1:10" x14ac:dyDescent="0.3">
      <c r="A1103" s="7" t="s">
        <v>359</v>
      </c>
      <c r="B1103" t="s">
        <v>590</v>
      </c>
      <c r="C1103" t="s">
        <v>591</v>
      </c>
      <c r="G1103" t="str">
        <f t="shared" si="37"/>
        <v>xlsx</v>
      </c>
      <c r="H1103" s="5" t="str">
        <f>IFERROR(IF(B1103="FoPITY",INDEX(Customizations!$C$2:$C$19,MATCH(Sheet1!C1103,Customizations!$B$2:$B$19,0),1),INDEX(About!C:C,MATCH(Sheet1!B1103,About!B:B,0),1)),"")</f>
        <v>Perc Trans Fuel Use Reduction for Elec.xlsx</v>
      </c>
      <c r="I1103" s="5">
        <f>IFERROR(INDEX(About!$D:$D,MATCH(Sheet1!H1103,About!$C:$C,0),1),0)</f>
        <v>0</v>
      </c>
      <c r="J1103" s="6">
        <f t="shared" si="38"/>
        <v>0</v>
      </c>
    </row>
    <row r="1104" spans="1:10" x14ac:dyDescent="0.3">
      <c r="A1104" s="7" t="s">
        <v>359</v>
      </c>
      <c r="B1104" t="s">
        <v>590</v>
      </c>
      <c r="C1104" t="s">
        <v>592</v>
      </c>
      <c r="G1104" t="str">
        <f t="shared" si="37"/>
        <v>.csv</v>
      </c>
      <c r="H1104" s="5" t="str">
        <f>IFERROR(IF(B1104="FoPITY",INDEX(Customizations!$C$2:$C$19,MATCH(Sheet1!C1104,Customizations!$B$2:$B$19,0),1),INDEX(About!C:C,MATCH(Sheet1!B1104,About!B:B,0),1)),"")</f>
        <v>Perc Trans Fuel Use Reduction for Elec.xlsx</v>
      </c>
      <c r="I1104" s="5">
        <f>IFERROR(INDEX(About!$D:$D,MATCH(Sheet1!H1104,About!$C:$C,0),1),0)</f>
        <v>0</v>
      </c>
      <c r="J1104" s="6">
        <f t="shared" si="38"/>
        <v>0</v>
      </c>
    </row>
    <row r="1105" spans="1:10" x14ac:dyDescent="0.3">
      <c r="A1105" s="7" t="s">
        <v>359</v>
      </c>
      <c r="B1105" t="s">
        <v>1467</v>
      </c>
      <c r="C1105" t="s">
        <v>1468</v>
      </c>
      <c r="G1105" t="str">
        <f t="shared" si="37"/>
        <v>xlsx</v>
      </c>
      <c r="H1105" s="5" t="str">
        <f>IFERROR(IF(B1105="FoPITY",INDEX(Customizations!$C$2:$C$19,MATCH(Sheet1!C1105,Customizations!$B$2:$B$19,0),1),INDEX(About!C:C,MATCH(Sheet1!B1105,About!B:B,0),1)),"")</f>
        <v>Policy Veh Types Subject to LCFS.xlsx</v>
      </c>
      <c r="I1105" s="5">
        <f>IFERROR(INDEX(About!$D:$D,MATCH(Sheet1!H1105,About!$C:$C,0),1),0)</f>
        <v>0</v>
      </c>
      <c r="J1105" s="6">
        <f t="shared" si="38"/>
        <v>0</v>
      </c>
    </row>
    <row r="1106" spans="1:10" x14ac:dyDescent="0.3">
      <c r="A1106" s="7" t="s">
        <v>359</v>
      </c>
      <c r="B1106" t="s">
        <v>1467</v>
      </c>
      <c r="C1106" t="s">
        <v>1469</v>
      </c>
      <c r="G1106" t="str">
        <f t="shared" si="37"/>
        <v>.csv</v>
      </c>
      <c r="H1106" s="5" t="str">
        <f>IFERROR(IF(B1106="FoPITY",INDEX(Customizations!$C$2:$C$19,MATCH(Sheet1!C1106,Customizations!$B$2:$B$19,0),1),INDEX(About!C:C,MATCH(Sheet1!B1106,About!B:B,0),1)),"")</f>
        <v>Policy Veh Types Subject to LCFS.xlsx</v>
      </c>
      <c r="I1106" s="5">
        <f>IFERROR(INDEX(About!$D:$D,MATCH(Sheet1!H1106,About!$C:$C,0),1),0)</f>
        <v>0</v>
      </c>
      <c r="J1106" s="6">
        <f t="shared" si="38"/>
        <v>0</v>
      </c>
    </row>
    <row r="1107" spans="1:10" x14ac:dyDescent="0.3">
      <c r="A1107" s="7" t="s">
        <v>359</v>
      </c>
      <c r="B1107" t="s">
        <v>788</v>
      </c>
      <c r="C1107" t="s">
        <v>789</v>
      </c>
      <c r="G1107" t="str">
        <f t="shared" si="37"/>
        <v>.csv</v>
      </c>
      <c r="H1107" s="5" t="str">
        <f>IFERROR(IF(B1107="FoPITY",INDEX(Customizations!$C$2:$C$19,MATCH(Sheet1!C1107,Customizations!$B$2:$B$19,0),1),INDEX(About!C:C,MATCH(Sheet1!B1107,About!B:B,0),1)),"")</f>
        <v>Quantization Size for Vehicles.xlsx</v>
      </c>
      <c r="I1107" s="5">
        <f>IFERROR(INDEX(About!$D:$D,MATCH(Sheet1!H1107,About!$C:$C,0),1),0)</f>
        <v>0</v>
      </c>
      <c r="J1107" s="6">
        <f t="shared" si="38"/>
        <v>0</v>
      </c>
    </row>
    <row r="1108" spans="1:10" x14ac:dyDescent="0.3">
      <c r="A1108" s="7" t="s">
        <v>359</v>
      </c>
      <c r="B1108" t="s">
        <v>788</v>
      </c>
      <c r="C1108" t="s">
        <v>790</v>
      </c>
      <c r="G1108" t="str">
        <f t="shared" si="37"/>
        <v>xlsx</v>
      </c>
      <c r="H1108" s="5" t="str">
        <f>IFERROR(IF(B1108="FoPITY",INDEX(Customizations!$C$2:$C$19,MATCH(Sheet1!C1108,Customizations!$B$2:$B$19,0),1),INDEX(About!C:C,MATCH(Sheet1!B1108,About!B:B,0),1)),"")</f>
        <v>Quantization Size for Vehicles.xlsx</v>
      </c>
      <c r="I1108" s="5">
        <f>IFERROR(INDEX(About!$D:$D,MATCH(Sheet1!H1108,About!$C:$C,0),1),0)</f>
        <v>0</v>
      </c>
      <c r="J1108" s="6">
        <f t="shared" si="38"/>
        <v>0</v>
      </c>
    </row>
    <row r="1109" spans="1:10" x14ac:dyDescent="0.3">
      <c r="A1109" s="7" t="s">
        <v>359</v>
      </c>
      <c r="B1109" t="s">
        <v>1470</v>
      </c>
      <c r="C1109" t="s">
        <v>1471</v>
      </c>
      <c r="G1109" t="str">
        <f t="shared" si="37"/>
        <v>xlsx</v>
      </c>
      <c r="H1109" s="5" t="str">
        <f>IFERROR(IF(B1109="FoPITY",INDEX(Customizations!$C$2:$C$19,MATCH(Sheet1!C1109,Customizations!$B$2:$B$19,0),1),INDEX(About!C:C,MATCH(Sheet1!B1109,About!B:B,0),1)),"")</f>
        <v>Retail Price Equivalent Factor.xlsx</v>
      </c>
      <c r="I1109" s="5">
        <f>IFERROR(INDEX(About!$D:$D,MATCH(Sheet1!H1109,About!$C:$C,0),1),0)</f>
        <v>0</v>
      </c>
      <c r="J1109" s="6">
        <f t="shared" si="38"/>
        <v>0</v>
      </c>
    </row>
    <row r="1110" spans="1:10" x14ac:dyDescent="0.3">
      <c r="A1110" s="7" t="s">
        <v>359</v>
      </c>
      <c r="B1110" t="s">
        <v>1470</v>
      </c>
      <c r="C1110" t="s">
        <v>1472</v>
      </c>
      <c r="G1110" t="str">
        <f t="shared" si="37"/>
        <v>.csv</v>
      </c>
      <c r="H1110" s="5" t="str">
        <f>IFERROR(IF(B1110="FoPITY",INDEX(Customizations!$C$2:$C$19,MATCH(Sheet1!C1110,Customizations!$B$2:$B$19,0),1),INDEX(About!C:C,MATCH(Sheet1!B1110,About!B:B,0),1)),"")</f>
        <v>Retail Price Equivalent Factor.xlsx</v>
      </c>
      <c r="I1110" s="5">
        <f>IFERROR(INDEX(About!$D:$D,MATCH(Sheet1!H1110,About!$C:$C,0),1),0)</f>
        <v>0</v>
      </c>
      <c r="J1110" s="6">
        <f t="shared" si="38"/>
        <v>0</v>
      </c>
    </row>
    <row r="1111" spans="1:10" x14ac:dyDescent="0.3">
      <c r="A1111" s="7" t="s">
        <v>359</v>
      </c>
      <c r="B1111" t="s">
        <v>915</v>
      </c>
      <c r="C1111" t="s">
        <v>916</v>
      </c>
      <c r="G1111" t="str">
        <f t="shared" si="37"/>
        <v>xlsx</v>
      </c>
      <c r="H1111" s="5" t="str">
        <f>IFERROR(IF(B1111="FoPITY",INDEX(Customizations!$C$2:$C$19,MATCH(Sheet1!C1111,Customizations!$B$2:$B$19,0),1),INDEX(About!C:C,MATCH(Sheet1!B1111,About!B:B,0),1)),"")</f>
        <v>Recipient Transportation Mode Fractions.xlsx</v>
      </c>
      <c r="I1111" s="5">
        <f>IFERROR(INDEX(About!$D:$D,MATCH(Sheet1!H1111,About!$C:$C,0),1),0)</f>
        <v>0</v>
      </c>
      <c r="J1111" s="6">
        <f t="shared" si="38"/>
        <v>0</v>
      </c>
    </row>
    <row r="1112" spans="1:10" x14ac:dyDescent="0.3">
      <c r="A1112" s="7" t="s">
        <v>359</v>
      </c>
      <c r="B1112" t="s">
        <v>915</v>
      </c>
      <c r="C1112" t="s">
        <v>917</v>
      </c>
      <c r="G1112" t="str">
        <f t="shared" si="37"/>
        <v>.csv</v>
      </c>
      <c r="H1112" s="5" t="str">
        <f>IFERROR(IF(B1112="FoPITY",INDEX(Customizations!$C$2:$C$19,MATCH(Sheet1!C1112,Customizations!$B$2:$B$19,0),1),INDEX(About!C:C,MATCH(Sheet1!B1112,About!B:B,0),1)),"")</f>
        <v>Recipient Transportation Mode Fractions.xlsx</v>
      </c>
      <c r="I1112" s="5">
        <f>IFERROR(INDEX(About!$D:$D,MATCH(Sheet1!H1112,About!$C:$C,0),1),0)</f>
        <v>0</v>
      </c>
      <c r="J1112" s="6">
        <f t="shared" si="38"/>
        <v>0</v>
      </c>
    </row>
    <row r="1113" spans="1:10" x14ac:dyDescent="0.3">
      <c r="A1113" s="7" t="s">
        <v>359</v>
      </c>
      <c r="B1113" t="s">
        <v>915</v>
      </c>
      <c r="C1113" t="s">
        <v>918</v>
      </c>
      <c r="G1113" t="str">
        <f t="shared" si="37"/>
        <v>.csv</v>
      </c>
      <c r="H1113" s="5" t="str">
        <f>IFERROR(IF(B1113="FoPITY",INDEX(Customizations!$C$2:$C$19,MATCH(Sheet1!C1113,Customizations!$B$2:$B$19,0),1),INDEX(About!C:C,MATCH(Sheet1!B1113,About!B:B,0),1)),"")</f>
        <v>Recipient Transportation Mode Fractions.xlsx</v>
      </c>
      <c r="I1113" s="5">
        <f>IFERROR(INDEX(About!$D:$D,MATCH(Sheet1!H1113,About!$C:$C,0),1),0)</f>
        <v>0</v>
      </c>
      <c r="J1113" s="6">
        <f t="shared" si="38"/>
        <v>0</v>
      </c>
    </row>
    <row r="1114" spans="1:10" x14ac:dyDescent="0.3">
      <c r="A1114" s="7" t="s">
        <v>359</v>
      </c>
      <c r="B1114" t="s">
        <v>1473</v>
      </c>
      <c r="C1114" t="s">
        <v>1474</v>
      </c>
      <c r="G1114" t="str">
        <f t="shared" si="37"/>
        <v>xlsx</v>
      </c>
      <c r="H1114" s="5" t="str">
        <f>IFERROR(IF(B1114="FoPITY",INDEX(Customizations!$C$2:$C$19,MATCH(Sheet1!C1114,Customizations!$B$2:$B$19,0),1),INDEX(About!C:C,MATCH(Sheet1!B1114,About!B:B,0),1)),"")</f>
        <v>Required ZEV Sales Perc by Subregion.xlsx</v>
      </c>
      <c r="I1114" s="5">
        <f>IFERROR(INDEX(About!$D:$D,MATCH(Sheet1!H1114,About!$C:$C,0),1),0)</f>
        <v>0</v>
      </c>
      <c r="J1114" s="6">
        <f t="shared" si="38"/>
        <v>0</v>
      </c>
    </row>
    <row r="1115" spans="1:10" x14ac:dyDescent="0.3">
      <c r="A1115" s="7" t="s">
        <v>359</v>
      </c>
      <c r="B1115" t="s">
        <v>1473</v>
      </c>
      <c r="C1115" t="s">
        <v>1475</v>
      </c>
      <c r="G1115" t="str">
        <f t="shared" si="37"/>
        <v>.csv</v>
      </c>
      <c r="H1115" s="5" t="str">
        <f>IFERROR(IF(B1115="FoPITY",INDEX(Customizations!$C$2:$C$19,MATCH(Sheet1!C1115,Customizations!$B$2:$B$19,0),1),INDEX(About!C:C,MATCH(Sheet1!B1115,About!B:B,0),1)),"")</f>
        <v>Required ZEV Sales Perc by Subregion.xlsx</v>
      </c>
      <c r="I1115" s="5">
        <f>IFERROR(INDEX(About!$D:$D,MATCH(Sheet1!H1115,About!$C:$C,0),1),0)</f>
        <v>0</v>
      </c>
      <c r="J1115" s="6">
        <f t="shared" si="38"/>
        <v>0</v>
      </c>
    </row>
    <row r="1116" spans="1:10" x14ac:dyDescent="0.3">
      <c r="A1116" s="7" t="s">
        <v>359</v>
      </c>
      <c r="B1116" t="s">
        <v>1473</v>
      </c>
      <c r="C1116" t="s">
        <v>1476</v>
      </c>
      <c r="G1116" t="str">
        <f t="shared" si="37"/>
        <v>.csv</v>
      </c>
      <c r="H1116" s="5" t="str">
        <f>IFERROR(IF(B1116="FoPITY",INDEX(Customizations!$C$2:$C$19,MATCH(Sheet1!C1116,Customizations!$B$2:$B$19,0),1),INDEX(About!C:C,MATCH(Sheet1!B1116,About!B:B,0),1)),"")</f>
        <v>Required ZEV Sales Perc by Subregion.xlsx</v>
      </c>
      <c r="I1116" s="5">
        <f>IFERROR(INDEX(About!$D:$D,MATCH(Sheet1!H1116,About!$C:$C,0),1),0)</f>
        <v>0</v>
      </c>
      <c r="J1116" s="6">
        <f t="shared" si="38"/>
        <v>0</v>
      </c>
    </row>
    <row r="1117" spans="1:10" x14ac:dyDescent="0.3">
      <c r="A1117" s="7" t="s">
        <v>359</v>
      </c>
      <c r="B1117" t="s">
        <v>1473</v>
      </c>
      <c r="C1117" t="s">
        <v>1477</v>
      </c>
      <c r="G1117" t="str">
        <f t="shared" si="37"/>
        <v>.csv</v>
      </c>
      <c r="H1117" s="5" t="str">
        <f>IFERROR(IF(B1117="FoPITY",INDEX(Customizations!$C$2:$C$19,MATCH(Sheet1!C1117,Customizations!$B$2:$B$19,0),1),INDEX(About!C:C,MATCH(Sheet1!B1117,About!B:B,0),1)),"")</f>
        <v>Required ZEV Sales Perc by Subregion.xlsx</v>
      </c>
      <c r="I1117" s="5">
        <f>IFERROR(INDEX(About!$D:$D,MATCH(Sheet1!H1117,About!$C:$C,0),1),0)</f>
        <v>0</v>
      </c>
      <c r="J1117" s="6">
        <f t="shared" si="38"/>
        <v>0</v>
      </c>
    </row>
    <row r="1118" spans="1:10" x14ac:dyDescent="0.3">
      <c r="A1118" s="7" t="s">
        <v>359</v>
      </c>
      <c r="B1118" t="s">
        <v>1473</v>
      </c>
      <c r="C1118" t="s">
        <v>1478</v>
      </c>
      <c r="G1118" t="str">
        <f t="shared" si="37"/>
        <v>.csv</v>
      </c>
      <c r="H1118" s="5" t="str">
        <f>IFERROR(IF(B1118="FoPITY",INDEX(Customizations!$C$2:$C$19,MATCH(Sheet1!C1118,Customizations!$B$2:$B$19,0),1),INDEX(About!C:C,MATCH(Sheet1!B1118,About!B:B,0),1)),"")</f>
        <v>Required ZEV Sales Perc by Subregion.xlsx</v>
      </c>
      <c r="I1118" s="5">
        <f>IFERROR(INDEX(About!$D:$D,MATCH(Sheet1!H1118,About!$C:$C,0),1),0)</f>
        <v>0</v>
      </c>
      <c r="J1118" s="6">
        <f t="shared" si="38"/>
        <v>0</v>
      </c>
    </row>
    <row r="1119" spans="1:10" x14ac:dyDescent="0.3">
      <c r="A1119" s="7" t="s">
        <v>359</v>
      </c>
      <c r="B1119" t="s">
        <v>1473</v>
      </c>
      <c r="C1119" t="s">
        <v>1479</v>
      </c>
      <c r="G1119" t="str">
        <f t="shared" si="37"/>
        <v>.csv</v>
      </c>
      <c r="H1119" s="5" t="str">
        <f>IFERROR(IF(B1119="FoPITY",INDEX(Customizations!$C$2:$C$19,MATCH(Sheet1!C1119,Customizations!$B$2:$B$19,0),1),INDEX(About!C:C,MATCH(Sheet1!B1119,About!B:B,0),1)),"")</f>
        <v>Required ZEV Sales Perc by Subregion.xlsx</v>
      </c>
      <c r="I1119" s="5">
        <f>IFERROR(INDEX(About!$D:$D,MATCH(Sheet1!H1119,About!$C:$C,0),1),0)</f>
        <v>0</v>
      </c>
      <c r="J1119" s="6">
        <f t="shared" si="38"/>
        <v>0</v>
      </c>
    </row>
    <row r="1120" spans="1:10" x14ac:dyDescent="0.3">
      <c r="A1120" s="7" t="s">
        <v>359</v>
      </c>
      <c r="B1120" t="s">
        <v>1473</v>
      </c>
      <c r="C1120" t="s">
        <v>1480</v>
      </c>
      <c r="G1120" t="str">
        <f t="shared" si="37"/>
        <v>.csv</v>
      </c>
      <c r="H1120" s="5" t="str">
        <f>IFERROR(IF(B1120="FoPITY",INDEX(Customizations!$C$2:$C$19,MATCH(Sheet1!C1120,Customizations!$B$2:$B$19,0),1),INDEX(About!C:C,MATCH(Sheet1!B1120,About!B:B,0),1)),"")</f>
        <v>Required ZEV Sales Perc by Subregion.xlsx</v>
      </c>
      <c r="I1120" s="5">
        <f>IFERROR(INDEX(About!$D:$D,MATCH(Sheet1!H1120,About!$C:$C,0),1),0)</f>
        <v>0</v>
      </c>
      <c r="J1120" s="6">
        <f t="shared" si="38"/>
        <v>0</v>
      </c>
    </row>
    <row r="1121" spans="1:10" x14ac:dyDescent="0.3">
      <c r="A1121" s="7" t="s">
        <v>359</v>
      </c>
      <c r="B1121" t="s">
        <v>1473</v>
      </c>
      <c r="C1121" t="s">
        <v>1481</v>
      </c>
      <c r="G1121" t="str">
        <f t="shared" ref="G1121:G1184" si="39">RIGHT(C1121,"4")</f>
        <v>.csv</v>
      </c>
      <c r="H1121" s="5" t="str">
        <f>IFERROR(IF(B1121="FoPITY",INDEX(Customizations!$C$2:$C$19,MATCH(Sheet1!C1121,Customizations!$B$2:$B$19,0),1),INDEX(About!C:C,MATCH(Sheet1!B1121,About!B:B,0),1)),"")</f>
        <v>Required ZEV Sales Perc by Subregion.xlsx</v>
      </c>
      <c r="I1121" s="5">
        <f>IFERROR(INDEX(About!$D:$D,MATCH(Sheet1!H1121,About!$C:$C,0),1),0)</f>
        <v>0</v>
      </c>
      <c r="J1121" s="6">
        <f t="shared" si="38"/>
        <v>0</v>
      </c>
    </row>
    <row r="1122" spans="1:10" x14ac:dyDescent="0.3">
      <c r="A1122" s="7" t="s">
        <v>359</v>
      </c>
      <c r="B1122" t="s">
        <v>1473</v>
      </c>
      <c r="C1122" t="s">
        <v>1482</v>
      </c>
      <c r="G1122" t="str">
        <f t="shared" si="39"/>
        <v>.csv</v>
      </c>
      <c r="H1122" s="5" t="str">
        <f>IFERROR(IF(B1122="FoPITY",INDEX(Customizations!$C$2:$C$19,MATCH(Sheet1!C1122,Customizations!$B$2:$B$19,0),1),INDEX(About!C:C,MATCH(Sheet1!B1122,About!B:B,0),1)),"")</f>
        <v>Required ZEV Sales Perc by Subregion.xlsx</v>
      </c>
      <c r="I1122" s="5">
        <f>IFERROR(INDEX(About!$D:$D,MATCH(Sheet1!H1122,About!$C:$C,0),1),0)</f>
        <v>0</v>
      </c>
      <c r="J1122" s="6">
        <f t="shared" si="38"/>
        <v>0</v>
      </c>
    </row>
    <row r="1123" spans="1:10" x14ac:dyDescent="0.3">
      <c r="A1123" s="7" t="s">
        <v>359</v>
      </c>
      <c r="B1123" t="s">
        <v>1473</v>
      </c>
      <c r="C1123" t="s">
        <v>1483</v>
      </c>
      <c r="G1123" t="str">
        <f t="shared" si="39"/>
        <v>.csv</v>
      </c>
      <c r="H1123" s="5" t="str">
        <f>IFERROR(IF(B1123="FoPITY",INDEX(Customizations!$C$2:$C$19,MATCH(Sheet1!C1123,Customizations!$B$2:$B$19,0),1),INDEX(About!C:C,MATCH(Sheet1!B1123,About!B:B,0),1)),"")</f>
        <v>Required ZEV Sales Perc by Subregion.xlsx</v>
      </c>
      <c r="I1123" s="5">
        <f>IFERROR(INDEX(About!$D:$D,MATCH(Sheet1!H1123,About!$C:$C,0),1),0)</f>
        <v>0</v>
      </c>
      <c r="J1123" s="6">
        <f t="shared" si="38"/>
        <v>0</v>
      </c>
    </row>
    <row r="1124" spans="1:10" x14ac:dyDescent="0.3">
      <c r="A1124" s="7" t="s">
        <v>359</v>
      </c>
      <c r="B1124" t="s">
        <v>1473</v>
      </c>
      <c r="C1124" t="s">
        <v>1484</v>
      </c>
      <c r="G1124" t="str">
        <f t="shared" si="39"/>
        <v>.csv</v>
      </c>
      <c r="H1124" s="5" t="str">
        <f>IFERROR(IF(B1124="FoPITY",INDEX(Customizations!$C$2:$C$19,MATCH(Sheet1!C1124,Customizations!$B$2:$B$19,0),1),INDEX(About!C:C,MATCH(Sheet1!B1124,About!B:B,0),1)),"")</f>
        <v>Required ZEV Sales Perc by Subregion.xlsx</v>
      </c>
      <c r="I1124" s="5">
        <f>IFERROR(INDEX(About!$D:$D,MATCH(Sheet1!H1124,About!$C:$C,0),1),0)</f>
        <v>0</v>
      </c>
      <c r="J1124" s="6">
        <f t="shared" ref="J1124:J1187" si="40">IF(G1124=".csv",1,0)*I1124</f>
        <v>0</v>
      </c>
    </row>
    <row r="1125" spans="1:10" x14ac:dyDescent="0.3">
      <c r="A1125" s="7" t="s">
        <v>359</v>
      </c>
      <c r="B1125" t="s">
        <v>1473</v>
      </c>
      <c r="C1125" t="s">
        <v>1485</v>
      </c>
      <c r="G1125" t="str">
        <f t="shared" si="39"/>
        <v>.csv</v>
      </c>
      <c r="H1125" s="5" t="str">
        <f>IFERROR(IF(B1125="FoPITY",INDEX(Customizations!$C$2:$C$19,MATCH(Sheet1!C1125,Customizations!$B$2:$B$19,0),1),INDEX(About!C:C,MATCH(Sheet1!B1125,About!B:B,0),1)),"")</f>
        <v>Required ZEV Sales Perc by Subregion.xlsx</v>
      </c>
      <c r="I1125" s="5">
        <f>IFERROR(INDEX(About!$D:$D,MATCH(Sheet1!H1125,About!$C:$C,0),1),0)</f>
        <v>0</v>
      </c>
      <c r="J1125" s="6">
        <f t="shared" si="40"/>
        <v>0</v>
      </c>
    </row>
    <row r="1126" spans="1:10" x14ac:dyDescent="0.3">
      <c r="A1126" s="7" t="s">
        <v>359</v>
      </c>
      <c r="B1126" t="s">
        <v>1473</v>
      </c>
      <c r="C1126" t="s">
        <v>1486</v>
      </c>
      <c r="G1126" t="str">
        <f t="shared" si="39"/>
        <v>.csv</v>
      </c>
      <c r="H1126" s="5" t="str">
        <f>IFERROR(IF(B1126="FoPITY",INDEX(Customizations!$C$2:$C$19,MATCH(Sheet1!C1126,Customizations!$B$2:$B$19,0),1),INDEX(About!C:C,MATCH(Sheet1!B1126,About!B:B,0),1)),"")</f>
        <v>Required ZEV Sales Perc by Subregion.xlsx</v>
      </c>
      <c r="I1126" s="5">
        <f>IFERROR(INDEX(About!$D:$D,MATCH(Sheet1!H1126,About!$C:$C,0),1),0)</f>
        <v>0</v>
      </c>
      <c r="J1126" s="6">
        <f t="shared" si="40"/>
        <v>0</v>
      </c>
    </row>
    <row r="1127" spans="1:10" x14ac:dyDescent="0.3">
      <c r="A1127" s="7" t="s">
        <v>359</v>
      </c>
      <c r="B1127" t="s">
        <v>593</v>
      </c>
      <c r="C1127" t="s">
        <v>594</v>
      </c>
      <c r="G1127" t="str">
        <f t="shared" si="39"/>
        <v>xlsx</v>
      </c>
      <c r="H1127" s="5" t="str">
        <f>IFERROR(IF(B1127="FoPITY",INDEX(Customizations!$C$2:$C$19,MATCH(Sheet1!C1127,Customizations!$B$2:$B$19,0),1),INDEX(About!C:C,MATCH(Sheet1!B1127,About!B:B,0),1)),"")</f>
        <v>Share of Cargo Dist Transported that is New This Year.xlsx</v>
      </c>
      <c r="I1127" s="5">
        <f>IFERROR(INDEX(About!$D:$D,MATCH(Sheet1!H1127,About!$C:$C,0),1),0)</f>
        <v>0</v>
      </c>
      <c r="J1127" s="6">
        <f t="shared" si="40"/>
        <v>0</v>
      </c>
    </row>
    <row r="1128" spans="1:10" x14ac:dyDescent="0.3">
      <c r="A1128" s="7" t="s">
        <v>359</v>
      </c>
      <c r="B1128" t="s">
        <v>593</v>
      </c>
      <c r="C1128" t="s">
        <v>683</v>
      </c>
      <c r="G1128" t="str">
        <f t="shared" si="39"/>
        <v>.csv</v>
      </c>
      <c r="H1128" s="5" t="str">
        <f>IFERROR(IF(B1128="FoPITY",INDEX(Customizations!$C$2:$C$19,MATCH(Sheet1!C1128,Customizations!$B$2:$B$19,0),1),INDEX(About!C:C,MATCH(Sheet1!B1128,About!B:B,0),1)),"")</f>
        <v>Share of Cargo Dist Transported that is New This Year.xlsx</v>
      </c>
      <c r="I1128" s="5">
        <f>IFERROR(INDEX(About!$D:$D,MATCH(Sheet1!H1128,About!$C:$C,0),1),0)</f>
        <v>0</v>
      </c>
      <c r="J1128" s="6">
        <f t="shared" si="40"/>
        <v>0</v>
      </c>
    </row>
    <row r="1129" spans="1:10" x14ac:dyDescent="0.3">
      <c r="A1129" s="7" t="s">
        <v>359</v>
      </c>
      <c r="B1129" t="s">
        <v>593</v>
      </c>
      <c r="C1129" t="s">
        <v>684</v>
      </c>
      <c r="G1129" t="str">
        <f t="shared" si="39"/>
        <v>.csv</v>
      </c>
      <c r="H1129" s="5" t="str">
        <f>IFERROR(IF(B1129="FoPITY",INDEX(Customizations!$C$2:$C$19,MATCH(Sheet1!C1129,Customizations!$B$2:$B$19,0),1),INDEX(About!C:C,MATCH(Sheet1!B1129,About!B:B,0),1)),"")</f>
        <v>Share of Cargo Dist Transported that is New This Year.xlsx</v>
      </c>
      <c r="I1129" s="5">
        <f>IFERROR(INDEX(About!$D:$D,MATCH(Sheet1!H1129,About!$C:$C,0),1),0)</f>
        <v>0</v>
      </c>
      <c r="J1129" s="6">
        <f t="shared" si="40"/>
        <v>0</v>
      </c>
    </row>
    <row r="1130" spans="1:10" x14ac:dyDescent="0.3">
      <c r="A1130" s="7" t="s">
        <v>359</v>
      </c>
      <c r="B1130" t="s">
        <v>595</v>
      </c>
      <c r="C1130" t="s">
        <v>596</v>
      </c>
      <c r="G1130" t="str">
        <f t="shared" si="39"/>
        <v>xlsx</v>
      </c>
      <c r="H1130" s="5" t="str">
        <f>IFERROR(IF(B1130="FoPITY",INDEX(Customizations!$C$2:$C$19,MATCH(Sheet1!C1130,Customizations!$B$2:$B$19,0),1),INDEX(About!C:C,MATCH(Sheet1!B1130,About!B:B,0),1)),"")</f>
        <v>Separately Regulated Pollutants by Vehicle Type.xlsx</v>
      </c>
      <c r="I1130" s="5">
        <f>IFERROR(INDEX(About!$D:$D,MATCH(Sheet1!H1130,About!$C:$C,0),1),0)</f>
        <v>0</v>
      </c>
      <c r="J1130" s="6">
        <f t="shared" si="40"/>
        <v>0</v>
      </c>
    </row>
    <row r="1131" spans="1:10" x14ac:dyDescent="0.3">
      <c r="A1131" s="7" t="s">
        <v>359</v>
      </c>
      <c r="B1131" t="s">
        <v>595</v>
      </c>
      <c r="C1131" t="s">
        <v>597</v>
      </c>
      <c r="G1131" t="str">
        <f t="shared" si="39"/>
        <v>.csv</v>
      </c>
      <c r="H1131" s="5" t="str">
        <f>IFERROR(IF(B1131="FoPITY",INDEX(Customizations!$C$2:$C$19,MATCH(Sheet1!C1131,Customizations!$B$2:$B$19,0),1),INDEX(About!C:C,MATCH(Sheet1!B1131,About!B:B,0),1)),"")</f>
        <v>Separately Regulated Pollutants by Vehicle Type.xlsx</v>
      </c>
      <c r="I1131" s="5">
        <f>IFERROR(INDEX(About!$D:$D,MATCH(Sheet1!H1131,About!$C:$C,0),1),0)</f>
        <v>0</v>
      </c>
      <c r="J1131" s="6">
        <f t="shared" si="40"/>
        <v>0</v>
      </c>
    </row>
    <row r="1132" spans="1:10" x14ac:dyDescent="0.3">
      <c r="A1132" s="7" t="s">
        <v>359</v>
      </c>
      <c r="B1132" t="s">
        <v>1487</v>
      </c>
      <c r="C1132" t="s">
        <v>1488</v>
      </c>
      <c r="G1132" t="str">
        <f t="shared" si="39"/>
        <v>xlsx</v>
      </c>
      <c r="H1132" s="5" t="str">
        <f>IFERROR(IF(B1132="FoPITY",INDEX(Customizations!$C$2:$C$19,MATCH(Sheet1!C1132,Customizations!$B$2:$B$19,0),1),INDEX(About!C:C,MATCH(Sheet1!B1132,About!B:B,0),1)),"")</f>
        <v>Start Year Battery Cap by Veh Type.xlsx</v>
      </c>
      <c r="I1132" s="5">
        <f>IFERROR(INDEX(About!$D:$D,MATCH(Sheet1!H1132,About!$C:$C,0),1),0)</f>
        <v>0</v>
      </c>
      <c r="J1132" s="6">
        <f t="shared" si="40"/>
        <v>0</v>
      </c>
    </row>
    <row r="1133" spans="1:10" x14ac:dyDescent="0.3">
      <c r="A1133" s="7" t="s">
        <v>359</v>
      </c>
      <c r="B1133" t="s">
        <v>1487</v>
      </c>
      <c r="C1133" t="s">
        <v>1489</v>
      </c>
      <c r="G1133" t="str">
        <f t="shared" si="39"/>
        <v>.csv</v>
      </c>
      <c r="H1133" s="5" t="str">
        <f>IFERROR(IF(B1133="FoPITY",INDEX(Customizations!$C$2:$C$19,MATCH(Sheet1!C1133,Customizations!$B$2:$B$19,0),1),INDEX(About!C:C,MATCH(Sheet1!B1133,About!B:B,0),1)),"")</f>
        <v>Start Year Battery Cap by Veh Type.xlsx</v>
      </c>
      <c r="I1133" s="5">
        <f>IFERROR(INDEX(About!$D:$D,MATCH(Sheet1!H1133,About!$C:$C,0),1),0)</f>
        <v>0</v>
      </c>
      <c r="J1133" s="6">
        <f t="shared" si="40"/>
        <v>0</v>
      </c>
    </row>
    <row r="1134" spans="1:10" x14ac:dyDescent="0.3">
      <c r="A1134" s="7" t="s">
        <v>359</v>
      </c>
      <c r="B1134" t="s">
        <v>1487</v>
      </c>
      <c r="C1134" t="s">
        <v>1490</v>
      </c>
      <c r="G1134" t="str">
        <f t="shared" si="39"/>
        <v>.csv</v>
      </c>
      <c r="H1134" s="5" t="str">
        <f>IFERROR(IF(B1134="FoPITY",INDEX(Customizations!$C$2:$C$19,MATCH(Sheet1!C1134,Customizations!$B$2:$B$19,0),1),INDEX(About!C:C,MATCH(Sheet1!B1134,About!B:B,0),1)),"")</f>
        <v>Start Year Battery Cap by Veh Type.xlsx</v>
      </c>
      <c r="I1134" s="5">
        <f>IFERROR(INDEX(About!$D:$D,MATCH(Sheet1!H1134,About!$C:$C,0),1),0)</f>
        <v>0</v>
      </c>
      <c r="J1134" s="6">
        <f t="shared" si="40"/>
        <v>0</v>
      </c>
    </row>
    <row r="1135" spans="1:10" x14ac:dyDescent="0.3">
      <c r="A1135" s="7" t="s">
        <v>359</v>
      </c>
      <c r="B1135" t="s">
        <v>598</v>
      </c>
      <c r="C1135" t="s">
        <v>599</v>
      </c>
      <c r="G1135" t="str">
        <f t="shared" si="39"/>
        <v>xlsx</v>
      </c>
      <c r="H1135" s="5" t="str">
        <f>IFERROR(IF(B1135="FoPITY",INDEX(Customizations!$C$2:$C$19,MATCH(Sheet1!C1135,Customizations!$B$2:$B$19,0),1),INDEX(About!C:C,MATCH(Sheet1!B1135,About!B:B,0),1)),"")</f>
        <v>Start Year Fleet Avg Fuel Economy.xlsx</v>
      </c>
      <c r="I1135" s="5">
        <f>IFERROR(INDEX(About!$D:$D,MATCH(Sheet1!H1135,About!$C:$C,0),1),0)</f>
        <v>0</v>
      </c>
      <c r="J1135" s="6">
        <f t="shared" si="40"/>
        <v>0</v>
      </c>
    </row>
    <row r="1136" spans="1:10" x14ac:dyDescent="0.3">
      <c r="A1136" s="7" t="s">
        <v>359</v>
      </c>
      <c r="B1136" t="s">
        <v>598</v>
      </c>
      <c r="C1136" t="s">
        <v>600</v>
      </c>
      <c r="G1136" t="str">
        <f t="shared" si="39"/>
        <v>.csv</v>
      </c>
      <c r="H1136" s="5" t="str">
        <f>IFERROR(IF(B1136="FoPITY",INDEX(Customizations!$C$2:$C$19,MATCH(Sheet1!C1136,Customizations!$B$2:$B$19,0),1),INDEX(About!C:C,MATCH(Sheet1!B1136,About!B:B,0),1)),"")</f>
        <v>Start Year Fleet Avg Fuel Economy.xlsx</v>
      </c>
      <c r="I1136" s="5">
        <f>IFERROR(INDEX(About!$D:$D,MATCH(Sheet1!H1136,About!$C:$C,0),1),0)</f>
        <v>0</v>
      </c>
      <c r="J1136" s="6">
        <f t="shared" si="40"/>
        <v>0</v>
      </c>
    </row>
    <row r="1137" spans="1:10" x14ac:dyDescent="0.3">
      <c r="A1137" s="7" t="s">
        <v>359</v>
      </c>
      <c r="B1137" t="s">
        <v>598</v>
      </c>
      <c r="C1137" t="s">
        <v>601</v>
      </c>
      <c r="G1137" t="str">
        <f t="shared" si="39"/>
        <v>.csv</v>
      </c>
      <c r="H1137" s="5" t="str">
        <f>IFERROR(IF(B1137="FoPITY",INDEX(Customizations!$C$2:$C$19,MATCH(Sheet1!C1137,Customizations!$B$2:$B$19,0),1),INDEX(About!C:C,MATCH(Sheet1!B1137,About!B:B,0),1)),"")</f>
        <v>Start Year Fleet Avg Fuel Economy.xlsx</v>
      </c>
      <c r="I1137" s="5">
        <f>IFERROR(INDEX(About!$D:$D,MATCH(Sheet1!H1137,About!$C:$C,0),1),0)</f>
        <v>0</v>
      </c>
      <c r="J1137" s="6">
        <f t="shared" si="40"/>
        <v>0</v>
      </c>
    </row>
    <row r="1138" spans="1:10" x14ac:dyDescent="0.3">
      <c r="A1138" s="7" t="s">
        <v>359</v>
      </c>
      <c r="B1138" t="s">
        <v>1491</v>
      </c>
      <c r="C1138" t="s">
        <v>1492</v>
      </c>
      <c r="G1138" t="str">
        <f t="shared" si="39"/>
        <v>xlsx</v>
      </c>
      <c r="H1138" s="5" t="str">
        <f>IFERROR(IF(B1138="FoPITY",INDEX(Customizations!$C$2:$C$19,MATCH(Sheet1!C1138,Customizations!$B$2:$B$19,0),1),INDEX(About!C:C,MATCH(Sheet1!B1138,About!B:B,0),1)),"")</f>
        <v>Start Year Number of EV Chargers.xlsx</v>
      </c>
      <c r="I1138" s="5">
        <f>IFERROR(INDEX(About!$D:$D,MATCH(Sheet1!H1138,About!$C:$C,0),1),0)</f>
        <v>0</v>
      </c>
      <c r="J1138" s="6">
        <f t="shared" si="40"/>
        <v>0</v>
      </c>
    </row>
    <row r="1139" spans="1:10" x14ac:dyDescent="0.3">
      <c r="A1139" s="7" t="s">
        <v>359</v>
      </c>
      <c r="B1139" t="s">
        <v>1491</v>
      </c>
      <c r="C1139" t="s">
        <v>1493</v>
      </c>
      <c r="G1139" t="str">
        <f t="shared" si="39"/>
        <v>.csv</v>
      </c>
      <c r="H1139" s="5" t="str">
        <f>IFERROR(IF(B1139="FoPITY",INDEX(Customizations!$C$2:$C$19,MATCH(Sheet1!C1139,Customizations!$B$2:$B$19,0),1),INDEX(About!C:C,MATCH(Sheet1!B1139,About!B:B,0),1)),"")</f>
        <v>Start Year Number of EV Chargers.xlsx</v>
      </c>
      <c r="I1139" s="5">
        <f>IFERROR(INDEX(About!$D:$D,MATCH(Sheet1!H1139,About!$C:$C,0),1),0)</f>
        <v>0</v>
      </c>
      <c r="J1139" s="6">
        <f t="shared" si="40"/>
        <v>0</v>
      </c>
    </row>
    <row r="1140" spans="1:10" x14ac:dyDescent="0.3">
      <c r="A1140" s="7" t="s">
        <v>359</v>
      </c>
      <c r="B1140" t="s">
        <v>602</v>
      </c>
      <c r="C1140" t="s">
        <v>603</v>
      </c>
      <c r="G1140" t="str">
        <f t="shared" si="39"/>
        <v>xlsx</v>
      </c>
      <c r="H1140" s="5" t="str">
        <f>IFERROR(IF(B1140="FoPITY",INDEX(Customizations!$C$2:$C$19,MATCH(Sheet1!C1140,Customizations!$B$2:$B$19,0),1),INDEX(About!C:C,MATCH(Sheet1!B1140,About!B:B,0),1)),"")</f>
        <v>Start Year Vehicles by Technology.xlsx</v>
      </c>
      <c r="I1140" s="5">
        <f>IFERROR(INDEX(About!$D:$D,MATCH(Sheet1!H1140,About!$C:$C,0),1),0)</f>
        <v>0</v>
      </c>
      <c r="J1140" s="6">
        <f t="shared" si="40"/>
        <v>0</v>
      </c>
    </row>
    <row r="1141" spans="1:10" x14ac:dyDescent="0.3">
      <c r="A1141" s="7" t="s">
        <v>359</v>
      </c>
      <c r="B1141" t="s">
        <v>602</v>
      </c>
      <c r="C1141" t="s">
        <v>604</v>
      </c>
      <c r="G1141" t="str">
        <f t="shared" si="39"/>
        <v>.csv</v>
      </c>
      <c r="H1141" s="5" t="str">
        <f>IFERROR(IF(B1141="FoPITY",INDEX(Customizations!$C$2:$C$19,MATCH(Sheet1!C1141,Customizations!$B$2:$B$19,0),1),INDEX(About!C:C,MATCH(Sheet1!B1141,About!B:B,0),1)),"")</f>
        <v>Start Year Vehicles by Technology.xlsx</v>
      </c>
      <c r="I1141" s="5">
        <f>IFERROR(INDEX(About!$D:$D,MATCH(Sheet1!H1141,About!$C:$C,0),1),0)</f>
        <v>0</v>
      </c>
      <c r="J1141" s="6">
        <f t="shared" si="40"/>
        <v>0</v>
      </c>
    </row>
    <row r="1142" spans="1:10" x14ac:dyDescent="0.3">
      <c r="A1142" s="7" t="s">
        <v>359</v>
      </c>
      <c r="B1142" t="s">
        <v>602</v>
      </c>
      <c r="C1142" t="s">
        <v>605</v>
      </c>
      <c r="G1142" t="str">
        <f t="shared" si="39"/>
        <v>.csv</v>
      </c>
      <c r="H1142" s="5" t="str">
        <f>IFERROR(IF(B1142="FoPITY",INDEX(Customizations!$C$2:$C$19,MATCH(Sheet1!C1142,Customizations!$B$2:$B$19,0),1),INDEX(About!C:C,MATCH(Sheet1!B1142,About!B:B,0),1)),"")</f>
        <v>Start Year Vehicles by Technology.xlsx</v>
      </c>
      <c r="I1142" s="5">
        <f>IFERROR(INDEX(About!$D:$D,MATCH(Sheet1!H1142,About!$C:$C,0),1),0)</f>
        <v>0</v>
      </c>
      <c r="J1142" s="6">
        <f t="shared" si="40"/>
        <v>0</v>
      </c>
    </row>
    <row r="1143" spans="1:10" x14ac:dyDescent="0.3">
      <c r="A1143" s="7" t="s">
        <v>359</v>
      </c>
      <c r="B1143" t="s">
        <v>959</v>
      </c>
      <c r="C1143" t="s">
        <v>960</v>
      </c>
      <c r="G1143" t="str">
        <f t="shared" si="39"/>
        <v>xlsx</v>
      </c>
      <c r="H1143" s="5" t="str">
        <f>IFERROR(IF(B1143="FoPITY",INDEX(Customizations!$C$2:$C$19,MATCH(Sheet1!C1143,Customizations!$B$2:$B$19,0),1),INDEX(About!C:C,MATCH(Sheet1!B1143,About!B:B,0),1)),"")</f>
        <v>Transportation Technology Logit Exponents.xlsx</v>
      </c>
      <c r="I1143" s="5">
        <f>IFERROR(INDEX(About!$D:$D,MATCH(Sheet1!H1143,About!$C:$C,0),1),0)</f>
        <v>0</v>
      </c>
      <c r="J1143" s="6">
        <f t="shared" si="40"/>
        <v>0</v>
      </c>
    </row>
    <row r="1144" spans="1:10" x14ac:dyDescent="0.3">
      <c r="A1144" s="7" t="s">
        <v>359</v>
      </c>
      <c r="B1144" t="s">
        <v>959</v>
      </c>
      <c r="C1144" t="s">
        <v>961</v>
      </c>
      <c r="G1144" t="str">
        <f t="shared" si="39"/>
        <v>.csv</v>
      </c>
      <c r="H1144" s="5" t="str">
        <f>IFERROR(IF(B1144="FoPITY",INDEX(Customizations!$C$2:$C$19,MATCH(Sheet1!C1144,Customizations!$B$2:$B$19,0),1),INDEX(About!C:C,MATCH(Sheet1!B1144,About!B:B,0),1)),"")</f>
        <v>Transportation Technology Logit Exponents.xlsx</v>
      </c>
      <c r="I1144" s="5">
        <f>IFERROR(INDEX(About!$D:$D,MATCH(Sheet1!H1144,About!$C:$C,0),1),0)</f>
        <v>0</v>
      </c>
      <c r="J1144" s="6">
        <f t="shared" si="40"/>
        <v>0</v>
      </c>
    </row>
    <row r="1145" spans="1:10" x14ac:dyDescent="0.3">
      <c r="A1145" s="7" t="s">
        <v>359</v>
      </c>
      <c r="B1145" t="s">
        <v>962</v>
      </c>
      <c r="C1145" t="s">
        <v>963</v>
      </c>
      <c r="G1145" t="str">
        <f t="shared" si="39"/>
        <v>xlsx</v>
      </c>
      <c r="H1145" s="5" t="str">
        <f>IFERROR(IF(B1145="FoPITY",INDEX(Customizations!$C$2:$C$19,MATCH(Sheet1!C1145,Customizations!$B$2:$B$19,0),1),INDEX(About!C:C,MATCH(Sheet1!B1145,About!B:B,0),1)),"")</f>
        <v>Transportation Technology Shareweights.xlsx</v>
      </c>
      <c r="I1145" s="5">
        <f>IFERROR(INDEX(About!$D:$D,MATCH(Sheet1!H1145,About!$C:$C,0),1),0)</f>
        <v>0</v>
      </c>
      <c r="J1145" s="6">
        <f t="shared" si="40"/>
        <v>0</v>
      </c>
    </row>
    <row r="1146" spans="1:10" x14ac:dyDescent="0.3">
      <c r="A1146" s="7" t="s">
        <v>359</v>
      </c>
      <c r="B1146" t="s">
        <v>962</v>
      </c>
      <c r="C1146" t="s">
        <v>964</v>
      </c>
      <c r="G1146" t="str">
        <f t="shared" si="39"/>
        <v>.csv</v>
      </c>
      <c r="H1146" s="5" t="str">
        <f>IFERROR(IF(B1146="FoPITY",INDEX(Customizations!$C$2:$C$19,MATCH(Sheet1!C1146,Customizations!$B$2:$B$19,0),1),INDEX(About!C:C,MATCH(Sheet1!B1146,About!B:B,0),1)),"")</f>
        <v>Transportation Technology Shareweights.xlsx</v>
      </c>
      <c r="I1146" s="5">
        <f>IFERROR(INDEX(About!$D:$D,MATCH(Sheet1!H1146,About!$C:$C,0),1),0)</f>
        <v>0</v>
      </c>
      <c r="J1146" s="6">
        <f t="shared" si="40"/>
        <v>0</v>
      </c>
    </row>
    <row r="1147" spans="1:10" x14ac:dyDescent="0.3">
      <c r="A1147" s="7" t="s">
        <v>359</v>
      </c>
      <c r="B1147" t="s">
        <v>962</v>
      </c>
      <c r="C1147" t="s">
        <v>965</v>
      </c>
      <c r="G1147" t="str">
        <f t="shared" si="39"/>
        <v>.csv</v>
      </c>
      <c r="H1147" s="5" t="str">
        <f>IFERROR(IF(B1147="FoPITY",INDEX(Customizations!$C$2:$C$19,MATCH(Sheet1!C1147,Customizations!$B$2:$B$19,0),1),INDEX(About!C:C,MATCH(Sheet1!B1147,About!B:B,0),1)),"")</f>
        <v>Transportation Technology Shareweights.xlsx</v>
      </c>
      <c r="I1147" s="5">
        <f>IFERROR(INDEX(About!$D:$D,MATCH(Sheet1!H1147,About!$C:$C,0),1),0)</f>
        <v>0</v>
      </c>
      <c r="J1147" s="6">
        <f t="shared" si="40"/>
        <v>0</v>
      </c>
    </row>
    <row r="1148" spans="1:10" x14ac:dyDescent="0.3">
      <c r="A1148" s="7" t="s">
        <v>359</v>
      </c>
      <c r="B1148" t="s">
        <v>962</v>
      </c>
      <c r="C1148" t="s">
        <v>966</v>
      </c>
      <c r="G1148" t="str">
        <f t="shared" si="39"/>
        <v>.csv</v>
      </c>
      <c r="H1148" s="5" t="str">
        <f>IFERROR(IF(B1148="FoPITY",INDEX(Customizations!$C$2:$C$19,MATCH(Sheet1!C1148,Customizations!$B$2:$B$19,0),1),INDEX(About!C:C,MATCH(Sheet1!B1148,About!B:B,0),1)),"")</f>
        <v>Transportation Technology Shareweights.xlsx</v>
      </c>
      <c r="I1148" s="5">
        <f>IFERROR(INDEX(About!$D:$D,MATCH(Sheet1!H1148,About!$C:$C,0),1),0)</f>
        <v>0</v>
      </c>
      <c r="J1148" s="6">
        <f t="shared" si="40"/>
        <v>0</v>
      </c>
    </row>
    <row r="1149" spans="1:10" x14ac:dyDescent="0.3">
      <c r="A1149" s="7" t="s">
        <v>359</v>
      </c>
      <c r="B1149" t="s">
        <v>962</v>
      </c>
      <c r="C1149" t="s">
        <v>967</v>
      </c>
      <c r="G1149" t="str">
        <f t="shared" si="39"/>
        <v>.csv</v>
      </c>
      <c r="H1149" s="5" t="str">
        <f>IFERROR(IF(B1149="FoPITY",INDEX(Customizations!$C$2:$C$19,MATCH(Sheet1!C1149,Customizations!$B$2:$B$19,0),1),INDEX(About!C:C,MATCH(Sheet1!B1149,About!B:B,0),1)),"")</f>
        <v>Transportation Technology Shareweights.xlsx</v>
      </c>
      <c r="I1149" s="5">
        <f>IFERROR(INDEX(About!$D:$D,MATCH(Sheet1!H1149,About!$C:$C,0),1),0)</f>
        <v>0</v>
      </c>
      <c r="J1149" s="6">
        <f t="shared" si="40"/>
        <v>0</v>
      </c>
    </row>
    <row r="1150" spans="1:10" x14ac:dyDescent="0.3">
      <c r="A1150" s="7" t="s">
        <v>359</v>
      </c>
      <c r="B1150" t="s">
        <v>962</v>
      </c>
      <c r="C1150" t="s">
        <v>968</v>
      </c>
      <c r="G1150" t="str">
        <f t="shared" si="39"/>
        <v>.csv</v>
      </c>
      <c r="H1150" s="5" t="str">
        <f>IFERROR(IF(B1150="FoPITY",INDEX(Customizations!$C$2:$C$19,MATCH(Sheet1!C1150,Customizations!$B$2:$B$19,0),1),INDEX(About!C:C,MATCH(Sheet1!B1150,About!B:B,0),1)),"")</f>
        <v>Transportation Technology Shareweights.xlsx</v>
      </c>
      <c r="I1150" s="5">
        <f>IFERROR(INDEX(About!$D:$D,MATCH(Sheet1!H1150,About!$C:$C,0),1),0)</f>
        <v>0</v>
      </c>
      <c r="J1150" s="6">
        <f t="shared" si="40"/>
        <v>0</v>
      </c>
    </row>
    <row r="1151" spans="1:10" x14ac:dyDescent="0.3">
      <c r="A1151" s="7" t="s">
        <v>359</v>
      </c>
      <c r="B1151" t="s">
        <v>962</v>
      </c>
      <c r="C1151" t="s">
        <v>969</v>
      </c>
      <c r="G1151" t="str">
        <f t="shared" si="39"/>
        <v>.csv</v>
      </c>
      <c r="H1151" s="5" t="str">
        <f>IFERROR(IF(B1151="FoPITY",INDEX(Customizations!$C$2:$C$19,MATCH(Sheet1!C1151,Customizations!$B$2:$B$19,0),1),INDEX(About!C:C,MATCH(Sheet1!B1151,About!B:B,0),1)),"")</f>
        <v>Transportation Technology Shareweights.xlsx</v>
      </c>
      <c r="I1151" s="5">
        <f>IFERROR(INDEX(About!$D:$D,MATCH(Sheet1!H1151,About!$C:$C,0),1),0)</f>
        <v>0</v>
      </c>
      <c r="J1151" s="6">
        <f t="shared" si="40"/>
        <v>0</v>
      </c>
    </row>
    <row r="1152" spans="1:10" x14ac:dyDescent="0.3">
      <c r="A1152" s="7" t="s">
        <v>359</v>
      </c>
      <c r="B1152" t="s">
        <v>962</v>
      </c>
      <c r="C1152" t="s">
        <v>970</v>
      </c>
      <c r="G1152" t="str">
        <f t="shared" si="39"/>
        <v>.csv</v>
      </c>
      <c r="H1152" s="5" t="str">
        <f>IFERROR(IF(B1152="FoPITY",INDEX(Customizations!$C$2:$C$19,MATCH(Sheet1!C1152,Customizations!$B$2:$B$19,0),1),INDEX(About!C:C,MATCH(Sheet1!B1152,About!B:B,0),1)),"")</f>
        <v>Transportation Technology Shareweights.xlsx</v>
      </c>
      <c r="I1152" s="5">
        <f>IFERROR(INDEX(About!$D:$D,MATCH(Sheet1!H1152,About!$C:$C,0),1),0)</f>
        <v>0</v>
      </c>
      <c r="J1152" s="6">
        <f t="shared" si="40"/>
        <v>0</v>
      </c>
    </row>
    <row r="1153" spans="1:10" x14ac:dyDescent="0.3">
      <c r="A1153" s="7" t="s">
        <v>359</v>
      </c>
      <c r="B1153" t="s">
        <v>962</v>
      </c>
      <c r="C1153" t="s">
        <v>971</v>
      </c>
      <c r="G1153" t="str">
        <f t="shared" si="39"/>
        <v>.csv</v>
      </c>
      <c r="H1153" s="5" t="str">
        <f>IFERROR(IF(B1153="FoPITY",INDEX(Customizations!$C$2:$C$19,MATCH(Sheet1!C1153,Customizations!$B$2:$B$19,0),1),INDEX(About!C:C,MATCH(Sheet1!B1153,About!B:B,0),1)),"")</f>
        <v>Transportation Technology Shareweights.xlsx</v>
      </c>
      <c r="I1153" s="5">
        <f>IFERROR(INDEX(About!$D:$D,MATCH(Sheet1!H1153,About!$C:$C,0),1),0)</f>
        <v>0</v>
      </c>
      <c r="J1153" s="6">
        <f t="shared" si="40"/>
        <v>0</v>
      </c>
    </row>
    <row r="1154" spans="1:10" x14ac:dyDescent="0.3">
      <c r="A1154" s="7" t="s">
        <v>359</v>
      </c>
      <c r="B1154" t="s">
        <v>962</v>
      </c>
      <c r="C1154" t="s">
        <v>972</v>
      </c>
      <c r="G1154" t="str">
        <f t="shared" si="39"/>
        <v>.csv</v>
      </c>
      <c r="H1154" s="5" t="str">
        <f>IFERROR(IF(B1154="FoPITY",INDEX(Customizations!$C$2:$C$19,MATCH(Sheet1!C1154,Customizations!$B$2:$B$19,0),1),INDEX(About!C:C,MATCH(Sheet1!B1154,About!B:B,0),1)),"")</f>
        <v>Transportation Technology Shareweights.xlsx</v>
      </c>
      <c r="I1154" s="5">
        <f>IFERROR(INDEX(About!$D:$D,MATCH(Sheet1!H1154,About!$C:$C,0),1),0)</f>
        <v>0</v>
      </c>
      <c r="J1154" s="6">
        <f t="shared" si="40"/>
        <v>0</v>
      </c>
    </row>
    <row r="1155" spans="1:10" x14ac:dyDescent="0.3">
      <c r="A1155" s="7" t="s">
        <v>359</v>
      </c>
      <c r="B1155" t="s">
        <v>962</v>
      </c>
      <c r="C1155" t="s">
        <v>973</v>
      </c>
      <c r="G1155" t="str">
        <f t="shared" si="39"/>
        <v>.csv</v>
      </c>
      <c r="H1155" s="5" t="str">
        <f>IFERROR(IF(B1155="FoPITY",INDEX(Customizations!$C$2:$C$19,MATCH(Sheet1!C1155,Customizations!$B$2:$B$19,0),1),INDEX(About!C:C,MATCH(Sheet1!B1155,About!B:B,0),1)),"")</f>
        <v>Transportation Technology Shareweights.xlsx</v>
      </c>
      <c r="I1155" s="5">
        <f>IFERROR(INDEX(About!$D:$D,MATCH(Sheet1!H1155,About!$C:$C,0),1),0)</f>
        <v>0</v>
      </c>
      <c r="J1155" s="6">
        <f t="shared" si="40"/>
        <v>0</v>
      </c>
    </row>
    <row r="1156" spans="1:10" x14ac:dyDescent="0.3">
      <c r="A1156" s="7" t="s">
        <v>359</v>
      </c>
      <c r="B1156" t="s">
        <v>962</v>
      </c>
      <c r="C1156" t="s">
        <v>974</v>
      </c>
      <c r="G1156" t="str">
        <f t="shared" si="39"/>
        <v>.csv</v>
      </c>
      <c r="H1156" s="5" t="str">
        <f>IFERROR(IF(B1156="FoPITY",INDEX(Customizations!$C$2:$C$19,MATCH(Sheet1!C1156,Customizations!$B$2:$B$19,0),1),INDEX(About!C:C,MATCH(Sheet1!B1156,About!B:B,0),1)),"")</f>
        <v>Transportation Technology Shareweights.xlsx</v>
      </c>
      <c r="I1156" s="5">
        <f>IFERROR(INDEX(About!$D:$D,MATCH(Sheet1!H1156,About!$C:$C,0),1),0)</f>
        <v>0</v>
      </c>
      <c r="J1156" s="6">
        <f t="shared" si="40"/>
        <v>0</v>
      </c>
    </row>
    <row r="1157" spans="1:10" x14ac:dyDescent="0.3">
      <c r="A1157" s="7" t="s">
        <v>359</v>
      </c>
      <c r="B1157" t="s">
        <v>962</v>
      </c>
      <c r="C1157" t="s">
        <v>975</v>
      </c>
      <c r="G1157" t="str">
        <f t="shared" si="39"/>
        <v>.csv</v>
      </c>
      <c r="H1157" s="5" t="str">
        <f>IFERROR(IF(B1157="FoPITY",INDEX(Customizations!$C$2:$C$19,MATCH(Sheet1!C1157,Customizations!$B$2:$B$19,0),1),INDEX(About!C:C,MATCH(Sheet1!B1157,About!B:B,0),1)),"")</f>
        <v>Transportation Technology Shareweights.xlsx</v>
      </c>
      <c r="I1157" s="5">
        <f>IFERROR(INDEX(About!$D:$D,MATCH(Sheet1!H1157,About!$C:$C,0),1),0)</f>
        <v>0</v>
      </c>
      <c r="J1157" s="6">
        <f t="shared" si="40"/>
        <v>0</v>
      </c>
    </row>
    <row r="1158" spans="1:10" x14ac:dyDescent="0.3">
      <c r="A1158" s="7" t="s">
        <v>359</v>
      </c>
      <c r="B1158" t="s">
        <v>606</v>
      </c>
      <c r="C1158" t="s">
        <v>607</v>
      </c>
      <c r="G1158" t="str">
        <f t="shared" si="39"/>
        <v>.csv</v>
      </c>
      <c r="H1158" s="5" t="str">
        <f>IFERROR(IF(B1158="FoPITY",INDEX(Customizations!$C$2:$C$19,MATCH(Sheet1!C1158,Customizations!$B$2:$B$19,0),1),INDEX(About!C:C,MATCH(Sheet1!B1158,About!B:B,0),1)),"")</f>
        <v>Veh Buyer Discount Rate.xlsx</v>
      </c>
      <c r="I1158" s="5">
        <f>IFERROR(INDEX(About!$D:$D,MATCH(Sheet1!H1158,About!$C:$C,0),1),0)</f>
        <v>0</v>
      </c>
      <c r="J1158" s="6">
        <f t="shared" si="40"/>
        <v>0</v>
      </c>
    </row>
    <row r="1159" spans="1:10" x14ac:dyDescent="0.3">
      <c r="A1159" s="7" t="s">
        <v>359</v>
      </c>
      <c r="B1159" t="s">
        <v>606</v>
      </c>
      <c r="C1159" t="s">
        <v>608</v>
      </c>
      <c r="G1159" t="str">
        <f t="shared" si="39"/>
        <v>xlsx</v>
      </c>
      <c r="H1159" s="5" t="str">
        <f>IFERROR(IF(B1159="FoPITY",INDEX(Customizations!$C$2:$C$19,MATCH(Sheet1!C1159,Customizations!$B$2:$B$19,0),1),INDEX(About!C:C,MATCH(Sheet1!B1159,About!B:B,0),1)),"")</f>
        <v>Veh Buyer Discount Rate.xlsx</v>
      </c>
      <c r="I1159" s="5">
        <f>IFERROR(INDEX(About!$D:$D,MATCH(Sheet1!H1159,About!$C:$C,0),1),0)</f>
        <v>0</v>
      </c>
      <c r="J1159" s="6">
        <f t="shared" si="40"/>
        <v>0</v>
      </c>
    </row>
    <row r="1160" spans="1:10" x14ac:dyDescent="0.3">
      <c r="A1160" s="7" t="s">
        <v>359</v>
      </c>
      <c r="B1160" t="s">
        <v>1494</v>
      </c>
      <c r="C1160" t="s">
        <v>1495</v>
      </c>
      <c r="G1160" t="str">
        <f t="shared" si="39"/>
        <v>xlsx</v>
      </c>
      <c r="H1160" s="5" t="str">
        <f>IFERROR(IF(B1160="FoPITY",INDEX(Customizations!$C$2:$C$19,MATCH(Sheet1!C1160,Customizations!$B$2:$B$19,0),1),INDEX(About!C:C,MATCH(Sheet1!B1160,About!B:B,0),1)),"")</f>
        <v>Veh Revenue Share by Recipient ISIC Code.xlsx</v>
      </c>
      <c r="I1160" s="5">
        <f>IFERROR(INDEX(About!$D:$D,MATCH(Sheet1!H1160,About!$C:$C,0),1),0)</f>
        <v>0</v>
      </c>
      <c r="J1160" s="6">
        <f t="shared" si="40"/>
        <v>0</v>
      </c>
    </row>
    <row r="1161" spans="1:10" x14ac:dyDescent="0.3">
      <c r="A1161" s="7" t="s">
        <v>359</v>
      </c>
      <c r="B1161" t="s">
        <v>1494</v>
      </c>
      <c r="C1161" t="s">
        <v>1496</v>
      </c>
      <c r="G1161" t="str">
        <f t="shared" si="39"/>
        <v>.csv</v>
      </c>
      <c r="H1161" s="5" t="str">
        <f>IFERROR(IF(B1161="FoPITY",INDEX(Customizations!$C$2:$C$19,MATCH(Sheet1!C1161,Customizations!$B$2:$B$19,0),1),INDEX(About!C:C,MATCH(Sheet1!B1161,About!B:B,0),1)),"")</f>
        <v>Veh Revenue Share by Recipient ISIC Code.xlsx</v>
      </c>
      <c r="I1161" s="5">
        <f>IFERROR(INDEX(About!$D:$D,MATCH(Sheet1!H1161,About!$C:$C,0),1),0)</f>
        <v>0</v>
      </c>
      <c r="J1161" s="6">
        <f t="shared" si="40"/>
        <v>0</v>
      </c>
    </row>
    <row r="1162" spans="1:10" x14ac:dyDescent="0.3">
      <c r="A1162" s="7" t="s">
        <v>359</v>
      </c>
      <c r="B1162" t="s">
        <v>1497</v>
      </c>
      <c r="C1162" t="s">
        <v>1498</v>
      </c>
      <c r="G1162" t="str">
        <f t="shared" si="39"/>
        <v>xlsx</v>
      </c>
      <c r="H1162" s="5" t="str">
        <f>IFERROR(IF(B1162="FoPITY",INDEX(Customizations!$C$2:$C$19,MATCH(Sheet1!C1162,Customizations!$B$2:$B$19,0),1),INDEX(About!C:C,MATCH(Sheet1!B1162,About!B:B,0),1)),"")</f>
        <v>Vehicle Shares by Subregion.xlsx</v>
      </c>
      <c r="I1162" s="5">
        <f>IFERROR(INDEX(About!$D:$D,MATCH(Sheet1!H1162,About!$C:$C,0),1),0)</f>
        <v>0</v>
      </c>
      <c r="J1162" s="6">
        <f t="shared" si="40"/>
        <v>0</v>
      </c>
    </row>
    <row r="1163" spans="1:10" x14ac:dyDescent="0.3">
      <c r="A1163" s="7" t="s">
        <v>359</v>
      </c>
      <c r="B1163" t="s">
        <v>1497</v>
      </c>
      <c r="C1163" t="s">
        <v>1499</v>
      </c>
      <c r="G1163" t="str">
        <f t="shared" si="39"/>
        <v>.csv</v>
      </c>
      <c r="H1163" s="5" t="str">
        <f>IFERROR(IF(B1163="FoPITY",INDEX(Customizations!$C$2:$C$19,MATCH(Sheet1!C1163,Customizations!$B$2:$B$19,0),1),INDEX(About!C:C,MATCH(Sheet1!B1163,About!B:B,0),1)),"")</f>
        <v>Vehicle Shares by Subregion.xlsx</v>
      </c>
      <c r="I1163" s="5">
        <f>IFERROR(INDEX(About!$D:$D,MATCH(Sheet1!H1163,About!$C:$C,0),1),0)</f>
        <v>0</v>
      </c>
      <c r="J1163" s="6">
        <f t="shared" si="40"/>
        <v>0</v>
      </c>
    </row>
    <row r="1164" spans="1:10" x14ac:dyDescent="0.3">
      <c r="A1164" s="7" t="s">
        <v>359</v>
      </c>
      <c r="B1164" t="s">
        <v>1497</v>
      </c>
      <c r="C1164" t="s">
        <v>1500</v>
      </c>
      <c r="G1164" t="str">
        <f t="shared" si="39"/>
        <v>.csv</v>
      </c>
      <c r="H1164" s="5" t="str">
        <f>IFERROR(IF(B1164="FoPITY",INDEX(Customizations!$C$2:$C$19,MATCH(Sheet1!C1164,Customizations!$B$2:$B$19,0),1),INDEX(About!C:C,MATCH(Sheet1!B1164,About!B:B,0),1)),"")</f>
        <v>Vehicle Shares by Subregion.xlsx</v>
      </c>
      <c r="I1164" s="5">
        <f>IFERROR(INDEX(About!$D:$D,MATCH(Sheet1!H1164,About!$C:$C,0),1),0)</f>
        <v>0</v>
      </c>
      <c r="J1164" s="6">
        <f t="shared" si="40"/>
        <v>0</v>
      </c>
    </row>
    <row r="1165" spans="1:10" x14ac:dyDescent="0.3">
      <c r="A1165" s="7" t="s">
        <v>359</v>
      </c>
      <c r="B1165" t="s">
        <v>1501</v>
      </c>
      <c r="C1165" t="s">
        <v>1502</v>
      </c>
      <c r="G1165" t="str">
        <f t="shared" si="39"/>
        <v>xlsx</v>
      </c>
      <c r="H1165" s="5" t="str">
        <f>IFERROR(IF(B1165="FoPITY",INDEX(Customizations!$C$2:$C$19,MATCH(Sheet1!C1165,Customizations!$B$2:$B$19,0),1),INDEX(About!C:C,MATCH(Sheet1!B1165,About!B:B,0),1)),"")</f>
        <v>Veh Techs Qualifying as ZEVs.xlsx</v>
      </c>
      <c r="I1165" s="5">
        <f>IFERROR(INDEX(About!$D:$D,MATCH(Sheet1!H1165,About!$C:$C,0),1),0)</f>
        <v>0</v>
      </c>
      <c r="J1165" s="6">
        <f t="shared" si="40"/>
        <v>0</v>
      </c>
    </row>
    <row r="1166" spans="1:10" x14ac:dyDescent="0.3">
      <c r="A1166" s="7" t="s">
        <v>359</v>
      </c>
      <c r="B1166" t="s">
        <v>1501</v>
      </c>
      <c r="C1166" t="s">
        <v>1503</v>
      </c>
      <c r="G1166" t="str">
        <f t="shared" si="39"/>
        <v>.csv</v>
      </c>
      <c r="H1166" s="5" t="str">
        <f>IFERROR(IF(B1166="FoPITY",INDEX(Customizations!$C$2:$C$19,MATCH(Sheet1!C1166,Customizations!$B$2:$B$19,0),1),INDEX(About!C:C,MATCH(Sheet1!B1166,About!B:B,0),1)),"")</f>
        <v>Veh Techs Qualifying as ZEVs.xlsx</v>
      </c>
      <c r="I1166" s="5">
        <f>IFERROR(INDEX(About!$D:$D,MATCH(Sheet1!H1166,About!$C:$C,0),1),0)</f>
        <v>0</v>
      </c>
      <c r="J1166" s="6">
        <f t="shared" si="40"/>
        <v>0</v>
      </c>
    </row>
    <row r="1167" spans="1:10" x14ac:dyDescent="0.3">
      <c r="A1167" s="7" t="s">
        <v>359</v>
      </c>
      <c r="B1167" t="s">
        <v>1501</v>
      </c>
      <c r="C1167" t="s">
        <v>1504</v>
      </c>
      <c r="G1167" t="str">
        <f t="shared" si="39"/>
        <v>.csv</v>
      </c>
      <c r="H1167" s="5" t="str">
        <f>IFERROR(IF(B1167="FoPITY",INDEX(Customizations!$C$2:$C$19,MATCH(Sheet1!C1167,Customizations!$B$2:$B$19,0),1),INDEX(About!C:C,MATCH(Sheet1!B1167,About!B:B,0),1)),"")</f>
        <v>Veh Techs Qualifying as ZEVs.xlsx</v>
      </c>
      <c r="I1167" s="5">
        <f>IFERROR(INDEX(About!$D:$D,MATCH(Sheet1!H1167,About!$C:$C,0),1),0)</f>
        <v>0</v>
      </c>
      <c r="J1167" s="6">
        <f t="shared" si="40"/>
        <v>0</v>
      </c>
    </row>
    <row r="1168" spans="1:10" x14ac:dyDescent="0.3">
      <c r="A1168" s="7" t="s">
        <v>359</v>
      </c>
      <c r="B1168" t="s">
        <v>1501</v>
      </c>
      <c r="C1168" t="s">
        <v>1505</v>
      </c>
      <c r="G1168" t="str">
        <f t="shared" si="39"/>
        <v>.csv</v>
      </c>
      <c r="H1168" s="5" t="str">
        <f>IFERROR(IF(B1168="FoPITY",INDEX(Customizations!$C$2:$C$19,MATCH(Sheet1!C1168,Customizations!$B$2:$B$19,0),1),INDEX(About!C:C,MATCH(Sheet1!B1168,About!B:B,0),1)),"")</f>
        <v>Veh Techs Qualifying as ZEVs.xlsx</v>
      </c>
      <c r="I1168" s="5">
        <f>IFERROR(INDEX(About!$D:$D,MATCH(Sheet1!H1168,About!$C:$C,0),1),0)</f>
        <v>0</v>
      </c>
      <c r="J1168" s="6">
        <f t="shared" si="40"/>
        <v>0</v>
      </c>
    </row>
    <row r="1169" spans="1:10" x14ac:dyDescent="0.3">
      <c r="A1169" s="7" t="s">
        <v>359</v>
      </c>
      <c r="B1169" t="s">
        <v>1501</v>
      </c>
      <c r="C1169" t="s">
        <v>1506</v>
      </c>
      <c r="G1169" t="str">
        <f t="shared" si="39"/>
        <v>.csv</v>
      </c>
      <c r="H1169" s="5" t="str">
        <f>IFERROR(IF(B1169="FoPITY",INDEX(Customizations!$C$2:$C$19,MATCH(Sheet1!C1169,Customizations!$B$2:$B$19,0),1),INDEX(About!C:C,MATCH(Sheet1!B1169,About!B:B,0),1)),"")</f>
        <v>Veh Techs Qualifying as ZEVs.xlsx</v>
      </c>
      <c r="I1169" s="5">
        <f>IFERROR(INDEX(About!$D:$D,MATCH(Sheet1!H1169,About!$C:$C,0),1),0)</f>
        <v>0</v>
      </c>
      <c r="J1169" s="6">
        <f t="shared" si="40"/>
        <v>0</v>
      </c>
    </row>
    <row r="1170" spans="1:10" x14ac:dyDescent="0.3">
      <c r="A1170" s="7" t="s">
        <v>359</v>
      </c>
      <c r="B1170" t="s">
        <v>1501</v>
      </c>
      <c r="C1170" t="s">
        <v>1507</v>
      </c>
      <c r="G1170" t="str">
        <f t="shared" si="39"/>
        <v>.csv</v>
      </c>
      <c r="H1170" s="5" t="str">
        <f>IFERROR(IF(B1170="FoPITY",INDEX(Customizations!$C$2:$C$19,MATCH(Sheet1!C1170,Customizations!$B$2:$B$19,0),1),INDEX(About!C:C,MATCH(Sheet1!B1170,About!B:B,0),1)),"")</f>
        <v>Veh Techs Qualifying as ZEVs.xlsx</v>
      </c>
      <c r="I1170" s="5">
        <f>IFERROR(INDEX(About!$D:$D,MATCH(Sheet1!H1170,About!$C:$C,0),1),0)</f>
        <v>0</v>
      </c>
      <c r="J1170" s="6">
        <f t="shared" si="40"/>
        <v>0</v>
      </c>
    </row>
    <row r="1171" spans="1:10" x14ac:dyDescent="0.3">
      <c r="A1171" s="7" t="s">
        <v>359</v>
      </c>
      <c r="B1171" t="s">
        <v>1501</v>
      </c>
      <c r="C1171" t="s">
        <v>1508</v>
      </c>
      <c r="G1171" t="str">
        <f t="shared" si="39"/>
        <v>.csv</v>
      </c>
      <c r="H1171" s="5" t="str">
        <f>IFERROR(IF(B1171="FoPITY",INDEX(Customizations!$C$2:$C$19,MATCH(Sheet1!C1171,Customizations!$B$2:$B$19,0),1),INDEX(About!C:C,MATCH(Sheet1!B1171,About!B:B,0),1)),"")</f>
        <v>Veh Techs Qualifying as ZEVs.xlsx</v>
      </c>
      <c r="I1171" s="5">
        <f>IFERROR(INDEX(About!$D:$D,MATCH(Sheet1!H1171,About!$C:$C,0),1),0)</f>
        <v>0</v>
      </c>
      <c r="J1171" s="6">
        <f t="shared" si="40"/>
        <v>0</v>
      </c>
    </row>
    <row r="1172" spans="1:10" x14ac:dyDescent="0.3">
      <c r="A1172" s="7" t="s">
        <v>359</v>
      </c>
      <c r="B1172" t="s">
        <v>609</v>
      </c>
      <c r="C1172" t="s">
        <v>610</v>
      </c>
      <c r="G1172" t="str">
        <f t="shared" si="39"/>
        <v>xlsx</v>
      </c>
      <c r="H1172" s="5" t="str">
        <f>IFERROR(IF(B1172="FoPITY",INDEX(Customizations!$C$2:$C$19,MATCH(Sheet1!C1172,Customizations!$B$2:$B$19,0),1),INDEX(About!C:C,MATCH(Sheet1!B1172,About!B:B,0),1)),"")</f>
        <v>Veh Techs Subject to Fuel Econ Std.xlsx</v>
      </c>
      <c r="I1172" s="5">
        <f>IFERROR(INDEX(About!$D:$D,MATCH(Sheet1!H1172,About!$C:$C,0),1),0)</f>
        <v>0</v>
      </c>
      <c r="J1172" s="6">
        <f t="shared" si="40"/>
        <v>0</v>
      </c>
    </row>
    <row r="1173" spans="1:10" x14ac:dyDescent="0.3">
      <c r="A1173" s="7" t="s">
        <v>359</v>
      </c>
      <c r="B1173" t="s">
        <v>609</v>
      </c>
      <c r="C1173" t="s">
        <v>611</v>
      </c>
      <c r="G1173" t="str">
        <f t="shared" si="39"/>
        <v>.csv</v>
      </c>
      <c r="H1173" s="5" t="str">
        <f>IFERROR(IF(B1173="FoPITY",INDEX(Customizations!$C$2:$C$19,MATCH(Sheet1!C1173,Customizations!$B$2:$B$19,0),1),INDEX(About!C:C,MATCH(Sheet1!B1173,About!B:B,0),1)),"")</f>
        <v>Veh Techs Subject to Fuel Econ Std.xlsx</v>
      </c>
      <c r="I1173" s="5">
        <f>IFERROR(INDEX(About!$D:$D,MATCH(Sheet1!H1173,About!$C:$C,0),1),0)</f>
        <v>0</v>
      </c>
      <c r="J1173" s="6">
        <f t="shared" si="40"/>
        <v>0</v>
      </c>
    </row>
    <row r="1174" spans="1:10" x14ac:dyDescent="0.3">
      <c r="A1174" s="7" t="s">
        <v>612</v>
      </c>
      <c r="B1174" t="s">
        <v>613</v>
      </c>
      <c r="C1174" t="s">
        <v>614</v>
      </c>
      <c r="G1174" t="str">
        <f t="shared" si="39"/>
        <v>.csv</v>
      </c>
      <c r="H1174" s="5" t="str">
        <f>IFERROR(IF(B1174="FoPITY",INDEX(Customizations!$C$2:$C$19,MATCH(Sheet1!C1174,Customizations!$B$2:$B$19,0),1),INDEX(About!C:C,MATCH(Sheet1!B1174,About!B:B,0),1)),"")</f>
        <v>BTU Conversion Factors.xlsx</v>
      </c>
      <c r="I1174" s="5">
        <f>IFERROR(INDEX(About!$D:$D,MATCH(Sheet1!H1174,About!$C:$C,0),1),0)</f>
        <v>0</v>
      </c>
      <c r="J1174" s="6">
        <f t="shared" si="40"/>
        <v>0</v>
      </c>
    </row>
    <row r="1175" spans="1:10" x14ac:dyDescent="0.3">
      <c r="A1175" s="7" t="s">
        <v>612</v>
      </c>
      <c r="B1175" t="s">
        <v>613</v>
      </c>
      <c r="C1175" t="s">
        <v>615</v>
      </c>
      <c r="G1175" t="str">
        <f t="shared" si="39"/>
        <v>.csv</v>
      </c>
      <c r="H1175" s="5" t="str">
        <f>IFERROR(IF(B1175="FoPITY",INDEX(Customizations!$C$2:$C$19,MATCH(Sheet1!C1175,Customizations!$B$2:$B$19,0),1),INDEX(About!C:C,MATCH(Sheet1!B1175,About!B:B,0),1)),"")</f>
        <v>BTU Conversion Factors.xlsx</v>
      </c>
      <c r="I1175" s="5">
        <f>IFERROR(INDEX(About!$D:$D,MATCH(Sheet1!H1175,About!$C:$C,0),1),0)</f>
        <v>0</v>
      </c>
      <c r="J1175" s="6">
        <f t="shared" si="40"/>
        <v>0</v>
      </c>
    </row>
    <row r="1176" spans="1:10" x14ac:dyDescent="0.3">
      <c r="A1176" s="7" t="s">
        <v>612</v>
      </c>
      <c r="B1176" t="s">
        <v>613</v>
      </c>
      <c r="C1176" t="s">
        <v>1520</v>
      </c>
      <c r="G1176" t="str">
        <f t="shared" si="39"/>
        <v>.csv</v>
      </c>
      <c r="H1176" s="5" t="str">
        <f>IFERROR(IF(B1176="FoPITY",INDEX(Customizations!$C$2:$C$19,MATCH(Sheet1!C1176,Customizations!$B$2:$B$19,0),1),INDEX(About!C:C,MATCH(Sheet1!B1176,About!B:B,0),1)),"")</f>
        <v>BTU Conversion Factors.xlsx</v>
      </c>
      <c r="I1176" s="5">
        <f>IFERROR(INDEX(About!$D:$D,MATCH(Sheet1!H1176,About!$C:$C,0),1),0)</f>
        <v>0</v>
      </c>
      <c r="J1176" s="6">
        <f t="shared" si="40"/>
        <v>0</v>
      </c>
    </row>
    <row r="1177" spans="1:10" x14ac:dyDescent="0.3">
      <c r="A1177" s="7" t="s">
        <v>612</v>
      </c>
      <c r="B1177" t="s">
        <v>613</v>
      </c>
      <c r="C1177" t="s">
        <v>616</v>
      </c>
      <c r="G1177" t="str">
        <f t="shared" si="39"/>
        <v>.csv</v>
      </c>
      <c r="H1177" s="5" t="str">
        <f>IFERROR(IF(B1177="FoPITY",INDEX(Customizations!$C$2:$C$19,MATCH(Sheet1!C1177,Customizations!$B$2:$B$19,0),1),INDEX(About!C:C,MATCH(Sheet1!B1177,About!B:B,0),1)),"")</f>
        <v>BTU Conversion Factors.xlsx</v>
      </c>
      <c r="I1177" s="5">
        <f>IFERROR(INDEX(About!$D:$D,MATCH(Sheet1!H1177,About!$C:$C,0),1),0)</f>
        <v>0</v>
      </c>
      <c r="J1177" s="6">
        <f t="shared" si="40"/>
        <v>0</v>
      </c>
    </row>
    <row r="1178" spans="1:10" x14ac:dyDescent="0.3">
      <c r="A1178" s="7" t="s">
        <v>612</v>
      </c>
      <c r="B1178" t="s">
        <v>613</v>
      </c>
      <c r="C1178" t="s">
        <v>617</v>
      </c>
      <c r="G1178" t="str">
        <f t="shared" si="39"/>
        <v>.csv</v>
      </c>
      <c r="H1178" s="5" t="str">
        <f>IFERROR(IF(B1178="FoPITY",INDEX(Customizations!$C$2:$C$19,MATCH(Sheet1!C1178,Customizations!$B$2:$B$19,0),1),INDEX(About!C:C,MATCH(Sheet1!B1178,About!B:B,0),1)),"")</f>
        <v>BTU Conversion Factors.xlsx</v>
      </c>
      <c r="I1178" s="5">
        <f>IFERROR(INDEX(About!$D:$D,MATCH(Sheet1!H1178,About!$C:$C,0),1),0)</f>
        <v>0</v>
      </c>
      <c r="J1178" s="6">
        <f t="shared" si="40"/>
        <v>0</v>
      </c>
    </row>
    <row r="1179" spans="1:10" x14ac:dyDescent="0.3">
      <c r="A1179" s="7" t="s">
        <v>612</v>
      </c>
      <c r="B1179" t="s">
        <v>613</v>
      </c>
      <c r="C1179" t="s">
        <v>618</v>
      </c>
      <c r="G1179" t="str">
        <f t="shared" si="39"/>
        <v>xlsx</v>
      </c>
      <c r="H1179" s="5" t="str">
        <f>IFERROR(IF(B1179="FoPITY",INDEX(Customizations!$C$2:$C$19,MATCH(Sheet1!C1179,Customizations!$B$2:$B$19,0),1),INDEX(About!C:C,MATCH(Sheet1!B1179,About!B:B,0),1)),"")</f>
        <v>BTU Conversion Factors.xlsx</v>
      </c>
      <c r="I1179" s="5">
        <f>IFERROR(INDEX(About!$D:$D,MATCH(Sheet1!H1179,About!$C:$C,0),1),0)</f>
        <v>0</v>
      </c>
      <c r="J1179" s="6">
        <f t="shared" si="40"/>
        <v>0</v>
      </c>
    </row>
    <row r="1180" spans="1:10" x14ac:dyDescent="0.3">
      <c r="A1180" s="7" t="s">
        <v>612</v>
      </c>
      <c r="B1180" t="s">
        <v>619</v>
      </c>
      <c r="C1180" t="s">
        <v>685</v>
      </c>
      <c r="G1180" t="str">
        <f t="shared" si="39"/>
        <v>.csv</v>
      </c>
      <c r="H1180" s="5" t="str">
        <f>IFERROR(IF(B1180="FoPITY",INDEX(Customizations!$C$2:$C$19,MATCH(Sheet1!C1180,Customizations!$B$2:$B$19,0),1),INDEX(About!C:C,MATCH(Sheet1!B1180,About!B:B,0),1)),"")</f>
        <v>BTU per Total Primary Energy Unit.xlsx</v>
      </c>
      <c r="I1180" s="5">
        <f>IFERROR(INDEX(About!$D:$D,MATCH(Sheet1!H1180,About!$C:$C,0),1),0)</f>
        <v>0</v>
      </c>
      <c r="J1180" s="6">
        <f t="shared" si="40"/>
        <v>0</v>
      </c>
    </row>
    <row r="1181" spans="1:10" x14ac:dyDescent="0.3">
      <c r="A1181" s="7" t="s">
        <v>612</v>
      </c>
      <c r="B1181" t="s">
        <v>619</v>
      </c>
      <c r="C1181" t="s">
        <v>686</v>
      </c>
      <c r="G1181" t="str">
        <f t="shared" si="39"/>
        <v>.csv</v>
      </c>
      <c r="H1181" s="5" t="str">
        <f>IFERROR(IF(B1181="FoPITY",INDEX(Customizations!$C$2:$C$19,MATCH(Sheet1!C1181,Customizations!$B$2:$B$19,0),1),INDEX(About!C:C,MATCH(Sheet1!B1181,About!B:B,0),1)),"")</f>
        <v>BTU per Total Primary Energy Unit.xlsx</v>
      </c>
      <c r="I1181" s="5">
        <f>IFERROR(INDEX(About!$D:$D,MATCH(Sheet1!H1181,About!$C:$C,0),1),0)</f>
        <v>0</v>
      </c>
      <c r="J1181" s="6">
        <f t="shared" si="40"/>
        <v>0</v>
      </c>
    </row>
    <row r="1182" spans="1:10" x14ac:dyDescent="0.3">
      <c r="A1182" s="7" t="s">
        <v>612</v>
      </c>
      <c r="B1182" t="s">
        <v>619</v>
      </c>
      <c r="C1182" t="s">
        <v>620</v>
      </c>
      <c r="G1182" t="str">
        <f t="shared" si="39"/>
        <v>xlsx</v>
      </c>
      <c r="H1182" s="5" t="str">
        <f>IFERROR(IF(B1182="FoPITY",INDEX(Customizations!$C$2:$C$19,MATCH(Sheet1!C1182,Customizations!$B$2:$B$19,0),1),INDEX(About!C:C,MATCH(Sheet1!B1182,About!B:B,0),1)),"")</f>
        <v>BTU per Total Primary Energy Unit.xlsx</v>
      </c>
      <c r="I1182" s="5">
        <f>IFERROR(INDEX(About!$D:$D,MATCH(Sheet1!H1182,About!$C:$C,0),1),0)</f>
        <v>0</v>
      </c>
      <c r="J1182" s="6">
        <f t="shared" si="40"/>
        <v>0</v>
      </c>
    </row>
    <row r="1183" spans="1:10" x14ac:dyDescent="0.3">
      <c r="A1183" s="7" t="s">
        <v>612</v>
      </c>
      <c r="B1183" t="s">
        <v>621</v>
      </c>
      <c r="C1183" t="s">
        <v>622</v>
      </c>
      <c r="G1183" t="str">
        <f t="shared" si="39"/>
        <v>xlsx</v>
      </c>
      <c r="H1183" s="5" t="str">
        <f>IFERROR(IF(B1183="FoPITY",INDEX(Customizations!$C$2:$C$19,MATCH(Sheet1!C1183,Customizations!$B$2:$B$19,0),1),INDEX(About!C:C,MATCH(Sheet1!B1183,About!B:B,0),1)),"")</f>
        <v>Cargo Dist Conversion Factors.xlsx</v>
      </c>
      <c r="I1183" s="5">
        <f>IFERROR(INDEX(About!$D:$D,MATCH(Sheet1!H1183,About!$C:$C,0),1),0)</f>
        <v>0</v>
      </c>
      <c r="J1183" s="6">
        <f t="shared" si="40"/>
        <v>0</v>
      </c>
    </row>
    <row r="1184" spans="1:10" x14ac:dyDescent="0.3">
      <c r="A1184" s="7" t="s">
        <v>612</v>
      </c>
      <c r="B1184" t="s">
        <v>621</v>
      </c>
      <c r="C1184" t="s">
        <v>623</v>
      </c>
      <c r="G1184" t="str">
        <f t="shared" si="39"/>
        <v>.csv</v>
      </c>
      <c r="H1184" s="5" t="str">
        <f>IFERROR(IF(B1184="FoPITY",INDEX(Customizations!$C$2:$C$19,MATCH(Sheet1!C1184,Customizations!$B$2:$B$19,0),1),INDEX(About!C:C,MATCH(Sheet1!B1184,About!B:B,0),1)),"")</f>
        <v>Cargo Dist Conversion Factors.xlsx</v>
      </c>
      <c r="I1184" s="5">
        <f>IFERROR(INDEX(About!$D:$D,MATCH(Sheet1!H1184,About!$C:$C,0),1),0)</f>
        <v>0</v>
      </c>
      <c r="J1184" s="6">
        <f t="shared" si="40"/>
        <v>0</v>
      </c>
    </row>
    <row r="1185" spans="1:10" x14ac:dyDescent="0.3">
      <c r="A1185" s="7" t="s">
        <v>612</v>
      </c>
      <c r="B1185" t="s">
        <v>621</v>
      </c>
      <c r="C1185" t="s">
        <v>624</v>
      </c>
      <c r="G1185" t="str">
        <f t="shared" ref="G1185:G1200" si="41">RIGHT(C1185,"4")</f>
        <v>.csv</v>
      </c>
      <c r="H1185" s="5" t="str">
        <f>IFERROR(IF(B1185="FoPITY",INDEX(Customizations!$C$2:$C$19,MATCH(Sheet1!C1185,Customizations!$B$2:$B$19,0),1),INDEX(About!C:C,MATCH(Sheet1!B1185,About!B:B,0),1)),"")</f>
        <v>Cargo Dist Conversion Factors.xlsx</v>
      </c>
      <c r="I1185" s="5">
        <f>IFERROR(INDEX(About!$D:$D,MATCH(Sheet1!H1185,About!$C:$C,0),1),0)</f>
        <v>0</v>
      </c>
      <c r="J1185" s="6">
        <f t="shared" si="40"/>
        <v>0</v>
      </c>
    </row>
    <row r="1186" spans="1:10" x14ac:dyDescent="0.3">
      <c r="A1186" s="7" t="s">
        <v>612</v>
      </c>
      <c r="B1186" t="s">
        <v>1509</v>
      </c>
      <c r="C1186" t="s">
        <v>1510</v>
      </c>
      <c r="G1186" t="str">
        <f t="shared" si="41"/>
        <v>xlsx</v>
      </c>
      <c r="H1186" s="5" t="str">
        <f>IFERROR(IF(B1186="FoPITY",INDEX(Customizations!$C$2:$C$19,MATCH(Sheet1!C1186,Customizations!$B$2:$B$19,0),1),INDEX(About!C:C,MATCH(Sheet1!B1186,About!B:B,0),1)),"")</f>
        <v>Check Input Data.xlsx</v>
      </c>
      <c r="I1186" s="5">
        <f>IFERROR(INDEX(About!$D:$D,MATCH(Sheet1!H1186,About!$C:$C,0),1),0)</f>
        <v>0</v>
      </c>
      <c r="J1186" s="6">
        <f t="shared" si="40"/>
        <v>0</v>
      </c>
    </row>
    <row r="1187" spans="1:10" x14ac:dyDescent="0.3">
      <c r="A1187" s="7" t="s">
        <v>612</v>
      </c>
      <c r="B1187" t="s">
        <v>625</v>
      </c>
      <c r="C1187" t="s">
        <v>626</v>
      </c>
      <c r="G1187" t="str">
        <f t="shared" si="41"/>
        <v>xlsx</v>
      </c>
      <c r="H1187" s="5" t="str">
        <f>IFERROR(IF(B1187="FoPITY",INDEX(Customizations!$C$2:$C$19,MATCH(Sheet1!C1187,Customizations!$B$2:$B$19,0),1),INDEX(About!C:C,MATCH(Sheet1!B1187,About!B:B,0),1)),"")</f>
        <v>Liters per Water Output Unit.xlsx</v>
      </c>
      <c r="I1187" s="5">
        <f>IFERROR(INDEX(About!$D:$D,MATCH(Sheet1!H1187,About!$C:$C,0),1),0)</f>
        <v>0</v>
      </c>
      <c r="J1187" s="6">
        <f t="shared" si="40"/>
        <v>0</v>
      </c>
    </row>
    <row r="1188" spans="1:10" x14ac:dyDescent="0.3">
      <c r="A1188" s="7" t="s">
        <v>612</v>
      </c>
      <c r="B1188" t="s">
        <v>625</v>
      </c>
      <c r="C1188" t="s">
        <v>627</v>
      </c>
      <c r="G1188" t="str">
        <f t="shared" si="41"/>
        <v>.csv</v>
      </c>
      <c r="H1188" s="5" t="str">
        <f>IFERROR(IF(B1188="FoPITY",INDEX(Customizations!$C$2:$C$19,MATCH(Sheet1!C1188,Customizations!$B$2:$B$19,0),1),INDEX(About!C:C,MATCH(Sheet1!B1188,About!B:B,0),1)),"")</f>
        <v>Liters per Water Output Unit.xlsx</v>
      </c>
      <c r="I1188" s="5">
        <f>IFERROR(INDEX(About!$D:$D,MATCH(Sheet1!H1188,About!$C:$C,0),1),0)</f>
        <v>0</v>
      </c>
      <c r="J1188" s="6">
        <f t="shared" ref="J1188:J1200" si="42">IF(G1188=".csv",1,0)*I1188</f>
        <v>0</v>
      </c>
    </row>
    <row r="1189" spans="1:10" x14ac:dyDescent="0.3">
      <c r="A1189" s="7" t="s">
        <v>612</v>
      </c>
      <c r="B1189" t="s">
        <v>1511</v>
      </c>
      <c r="C1189" t="s">
        <v>1512</v>
      </c>
      <c r="G1189" t="str">
        <f t="shared" si="41"/>
        <v>xlsx</v>
      </c>
      <c r="H1189" s="5" t="str">
        <f>IFERROR(IF(B1189="FoPITY",INDEX(Customizations!$C$2:$C$19,MATCH(Sheet1!C1189,Customizations!$B$2:$B$19,0),1),INDEX(About!C:C,MATCH(Sheet1!B1189,About!B:B,0),1)),"")</f>
        <v>Mass Output Units.xlsx</v>
      </c>
      <c r="I1189" s="5">
        <f>IFERROR(INDEX(About!$D:$D,MATCH(Sheet1!H1189,About!$C:$C,0),1),0)</f>
        <v>0</v>
      </c>
      <c r="J1189" s="6">
        <f t="shared" si="42"/>
        <v>0</v>
      </c>
    </row>
    <row r="1190" spans="1:10" x14ac:dyDescent="0.3">
      <c r="A1190" s="7" t="s">
        <v>612</v>
      </c>
      <c r="B1190" t="s">
        <v>1511</v>
      </c>
      <c r="C1190" t="s">
        <v>1513</v>
      </c>
      <c r="G1190" t="str">
        <f t="shared" si="41"/>
        <v>.csv</v>
      </c>
      <c r="H1190" s="5" t="str">
        <f>IFERROR(IF(B1190="FoPITY",INDEX(Customizations!$C$2:$C$19,MATCH(Sheet1!C1190,Customizations!$B$2:$B$19,0),1),INDEX(About!C:C,MATCH(Sheet1!B1190,About!B:B,0),1)),"")</f>
        <v>Mass Output Units.xlsx</v>
      </c>
      <c r="I1190" s="5">
        <f>IFERROR(INDEX(About!$D:$D,MATCH(Sheet1!H1190,About!$C:$C,0),1),0)</f>
        <v>0</v>
      </c>
      <c r="J1190" s="6">
        <f t="shared" si="42"/>
        <v>0</v>
      </c>
    </row>
    <row r="1191" spans="1:10" x14ac:dyDescent="0.3">
      <c r="A1191" s="7" t="s">
        <v>612</v>
      </c>
      <c r="B1191" t="s">
        <v>1511</v>
      </c>
      <c r="C1191" t="s">
        <v>1514</v>
      </c>
      <c r="G1191" t="str">
        <f t="shared" si="41"/>
        <v>.csv</v>
      </c>
      <c r="H1191" s="5" t="str">
        <f>IFERROR(IF(B1191="FoPITY",INDEX(Customizations!$C$2:$C$19,MATCH(Sheet1!C1191,Customizations!$B$2:$B$19,0),1),INDEX(About!C:C,MATCH(Sheet1!B1191,About!B:B,0),1)),"")</f>
        <v>Mass Output Units.xlsx</v>
      </c>
      <c r="I1191" s="5">
        <f>IFERROR(INDEX(About!$D:$D,MATCH(Sheet1!H1191,About!$C:$C,0),1),0)</f>
        <v>0</v>
      </c>
      <c r="J1191" s="6">
        <f t="shared" si="42"/>
        <v>0</v>
      </c>
    </row>
    <row r="1192" spans="1:10" x14ac:dyDescent="0.3">
      <c r="A1192" s="7" t="s">
        <v>612</v>
      </c>
      <c r="B1192" t="s">
        <v>628</v>
      </c>
      <c r="C1192" t="s">
        <v>629</v>
      </c>
      <c r="G1192" t="str">
        <f t="shared" si="41"/>
        <v>.csv</v>
      </c>
      <c r="H1192" s="5" t="str">
        <f>IFERROR(IF(B1192="FoPITY",INDEX(Customizations!$C$2:$C$19,MATCH(Sheet1!C1192,Customizations!$B$2:$B$19,0),1),INDEX(About!C:C,MATCH(Sheet1!B1192,About!B:B,0),1)),"")</f>
        <v>Output Currency Conversion Factors.xlsx</v>
      </c>
      <c r="I1192" s="5">
        <f>IFERROR(INDEX(About!$D:$D,MATCH(Sheet1!H1192,About!$C:$C,0),1),0)</f>
        <v>0</v>
      </c>
      <c r="J1192" s="6">
        <f t="shared" si="42"/>
        <v>0</v>
      </c>
    </row>
    <row r="1193" spans="1:10" x14ac:dyDescent="0.3">
      <c r="A1193" s="7" t="s">
        <v>612</v>
      </c>
      <c r="B1193" t="s">
        <v>628</v>
      </c>
      <c r="C1193" t="s">
        <v>630</v>
      </c>
      <c r="G1193" t="str">
        <f t="shared" si="41"/>
        <v>.csv</v>
      </c>
      <c r="H1193" s="5" t="str">
        <f>IFERROR(IF(B1193="FoPITY",INDEX(Customizations!$C$2:$C$19,MATCH(Sheet1!C1193,Customizations!$B$2:$B$19,0),1),INDEX(About!C:C,MATCH(Sheet1!B1193,About!B:B,0),1)),"")</f>
        <v>Output Currency Conversion Factors.xlsx</v>
      </c>
      <c r="I1193" s="5">
        <f>IFERROR(INDEX(About!$D:$D,MATCH(Sheet1!H1193,About!$C:$C,0),1),0)</f>
        <v>0</v>
      </c>
      <c r="J1193" s="6">
        <f t="shared" si="42"/>
        <v>0</v>
      </c>
    </row>
    <row r="1194" spans="1:10" x14ac:dyDescent="0.3">
      <c r="A1194" s="7" t="s">
        <v>612</v>
      </c>
      <c r="B1194" t="s">
        <v>628</v>
      </c>
      <c r="C1194" t="s">
        <v>631</v>
      </c>
      <c r="G1194" t="str">
        <f t="shared" si="41"/>
        <v>.csv</v>
      </c>
      <c r="H1194" s="5" t="str">
        <f>IFERROR(IF(B1194="FoPITY",INDEX(Customizations!$C$2:$C$19,MATCH(Sheet1!C1194,Customizations!$B$2:$B$19,0),1),INDEX(About!C:C,MATCH(Sheet1!B1194,About!B:B,0),1)),"")</f>
        <v>Output Currency Conversion Factors.xlsx</v>
      </c>
      <c r="I1194" s="5">
        <f>IFERROR(INDEX(About!$D:$D,MATCH(Sheet1!H1194,About!$C:$C,0),1),0)</f>
        <v>0</v>
      </c>
      <c r="J1194" s="6">
        <f t="shared" si="42"/>
        <v>0</v>
      </c>
    </row>
    <row r="1195" spans="1:10" x14ac:dyDescent="0.3">
      <c r="A1195" s="7" t="s">
        <v>612</v>
      </c>
      <c r="B1195" t="s">
        <v>628</v>
      </c>
      <c r="C1195" t="s">
        <v>632</v>
      </c>
      <c r="G1195" t="str">
        <f t="shared" si="41"/>
        <v>xlsx</v>
      </c>
      <c r="H1195" s="5" t="str">
        <f>IFERROR(IF(B1195="FoPITY",INDEX(Customizations!$C$2:$C$19,MATCH(Sheet1!C1195,Customizations!$B$2:$B$19,0),1),INDEX(About!C:C,MATCH(Sheet1!B1195,About!B:B,0),1)),"")</f>
        <v>Output Currency Conversion Factors.xlsx</v>
      </c>
      <c r="I1195" s="5">
        <f>IFERROR(INDEX(About!$D:$D,MATCH(Sheet1!H1195,About!$C:$C,0),1),0)</f>
        <v>0</v>
      </c>
      <c r="J1195" s="6">
        <f t="shared" si="42"/>
        <v>0</v>
      </c>
    </row>
    <row r="1196" spans="1:10" x14ac:dyDescent="0.3">
      <c r="A1196" s="7" t="s">
        <v>612</v>
      </c>
      <c r="B1196" t="s">
        <v>628</v>
      </c>
      <c r="C1196" t="s">
        <v>631</v>
      </c>
      <c r="G1196" t="str">
        <f t="shared" si="41"/>
        <v>.csv</v>
      </c>
      <c r="H1196" s="5" t="str">
        <f>IFERROR(IF(B1196="FoPITY",INDEX(Customizations!$C$2:$C$19,MATCH(Sheet1!C1196,Customizations!$B$2:$B$19,0),1),INDEX(About!C:C,MATCH(Sheet1!B1196,About!B:B,0),1)),"")</f>
        <v>Output Currency Conversion Factors.xlsx</v>
      </c>
      <c r="I1196" s="5">
        <f>IFERROR(INDEX(About!$D:$D,MATCH(Sheet1!H1196,About!$C:$C,0),1),0)</f>
        <v>0</v>
      </c>
      <c r="J1196" s="6">
        <f t="shared" si="42"/>
        <v>0</v>
      </c>
    </row>
    <row r="1197" spans="1:10" x14ac:dyDescent="0.3">
      <c r="A1197" s="7" t="s">
        <v>612</v>
      </c>
      <c r="B1197" t="s">
        <v>628</v>
      </c>
      <c r="C1197" t="s">
        <v>632</v>
      </c>
      <c r="G1197" t="str">
        <f t="shared" si="41"/>
        <v>xlsx</v>
      </c>
      <c r="H1197" s="5" t="str">
        <f>IFERROR(IF(B1197="FoPITY",INDEX(Customizations!$C$2:$C$19,MATCH(Sheet1!C1197,Customizations!$B$2:$B$19,0),1),INDEX(About!C:C,MATCH(Sheet1!B1197,About!B:B,0),1)),"")</f>
        <v>Output Currency Conversion Factors.xlsx</v>
      </c>
      <c r="I1197" s="5">
        <f>IFERROR(INDEX(About!$D:$D,MATCH(Sheet1!H1197,About!$C:$C,0),1),0)</f>
        <v>0</v>
      </c>
      <c r="J1197" s="6">
        <f t="shared" si="42"/>
        <v>0</v>
      </c>
    </row>
    <row r="1198" spans="1:10" x14ac:dyDescent="0.3">
      <c r="A1198" s="7" t="s">
        <v>612</v>
      </c>
      <c r="B1198" t="s">
        <v>628</v>
      </c>
      <c r="C1198" t="s">
        <v>630</v>
      </c>
      <c r="G1198" t="str">
        <f t="shared" si="41"/>
        <v>.csv</v>
      </c>
      <c r="H1198" s="5" t="str">
        <f>IFERROR(IF(B1198="FoPITY",INDEX(Customizations!$C$2:$C$19,MATCH(Sheet1!C1198,Customizations!$B$2:$B$19,0),1),INDEX(About!C:C,MATCH(Sheet1!B1198,About!B:B,0),1)),"")</f>
        <v>Output Currency Conversion Factors.xlsx</v>
      </c>
      <c r="I1198" s="5">
        <f>IFERROR(INDEX(About!$D:$D,MATCH(Sheet1!H1198,About!$C:$C,0),1),0)</f>
        <v>0</v>
      </c>
      <c r="J1198" s="6">
        <f t="shared" si="42"/>
        <v>0</v>
      </c>
    </row>
    <row r="1199" spans="1:10" x14ac:dyDescent="0.3">
      <c r="A1199" s="7" t="s">
        <v>612</v>
      </c>
      <c r="B1199" t="s">
        <v>628</v>
      </c>
      <c r="C1199" t="s">
        <v>631</v>
      </c>
      <c r="G1199" t="str">
        <f t="shared" si="41"/>
        <v>.csv</v>
      </c>
      <c r="H1199" s="5" t="str">
        <f>IFERROR(IF(B1199="FoPITY",INDEX(Customizations!$C$2:$C$19,MATCH(Sheet1!C1199,Customizations!$B$2:$B$19,0),1),INDEX(About!C:C,MATCH(Sheet1!B1199,About!B:B,0),1)),"")</f>
        <v>Output Currency Conversion Factors.xlsx</v>
      </c>
      <c r="I1199" s="5">
        <f>IFERROR(INDEX(About!$D:$D,MATCH(Sheet1!H1199,About!$C:$C,0),1),0)</f>
        <v>0</v>
      </c>
      <c r="J1199" s="6">
        <f t="shared" si="42"/>
        <v>0</v>
      </c>
    </row>
    <row r="1200" spans="1:10" x14ac:dyDescent="0.3">
      <c r="A1200" s="7" t="s">
        <v>612</v>
      </c>
      <c r="B1200" t="s">
        <v>628</v>
      </c>
      <c r="C1200" t="s">
        <v>632</v>
      </c>
      <c r="G1200" t="str">
        <f t="shared" si="41"/>
        <v>xlsx</v>
      </c>
      <c r="H1200" s="5" t="str">
        <f>IFERROR(IF(B1200="FoPITY",INDEX(Customizations!$C$2:$C$19,MATCH(Sheet1!C1200,Customizations!$B$2:$B$19,0),1),INDEX(About!C:C,MATCH(Sheet1!B1200,About!B:B,0),1)),"")</f>
        <v>Output Currency Conversion Factors.xlsx</v>
      </c>
      <c r="I1200" s="5">
        <f>IFERROR(INDEX(About!$D:$D,MATCH(Sheet1!H1200,About!$C:$C,0),1),0)</f>
        <v>0</v>
      </c>
      <c r="J1200" s="6">
        <f t="shared" si="42"/>
        <v>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C19"/>
    </sheetView>
  </sheetViews>
  <sheetFormatPr defaultRowHeight="16.5" x14ac:dyDescent="0.3"/>
  <cols>
    <col min="2" max="2" width="53.25" bestFit="1" customWidth="1"/>
  </cols>
  <sheetData/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9C87379D9A4242BB3A95F198D6F941" ma:contentTypeVersion="4" ma:contentTypeDescription="Create a new document." ma:contentTypeScope="" ma:versionID="07a235b40ffe2d9a960bde50f6511605">
  <xsd:schema xmlns:xsd="http://www.w3.org/2001/XMLSchema" xmlns:xs="http://www.w3.org/2001/XMLSchema" xmlns:p="http://schemas.microsoft.com/office/2006/metadata/properties" xmlns:ns2="40f4d404-d193-41dc-bb72-733c1e774208" targetNamespace="http://schemas.microsoft.com/office/2006/metadata/properties" ma:root="true" ma:fieldsID="485fc8e6f691b86ce0aee9b7e82feca0" ns2:_="">
    <xsd:import namespace="40f4d404-d193-41dc-bb72-733c1e7742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f4d404-d193-41dc-bb72-733c1e7742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2165C1B-F9C3-4459-952D-6B148DEA3142}"/>
</file>

<file path=customXml/itemProps2.xml><?xml version="1.0" encoding="utf-8"?>
<ds:datastoreItem xmlns:ds="http://schemas.openxmlformats.org/officeDocument/2006/customXml" ds:itemID="{35268D11-80E2-4D79-B1A7-645BC9215843}"/>
</file>

<file path=customXml/itemProps3.xml><?xml version="1.0" encoding="utf-8"?>
<ds:datastoreItem xmlns:ds="http://schemas.openxmlformats.org/officeDocument/2006/customXml" ds:itemID="{395B569B-7510-4BBA-A458-A2607CC3802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공용계정2</cp:lastModifiedBy>
  <dcterms:created xsi:type="dcterms:W3CDTF">2019-09-06T15:21:18Z</dcterms:created>
  <dcterms:modified xsi:type="dcterms:W3CDTF">2025-03-10T01:17:04Z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0x010100E59C87379D9A4242BB3A95F198D6F941</vt:lpwstr>
  </property>
</Properties>
</file>