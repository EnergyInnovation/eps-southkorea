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BCE58691-5784-4CA0-9856-E58D06B38C60}" xr6:coauthVersionLast="47" xr6:coauthVersionMax="47" xr10:uidLastSave="{00000000-0000-0000-0000-000000000000}"/>
  <bookViews>
    <workbookView xWindow="-8930" yWindow="-20960" windowWidth="17770" windowHeight="180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18" i="1" l="1"/>
  <c r="J947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<sst xmlns="http://schemas.openxmlformats.org/spreadsheetml/2006/main" count="4698" uniqueCount="1585">
  <si>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</si>
  <si>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</si>
  <si>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</si>
  <si>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</si>
  <si>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</si>
  <si>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</si>
  <si>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</si>
  <si>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</si>
  <si>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</si>
  <si>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</si>
  <si>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</si>
  <si>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</si>
  <si>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</si>
  <si>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</si>
  <si>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</si>
  <si>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</si>
  <si>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</si>
  <si>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</si>
  <si>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</si>
  <si>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</si>
  <si>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</si>
  <si>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</si>
  <si>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</si>
  <si>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</si>
  <si>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</si>
  <si>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</si>
  <si>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</si>
  <si>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</si>
  <si>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</si>
  <si>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</si>
  <si>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</si>
  <si>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</si>
  <si>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</si>
  <si>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</si>
  <si>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</si>
  <si>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</si>
  <si>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</si>
  <si>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</si>
  <si>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</si>
  <si>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</si>
  <si>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</si>
  <si>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</si>
  <si>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</si>
  <si>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</si>
  <si>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</si>
  <si>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</si>
  <si>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</si>
  <si>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</si>
  <si>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</si>
  <si>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</si>
  <si>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</si>
  <si>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</si>
  <si>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</si>
  <si>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</si>
  <si>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</si>
  <si>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</si>
  <si>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</si>
  <si>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</si>
  <si>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</si>
  <si>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</si>
  <si>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</si>
  <si>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</si>
  <si>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</si>
  <si>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</si>
  <si>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</si>
  <si>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</si>
  <si>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</si>
  <si>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</si>
  <si>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</si>
  <si>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</si>
  <si>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</si>
  <si>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</si>
  <si>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</si>
  <si>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</si>
  <si>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</si>
  <si>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</si>
  <si>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</si>
  <si>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</si>
  <si>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</si>
  <si>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</si>
  <si>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</si>
  <si>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</si>
  <si>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</si>
  <si>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</si>
  <si>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</si>
  <si>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</si>
  <si>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</si>
  <si>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</si>
  <si>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</si>
  <si>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</si>
  <si>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</si>
  <si>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</si>
  <si>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</si>
  <si>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</si>
  <si>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</si>
  <si>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</si>
  <si>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</si>
  <si>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</si>
  <si>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</si>
  <si>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</si>
  <si>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</si>
  <si>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</si>
  <si>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</si>
  <si>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</si>
  <si>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</si>
  <si>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</si>
  <si>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</si>
  <si>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</si>
  <si>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</si>
  <si>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</si>
  <si>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</si>
  <si>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</si>
  <si>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</si>
  <si>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</si>
  <si>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</si>
  <si>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</si>
  <si>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</si>
  <si>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</si>
  <si>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</si>
  <si>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</si>
  <si>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</si>
  <si>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</si>
  <si>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</si>
  <si>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</si>
  <si>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</si>
  <si>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</si>
  <si>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</si>
  <si>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</si>
  <si>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</si>
  <si>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</si>
  <si>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</si>
  <si>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</si>
  <si>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</si>
  <si>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</si>
  <si>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</si>
  <si>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</si>
  <si>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</si>
  <si>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</si>
  <si>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</si>
  <si>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</si>
  <si>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</si>
  <si>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</si>
  <si>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</si>
  <si>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</si>
  <si>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</si>
  <si>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</si>
  <si>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</si>
  <si>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</si>
  <si>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</si>
  <si>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</si>
  <si>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</si>
  <si>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</si>
  <si>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</si>
  <si>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</si>
  <si>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</si>
  <si>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</si>
  <si>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</si>
  <si>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</si>
  <si>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</si>
  <si>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</si>
  <si>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</si>
  <si>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</si>
  <si>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</si>
  <si>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</si>
  <si>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</si>
  <si>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</si>
  <si>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</si>
  <si>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</si>
  <si>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</si>
  <si>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</si>
  <si>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</si>
  <si>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</si>
  <si>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</si>
  <si>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</si>
  <si>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</si>
  <si>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</si>
  <si>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</si>
  <si>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</si>
  <si>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</si>
  <si>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</si>
  <si>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</si>
  <si>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</si>
  <si>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</si>
  <si>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</si>
  <si>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</si>
  <si>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</si>
  <si>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</si>
  <si>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</si>
  <si>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</si>
  <si>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</si>
  <si>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</si>
  <si>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</si>
  <si>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</si>
  <si>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</si>
  <si>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</si>
  <si>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</si>
  <si>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</si>
  <si>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</si>
  <si>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</si>
  <si>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</si>
  <si>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</si>
  <si>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</si>
  <si>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</si>
  <si>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</si>
  <si>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</si>
  <si>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</si>
  <si>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</si>
  <si>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</si>
  <si>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</si>
  <si>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</si>
  <si>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</si>
  <si>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</si>
  <si>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</si>
  <si>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</si>
  <si>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</si>
  <si>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</si>
  <si>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</si>
  <si>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</si>
  <si>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</si>
  <si>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</si>
  <si>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</si>
  <si>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</si>
  <si>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</si>
  <si>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</si>
  <si>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</si>
  <si>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</si>
  <si>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</si>
  <si>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</si>
  <si>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</si>
  <si>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</si>
  <si>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</si>
  <si>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</si>
  <si>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</si>
  <si>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</si>
  <si>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</si>
  <si>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</si>
  <si>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</si>
  <si>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</si>
  <si>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</si>
  <si>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</si>
  <si>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</si>
  <si>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</si>
  <si>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</si>
  <si>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</si>
  <si>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</si>
  <si>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</si>
  <si>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</si>
  <si>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</si>
  <si>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</si>
  <si>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</si>
  <si>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</si>
  <si>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</si>
  <si>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</si>
  <si>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</si>
  <si>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</si>
  <si>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</si>
  <si>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</si>
  <si>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</si>
  <si>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</si>
  <si>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</si>
  <si>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</si>
  <si>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</si>
  <si>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</si>
  <si>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</si>
  <si>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</si>
  <si>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</si>
  <si>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</si>
  <si>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</si>
  <si>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</si>
  <si>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</si>
  <si>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</si>
  <si>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</si>
  <si>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</si>
  <si>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</si>
  <si>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</si>
  <si>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</si>
  <si>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</si>
  <si>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</si>
  <si>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</si>
  <si>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</si>
  <si>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</si>
  <si>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</si>
  <si>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</si>
  <si>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</si>
  <si>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</si>
  <si>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</si>
  <si>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</si>
  <si>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</si>
  <si>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</si>
  <si>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</si>
  <si>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</si>
  <si>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</si>
  <si>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</si>
  <si>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</si>
  <si>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</si>
  <si>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</si>
  <si>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</si>
  <si>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</si>
  <si>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</si>
  <si>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</si>
  <si>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</si>
  <si>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</si>
  <si>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</si>
  <si>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</si>
  <si>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</si>
  <si>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</si>
  <si>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</si>
  <si>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</si>
  <si>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</si>
  <si>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</si>
  <si>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</si>
  <si>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</si>
  <si>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</si>
  <si>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</si>
  <si>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</si>
  <si>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</si>
  <si>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</si>
  <si>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</si>
  <si>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</si>
  <si>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</si>
  <si>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</si>
  <si>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</si>
  <si>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</si>
  <si>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</si>
  <si>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</si>
  <si>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</si>
  <si>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</si>
  <si>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</si>
  <si>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</si>
  <si>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</si>
  <si>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</si>
  <si>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</si>
  <si>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</si>
  <si>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</si>
  <si>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</si>
  <si>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</si>
  <si>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</si>
  <si>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</si>
  <si>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</si>
  <si>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</si>
  <si>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</si>
  <si>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</si>
  <si>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</si>
  <si>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</si>
  <si>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</si>
  <si>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</si>
  <si>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</si>
  <si>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</si>
  <si>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</si>
  <si>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</si>
  <si>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</si>
  <si>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</si>
  <si>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</si>
  <si>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</si>
  <si>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</si>
  <si>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</si>
  <si>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</si>
  <si>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</si>
  <si>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</si>
  <si>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</si>
  <si>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</si>
  <si>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</si>
  <si>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</si>
  <si>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</si>
  <si>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</si>
  <si>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</si>
  <si>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</si>
  <si>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</si>
  <si>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</si>
  <si>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</si>
  <si>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</si>
  <si>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</si>
  <si>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</si>
  <si>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</si>
  <si>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</si>
  <si>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</si>
  <si>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</si>
  <si>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</si>
  <si>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</si>
  <si>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</si>
  <si>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</si>
  <si>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</si>
  <si>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</si>
  <si>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</si>
  <si>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</si>
  <si>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</si>
  <si>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</si>
  <si>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</si>
  <si>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</si>
  <si>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</si>
  <si>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</si>
  <si>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</si>
  <si>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</si>
  <si>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</si>
  <si>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</si>
  <si>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</si>
  <si>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</si>
  <si>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</si>
  <si>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</si>
  <si>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</si>
  <si>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</si>
  <si>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</si>
  <si>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</si>
  <si>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</si>
  <si>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</si>
  <si>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</si>
  <si>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</si>
  <si>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</si>
  <si>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</si>
  <si>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</si>
  <si>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</si>
  <si>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</si>
  <si>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</si>
  <si>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</si>
  <si>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</si>
  <si>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</si>
  <si>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</si>
  <si>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</si>
  <si>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</si>
  <si>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</si>
  <si>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</si>
  <si>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</si>
  <si>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</si>
  <si>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</si>
  <si>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</si>
  <si>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</si>
  <si>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</si>
  <si>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</si>
  <si>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</si>
  <si>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</si>
  <si>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</si>
  <si>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</si>
  <si>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</si>
  <si>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</si>
  <si>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</si>
  <si>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</si>
  <si>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</si>
  <si>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</si>
  <si>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</si>
  <si>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</si>
  <si>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</si>
  <si>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</si>
  <si>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</si>
  <si>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</si>
  <si>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</si>
  <si>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</si>
  <si>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</si>
  <si>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</si>
  <si>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</si>
  <si>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</si>
  <si>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</si>
  <si>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</si>
  <si>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</si>
  <si>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</si>
  <si>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</si>
  <si>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</si>
  <si>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</si>
  <si>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</si>
  <si>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</si>
  <si>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</si>
  <si>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</si>
  <si>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</si>
  <si>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</si>
  <si>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</si>
  <si>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</si>
  <si>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</si>
  <si>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</si>
  <si>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</si>
  <si>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</si>
  <si>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</si>
  <si>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</si>
  <si>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</si>
  <si>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</si>
  <si>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</si>
  <si>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</si>
  <si>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</si>
  <si>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</si>
  <si>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</si>
  <si>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</si>
  <si>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</si>
  <si>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</si>
  <si>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</si>
  <si>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</si>
  <si>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</si>
  <si>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</si>
  <si>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</si>
  <si>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</si>
  <si>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</si>
  <si>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</si>
  <si>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</si>
  <si>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</si>
  <si>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</si>
  <si>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</si>
  <si>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</si>
  <si>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</si>
  <si>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</si>
  <si>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</si>
  <si>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</si>
  <si>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</si>
  <si>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</si>
  <si>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</si>
  <si>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</si>
  <si>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</si>
  <si>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</si>
  <si>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</si>
  <si>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</si>
  <si>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</si>
  <si>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</si>
  <si>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</si>
  <si>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</si>
  <si>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</si>
  <si>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</si>
  <si>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</si>
  <si>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</si>
  <si>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</si>
  <si>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</si>
  <si>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</si>
  <si>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</si>
  <si>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</si>
  <si>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</si>
  <si>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</si>
  <si>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</si>
  <si>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</si>
  <si>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</si>
  <si>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</si>
  <si>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</si>
  <si>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</si>
  <si>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</si>
  <si>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</si>
  <si>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</si>
  <si>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</si>
  <si>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</si>
  <si>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</si>
  <si>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</si>
  <si>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</si>
  <si>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</si>
  <si>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</si>
  <si>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</si>
  <si>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</si>
  <si>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</si>
  <si>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</si>
  <si>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</si>
  <si>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</si>
  <si>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</si>
  <si>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</si>
  <si>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</si>
  <si>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</si>
  <si>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</si>
  <si>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</si>
  <si>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</si>
  <si>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</si>
  <si>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</si>
  <si>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</si>
  <si>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</si>
  <si>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</si>
  <si>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</si>
  <si>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</si>
  <si>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</si>
  <si>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</si>
  <si>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</si>
  <si>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</si>
  <si>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</si>
  <si>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</si>
  <si>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</si>
  <si>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</si>
  <si>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</si>
  <si>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</si>
  <si>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</si>
  <si>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</si>
  <si>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</si>
  <si>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</si>
  <si>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</si>
  <si>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</si>
  <si>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</si>
  <si>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</si>
  <si>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</si>
  <si>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</si>
  <si>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</si>
  <si>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</si>
  <si>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</si>
  <si>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</si>
  <si>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</si>
  <si>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</si>
  <si>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</si>
  <si>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</si>
  <si>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</si>
  <si>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</si>
  <si>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</si>
  <si>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</si>
  <si>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</si>
  <si>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</si>
  <si>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</si>
  <si>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</si>
  <si>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</si>
  <si>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</si>
  <si>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</si>
  <si>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</si>
  <si>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</si>
  <si>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</si>
  <si>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</si>
  <si>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</si>
  <si>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</si>
  <si>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</si>
  <si>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</si>
  <si>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</si>
  <si>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</si>
  <si>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</si>
  <si>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</si>
  <si>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</si>
  <si>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</si>
  <si>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</si>
  <si>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</si>
  <si>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</si>
  <si>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</si>
  <si>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</si>
  <si>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</si>
  <si>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</si>
  <si>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</si>
  <si>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</si>
  <si>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</si>
  <si>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</si>
  <si>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</si>
  <si>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</si>
  <si>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</si>
  <si>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</si>
  <si>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</si>
  <si>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</si>
  <si>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</si>
  <si>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</si>
  <si>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</si>
  <si>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</si>
  <si>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</si>
  <si>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</si>
  <si>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</si>
  <si>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</si>
  <si>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</si>
  <si>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</si>
  <si>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</si>
  <si>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</si>
  <si>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</si>
  <si>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</si>
  <si>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</si>
  <si>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</si>
  <si>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</si>
  <si>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</si>
  <si>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</si>
  <si>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</si>
  <si>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</si>
  <si>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</si>
  <si>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</si>
  <si>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</si>
  <si>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</si>
  <si>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</si>
  <si>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</si>
  <si>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</si>
  <si>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</si>
  <si>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</si>
  <si>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</si>
  <si>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</si>
  <si>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</si>
  <si>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</si>
  <si>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</si>
  <si>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</si>
  <si>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</si>
  <si>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</si>
  <si>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</si>
  <si>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</si>
  <si>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</si>
  <si>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</si>
  <si>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</si>
  <si>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</si>
  <si>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</si>
  <si>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</si>
  <si>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</si>
  <si>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</si>
  <si>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</si>
  <si>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</si>
  <si>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</si>
  <si>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</si>
  <si>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</si>
  <si>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</si>
  <si>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</si>
  <si>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</si>
  <si>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</si>
  <si>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</si>
  <si>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</si>
  <si>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</si>
  <si>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</si>
  <si>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</si>
  <si>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</si>
  <si>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</si>
  <si>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</si>
  <si>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</si>
  <si>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</si>
  <si>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</si>
  <si>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</si>
  <si>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</si>
  <si>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</si>
  <si>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</si>
  <si>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</si>
  <si>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</si>
  <si>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</si>
  <si>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</si>
  <si>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</si>
  <si>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</si>
  <si>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</si>
  <si>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</si>
  <si>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</si>
  <si>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</si>
  <si>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</si>
  <si>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</si>
  <si>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</si>
  <si>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</si>
  <si>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</si>
  <si>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</si>
  <si>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</si>
  <si>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</si>
  <si>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</si>
  <si>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</si>
  <si>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</si>
  <si>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</si>
  <si>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</si>
  <si>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</si>
  <si>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</si>
  <si>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</si>
  <si>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</si>
  <si>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</si>
  <si>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</si>
  <si>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</si>
  <si>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</si>
  <si>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</si>
  <si>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</si>
  <si>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</si>
  <si>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</si>
  <si>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</si>
  <si>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</si>
  <si>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</si>
  <si>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</si>
  <si>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</si>
  <si>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</si>
  <si>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</si>
  <si>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</si>
  <si>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</si>
  <si>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</si>
  <si>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</si>
  <si>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</si>
  <si>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</si>
  <si>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</si>
  <si>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</si>
  <si>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</si>
  <si>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</si>
  <si>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</si>
  <si>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</si>
  <si>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</si>
  <si>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</si>
  <si>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</si>
  <si>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</si>
  <si>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</si>
  <si>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</si>
  <si>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</si>
  <si>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</si>
  <si>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</si>
  <si>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</si>
  <si>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</si>
  <si>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</si>
  <si>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</si>
  <si>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</si>
  <si>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</si>
  <si>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</si>
  <si>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</si>
  <si>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</si>
  <si>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</si>
  <si>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</si>
  <si>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</si>
  <si>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</si>
  <si>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</si>
  <si>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</si>
  <si>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</si>
  <si>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</si>
  <si>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</si>
  <si>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</si>
  <si>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</si>
  <si>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</si>
  <si>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</si>
  <si>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</si>
  <si>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</si>
  <si>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</si>
  <si>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</si>
  <si>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</si>
  <si>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</si>
  <si>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</si>
  <si>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</si>
  <si>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</si>
  <si>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</si>
  <si>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</si>
  <si>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</si>
  <si>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</si>
  <si>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</si>
  <si>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</si>
  <si>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</si>
  <si>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</si>
  <si>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</si>
  <si>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</si>
  <si>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</si>
  <si>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</si>
  <si>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</si>
  <si>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</si>
  <si>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</si>
  <si>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</si>
  <si>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</si>
  <si>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</si>
  <si>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</si>
  <si>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</si>
  <si>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</si>
  <si>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</si>
  <si>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</si>
  <si>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</si>
  <si>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</si>
  <si>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</si>
  <si>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</si>
  <si>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</si>
  <si>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</si>
  <si>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</si>
  <si>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</si>
  <si>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</si>
  <si>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</si>
  <si>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</si>
  <si>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</si>
  <si>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</si>
  <si>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</si>
  <si>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</si>
  <si>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</si>
  <si>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</si>
  <si>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</si>
  <si>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</si>
  <si>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</si>
  <si>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</si>
  <si>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</si>
  <si>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</si>
  <si>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</si>
  <si>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</si>
  <si>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</si>
  <si>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</si>
  <si>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</si>
  <si>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</si>
  <si>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</si>
  <si>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</si>
  <si>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</si>
  <si>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</si>
  <si>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</si>
  <si>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</si>
  <si>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</si>
  <si>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</si>
  <si>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</si>
  <si>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</si>
  <si>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</si>
  <si>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</si>
  <si>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</si>
  <si>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</si>
  <si>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</si>
  <si>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</si>
  <si>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</si>
  <si>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</si>
  <si>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</si>
  <si>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</si>
  <si>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</si>
  <si>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</si>
  <si>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</si>
  <si>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</si>
  <si>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</si>
  <si>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</si>
  <si>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</si>
  <si>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</si>
  <si>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</si>
  <si>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</si>
  <si>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</si>
  <si>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</si>
  <si>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</si>
  <si>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</si>
  <si>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</si>
  <si>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</si>
  <si>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</si>
  <si>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</si>
  <si>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</si>
  <si>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</si>
  <si>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</si>
  <si>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</si>
  <si>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</si>
  <si>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</si>
  <si>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</si>
  <si>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</si>
  <si>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</si>
  <si>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</si>
  <si>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</si>
  <si>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</si>
  <si>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</si>
  <si>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</si>
  <si>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</si>
  <si>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</si>
  <si>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</si>
  <si>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</si>
  <si>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</si>
  <si>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</si>
  <si>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</si>
  <si>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</si>
  <si>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</si>
  <si>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</si>
  <si>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</si>
  <si>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</si>
  <si>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</si>
  <si>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</si>
  <si>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</si>
  <si>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</si>
  <si>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</si>
  <si>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</si>
  <si>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</si>
  <si>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</si>
  <si>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</si>
  <si>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</si>
  <si>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</si>
  <si>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</si>
  <si>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</si>
  <si>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</si>
  <si>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</si>
  <si>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</si>
  <si>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</si>
  <si>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</si>
  <si>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</si>
  <si>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</si>
  <si>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</si>
  <si>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</si>
  <si>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</si>
  <si>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</si>
  <si>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</si>
  <si>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</si>
  <si>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</si>
  <si>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</si>
  <si>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</si>
  <si>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</si>
  <si>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</si>
  <si>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</si>
  <si>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</si>
  <si>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</si>
  <si>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</si>
  <si>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</si>
  <si>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</si>
  <si>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</si>
  <si>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</si>
  <si>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</si>
  <si>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</si>
  <si>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</si>
  <si>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</si>
  <si>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</si>
  <si>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</si>
  <si>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</si>
  <si>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</si>
  <si>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</si>
  <si>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</si>
  <si>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</si>
  <si>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</si>
  <si>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</si>
  <si>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</si>
  <si>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</si>
  <si>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</si>
  <si>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</si>
  <si>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</si>
  <si>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</si>
  <si>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</si>
  <si>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</si>
  <si>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</si>
  <si>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</si>
  <si>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</si>
  <si>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</si>
  <si>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</si>
  <si>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</si>
  <si>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</si>
  <si>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</si>
  <si>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</si>
  <si>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</si>
  <si>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</si>
  <si>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</si>
  <si>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</si>
  <si>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</si>
  <si>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</si>
  <si>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</si>
  <si>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</si>
  <si>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</si>
  <si>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</si>
  <si>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</si>
  <si>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</si>
  <si>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</si>
  <si>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</si>
  <si>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</si>
  <si>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</si>
  <si>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</si>
  <si>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</si>
  <si>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</si>
  <si>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</si>
  <si>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</si>
  <si>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</si>
  <si>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</si>
  <si>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</si>
  <si>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</si>
  <si>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</si>
  <si>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</si>
  <si>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</si>
  <si>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</si>
  <si>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</si>
  <si>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</si>
  <si>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</si>
  <si>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</si>
  <si>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</si>
  <si>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</si>
  <si>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</si>
  <si>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</si>
  <si>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</si>
  <si>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</si>
  <si>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</si>
  <si>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</si>
  <si>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</si>
  <si>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</si>
  <si>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</si>
  <si>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</si>
  <si>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</si>
  <si>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</si>
  <si>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</si>
  <si>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</si>
  <si>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</si>
  <si>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</si>
  <si>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</si>
  <si>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</si>
  <si>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</si>
  <si>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</si>
  <si>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</si>
  <si>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</si>
  <si>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</si>
  <si>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</si>
  <si>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</si>
  <si>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</si>
  <si>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</si>
  <si>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</si>
  <si>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</si>
  <si>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</si>
  <si>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</si>
  <si>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</si>
  <si>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</si>
  <si>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</si>
  <si>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</si>
  <si>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</si>
  <si>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</si>
  <si>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</si>
  <si>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</si>
  <si>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</si>
  <si>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</si>
  <si>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</si>
  <si>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</si>
  <si>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</si>
  <si>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</si>
  <si>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</si>
  <si>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</si>
  <si>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</si>
  <si>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</si>
  <si>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</si>
  <si>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</si>
  <si>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</si>
  <si>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</si>
  <si>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</si>
  <si>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</si>
  <si>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</si>
  <si>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</si>
  <si>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</si>
  <si>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</si>
  <si>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</si>
  <si>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</si>
  <si>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</si>
  <si>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</si>
  <si>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</si>
  <si>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</si>
  <si>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</si>
  <si>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</si>
  <si>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</si>
  <si>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</si>
  <si>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</si>
  <si>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</si>
  <si>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</si>
  <si>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</si>
  <si>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</si>
  <si>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</si>
  <si>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</si>
  <si>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</si>
  <si>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</si>
  <si>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</si>
  <si>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</si>
  <si>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</si>
  <si>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</si>
  <si>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</si>
  <si>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</si>
  <si>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</si>
  <si>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</si>
  <si>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</si>
  <si>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</si>
  <si>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</si>
  <si>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</si>
  <si>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</si>
  <si>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</si>
  <si>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</si>
  <si>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</si>
  <si>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</si>
  <si>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</si>
  <si>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</si>
  <si>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</si>
  <si>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</si>
  <si>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</si>
  <si>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</si>
  <si>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</si>
  <si>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</si>
  <si>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</si>
  <si>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</si>
  <si>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</si>
  <si>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</si>
  <si>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</si>
  <si>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</si>
  <si>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</si>
  <si>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</si>
  <si>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</si>
  <si>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</si>
  <si>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</si>
  <si>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</si>
  <si>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</si>
  <si>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</si>
  <si>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</si>
  <si>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</si>
  <si>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</si>
  <si>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</si>
  <si>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</si>
  <si>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</si>
  <si>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</si>
  <si>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</si>
  <si>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</si>
  <si>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</si>
  <si>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</si>
  <si>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</si>
  <si>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</si>
  <si>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</si>
  <si>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</si>
  <si>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</si>
  <si>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</si>
  <si>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</si>
  <si>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</si>
  <si>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</si>
  <si>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</si>
  <si>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</si>
  <si>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</si>
  <si>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</si>
  <si>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</si>
  <si>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</si>
  <si>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</si>
  <si>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</si>
  <si>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</si>
  <si>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</si>
  <si>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</si>
  <si>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</si>
  <si>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</si>
  <si>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</si>
  <si>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</si>
  <si>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</si>
  <si>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</si>
  <si>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</si>
  <si>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</si>
  <si>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</si>
  <si>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</si>
  <si>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</si>
  <si>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</si>
  <si>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</si>
  <si>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</si>
  <si>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</si>
  <si>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</si>
  <si>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</si>
  <si>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</si>
  <si>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</si>
  <si>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</si>
  <si>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</si>
  <si>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</si>
  <si>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</si>
  <si>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</si>
  <si>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</si>
  <si>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</si>
  <si>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</si>
  <si>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</si>
  <si>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</si>
  <si>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</si>
  <si>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</si>
  <si>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</si>
  <si>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</si>
  <si>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</si>
  <si>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</si>
  <si>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</si>
  <si>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</si>
  <si>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</si>
  <si>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</si>
  <si>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</si>
  <si>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</si>
  <si>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</si>
  <si>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</si>
  <si>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</si>
  <si>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</si>
  <si>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</si>
  <si>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</si>
  <si>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</si>
  <si>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</si>
  <si>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</si>
  <si>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</si>
  <si>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</si>
  <si>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</si>
  <si>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</si>
  <si>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</si>
  <si>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</si>
  <si>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</si>
  <si>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</si>
  <si>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</si>
  <si>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</si>
  <si>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</si>
  <si>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</si>
  <si>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</si>
  <si>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</si>
  <si>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</si>
  <si>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</si>
  <si>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</si>
  <si>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</si>
  <si>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</si>
  <si>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</si>
  <si>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</si>
  <si>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</si>
  <si>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</si>
  <si>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</si>
  <si>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</si>
  <si>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</si>
  <si>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</si>
  <si>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</si>
  <si>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</si>
  <si>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</si>
  <si>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</si>
  <si>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</si>
  <si>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</si>
  <si>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</si>
  <si>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</si>
  <si>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</si>
  <si>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</si>
  <si>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</si>
  <si>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</si>
  <si>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</si>
  <si>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</si>
  <si>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</si>
  <si>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</si>
  <si>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</si>
  <si>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</si>
  <si>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</si>
  <si>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</si>
  <si>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</si>
  <si>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</si>
  <si>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</si>
  <si>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</si>
  <si>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</si>
  <si>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</si>
  <si>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</si>
  <si>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</si>
  <si>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</si>
  <si>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</si>
  <si>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</si>
  <si>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</si>
  <si>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</si>
  <si>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</si>
  <si>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</si>
  <si>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</si>
  <si>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</si>
  <si>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</si>
  <si>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</si>
  <si>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</si>
  <si>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</si>
  <si>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</si>
  <si>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</si>
  <si>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</si>
  <si>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</si>
  <si>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</si>
  <si>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</si>
  <si>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</si>
  <si>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</si>
  <si>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</si>
  <si>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</si>
  <si>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</si>
  <si>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</si>
  <si>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</si>
  <si>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</si>
  <si>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</si>
  <si>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</si>
  <si>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</si>
  <si>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</si>
  <si>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</si>
  <si>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</si>
  <si>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</si>
  <si>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</si>
  <si>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</si>
  <si>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</si>
  <si>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</si>
  <si>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</si>
  <si>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</si>
  <si>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</si>
  <si>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</si>
  <si>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</si>
  <si>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</si>
  <si>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</si>
  <si>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</si>
  <si>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</si>
  <si>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</si>
  <si>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</si>
  <si>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</si>
  <si>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</si>
  <si>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</si>
  <si>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</si>
  <si>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</si>
  <si>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</si>
  <si>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</si>
  <si>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</si>
  <si>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</si>
  <si>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</si>
  <si>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</si>
  <si>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</si>
  <si>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</si>
  <si>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</si>
  <si>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</si>
  <si>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</si>
  <si>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</si>
  <si>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</si>
  <si>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</si>
  <si>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</si>
  <si>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</si>
  <si>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</si>
  <si>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</si>
  <si>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</si>
  <si>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</si>
  <si>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</si>
  <si>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</si>
  <si>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</si>
  <si>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</si>
  <si>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</si>
  <si>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</si>
  <si>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</si>
  <si>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</si>
  <si>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</si>
  <si>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</si>
  <si>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</si>
  <si>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</si>
  <si>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</si>
  <si>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</si>
  <si>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</si>
  <si>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</si>
  <si>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</si>
  <si>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</si>
  <si>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</si>
  <si>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</si>
  <si>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</si>
  <si>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</si>
  <si>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</si>
  <si>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</si>
  <si>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</si>
  <si>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</si>
  <si>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</si>
  <si>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</si>
  <si>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</si>
  <si>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</si>
  <si>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</si>
  <si>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</si>
  <si>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</si>
  <si>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</si>
  <si>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</si>
  <si>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</si>
  <si>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</si>
  <si>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</si>
  <si>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</si>
  <si>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</si>
  <si>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</si>
  <si>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</si>
  <si>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</si>
  <si>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</si>
  <si>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</si>
  <si>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</si>
  <si>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</si>
  <si>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</si>
  <si>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</si>
  <si>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</si>
  <si>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</si>
  <si>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</si>
  <si>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</si>
  <si>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</si>
  <si>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</si>
  <si>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</si>
  <si>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</si>
  <si>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</si>
  <si>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</si>
  <si>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</si>
  <si>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</si>
  <si>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</si>
  <si>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</si>
  <si>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</si>
  <si>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</si>
  <si>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</si>
  <si>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</si>
  <si>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</si>
  <si>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</si>
  <si>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</si>
  <si>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</si>
  <si>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</si>
  <si>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</si>
  <si>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</si>
  <si>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</si>
  <si>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</si>
  <si>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</si>
  <si>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</si>
  <si>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</si>
  <si>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</si>
  <si>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</si>
  <si>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</si>
  <si>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</si>
  <si>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</si>
  <si>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</si>
  <si>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</si>
  <si>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</si>
  <si>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</si>
  <si>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</si>
  <si>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</si>
  <si>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</si>
  <si>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</si>
  <si>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</si>
  <si>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</si>
  <si>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</si>
  <si>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</si>
  <si>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</si>
  <si>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</si>
  <si>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</si>
  <si>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</si>
  <si>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</si>
  <si>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</si>
  <si>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</si>
  <si>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</si>
  <si>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</si>
  <si>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</si>
  <si>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</si>
  <si>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</si>
  <si>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</si>
  <si>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</si>
  <si>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</si>
  <si>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</si>
  <si>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</si>
  <si>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</si>
  <si>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</si>
  <si>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</si>
  <si>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</si>
  <si>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</si>
  <si>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</si>
  <si>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</si>
  <si>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</si>
  <si>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</si>
  <si>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</si>
  <si>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</si>
  <si>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</si>
  <si>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</si>
  <si>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</si>
  <si>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</si>
  <si>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</si>
  <si>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</si>
  <si>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</si>
  <si>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</si>
  <si>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</si>
  <si>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</si>
  <si>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</si>
  <si>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</si>
  <si>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MDSC</t>
  </si>
  <si>
    <t>Max Distrib Solar Capacity.xlsx</t>
  </si>
  <si>
    <t>MDSC.csv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</si>
  <si>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</si>
  <si>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</si>
  <si>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</si>
  <si>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</si>
  <si>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</si>
  <si>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</si>
  <si>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</si>
  <si>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</si>
  <si>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</si>
  <si>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</si>
  <si>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</si>
  <si>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</si>
  <si>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desktop.ini</t>
  </si>
  <si>
    <t>RACP-BRACP.csv</t>
  </si>
  <si>
    <t>RACP-RACP.csv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</si>
  <si>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</si>
  <si>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</si>
  <si>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</si>
  <si>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</si>
  <si>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</si>
  <si>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</si>
  <si>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</si>
  <si>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Frac of Goods Purchased by Entity and ISIC Code US.xlsx</t>
  </si>
  <si>
    <t>lCoLUPpUA</t>
  </si>
  <si>
    <t>FoPITY.xlsx</t>
  </si>
  <si>
    <t>policy_upload.py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</si>
  <si>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</si>
  <si>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</si>
  <si>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</si>
  <si>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</si>
  <si>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</si>
  <si>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</si>
  <si>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</si>
  <si>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</si>
  <si>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</si>
  <si>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</si>
  <si>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</si>
  <si>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</si>
  <si>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</si>
  <si>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</si>
  <si>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</si>
  <si>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</si>
  <si>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</si>
  <si>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</si>
  <si>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</si>
  <si>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</si>
  <si>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</si>
  <si>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</si>
  <si>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</si>
  <si>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</si>
  <si>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</si>
  <si>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</si>
  <si>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</si>
  <si>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</si>
  <si>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</si>
  <si>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</si>
  <si>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</si>
  <si>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</si>
  <si>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</si>
  <si>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</si>
  <si>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</si>
  <si>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</si>
  <si>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</si>
  <si>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</si>
  <si>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</si>
  <si>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</si>
  <si>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</si>
  <si>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</si>
  <si>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</si>
  <si>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</si>
  <si>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</si>
  <si>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</si>
  <si>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</si>
  <si>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</si>
  <si>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</si>
  <si>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</si>
  <si>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</si>
  <si>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</si>
  <si>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</si>
  <si>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</si>
  <si>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</si>
  <si>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</si>
  <si>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</si>
  <si>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</si>
  <si>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</si>
  <si>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</si>
  <si>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</si>
  <si>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</si>
  <si>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</si>
  <si>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</si>
  <si>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</si>
  <si>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</si>
  <si>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</si>
  <si>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</si>
  <si>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</si>
  <si>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</si>
  <si>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</si>
  <si>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</si>
  <si>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</si>
  <si>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</si>
  <si>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</si>
  <si>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</si>
  <si>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BRZSPbMR</t>
  </si>
  <si>
    <t>BAU Required ZEV Sales Percentage by Model Region.xlsx</t>
  </si>
  <si>
    <t>BRZSPbMR-freight.csv</t>
  </si>
  <si>
    <t>BRZSPbMR-passenger.csv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</si>
</sst>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9.504404629632" createdVersion="6" refreshedVersion="8" minRefreshableVersion="3" recordCount="124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0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Fuel Prices and Taxes_old.xlsx" u="1"/>
        <s v="~$Start Year Seasonal Expected Hourly Electricity Capacity Factors.xlsx" u="1"/>
        <s v="Start Year Seasonal Expected Hourly Electricity Capacity Factors_old.xlsx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0"/>
    <x v="346"/>
  </r>
  <r>
    <x v="13"/>
    <x v="111"/>
    <x v="347"/>
  </r>
  <r>
    <x v="13"/>
    <x v="111"/>
    <x v="348"/>
  </r>
  <r>
    <x v="13"/>
    <x v="112"/>
    <x v="349"/>
  </r>
  <r>
    <x v="13"/>
    <x v="112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7"/>
    <x v="361"/>
  </r>
  <r>
    <x v="13"/>
    <x v="118"/>
    <x v="362"/>
  </r>
  <r>
    <x v="13"/>
    <x v="118"/>
    <x v="363"/>
  </r>
  <r>
    <x v="13"/>
    <x v="118"/>
    <x v="364"/>
  </r>
  <r>
    <x v="13"/>
    <x v="118"/>
    <x v="365"/>
  </r>
  <r>
    <x v="13"/>
    <x v="119"/>
    <x v="366"/>
  </r>
  <r>
    <x v="13"/>
    <x v="119"/>
    <x v="367"/>
  </r>
  <r>
    <x v="13"/>
    <x v="120"/>
    <x v="368"/>
  </r>
  <r>
    <x v="13"/>
    <x v="120"/>
    <x v="369"/>
  </r>
  <r>
    <x v="13"/>
    <x v="121"/>
    <x v="370"/>
  </r>
  <r>
    <x v="13"/>
    <x v="121"/>
    <x v="371"/>
  </r>
  <r>
    <x v="13"/>
    <x v="121"/>
    <x v="372"/>
  </r>
  <r>
    <x v="13"/>
    <x v="122"/>
    <x v="373"/>
  </r>
  <r>
    <x v="13"/>
    <x v="122"/>
    <x v="374"/>
  </r>
  <r>
    <x v="13"/>
    <x v="122"/>
    <x v="375"/>
  </r>
  <r>
    <x v="13"/>
    <x v="122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4"/>
    <x v="400"/>
  </r>
  <r>
    <x v="13"/>
    <x v="124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6"/>
    <x v="406"/>
  </r>
  <r>
    <x v="13"/>
    <x v="126"/>
    <x v="407"/>
  </r>
  <r>
    <x v="13"/>
    <x v="127"/>
    <x v="408"/>
  </r>
  <r>
    <x v="13"/>
    <x v="127"/>
    <x v="409"/>
  </r>
  <r>
    <x v="13"/>
    <x v="128"/>
    <x v="410"/>
  </r>
  <r>
    <x v="13"/>
    <x v="128"/>
    <x v="411"/>
  </r>
  <r>
    <x v="13"/>
    <x v="129"/>
    <x v="412"/>
  </r>
  <r>
    <x v="13"/>
    <x v="129"/>
    <x v="413"/>
  </r>
  <r>
    <x v="13"/>
    <x v="130"/>
    <x v="414"/>
  </r>
  <r>
    <x v="13"/>
    <x v="130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1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2"/>
    <x v="447"/>
  </r>
  <r>
    <x v="13"/>
    <x v="133"/>
    <x v="448"/>
  </r>
  <r>
    <x v="13"/>
    <x v="133"/>
    <x v="449"/>
  </r>
  <r>
    <x v="13"/>
    <x v="134"/>
    <x v="450"/>
  </r>
  <r>
    <x v="13"/>
    <x v="134"/>
    <x v="451"/>
  </r>
  <r>
    <x v="13"/>
    <x v="135"/>
    <x v="452"/>
  </r>
  <r>
    <x v="13"/>
    <x v="135"/>
    <x v="453"/>
  </r>
  <r>
    <x v="13"/>
    <x v="135"/>
    <x v="454"/>
  </r>
  <r>
    <x v="14"/>
    <x v="136"/>
    <x v="455"/>
  </r>
  <r>
    <x v="14"/>
    <x v="136"/>
    <x v="456"/>
  </r>
  <r>
    <x v="14"/>
    <x v="136"/>
    <x v="457"/>
  </r>
  <r>
    <x v="14"/>
    <x v="137"/>
    <x v="458"/>
  </r>
  <r>
    <x v="14"/>
    <x v="137"/>
    <x v="459"/>
  </r>
  <r>
    <x v="14"/>
    <x v="137"/>
    <x v="328"/>
  </r>
  <r>
    <x v="14"/>
    <x v="138"/>
    <x v="460"/>
  </r>
  <r>
    <x v="14"/>
    <x v="138"/>
    <x v="461"/>
  </r>
  <r>
    <x v="14"/>
    <x v="138"/>
    <x v="462"/>
  </r>
  <r>
    <x v="14"/>
    <x v="139"/>
    <x v="463"/>
  </r>
  <r>
    <x v="14"/>
    <x v="139"/>
    <x v="464"/>
  </r>
  <r>
    <x v="14"/>
    <x v="140"/>
    <x v="465"/>
  </r>
  <r>
    <x v="14"/>
    <x v="140"/>
    <x v="466"/>
  </r>
  <r>
    <x v="14"/>
    <x v="141"/>
    <x v="467"/>
  </r>
  <r>
    <x v="14"/>
    <x v="141"/>
    <x v="468"/>
  </r>
  <r>
    <x v="14"/>
    <x v="142"/>
    <x v="469"/>
  </r>
  <r>
    <x v="14"/>
    <x v="142"/>
    <x v="470"/>
  </r>
  <r>
    <x v="15"/>
    <x v="143"/>
    <x v="471"/>
  </r>
  <r>
    <x v="15"/>
    <x v="143"/>
    <x v="472"/>
  </r>
  <r>
    <x v="15"/>
    <x v="144"/>
    <x v="473"/>
  </r>
  <r>
    <x v="15"/>
    <x v="144"/>
    <x v="474"/>
  </r>
  <r>
    <x v="15"/>
    <x v="145"/>
    <x v="475"/>
  </r>
  <r>
    <x v="15"/>
    <x v="145"/>
    <x v="476"/>
  </r>
  <r>
    <x v="15"/>
    <x v="146"/>
    <x v="477"/>
  </r>
  <r>
    <x v="15"/>
    <x v="146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7"/>
    <x v="521"/>
  </r>
  <r>
    <x v="15"/>
    <x v="148"/>
    <x v="522"/>
  </r>
  <r>
    <x v="15"/>
    <x v="148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49"/>
    <x v="536"/>
  </r>
  <r>
    <x v="15"/>
    <x v="149"/>
    <x v="537"/>
  </r>
  <r>
    <x v="15"/>
    <x v="150"/>
    <x v="538"/>
  </r>
  <r>
    <x v="15"/>
    <x v="150"/>
    <x v="539"/>
  </r>
  <r>
    <x v="15"/>
    <x v="151"/>
    <x v="540"/>
  </r>
  <r>
    <x v="15"/>
    <x v="151"/>
    <x v="541"/>
  </r>
  <r>
    <x v="15"/>
    <x v="152"/>
    <x v="542"/>
  </r>
  <r>
    <x v="15"/>
    <x v="152"/>
    <x v="543"/>
  </r>
  <r>
    <x v="15"/>
    <x v="153"/>
    <x v="544"/>
  </r>
  <r>
    <x v="15"/>
    <x v="153"/>
    <x v="545"/>
  </r>
  <r>
    <x v="15"/>
    <x v="154"/>
    <x v="546"/>
  </r>
  <r>
    <x v="15"/>
    <x v="154"/>
    <x v="547"/>
  </r>
  <r>
    <x v="15"/>
    <x v="155"/>
    <x v="548"/>
  </r>
  <r>
    <x v="15"/>
    <x v="155"/>
    <x v="549"/>
  </r>
  <r>
    <x v="15"/>
    <x v="156"/>
    <x v="550"/>
  </r>
  <r>
    <x v="15"/>
    <x v="156"/>
    <x v="551"/>
  </r>
  <r>
    <x v="15"/>
    <x v="157"/>
    <x v="552"/>
  </r>
  <r>
    <x v="15"/>
    <x v="157"/>
    <x v="553"/>
  </r>
  <r>
    <x v="15"/>
    <x v="158"/>
    <x v="554"/>
  </r>
  <r>
    <x v="15"/>
    <x v="158"/>
    <x v="555"/>
  </r>
  <r>
    <x v="15"/>
    <x v="159"/>
    <x v="556"/>
  </r>
  <r>
    <x v="15"/>
    <x v="159"/>
    <x v="557"/>
  </r>
  <r>
    <x v="15"/>
    <x v="160"/>
    <x v="558"/>
  </r>
  <r>
    <x v="15"/>
    <x v="160"/>
    <x v="559"/>
  </r>
  <r>
    <x v="15"/>
    <x v="161"/>
    <x v="560"/>
  </r>
  <r>
    <x v="15"/>
    <x v="161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2"/>
    <x v="570"/>
  </r>
  <r>
    <x v="15"/>
    <x v="162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4"/>
    <x v="582"/>
  </r>
  <r>
    <x v="15"/>
    <x v="164"/>
    <x v="583"/>
  </r>
  <r>
    <x v="15"/>
    <x v="165"/>
    <x v="584"/>
  </r>
  <r>
    <x v="15"/>
    <x v="165"/>
    <x v="585"/>
  </r>
  <r>
    <x v="16"/>
    <x v="166"/>
    <x v="586"/>
  </r>
  <r>
    <x v="16"/>
    <x v="166"/>
    <x v="587"/>
  </r>
  <r>
    <x v="16"/>
    <x v="166"/>
    <x v="588"/>
  </r>
  <r>
    <x v="16"/>
    <x v="166"/>
    <x v="589"/>
  </r>
  <r>
    <x v="16"/>
    <x v="167"/>
    <x v="590"/>
  </r>
  <r>
    <x v="16"/>
    <x v="167"/>
    <x v="591"/>
  </r>
  <r>
    <x v="16"/>
    <x v="167"/>
    <x v="592"/>
  </r>
  <r>
    <x v="16"/>
    <x v="167"/>
    <x v="593"/>
  </r>
  <r>
    <x v="17"/>
    <x v="168"/>
    <x v="594"/>
  </r>
  <r>
    <x v="17"/>
    <x v="168"/>
    <x v="595"/>
  </r>
  <r>
    <x v="17"/>
    <x v="169"/>
    <x v="596"/>
  </r>
  <r>
    <x v="17"/>
    <x v="169"/>
    <x v="597"/>
  </r>
  <r>
    <x v="17"/>
    <x v="170"/>
    <x v="598"/>
  </r>
  <r>
    <x v="17"/>
    <x v="170"/>
    <x v="599"/>
  </r>
  <r>
    <x v="17"/>
    <x v="171"/>
    <x v="600"/>
  </r>
  <r>
    <x v="17"/>
    <x v="171"/>
    <x v="601"/>
  </r>
  <r>
    <x v="17"/>
    <x v="172"/>
    <x v="602"/>
  </r>
  <r>
    <x v="17"/>
    <x v="172"/>
    <x v="603"/>
  </r>
  <r>
    <x v="17"/>
    <x v="172"/>
    <x v="604"/>
  </r>
  <r>
    <x v="17"/>
    <x v="173"/>
    <x v="605"/>
  </r>
  <r>
    <x v="17"/>
    <x v="173"/>
    <x v="606"/>
  </r>
  <r>
    <x v="17"/>
    <x v="174"/>
    <x v="607"/>
  </r>
  <r>
    <x v="17"/>
    <x v="174"/>
    <x v="608"/>
  </r>
  <r>
    <x v="17"/>
    <x v="175"/>
    <x v="609"/>
  </r>
  <r>
    <x v="17"/>
    <x v="175"/>
    <x v="610"/>
  </r>
  <r>
    <x v="17"/>
    <x v="176"/>
    <x v="611"/>
  </r>
  <r>
    <x v="17"/>
    <x v="176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9"/>
    <x v="638"/>
  </r>
  <r>
    <x v="18"/>
    <x v="179"/>
    <x v="639"/>
  </r>
  <r>
    <x v="18"/>
    <x v="179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1"/>
    <x v="652"/>
  </r>
  <r>
    <x v="18"/>
    <x v="181"/>
    <x v="653"/>
  </r>
  <r>
    <x v="18"/>
    <x v="182"/>
    <x v="654"/>
  </r>
  <r>
    <x v="18"/>
    <x v="182"/>
    <x v="655"/>
  </r>
  <r>
    <x v="18"/>
    <x v="183"/>
    <x v="656"/>
  </r>
  <r>
    <x v="18"/>
    <x v="183"/>
    <x v="657"/>
  </r>
  <r>
    <x v="18"/>
    <x v="184"/>
    <x v="658"/>
  </r>
  <r>
    <x v="18"/>
    <x v="184"/>
    <x v="659"/>
  </r>
  <r>
    <x v="18"/>
    <x v="185"/>
    <x v="660"/>
  </r>
  <r>
    <x v="18"/>
    <x v="185"/>
    <x v="661"/>
  </r>
  <r>
    <x v="18"/>
    <x v="186"/>
    <x v="662"/>
  </r>
  <r>
    <x v="18"/>
    <x v="186"/>
    <x v="663"/>
  </r>
  <r>
    <x v="18"/>
    <x v="186"/>
    <x v="664"/>
  </r>
  <r>
    <x v="18"/>
    <x v="187"/>
    <x v="665"/>
  </r>
  <r>
    <x v="18"/>
    <x v="187"/>
    <x v="666"/>
  </r>
  <r>
    <x v="18"/>
    <x v="188"/>
    <x v="667"/>
  </r>
  <r>
    <x v="18"/>
    <x v="188"/>
    <x v="668"/>
  </r>
  <r>
    <x v="18"/>
    <x v="189"/>
    <x v="669"/>
  </r>
  <r>
    <x v="18"/>
    <x v="189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0"/>
    <x v="688"/>
  </r>
  <r>
    <x v="18"/>
    <x v="190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1"/>
    <x v="708"/>
  </r>
  <r>
    <x v="18"/>
    <x v="191"/>
    <x v="709"/>
  </r>
  <r>
    <x v="18"/>
    <x v="192"/>
    <x v="710"/>
  </r>
  <r>
    <x v="18"/>
    <x v="192"/>
    <x v="711"/>
  </r>
  <r>
    <x v="18"/>
    <x v="193"/>
    <x v="712"/>
  </r>
  <r>
    <x v="18"/>
    <x v="193"/>
    <x v="713"/>
  </r>
  <r>
    <x v="18"/>
    <x v="194"/>
    <x v="714"/>
  </r>
  <r>
    <x v="18"/>
    <x v="194"/>
    <x v="715"/>
  </r>
  <r>
    <x v="18"/>
    <x v="195"/>
    <x v="716"/>
  </r>
  <r>
    <x v="18"/>
    <x v="195"/>
    <x v="717"/>
  </r>
  <r>
    <x v="18"/>
    <x v="196"/>
    <x v="718"/>
  </r>
  <r>
    <x v="18"/>
    <x v="196"/>
    <x v="719"/>
  </r>
  <r>
    <x v="18"/>
    <x v="197"/>
    <x v="720"/>
  </r>
  <r>
    <x v="18"/>
    <x v="197"/>
    <x v="721"/>
  </r>
  <r>
    <x v="18"/>
    <x v="198"/>
    <x v="722"/>
  </r>
  <r>
    <x v="18"/>
    <x v="198"/>
    <x v="723"/>
  </r>
  <r>
    <x v="18"/>
    <x v="199"/>
    <x v="724"/>
  </r>
  <r>
    <x v="18"/>
    <x v="199"/>
    <x v="725"/>
  </r>
  <r>
    <x v="19"/>
    <x v="200"/>
    <x v="726"/>
  </r>
  <r>
    <x v="19"/>
    <x v="200"/>
    <x v="727"/>
  </r>
  <r>
    <x v="19"/>
    <x v="201"/>
    <x v="728"/>
  </r>
  <r>
    <x v="19"/>
    <x v="201"/>
    <x v="729"/>
  </r>
  <r>
    <x v="19"/>
    <x v="201"/>
    <x v="730"/>
  </r>
  <r>
    <x v="19"/>
    <x v="202"/>
    <x v="731"/>
  </r>
  <r>
    <x v="19"/>
    <x v="202"/>
    <x v="732"/>
  </r>
  <r>
    <x v="19"/>
    <x v="202"/>
    <x v="733"/>
  </r>
  <r>
    <x v="19"/>
    <x v="203"/>
    <x v="734"/>
  </r>
  <r>
    <x v="19"/>
    <x v="203"/>
    <x v="735"/>
  </r>
  <r>
    <x v="19"/>
    <x v="204"/>
    <x v="736"/>
  </r>
  <r>
    <x v="19"/>
    <x v="204"/>
    <x v="737"/>
  </r>
  <r>
    <x v="19"/>
    <x v="205"/>
    <x v="738"/>
  </r>
  <r>
    <x v="19"/>
    <x v="205"/>
    <x v="739"/>
  </r>
  <r>
    <x v="19"/>
    <x v="206"/>
    <x v="740"/>
  </r>
  <r>
    <x v="19"/>
    <x v="206"/>
    <x v="741"/>
  </r>
  <r>
    <x v="19"/>
    <x v="207"/>
    <x v="742"/>
  </r>
  <r>
    <x v="19"/>
    <x v="207"/>
    <x v="743"/>
  </r>
  <r>
    <x v="19"/>
    <x v="207"/>
    <x v="744"/>
  </r>
  <r>
    <x v="19"/>
    <x v="208"/>
    <x v="745"/>
  </r>
  <r>
    <x v="19"/>
    <x v="208"/>
    <x v="746"/>
  </r>
  <r>
    <x v="19"/>
    <x v="209"/>
    <x v="747"/>
  </r>
  <r>
    <x v="19"/>
    <x v="209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0"/>
    <x v="763"/>
  </r>
  <r>
    <x v="19"/>
    <x v="210"/>
    <x v="764"/>
  </r>
  <r>
    <x v="19"/>
    <x v="211"/>
    <x v="765"/>
  </r>
  <r>
    <x v="19"/>
    <x v="211"/>
    <x v="766"/>
  </r>
  <r>
    <x v="19"/>
    <x v="211"/>
    <x v="767"/>
  </r>
  <r>
    <x v="19"/>
    <x v="211"/>
    <x v="768"/>
  </r>
  <r>
    <x v="19"/>
    <x v="212"/>
    <x v="769"/>
  </r>
  <r>
    <x v="19"/>
    <x v="212"/>
    <x v="770"/>
  </r>
  <r>
    <x v="19"/>
    <x v="213"/>
    <x v="771"/>
  </r>
  <r>
    <x v="19"/>
    <x v="213"/>
    <x v="772"/>
  </r>
  <r>
    <x v="19"/>
    <x v="213"/>
    <x v="773"/>
  </r>
  <r>
    <x v="19"/>
    <x v="214"/>
    <x v="774"/>
  </r>
  <r>
    <x v="19"/>
    <x v="214"/>
    <x v="775"/>
  </r>
  <r>
    <x v="19"/>
    <x v="215"/>
    <x v="776"/>
  </r>
  <r>
    <x v="19"/>
    <x v="215"/>
    <x v="777"/>
  </r>
  <r>
    <x v="19"/>
    <x v="216"/>
    <x v="778"/>
  </r>
  <r>
    <x v="19"/>
    <x v="216"/>
    <x v="779"/>
  </r>
  <r>
    <x v="19"/>
    <x v="217"/>
    <x v="780"/>
  </r>
  <r>
    <x v="19"/>
    <x v="217"/>
    <x v="781"/>
  </r>
  <r>
    <x v="19"/>
    <x v="218"/>
    <x v="782"/>
  </r>
  <r>
    <x v="19"/>
    <x v="218"/>
    <x v="783"/>
  </r>
  <r>
    <x v="19"/>
    <x v="219"/>
    <x v="784"/>
  </r>
  <r>
    <x v="19"/>
    <x v="219"/>
    <x v="785"/>
  </r>
  <r>
    <x v="19"/>
    <x v="220"/>
    <x v="786"/>
  </r>
  <r>
    <x v="19"/>
    <x v="220"/>
    <x v="787"/>
  </r>
  <r>
    <x v="19"/>
    <x v="221"/>
    <x v="788"/>
  </r>
  <r>
    <x v="19"/>
    <x v="221"/>
    <x v="789"/>
  </r>
  <r>
    <x v="20"/>
    <x v="222"/>
    <x v="790"/>
  </r>
  <r>
    <x v="20"/>
    <x v="222"/>
    <x v="791"/>
  </r>
  <r>
    <x v="20"/>
    <x v="223"/>
    <x v="792"/>
  </r>
  <r>
    <x v="20"/>
    <x v="223"/>
    <x v="793"/>
  </r>
  <r>
    <x v="20"/>
    <x v="224"/>
    <x v="794"/>
  </r>
  <r>
    <x v="20"/>
    <x v="224"/>
    <x v="795"/>
  </r>
  <r>
    <x v="20"/>
    <x v="225"/>
    <x v="796"/>
  </r>
  <r>
    <x v="20"/>
    <x v="225"/>
    <x v="797"/>
  </r>
  <r>
    <x v="20"/>
    <x v="226"/>
    <x v="798"/>
  </r>
  <r>
    <x v="20"/>
    <x v="226"/>
    <x v="799"/>
  </r>
  <r>
    <x v="20"/>
    <x v="227"/>
    <x v="800"/>
  </r>
  <r>
    <x v="20"/>
    <x v="227"/>
    <x v="801"/>
  </r>
  <r>
    <x v="20"/>
    <x v="228"/>
    <x v="802"/>
  </r>
  <r>
    <x v="20"/>
    <x v="228"/>
    <x v="803"/>
  </r>
  <r>
    <x v="20"/>
    <x v="229"/>
    <x v="803"/>
  </r>
  <r>
    <x v="20"/>
    <x v="230"/>
    <x v="804"/>
  </r>
  <r>
    <x v="20"/>
    <x v="230"/>
    <x v="805"/>
  </r>
  <r>
    <x v="20"/>
    <x v="231"/>
    <x v="806"/>
  </r>
  <r>
    <x v="20"/>
    <x v="231"/>
    <x v="807"/>
  </r>
  <r>
    <x v="21"/>
    <x v="232"/>
    <x v="808"/>
  </r>
  <r>
    <x v="21"/>
    <x v="232"/>
    <x v="809"/>
  </r>
  <r>
    <x v="21"/>
    <x v="232"/>
    <x v="810"/>
  </r>
  <r>
    <x v="21"/>
    <x v="232"/>
    <x v="811"/>
  </r>
  <r>
    <x v="21"/>
    <x v="232"/>
    <x v="812"/>
  </r>
  <r>
    <x v="21"/>
    <x v="232"/>
    <x v="813"/>
  </r>
  <r>
    <x v="21"/>
    <x v="232"/>
    <x v="814"/>
  </r>
  <r>
    <x v="21"/>
    <x v="232"/>
    <x v="815"/>
  </r>
  <r>
    <x v="21"/>
    <x v="232"/>
    <x v="816"/>
  </r>
  <r>
    <x v="21"/>
    <x v="232"/>
    <x v="817"/>
  </r>
  <r>
    <x v="21"/>
    <x v="232"/>
    <x v="818"/>
  </r>
  <r>
    <x v="21"/>
    <x v="232"/>
    <x v="819"/>
  </r>
  <r>
    <x v="21"/>
    <x v="232"/>
    <x v="820"/>
  </r>
  <r>
    <x v="21"/>
    <x v="232"/>
    <x v="821"/>
  </r>
  <r>
    <x v="21"/>
    <x v="232"/>
    <x v="822"/>
  </r>
  <r>
    <x v="21"/>
    <x v="232"/>
    <x v="823"/>
  </r>
  <r>
    <x v="21"/>
    <x v="232"/>
    <x v="824"/>
  </r>
  <r>
    <x v="21"/>
    <x v="232"/>
    <x v="825"/>
  </r>
  <r>
    <x v="21"/>
    <x v="232"/>
    <x v="826"/>
  </r>
  <r>
    <x v="21"/>
    <x v="232"/>
    <x v="827"/>
  </r>
  <r>
    <x v="21"/>
    <x v="232"/>
    <x v="828"/>
  </r>
  <r>
    <x v="21"/>
    <x v="232"/>
    <x v="829"/>
  </r>
  <r>
    <x v="21"/>
    <x v="232"/>
    <x v="830"/>
  </r>
  <r>
    <x v="21"/>
    <x v="232"/>
    <x v="831"/>
  </r>
  <r>
    <x v="21"/>
    <x v="233"/>
    <x v="832"/>
  </r>
  <r>
    <x v="21"/>
    <x v="233"/>
    <x v="833"/>
  </r>
  <r>
    <x v="21"/>
    <x v="234"/>
    <x v="834"/>
  </r>
  <r>
    <x v="21"/>
    <x v="234"/>
    <x v="835"/>
  </r>
  <r>
    <x v="21"/>
    <x v="235"/>
    <x v="836"/>
  </r>
  <r>
    <x v="21"/>
    <x v="235"/>
    <x v="837"/>
  </r>
  <r>
    <x v="22"/>
    <x v="236"/>
    <x v="838"/>
  </r>
  <r>
    <x v="22"/>
    <x v="236"/>
    <x v="839"/>
  </r>
  <r>
    <x v="22"/>
    <x v="236"/>
    <x v="840"/>
  </r>
  <r>
    <x v="22"/>
    <x v="236"/>
    <x v="841"/>
  </r>
  <r>
    <x v="22"/>
    <x v="236"/>
    <x v="842"/>
  </r>
  <r>
    <x v="22"/>
    <x v="237"/>
    <x v="843"/>
  </r>
  <r>
    <x v="22"/>
    <x v="237"/>
    <x v="844"/>
  </r>
  <r>
    <x v="22"/>
    <x v="238"/>
    <x v="845"/>
  </r>
  <r>
    <x v="22"/>
    <x v="238"/>
    <x v="846"/>
  </r>
  <r>
    <x v="22"/>
    <x v="239"/>
    <x v="847"/>
  </r>
  <r>
    <x v="22"/>
    <x v="239"/>
    <x v="848"/>
  </r>
  <r>
    <x v="22"/>
    <x v="239"/>
    <x v="849"/>
  </r>
  <r>
    <x v="22"/>
    <x v="239"/>
    <x v="850"/>
  </r>
  <r>
    <x v="22"/>
    <x v="239"/>
    <x v="851"/>
  </r>
  <r>
    <x v="22"/>
    <x v="240"/>
    <x v="852"/>
  </r>
  <r>
    <x v="22"/>
    <x v="240"/>
    <x v="853"/>
  </r>
  <r>
    <x v="22"/>
    <x v="241"/>
    <x v="854"/>
  </r>
  <r>
    <x v="22"/>
    <x v="241"/>
    <x v="855"/>
  </r>
  <r>
    <x v="22"/>
    <x v="241"/>
    <x v="856"/>
  </r>
  <r>
    <x v="22"/>
    <x v="242"/>
    <x v="857"/>
  </r>
  <r>
    <x v="22"/>
    <x v="242"/>
    <x v="858"/>
  </r>
  <r>
    <x v="22"/>
    <x v="243"/>
    <x v="859"/>
  </r>
  <r>
    <x v="22"/>
    <x v="243"/>
    <x v="860"/>
  </r>
  <r>
    <x v="22"/>
    <x v="244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5"/>
    <x v="866"/>
  </r>
  <r>
    <x v="22"/>
    <x v="245"/>
    <x v="867"/>
  </r>
  <r>
    <x v="22"/>
    <x v="245"/>
    <x v="868"/>
  </r>
  <r>
    <x v="22"/>
    <x v="246"/>
    <x v="869"/>
  </r>
  <r>
    <x v="22"/>
    <x v="246"/>
    <x v="870"/>
  </r>
  <r>
    <x v="22"/>
    <x v="246"/>
    <x v="871"/>
  </r>
  <r>
    <x v="22"/>
    <x v="246"/>
    <x v="872"/>
  </r>
  <r>
    <x v="22"/>
    <x v="246"/>
    <x v="873"/>
  </r>
  <r>
    <x v="22"/>
    <x v="246"/>
    <x v="874"/>
  </r>
  <r>
    <x v="22"/>
    <x v="246"/>
    <x v="875"/>
  </r>
  <r>
    <x v="22"/>
    <x v="246"/>
    <x v="876"/>
  </r>
  <r>
    <x v="22"/>
    <x v="246"/>
    <x v="877"/>
  </r>
  <r>
    <x v="22"/>
    <x v="246"/>
    <x v="878"/>
  </r>
  <r>
    <x v="22"/>
    <x v="246"/>
    <x v="879"/>
  </r>
  <r>
    <x v="22"/>
    <x v="246"/>
    <x v="880"/>
  </r>
  <r>
    <x v="22"/>
    <x v="246"/>
    <x v="881"/>
  </r>
  <r>
    <x v="22"/>
    <x v="246"/>
    <x v="882"/>
  </r>
  <r>
    <x v="22"/>
    <x v="246"/>
    <x v="882"/>
  </r>
  <r>
    <x v="22"/>
    <x v="246"/>
    <x v="882"/>
  </r>
  <r>
    <x v="22"/>
    <x v="247"/>
    <x v="883"/>
  </r>
  <r>
    <x v="22"/>
    <x v="247"/>
    <x v="884"/>
  </r>
  <r>
    <x v="22"/>
    <x v="248"/>
    <x v="885"/>
  </r>
  <r>
    <x v="22"/>
    <x v="248"/>
    <x v="886"/>
  </r>
  <r>
    <x v="22"/>
    <x v="249"/>
    <x v="887"/>
  </r>
  <r>
    <x v="22"/>
    <x v="249"/>
    <x v="888"/>
  </r>
  <r>
    <x v="22"/>
    <x v="250"/>
    <x v="889"/>
  </r>
  <r>
    <x v="22"/>
    <x v="250"/>
    <x v="890"/>
  </r>
  <r>
    <x v="22"/>
    <x v="250"/>
    <x v="891"/>
  </r>
  <r>
    <x v="22"/>
    <x v="250"/>
    <x v="892"/>
  </r>
  <r>
    <x v="22"/>
    <x v="250"/>
    <x v="893"/>
  </r>
  <r>
    <x v="22"/>
    <x v="250"/>
    <x v="894"/>
  </r>
  <r>
    <x v="22"/>
    <x v="250"/>
    <x v="895"/>
  </r>
  <r>
    <x v="22"/>
    <x v="250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1"/>
    <x v="902"/>
  </r>
  <r>
    <x v="22"/>
    <x v="251"/>
    <x v="903"/>
  </r>
  <r>
    <x v="22"/>
    <x v="251"/>
    <x v="904"/>
  </r>
  <r>
    <x v="22"/>
    <x v="251"/>
    <x v="905"/>
  </r>
  <r>
    <x v="22"/>
    <x v="251"/>
    <x v="906"/>
  </r>
  <r>
    <x v="22"/>
    <x v="251"/>
    <x v="907"/>
  </r>
  <r>
    <x v="22"/>
    <x v="251"/>
    <x v="908"/>
  </r>
  <r>
    <x v="22"/>
    <x v="251"/>
    <x v="909"/>
  </r>
  <r>
    <x v="22"/>
    <x v="251"/>
    <x v="910"/>
  </r>
  <r>
    <x v="22"/>
    <x v="251"/>
    <x v="911"/>
  </r>
  <r>
    <x v="22"/>
    <x v="251"/>
    <x v="912"/>
  </r>
  <r>
    <x v="22"/>
    <x v="251"/>
    <x v="913"/>
  </r>
  <r>
    <x v="22"/>
    <x v="251"/>
    <x v="914"/>
  </r>
  <r>
    <x v="22"/>
    <x v="251"/>
    <x v="915"/>
  </r>
  <r>
    <x v="22"/>
    <x v="251"/>
    <x v="916"/>
  </r>
  <r>
    <x v="22"/>
    <x v="251"/>
    <x v="917"/>
  </r>
  <r>
    <x v="22"/>
    <x v="251"/>
    <x v="918"/>
  </r>
  <r>
    <x v="22"/>
    <x v="251"/>
    <x v="919"/>
  </r>
  <r>
    <x v="22"/>
    <x v="251"/>
    <x v="920"/>
  </r>
  <r>
    <x v="22"/>
    <x v="251"/>
    <x v="921"/>
  </r>
  <r>
    <x v="22"/>
    <x v="251"/>
    <x v="922"/>
  </r>
  <r>
    <x v="22"/>
    <x v="251"/>
    <x v="923"/>
  </r>
  <r>
    <x v="22"/>
    <x v="251"/>
    <x v="924"/>
  </r>
  <r>
    <x v="22"/>
    <x v="251"/>
    <x v="925"/>
  </r>
  <r>
    <x v="22"/>
    <x v="251"/>
    <x v="926"/>
  </r>
  <r>
    <x v="22"/>
    <x v="251"/>
    <x v="927"/>
  </r>
  <r>
    <x v="22"/>
    <x v="251"/>
    <x v="928"/>
  </r>
  <r>
    <x v="22"/>
    <x v="251"/>
    <x v="929"/>
  </r>
  <r>
    <x v="22"/>
    <x v="251"/>
    <x v="930"/>
  </r>
  <r>
    <x v="22"/>
    <x v="251"/>
    <x v="931"/>
  </r>
  <r>
    <x v="22"/>
    <x v="251"/>
    <x v="932"/>
  </r>
  <r>
    <x v="22"/>
    <x v="251"/>
    <x v="933"/>
  </r>
  <r>
    <x v="22"/>
    <x v="251"/>
    <x v="934"/>
  </r>
  <r>
    <x v="22"/>
    <x v="251"/>
    <x v="935"/>
  </r>
  <r>
    <x v="22"/>
    <x v="251"/>
    <x v="936"/>
  </r>
  <r>
    <x v="22"/>
    <x v="251"/>
    <x v="937"/>
  </r>
  <r>
    <x v="22"/>
    <x v="251"/>
    <x v="938"/>
  </r>
  <r>
    <x v="22"/>
    <x v="251"/>
    <x v="939"/>
  </r>
  <r>
    <x v="22"/>
    <x v="251"/>
    <x v="940"/>
  </r>
  <r>
    <x v="22"/>
    <x v="251"/>
    <x v="941"/>
  </r>
  <r>
    <x v="22"/>
    <x v="251"/>
    <x v="942"/>
  </r>
  <r>
    <x v="22"/>
    <x v="251"/>
    <x v="943"/>
  </r>
  <r>
    <x v="22"/>
    <x v="251"/>
    <x v="944"/>
  </r>
  <r>
    <x v="22"/>
    <x v="251"/>
    <x v="945"/>
  </r>
  <r>
    <x v="22"/>
    <x v="251"/>
    <x v="946"/>
  </r>
  <r>
    <x v="22"/>
    <x v="251"/>
    <x v="947"/>
  </r>
  <r>
    <x v="22"/>
    <x v="251"/>
    <x v="948"/>
  </r>
  <r>
    <x v="22"/>
    <x v="251"/>
    <x v="949"/>
  </r>
  <r>
    <x v="22"/>
    <x v="251"/>
    <x v="950"/>
  </r>
  <r>
    <x v="22"/>
    <x v="251"/>
    <x v="951"/>
  </r>
  <r>
    <x v="22"/>
    <x v="251"/>
    <x v="952"/>
  </r>
  <r>
    <x v="22"/>
    <x v="251"/>
    <x v="953"/>
  </r>
  <r>
    <x v="22"/>
    <x v="251"/>
    <x v="954"/>
  </r>
  <r>
    <x v="22"/>
    <x v="251"/>
    <x v="955"/>
  </r>
  <r>
    <x v="22"/>
    <x v="251"/>
    <x v="956"/>
  </r>
  <r>
    <x v="22"/>
    <x v="251"/>
    <x v="957"/>
  </r>
  <r>
    <x v="22"/>
    <x v="251"/>
    <x v="958"/>
  </r>
  <r>
    <x v="22"/>
    <x v="251"/>
    <x v="959"/>
  </r>
  <r>
    <x v="22"/>
    <x v="251"/>
    <x v="960"/>
  </r>
  <r>
    <x v="22"/>
    <x v="251"/>
    <x v="961"/>
  </r>
  <r>
    <x v="22"/>
    <x v="251"/>
    <x v="962"/>
  </r>
  <r>
    <x v="22"/>
    <x v="251"/>
    <x v="963"/>
  </r>
  <r>
    <x v="22"/>
    <x v="251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2"/>
    <x v="975"/>
  </r>
  <r>
    <x v="22"/>
    <x v="252"/>
    <x v="976"/>
  </r>
  <r>
    <x v="22"/>
    <x v="252"/>
    <x v="977"/>
  </r>
  <r>
    <x v="22"/>
    <x v="253"/>
    <x v="978"/>
  </r>
  <r>
    <x v="22"/>
    <x v="253"/>
    <x v="979"/>
  </r>
  <r>
    <x v="22"/>
    <x v="254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5"/>
    <x v="986"/>
  </r>
  <r>
    <x v="22"/>
    <x v="255"/>
    <x v="987"/>
  </r>
  <r>
    <x v="22"/>
    <x v="255"/>
    <x v="988"/>
  </r>
  <r>
    <x v="22"/>
    <x v="255"/>
    <x v="989"/>
  </r>
  <r>
    <x v="22"/>
    <x v="255"/>
    <x v="990"/>
  </r>
  <r>
    <x v="22"/>
    <x v="255"/>
    <x v="991"/>
  </r>
  <r>
    <x v="22"/>
    <x v="255"/>
    <x v="992"/>
  </r>
  <r>
    <x v="22"/>
    <x v="255"/>
    <x v="993"/>
  </r>
  <r>
    <x v="22"/>
    <x v="255"/>
    <x v="994"/>
  </r>
  <r>
    <x v="22"/>
    <x v="255"/>
    <x v="995"/>
  </r>
  <r>
    <x v="22"/>
    <x v="256"/>
    <x v="996"/>
  </r>
  <r>
    <x v="22"/>
    <x v="256"/>
    <x v="997"/>
  </r>
  <r>
    <x v="22"/>
    <x v="257"/>
    <x v="998"/>
  </r>
  <r>
    <x v="22"/>
    <x v="257"/>
    <x v="999"/>
  </r>
  <r>
    <x v="22"/>
    <x v="257"/>
    <x v="1000"/>
  </r>
  <r>
    <x v="22"/>
    <x v="257"/>
    <x v="1001"/>
  </r>
  <r>
    <x v="22"/>
    <x v="257"/>
    <x v="1002"/>
  </r>
  <r>
    <x v="22"/>
    <x v="257"/>
    <x v="1003"/>
  </r>
  <r>
    <x v="22"/>
    <x v="257"/>
    <x v="1004"/>
  </r>
  <r>
    <x v="22"/>
    <x v="257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8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9"/>
    <x v="1018"/>
  </r>
  <r>
    <x v="22"/>
    <x v="259"/>
    <x v="1019"/>
  </r>
  <r>
    <x v="22"/>
    <x v="260"/>
    <x v="1020"/>
  </r>
  <r>
    <x v="22"/>
    <x v="260"/>
    <x v="1021"/>
  </r>
  <r>
    <x v="22"/>
    <x v="261"/>
    <x v="1022"/>
  </r>
  <r>
    <x v="22"/>
    <x v="261"/>
    <x v="1023"/>
  </r>
  <r>
    <x v="22"/>
    <x v="262"/>
    <x v="1024"/>
  </r>
  <r>
    <x v="22"/>
    <x v="262"/>
    <x v="1025"/>
  </r>
  <r>
    <x v="22"/>
    <x v="263"/>
    <x v="1026"/>
  </r>
  <r>
    <x v="22"/>
    <x v="263"/>
    <x v="1027"/>
  </r>
  <r>
    <x v="22"/>
    <x v="263"/>
    <x v="1028"/>
  </r>
  <r>
    <x v="22"/>
    <x v="263"/>
    <x v="1029"/>
  </r>
  <r>
    <x v="22"/>
    <x v="263"/>
    <x v="1030"/>
  </r>
  <r>
    <x v="22"/>
    <x v="263"/>
    <x v="1031"/>
  </r>
  <r>
    <x v="22"/>
    <x v="263"/>
    <x v="1032"/>
  </r>
  <r>
    <x v="22"/>
    <x v="264"/>
    <x v="1033"/>
  </r>
  <r>
    <x v="22"/>
    <x v="264"/>
    <x v="1034"/>
  </r>
  <r>
    <x v="22"/>
    <x v="265"/>
    <x v="1035"/>
  </r>
  <r>
    <x v="22"/>
    <x v="265"/>
    <x v="1036"/>
  </r>
  <r>
    <x v="22"/>
    <x v="265"/>
    <x v="1037"/>
  </r>
  <r>
    <x v="22"/>
    <x v="266"/>
    <x v="1038"/>
  </r>
  <r>
    <x v="22"/>
    <x v="266"/>
    <x v="1039"/>
  </r>
  <r>
    <x v="22"/>
    <x v="267"/>
    <x v="1040"/>
  </r>
  <r>
    <x v="22"/>
    <x v="267"/>
    <x v="1041"/>
  </r>
  <r>
    <x v="22"/>
    <x v="268"/>
    <x v="1042"/>
  </r>
  <r>
    <x v="22"/>
    <x v="268"/>
    <x v="1043"/>
  </r>
  <r>
    <x v="22"/>
    <x v="269"/>
    <x v="1044"/>
  </r>
  <r>
    <x v="22"/>
    <x v="269"/>
    <x v="1045"/>
  </r>
  <r>
    <x v="22"/>
    <x v="270"/>
    <x v="1046"/>
  </r>
  <r>
    <x v="22"/>
    <x v="270"/>
    <x v="1047"/>
  </r>
  <r>
    <x v="22"/>
    <x v="270"/>
    <x v="1048"/>
  </r>
  <r>
    <x v="22"/>
    <x v="271"/>
    <x v="1049"/>
  </r>
  <r>
    <x v="22"/>
    <x v="271"/>
    <x v="1050"/>
  </r>
  <r>
    <x v="22"/>
    <x v="271"/>
    <x v="1051"/>
  </r>
  <r>
    <x v="22"/>
    <x v="272"/>
    <x v="1052"/>
  </r>
  <r>
    <x v="22"/>
    <x v="272"/>
    <x v="1053"/>
  </r>
  <r>
    <x v="22"/>
    <x v="273"/>
    <x v="1054"/>
  </r>
  <r>
    <x v="22"/>
    <x v="273"/>
    <x v="1055"/>
  </r>
  <r>
    <x v="22"/>
    <x v="274"/>
    <x v="1056"/>
  </r>
  <r>
    <x v="22"/>
    <x v="274"/>
    <x v="1057"/>
  </r>
  <r>
    <x v="22"/>
    <x v="275"/>
    <x v="1058"/>
  </r>
  <r>
    <x v="22"/>
    <x v="275"/>
    <x v="1059"/>
  </r>
  <r>
    <x v="22"/>
    <x v="275"/>
    <x v="1060"/>
  </r>
  <r>
    <x v="22"/>
    <x v="275"/>
    <x v="1061"/>
  </r>
  <r>
    <x v="22"/>
    <x v="275"/>
    <x v="1062"/>
  </r>
  <r>
    <x v="22"/>
    <x v="275"/>
    <x v="1063"/>
  </r>
  <r>
    <x v="22"/>
    <x v="275"/>
    <x v="1064"/>
  </r>
  <r>
    <x v="22"/>
    <x v="275"/>
    <x v="1065"/>
  </r>
  <r>
    <x v="22"/>
    <x v="275"/>
    <x v="1066"/>
  </r>
  <r>
    <x v="22"/>
    <x v="275"/>
    <x v="1067"/>
  </r>
  <r>
    <x v="22"/>
    <x v="275"/>
    <x v="1068"/>
  </r>
  <r>
    <x v="22"/>
    <x v="275"/>
    <x v="1069"/>
  </r>
  <r>
    <x v="22"/>
    <x v="275"/>
    <x v="1070"/>
  </r>
  <r>
    <x v="22"/>
    <x v="275"/>
    <x v="1071"/>
  </r>
  <r>
    <x v="22"/>
    <x v="275"/>
    <x v="1072"/>
  </r>
  <r>
    <x v="22"/>
    <x v="275"/>
    <x v="1073"/>
  </r>
  <r>
    <x v="22"/>
    <x v="275"/>
    <x v="1074"/>
  </r>
  <r>
    <x v="22"/>
    <x v="275"/>
    <x v="1075"/>
  </r>
  <r>
    <x v="22"/>
    <x v="275"/>
    <x v="1076"/>
  </r>
  <r>
    <x v="22"/>
    <x v="275"/>
    <x v="1077"/>
  </r>
  <r>
    <x v="22"/>
    <x v="275"/>
    <x v="1078"/>
  </r>
  <r>
    <x v="22"/>
    <x v="275"/>
    <x v="1079"/>
  </r>
  <r>
    <x v="22"/>
    <x v="275"/>
    <x v="1080"/>
  </r>
  <r>
    <x v="22"/>
    <x v="275"/>
    <x v="1081"/>
  </r>
  <r>
    <x v="22"/>
    <x v="275"/>
    <x v="1082"/>
  </r>
  <r>
    <x v="22"/>
    <x v="275"/>
    <x v="1083"/>
  </r>
  <r>
    <x v="22"/>
    <x v="275"/>
    <x v="1084"/>
  </r>
  <r>
    <x v="22"/>
    <x v="275"/>
    <x v="1085"/>
  </r>
  <r>
    <x v="22"/>
    <x v="275"/>
    <x v="1086"/>
  </r>
  <r>
    <x v="22"/>
    <x v="275"/>
    <x v="1087"/>
  </r>
  <r>
    <x v="22"/>
    <x v="275"/>
    <x v="1088"/>
  </r>
  <r>
    <x v="22"/>
    <x v="275"/>
    <x v="1089"/>
  </r>
  <r>
    <x v="22"/>
    <x v="275"/>
    <x v="1090"/>
  </r>
  <r>
    <x v="22"/>
    <x v="275"/>
    <x v="1091"/>
  </r>
  <r>
    <x v="22"/>
    <x v="275"/>
    <x v="1092"/>
  </r>
  <r>
    <x v="22"/>
    <x v="275"/>
    <x v="1093"/>
  </r>
  <r>
    <x v="22"/>
    <x v="275"/>
    <x v="1094"/>
  </r>
  <r>
    <x v="22"/>
    <x v="275"/>
    <x v="1095"/>
  </r>
  <r>
    <x v="22"/>
    <x v="275"/>
    <x v="1096"/>
  </r>
  <r>
    <x v="22"/>
    <x v="275"/>
    <x v="1097"/>
  </r>
  <r>
    <x v="22"/>
    <x v="275"/>
    <x v="1098"/>
  </r>
  <r>
    <x v="22"/>
    <x v="275"/>
    <x v="1099"/>
  </r>
  <r>
    <x v="22"/>
    <x v="275"/>
    <x v="1100"/>
  </r>
  <r>
    <x v="22"/>
    <x v="275"/>
    <x v="1101"/>
  </r>
  <r>
    <x v="22"/>
    <x v="275"/>
    <x v="1102"/>
  </r>
  <r>
    <x v="22"/>
    <x v="275"/>
    <x v="1103"/>
  </r>
  <r>
    <x v="22"/>
    <x v="275"/>
    <x v="1104"/>
  </r>
  <r>
    <x v="22"/>
    <x v="275"/>
    <x v="1105"/>
  </r>
  <r>
    <x v="22"/>
    <x v="275"/>
    <x v="1106"/>
  </r>
  <r>
    <x v="22"/>
    <x v="275"/>
    <x v="1107"/>
  </r>
  <r>
    <x v="22"/>
    <x v="275"/>
    <x v="1108"/>
  </r>
  <r>
    <x v="22"/>
    <x v="275"/>
    <x v="1109"/>
  </r>
  <r>
    <x v="22"/>
    <x v="275"/>
    <x v="1110"/>
  </r>
  <r>
    <x v="22"/>
    <x v="275"/>
    <x v="1111"/>
  </r>
  <r>
    <x v="22"/>
    <x v="275"/>
    <x v="1112"/>
  </r>
  <r>
    <x v="22"/>
    <x v="275"/>
    <x v="1113"/>
  </r>
  <r>
    <x v="22"/>
    <x v="275"/>
    <x v="1114"/>
  </r>
  <r>
    <x v="22"/>
    <x v="275"/>
    <x v="1115"/>
  </r>
  <r>
    <x v="22"/>
    <x v="275"/>
    <x v="1116"/>
  </r>
  <r>
    <x v="22"/>
    <x v="275"/>
    <x v="1117"/>
  </r>
  <r>
    <x v="22"/>
    <x v="275"/>
    <x v="1118"/>
  </r>
  <r>
    <x v="22"/>
    <x v="275"/>
    <x v="1119"/>
  </r>
  <r>
    <x v="22"/>
    <x v="275"/>
    <x v="1120"/>
  </r>
  <r>
    <x v="22"/>
    <x v="275"/>
    <x v="1121"/>
  </r>
  <r>
    <x v="22"/>
    <x v="275"/>
    <x v="1122"/>
  </r>
  <r>
    <x v="22"/>
    <x v="275"/>
    <x v="1123"/>
  </r>
  <r>
    <x v="22"/>
    <x v="275"/>
    <x v="1124"/>
  </r>
  <r>
    <x v="22"/>
    <x v="275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6"/>
    <x v="1131"/>
  </r>
  <r>
    <x v="22"/>
    <x v="276"/>
    <x v="1132"/>
  </r>
  <r>
    <x v="22"/>
    <x v="276"/>
    <x v="1133"/>
  </r>
  <r>
    <x v="22"/>
    <x v="276"/>
    <x v="1134"/>
  </r>
  <r>
    <x v="22"/>
    <x v="276"/>
    <x v="1135"/>
  </r>
  <r>
    <x v="22"/>
    <x v="276"/>
    <x v="1136"/>
  </r>
  <r>
    <x v="22"/>
    <x v="276"/>
    <x v="1137"/>
  </r>
  <r>
    <x v="22"/>
    <x v="276"/>
    <x v="1138"/>
  </r>
  <r>
    <x v="22"/>
    <x v="276"/>
    <x v="1139"/>
  </r>
  <r>
    <x v="22"/>
    <x v="276"/>
    <x v="1140"/>
  </r>
  <r>
    <x v="22"/>
    <x v="276"/>
    <x v="1141"/>
  </r>
  <r>
    <x v="22"/>
    <x v="276"/>
    <x v="1142"/>
  </r>
  <r>
    <x v="22"/>
    <x v="276"/>
    <x v="1143"/>
  </r>
  <r>
    <x v="22"/>
    <x v="277"/>
    <x v="1144"/>
  </r>
  <r>
    <x v="22"/>
    <x v="277"/>
    <x v="1145"/>
  </r>
  <r>
    <x v="22"/>
    <x v="278"/>
    <x v="1146"/>
  </r>
  <r>
    <x v="22"/>
    <x v="278"/>
    <x v="1147"/>
  </r>
  <r>
    <x v="22"/>
    <x v="279"/>
    <x v="1148"/>
  </r>
  <r>
    <x v="22"/>
    <x v="279"/>
    <x v="1149"/>
  </r>
  <r>
    <x v="22"/>
    <x v="280"/>
    <x v="1150"/>
  </r>
  <r>
    <x v="22"/>
    <x v="280"/>
    <x v="1151"/>
  </r>
  <r>
    <x v="22"/>
    <x v="281"/>
    <x v="1152"/>
  </r>
  <r>
    <x v="22"/>
    <x v="281"/>
    <x v="1153"/>
  </r>
  <r>
    <x v="22"/>
    <x v="281"/>
    <x v="1154"/>
  </r>
  <r>
    <x v="22"/>
    <x v="282"/>
    <x v="1155"/>
  </r>
  <r>
    <x v="22"/>
    <x v="282"/>
    <x v="1156"/>
  </r>
  <r>
    <x v="22"/>
    <x v="282"/>
    <x v="1157"/>
  </r>
  <r>
    <x v="22"/>
    <x v="282"/>
    <x v="1158"/>
  </r>
  <r>
    <x v="22"/>
    <x v="282"/>
    <x v="1159"/>
  </r>
  <r>
    <x v="22"/>
    <x v="282"/>
    <x v="1160"/>
  </r>
  <r>
    <x v="22"/>
    <x v="282"/>
    <x v="1161"/>
  </r>
  <r>
    <x v="22"/>
    <x v="282"/>
    <x v="1162"/>
  </r>
  <r>
    <x v="22"/>
    <x v="282"/>
    <x v="1163"/>
  </r>
  <r>
    <x v="22"/>
    <x v="282"/>
    <x v="1164"/>
  </r>
  <r>
    <x v="22"/>
    <x v="282"/>
    <x v="1165"/>
  </r>
  <r>
    <x v="22"/>
    <x v="282"/>
    <x v="1166"/>
  </r>
  <r>
    <x v="22"/>
    <x v="282"/>
    <x v="1167"/>
  </r>
  <r>
    <x v="22"/>
    <x v="283"/>
    <x v="1168"/>
  </r>
  <r>
    <x v="22"/>
    <x v="283"/>
    <x v="1169"/>
  </r>
  <r>
    <x v="22"/>
    <x v="283"/>
    <x v="1170"/>
  </r>
  <r>
    <x v="22"/>
    <x v="284"/>
    <x v="1171"/>
  </r>
  <r>
    <x v="22"/>
    <x v="284"/>
    <x v="1172"/>
  </r>
  <r>
    <x v="22"/>
    <x v="285"/>
    <x v="1173"/>
  </r>
  <r>
    <x v="22"/>
    <x v="285"/>
    <x v="1174"/>
  </r>
  <r>
    <x v="22"/>
    <x v="285"/>
    <x v="1175"/>
  </r>
  <r>
    <x v="22"/>
    <x v="286"/>
    <x v="1176"/>
  </r>
  <r>
    <x v="22"/>
    <x v="286"/>
    <x v="1177"/>
  </r>
  <r>
    <x v="22"/>
    <x v="286"/>
    <x v="1178"/>
  </r>
  <r>
    <x v="22"/>
    <x v="287"/>
    <x v="1179"/>
  </r>
  <r>
    <x v="22"/>
    <x v="287"/>
    <x v="1180"/>
  </r>
  <r>
    <x v="22"/>
    <x v="288"/>
    <x v="1181"/>
  </r>
  <r>
    <x v="22"/>
    <x v="288"/>
    <x v="1182"/>
  </r>
  <r>
    <x v="22"/>
    <x v="288"/>
    <x v="1183"/>
  </r>
  <r>
    <x v="22"/>
    <x v="289"/>
    <x v="1184"/>
  </r>
  <r>
    <x v="22"/>
    <x v="289"/>
    <x v="1185"/>
  </r>
  <r>
    <x v="22"/>
    <x v="290"/>
    <x v="1186"/>
  </r>
  <r>
    <x v="22"/>
    <x v="290"/>
    <x v="1187"/>
  </r>
  <r>
    <x v="22"/>
    <x v="290"/>
    <x v="1188"/>
  </r>
  <r>
    <x v="22"/>
    <x v="290"/>
    <x v="1189"/>
  </r>
  <r>
    <x v="22"/>
    <x v="290"/>
    <x v="1190"/>
  </r>
  <r>
    <x v="22"/>
    <x v="290"/>
    <x v="1191"/>
  </r>
  <r>
    <x v="22"/>
    <x v="290"/>
    <x v="1192"/>
  </r>
  <r>
    <x v="22"/>
    <x v="290"/>
    <x v="1193"/>
  </r>
  <r>
    <x v="22"/>
    <x v="290"/>
    <x v="1194"/>
  </r>
  <r>
    <x v="22"/>
    <x v="290"/>
    <x v="1195"/>
  </r>
  <r>
    <x v="22"/>
    <x v="290"/>
    <x v="1196"/>
  </r>
  <r>
    <x v="22"/>
    <x v="290"/>
    <x v="1197"/>
  </r>
  <r>
    <x v="22"/>
    <x v="290"/>
    <x v="1198"/>
  </r>
  <r>
    <x v="22"/>
    <x v="291"/>
    <x v="1199"/>
  </r>
  <r>
    <x v="22"/>
    <x v="291"/>
    <x v="1200"/>
  </r>
  <r>
    <x v="22"/>
    <x v="292"/>
    <x v="1201"/>
  </r>
  <r>
    <x v="22"/>
    <x v="292"/>
    <x v="1202"/>
  </r>
  <r>
    <x v="22"/>
    <x v="293"/>
    <x v="1203"/>
  </r>
  <r>
    <x v="22"/>
    <x v="293"/>
    <x v="1204"/>
  </r>
  <r>
    <x v="22"/>
    <x v="293"/>
    <x v="1205"/>
  </r>
  <r>
    <x v="22"/>
    <x v="294"/>
    <x v="1206"/>
  </r>
  <r>
    <x v="22"/>
    <x v="294"/>
    <x v="1207"/>
  </r>
  <r>
    <x v="22"/>
    <x v="294"/>
    <x v="1208"/>
  </r>
  <r>
    <x v="22"/>
    <x v="294"/>
    <x v="1209"/>
  </r>
  <r>
    <x v="22"/>
    <x v="294"/>
    <x v="1210"/>
  </r>
  <r>
    <x v="22"/>
    <x v="294"/>
    <x v="1211"/>
  </r>
  <r>
    <x v="22"/>
    <x v="294"/>
    <x v="1212"/>
  </r>
  <r>
    <x v="22"/>
    <x v="295"/>
    <x v="1213"/>
  </r>
  <r>
    <x v="22"/>
    <x v="295"/>
    <x v="1214"/>
  </r>
  <r>
    <x v="23"/>
    <x v="296"/>
    <x v="1215"/>
  </r>
  <r>
    <x v="23"/>
    <x v="296"/>
    <x v="1216"/>
  </r>
  <r>
    <x v="23"/>
    <x v="296"/>
    <x v="1217"/>
  </r>
  <r>
    <x v="23"/>
    <x v="296"/>
    <x v="1218"/>
  </r>
  <r>
    <x v="23"/>
    <x v="296"/>
    <x v="1219"/>
  </r>
  <r>
    <x v="23"/>
    <x v="296"/>
    <x v="1220"/>
  </r>
  <r>
    <x v="23"/>
    <x v="297"/>
    <x v="1221"/>
  </r>
  <r>
    <x v="23"/>
    <x v="297"/>
    <x v="1222"/>
  </r>
  <r>
    <x v="23"/>
    <x v="297"/>
    <x v="1223"/>
  </r>
  <r>
    <x v="23"/>
    <x v="298"/>
    <x v="1224"/>
  </r>
  <r>
    <x v="23"/>
    <x v="298"/>
    <x v="1225"/>
  </r>
  <r>
    <x v="23"/>
    <x v="298"/>
    <x v="1226"/>
  </r>
  <r>
    <x v="23"/>
    <x v="299"/>
    <x v="1227"/>
  </r>
  <r>
    <x v="23"/>
    <x v="300"/>
    <x v="1228"/>
  </r>
  <r>
    <x v="23"/>
    <x v="300"/>
    <x v="1229"/>
  </r>
  <r>
    <x v="23"/>
    <x v="301"/>
    <x v="1230"/>
  </r>
  <r>
    <x v="23"/>
    <x v="301"/>
    <x v="1231"/>
  </r>
  <r>
    <x v="23"/>
    <x v="301"/>
    <x v="1232"/>
  </r>
  <r>
    <x v="23"/>
    <x v="302"/>
    <x v="1233"/>
  </r>
  <r>
    <x v="23"/>
    <x v="302"/>
    <x v="1234"/>
  </r>
  <r>
    <x v="23"/>
    <x v="302"/>
    <x v="1235"/>
  </r>
  <r>
    <x v="23"/>
    <x v="302"/>
    <x v="1236"/>
  </r>
  <r>
    <x v="23"/>
    <x v="302"/>
    <x v="1236"/>
  </r>
  <r>
    <x v="23"/>
    <x v="302"/>
    <x v="1236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6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0">
        <item x="200"/>
        <item m="1" x="380"/>
        <item x="236"/>
        <item x="222"/>
        <item m="1" x="307"/>
        <item x="237"/>
        <item x="238"/>
        <item x="239"/>
        <item x="240"/>
        <item x="241"/>
        <item x="242"/>
        <item x="243"/>
        <item x="244"/>
        <item x="48"/>
        <item x="7"/>
        <item x="67"/>
        <item x="68"/>
        <item m="1" x="338"/>
        <item m="1" x="350"/>
        <item x="245"/>
        <item x="8"/>
        <item x="296"/>
        <item x="69"/>
        <item x="70"/>
        <item x="71"/>
        <item x="36"/>
        <item x="136"/>
        <item x="143"/>
        <item x="1"/>
        <item x="201"/>
        <item m="1" x="402"/>
        <item x="49"/>
        <item m="1" x="306"/>
        <item x="9"/>
        <item x="50"/>
        <item m="1" x="308"/>
        <item m="1" x="309"/>
        <item x="72"/>
        <item x="202"/>
        <item x="203"/>
        <item x="204"/>
        <item m="1" x="310"/>
        <item x="51"/>
        <item x="52"/>
        <item x="53"/>
        <item m="1" x="339"/>
        <item x="73"/>
        <item m="1" x="407"/>
        <item x="37"/>
        <item m="1" x="344"/>
        <item x="10"/>
        <item x="62"/>
        <item x="63"/>
        <item x="144"/>
        <item x="145"/>
        <item x="146"/>
        <item x="147"/>
        <item x="148"/>
        <item x="137"/>
        <item m="1" x="311"/>
        <item x="205"/>
        <item x="74"/>
        <item m="1" x="368"/>
        <item x="138"/>
        <item x="246"/>
        <item x="168"/>
        <item x="75"/>
        <item m="1" x="397"/>
        <item x="54"/>
        <item x="55"/>
        <item x="177"/>
        <item x="223"/>
        <item x="247"/>
        <item m="1" x="364"/>
        <item x="248"/>
        <item x="249"/>
        <item m="1" x="408"/>
        <item x="250"/>
        <item m="1" x="340"/>
        <item x="206"/>
        <item m="1" x="377"/>
        <item x="207"/>
        <item m="1" x="385"/>
        <item x="178"/>
        <item m="1" x="337"/>
        <item m="1" x="381"/>
        <item x="179"/>
        <item x="76"/>
        <item x="77"/>
        <item x="78"/>
        <item x="251"/>
        <item x="180"/>
        <item x="252"/>
        <item x="79"/>
        <item x="11"/>
        <item x="80"/>
        <item m="1" x="312"/>
        <item x="297"/>
        <item m="1" x="378"/>
        <item x="253"/>
        <item x="56"/>
        <item x="12"/>
        <item x="169"/>
        <item x="81"/>
        <item m="1" x="345"/>
        <item x="254"/>
        <item x="255"/>
        <item x="149"/>
        <item x="82"/>
        <item x="256"/>
        <item x="181"/>
        <item m="1" x="360"/>
        <item x="83"/>
        <item x="84"/>
        <item m="1" x="313"/>
        <item m="1" x="375"/>
        <item x="57"/>
        <item x="58"/>
        <item x="208"/>
        <item x="257"/>
        <item x="258"/>
        <item x="259"/>
        <item x="38"/>
        <item x="85"/>
        <item x="224"/>
        <item x="39"/>
        <item x="86"/>
        <item x="40"/>
        <item x="41"/>
        <item x="298"/>
        <item x="87"/>
        <item m="1" x="409"/>
        <item m="1" x="404"/>
        <item x="299"/>
        <item x="13"/>
        <item x="225"/>
        <item x="260"/>
        <item x="14"/>
        <item m="1" x="357"/>
        <item m="1" x="390"/>
        <item m="1" x="405"/>
        <item x="15"/>
        <item x="88"/>
        <item x="89"/>
        <item m="1" x="314"/>
        <item m="1" x="373"/>
        <item x="90"/>
        <item x="226"/>
        <item x="182"/>
        <item x="166"/>
        <item m="1" x="305"/>
        <item x="91"/>
        <item x="92"/>
        <item m="1" x="372"/>
        <item x="209"/>
        <item x="210"/>
        <item x="93"/>
        <item x="45"/>
        <item x="94"/>
        <item m="1" x="315"/>
        <item x="95"/>
        <item m="1" x="343"/>
        <item m="1" x="406"/>
        <item m="1" x="303"/>
        <item m="1" x="348"/>
        <item m="1" x="363"/>
        <item x="96"/>
        <item x="59"/>
        <item x="170"/>
        <item x="97"/>
        <item m="1" x="316"/>
        <item x="16"/>
        <item x="17"/>
        <item x="18"/>
        <item m="1" x="341"/>
        <item x="64"/>
        <item x="183"/>
        <item x="261"/>
        <item x="19"/>
        <item x="262"/>
        <item x="263"/>
        <item m="1" x="376"/>
        <item m="1" x="317"/>
        <item x="60"/>
        <item m="1" x="401"/>
        <item x="264"/>
        <item m="1" x="347"/>
        <item x="167"/>
        <item x="98"/>
        <item x="99"/>
        <item m="1" x="318"/>
        <item m="1" x="319"/>
        <item x="150"/>
        <item m="1" x="320"/>
        <item x="265"/>
        <item x="266"/>
        <item m="1" x="369"/>
        <item m="1" x="389"/>
        <item x="267"/>
        <item m="1" x="346"/>
        <item x="184"/>
        <item x="20"/>
        <item m="1" x="379"/>
        <item x="227"/>
        <item x="100"/>
        <item x="211"/>
        <item x="2"/>
        <item m="1" x="321"/>
        <item x="151"/>
        <item x="152"/>
        <item m="1" x="349"/>
        <item m="1" x="351"/>
        <item m="1" x="392"/>
        <item x="232"/>
        <item m="1" x="322"/>
        <item x="153"/>
        <item x="268"/>
        <item m="1" x="323"/>
        <item m="1" x="324"/>
        <item x="139"/>
        <item x="269"/>
        <item x="270"/>
        <item x="154"/>
        <item m="1" x="362"/>
        <item m="1" x="386"/>
        <item x="155"/>
        <item x="271"/>
        <item m="1" x="325"/>
        <item x="156"/>
        <item x="233"/>
        <item x="212"/>
        <item x="234"/>
        <item x="213"/>
        <item x="101"/>
        <item m="1" x="336"/>
        <item x="157"/>
        <item x="102"/>
        <item x="272"/>
        <item x="103"/>
        <item m="1" x="367"/>
        <item m="1" x="371"/>
        <item x="104"/>
        <item x="105"/>
        <item x="61"/>
        <item x="65"/>
        <item m="1" x="403"/>
        <item x="106"/>
        <item x="107"/>
        <item x="3"/>
        <item x="171"/>
        <item x="172"/>
        <item x="173"/>
        <item x="174"/>
        <item x="214"/>
        <item x="228"/>
        <item x="21"/>
        <item x="273"/>
        <item x="185"/>
        <item x="186"/>
        <item x="187"/>
        <item x="188"/>
        <item m="1" x="358"/>
        <item x="108"/>
        <item m="1" x="342"/>
        <item x="158"/>
        <item x="215"/>
        <item x="235"/>
        <item m="1" x="353"/>
        <item x="229"/>
        <item x="274"/>
        <item x="109"/>
        <item x="216"/>
        <item x="300"/>
        <item x="110"/>
        <item x="111"/>
        <item m="1" x="365"/>
        <item x="22"/>
        <item x="189"/>
        <item x="112"/>
        <item x="301"/>
        <item x="113"/>
        <item x="159"/>
        <item x="160"/>
        <item x="161"/>
        <item m="1" x="400"/>
        <item x="275"/>
        <item x="114"/>
        <item x="23"/>
        <item x="42"/>
        <item x="276"/>
        <item m="1" x="394"/>
        <item m="1" x="326"/>
        <item m="1" x="395"/>
        <item x="302"/>
        <item m="1" x="383"/>
        <item x="24"/>
        <item m="1" x="398"/>
        <item x="140"/>
        <item x="141"/>
        <item x="142"/>
        <item x="190"/>
        <item x="162"/>
        <item x="163"/>
        <item x="191"/>
        <item x="25"/>
        <item x="192"/>
        <item x="230"/>
        <item x="115"/>
        <item x="116"/>
        <item x="164"/>
        <item x="217"/>
        <item x="26"/>
        <item x="27"/>
        <item x="193"/>
        <item x="194"/>
        <item x="195"/>
        <item m="1" x="384"/>
        <item m="1" x="327"/>
        <item x="277"/>
        <item m="1" x="328"/>
        <item m="1" x="329"/>
        <item x="278"/>
        <item x="46"/>
        <item x="165"/>
        <item x="4"/>
        <item x="47"/>
        <item x="279"/>
        <item x="117"/>
        <item x="118"/>
        <item x="28"/>
        <item x="66"/>
        <item x="175"/>
        <item m="1" x="396"/>
        <item x="119"/>
        <item x="196"/>
        <item m="1" x="361"/>
        <item x="29"/>
        <item x="280"/>
        <item x="231"/>
        <item x="120"/>
        <item x="121"/>
        <item x="281"/>
        <item x="282"/>
        <item x="5"/>
        <item m="1" x="391"/>
        <item m="1" x="374"/>
        <item x="122"/>
        <item x="123"/>
        <item m="1" x="382"/>
        <item m="1" x="399"/>
        <item x="30"/>
        <item x="31"/>
        <item x="197"/>
        <item x="283"/>
        <item x="32"/>
        <item x="198"/>
        <item x="43"/>
        <item x="124"/>
        <item x="33"/>
        <item m="1" x="304"/>
        <item x="125"/>
        <item m="1" x="330"/>
        <item x="126"/>
        <item x="176"/>
        <item m="1" x="331"/>
        <item x="199"/>
        <item x="127"/>
        <item x="128"/>
        <item m="1" x="388"/>
        <item x="284"/>
        <item x="44"/>
        <item m="1" x="359"/>
        <item x="129"/>
        <item m="1" x="332"/>
        <item x="285"/>
        <item m="1" x="355"/>
        <item m="1" x="352"/>
        <item x="34"/>
        <item x="35"/>
        <item x="286"/>
        <item m="1" x="370"/>
        <item x="287"/>
        <item x="130"/>
        <item x="131"/>
        <item m="1" x="366"/>
        <item x="132"/>
        <item m="1" x="333"/>
        <item x="288"/>
        <item x="133"/>
        <item m="1" x="334"/>
        <item m="1" x="354"/>
        <item x="134"/>
        <item m="1" x="335"/>
        <item x="218"/>
        <item m="1" x="356"/>
        <item x="289"/>
        <item x="290"/>
        <item x="219"/>
        <item x="291"/>
        <item x="6"/>
        <item x="220"/>
        <item m="1" x="387"/>
        <item m="1" x="393"/>
        <item x="292"/>
        <item x="293"/>
        <item x="294"/>
        <item x="295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4">
        <item m="1" x="1268"/>
        <item x="790"/>
        <item x="791"/>
        <item m="1" x="1269"/>
        <item x="845"/>
        <item x="847"/>
        <item x="846"/>
        <item x="848"/>
        <item x="849"/>
        <item x="861"/>
        <item x="862"/>
        <item x="183"/>
        <item x="50"/>
        <item x="51"/>
        <item x="52"/>
        <item m="1" x="1436"/>
        <item x="240"/>
        <item x="53"/>
        <item x="863"/>
        <item x="244"/>
        <item x="866"/>
        <item x="455"/>
        <item x="54"/>
        <item m="1" x="1272"/>
        <item m="1" x="1258"/>
        <item m="1" x="1349"/>
        <item m="1" x="1276"/>
        <item x="75"/>
        <item x="225"/>
        <item x="223"/>
        <item m="1" x="1428"/>
        <item x="522"/>
        <item m="1" x="1278"/>
        <item x="458"/>
        <item x="460"/>
        <item m="1" x="1529"/>
        <item x="251"/>
        <item m="1" x="1651"/>
        <item x="869"/>
        <item x="594"/>
        <item x="613"/>
        <item x="883"/>
        <item x="792"/>
        <item m="1" x="1411"/>
        <item x="889"/>
        <item m="1" x="1350"/>
        <item x="902"/>
        <item x="258"/>
        <item m="1" x="1535"/>
        <item x="641"/>
        <item x="256"/>
        <item m="1" x="1506"/>
        <item m="1" x="1376"/>
        <item m="1" x="1483"/>
        <item x="652"/>
        <item x="526"/>
        <item x="273"/>
        <item m="1" x="1283"/>
        <item m="1" x="1665"/>
        <item m="1" x="1395"/>
        <item x="867"/>
        <item x="86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5"/>
        <item x="1216"/>
        <item x="1218"/>
        <item x="1219"/>
        <item m="1" x="1271"/>
        <item x="245"/>
        <item x="456"/>
        <item m="1" x="1259"/>
        <item m="1" x="1260"/>
        <item m="1" x="1261"/>
        <item m="1" x="1262"/>
        <item m="1" x="1263"/>
        <item m="1" x="1264"/>
        <item m="1" x="1273"/>
        <item m="1" x="1274"/>
        <item m="1" x="1396"/>
        <item m="1" x="1598"/>
        <item m="1" x="1462"/>
        <item x="189"/>
        <item x="191"/>
        <item m="1" x="1562"/>
        <item m="1" x="1663"/>
        <item m="1" x="1582"/>
        <item m="1" x="1609"/>
        <item m="1" x="1481"/>
        <item m="1" x="1528"/>
        <item m="1" x="1593"/>
        <item m="1" x="1681"/>
        <item m="1" x="1398"/>
        <item m="1" x="1649"/>
        <item m="1" x="1545"/>
        <item m="1" x="1449"/>
        <item m="1" x="1624"/>
        <item m="1" x="1676"/>
        <item m="1" x="1553"/>
        <item m="1" x="1602"/>
        <item m="1" x="1386"/>
        <item m="1" x="1583"/>
        <item m="1" x="1463"/>
        <item m="1" x="1654"/>
        <item m="1" x="1385"/>
        <item m="1" x="1638"/>
        <item m="1" x="1473"/>
        <item x="76"/>
        <item x="77"/>
        <item x="78"/>
        <item x="224"/>
        <item x="226"/>
        <item x="523"/>
        <item x="524"/>
        <item x="525"/>
        <item x="459"/>
        <item m="1" x="1279"/>
        <item x="252"/>
        <item m="1" x="1635"/>
        <item x="461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595"/>
        <item m="1" x="1485"/>
        <item x="197"/>
        <item x="614"/>
        <item x="615"/>
        <item x="616"/>
        <item x="617"/>
        <item x="618"/>
        <item x="619"/>
        <item x="620"/>
        <item x="621"/>
        <item x="622"/>
        <item x="623"/>
        <item x="793"/>
        <item x="81"/>
        <item x="884"/>
        <item m="1" x="1441"/>
        <item m="1" x="1675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x="184"/>
        <item m="1" x="1275"/>
        <item x="190"/>
        <item x="192"/>
        <item x="198"/>
        <item m="1" x="1466"/>
        <item x="203"/>
        <item x="1018"/>
        <item m="1" x="1445"/>
        <item m="1" x="1652"/>
        <item m="1" x="1484"/>
        <item m="1" x="1594"/>
        <item m="1" x="1539"/>
        <item m="1" x="1622"/>
        <item m="1" x="1408"/>
        <item x="257"/>
        <item x="259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m="1" x="1536"/>
        <item m="1" x="1434"/>
        <item m="1" x="1420"/>
        <item x="82"/>
        <item x="83"/>
        <item m="1" x="1377"/>
        <item x="534"/>
        <item x="535"/>
        <item x="536"/>
        <item x="653"/>
        <item m="1" x="1614"/>
        <item x="274"/>
        <item m="1" x="1284"/>
        <item x="1220"/>
        <item x="1223"/>
        <item x="204"/>
        <item x="1019"/>
        <item x="277"/>
        <item m="1" x="1496"/>
        <item x="794"/>
        <item x="1020"/>
        <item m="1" x="1520"/>
        <item x="1224"/>
        <item m="1" x="1474"/>
        <item x="279"/>
        <item x="280"/>
        <item x="284"/>
        <item m="1" x="1265"/>
        <item m="1" x="1266"/>
        <item m="1" x="1680"/>
        <item m="1" x="1404"/>
        <item m="1" x="1267"/>
        <item x="1225"/>
        <item x="1226"/>
        <item m="1" x="1573"/>
        <item m="1" x="1454"/>
        <item x="796"/>
        <item x="797"/>
        <item x="1021"/>
        <item x="88"/>
        <item x="795"/>
        <item x="798"/>
        <item x="89"/>
        <item x="90"/>
        <item x="654"/>
        <item m="1" x="1443"/>
        <item m="1" x="1442"/>
        <item m="1" x="1667"/>
        <item m="1" x="1568"/>
        <item m="1" x="1683"/>
        <item m="1" x="1447"/>
        <item x="799"/>
        <item x="655"/>
        <item x="297"/>
        <item x="298"/>
        <item x="301"/>
        <item x="305"/>
        <item x="177"/>
        <item x="299"/>
        <item m="1" x="1370"/>
        <item x="300"/>
        <item x="178"/>
        <item x="303"/>
        <item x="306"/>
        <item x="307"/>
        <item x="304"/>
        <item m="1" x="1371"/>
        <item m="1" x="1387"/>
        <item m="1" x="1389"/>
        <item m="1" x="1641"/>
        <item m="1" x="1363"/>
        <item x="1024"/>
        <item x="227"/>
        <item x="598"/>
        <item x="311"/>
        <item x="313"/>
        <item x="93"/>
        <item x="95"/>
        <item x="97"/>
        <item x="1022"/>
        <item x="1026"/>
        <item m="1" x="1415"/>
        <item x="99"/>
        <item x="1033"/>
        <item x="315"/>
        <item x="599"/>
        <item m="1" x="1643"/>
        <item m="1" x="1403"/>
        <item m="1" x="1390"/>
        <item x="94"/>
        <item x="96"/>
        <item x="98"/>
        <item m="1" x="1364"/>
        <item x="228"/>
        <item x="1023"/>
        <item x="100"/>
        <item x="1025"/>
        <item x="1027"/>
        <item x="1028"/>
        <item x="1029"/>
        <item x="1030"/>
        <item x="1031"/>
        <item x="1032"/>
        <item m="1" x="1551"/>
        <item m="1" x="1642"/>
        <item x="1034"/>
        <item m="1" x="1526"/>
        <item x="538"/>
        <item m="1" x="1519"/>
        <item m="1" x="1503"/>
        <item m="1" x="1405"/>
        <item m="1" x="1478"/>
        <item x="539"/>
        <item x="832"/>
        <item m="1" x="1671"/>
        <item m="1" x="1626"/>
        <item x="658"/>
        <item x="101"/>
        <item m="1" x="1531"/>
        <item x="800"/>
        <item m="1" x="1435"/>
        <item m="1" x="1682"/>
        <item m="1" x="1563"/>
        <item m="1" x="1482"/>
        <item x="810"/>
        <item x="809"/>
        <item x="812"/>
        <item x="811"/>
        <item x="814"/>
        <item x="816"/>
        <item x="818"/>
        <item x="820"/>
        <item x="822"/>
        <item x="824"/>
        <item x="826"/>
        <item x="659"/>
        <item m="1" x="1312"/>
        <item x="1046"/>
        <item x="1047"/>
        <item m="1" x="1470"/>
        <item m="1" x="1677"/>
        <item m="1" x="1427"/>
        <item m="1" x="1530"/>
        <item m="1" x="1388"/>
        <item m="1" x="1670"/>
        <item m="1" x="1402"/>
        <item m="1" x="1432"/>
        <item m="1" x="1460"/>
        <item m="1" x="1636"/>
        <item m="1" x="1639"/>
        <item m="1" x="1419"/>
        <item m="1" x="1422"/>
        <item x="102"/>
        <item m="1" x="1440"/>
        <item m="1" x="1468"/>
        <item m="1" x="1467"/>
        <item m="1" x="1611"/>
        <item m="1" x="1313"/>
        <item x="801"/>
        <item m="1" x="1589"/>
        <item m="1" x="1618"/>
        <item x="1048"/>
        <item x="833"/>
        <item m="1" x="1339"/>
        <item x="552"/>
        <item x="1052"/>
        <item x="329"/>
        <item x="1053"/>
        <item m="1" x="1340"/>
        <item x="330"/>
        <item x="553"/>
        <item x="600"/>
        <item x="602"/>
        <item x="603"/>
        <item x="605"/>
        <item x="607"/>
        <item x="606"/>
        <item x="601"/>
        <item x="608"/>
        <item x="604"/>
        <item x="802"/>
        <item x="1054"/>
        <item x="554"/>
        <item x="803"/>
        <item x="1055"/>
        <item x="836"/>
        <item x="555"/>
        <item x="837"/>
        <item x="1056"/>
        <item x="1057"/>
        <item x="1228"/>
        <item x="1229"/>
        <item x="115"/>
        <item m="1" x="1495"/>
        <item x="556"/>
        <item x="558"/>
        <item x="560"/>
        <item m="1" x="1493"/>
        <item x="1058"/>
        <item x="351"/>
        <item m="1" x="1384"/>
        <item x="669"/>
        <item x="670"/>
        <item x="353"/>
        <item x="352"/>
        <item x="557"/>
        <item x="559"/>
        <item x="561"/>
        <item m="1" x="1601"/>
        <item m="1" x="1669"/>
        <item m="1" x="1512"/>
        <item m="1" x="1532"/>
        <item m="1" x="1513"/>
        <item m="1" x="1533"/>
        <item m="1" x="1487"/>
        <item m="1" x="1391"/>
        <item m="1" x="1514"/>
        <item m="1" x="1534"/>
        <item m="1" x="1502"/>
        <item m="1" x="1637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354"/>
        <item x="116"/>
        <item m="1" x="1469"/>
        <item m="1" x="1668"/>
        <item m="1" x="1658"/>
        <item m="1" x="1317"/>
        <item m="1" x="1318"/>
        <item m="1" x="1625"/>
        <item x="1233"/>
        <item x="1234"/>
        <item x="1235"/>
        <item x="1236"/>
        <item m="1" x="1661"/>
        <item x="117"/>
        <item m="1" x="1620"/>
        <item x="465"/>
        <item x="467"/>
        <item x="469"/>
        <item m="1" x="1320"/>
        <item x="562"/>
        <item x="563"/>
        <item m="1" x="1437"/>
        <item m="1" x="1659"/>
        <item m="1" x="1575"/>
        <item m="1" x="1406"/>
        <item m="1" x="1522"/>
        <item m="1" x="1666"/>
        <item m="1" x="1679"/>
        <item m="1" x="1452"/>
        <item x="572"/>
        <item x="573"/>
        <item m="1" x="1426"/>
        <item m="1" x="1450"/>
        <item m="1" x="1424"/>
        <item m="1" x="1600"/>
        <item m="1" x="1464"/>
        <item m="1" x="1587"/>
        <item m="1" x="1472"/>
        <item m="1" x="1458"/>
        <item x="575"/>
        <item x="576"/>
        <item x="577"/>
        <item x="578"/>
        <item x="579"/>
        <item x="580"/>
        <item x="565"/>
        <item x="566"/>
        <item x="567"/>
        <item x="568"/>
        <item x="569"/>
        <item x="570"/>
        <item m="1" x="1416"/>
        <item m="1" x="1451"/>
        <item m="1" x="1662"/>
        <item m="1" x="1673"/>
        <item m="1" x="1613"/>
        <item m="1" x="1456"/>
        <item m="1" x="1461"/>
        <item m="1" x="1511"/>
        <item m="1" x="1561"/>
        <item m="1" x="1498"/>
        <item m="1" x="1537"/>
        <item m="1" x="1488"/>
        <item m="1" x="1619"/>
        <item m="1" x="1477"/>
        <item m="1" x="1634"/>
        <item x="118"/>
        <item x="466"/>
        <item x="468"/>
        <item x="470"/>
        <item x="119"/>
        <item x="710"/>
        <item x="582"/>
        <item x="1144"/>
        <item x="120"/>
        <item x="711"/>
        <item x="804"/>
        <item x="355"/>
        <item x="583"/>
        <item x="356"/>
        <item x="571"/>
        <item x="581"/>
        <item m="1" x="1653"/>
        <item x="121"/>
        <item x="716"/>
        <item x="714"/>
        <item x="712"/>
        <item x="805"/>
        <item x="123"/>
        <item x="122"/>
        <item x="124"/>
        <item x="713"/>
        <item x="715"/>
        <item x="717"/>
        <item m="1" x="1321"/>
        <item x="1145"/>
        <item m="1" x="1492"/>
        <item x="125"/>
        <item x="806"/>
        <item x="126"/>
        <item x="231"/>
        <item x="609"/>
        <item m="1" x="1465"/>
        <item x="366"/>
        <item x="232"/>
        <item x="610"/>
        <item m="1" x="1592"/>
        <item m="1" x="1567"/>
        <item m="1" x="1608"/>
        <item m="1" x="1586"/>
        <item m="1" x="1393"/>
        <item m="1" x="1552"/>
        <item m="1" x="1610"/>
        <item m="1" x="1574"/>
        <item x="367"/>
        <item m="1" x="1448"/>
        <item x="807"/>
        <item x="370"/>
        <item x="371"/>
        <item x="372"/>
        <item x="46"/>
        <item m="1" x="1623"/>
        <item m="1" x="1630"/>
        <item m="1" x="1548"/>
        <item m="1" x="1425"/>
        <item m="1" x="1494"/>
        <item m="1" x="1497"/>
        <item m="1" x="1507"/>
        <item x="1171"/>
        <item x="1168"/>
        <item x="135"/>
        <item m="1" x="1491"/>
        <item m="1" x="1550"/>
        <item x="136"/>
        <item x="47"/>
        <item m="1" x="1510"/>
        <item x="1172"/>
        <item m="1" x="1486"/>
        <item m="1" x="1417"/>
        <item x="1176"/>
        <item x="1181"/>
        <item m="1" x="1401"/>
        <item m="1" x="1621"/>
        <item m="1" x="1433"/>
        <item m="1" x="1438"/>
        <item m="1" x="1580"/>
        <item m="1" x="1523"/>
        <item m="1" x="1558"/>
        <item x="1177"/>
        <item x="1178"/>
        <item m="1" x="1471"/>
        <item m="1" x="1480"/>
        <item x="1182"/>
        <item x="1183"/>
        <item m="1" x="1335"/>
        <item m="1" x="1409"/>
        <item m="1" x="1612"/>
        <item m="1" x="1627"/>
        <item m="1" x="1336"/>
        <item m="1" x="1664"/>
        <item x="48"/>
        <item x="1199"/>
        <item x="1200"/>
        <item x="1213"/>
        <item m="1" x="1597"/>
        <item x="49"/>
        <item m="1" x="1430"/>
        <item x="1214"/>
        <item x="452"/>
        <item x="788"/>
        <item x="789"/>
        <item x="453"/>
        <item x="454"/>
        <item x="0"/>
        <item m="1" x="1576"/>
        <item m="1" x="1429"/>
        <item m="1" x="1504"/>
        <item x="813"/>
        <item n="Frac of Pol Impl This Yr - 2 - NDC.xlsx" m="1" x="1555"/>
        <item m="1" x="1517"/>
        <item x="738"/>
        <item x="739"/>
        <item m="1" x="1524"/>
        <item m="1" x="1414"/>
        <item m="1" x="1297"/>
        <item m="1" x="1298"/>
        <item m="1" x="1314"/>
        <item m="1" x="1315"/>
        <item x="586"/>
        <item x="587"/>
        <item x="588"/>
        <item x="589"/>
        <item x="691"/>
        <item x="694"/>
        <item x="695"/>
        <item x="696"/>
        <item x="697"/>
        <item x="698"/>
        <item x="699"/>
        <item m="1" x="1421"/>
        <item x="700"/>
        <item x="701"/>
        <item m="1" x="1439"/>
        <item m="1" x="1615"/>
        <item x="707"/>
        <item x="708"/>
        <item x="709"/>
        <item x="1169"/>
        <item x="1170"/>
        <item x="1221"/>
        <item x="1222"/>
        <item m="1" x="1372"/>
        <item m="1" x="1410"/>
        <item x="163"/>
        <item x="164"/>
        <item x="166"/>
        <item x="208"/>
        <item x="209"/>
        <item m="1" x="1500"/>
        <item m="1" x="1509"/>
        <item m="1" x="1584"/>
        <item m="1" x="1521"/>
        <item m="1" x="1383"/>
        <item x="854"/>
        <item x="855"/>
        <item x="856"/>
        <item m="1" x="1431"/>
        <item m="1" x="1453"/>
        <item m="1" x="1538"/>
        <item m="1" x="1418"/>
        <item m="1" x="1672"/>
        <item m="1" x="1407"/>
        <item m="1" x="1616"/>
        <item m="1" x="1599"/>
        <item m="1" x="1515"/>
        <item m="1" x="147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70"/>
        <item x="312"/>
        <item x="314"/>
        <item x="402"/>
        <item x="403"/>
        <item x="404"/>
        <item x="405"/>
        <item m="1" x="1446"/>
        <item x="328"/>
        <item x="463"/>
        <item x="464"/>
        <item x="584"/>
        <item x="585"/>
        <item m="1" x="1628"/>
        <item m="1" x="1605"/>
        <item m="1" x="1632"/>
        <item m="1" x="1499"/>
        <item m="1" x="1590"/>
        <item x="734"/>
        <item x="735"/>
        <item x="736"/>
        <item x="737"/>
        <item x="740"/>
        <item x="741"/>
        <item m="1" x="1565"/>
        <item m="1" x="1577"/>
        <item x="745"/>
        <item x="746"/>
        <item m="1" x="1397"/>
        <item m="1" x="1516"/>
        <item x="747"/>
        <item x="748"/>
        <item m="1" x="1656"/>
        <item m="1" x="1413"/>
        <item m="1" x="1412"/>
        <item m="1" x="1508"/>
        <item m="1" x="1556"/>
        <item m="1" x="1678"/>
        <item x="778"/>
        <item x="779"/>
        <item x="782"/>
        <item x="783"/>
        <item x="784"/>
        <item x="785"/>
        <item x="1038"/>
        <item x="1039"/>
        <item x="1148"/>
        <item x="1149"/>
        <item x="55"/>
        <item x="91"/>
        <item x="92"/>
        <item x="210"/>
        <item m="1" x="1581"/>
        <item m="1" x="1489"/>
        <item m="1" x="1546"/>
        <item m="1" x="1606"/>
        <item m="1" x="1490"/>
        <item x="282"/>
        <item m="1" x="1292"/>
        <item m="1" x="1293"/>
        <item m="1" x="1294"/>
        <item m="1" x="1295"/>
        <item m="1" x="1296"/>
        <item x="471"/>
        <item x="472"/>
        <item x="479"/>
        <item m="1" x="1633"/>
        <item m="1" x="1444"/>
        <item m="1" x="1342"/>
        <item m="1" x="1343"/>
        <item m="1" x="1344"/>
        <item m="1" x="1345"/>
        <item x="776"/>
        <item x="777"/>
        <item x="780"/>
        <item x="781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103"/>
        <item m="1" x="1394"/>
        <item x="104"/>
        <item m="1" x="1518"/>
        <item x="105"/>
        <item x="106"/>
        <item m="1" x="1595"/>
        <item x="107"/>
        <item m="1" x="1570"/>
        <item x="108"/>
        <item x="109"/>
        <item m="1" x="1596"/>
        <item x="110"/>
        <item m="1" x="1571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20"/>
        <item x="721"/>
        <item x="765"/>
        <item x="766"/>
        <item m="1" x="1549"/>
        <item x="1040"/>
        <item x="1041"/>
        <item x="137"/>
        <item x="138"/>
        <item x="327"/>
        <item m="1" x="1316"/>
        <item x="611"/>
        <item x="612"/>
        <item m="1" x="1631"/>
        <item m="1" x="1572"/>
        <item m="1" x="1399"/>
        <item m="1" x="1566"/>
        <item x="656"/>
        <item x="657"/>
        <item x="722"/>
        <item x="723"/>
        <item x="724"/>
        <item x="725"/>
        <item x="774"/>
        <item x="775"/>
        <item x="768"/>
        <item x="771"/>
        <item x="772"/>
        <item x="773"/>
        <item m="1" x="1604"/>
        <item x="133"/>
        <item x="134"/>
        <item m="1" x="1373"/>
        <item m="1" x="1459"/>
        <item x="195"/>
        <item x="196"/>
        <item m="1" x="1559"/>
        <item m="1" x="1646"/>
        <item m="1" x="1423"/>
        <item m="1" x="1591"/>
        <item m="1" x="1674"/>
        <item m="1" x="1655"/>
        <item x="287"/>
        <item x="288"/>
        <item m="1" x="1505"/>
        <item m="1" x="1569"/>
        <item m="1" x="1455"/>
        <item m="1" x="1382"/>
        <item m="1" x="1392"/>
        <item m="1" x="1650"/>
        <item m="1" x="1542"/>
        <item m="1" x="1400"/>
        <item m="1" x="1527"/>
        <item m="1" x="1648"/>
        <item m="1" x="1560"/>
        <item m="1" x="1476"/>
        <item x="827"/>
        <item n="Frac of Pol Impl This Yr - 3 - Example Scenario.xlsx" m="1" x="1501"/>
        <item m="1" x="1540"/>
        <item x="1152"/>
        <item x="1153"/>
        <item x="1154"/>
        <item m="1" x="1301"/>
        <item m="1" x="1457"/>
        <item m="1" x="1304"/>
        <item m="1" x="1305"/>
        <item x="544"/>
        <item x="545"/>
        <item x="564"/>
        <item x="574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42"/>
        <item x="643"/>
        <item x="644"/>
        <item x="645"/>
        <item x="646"/>
        <item x="647"/>
        <item x="648"/>
        <item x="649"/>
        <item x="650"/>
        <item x="651"/>
        <item x="667"/>
        <item x="668"/>
        <item x="702"/>
        <item x="703"/>
        <item x="704"/>
        <item x="705"/>
        <item x="769"/>
        <item x="770"/>
        <item m="1" x="1579"/>
        <item m="1" x="1525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8"/>
        <item x="549"/>
        <item x="693"/>
        <item m="1" x="1647"/>
        <item x="729"/>
        <item m="1" x="1640"/>
        <item x="744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n="Frac of Pol Impl This Yr - 2 - NDC.xlsx2" m="1" x="1554"/>
        <item n="Frac of Pol Impl This Yr - 3 - Example Scenario.xlsx2" m="1" x="1544"/>
        <item m="1" x="1346"/>
        <item m="1" x="1617"/>
        <item m="1" x="1479"/>
        <item m="1" x="1374"/>
        <item m="1" x="1375"/>
        <item x="185"/>
        <item x="186"/>
        <item x="199"/>
        <item x="200"/>
        <item m="1" x="1541"/>
        <item m="1" x="1657"/>
        <item m="1" x="1644"/>
        <item m="1" x="1290"/>
        <item m="1" x="1291"/>
        <item m="1" x="1660"/>
        <item m="1" x="1578"/>
        <item m="1" x="1588"/>
        <item x="412"/>
        <item x="413"/>
        <item m="1" x="1607"/>
        <item m="1" x="1557"/>
        <item m="1" x="1547"/>
        <item m="1" x="1543"/>
        <item m="1" x="1247"/>
        <item x="660"/>
        <item x="661"/>
        <item m="1" x="1645"/>
        <item m="1" x="1603"/>
        <item x="690"/>
        <item x="692"/>
        <item x="706"/>
        <item m="1" x="1585"/>
        <item x="718"/>
        <item x="719"/>
        <item x="728"/>
        <item x="730"/>
        <item x="786"/>
        <item x="787"/>
        <item x="815"/>
        <item x="817"/>
        <item x="819"/>
        <item x="821"/>
        <item x="823"/>
        <item x="825"/>
        <item x="829"/>
        <item x="831"/>
        <item x="843"/>
        <item x="844"/>
        <item x="852"/>
        <item x="853"/>
        <item x="859"/>
        <item x="860"/>
        <item m="1" x="1347"/>
        <item m="1" x="1348"/>
        <item x="1049"/>
        <item x="1050"/>
        <item x="1051"/>
        <item x="1230"/>
        <item x="1231"/>
        <item x="1232"/>
        <item x="44"/>
        <item x="45"/>
        <item x="205"/>
        <item x="206"/>
        <item x="207"/>
        <item m="1" x="1629"/>
        <item m="1" x="1564"/>
        <item x="368"/>
        <item x="369"/>
        <item x="983"/>
        <item x="985"/>
        <item x="986"/>
        <item x="987"/>
        <item x="991"/>
        <item x="992"/>
        <item x="993"/>
        <item x="1011"/>
        <item m="1" x="1249"/>
        <item x="1203"/>
        <item x="1204"/>
        <item x="1205"/>
        <item x="1206"/>
        <item m="1" x="1251"/>
        <item x="79"/>
        <item x="80"/>
        <item x="145"/>
        <item m="1" x="1252"/>
        <item x="193"/>
        <item x="194"/>
        <item x="542"/>
        <item x="543"/>
        <item x="213"/>
        <item x="222"/>
        <item x="237"/>
        <item x="238"/>
        <item x="239"/>
        <item x="246"/>
        <item x="247"/>
        <item m="1" x="1277"/>
        <item x="253"/>
        <item x="254"/>
        <item x="255"/>
        <item m="1" x="1280"/>
        <item m="1" x="1281"/>
        <item m="1" x="1282"/>
        <item x="275"/>
        <item x="276"/>
        <item x="278"/>
        <item x="283"/>
        <item m="1" x="1285"/>
        <item m="1" x="1287"/>
        <item m="1" x="1288"/>
        <item x="295"/>
        <item x="296"/>
        <item x="302"/>
        <item m="1" x="1289"/>
        <item x="308"/>
        <item x="309"/>
        <item x="310"/>
        <item m="1" x="1302"/>
        <item m="1" x="1303"/>
        <item m="1" x="1378"/>
        <item m="1" x="1379"/>
        <item m="1" x="1380"/>
        <item m="1" x="1308"/>
        <item m="1" x="1309"/>
        <item m="1" x="1310"/>
        <item m="1" x="1311"/>
        <item x="326"/>
        <item x="339"/>
        <item x="340"/>
        <item x="341"/>
        <item x="342"/>
        <item x="347"/>
        <item x="348"/>
        <item x="349"/>
        <item x="350"/>
        <item m="1" x="1322"/>
        <item m="1" x="1323"/>
        <item m="1" x="1324"/>
        <item m="1" x="1325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m="1" x="1326"/>
        <item m="1" x="1327"/>
        <item x="408"/>
        <item x="409"/>
        <item x="410"/>
        <item x="411"/>
        <item m="1" x="1330"/>
        <item m="1" x="1331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m="1" x="1381"/>
        <item x="429"/>
        <item x="430"/>
        <item x="431"/>
        <item x="432"/>
        <item x="433"/>
        <item x="434"/>
        <item x="435"/>
        <item x="436"/>
        <item x="438"/>
        <item x="440"/>
        <item x="441"/>
        <item x="442"/>
        <item m="1" x="1332"/>
        <item m="1" x="1333"/>
        <item m="1" x="1334"/>
        <item m="1" x="1337"/>
        <item m="1" x="1338"/>
        <item x="462"/>
        <item x="550"/>
        <item x="551"/>
        <item x="638"/>
        <item x="639"/>
        <item x="640"/>
        <item x="742"/>
        <item x="743"/>
        <item x="808"/>
        <item x="838"/>
        <item x="839"/>
        <item x="840"/>
        <item x="841"/>
        <item x="842"/>
        <item x="885"/>
        <item x="886"/>
        <item x="887"/>
        <item x="888"/>
        <item x="975"/>
        <item x="976"/>
        <item x="977"/>
        <item x="978"/>
        <item x="979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35"/>
        <item x="1036"/>
        <item x="1037"/>
        <item x="1042"/>
        <item x="1043"/>
        <item x="1044"/>
        <item x="1045"/>
        <item m="1" x="1365"/>
        <item m="1" x="1366"/>
        <item m="1" x="1367"/>
        <item m="1" x="1368"/>
        <item m="1" x="1369"/>
        <item x="1150"/>
        <item x="1151"/>
        <item x="1173"/>
        <item x="1174"/>
        <item x="1175"/>
        <item x="1179"/>
        <item x="1180"/>
        <item x="1201"/>
        <item x="1202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86"/>
        <item m="1" x="1256"/>
        <item m="1" x="1257"/>
        <item x="316"/>
        <item x="317"/>
        <item x="318"/>
        <item m="1" x="1299"/>
        <item m="1" x="1300"/>
        <item m="1" x="1306"/>
        <item m="1" x="1307"/>
        <item m="1" x="1319"/>
        <item x="363"/>
        <item x="364"/>
        <item x="365"/>
        <item x="373"/>
        <item x="374"/>
        <item x="375"/>
        <item x="376"/>
        <item x="400"/>
        <item x="401"/>
        <item x="406"/>
        <item x="407"/>
        <item m="1" x="1328"/>
        <item m="1" x="1329"/>
        <item x="427"/>
        <item x="428"/>
        <item x="439"/>
        <item m="1" x="1341"/>
        <item x="857"/>
        <item x="858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40"/>
        <item x="541"/>
        <item x="546"/>
        <item x="547"/>
        <item m="1" x="1240"/>
        <item x="361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2"/>
        <item m="1" x="1253"/>
        <item m="1" x="1254"/>
        <item m="1" x="1255"/>
        <item x="437"/>
        <item x="443"/>
        <item x="444"/>
        <item x="445"/>
        <item x="446"/>
        <item x="447"/>
        <item x="450"/>
        <item x="451"/>
        <item x="457"/>
        <item x="731"/>
        <item x="732"/>
        <item x="733"/>
        <item x="834"/>
        <item x="835"/>
        <item x="850"/>
        <item x="851"/>
        <item x="864"/>
        <item x="865"/>
        <item x="984"/>
        <item x="988"/>
        <item x="989"/>
        <item x="990"/>
        <item x="994"/>
        <item x="995"/>
        <item m="1" x="125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6"/>
        <item x="1147"/>
        <item x="1217"/>
        <item x="146"/>
        <item x="147"/>
        <item x="233"/>
        <item x="234"/>
        <item x="235"/>
        <item x="236"/>
        <item m="1" x="1241"/>
        <item x="260"/>
        <item x="261"/>
        <item m="1" x="1242"/>
        <item x="344"/>
        <item x="345"/>
        <item x="346"/>
        <item x="357"/>
        <item x="358"/>
        <item m="1" x="1243"/>
        <item m="1" x="1244"/>
        <item x="473"/>
        <item x="474"/>
        <item x="475"/>
        <item x="476"/>
        <item x="477"/>
        <item x="478"/>
        <item x="537"/>
        <item x="590"/>
        <item x="591"/>
        <item x="592"/>
        <item x="593"/>
        <item m="1" x="1245"/>
        <item m="1" x="1246"/>
        <item x="726"/>
        <item x="727"/>
        <item m="1" x="1248"/>
        <item x="1227"/>
        <item x="113"/>
        <item x="114"/>
        <item x="201"/>
        <item x="202"/>
        <item x="262"/>
        <item x="263"/>
        <item x="331"/>
        <item x="332"/>
        <item x="333"/>
        <item x="334"/>
        <item x="343"/>
        <item x="359"/>
        <item x="360"/>
        <item m="1" x="1238"/>
        <item x="662"/>
        <item x="663"/>
        <item x="664"/>
        <item x="665"/>
        <item x="666"/>
        <item x="767"/>
        <item x="828"/>
        <item x="830"/>
        <item x="882"/>
        <item x="1012"/>
        <item x="1013"/>
        <item x="1014"/>
        <item x="1015"/>
        <item x="1016"/>
        <item x="1017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207"/>
        <item x="1208"/>
        <item x="1209"/>
        <item x="1210"/>
        <item x="1211"/>
        <item x="1212"/>
        <item x="84"/>
        <item x="85"/>
        <item x="86"/>
        <item x="87"/>
        <item x="169"/>
        <item x="170"/>
        <item x="171"/>
        <item x="172"/>
        <item x="211"/>
        <item x="269"/>
        <item x="270"/>
        <item x="322"/>
        <item x="323"/>
        <item x="448"/>
        <item x="449"/>
        <item x="527"/>
        <item x="528"/>
        <item x="529"/>
        <item x="530"/>
        <item x="531"/>
        <item x="532"/>
        <item x="533"/>
        <item x="596"/>
        <item x="597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980"/>
        <item x="981"/>
        <item x="982"/>
        <item m="1" x="1239"/>
        <item m="1" x="123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2">
    <i>
      <x v="3"/>
      <x v="28"/>
      <x v="1101"/>
    </i>
    <i r="1">
      <x v="206"/>
      <x v="1127"/>
    </i>
    <i r="1">
      <x v="248"/>
      <x v="804"/>
    </i>
    <i r="1">
      <x v="324"/>
      <x v="1216"/>
    </i>
    <i r="1">
      <x v="343"/>
      <x v="702"/>
    </i>
    <i r="1">
      <x v="399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636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6"/>
      <x v="1588"/>
    </i>
    <i r="1">
      <x v="287"/>
      <x v="468"/>
    </i>
    <i r="1">
      <x v="295"/>
      <x v="634"/>
    </i>
    <i r="1">
      <x v="304"/>
      <x v="638"/>
    </i>
    <i r="1">
      <x v="311"/>
      <x v="651"/>
    </i>
    <i r="1">
      <x v="312"/>
      <x v="656"/>
    </i>
    <i r="1">
      <x v="329"/>
      <x v="667"/>
    </i>
    <i r="1">
      <x v="336"/>
      <x v="820"/>
    </i>
    <i r="1">
      <x v="350"/>
      <x v="822"/>
    </i>
    <i r="1">
      <x v="351"/>
      <x v="1012"/>
    </i>
    <i r="1">
      <x v="354"/>
      <x v="698"/>
    </i>
    <i r="1">
      <x v="358"/>
      <x v="989"/>
    </i>
    <i r="1">
      <x v="377"/>
      <x v="826"/>
    </i>
    <i r="1">
      <x v="378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8"/>
      <x v="1643"/>
    </i>
    <i r="1">
      <x v="356"/>
      <x v="1479"/>
    </i>
    <i r="1">
      <x v="370"/>
      <x v="1481"/>
    </i>
    <i>
      <x v="6"/>
      <x v="157"/>
      <x v="333"/>
    </i>
    <i r="1">
      <x v="322"/>
      <x v="834"/>
    </i>
    <i>
      <x v="8"/>
      <x v="325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0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30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592"/>
    </i>
    <i r="1">
      <x v="95"/>
      <x v="1425"/>
    </i>
    <i r="1">
      <x v="103"/>
      <x v="1427"/>
    </i>
    <i r="1">
      <x v="108"/>
      <x v="1645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48"/>
    </i>
    <i r="1">
      <x v="233"/>
      <x v="1504"/>
    </i>
    <i r="1">
      <x v="236"/>
      <x v="991"/>
    </i>
    <i r="1">
      <x v="238"/>
      <x v="445"/>
    </i>
    <i r="1">
      <x v="241"/>
      <x v="1595"/>
    </i>
    <i r="1">
      <x v="242"/>
      <x v="1597"/>
    </i>
    <i r="1">
      <x v="246"/>
      <x v="1506"/>
    </i>
    <i r="1">
      <x v="247"/>
      <x v="1507"/>
    </i>
    <i r="1">
      <x v="262"/>
      <x v="1285"/>
    </i>
    <i r="1">
      <x v="270"/>
      <x v="1287"/>
    </i>
    <i r="1">
      <x v="273"/>
      <x v="1566"/>
    </i>
    <i r="2">
      <x v="1598"/>
    </i>
    <i r="1">
      <x v="274"/>
      <x v="1288"/>
    </i>
    <i r="1">
      <x v="278"/>
      <x v="1290"/>
    </i>
    <i r="1">
      <x v="280"/>
      <x v="475"/>
    </i>
    <i r="1">
      <x v="286"/>
      <x v="479"/>
    </i>
    <i r="1">
      <x v="307"/>
      <x v="647"/>
    </i>
    <i r="1">
      <x v="308"/>
      <x v="1568"/>
    </i>
    <i r="1">
      <x v="327"/>
      <x v="1488"/>
    </i>
    <i r="1">
      <x v="328"/>
      <x v="1448"/>
    </i>
    <i r="1">
      <x v="333"/>
      <x v="671"/>
    </i>
    <i r="1">
      <x v="339"/>
      <x v="1222"/>
    </i>
    <i r="1">
      <x v="340"/>
      <x v="685"/>
    </i>
    <i r="1">
      <x v="346"/>
      <x v="1449"/>
    </i>
    <i r="1">
      <x v="347"/>
      <x v="1296"/>
    </i>
    <i r="1">
      <x v="357"/>
      <x v="1453"/>
    </i>
    <i r="1">
      <x v="360"/>
      <x v="842"/>
    </i>
    <i r="1">
      <x v="362"/>
      <x v="1455"/>
    </i>
    <i r="1">
      <x v="366"/>
      <x v="1321"/>
    </i>
    <i r="1">
      <x v="367"/>
      <x v="1323"/>
    </i>
    <i r="1">
      <x v="372"/>
      <x v="1172"/>
    </i>
    <i r="1">
      <x v="382"/>
      <x v="1327"/>
    </i>
    <i r="1">
      <x v="383"/>
      <x v="1329"/>
    </i>
    <i r="1">
      <x v="385"/>
      <x v="1514"/>
    </i>
    <i r="1">
      <x v="388"/>
      <x v="1650"/>
    </i>
    <i r="1">
      <x v="391"/>
      <x v="1520"/>
    </i>
    <i r="1">
      <x v="408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7"/>
      <x v="635"/>
    </i>
    <i r="1">
      <x v="298"/>
      <x v="636"/>
    </i>
    <i r="1">
      <x v="299"/>
      <x v="637"/>
    </i>
    <i>
      <x v="16"/>
      <x v="409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1"/>
      <x v="470"/>
    </i>
    <i r="1">
      <x v="282"/>
      <x v="471"/>
    </i>
    <i r="1">
      <x v="283"/>
      <x v="472"/>
    </i>
    <i r="1">
      <x v="301"/>
      <x v="648"/>
    </i>
    <i r="1">
      <x v="302"/>
      <x v="649"/>
    </i>
    <i r="1">
      <x v="309"/>
      <x v="640"/>
    </i>
    <i r="1">
      <x v="323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58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1"/>
      <x v="669"/>
    </i>
    <i r="1">
      <x v="363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04"/>
    </i>
    <i r="1">
      <x v="259"/>
      <x v="1606"/>
    </i>
    <i r="1">
      <x v="260"/>
      <x v="1077"/>
    </i>
    <i r="1">
      <x v="277"/>
      <x v="477"/>
    </i>
    <i r="1">
      <x v="300"/>
      <x v="1678"/>
    </i>
    <i r="1">
      <x v="303"/>
      <x v="774"/>
    </i>
    <i r="1">
      <x v="305"/>
      <x v="639"/>
    </i>
    <i r="1">
      <x v="313"/>
      <x v="654"/>
    </i>
    <i r="1">
      <x v="314"/>
      <x v="653"/>
    </i>
    <i r="1">
      <x v="315"/>
      <x v="652"/>
    </i>
    <i r="1">
      <x v="334"/>
      <x v="1187"/>
    </i>
    <i r="1">
      <x v="352"/>
      <x v="982"/>
    </i>
    <i r="1">
      <x v="355"/>
      <x v="1001"/>
    </i>
    <i r="1">
      <x v="365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2">
      <x v="16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1"/>
      <x v="877"/>
    </i>
    <i r="1">
      <x v="310"/>
      <x v="913"/>
    </i>
    <i r="1">
      <x v="393"/>
      <x v="880"/>
    </i>
    <i r="1">
      <x v="397"/>
      <x v="881"/>
    </i>
    <i r="1">
      <x v="400"/>
      <x v="1191"/>
    </i>
    <i r="1">
      <x v="407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268"/>
      <x v="459"/>
    </i>
    <i r="1">
      <x v="306"/>
      <x v="655"/>
    </i>
    <i r="1">
      <x v="338"/>
      <x v="666"/>
    </i>
    <i>
      <x v="26"/>
      <x v="213"/>
      <x v="1199"/>
    </i>
    <i r="2">
      <x v="1200"/>
    </i>
    <i r="2">
      <x v="1366"/>
    </i>
    <i r="2">
      <x v="1608"/>
    </i>
    <i r="2">
      <x v="1609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2">
      <x v="1610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7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9"/>
      <x v="464"/>
    </i>
    <i r="1">
      <x v="285"/>
      <x v="474"/>
    </i>
    <i r="1">
      <x v="289"/>
      <x v="1550"/>
    </i>
    <i r="1">
      <x v="318"/>
      <x v="641"/>
    </i>
    <i r="1">
      <x v="321"/>
      <x v="1551"/>
    </i>
    <i r="1">
      <x v="326"/>
      <x v="886"/>
    </i>
    <i r="1">
      <x v="337"/>
      <x v="1408"/>
    </i>
    <i r="1">
      <x v="341"/>
      <x v="1041"/>
    </i>
    <i r="1">
      <x v="342"/>
      <x v="1617"/>
    </i>
    <i r="1">
      <x v="353"/>
      <x v="697"/>
    </i>
    <i r="1">
      <x v="369"/>
      <x v="696"/>
    </i>
    <i r="1">
      <x v="374"/>
      <x v="1410"/>
    </i>
    <i r="1">
      <x v="379"/>
      <x v="707"/>
    </i>
    <i r="1">
      <x v="381"/>
      <x v="1413"/>
    </i>
    <i r="1">
      <x v="387"/>
      <x v="708"/>
    </i>
    <i r="1">
      <x v="395"/>
      <x v="1086"/>
    </i>
    <i r="1">
      <x v="396"/>
      <x v="1088"/>
    </i>
    <i r="1">
      <x v="398"/>
      <x v="730"/>
    </i>
    <i r="1">
      <x v="403"/>
      <x v="1415"/>
    </i>
    <i r="1">
      <x v="404"/>
      <x v="1233"/>
    </i>
    <i r="1">
      <x v="405"/>
      <x v="1236"/>
    </i>
    <i r="1">
      <x v="406"/>
      <x v="731"/>
    </i>
    <i>
      <x v="28"/>
      <x v="409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2"/>
      <x v="466"/>
    </i>
    <i r="1">
      <x v="279"/>
      <x v="1212"/>
    </i>
    <i r="1">
      <x v="293"/>
      <x v="579"/>
    </i>
    <i>
      <x v="30"/>
      <x v="40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8"/>
  <sheetViews>
    <sheetView tabSelected="1" topLeftCell="B1" workbookViewId="0">
      <selection activeCell="D33" sqref="D33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9.66406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1332</v>
      </c>
      <c r="C33" t="s">
        <v>1333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1104</v>
      </c>
      <c r="C35" t="s">
        <v>1105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1531</v>
      </c>
      <c r="C37" t="s">
        <v>1532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832</v>
      </c>
      <c r="C45" t="s">
        <v>842</v>
      </c>
      <c r="D45">
        <v>0</v>
      </c>
    </row>
    <row r="46" spans="1:4" x14ac:dyDescent="0.3">
      <c r="A46" t="s">
        <v>9</v>
      </c>
      <c r="B46" t="s">
        <v>1476</v>
      </c>
      <c r="C46" t="s">
        <v>1477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705</v>
      </c>
      <c r="C53" t="s">
        <v>706</v>
      </c>
      <c r="D53">
        <v>0</v>
      </c>
    </row>
    <row r="54" spans="1:4" x14ac:dyDescent="0.3">
      <c r="A54" t="s">
        <v>9</v>
      </c>
      <c r="B54" t="s">
        <v>708</v>
      </c>
      <c r="C54" t="s">
        <v>709</v>
      </c>
      <c r="D54">
        <v>0</v>
      </c>
    </row>
    <row r="55" spans="1:4" x14ac:dyDescent="0.3">
      <c r="A55" t="s">
        <v>9</v>
      </c>
      <c r="B55" t="s">
        <v>887</v>
      </c>
      <c r="C55" t="s">
        <v>888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862</v>
      </c>
      <c r="C57" t="s">
        <v>863</v>
      </c>
      <c r="D57">
        <v>0</v>
      </c>
    </row>
    <row r="58" spans="1:4" x14ac:dyDescent="0.3">
      <c r="A58" t="s">
        <v>9</v>
      </c>
      <c r="B58" t="s">
        <v>713</v>
      </c>
      <c r="C58" t="s">
        <v>714</v>
      </c>
      <c r="D58">
        <v>0</v>
      </c>
    </row>
    <row r="59" spans="1:4" x14ac:dyDescent="0.3">
      <c r="A59" t="s">
        <v>9</v>
      </c>
      <c r="B59" t="s">
        <v>718</v>
      </c>
      <c r="C59" t="s">
        <v>719</v>
      </c>
      <c r="D59">
        <v>0</v>
      </c>
    </row>
    <row r="60" spans="1:4" x14ac:dyDescent="0.3">
      <c r="A60" t="s">
        <v>82</v>
      </c>
      <c r="B60" t="s">
        <v>1107</v>
      </c>
      <c r="C60" t="s">
        <v>1108</v>
      </c>
      <c r="D60">
        <v>0</v>
      </c>
    </row>
    <row r="61" spans="1:4" x14ac:dyDescent="0.3">
      <c r="A61" t="s">
        <v>82</v>
      </c>
      <c r="B61" t="s">
        <v>1283</v>
      </c>
      <c r="C61" t="s">
        <v>1284</v>
      </c>
      <c r="D61">
        <v>0</v>
      </c>
    </row>
    <row r="62" spans="1:4" x14ac:dyDescent="0.3">
      <c r="A62" t="s">
        <v>82</v>
      </c>
      <c r="B62" t="s">
        <v>1287</v>
      </c>
      <c r="C62" t="s">
        <v>1288</v>
      </c>
      <c r="D62">
        <v>0</v>
      </c>
    </row>
    <row r="63" spans="1:4" x14ac:dyDescent="0.3">
      <c r="A63" t="s">
        <v>82</v>
      </c>
      <c r="B63" t="s">
        <v>83</v>
      </c>
      <c r="C63" t="s">
        <v>721</v>
      </c>
      <c r="D63">
        <v>0</v>
      </c>
    </row>
    <row r="64" spans="1:4" x14ac:dyDescent="0.3">
      <c r="A64" t="s">
        <v>82</v>
      </c>
      <c r="B64" t="s">
        <v>672</v>
      </c>
      <c r="C64" t="s">
        <v>673</v>
      </c>
      <c r="D64">
        <v>0</v>
      </c>
    </row>
    <row r="65" spans="1:4" x14ac:dyDescent="0.3">
      <c r="A65" t="s">
        <v>82</v>
      </c>
      <c r="B65" t="s">
        <v>1305</v>
      </c>
      <c r="C65" t="s">
        <v>1306</v>
      </c>
      <c r="D65">
        <v>0</v>
      </c>
    </row>
    <row r="66" spans="1:4" x14ac:dyDescent="0.3">
      <c r="A66" t="s">
        <v>82</v>
      </c>
      <c r="B66" t="s">
        <v>1536</v>
      </c>
      <c r="C66" t="s">
        <v>1540</v>
      </c>
      <c r="D66">
        <v>0</v>
      </c>
    </row>
    <row r="67" spans="1:4" x14ac:dyDescent="0.3">
      <c r="A67" t="s">
        <v>82</v>
      </c>
      <c r="B67" t="s">
        <v>1347</v>
      </c>
      <c r="C67" t="s">
        <v>1348</v>
      </c>
      <c r="D67">
        <v>0</v>
      </c>
    </row>
    <row r="68" spans="1:4" x14ac:dyDescent="0.3">
      <c r="A68" t="s">
        <v>82</v>
      </c>
      <c r="B68" t="s">
        <v>1350</v>
      </c>
      <c r="C68" t="s">
        <v>1351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722</v>
      </c>
      <c r="C70" t="s">
        <v>724</v>
      </c>
      <c r="D70">
        <v>0</v>
      </c>
    </row>
    <row r="71" spans="1:4" x14ac:dyDescent="0.3">
      <c r="A71" t="s">
        <v>861</v>
      </c>
      <c r="B71" t="s">
        <v>728</v>
      </c>
      <c r="C71" t="s">
        <v>730</v>
      </c>
      <c r="D71">
        <v>0</v>
      </c>
    </row>
    <row r="72" spans="1:4" x14ac:dyDescent="0.3">
      <c r="A72" t="s">
        <v>676</v>
      </c>
      <c r="B72" t="s">
        <v>327</v>
      </c>
      <c r="C72" t="s">
        <v>329</v>
      </c>
      <c r="D72">
        <v>0</v>
      </c>
    </row>
    <row r="73" spans="1:4" x14ac:dyDescent="0.3">
      <c r="A73" t="s">
        <v>676</v>
      </c>
      <c r="B73" t="s">
        <v>1015</v>
      </c>
      <c r="C73" t="s">
        <v>1017</v>
      </c>
      <c r="D73">
        <v>0</v>
      </c>
    </row>
    <row r="74" spans="1:4" x14ac:dyDescent="0.3">
      <c r="A74" t="s">
        <v>676</v>
      </c>
      <c r="B74" t="s">
        <v>725</v>
      </c>
      <c r="C74" t="s">
        <v>727</v>
      </c>
      <c r="D74">
        <v>0</v>
      </c>
    </row>
    <row r="75" spans="1:4" x14ac:dyDescent="0.3">
      <c r="A75" t="s">
        <v>676</v>
      </c>
      <c r="B75" t="s">
        <v>330</v>
      </c>
      <c r="C75" t="s">
        <v>332</v>
      </c>
      <c r="D75">
        <v>0</v>
      </c>
    </row>
    <row r="76" spans="1:4" x14ac:dyDescent="0.3">
      <c r="A76" t="s">
        <v>676</v>
      </c>
      <c r="B76" t="s">
        <v>677</v>
      </c>
      <c r="C76" t="s">
        <v>678</v>
      </c>
      <c r="D76">
        <v>0</v>
      </c>
    </row>
    <row r="77" spans="1:4" x14ac:dyDescent="0.3">
      <c r="A77" t="s">
        <v>676</v>
      </c>
      <c r="B77" t="s">
        <v>1109</v>
      </c>
      <c r="C77" t="s">
        <v>1111</v>
      </c>
      <c r="D77">
        <v>0</v>
      </c>
    </row>
    <row r="78" spans="1:4" x14ac:dyDescent="0.3">
      <c r="A78" t="s">
        <v>676</v>
      </c>
      <c r="B78" t="s">
        <v>890</v>
      </c>
      <c r="C78" t="s">
        <v>892</v>
      </c>
      <c r="D78">
        <v>0</v>
      </c>
    </row>
    <row r="79" spans="1:4" x14ac:dyDescent="0.3">
      <c r="A79" t="s">
        <v>676</v>
      </c>
      <c r="B79" t="s">
        <v>334</v>
      </c>
      <c r="C79" t="s">
        <v>336</v>
      </c>
      <c r="D79">
        <v>0</v>
      </c>
    </row>
    <row r="80" spans="1:4" x14ac:dyDescent="0.3">
      <c r="A80" t="s">
        <v>676</v>
      </c>
      <c r="B80" t="s">
        <v>1018</v>
      </c>
      <c r="C80" t="s">
        <v>1019</v>
      </c>
      <c r="D80">
        <v>0</v>
      </c>
    </row>
    <row r="81" spans="1:4" x14ac:dyDescent="0.3">
      <c r="A81" t="s">
        <v>676</v>
      </c>
      <c r="B81" t="s">
        <v>1479</v>
      </c>
      <c r="C81" t="s">
        <v>1480</v>
      </c>
      <c r="D81">
        <v>0</v>
      </c>
    </row>
    <row r="82" spans="1:4" x14ac:dyDescent="0.3">
      <c r="A82" t="s">
        <v>676</v>
      </c>
      <c r="B82" t="s">
        <v>337</v>
      </c>
      <c r="C82" t="s">
        <v>338</v>
      </c>
      <c r="D82">
        <v>0</v>
      </c>
    </row>
    <row r="83" spans="1:4" x14ac:dyDescent="0.3">
      <c r="A83" t="s">
        <v>676</v>
      </c>
      <c r="B83" t="s">
        <v>1059</v>
      </c>
      <c r="C83" t="s">
        <v>1062</v>
      </c>
      <c r="D83">
        <v>0</v>
      </c>
    </row>
    <row r="84" spans="1:4" x14ac:dyDescent="0.3">
      <c r="A84" t="s">
        <v>676</v>
      </c>
      <c r="B84" t="s">
        <v>679</v>
      </c>
      <c r="C84" t="s">
        <v>680</v>
      </c>
      <c r="D84">
        <v>0</v>
      </c>
    </row>
    <row r="85" spans="1:4" x14ac:dyDescent="0.3">
      <c r="A85" t="s">
        <v>676</v>
      </c>
      <c r="B85" t="s">
        <v>776</v>
      </c>
      <c r="C85" t="s">
        <v>777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1437</v>
      </c>
      <c r="C91" t="s">
        <v>1438</v>
      </c>
      <c r="D91">
        <v>0</v>
      </c>
    </row>
    <row r="92" spans="1:4" x14ac:dyDescent="0.3">
      <c r="A92" t="s">
        <v>101</v>
      </c>
      <c r="B92" t="s">
        <v>1440</v>
      </c>
      <c r="C92" t="s">
        <v>1441</v>
      </c>
      <c r="D92">
        <v>0</v>
      </c>
    </row>
    <row r="93" spans="1:4" x14ac:dyDescent="0.3">
      <c r="A93" t="s">
        <v>101</v>
      </c>
      <c r="B93" t="s">
        <v>1117</v>
      </c>
      <c r="C93" t="s">
        <v>1118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1121</v>
      </c>
      <c r="C96" t="s">
        <v>1123</v>
      </c>
      <c r="D96">
        <v>0</v>
      </c>
    </row>
    <row r="97" spans="1:4" x14ac:dyDescent="0.3">
      <c r="A97" t="s">
        <v>101</v>
      </c>
      <c r="B97" t="s">
        <v>1290</v>
      </c>
      <c r="C97" t="s">
        <v>1291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1124</v>
      </c>
      <c r="C99" t="s">
        <v>1125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1443</v>
      </c>
      <c r="C102" t="s">
        <v>1444</v>
      </c>
      <c r="D102">
        <v>0</v>
      </c>
    </row>
    <row r="103" spans="1:4" x14ac:dyDescent="0.3">
      <c r="A103" t="s">
        <v>101</v>
      </c>
      <c r="B103" t="s">
        <v>1482</v>
      </c>
      <c r="C103" t="s">
        <v>1483</v>
      </c>
      <c r="D103">
        <v>0</v>
      </c>
    </row>
    <row r="104" spans="1:4" x14ac:dyDescent="0.3">
      <c r="A104" t="s">
        <v>101</v>
      </c>
      <c r="B104" t="s">
        <v>1294</v>
      </c>
      <c r="C104" t="s">
        <v>1295</v>
      </c>
      <c r="D104">
        <v>0</v>
      </c>
    </row>
    <row r="105" spans="1:4" x14ac:dyDescent="0.3">
      <c r="A105" t="s">
        <v>101</v>
      </c>
      <c r="B105" t="s">
        <v>1297</v>
      </c>
      <c r="C105" t="s">
        <v>1298</v>
      </c>
      <c r="D105">
        <v>0</v>
      </c>
    </row>
    <row r="106" spans="1:4" x14ac:dyDescent="0.3">
      <c r="A106" t="s">
        <v>101</v>
      </c>
      <c r="B106" t="s">
        <v>1542</v>
      </c>
      <c r="C106" t="s">
        <v>1543</v>
      </c>
      <c r="D106">
        <v>0</v>
      </c>
    </row>
    <row r="107" spans="1:4" x14ac:dyDescent="0.3">
      <c r="A107" t="s">
        <v>101</v>
      </c>
      <c r="B107" t="s">
        <v>1301</v>
      </c>
      <c r="C107" t="s">
        <v>1302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1128</v>
      </c>
      <c r="C109" t="s">
        <v>1129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1362</v>
      </c>
      <c r="C111" t="s">
        <v>1364</v>
      </c>
      <c r="D111">
        <v>0</v>
      </c>
    </row>
    <row r="112" spans="1:4" x14ac:dyDescent="0.3">
      <c r="A112" t="s">
        <v>101</v>
      </c>
      <c r="B112" t="s">
        <v>893</v>
      </c>
      <c r="C112" t="s">
        <v>894</v>
      </c>
      <c r="D112">
        <v>0</v>
      </c>
    </row>
    <row r="113" spans="1:4" x14ac:dyDescent="0.3">
      <c r="A113" t="s">
        <v>101</v>
      </c>
      <c r="B113" t="s">
        <v>1365</v>
      </c>
      <c r="C113" t="s">
        <v>1366</v>
      </c>
      <c r="D113">
        <v>0</v>
      </c>
    </row>
    <row r="114" spans="1:4" x14ac:dyDescent="0.3">
      <c r="A114" t="s">
        <v>101</v>
      </c>
      <c r="B114" t="s">
        <v>1368</v>
      </c>
      <c r="C114" t="s">
        <v>1369</v>
      </c>
      <c r="D114">
        <v>0</v>
      </c>
    </row>
    <row r="115" spans="1:4" x14ac:dyDescent="0.3">
      <c r="A115" t="s">
        <v>101</v>
      </c>
      <c r="B115" t="s">
        <v>1135</v>
      </c>
      <c r="C115" t="s">
        <v>1137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1139</v>
      </c>
      <c r="C120" t="s">
        <v>1142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1308</v>
      </c>
      <c r="C122" t="s">
        <v>1309</v>
      </c>
      <c r="D122">
        <v>0</v>
      </c>
    </row>
    <row r="123" spans="1:4" x14ac:dyDescent="0.3">
      <c r="A123" t="s">
        <v>101</v>
      </c>
      <c r="B123" t="s">
        <v>1373</v>
      </c>
      <c r="C123" t="s">
        <v>1374</v>
      </c>
      <c r="D123">
        <v>0</v>
      </c>
    </row>
    <row r="124" spans="1:4" x14ac:dyDescent="0.3">
      <c r="A124" t="s">
        <v>101</v>
      </c>
      <c r="B124" t="s">
        <v>1545</v>
      </c>
      <c r="C124" t="s">
        <v>1547</v>
      </c>
      <c r="D124">
        <v>0</v>
      </c>
    </row>
    <row r="125" spans="1:4" x14ac:dyDescent="0.3">
      <c r="A125" t="s">
        <v>101</v>
      </c>
      <c r="B125" t="s">
        <v>1377</v>
      </c>
      <c r="C125" t="s">
        <v>1379</v>
      </c>
      <c r="D125">
        <v>0</v>
      </c>
    </row>
    <row r="126" spans="1:4" x14ac:dyDescent="0.3">
      <c r="A126" t="s">
        <v>101</v>
      </c>
      <c r="B126" t="s">
        <v>865</v>
      </c>
      <c r="C126" t="s">
        <v>866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1485</v>
      </c>
      <c r="C128" t="s">
        <v>1487</v>
      </c>
      <c r="D128">
        <v>0</v>
      </c>
    </row>
    <row r="129" spans="1:4" x14ac:dyDescent="0.3">
      <c r="A129" t="s">
        <v>101</v>
      </c>
      <c r="B129" t="s">
        <v>1488</v>
      </c>
      <c r="C129" t="s">
        <v>1490</v>
      </c>
      <c r="D129">
        <v>0</v>
      </c>
    </row>
    <row r="130" spans="1:4" x14ac:dyDescent="0.3">
      <c r="A130" t="s">
        <v>101</v>
      </c>
      <c r="B130" t="s">
        <v>1380</v>
      </c>
      <c r="C130" t="s">
        <v>1382</v>
      </c>
      <c r="D130">
        <v>0</v>
      </c>
    </row>
    <row r="131" spans="1:4" x14ac:dyDescent="0.3">
      <c r="A131" t="s">
        <v>101</v>
      </c>
      <c r="B131" t="s">
        <v>1383</v>
      </c>
      <c r="C131" t="s">
        <v>1384</v>
      </c>
      <c r="D131">
        <v>0</v>
      </c>
    </row>
    <row r="132" spans="1:4" x14ac:dyDescent="0.3">
      <c r="A132" t="s">
        <v>101</v>
      </c>
      <c r="B132" t="s">
        <v>1144</v>
      </c>
      <c r="C132" t="s">
        <v>1146</v>
      </c>
      <c r="D132">
        <v>0</v>
      </c>
    </row>
    <row r="133" spans="1:4" x14ac:dyDescent="0.3">
      <c r="A133" t="s">
        <v>101</v>
      </c>
      <c r="B133" t="s">
        <v>1147</v>
      </c>
      <c r="C133" t="s">
        <v>1149</v>
      </c>
      <c r="D133">
        <v>0</v>
      </c>
    </row>
    <row r="134" spans="1:4" x14ac:dyDescent="0.3">
      <c r="A134" t="s">
        <v>101</v>
      </c>
      <c r="B134" t="s">
        <v>1446</v>
      </c>
      <c r="C134" t="s">
        <v>1449</v>
      </c>
      <c r="D134">
        <v>0</v>
      </c>
    </row>
    <row r="135" spans="1:4" x14ac:dyDescent="0.3">
      <c r="A135" t="s">
        <v>101</v>
      </c>
      <c r="B135" t="s">
        <v>1446</v>
      </c>
      <c r="C135" t="s">
        <v>1491</v>
      </c>
      <c r="D135">
        <v>0</v>
      </c>
    </row>
    <row r="136" spans="1:4" x14ac:dyDescent="0.3">
      <c r="A136" t="s">
        <v>101</v>
      </c>
      <c r="B136" t="s">
        <v>1150</v>
      </c>
      <c r="C136" t="s">
        <v>1151</v>
      </c>
      <c r="D136">
        <v>0</v>
      </c>
    </row>
    <row r="137" spans="1:4" x14ac:dyDescent="0.3">
      <c r="A137" t="s">
        <v>101</v>
      </c>
      <c r="B137" t="s">
        <v>1153</v>
      </c>
      <c r="C137" t="s">
        <v>1154</v>
      </c>
      <c r="D137">
        <v>0</v>
      </c>
    </row>
    <row r="138" spans="1:4" x14ac:dyDescent="0.3">
      <c r="A138" t="s">
        <v>101</v>
      </c>
      <c r="B138" t="s">
        <v>143</v>
      </c>
      <c r="C138" t="s">
        <v>144</v>
      </c>
      <c r="D138">
        <v>0</v>
      </c>
    </row>
    <row r="139" spans="1:4" x14ac:dyDescent="0.3">
      <c r="A139" t="s">
        <v>101</v>
      </c>
      <c r="B139" t="s">
        <v>146</v>
      </c>
      <c r="C139" t="s">
        <v>147</v>
      </c>
      <c r="D139">
        <v>0</v>
      </c>
    </row>
    <row r="140" spans="1:4" x14ac:dyDescent="0.3">
      <c r="A140" t="s">
        <v>101</v>
      </c>
      <c r="B140" t="s">
        <v>149</v>
      </c>
      <c r="C140" t="s">
        <v>151</v>
      </c>
      <c r="D140">
        <v>0</v>
      </c>
    </row>
    <row r="141" spans="1:4" x14ac:dyDescent="0.3">
      <c r="A141" t="s">
        <v>101</v>
      </c>
      <c r="B141" t="s">
        <v>1450</v>
      </c>
      <c r="C141" t="s">
        <v>1452</v>
      </c>
      <c r="D141">
        <v>0</v>
      </c>
    </row>
    <row r="142" spans="1:4" x14ac:dyDescent="0.3">
      <c r="A142" t="s">
        <v>101</v>
      </c>
      <c r="B142" t="s">
        <v>1357</v>
      </c>
      <c r="C142" t="s">
        <v>1358</v>
      </c>
      <c r="D142">
        <v>0</v>
      </c>
    </row>
    <row r="143" spans="1:4" x14ac:dyDescent="0.3">
      <c r="A143" t="s">
        <v>101</v>
      </c>
      <c r="B143" t="s">
        <v>1312</v>
      </c>
      <c r="C143" t="s">
        <v>1315</v>
      </c>
      <c r="D143">
        <v>0</v>
      </c>
    </row>
    <row r="144" spans="1:4" x14ac:dyDescent="0.3">
      <c r="A144" t="s">
        <v>101</v>
      </c>
      <c r="B144" t="s">
        <v>152</v>
      </c>
      <c r="C144" t="s">
        <v>153</v>
      </c>
      <c r="D144">
        <v>0</v>
      </c>
    </row>
    <row r="145" spans="1:4" x14ac:dyDescent="0.3">
      <c r="A145" t="s">
        <v>101</v>
      </c>
      <c r="B145" t="s">
        <v>1063</v>
      </c>
      <c r="C145" t="s">
        <v>1064</v>
      </c>
      <c r="D145">
        <v>0</v>
      </c>
    </row>
    <row r="146" spans="1:4" x14ac:dyDescent="0.3">
      <c r="A146" t="s">
        <v>101</v>
      </c>
      <c r="B146" t="s">
        <v>155</v>
      </c>
      <c r="C146" t="s">
        <v>156</v>
      </c>
      <c r="D146">
        <v>0</v>
      </c>
    </row>
    <row r="147" spans="1:4" x14ac:dyDescent="0.3">
      <c r="A147" t="s">
        <v>101</v>
      </c>
      <c r="B147" t="s">
        <v>1316</v>
      </c>
      <c r="C147" t="s">
        <v>1317</v>
      </c>
      <c r="D147">
        <v>0</v>
      </c>
    </row>
    <row r="148" spans="1:4" x14ac:dyDescent="0.3">
      <c r="A148" t="s">
        <v>101</v>
      </c>
      <c r="B148" t="s">
        <v>1156</v>
      </c>
      <c r="C148" t="s">
        <v>1157</v>
      </c>
      <c r="D148">
        <v>0</v>
      </c>
    </row>
    <row r="149" spans="1:4" x14ac:dyDescent="0.3">
      <c r="A149" t="s">
        <v>101</v>
      </c>
      <c r="B149" t="s">
        <v>1453</v>
      </c>
      <c r="C149" t="s">
        <v>1321</v>
      </c>
      <c r="D149">
        <v>0</v>
      </c>
    </row>
    <row r="150" spans="1:4" x14ac:dyDescent="0.3">
      <c r="A150" t="s">
        <v>101</v>
      </c>
      <c r="B150" t="s">
        <v>733</v>
      </c>
      <c r="C150" t="s">
        <v>734</v>
      </c>
      <c r="D150">
        <v>0</v>
      </c>
    </row>
    <row r="151" spans="1:4" x14ac:dyDescent="0.3">
      <c r="A151" t="s">
        <v>101</v>
      </c>
      <c r="B151" t="s">
        <v>1323</v>
      </c>
      <c r="C151" t="s">
        <v>1324</v>
      </c>
      <c r="D151">
        <v>0</v>
      </c>
    </row>
    <row r="152" spans="1:4" x14ac:dyDescent="0.3">
      <c r="A152" t="s">
        <v>101</v>
      </c>
      <c r="B152" t="s">
        <v>1180</v>
      </c>
      <c r="C152" t="s">
        <v>1181</v>
      </c>
      <c r="D152">
        <v>0</v>
      </c>
    </row>
    <row r="153" spans="1:4" x14ac:dyDescent="0.3">
      <c r="A153" t="s">
        <v>101</v>
      </c>
      <c r="B153" t="s">
        <v>1183</v>
      </c>
      <c r="C153" t="s">
        <v>1184</v>
      </c>
      <c r="D153">
        <v>0</v>
      </c>
    </row>
    <row r="154" spans="1:4" x14ac:dyDescent="0.3">
      <c r="A154" t="s">
        <v>101</v>
      </c>
      <c r="B154" t="s">
        <v>1021</v>
      </c>
      <c r="C154" t="s">
        <v>1022</v>
      </c>
      <c r="D154">
        <v>0</v>
      </c>
    </row>
    <row r="155" spans="1:4" x14ac:dyDescent="0.3">
      <c r="A155" t="s">
        <v>101</v>
      </c>
      <c r="B155" t="s">
        <v>1186</v>
      </c>
      <c r="C155" t="s">
        <v>1187</v>
      </c>
      <c r="D155">
        <v>0</v>
      </c>
    </row>
    <row r="156" spans="1:4" x14ac:dyDescent="0.3">
      <c r="A156" t="s">
        <v>101</v>
      </c>
      <c r="B156" t="s">
        <v>1189</v>
      </c>
      <c r="C156" t="s">
        <v>1190</v>
      </c>
      <c r="D156">
        <v>0</v>
      </c>
    </row>
    <row r="157" spans="1:4" x14ac:dyDescent="0.3">
      <c r="A157" t="s">
        <v>101</v>
      </c>
      <c r="B157" t="s">
        <v>1388</v>
      </c>
      <c r="C157" t="s">
        <v>1389</v>
      </c>
      <c r="D157">
        <v>0</v>
      </c>
    </row>
    <row r="158" spans="1:4" x14ac:dyDescent="0.3">
      <c r="A158" t="s">
        <v>101</v>
      </c>
      <c r="B158" t="s">
        <v>1548</v>
      </c>
      <c r="C158" t="s">
        <v>1550</v>
      </c>
      <c r="D158">
        <v>0</v>
      </c>
    </row>
    <row r="159" spans="1:4" x14ac:dyDescent="0.3">
      <c r="A159" t="s">
        <v>101</v>
      </c>
      <c r="B159" t="s">
        <v>1394</v>
      </c>
      <c r="C159" t="s">
        <v>1396</v>
      </c>
      <c r="D159">
        <v>0</v>
      </c>
    </row>
    <row r="160" spans="1:4" x14ac:dyDescent="0.3">
      <c r="A160" t="s">
        <v>101</v>
      </c>
      <c r="B160" t="s">
        <v>159</v>
      </c>
      <c r="C160" t="s">
        <v>160</v>
      </c>
      <c r="D160">
        <v>0</v>
      </c>
    </row>
    <row r="161" spans="1:4" x14ac:dyDescent="0.3">
      <c r="A161" t="s">
        <v>163</v>
      </c>
      <c r="B161" t="s">
        <v>164</v>
      </c>
      <c r="C161" t="s">
        <v>165</v>
      </c>
      <c r="D161">
        <v>0</v>
      </c>
    </row>
    <row r="162" spans="1:4" x14ac:dyDescent="0.3">
      <c r="A162" t="s">
        <v>163</v>
      </c>
      <c r="B162" t="s">
        <v>167</v>
      </c>
      <c r="C162" t="s">
        <v>168</v>
      </c>
      <c r="D162">
        <v>0</v>
      </c>
    </row>
    <row r="163" spans="1:4" x14ac:dyDescent="0.3">
      <c r="A163" t="s">
        <v>163</v>
      </c>
      <c r="B163" t="s">
        <v>170</v>
      </c>
      <c r="C163" t="s">
        <v>171</v>
      </c>
      <c r="D163">
        <v>0</v>
      </c>
    </row>
    <row r="164" spans="1:4" x14ac:dyDescent="0.3">
      <c r="A164" t="s">
        <v>163</v>
      </c>
      <c r="B164" t="s">
        <v>739</v>
      </c>
      <c r="C164" t="s">
        <v>741</v>
      </c>
      <c r="D164">
        <v>0</v>
      </c>
    </row>
    <row r="165" spans="1:4" x14ac:dyDescent="0.3">
      <c r="A165" t="s">
        <v>163</v>
      </c>
      <c r="B165" t="s">
        <v>173</v>
      </c>
      <c r="C165" t="s">
        <v>175</v>
      </c>
      <c r="D165">
        <v>0</v>
      </c>
    </row>
    <row r="166" spans="1:4" x14ac:dyDescent="0.3">
      <c r="A166" t="s">
        <v>163</v>
      </c>
      <c r="B166" t="s">
        <v>176</v>
      </c>
      <c r="C166" t="s">
        <v>178</v>
      </c>
      <c r="D166">
        <v>0</v>
      </c>
    </row>
    <row r="167" spans="1:4" x14ac:dyDescent="0.3">
      <c r="A167" t="s">
        <v>163</v>
      </c>
      <c r="B167" t="s">
        <v>179</v>
      </c>
      <c r="C167" t="s">
        <v>181</v>
      </c>
      <c r="D167">
        <v>0</v>
      </c>
    </row>
    <row r="168" spans="1:4" x14ac:dyDescent="0.3">
      <c r="A168" t="s">
        <v>668</v>
      </c>
      <c r="B168" t="s">
        <v>686</v>
      </c>
      <c r="C168" t="s">
        <v>686</v>
      </c>
      <c r="D168">
        <v>0</v>
      </c>
    </row>
    <row r="169" spans="1:4" x14ac:dyDescent="0.3">
      <c r="A169" t="s">
        <v>182</v>
      </c>
      <c r="B169" t="s">
        <v>779</v>
      </c>
      <c r="C169" t="s">
        <v>780</v>
      </c>
      <c r="D169">
        <v>0</v>
      </c>
    </row>
    <row r="170" spans="1:4" x14ac:dyDescent="0.3">
      <c r="A170" t="s">
        <v>182</v>
      </c>
      <c r="B170" t="s">
        <v>1454</v>
      </c>
      <c r="C170" t="s">
        <v>1455</v>
      </c>
      <c r="D170">
        <v>0</v>
      </c>
    </row>
    <row r="171" spans="1:4" x14ac:dyDescent="0.3">
      <c r="A171" t="s">
        <v>182</v>
      </c>
      <c r="B171" t="s">
        <v>1457</v>
      </c>
      <c r="C171" t="s">
        <v>1458</v>
      </c>
      <c r="D171">
        <v>0</v>
      </c>
    </row>
    <row r="172" spans="1:4" x14ac:dyDescent="0.3">
      <c r="A172" t="s">
        <v>182</v>
      </c>
      <c r="B172" t="s">
        <v>1460</v>
      </c>
      <c r="C172" t="s">
        <v>1461</v>
      </c>
      <c r="D172">
        <v>0</v>
      </c>
    </row>
    <row r="173" spans="1:4" x14ac:dyDescent="0.3">
      <c r="A173" t="s">
        <v>182</v>
      </c>
      <c r="B173" t="s">
        <v>782</v>
      </c>
      <c r="C173" t="s">
        <v>783</v>
      </c>
      <c r="D173">
        <v>0</v>
      </c>
    </row>
    <row r="174" spans="1:4" x14ac:dyDescent="0.3">
      <c r="A174" t="s">
        <v>182</v>
      </c>
      <c r="B174" t="s">
        <v>183</v>
      </c>
      <c r="C174" t="s">
        <v>184</v>
      </c>
      <c r="D174">
        <v>0</v>
      </c>
    </row>
    <row r="175" spans="1:4" x14ac:dyDescent="0.3">
      <c r="A175" t="s">
        <v>182</v>
      </c>
      <c r="B175" t="s">
        <v>188</v>
      </c>
      <c r="C175" t="s">
        <v>189</v>
      </c>
      <c r="D175">
        <v>0</v>
      </c>
    </row>
    <row r="176" spans="1:4" x14ac:dyDescent="0.3">
      <c r="A176" t="s">
        <v>182</v>
      </c>
      <c r="B176" t="s">
        <v>192</v>
      </c>
      <c r="C176" t="s">
        <v>194</v>
      </c>
      <c r="D176">
        <v>0</v>
      </c>
    </row>
    <row r="177" spans="1:4" x14ac:dyDescent="0.3">
      <c r="A177" t="s">
        <v>182</v>
      </c>
      <c r="B177" t="s">
        <v>1353</v>
      </c>
      <c r="C177" t="s">
        <v>1355</v>
      </c>
      <c r="D177">
        <v>0</v>
      </c>
    </row>
    <row r="178" spans="1:4" x14ac:dyDescent="0.3">
      <c r="A178" t="s">
        <v>182</v>
      </c>
      <c r="B178" t="s">
        <v>1112</v>
      </c>
      <c r="C178" t="s">
        <v>1114</v>
      </c>
      <c r="D178">
        <v>0</v>
      </c>
    </row>
    <row r="179" spans="1:4" x14ac:dyDescent="0.3">
      <c r="A179" t="s">
        <v>182</v>
      </c>
      <c r="B179" t="s">
        <v>900</v>
      </c>
      <c r="C179" t="s">
        <v>902</v>
      </c>
      <c r="D179">
        <v>0</v>
      </c>
    </row>
    <row r="180" spans="1:4" x14ac:dyDescent="0.3">
      <c r="A180" t="s">
        <v>182</v>
      </c>
      <c r="B180" t="s">
        <v>1464</v>
      </c>
      <c r="C180" t="s">
        <v>1356</v>
      </c>
      <c r="D180">
        <v>0</v>
      </c>
    </row>
    <row r="181" spans="1:4" x14ac:dyDescent="0.3">
      <c r="A181" t="s">
        <v>182</v>
      </c>
      <c r="B181" t="s">
        <v>989</v>
      </c>
      <c r="C181" t="s">
        <v>991</v>
      </c>
      <c r="D181">
        <v>0</v>
      </c>
    </row>
    <row r="182" spans="1:4" x14ac:dyDescent="0.3">
      <c r="A182" t="s">
        <v>182</v>
      </c>
      <c r="B182" t="s">
        <v>1215</v>
      </c>
      <c r="C182" t="s">
        <v>1217</v>
      </c>
      <c r="D182">
        <v>0</v>
      </c>
    </row>
    <row r="183" spans="1:4" x14ac:dyDescent="0.3">
      <c r="A183" t="s">
        <v>182</v>
      </c>
      <c r="B183" t="s">
        <v>195</v>
      </c>
      <c r="C183" t="s">
        <v>197</v>
      </c>
      <c r="D183">
        <v>0</v>
      </c>
    </row>
    <row r="184" spans="1:4" x14ac:dyDescent="0.3">
      <c r="A184" t="s">
        <v>182</v>
      </c>
      <c r="B184" t="s">
        <v>198</v>
      </c>
      <c r="C184" t="s">
        <v>200</v>
      </c>
      <c r="D184">
        <v>0</v>
      </c>
    </row>
    <row r="185" spans="1:4" x14ac:dyDescent="0.3">
      <c r="A185" t="s">
        <v>182</v>
      </c>
      <c r="B185" t="s">
        <v>201</v>
      </c>
      <c r="C185" t="s">
        <v>202</v>
      </c>
      <c r="D185">
        <v>0</v>
      </c>
    </row>
    <row r="186" spans="1:4" x14ac:dyDescent="0.3">
      <c r="A186" t="s">
        <v>182</v>
      </c>
      <c r="B186" t="s">
        <v>204</v>
      </c>
      <c r="C186" t="s">
        <v>205</v>
      </c>
      <c r="D186">
        <v>0</v>
      </c>
    </row>
    <row r="187" spans="1:4" x14ac:dyDescent="0.3">
      <c r="A187" t="s">
        <v>182</v>
      </c>
      <c r="B187" t="s">
        <v>207</v>
      </c>
      <c r="C187" t="s">
        <v>208</v>
      </c>
      <c r="D187">
        <v>0</v>
      </c>
    </row>
    <row r="188" spans="1:4" x14ac:dyDescent="0.3">
      <c r="A188" t="s">
        <v>182</v>
      </c>
      <c r="B188" t="s">
        <v>210</v>
      </c>
      <c r="C188" t="s">
        <v>219</v>
      </c>
      <c r="D188">
        <v>0</v>
      </c>
    </row>
    <row r="189" spans="1:4" x14ac:dyDescent="0.3">
      <c r="A189" t="s">
        <v>182</v>
      </c>
      <c r="B189" t="s">
        <v>220</v>
      </c>
      <c r="C189" t="s">
        <v>229</v>
      </c>
      <c r="D189">
        <v>0</v>
      </c>
    </row>
    <row r="190" spans="1:4" x14ac:dyDescent="0.3">
      <c r="A190" t="s">
        <v>182</v>
      </c>
      <c r="B190" t="s">
        <v>230</v>
      </c>
      <c r="C190" t="s">
        <v>231</v>
      </c>
      <c r="D190">
        <v>0</v>
      </c>
    </row>
    <row r="191" spans="1:4" x14ac:dyDescent="0.3">
      <c r="A191" t="s">
        <v>182</v>
      </c>
      <c r="B191" t="s">
        <v>742</v>
      </c>
      <c r="C191" t="s">
        <v>744</v>
      </c>
      <c r="D191">
        <v>0</v>
      </c>
    </row>
    <row r="192" spans="1:4" x14ac:dyDescent="0.3">
      <c r="A192" t="s">
        <v>646</v>
      </c>
      <c r="B192" t="s">
        <v>647</v>
      </c>
      <c r="C192" t="s">
        <v>651</v>
      </c>
      <c r="D192">
        <v>0</v>
      </c>
    </row>
    <row r="193" spans="1:4" x14ac:dyDescent="0.3">
      <c r="A193" t="s">
        <v>646</v>
      </c>
      <c r="B193" t="s">
        <v>1466</v>
      </c>
      <c r="C193" t="s">
        <v>1467</v>
      </c>
      <c r="D193">
        <v>0</v>
      </c>
    </row>
    <row r="194" spans="1:4" x14ac:dyDescent="0.3">
      <c r="A194" t="s">
        <v>233</v>
      </c>
      <c r="B194" t="s">
        <v>234</v>
      </c>
      <c r="C194" t="s">
        <v>235</v>
      </c>
      <c r="D194">
        <v>0</v>
      </c>
    </row>
    <row r="195" spans="1:4" x14ac:dyDescent="0.3">
      <c r="A195" t="s">
        <v>233</v>
      </c>
      <c r="B195" t="s">
        <v>1558</v>
      </c>
      <c r="C195" t="s">
        <v>1559</v>
      </c>
      <c r="D195">
        <v>0</v>
      </c>
    </row>
    <row r="196" spans="1:4" x14ac:dyDescent="0.3">
      <c r="A196" t="s">
        <v>233</v>
      </c>
      <c r="B196" t="s">
        <v>237</v>
      </c>
      <c r="C196" t="s">
        <v>239</v>
      </c>
      <c r="D196">
        <v>0</v>
      </c>
    </row>
    <row r="197" spans="1:4" x14ac:dyDescent="0.3">
      <c r="A197" t="s">
        <v>233</v>
      </c>
      <c r="B197" t="s">
        <v>240</v>
      </c>
      <c r="C197" t="s">
        <v>242</v>
      </c>
      <c r="D197">
        <v>0</v>
      </c>
    </row>
    <row r="198" spans="1:4" x14ac:dyDescent="0.3">
      <c r="A198" t="s">
        <v>233</v>
      </c>
      <c r="B198" t="s">
        <v>243</v>
      </c>
      <c r="C198" t="s">
        <v>246</v>
      </c>
      <c r="D198">
        <v>0</v>
      </c>
    </row>
    <row r="199" spans="1:4" x14ac:dyDescent="0.3">
      <c r="A199" t="s">
        <v>233</v>
      </c>
      <c r="B199" t="s">
        <v>247</v>
      </c>
      <c r="C199" t="s">
        <v>249</v>
      </c>
      <c r="D199">
        <v>0</v>
      </c>
    </row>
    <row r="200" spans="1:4" x14ac:dyDescent="0.3">
      <c r="A200" t="s">
        <v>233</v>
      </c>
      <c r="B200" t="s">
        <v>250</v>
      </c>
      <c r="C200" t="s">
        <v>252</v>
      </c>
      <c r="D200">
        <v>0</v>
      </c>
    </row>
    <row r="201" spans="1:4" x14ac:dyDescent="0.3">
      <c r="A201" t="s">
        <v>233</v>
      </c>
      <c r="B201" t="s">
        <v>253</v>
      </c>
      <c r="C201" t="s">
        <v>254</v>
      </c>
      <c r="D201">
        <v>0</v>
      </c>
    </row>
    <row r="202" spans="1:4" x14ac:dyDescent="0.3">
      <c r="A202" t="s">
        <v>233</v>
      </c>
      <c r="B202" t="s">
        <v>867</v>
      </c>
      <c r="C202" t="s">
        <v>868</v>
      </c>
      <c r="D202">
        <v>0</v>
      </c>
    </row>
    <row r="203" spans="1:4" x14ac:dyDescent="0.3">
      <c r="A203" t="s">
        <v>256</v>
      </c>
      <c r="B203" t="s">
        <v>257</v>
      </c>
      <c r="C203" t="s">
        <v>258</v>
      </c>
      <c r="D203">
        <v>0</v>
      </c>
    </row>
    <row r="204" spans="1:4" x14ac:dyDescent="0.3">
      <c r="A204" t="s">
        <v>256</v>
      </c>
      <c r="B204" t="s">
        <v>905</v>
      </c>
      <c r="C204" t="s">
        <v>906</v>
      </c>
      <c r="D204">
        <v>0</v>
      </c>
    </row>
    <row r="205" spans="1:4" x14ac:dyDescent="0.3">
      <c r="A205" t="s">
        <v>256</v>
      </c>
      <c r="B205" t="s">
        <v>1218</v>
      </c>
      <c r="C205" t="s">
        <v>1219</v>
      </c>
      <c r="D205">
        <v>0</v>
      </c>
    </row>
    <row r="206" spans="1:4" x14ac:dyDescent="0.3">
      <c r="A206" t="s">
        <v>256</v>
      </c>
      <c r="B206" t="s">
        <v>269</v>
      </c>
      <c r="C206" t="s">
        <v>270</v>
      </c>
      <c r="D206">
        <v>0</v>
      </c>
    </row>
    <row r="207" spans="1:4" x14ac:dyDescent="0.3">
      <c r="A207" t="s">
        <v>256</v>
      </c>
      <c r="B207" t="s">
        <v>271</v>
      </c>
      <c r="C207" t="s">
        <v>272</v>
      </c>
      <c r="D207">
        <v>0</v>
      </c>
    </row>
    <row r="208" spans="1:4" x14ac:dyDescent="0.3">
      <c r="A208" t="s">
        <v>256</v>
      </c>
      <c r="B208" t="s">
        <v>274</v>
      </c>
      <c r="C208" t="s">
        <v>275</v>
      </c>
      <c r="D208">
        <v>0</v>
      </c>
    </row>
    <row r="209" spans="1:4" x14ac:dyDescent="0.3">
      <c r="A209" t="s">
        <v>256</v>
      </c>
      <c r="B209" t="s">
        <v>870</v>
      </c>
      <c r="C209" t="s">
        <v>871</v>
      </c>
      <c r="D209">
        <v>0</v>
      </c>
    </row>
    <row r="210" spans="1:4" x14ac:dyDescent="0.3">
      <c r="A210" t="s">
        <v>256</v>
      </c>
      <c r="B210" t="s">
        <v>277</v>
      </c>
      <c r="C210" t="s">
        <v>279</v>
      </c>
      <c r="D210">
        <v>0</v>
      </c>
    </row>
    <row r="211" spans="1:4" x14ac:dyDescent="0.3">
      <c r="A211" t="s">
        <v>256</v>
      </c>
      <c r="B211" t="s">
        <v>1024</v>
      </c>
      <c r="C211" t="s">
        <v>1025</v>
      </c>
      <c r="D211">
        <v>0</v>
      </c>
    </row>
    <row r="212" spans="1:4" x14ac:dyDescent="0.3">
      <c r="A212" t="s">
        <v>256</v>
      </c>
      <c r="B212" t="s">
        <v>1494</v>
      </c>
      <c r="C212" t="s">
        <v>1497</v>
      </c>
      <c r="D212">
        <v>0</v>
      </c>
    </row>
    <row r="213" spans="1:4" x14ac:dyDescent="0.3">
      <c r="A213" t="s">
        <v>256</v>
      </c>
      <c r="B213" t="s">
        <v>1498</v>
      </c>
      <c r="C213" t="s">
        <v>1500</v>
      </c>
      <c r="D213">
        <v>0</v>
      </c>
    </row>
    <row r="214" spans="1:4" x14ac:dyDescent="0.3">
      <c r="A214" t="s">
        <v>256</v>
      </c>
      <c r="B214" t="s">
        <v>930</v>
      </c>
      <c r="C214" t="s">
        <v>932</v>
      </c>
      <c r="D214">
        <v>0</v>
      </c>
    </row>
    <row r="215" spans="1:4" x14ac:dyDescent="0.3">
      <c r="A215" t="s">
        <v>256</v>
      </c>
      <c r="B215" t="s">
        <v>280</v>
      </c>
      <c r="C215" t="s">
        <v>281</v>
      </c>
      <c r="D215">
        <v>0</v>
      </c>
    </row>
    <row r="216" spans="1:4" x14ac:dyDescent="0.3">
      <c r="A216" t="s">
        <v>256</v>
      </c>
      <c r="B216" t="s">
        <v>1561</v>
      </c>
      <c r="C216" t="s">
        <v>1580</v>
      </c>
      <c r="D216">
        <v>0</v>
      </c>
    </row>
    <row r="217" spans="1:4" x14ac:dyDescent="0.3">
      <c r="A217" t="s">
        <v>256</v>
      </c>
      <c r="B217" t="s">
        <v>283</v>
      </c>
      <c r="C217" t="s">
        <v>663</v>
      </c>
      <c r="D217">
        <v>0</v>
      </c>
    </row>
    <row r="218" spans="1:4" x14ac:dyDescent="0.3">
      <c r="A218" t="s">
        <v>256</v>
      </c>
      <c r="B218" t="s">
        <v>284</v>
      </c>
      <c r="C218" t="s">
        <v>285</v>
      </c>
      <c r="D218">
        <v>0</v>
      </c>
    </row>
    <row r="219" spans="1:4" x14ac:dyDescent="0.3">
      <c r="A219" t="s">
        <v>256</v>
      </c>
      <c r="B219" t="s">
        <v>287</v>
      </c>
      <c r="C219" t="s">
        <v>288</v>
      </c>
      <c r="D219">
        <v>0</v>
      </c>
    </row>
    <row r="220" spans="1:4" x14ac:dyDescent="0.3">
      <c r="A220" t="s">
        <v>256</v>
      </c>
      <c r="B220" t="s">
        <v>290</v>
      </c>
      <c r="C220" t="s">
        <v>291</v>
      </c>
      <c r="D220">
        <v>0</v>
      </c>
    </row>
    <row r="221" spans="1:4" x14ac:dyDescent="0.3">
      <c r="A221" t="s">
        <v>256</v>
      </c>
      <c r="B221" t="s">
        <v>293</v>
      </c>
      <c r="C221" t="s">
        <v>294</v>
      </c>
      <c r="D221">
        <v>0</v>
      </c>
    </row>
    <row r="222" spans="1:4" x14ac:dyDescent="0.3">
      <c r="A222" t="s">
        <v>256</v>
      </c>
      <c r="B222" t="s">
        <v>1030</v>
      </c>
      <c r="C222" t="s">
        <v>1031</v>
      </c>
      <c r="D222">
        <v>0</v>
      </c>
    </row>
    <row r="223" spans="1:4" x14ac:dyDescent="0.3">
      <c r="A223" t="s">
        <v>256</v>
      </c>
      <c r="B223" t="s">
        <v>852</v>
      </c>
      <c r="C223" t="s">
        <v>853</v>
      </c>
      <c r="D223">
        <v>0</v>
      </c>
    </row>
    <row r="224" spans="1:4" x14ac:dyDescent="0.3">
      <c r="A224" t="s">
        <v>256</v>
      </c>
      <c r="B224" t="s">
        <v>873</v>
      </c>
      <c r="C224" t="s">
        <v>874</v>
      </c>
      <c r="D224">
        <v>0</v>
      </c>
    </row>
    <row r="225" spans="1:4" x14ac:dyDescent="0.3">
      <c r="A225" t="s">
        <v>256</v>
      </c>
      <c r="B225" t="s">
        <v>876</v>
      </c>
      <c r="C225" t="s">
        <v>877</v>
      </c>
      <c r="D225">
        <v>0</v>
      </c>
    </row>
    <row r="226" spans="1:4" x14ac:dyDescent="0.3">
      <c r="A226" t="s">
        <v>745</v>
      </c>
      <c r="B226" t="s">
        <v>1471</v>
      </c>
      <c r="C226" t="s">
        <v>1473</v>
      </c>
      <c r="D226">
        <v>0</v>
      </c>
    </row>
    <row r="227" spans="1:4" x14ac:dyDescent="0.3">
      <c r="A227" t="s">
        <v>745</v>
      </c>
      <c r="B227" t="s">
        <v>1033</v>
      </c>
      <c r="C227" t="s">
        <v>1034</v>
      </c>
      <c r="D227">
        <v>0</v>
      </c>
    </row>
    <row r="228" spans="1:4" x14ac:dyDescent="0.3">
      <c r="A228" t="s">
        <v>745</v>
      </c>
      <c r="B228" t="s">
        <v>1400</v>
      </c>
      <c r="C228" t="s">
        <v>1401</v>
      </c>
      <c r="D228">
        <v>0</v>
      </c>
    </row>
    <row r="229" spans="1:4" x14ac:dyDescent="0.3">
      <c r="A229" t="s">
        <v>745</v>
      </c>
      <c r="B229" t="s">
        <v>746</v>
      </c>
      <c r="C229" t="s">
        <v>747</v>
      </c>
      <c r="D229">
        <v>0</v>
      </c>
    </row>
    <row r="230" spans="1:4" x14ac:dyDescent="0.3">
      <c r="A230" t="s">
        <v>745</v>
      </c>
      <c r="B230" t="s">
        <v>749</v>
      </c>
      <c r="C230" t="s">
        <v>750</v>
      </c>
      <c r="D230">
        <v>0</v>
      </c>
    </row>
    <row r="231" spans="1:4" x14ac:dyDescent="0.3">
      <c r="A231" t="s">
        <v>745</v>
      </c>
      <c r="B231" t="s">
        <v>643</v>
      </c>
      <c r="C231" t="s">
        <v>644</v>
      </c>
      <c r="D231">
        <v>0</v>
      </c>
    </row>
    <row r="232" spans="1:4" x14ac:dyDescent="0.3">
      <c r="A232" t="s">
        <v>745</v>
      </c>
      <c r="B232" t="s">
        <v>752</v>
      </c>
      <c r="C232" t="s">
        <v>753</v>
      </c>
      <c r="D232">
        <v>0</v>
      </c>
    </row>
    <row r="233" spans="1:4" x14ac:dyDescent="0.3">
      <c r="A233" t="s">
        <v>745</v>
      </c>
      <c r="B233" t="s">
        <v>1220</v>
      </c>
      <c r="C233" t="s">
        <v>1221</v>
      </c>
      <c r="D233">
        <v>0</v>
      </c>
    </row>
    <row r="234" spans="1:4" x14ac:dyDescent="0.3">
      <c r="A234" t="s">
        <v>745</v>
      </c>
      <c r="B234" t="s">
        <v>755</v>
      </c>
      <c r="C234" t="s">
        <v>756</v>
      </c>
      <c r="D234">
        <v>0</v>
      </c>
    </row>
    <row r="235" spans="1:4" x14ac:dyDescent="0.3">
      <c r="A235" t="s">
        <v>745</v>
      </c>
      <c r="B235" t="s">
        <v>758</v>
      </c>
      <c r="C235" t="s">
        <v>760</v>
      </c>
      <c r="D235">
        <v>0</v>
      </c>
    </row>
    <row r="236" spans="1:4" x14ac:dyDescent="0.3">
      <c r="A236" t="s">
        <v>745</v>
      </c>
      <c r="B236" t="s">
        <v>995</v>
      </c>
      <c r="C236" t="s">
        <v>996</v>
      </c>
      <c r="D236">
        <v>0</v>
      </c>
    </row>
    <row r="237" spans="1:4" x14ac:dyDescent="0.3">
      <c r="A237" t="s">
        <v>745</v>
      </c>
      <c r="B237" t="s">
        <v>855</v>
      </c>
      <c r="C237" t="s">
        <v>882</v>
      </c>
      <c r="D237">
        <v>0</v>
      </c>
    </row>
    <row r="238" spans="1:4" x14ac:dyDescent="0.3">
      <c r="A238" t="s">
        <v>745</v>
      </c>
      <c r="B238" t="s">
        <v>855</v>
      </c>
      <c r="C238" t="s">
        <v>1501</v>
      </c>
      <c r="D238">
        <v>0</v>
      </c>
    </row>
    <row r="239" spans="1:4" x14ac:dyDescent="0.3">
      <c r="A239" t="s">
        <v>745</v>
      </c>
      <c r="B239" t="s">
        <v>937</v>
      </c>
      <c r="C239" t="s">
        <v>939</v>
      </c>
      <c r="D239">
        <v>0</v>
      </c>
    </row>
    <row r="240" spans="1:4" x14ac:dyDescent="0.3">
      <c r="A240" t="s">
        <v>745</v>
      </c>
      <c r="B240" t="s">
        <v>883</v>
      </c>
      <c r="C240" t="s">
        <v>886</v>
      </c>
      <c r="D240">
        <v>0</v>
      </c>
    </row>
    <row r="241" spans="1:4" x14ac:dyDescent="0.3">
      <c r="A241" t="s">
        <v>745</v>
      </c>
      <c r="B241" t="s">
        <v>879</v>
      </c>
      <c r="C241" t="s">
        <v>880</v>
      </c>
      <c r="D241">
        <v>0</v>
      </c>
    </row>
    <row r="242" spans="1:4" x14ac:dyDescent="0.3">
      <c r="A242" t="s">
        <v>745</v>
      </c>
      <c r="B242" t="s">
        <v>784</v>
      </c>
      <c r="C242" t="s">
        <v>785</v>
      </c>
      <c r="D242">
        <v>0</v>
      </c>
    </row>
    <row r="243" spans="1:4" x14ac:dyDescent="0.3">
      <c r="A243" t="s">
        <v>745</v>
      </c>
      <c r="B243" t="s">
        <v>761</v>
      </c>
      <c r="C243" t="s">
        <v>762</v>
      </c>
      <c r="D243">
        <v>0</v>
      </c>
    </row>
    <row r="244" spans="1:4" x14ac:dyDescent="0.3">
      <c r="A244" t="s">
        <v>745</v>
      </c>
      <c r="B244" t="s">
        <v>787</v>
      </c>
      <c r="C244" t="s">
        <v>788</v>
      </c>
      <c r="D244">
        <v>0</v>
      </c>
    </row>
    <row r="245" spans="1:4" x14ac:dyDescent="0.3">
      <c r="A245" t="s">
        <v>745</v>
      </c>
      <c r="B245" t="s">
        <v>1012</v>
      </c>
      <c r="C245" t="s">
        <v>1014</v>
      </c>
      <c r="D245">
        <v>0</v>
      </c>
    </row>
    <row r="246" spans="1:4" x14ac:dyDescent="0.3">
      <c r="A246" t="s">
        <v>745</v>
      </c>
      <c r="B246" t="s">
        <v>764</v>
      </c>
      <c r="C246" t="s">
        <v>765</v>
      </c>
      <c r="D246">
        <v>0</v>
      </c>
    </row>
    <row r="247" spans="1:4" x14ac:dyDescent="0.3">
      <c r="A247" t="s">
        <v>745</v>
      </c>
      <c r="B247" t="s">
        <v>1036</v>
      </c>
      <c r="C247" t="s">
        <v>1037</v>
      </c>
      <c r="D247">
        <v>0</v>
      </c>
    </row>
    <row r="248" spans="1:4" x14ac:dyDescent="0.3">
      <c r="A248" t="s">
        <v>745</v>
      </c>
      <c r="B248" t="s">
        <v>296</v>
      </c>
      <c r="C248" t="s">
        <v>298</v>
      </c>
      <c r="D248">
        <v>0</v>
      </c>
    </row>
    <row r="249" spans="1:4" x14ac:dyDescent="0.3">
      <c r="A249" t="s">
        <v>299</v>
      </c>
      <c r="B249" t="s">
        <v>300</v>
      </c>
      <c r="C249" t="s">
        <v>301</v>
      </c>
      <c r="D249">
        <v>0</v>
      </c>
    </row>
    <row r="250" spans="1:4" x14ac:dyDescent="0.3">
      <c r="A250" t="s">
        <v>299</v>
      </c>
      <c r="B250" t="s">
        <v>303</v>
      </c>
      <c r="C250" t="s">
        <v>304</v>
      </c>
      <c r="D250">
        <v>0</v>
      </c>
    </row>
    <row r="251" spans="1:4" x14ac:dyDescent="0.3">
      <c r="A251" t="s">
        <v>299</v>
      </c>
      <c r="B251" t="s">
        <v>306</v>
      </c>
      <c r="C251" t="s">
        <v>308</v>
      </c>
      <c r="D251">
        <v>0</v>
      </c>
    </row>
    <row r="252" spans="1:4" x14ac:dyDescent="0.3">
      <c r="A252" t="s">
        <v>299</v>
      </c>
      <c r="B252" t="s">
        <v>309</v>
      </c>
      <c r="C252" t="s">
        <v>310</v>
      </c>
      <c r="D252">
        <v>0</v>
      </c>
    </row>
    <row r="253" spans="1:4" x14ac:dyDescent="0.3">
      <c r="A253" t="s">
        <v>299</v>
      </c>
      <c r="B253" t="s">
        <v>312</v>
      </c>
      <c r="C253" t="s">
        <v>313</v>
      </c>
      <c r="D253">
        <v>0</v>
      </c>
    </row>
    <row r="254" spans="1:4" x14ac:dyDescent="0.3">
      <c r="A254" t="s">
        <v>299</v>
      </c>
      <c r="B254" t="s">
        <v>315</v>
      </c>
      <c r="C254" t="s">
        <v>317</v>
      </c>
      <c r="D254">
        <v>0</v>
      </c>
    </row>
    <row r="255" spans="1:4" x14ac:dyDescent="0.3">
      <c r="A255" t="s">
        <v>299</v>
      </c>
      <c r="B255" t="s">
        <v>318</v>
      </c>
      <c r="C255" t="s">
        <v>320</v>
      </c>
      <c r="D255">
        <v>0</v>
      </c>
    </row>
    <row r="256" spans="1:4" x14ac:dyDescent="0.3">
      <c r="A256" t="s">
        <v>299</v>
      </c>
      <c r="B256" t="s">
        <v>1502</v>
      </c>
      <c r="C256" t="s">
        <v>320</v>
      </c>
      <c r="D256">
        <v>0</v>
      </c>
    </row>
    <row r="257" spans="1:4" x14ac:dyDescent="0.3">
      <c r="A257" t="s">
        <v>299</v>
      </c>
      <c r="B257" t="s">
        <v>321</v>
      </c>
      <c r="C257" t="s">
        <v>323</v>
      </c>
      <c r="D257">
        <v>0</v>
      </c>
    </row>
    <row r="258" spans="1:4" x14ac:dyDescent="0.3">
      <c r="A258" t="s">
        <v>299</v>
      </c>
      <c r="B258" t="s">
        <v>324</v>
      </c>
      <c r="C258" t="s">
        <v>325</v>
      </c>
      <c r="D258">
        <v>0</v>
      </c>
    </row>
    <row r="259" spans="1:4" x14ac:dyDescent="0.3">
      <c r="A259" t="s">
        <v>340</v>
      </c>
      <c r="B259" t="s">
        <v>1066</v>
      </c>
      <c r="C259" t="s">
        <v>1086</v>
      </c>
      <c r="D259">
        <v>0</v>
      </c>
    </row>
    <row r="260" spans="1:4" x14ac:dyDescent="0.3">
      <c r="A260" t="s">
        <v>340</v>
      </c>
      <c r="B260" t="s">
        <v>1066</v>
      </c>
      <c r="C260" t="s">
        <v>1087</v>
      </c>
      <c r="D260">
        <v>0</v>
      </c>
    </row>
    <row r="261" spans="1:4" x14ac:dyDescent="0.3">
      <c r="A261" t="s">
        <v>340</v>
      </c>
      <c r="B261" t="s">
        <v>1066</v>
      </c>
      <c r="C261" t="s">
        <v>1223</v>
      </c>
      <c r="D261">
        <v>0</v>
      </c>
    </row>
    <row r="262" spans="1:4" x14ac:dyDescent="0.3">
      <c r="A262" t="s">
        <v>340</v>
      </c>
      <c r="B262" t="s">
        <v>1066</v>
      </c>
      <c r="C262" t="s">
        <v>1503</v>
      </c>
      <c r="D262">
        <v>0</v>
      </c>
    </row>
    <row r="263" spans="1:4" x14ac:dyDescent="0.3">
      <c r="A263" t="s">
        <v>340</v>
      </c>
      <c r="B263" t="s">
        <v>1066</v>
      </c>
      <c r="C263" t="s">
        <v>1504</v>
      </c>
      <c r="D263">
        <v>0</v>
      </c>
    </row>
    <row r="264" spans="1:4" x14ac:dyDescent="0.3">
      <c r="A264" t="s">
        <v>340</v>
      </c>
      <c r="B264" t="s">
        <v>341</v>
      </c>
      <c r="C264" t="s">
        <v>342</v>
      </c>
      <c r="D264">
        <v>0</v>
      </c>
    </row>
    <row r="265" spans="1:4" x14ac:dyDescent="0.3">
      <c r="A265" t="s">
        <v>340</v>
      </c>
      <c r="B265" t="s">
        <v>1404</v>
      </c>
      <c r="C265" t="s">
        <v>1405</v>
      </c>
      <c r="D265">
        <v>0</v>
      </c>
    </row>
    <row r="266" spans="1:4" x14ac:dyDescent="0.3">
      <c r="A266" t="s">
        <v>340</v>
      </c>
      <c r="B266" t="s">
        <v>344</v>
      </c>
      <c r="C266" t="s">
        <v>345</v>
      </c>
      <c r="D266">
        <v>0</v>
      </c>
    </row>
    <row r="267" spans="1:4" x14ac:dyDescent="0.3">
      <c r="A267" t="s">
        <v>347</v>
      </c>
      <c r="B267" t="s">
        <v>1224</v>
      </c>
      <c r="C267" t="s">
        <v>1229</v>
      </c>
      <c r="D267">
        <v>0</v>
      </c>
    </row>
    <row r="268" spans="1:4" x14ac:dyDescent="0.3">
      <c r="A268" t="s">
        <v>347</v>
      </c>
      <c r="B268" t="s">
        <v>1039</v>
      </c>
      <c r="C268" t="s">
        <v>1040</v>
      </c>
      <c r="D268">
        <v>0</v>
      </c>
    </row>
    <row r="269" spans="1:4" x14ac:dyDescent="0.3">
      <c r="A269" t="s">
        <v>347</v>
      </c>
      <c r="B269" t="s">
        <v>348</v>
      </c>
      <c r="C269" t="s">
        <v>349</v>
      </c>
      <c r="D269">
        <v>0</v>
      </c>
    </row>
    <row r="270" spans="1:4" x14ac:dyDescent="0.3">
      <c r="A270" t="s">
        <v>347</v>
      </c>
      <c r="B270" t="s">
        <v>351</v>
      </c>
      <c r="C270" t="s">
        <v>352</v>
      </c>
      <c r="D270">
        <v>0</v>
      </c>
    </row>
    <row r="271" spans="1:4" x14ac:dyDescent="0.3">
      <c r="A271" t="s">
        <v>347</v>
      </c>
      <c r="B271" t="s">
        <v>1042</v>
      </c>
      <c r="C271" t="s">
        <v>1043</v>
      </c>
      <c r="D271">
        <v>0</v>
      </c>
    </row>
    <row r="272" spans="1:4" x14ac:dyDescent="0.3">
      <c r="A272" t="s">
        <v>347</v>
      </c>
      <c r="B272" t="s">
        <v>682</v>
      </c>
      <c r="C272" t="s">
        <v>683</v>
      </c>
      <c r="D272">
        <v>0</v>
      </c>
    </row>
    <row r="273" spans="1:4" x14ac:dyDescent="0.3">
      <c r="A273" t="s">
        <v>347</v>
      </c>
      <c r="B273" t="s">
        <v>1329</v>
      </c>
      <c r="C273" t="s">
        <v>1330</v>
      </c>
      <c r="D273">
        <v>0</v>
      </c>
    </row>
    <row r="274" spans="1:4" x14ac:dyDescent="0.3">
      <c r="A274" t="s">
        <v>347</v>
      </c>
      <c r="B274" t="s">
        <v>1045</v>
      </c>
      <c r="C274" t="s">
        <v>1046</v>
      </c>
      <c r="D274">
        <v>0</v>
      </c>
    </row>
    <row r="275" spans="1:4" x14ac:dyDescent="0.3">
      <c r="A275" t="s">
        <v>347</v>
      </c>
      <c r="B275" t="s">
        <v>355</v>
      </c>
      <c r="C275" t="s">
        <v>358</v>
      </c>
      <c r="D275">
        <v>0</v>
      </c>
    </row>
    <row r="276" spans="1:4" x14ac:dyDescent="0.3">
      <c r="A276" t="s">
        <v>347</v>
      </c>
      <c r="B276" t="s">
        <v>359</v>
      </c>
      <c r="C276" t="s">
        <v>360</v>
      </c>
      <c r="D276">
        <v>0</v>
      </c>
    </row>
    <row r="277" spans="1:4" x14ac:dyDescent="0.3">
      <c r="A277" t="s">
        <v>347</v>
      </c>
      <c r="B277" t="s">
        <v>363</v>
      </c>
      <c r="C277" t="s">
        <v>364</v>
      </c>
      <c r="D277">
        <v>0</v>
      </c>
    </row>
    <row r="278" spans="1:4" x14ac:dyDescent="0.3">
      <c r="A278" t="s">
        <v>347</v>
      </c>
      <c r="B278" t="s">
        <v>363</v>
      </c>
      <c r="C278" t="s">
        <v>586</v>
      </c>
      <c r="D278">
        <v>0</v>
      </c>
    </row>
    <row r="279" spans="1:4" x14ac:dyDescent="0.3">
      <c r="A279" t="s">
        <v>347</v>
      </c>
      <c r="B279" t="s">
        <v>377</v>
      </c>
      <c r="C279" t="s">
        <v>378</v>
      </c>
      <c r="D279">
        <v>0</v>
      </c>
    </row>
    <row r="280" spans="1:4" x14ac:dyDescent="0.3">
      <c r="A280" t="s">
        <v>347</v>
      </c>
      <c r="B280" t="s">
        <v>1230</v>
      </c>
      <c r="C280" t="s">
        <v>1231</v>
      </c>
      <c r="D280">
        <v>0</v>
      </c>
    </row>
    <row r="281" spans="1:4" x14ac:dyDescent="0.3">
      <c r="A281" t="s">
        <v>347</v>
      </c>
      <c r="B281" t="s">
        <v>1233</v>
      </c>
      <c r="C281" t="s">
        <v>1234</v>
      </c>
      <c r="D281">
        <v>0</v>
      </c>
    </row>
    <row r="282" spans="1:4" x14ac:dyDescent="0.3">
      <c r="A282" t="s">
        <v>347</v>
      </c>
      <c r="B282" t="s">
        <v>380</v>
      </c>
      <c r="C282" t="s">
        <v>381</v>
      </c>
      <c r="D282">
        <v>0</v>
      </c>
    </row>
    <row r="283" spans="1:4" x14ac:dyDescent="0.3">
      <c r="A283" t="s">
        <v>347</v>
      </c>
      <c r="B283" t="s">
        <v>394</v>
      </c>
      <c r="C283" t="s">
        <v>395</v>
      </c>
      <c r="D283">
        <v>0</v>
      </c>
    </row>
    <row r="284" spans="1:4" x14ac:dyDescent="0.3">
      <c r="A284" t="s">
        <v>347</v>
      </c>
      <c r="B284" t="s">
        <v>1236</v>
      </c>
      <c r="C284" t="s">
        <v>1237</v>
      </c>
      <c r="D284">
        <v>0</v>
      </c>
    </row>
    <row r="285" spans="1:4" x14ac:dyDescent="0.3">
      <c r="A285" t="s">
        <v>347</v>
      </c>
      <c r="B285" t="s">
        <v>1240</v>
      </c>
      <c r="C285" t="s">
        <v>1241</v>
      </c>
      <c r="D285">
        <v>0</v>
      </c>
    </row>
    <row r="286" spans="1:4" x14ac:dyDescent="0.3">
      <c r="A286" t="s">
        <v>347</v>
      </c>
      <c r="B286" t="s">
        <v>1581</v>
      </c>
      <c r="C286" t="s">
        <v>1582</v>
      </c>
      <c r="D286">
        <v>0</v>
      </c>
    </row>
    <row r="287" spans="1:4" x14ac:dyDescent="0.3">
      <c r="A287" t="s">
        <v>347</v>
      </c>
      <c r="B287" t="s">
        <v>1088</v>
      </c>
      <c r="C287" t="s">
        <v>1089</v>
      </c>
      <c r="D287">
        <v>0</v>
      </c>
    </row>
    <row r="288" spans="1:4" x14ac:dyDescent="0.3">
      <c r="A288" t="s">
        <v>347</v>
      </c>
      <c r="B288" t="s">
        <v>1243</v>
      </c>
      <c r="C288" t="s">
        <v>1244</v>
      </c>
      <c r="D288">
        <v>0</v>
      </c>
    </row>
    <row r="289" spans="1:4" x14ac:dyDescent="0.3">
      <c r="A289" t="s">
        <v>347</v>
      </c>
      <c r="B289" t="s">
        <v>1246</v>
      </c>
      <c r="C289" t="s">
        <v>1247</v>
      </c>
      <c r="D289">
        <v>0</v>
      </c>
    </row>
    <row r="290" spans="1:4" x14ac:dyDescent="0.3">
      <c r="A290" t="s">
        <v>347</v>
      </c>
      <c r="B290" t="s">
        <v>1096</v>
      </c>
      <c r="C290" t="s">
        <v>1097</v>
      </c>
      <c r="D290">
        <v>0</v>
      </c>
    </row>
    <row r="291" spans="1:4" x14ac:dyDescent="0.3">
      <c r="A291" t="s">
        <v>347</v>
      </c>
      <c r="B291" t="s">
        <v>468</v>
      </c>
      <c r="C291" t="s">
        <v>469</v>
      </c>
      <c r="D291">
        <v>0</v>
      </c>
    </row>
    <row r="292" spans="1:4" x14ac:dyDescent="0.3">
      <c r="A292" t="s">
        <v>347</v>
      </c>
      <c r="B292" t="s">
        <v>471</v>
      </c>
      <c r="C292" t="s">
        <v>472</v>
      </c>
      <c r="D292">
        <v>0</v>
      </c>
    </row>
    <row r="293" spans="1:4" x14ac:dyDescent="0.3">
      <c r="A293" t="s">
        <v>347</v>
      </c>
      <c r="B293" t="s">
        <v>474</v>
      </c>
      <c r="C293" t="s">
        <v>475</v>
      </c>
      <c r="D293">
        <v>0</v>
      </c>
    </row>
    <row r="294" spans="1:4" x14ac:dyDescent="0.3">
      <c r="A294" t="s">
        <v>347</v>
      </c>
      <c r="B294" t="s">
        <v>477</v>
      </c>
      <c r="C294" t="s">
        <v>478</v>
      </c>
      <c r="D294">
        <v>0</v>
      </c>
    </row>
    <row r="295" spans="1:4" x14ac:dyDescent="0.3">
      <c r="A295" t="s">
        <v>347</v>
      </c>
      <c r="B295" t="s">
        <v>480</v>
      </c>
      <c r="C295" t="s">
        <v>481</v>
      </c>
      <c r="D295">
        <v>0</v>
      </c>
    </row>
    <row r="296" spans="1:4" x14ac:dyDescent="0.3">
      <c r="A296" t="s">
        <v>347</v>
      </c>
      <c r="B296" t="s">
        <v>488</v>
      </c>
      <c r="C296" t="s">
        <v>489</v>
      </c>
      <c r="D296">
        <v>0</v>
      </c>
    </row>
    <row r="297" spans="1:4" x14ac:dyDescent="0.3">
      <c r="A297" t="s">
        <v>347</v>
      </c>
      <c r="B297" t="s">
        <v>1260</v>
      </c>
      <c r="C297" t="s">
        <v>1261</v>
      </c>
      <c r="D297">
        <v>0</v>
      </c>
    </row>
    <row r="298" spans="1:4" x14ac:dyDescent="0.3">
      <c r="A298" t="s">
        <v>347</v>
      </c>
      <c r="B298" t="s">
        <v>767</v>
      </c>
      <c r="C298" t="s">
        <v>768</v>
      </c>
      <c r="D298">
        <v>0</v>
      </c>
    </row>
    <row r="299" spans="1:4" x14ac:dyDescent="0.3">
      <c r="A299" t="s">
        <v>347</v>
      </c>
      <c r="B299" t="s">
        <v>858</v>
      </c>
      <c r="C299" t="s">
        <v>859</v>
      </c>
      <c r="D299">
        <v>0</v>
      </c>
    </row>
    <row r="300" spans="1:4" x14ac:dyDescent="0.3">
      <c r="A300" t="s">
        <v>347</v>
      </c>
      <c r="B300" t="s">
        <v>1264</v>
      </c>
      <c r="C300" t="s">
        <v>1266</v>
      </c>
      <c r="D300">
        <v>0</v>
      </c>
    </row>
    <row r="301" spans="1:4" x14ac:dyDescent="0.3">
      <c r="A301" t="s">
        <v>347</v>
      </c>
      <c r="B301" t="s">
        <v>1267</v>
      </c>
      <c r="C301" t="s">
        <v>1269</v>
      </c>
      <c r="D301">
        <v>0</v>
      </c>
    </row>
    <row r="302" spans="1:4" x14ac:dyDescent="0.3">
      <c r="A302" t="s">
        <v>347</v>
      </c>
      <c r="B302" t="s">
        <v>491</v>
      </c>
      <c r="C302" t="s">
        <v>494</v>
      </c>
      <c r="D302">
        <v>0</v>
      </c>
    </row>
    <row r="303" spans="1:4" x14ac:dyDescent="0.3">
      <c r="A303" t="s">
        <v>347</v>
      </c>
      <c r="B303" t="s">
        <v>1048</v>
      </c>
      <c r="C303" t="s">
        <v>1049</v>
      </c>
      <c r="D303">
        <v>0</v>
      </c>
    </row>
    <row r="304" spans="1:4" x14ac:dyDescent="0.3">
      <c r="A304" t="s">
        <v>347</v>
      </c>
      <c r="B304" t="s">
        <v>495</v>
      </c>
      <c r="C304" t="s">
        <v>497</v>
      </c>
      <c r="D304">
        <v>0</v>
      </c>
    </row>
    <row r="305" spans="1:4" x14ac:dyDescent="0.3">
      <c r="A305" t="s">
        <v>347</v>
      </c>
      <c r="B305" t="s">
        <v>498</v>
      </c>
      <c r="C305" t="s">
        <v>500</v>
      </c>
      <c r="D305">
        <v>0</v>
      </c>
    </row>
    <row r="306" spans="1:4" x14ac:dyDescent="0.3">
      <c r="A306" t="s">
        <v>347</v>
      </c>
      <c r="B306" t="s">
        <v>501</v>
      </c>
      <c r="C306" t="s">
        <v>502</v>
      </c>
      <c r="D306">
        <v>0</v>
      </c>
    </row>
    <row r="307" spans="1:4" x14ac:dyDescent="0.3">
      <c r="A307" t="s">
        <v>347</v>
      </c>
      <c r="B307" t="s">
        <v>504</v>
      </c>
      <c r="C307" t="s">
        <v>505</v>
      </c>
      <c r="D307">
        <v>0</v>
      </c>
    </row>
    <row r="308" spans="1:4" x14ac:dyDescent="0.3">
      <c r="A308" t="s">
        <v>347</v>
      </c>
      <c r="B308" t="s">
        <v>1417</v>
      </c>
      <c r="C308" t="s">
        <v>1430</v>
      </c>
      <c r="D308">
        <v>0</v>
      </c>
    </row>
    <row r="309" spans="1:4" x14ac:dyDescent="0.3">
      <c r="A309" t="s">
        <v>347</v>
      </c>
      <c r="B309" t="s">
        <v>578</v>
      </c>
      <c r="C309" t="s">
        <v>579</v>
      </c>
      <c r="D309">
        <v>0</v>
      </c>
    </row>
    <row r="310" spans="1:4" x14ac:dyDescent="0.3">
      <c r="A310" t="s">
        <v>347</v>
      </c>
      <c r="B310" t="s">
        <v>1431</v>
      </c>
      <c r="C310" t="s">
        <v>1432</v>
      </c>
      <c r="D310">
        <v>0</v>
      </c>
    </row>
    <row r="311" spans="1:4" x14ac:dyDescent="0.3">
      <c r="A311" t="s">
        <v>347</v>
      </c>
      <c r="B311" t="s">
        <v>770</v>
      </c>
      <c r="C311" t="s">
        <v>772</v>
      </c>
      <c r="D311">
        <v>0</v>
      </c>
    </row>
    <row r="312" spans="1:4" x14ac:dyDescent="0.3">
      <c r="A312" t="s">
        <v>347</v>
      </c>
      <c r="B312" t="s">
        <v>1270</v>
      </c>
      <c r="C312" t="s">
        <v>1271</v>
      </c>
      <c r="D312">
        <v>0</v>
      </c>
    </row>
    <row r="313" spans="1:4" x14ac:dyDescent="0.3">
      <c r="A313" t="s">
        <v>347</v>
      </c>
      <c r="B313" t="s">
        <v>896</v>
      </c>
      <c r="C313" t="s">
        <v>897</v>
      </c>
      <c r="D313">
        <v>0</v>
      </c>
    </row>
    <row r="314" spans="1:4" x14ac:dyDescent="0.3">
      <c r="A314" t="s">
        <v>347</v>
      </c>
      <c r="B314" t="s">
        <v>1511</v>
      </c>
      <c r="C314" t="s">
        <v>1512</v>
      </c>
      <c r="D314">
        <v>0</v>
      </c>
    </row>
    <row r="315" spans="1:4" x14ac:dyDescent="0.3">
      <c r="A315" t="s">
        <v>347</v>
      </c>
      <c r="B315" t="s">
        <v>581</v>
      </c>
      <c r="C315" t="s">
        <v>582</v>
      </c>
      <c r="D315">
        <v>0</v>
      </c>
    </row>
    <row r="316" spans="1:4" x14ac:dyDescent="0.3">
      <c r="A316" t="s">
        <v>347</v>
      </c>
      <c r="B316" t="s">
        <v>583</v>
      </c>
      <c r="C316" t="s">
        <v>584</v>
      </c>
      <c r="D316">
        <v>0</v>
      </c>
    </row>
    <row r="317" spans="1:4" x14ac:dyDescent="0.3">
      <c r="A317" t="s">
        <v>347</v>
      </c>
      <c r="B317" t="s">
        <v>1273</v>
      </c>
      <c r="C317" t="s">
        <v>1274</v>
      </c>
      <c r="D317">
        <v>0</v>
      </c>
    </row>
    <row r="318" spans="1:4" x14ac:dyDescent="0.3">
      <c r="A318" t="s">
        <v>347</v>
      </c>
      <c r="B318" t="s">
        <v>586</v>
      </c>
      <c r="C318" t="s">
        <v>587</v>
      </c>
      <c r="D318">
        <v>0</v>
      </c>
    </row>
    <row r="319" spans="1:4" x14ac:dyDescent="0.3">
      <c r="A319" t="s">
        <v>347</v>
      </c>
      <c r="B319" t="s">
        <v>1277</v>
      </c>
      <c r="C319" t="s">
        <v>1278</v>
      </c>
      <c r="D319">
        <v>0</v>
      </c>
    </row>
    <row r="320" spans="1:4" x14ac:dyDescent="0.3">
      <c r="A320" t="s">
        <v>347</v>
      </c>
      <c r="B320" t="s">
        <v>590</v>
      </c>
      <c r="C320" t="s">
        <v>591</v>
      </c>
      <c r="D320">
        <v>0</v>
      </c>
    </row>
    <row r="321" spans="1:4" x14ac:dyDescent="0.3">
      <c r="A321" t="s">
        <v>347</v>
      </c>
      <c r="B321" t="s">
        <v>940</v>
      </c>
      <c r="C321" t="s">
        <v>941</v>
      </c>
      <c r="D321">
        <v>0</v>
      </c>
    </row>
    <row r="322" spans="1:4" x14ac:dyDescent="0.3">
      <c r="A322" t="s">
        <v>347</v>
      </c>
      <c r="B322" t="s">
        <v>943</v>
      </c>
      <c r="C322" t="s">
        <v>944</v>
      </c>
      <c r="D322">
        <v>0</v>
      </c>
    </row>
    <row r="323" spans="1:4" x14ac:dyDescent="0.3">
      <c r="A323" t="s">
        <v>347</v>
      </c>
      <c r="B323" t="s">
        <v>594</v>
      </c>
      <c r="C323" t="s">
        <v>596</v>
      </c>
      <c r="D323">
        <v>0</v>
      </c>
    </row>
    <row r="324" spans="1:4" x14ac:dyDescent="0.3">
      <c r="A324" t="s">
        <v>347</v>
      </c>
      <c r="B324" t="s">
        <v>1280</v>
      </c>
      <c r="C324" t="s">
        <v>1281</v>
      </c>
      <c r="D324">
        <v>0</v>
      </c>
    </row>
    <row r="325" spans="1:4" x14ac:dyDescent="0.3">
      <c r="A325" t="s">
        <v>347</v>
      </c>
      <c r="B325" t="s">
        <v>1098</v>
      </c>
      <c r="C325" t="s">
        <v>1099</v>
      </c>
      <c r="D325">
        <v>0</v>
      </c>
    </row>
    <row r="326" spans="1:4" x14ac:dyDescent="0.3">
      <c r="A326" t="s">
        <v>347</v>
      </c>
      <c r="B326" t="s">
        <v>1102</v>
      </c>
      <c r="C326" t="s">
        <v>1103</v>
      </c>
      <c r="D326">
        <v>0</v>
      </c>
    </row>
    <row r="327" spans="1:4" x14ac:dyDescent="0.3">
      <c r="A327" t="s">
        <v>347</v>
      </c>
      <c r="B327" t="s">
        <v>597</v>
      </c>
      <c r="C327" t="s">
        <v>598</v>
      </c>
      <c r="D327">
        <v>0</v>
      </c>
    </row>
    <row r="328" spans="1:4" x14ac:dyDescent="0.3">
      <c r="A328" t="s">
        <v>687</v>
      </c>
      <c r="B328" t="s">
        <v>686</v>
      </c>
      <c r="C328" t="s">
        <v>686</v>
      </c>
      <c r="D328">
        <v>0</v>
      </c>
    </row>
    <row r="329" spans="1:4" x14ac:dyDescent="0.3">
      <c r="A329" t="s">
        <v>600</v>
      </c>
      <c r="B329" t="s">
        <v>601</v>
      </c>
      <c r="C329" t="s">
        <v>606</v>
      </c>
      <c r="D329">
        <v>0</v>
      </c>
    </row>
    <row r="330" spans="1:4" x14ac:dyDescent="0.3">
      <c r="A330" t="s">
        <v>600</v>
      </c>
      <c r="B330" t="s">
        <v>607</v>
      </c>
      <c r="C330" t="s">
        <v>608</v>
      </c>
      <c r="D330">
        <v>0</v>
      </c>
    </row>
    <row r="331" spans="1:4" x14ac:dyDescent="0.3">
      <c r="A331" t="s">
        <v>600</v>
      </c>
      <c r="B331" t="s">
        <v>609</v>
      </c>
      <c r="C331" t="s">
        <v>610</v>
      </c>
      <c r="D331">
        <v>0</v>
      </c>
    </row>
    <row r="332" spans="1:4" x14ac:dyDescent="0.3">
      <c r="A332" t="s">
        <v>600</v>
      </c>
      <c r="B332" t="s">
        <v>1474</v>
      </c>
      <c r="C332" t="s">
        <v>1475</v>
      </c>
      <c r="D332">
        <v>0</v>
      </c>
    </row>
    <row r="333" spans="1:4" x14ac:dyDescent="0.3">
      <c r="A333" t="s">
        <v>600</v>
      </c>
      <c r="B333" t="s">
        <v>613</v>
      </c>
      <c r="C333" t="s">
        <v>614</v>
      </c>
      <c r="D333">
        <v>0</v>
      </c>
    </row>
    <row r="334" spans="1:4" x14ac:dyDescent="0.3">
      <c r="A334" t="s">
        <v>600</v>
      </c>
      <c r="B334" t="s">
        <v>1052</v>
      </c>
      <c r="C334" t="s">
        <v>1053</v>
      </c>
      <c r="D334">
        <v>0</v>
      </c>
    </row>
    <row r="335" spans="1:4" x14ac:dyDescent="0.3">
      <c r="A335" t="s">
        <v>600</v>
      </c>
      <c r="B335" t="s">
        <v>616</v>
      </c>
      <c r="C335" t="s">
        <v>620</v>
      </c>
      <c r="D335">
        <v>0</v>
      </c>
    </row>
    <row r="336" spans="1:4" x14ac:dyDescent="0.3">
      <c r="A336" t="s">
        <v>686</v>
      </c>
      <c r="B336" t="s">
        <v>686</v>
      </c>
      <c r="C336" t="s">
        <v>686</v>
      </c>
      <c r="D336">
        <v>0</v>
      </c>
    </row>
    <row r="337" spans="4:4" x14ac:dyDescent="0.3">
      <c r="D337">
        <v>0</v>
      </c>
    </row>
    <row r="338" spans="4:4" x14ac:dyDescent="0.3">
      <c r="D338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9"/>
  <sheetViews>
    <sheetView topLeftCell="A384" workbookViewId="0">
      <selection activeCell="H394" sqref="H39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1332</v>
      </c>
      <c r="C78" t="s">
        <v>1333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1332</v>
      </c>
      <c r="C79" t="s">
        <v>1334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1332</v>
      </c>
      <c r="C80" t="s">
        <v>1335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1332</v>
      </c>
      <c r="C81" t="s">
        <v>1336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1104</v>
      </c>
      <c r="C86" t="s">
        <v>1105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1104</v>
      </c>
      <c r="C87" t="s">
        <v>1106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1531</v>
      </c>
      <c r="C91" t="s">
        <v>1532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1531</v>
      </c>
      <c r="C92" t="s">
        <v>1533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1531</v>
      </c>
      <c r="C93" t="s">
        <v>1534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1531</v>
      </c>
      <c r="C94" t="s">
        <v>1535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836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837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838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832</v>
      </c>
      <c r="C116" t="s">
        <v>839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832</v>
      </c>
      <c r="C117" t="s">
        <v>840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832</v>
      </c>
      <c r="C118" t="s">
        <v>841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832</v>
      </c>
      <c r="C119" t="s">
        <v>842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1476</v>
      </c>
      <c r="C120" t="s">
        <v>1477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1476</v>
      </c>
      <c r="C121" t="s">
        <v>1478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705</v>
      </c>
      <c r="C134" t="s">
        <v>706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705</v>
      </c>
      <c r="C135" t="s">
        <v>707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708</v>
      </c>
      <c r="C136" t="s">
        <v>709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708</v>
      </c>
      <c r="C137" t="s">
        <v>710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708</v>
      </c>
      <c r="C138" t="s">
        <v>711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708</v>
      </c>
      <c r="C139" t="s">
        <v>712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887</v>
      </c>
      <c r="C140" t="s">
        <v>888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887</v>
      </c>
      <c r="C141" t="s">
        <v>889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862</v>
      </c>
      <c r="C144" t="s">
        <v>863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862</v>
      </c>
      <c r="C145" t="s">
        <v>864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713</v>
      </c>
      <c r="C146" t="s">
        <v>714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713</v>
      </c>
      <c r="C147" t="s">
        <v>715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713</v>
      </c>
      <c r="C148" t="s">
        <v>716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713</v>
      </c>
      <c r="C149" t="s">
        <v>717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718</v>
      </c>
      <c r="C150" t="s">
        <v>719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718</v>
      </c>
      <c r="C151" t="s">
        <v>720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1107</v>
      </c>
      <c r="C152" t="s">
        <v>1108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1107</v>
      </c>
      <c r="C153" t="s">
        <v>1435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1107</v>
      </c>
      <c r="C154" t="s">
        <v>1436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1283</v>
      </c>
      <c r="C155" t="s">
        <v>1284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1283</v>
      </c>
      <c r="C156" t="s">
        <v>1285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1283</v>
      </c>
      <c r="C157" t="s">
        <v>1286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1287</v>
      </c>
      <c r="C158" t="s">
        <v>1288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1287</v>
      </c>
      <c r="C159" t="s">
        <v>1289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1340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672</v>
      </c>
      <c r="C170" t="s">
        <v>673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672</v>
      </c>
      <c r="C171" t="s">
        <v>674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672</v>
      </c>
      <c r="C172" t="s">
        <v>1346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672</v>
      </c>
      <c r="C173" t="s">
        <v>675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1305</v>
      </c>
      <c r="C174" t="s">
        <v>1306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1305</v>
      </c>
      <c r="C175" t="s">
        <v>1307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1536</v>
      </c>
      <c r="C176" t="s">
        <v>1537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1536</v>
      </c>
      <c r="C177" t="s">
        <v>1538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1536</v>
      </c>
      <c r="C178" t="s">
        <v>1539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1536</v>
      </c>
      <c r="C179" t="s">
        <v>1540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1347</v>
      </c>
      <c r="C180" t="s">
        <v>1348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1347</v>
      </c>
      <c r="C181" t="s">
        <v>1349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1350</v>
      </c>
      <c r="C182" t="s">
        <v>1351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1350</v>
      </c>
      <c r="C183" t="s">
        <v>1352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722</v>
      </c>
      <c r="C186" t="s">
        <v>723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722</v>
      </c>
      <c r="C187" t="s">
        <v>724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861</v>
      </c>
      <c r="B188" t="s">
        <v>728</v>
      </c>
      <c r="C188" t="s">
        <v>729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861</v>
      </c>
      <c r="B189" t="s">
        <v>728</v>
      </c>
      <c r="C189" t="s">
        <v>730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327</v>
      </c>
      <c r="C190" t="s">
        <v>328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327</v>
      </c>
      <c r="C191" t="s">
        <v>329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1015</v>
      </c>
      <c r="C192" t="s">
        <v>1016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1015</v>
      </c>
      <c r="C193" t="s">
        <v>1017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725</v>
      </c>
      <c r="C194" t="s">
        <v>726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725</v>
      </c>
      <c r="C195" t="s">
        <v>727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330</v>
      </c>
      <c r="C196" t="s">
        <v>331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330</v>
      </c>
      <c r="C197" t="s">
        <v>332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677</v>
      </c>
      <c r="C198" t="s">
        <v>333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677</v>
      </c>
      <c r="C199" t="s">
        <v>678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1109</v>
      </c>
      <c r="C200" t="s">
        <v>1110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1109</v>
      </c>
      <c r="C201" t="s">
        <v>1111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890</v>
      </c>
      <c r="C202" t="s">
        <v>891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890</v>
      </c>
      <c r="C203" t="s">
        <v>892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334</v>
      </c>
      <c r="C204" t="s">
        <v>335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334</v>
      </c>
      <c r="C205" t="s">
        <v>336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1018</v>
      </c>
      <c r="C206" t="s">
        <v>1019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1018</v>
      </c>
      <c r="C207" t="s">
        <v>1020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1479</v>
      </c>
      <c r="C208" t="s">
        <v>1480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1479</v>
      </c>
      <c r="C209" t="s">
        <v>1481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337</v>
      </c>
      <c r="C210" t="s">
        <v>338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337</v>
      </c>
      <c r="C211" t="s">
        <v>339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1059</v>
      </c>
      <c r="C212" t="s">
        <v>1060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1059</v>
      </c>
      <c r="C213" t="s">
        <v>1061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1059</v>
      </c>
      <c r="C214" t="s">
        <v>1062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679</v>
      </c>
      <c r="C215" t="s">
        <v>680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679</v>
      </c>
      <c r="C216" t="s">
        <v>681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776</v>
      </c>
      <c r="C217" t="s">
        <v>777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776</v>
      </c>
      <c r="C218" t="s">
        <v>1541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776</v>
      </c>
      <c r="C219" t="s">
        <v>843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776</v>
      </c>
      <c r="C220" t="s">
        <v>1115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676</v>
      </c>
      <c r="B221" t="s">
        <v>776</v>
      </c>
      <c r="C221" t="s">
        <v>844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676</v>
      </c>
      <c r="B222" t="s">
        <v>776</v>
      </c>
      <c r="C222" t="s">
        <v>845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676</v>
      </c>
      <c r="B223" t="s">
        <v>776</v>
      </c>
      <c r="C223" t="s">
        <v>846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676</v>
      </c>
      <c r="B224" t="s">
        <v>776</v>
      </c>
      <c r="C224" t="s">
        <v>847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676</v>
      </c>
      <c r="B225" t="s">
        <v>776</v>
      </c>
      <c r="C225" t="s">
        <v>848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676</v>
      </c>
      <c r="B226" t="s">
        <v>776</v>
      </c>
      <c r="C226" t="s">
        <v>849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676</v>
      </c>
      <c r="B227" t="s">
        <v>776</v>
      </c>
      <c r="C227" t="s">
        <v>850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676</v>
      </c>
      <c r="B228" t="s">
        <v>776</v>
      </c>
      <c r="C228" t="s">
        <v>851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676</v>
      </c>
      <c r="B229" t="s">
        <v>776</v>
      </c>
      <c r="C229" t="s">
        <v>1116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986</v>
      </c>
      <c r="C236" t="s">
        <v>987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986</v>
      </c>
      <c r="C237" t="s">
        <v>988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1437</v>
      </c>
      <c r="C240" t="s">
        <v>1438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1437</v>
      </c>
      <c r="C241" t="s">
        <v>1439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1440</v>
      </c>
      <c r="C242" t="s">
        <v>1441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1440</v>
      </c>
      <c r="C243" t="s">
        <v>1442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1117</v>
      </c>
      <c r="C244" t="s">
        <v>1118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1117</v>
      </c>
      <c r="C245" t="s">
        <v>1119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1117</v>
      </c>
      <c r="C246" t="s">
        <v>1120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1360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1121</v>
      </c>
      <c r="C253" t="s">
        <v>1122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1121</v>
      </c>
      <c r="C254" t="s">
        <v>1123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1290</v>
      </c>
      <c r="C255" t="s">
        <v>1291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1290</v>
      </c>
      <c r="C256" t="s">
        <v>1292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1290</v>
      </c>
      <c r="C257" t="s">
        <v>1293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1124</v>
      </c>
      <c r="C260" t="s">
        <v>1125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1124</v>
      </c>
      <c r="C261" t="s">
        <v>1126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1124</v>
      </c>
      <c r="C262" t="s">
        <v>1127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1443</v>
      </c>
      <c r="C267" t="s">
        <v>1444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1443</v>
      </c>
      <c r="C268" t="s">
        <v>1445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1482</v>
      </c>
      <c r="C269" t="s">
        <v>1483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1482</v>
      </c>
      <c r="C270" t="s">
        <v>1484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1294</v>
      </c>
      <c r="C271" t="s">
        <v>1295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1294</v>
      </c>
      <c r="C272" t="s">
        <v>1296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1297</v>
      </c>
      <c r="C273" t="s">
        <v>1298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1297</v>
      </c>
      <c r="C274" t="s">
        <v>1299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1297</v>
      </c>
      <c r="C275" t="s">
        <v>1300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1542</v>
      </c>
      <c r="C276" t="s">
        <v>1543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1542</v>
      </c>
      <c r="C277" t="s">
        <v>1544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1301</v>
      </c>
      <c r="C278" t="s">
        <v>1302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1301</v>
      </c>
      <c r="C279" t="s">
        <v>1303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1128</v>
      </c>
      <c r="C282" t="s">
        <v>1129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1128</v>
      </c>
      <c r="C283" t="s">
        <v>1130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1362</v>
      </c>
      <c r="C292" t="s">
        <v>1363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1362</v>
      </c>
      <c r="C293" t="s">
        <v>1364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893</v>
      </c>
      <c r="C294" t="s">
        <v>894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893</v>
      </c>
      <c r="C295" t="s">
        <v>895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1365</v>
      </c>
      <c r="C296" t="s">
        <v>1366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1365</v>
      </c>
      <c r="C297" t="s">
        <v>1367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1368</v>
      </c>
      <c r="C298" t="s">
        <v>1369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1368</v>
      </c>
      <c r="C299" t="s">
        <v>1370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1368</v>
      </c>
      <c r="C300" t="s">
        <v>1371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1368</v>
      </c>
      <c r="C301" t="s">
        <v>1372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1135</v>
      </c>
      <c r="C302" t="s">
        <v>1136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1135</v>
      </c>
      <c r="C303" t="s">
        <v>1137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1139</v>
      </c>
      <c r="C315" t="s">
        <v>1140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1139</v>
      </c>
      <c r="C316" t="s">
        <v>1141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1139</v>
      </c>
      <c r="C317" t="s">
        <v>1142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732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1308</v>
      </c>
      <c r="C323" t="s">
        <v>1309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1308</v>
      </c>
      <c r="C324" t="s">
        <v>1310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1308</v>
      </c>
      <c r="C325" t="s">
        <v>1311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1373</v>
      </c>
      <c r="C326" t="s">
        <v>1374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1373</v>
      </c>
      <c r="C327" t="s">
        <v>1375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1373</v>
      </c>
      <c r="C328" t="s">
        <v>1376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1545</v>
      </c>
      <c r="C329" t="s">
        <v>1546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1545</v>
      </c>
      <c r="C330" t="s">
        <v>1547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1377</v>
      </c>
      <c r="C331" t="s">
        <v>1378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1377</v>
      </c>
      <c r="C332" t="s">
        <v>1379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865</v>
      </c>
      <c r="C333" t="s">
        <v>1143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865</v>
      </c>
      <c r="C334" t="s">
        <v>866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865</v>
      </c>
      <c r="C335" t="s">
        <v>738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1485</v>
      </c>
      <c r="C338" t="s">
        <v>1486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1485</v>
      </c>
      <c r="C339" t="s">
        <v>1487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1488</v>
      </c>
      <c r="C340" t="s">
        <v>1489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1488</v>
      </c>
      <c r="C341" t="s">
        <v>1490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1380</v>
      </c>
      <c r="C342" t="s">
        <v>1381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1380</v>
      </c>
      <c r="C343" t="s">
        <v>1382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1383</v>
      </c>
      <c r="C344" t="s">
        <v>1384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1383</v>
      </c>
      <c r="C345" t="s">
        <v>1385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1144</v>
      </c>
      <c r="C346" t="s">
        <v>1145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1144</v>
      </c>
      <c r="C347" t="s">
        <v>1146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1147</v>
      </c>
      <c r="C348" t="s">
        <v>1148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1147</v>
      </c>
      <c r="C349" t="s">
        <v>1149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1446</v>
      </c>
      <c r="C350" t="s">
        <v>1491</v>
      </c>
      <c r="G350" t="str">
        <f t="shared" si="10"/>
        <v>.ini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1446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1446</v>
      </c>
      <c r="C352" t="s">
        <v>1448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1446</v>
      </c>
      <c r="C353" t="s">
        <v>1449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1150</v>
      </c>
      <c r="C354" t="s">
        <v>1151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1150</v>
      </c>
      <c r="C355" t="s">
        <v>1152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1153</v>
      </c>
      <c r="C356" t="s">
        <v>1154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1153</v>
      </c>
      <c r="C357" t="s">
        <v>1155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144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143</v>
      </c>
      <c r="C359" t="s">
        <v>145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147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146</v>
      </c>
      <c r="C361" t="s">
        <v>148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149</v>
      </c>
      <c r="C363" t="s">
        <v>151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1450</v>
      </c>
      <c r="C364" t="s">
        <v>1451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1450</v>
      </c>
      <c r="C365" t="s">
        <v>1452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1357</v>
      </c>
      <c r="C366" t="s">
        <v>1492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1357</v>
      </c>
      <c r="C367" t="s">
        <v>1493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1357</v>
      </c>
      <c r="C368" t="s">
        <v>1358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1312</v>
      </c>
      <c r="C369" t="s">
        <v>1386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1312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1312</v>
      </c>
      <c r="C371" t="s">
        <v>1314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1312</v>
      </c>
      <c r="C372" t="s">
        <v>1315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152</v>
      </c>
      <c r="C374" t="s">
        <v>154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1063</v>
      </c>
      <c r="C375" t="s">
        <v>1064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1063</v>
      </c>
      <c r="C376" t="s">
        <v>1065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156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155</v>
      </c>
      <c r="C379" t="s">
        <v>158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1316</v>
      </c>
      <c r="C380" t="s">
        <v>1317</v>
      </c>
      <c r="G380" t="str">
        <f t="shared" ref="G380:G442" si="12">RIGHT(C380,"4")</f>
        <v>xlsx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1316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1316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1316</v>
      </c>
      <c r="C383" t="s">
        <v>1320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1156</v>
      </c>
      <c r="C384" t="s">
        <v>1157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1156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1156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1156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1156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1156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1156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1156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1156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1156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1156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1156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1156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1156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1156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1156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1156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1156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1156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1156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1156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1156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1156</v>
      </c>
      <c r="C406" t="s">
        <v>1179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1453</v>
      </c>
      <c r="C407" t="s">
        <v>1321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1453</v>
      </c>
      <c r="C408" t="s">
        <v>1322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733</v>
      </c>
      <c r="C409" t="s">
        <v>734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733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733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733</v>
      </c>
      <c r="C412" t="s">
        <v>737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1323</v>
      </c>
      <c r="C413" t="s">
        <v>1324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1323</v>
      </c>
      <c r="C414" t="s">
        <v>1325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1180</v>
      </c>
      <c r="C415" t="s">
        <v>1181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1180</v>
      </c>
      <c r="C416" t="s">
        <v>1182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1183</v>
      </c>
      <c r="C417" t="s">
        <v>1184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1183</v>
      </c>
      <c r="C418" t="s">
        <v>1185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1021</v>
      </c>
      <c r="C419" t="s">
        <v>1022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1021</v>
      </c>
      <c r="C420" t="s">
        <v>1023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1186</v>
      </c>
      <c r="C421" t="s">
        <v>1187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1186</v>
      </c>
      <c r="C422" t="s">
        <v>1188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1189</v>
      </c>
      <c r="C423" t="s">
        <v>1190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1189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1189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1189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1189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1189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1189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1189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1189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1189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1189</v>
      </c>
      <c r="C433" t="s">
        <v>1200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1189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1189</v>
      </c>
      <c r="C435" t="s">
        <v>1327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1189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1189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1189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1189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1189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1189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1189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1189</v>
      </c>
      <c r="C443" t="s">
        <v>1208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1189</v>
      </c>
      <c r="C444" t="s">
        <v>1387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1189</v>
      </c>
      <c r="C445" t="s">
        <v>1209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1189</v>
      </c>
      <c r="C446" t="s">
        <v>1328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1189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1189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1189</v>
      </c>
      <c r="C449" t="s">
        <v>1212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1388</v>
      </c>
      <c r="C450" t="s">
        <v>1389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1388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1388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1388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1388</v>
      </c>
      <c r="C454" t="s">
        <v>1393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1548</v>
      </c>
      <c r="C455" t="s">
        <v>1549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1548</v>
      </c>
      <c r="C456" t="s">
        <v>1550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1394</v>
      </c>
      <c r="C457" t="s">
        <v>1395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1394</v>
      </c>
      <c r="C458" t="s">
        <v>1396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159</v>
      </c>
      <c r="C461" t="s">
        <v>162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165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166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164</v>
      </c>
      <c r="C464" t="s">
        <v>1397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168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169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167</v>
      </c>
      <c r="C467" t="s">
        <v>738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171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172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170</v>
      </c>
      <c r="C470" t="s">
        <v>1213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739</v>
      </c>
      <c r="C471" t="s">
        <v>740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739</v>
      </c>
      <c r="C472" t="s">
        <v>741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173</v>
      </c>
      <c r="C474" t="s">
        <v>175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176</v>
      </c>
      <c r="C476" t="s">
        <v>178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163</v>
      </c>
      <c r="B478" t="s">
        <v>179</v>
      </c>
      <c r="C478" t="s">
        <v>181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779</v>
      </c>
      <c r="C479" t="s">
        <v>780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779</v>
      </c>
      <c r="C480" t="s">
        <v>781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1454</v>
      </c>
      <c r="C481" t="s">
        <v>1455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1454</v>
      </c>
      <c r="C482" t="s">
        <v>1456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1457</v>
      </c>
      <c r="C483" t="s">
        <v>1458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1457</v>
      </c>
      <c r="C484" t="s">
        <v>1459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1460</v>
      </c>
      <c r="C485" t="s">
        <v>1461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1460</v>
      </c>
      <c r="C486" t="s">
        <v>1462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782</v>
      </c>
      <c r="C487" t="s">
        <v>783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782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782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782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782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782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782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782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782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782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782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782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782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782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782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782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782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782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782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782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782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782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782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782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782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782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782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782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782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782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782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782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782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782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782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782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782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782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782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782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782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782</v>
      </c>
      <c r="C529" t="s">
        <v>831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184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183</v>
      </c>
      <c r="C533" t="s">
        <v>187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189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1551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1552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1553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1554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1555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1556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1557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190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191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188</v>
      </c>
      <c r="C544" t="s">
        <v>1214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188</v>
      </c>
      <c r="C545" t="s">
        <v>1463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192</v>
      </c>
      <c r="C546" t="s">
        <v>193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Export Tax Rate by Fuel.xlsx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192</v>
      </c>
      <c r="C547" t="s">
        <v>194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1353</v>
      </c>
      <c r="C548" t="s">
        <v>1354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Covered by Carbon Tax Border Adjustment.xlsx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1353</v>
      </c>
      <c r="C549" t="s">
        <v>1355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1112</v>
      </c>
      <c r="C550" t="s">
        <v>1113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 of Industry Category Subject to Carbon Tax.xlsx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1112</v>
      </c>
      <c r="C551" t="s">
        <v>1114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900</v>
      </c>
      <c r="C552" t="s">
        <v>901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Fractions of Products That are Fuels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900</v>
      </c>
      <c r="C553" t="s">
        <v>902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1464</v>
      </c>
      <c r="C554" t="s">
        <v>1465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Fraction of Vehicle Types Subject to Carbon Tax.xlsx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1464</v>
      </c>
      <c r="C555" t="s">
        <v>1356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989</v>
      </c>
      <c r="C556" t="s">
        <v>990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Prod Imp Exp Balancing Priorities.xlsx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989</v>
      </c>
      <c r="C557" t="s">
        <v>991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1215</v>
      </c>
      <c r="C558" t="s">
        <v>1216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Fuel Surcharge Perc by Power Plant Type.xlsx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1215</v>
      </c>
      <c r="C559" t="s">
        <v>1217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195</v>
      </c>
      <c r="C560" t="s">
        <v>196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GWP by Pollutant by Timeframe.xlsx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195</v>
      </c>
      <c r="C561" t="s">
        <v>197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198</v>
      </c>
      <c r="C562" t="s">
        <v>199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Intnl Market Fuel Price by Fuel Type.xlsx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198</v>
      </c>
      <c r="C563" t="s">
        <v>200</v>
      </c>
      <c r="G563" t="str">
        <f t="shared" ref="G563:G621" si="20">RIGHT(C563,"4")</f>
        <v>xlsx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201</v>
      </c>
      <c r="C564" t="s">
        <v>202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Exports.xlsx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201</v>
      </c>
      <c r="C565" t="s">
        <v>203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204</v>
      </c>
      <c r="C566" t="s">
        <v>205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Imports.xlsx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204</v>
      </c>
      <c r="C567" t="s">
        <v>206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207</v>
      </c>
      <c r="C568" t="s">
        <v>208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Max Perc Inc in Fuel Production.xlsx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207</v>
      </c>
      <c r="C569" t="s">
        <v>209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210</v>
      </c>
      <c r="C570" t="s">
        <v>211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210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210</v>
      </c>
      <c r="C572" t="s">
        <v>903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210</v>
      </c>
      <c r="C573" t="s">
        <v>213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210</v>
      </c>
      <c r="C574" t="s">
        <v>214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210</v>
      </c>
      <c r="C575" t="s">
        <v>215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210</v>
      </c>
      <c r="C576" t="s">
        <v>216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210</v>
      </c>
      <c r="C577" t="s">
        <v>217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210</v>
      </c>
      <c r="C578" t="s">
        <v>218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210</v>
      </c>
      <c r="C579" t="s">
        <v>219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220</v>
      </c>
      <c r="C580" t="s">
        <v>221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220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220</v>
      </c>
      <c r="C582" t="s">
        <v>904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220</v>
      </c>
      <c r="C583" t="s">
        <v>223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220</v>
      </c>
      <c r="C584" t="s">
        <v>224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220</v>
      </c>
      <c r="C585" t="s">
        <v>225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220</v>
      </c>
      <c r="C586" t="s">
        <v>226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220</v>
      </c>
      <c r="C587" t="s">
        <v>227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220</v>
      </c>
      <c r="C588" t="s">
        <v>228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220</v>
      </c>
      <c r="C589" t="s">
        <v>229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230</v>
      </c>
      <c r="C590" t="s">
        <v>231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Perc of Fuel Demand Changes that Affect Exports.xlsx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230</v>
      </c>
      <c r="C591" t="s">
        <v>232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182</v>
      </c>
      <c r="B592" t="s">
        <v>742</v>
      </c>
      <c r="C592" t="s">
        <v>743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Quantization Size for Energy.xlsx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182</v>
      </c>
      <c r="B593" t="s">
        <v>742</v>
      </c>
      <c r="C593" t="s">
        <v>744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646</v>
      </c>
      <c r="B594" t="s">
        <v>647</v>
      </c>
      <c r="C594" t="s">
        <v>648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646</v>
      </c>
      <c r="B595" t="s">
        <v>647</v>
      </c>
      <c r="C595" t="s">
        <v>649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646</v>
      </c>
      <c r="B596" t="s">
        <v>647</v>
      </c>
      <c r="C596" t="s">
        <v>650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646</v>
      </c>
      <c r="B597" t="s">
        <v>647</v>
      </c>
      <c r="C597" t="s">
        <v>651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646</v>
      </c>
      <c r="B598" t="s">
        <v>1466</v>
      </c>
      <c r="C598" t="s">
        <v>1467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646</v>
      </c>
      <c r="B599" t="s">
        <v>1466</v>
      </c>
      <c r="C599" t="s">
        <v>1468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646</v>
      </c>
      <c r="B600" t="s">
        <v>1466</v>
      </c>
      <c r="C600" t="s">
        <v>1469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646</v>
      </c>
      <c r="B601" t="s">
        <v>1466</v>
      </c>
      <c r="C601" t="s">
        <v>1470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233</v>
      </c>
      <c r="B602" t="s">
        <v>234</v>
      </c>
      <c r="C602" t="s">
        <v>235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Hydrogen Production Shr by Pathway.xlsx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233</v>
      </c>
      <c r="B603" t="s">
        <v>234</v>
      </c>
      <c r="C603" t="s">
        <v>236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233</v>
      </c>
      <c r="B604" t="s">
        <v>1558</v>
      </c>
      <c r="C604" t="s">
        <v>1559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Recipient Hydrogen Pathway Fractions.xlsx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233</v>
      </c>
      <c r="B605" t="s">
        <v>1558</v>
      </c>
      <c r="C605" t="s">
        <v>1560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233</v>
      </c>
      <c r="B606" t="s">
        <v>237</v>
      </c>
      <c r="C606" t="s">
        <v>238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Electrolyzer Hydrogen Production per Unit Capacity.xlsx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233</v>
      </c>
      <c r="B607" t="s">
        <v>237</v>
      </c>
      <c r="C607" t="s">
        <v>239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233</v>
      </c>
      <c r="B608" t="s">
        <v>240</v>
      </c>
      <c r="C608" t="s">
        <v>241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Hydgn Production Eff by Pathway.xlsx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233</v>
      </c>
      <c r="B609" t="s">
        <v>240</v>
      </c>
      <c r="C609" t="s">
        <v>242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233</v>
      </c>
      <c r="B610" t="s">
        <v>243</v>
      </c>
      <c r="C610" t="s">
        <v>244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233</v>
      </c>
      <c r="B611" t="s">
        <v>243</v>
      </c>
      <c r="C611" t="s">
        <v>245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233</v>
      </c>
      <c r="B612" t="s">
        <v>243</v>
      </c>
      <c r="C612" t="s">
        <v>246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233</v>
      </c>
      <c r="B613" t="s">
        <v>247</v>
      </c>
      <c r="C613" t="s">
        <v>248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Hydgn Prod Perc Excess Cap by Pathway.xlsx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233</v>
      </c>
      <c r="B614" t="s">
        <v>247</v>
      </c>
      <c r="C614" t="s">
        <v>249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233</v>
      </c>
      <c r="B615" t="s">
        <v>250</v>
      </c>
      <c r="C615" t="s">
        <v>251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Hydrogen Pathway to Fuel Mappings.xlsx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233</v>
      </c>
      <c r="B616" t="s">
        <v>250</v>
      </c>
      <c r="C616" t="s">
        <v>252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233</v>
      </c>
      <c r="B617" t="s">
        <v>253</v>
      </c>
      <c r="C617" t="s">
        <v>254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Recipient Hydrogen Pathway Fractions.xlsx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233</v>
      </c>
      <c r="B618" t="s">
        <v>253</v>
      </c>
      <c r="C618" t="s">
        <v>255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233</v>
      </c>
      <c r="B619" t="s">
        <v>867</v>
      </c>
      <c r="C619" t="s">
        <v>868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Share of Hydrogen Production Capital Costs by Recipient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233</v>
      </c>
      <c r="B620" t="s">
        <v>867</v>
      </c>
      <c r="C620" t="s">
        <v>869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257</v>
      </c>
      <c r="C621" t="s">
        <v>258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257</v>
      </c>
      <c r="C622" t="s">
        <v>259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257</v>
      </c>
      <c r="C623" t="s">
        <v>260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257</v>
      </c>
      <c r="C624" t="s">
        <v>261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257</v>
      </c>
      <c r="C625" t="s">
        <v>262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257</v>
      </c>
      <c r="C626" t="s">
        <v>263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257</v>
      </c>
      <c r="C627" t="s">
        <v>264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257</v>
      </c>
      <c r="C628" t="s">
        <v>265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257</v>
      </c>
      <c r="C629" t="s">
        <v>266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257</v>
      </c>
      <c r="C630" t="s">
        <v>267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257</v>
      </c>
      <c r="C631" t="s">
        <v>268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905</v>
      </c>
      <c r="C632" t="s">
        <v>906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905</v>
      </c>
      <c r="C633" t="s">
        <v>907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905</v>
      </c>
      <c r="C634" t="s">
        <v>908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905</v>
      </c>
      <c r="C635" t="s">
        <v>909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905</v>
      </c>
      <c r="C636" t="s">
        <v>910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905</v>
      </c>
      <c r="C637" t="s">
        <v>911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905</v>
      </c>
      <c r="C638" t="s">
        <v>912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905</v>
      </c>
      <c r="C639" t="s">
        <v>913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905</v>
      </c>
      <c r="C640" t="s">
        <v>914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905</v>
      </c>
      <c r="C641" t="s">
        <v>915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905</v>
      </c>
      <c r="C642" t="s">
        <v>916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905</v>
      </c>
      <c r="C643" t="s">
        <v>917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905</v>
      </c>
      <c r="C644" t="s">
        <v>918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905</v>
      </c>
      <c r="C645" t="s">
        <v>919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1218</v>
      </c>
      <c r="C646" t="s">
        <v>1219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1218</v>
      </c>
      <c r="C647" t="s">
        <v>1398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1218</v>
      </c>
      <c r="C648" t="s">
        <v>1399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269</v>
      </c>
      <c r="C649" t="s">
        <v>270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269</v>
      </c>
      <c r="C650" t="s">
        <v>920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269</v>
      </c>
      <c r="C651" t="s">
        <v>921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256</v>
      </c>
      <c r="B652" t="s">
        <v>269</v>
      </c>
      <c r="C652" t="s">
        <v>922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256</v>
      </c>
      <c r="B653" t="s">
        <v>269</v>
      </c>
      <c r="C653" t="s">
        <v>923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256</v>
      </c>
      <c r="B654" t="s">
        <v>269</v>
      </c>
      <c r="C654" t="s">
        <v>924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256</v>
      </c>
      <c r="B655" t="s">
        <v>269</v>
      </c>
      <c r="C655" t="s">
        <v>925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256</v>
      </c>
      <c r="B656" t="s">
        <v>269</v>
      </c>
      <c r="C656" t="s">
        <v>926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256</v>
      </c>
      <c r="B657" t="s">
        <v>269</v>
      </c>
      <c r="C657" t="s">
        <v>927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256</v>
      </c>
      <c r="B658" t="s">
        <v>269</v>
      </c>
      <c r="C658" t="s">
        <v>928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256</v>
      </c>
      <c r="B659" t="s">
        <v>269</v>
      </c>
      <c r="C659" t="s">
        <v>929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256</v>
      </c>
      <c r="B660" t="s">
        <v>271</v>
      </c>
      <c r="C660" t="s">
        <v>272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Shr of Ag Indst Going to Anml Prdcts.xlsx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256</v>
      </c>
      <c r="B661" t="s">
        <v>271</v>
      </c>
      <c r="C661" t="s">
        <v>273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256</v>
      </c>
      <c r="B662" t="s">
        <v>274</v>
      </c>
      <c r="C662" t="s">
        <v>275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Cost to Impl Eff Policy per Unit E Saved or Shifted.xlsx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256</v>
      </c>
      <c r="B663" t="s">
        <v>274</v>
      </c>
      <c r="C663" t="s">
        <v>276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256</v>
      </c>
      <c r="B664" t="s">
        <v>870</v>
      </c>
      <c r="C664" t="s">
        <v>871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Elasticities of Demand for Industrial Products.xlsx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256</v>
      </c>
      <c r="B665" t="s">
        <v>870</v>
      </c>
      <c r="C665" t="s">
        <v>872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256</v>
      </c>
      <c r="B666" t="s">
        <v>277</v>
      </c>
      <c r="C666" t="s">
        <v>278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Foreign Leakage Rate by Industry.xlsx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256</v>
      </c>
      <c r="B667" t="s">
        <v>277</v>
      </c>
      <c r="C667" t="s">
        <v>279</v>
      </c>
      <c r="G667" t="str">
        <f t="shared" si="24"/>
        <v>xlsx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256</v>
      </c>
      <c r="B668" t="s">
        <v>1024</v>
      </c>
      <c r="C668" t="s">
        <v>1025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IESE Import Export Substitution Elasticities.xlsx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256</v>
      </c>
      <c r="B669" t="s">
        <v>1024</v>
      </c>
      <c r="C669" t="s">
        <v>1026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256</v>
      </c>
      <c r="B670" t="s">
        <v>1494</v>
      </c>
      <c r="C670" t="s">
        <v>1495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256</v>
      </c>
      <c r="B671" t="s">
        <v>1494</v>
      </c>
      <c r="C671" t="s">
        <v>1496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1494</v>
      </c>
      <c r="C672" t="s">
        <v>1497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1498</v>
      </c>
      <c r="C673" t="s">
        <v>1499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Industrial Feedstock Switching Recipient Fuel.xlsx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1498</v>
      </c>
      <c r="C674" t="s">
        <v>1500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930</v>
      </c>
      <c r="C675" t="s">
        <v>931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Indst Fuels Subject to Fuel Shifting.xlsx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930</v>
      </c>
      <c r="C676" t="s">
        <v>932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280</v>
      </c>
      <c r="C677" t="s">
        <v>281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Methane Heating Value.xlsx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280</v>
      </c>
      <c r="C678" t="s">
        <v>282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1561</v>
      </c>
      <c r="C679" t="s">
        <v>1562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1561</v>
      </c>
      <c r="C680" t="s">
        <v>1563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1561</v>
      </c>
      <c r="C681" t="s">
        <v>1564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1561</v>
      </c>
      <c r="C682" t="s">
        <v>1565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1561</v>
      </c>
      <c r="C683" t="s">
        <v>1566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1561</v>
      </c>
      <c r="C684" t="s">
        <v>1567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1561</v>
      </c>
      <c r="C685" t="s">
        <v>1568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1561</v>
      </c>
      <c r="C686" t="s">
        <v>1569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256</v>
      </c>
      <c r="B687" t="s">
        <v>1561</v>
      </c>
      <c r="C687" t="s">
        <v>1570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256</v>
      </c>
      <c r="B688" t="s">
        <v>1561</v>
      </c>
      <c r="C688" t="s">
        <v>1571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256</v>
      </c>
      <c r="B689" t="s">
        <v>1561</v>
      </c>
      <c r="C689" t="s">
        <v>1572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256</v>
      </c>
      <c r="B690" t="s">
        <v>1561</v>
      </c>
      <c r="C690" t="s">
        <v>1573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256</v>
      </c>
      <c r="B691" t="s">
        <v>1561</v>
      </c>
      <c r="C691" t="s">
        <v>1574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256</v>
      </c>
      <c r="B692" t="s">
        <v>1561</v>
      </c>
      <c r="C692" t="s">
        <v>1575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256</v>
      </c>
      <c r="B693" t="s">
        <v>1561</v>
      </c>
      <c r="C693" t="s">
        <v>1576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256</v>
      </c>
      <c r="B694" t="s">
        <v>1561</v>
      </c>
      <c r="C694" t="s">
        <v>1577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256</v>
      </c>
      <c r="B695" t="s">
        <v>1561</v>
      </c>
      <c r="C695" t="s">
        <v>1578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256</v>
      </c>
      <c r="B696" t="s">
        <v>1561</v>
      </c>
      <c r="C696" t="s">
        <v>1579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256</v>
      </c>
      <c r="B697" t="s">
        <v>1561</v>
      </c>
      <c r="C697" t="s">
        <v>1580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256</v>
      </c>
      <c r="B698" t="s">
        <v>283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256</v>
      </c>
      <c r="B699" t="s">
        <v>283</v>
      </c>
      <c r="C699" t="s">
        <v>652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256</v>
      </c>
      <c r="B700" t="s">
        <v>283</v>
      </c>
      <c r="C700" t="s">
        <v>1028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256</v>
      </c>
      <c r="B701" t="s">
        <v>283</v>
      </c>
      <c r="C701" t="s">
        <v>992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256</v>
      </c>
      <c r="B702" t="s">
        <v>283</v>
      </c>
      <c r="C702" t="s">
        <v>653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256</v>
      </c>
      <c r="B703" t="s">
        <v>283</v>
      </c>
      <c r="C703" t="s">
        <v>654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256</v>
      </c>
      <c r="B704" t="s">
        <v>283</v>
      </c>
      <c r="C704" t="s">
        <v>655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256</v>
      </c>
      <c r="B705" t="s">
        <v>283</v>
      </c>
      <c r="C705" t="s">
        <v>656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256</v>
      </c>
      <c r="B706" t="s">
        <v>283</v>
      </c>
      <c r="C706" t="s">
        <v>657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256</v>
      </c>
      <c r="B707" t="s">
        <v>283</v>
      </c>
      <c r="C707" t="s">
        <v>658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256</v>
      </c>
      <c r="B708" t="s">
        <v>283</v>
      </c>
      <c r="C708" t="s">
        <v>659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256</v>
      </c>
      <c r="B709" t="s">
        <v>283</v>
      </c>
      <c r="C709" t="s">
        <v>660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256</v>
      </c>
      <c r="B710" t="s">
        <v>283</v>
      </c>
      <c r="C710" t="s">
        <v>933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256</v>
      </c>
      <c r="B711" t="s">
        <v>283</v>
      </c>
      <c r="C711" t="s">
        <v>934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256</v>
      </c>
      <c r="B712" t="s">
        <v>283</v>
      </c>
      <c r="C712" t="s">
        <v>935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256</v>
      </c>
      <c r="B713" t="s">
        <v>283</v>
      </c>
      <c r="C713" t="s">
        <v>936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256</v>
      </c>
      <c r="B714" t="s">
        <v>283</v>
      </c>
      <c r="C714" t="s">
        <v>1029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256</v>
      </c>
      <c r="B715" t="s">
        <v>283</v>
      </c>
      <c r="C715" t="s">
        <v>661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256</v>
      </c>
      <c r="B716" t="s">
        <v>283</v>
      </c>
      <c r="C716" t="s">
        <v>662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256</v>
      </c>
      <c r="B717" t="s">
        <v>283</v>
      </c>
      <c r="C717" t="s">
        <v>663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256</v>
      </c>
      <c r="B718" t="s">
        <v>284</v>
      </c>
      <c r="C718" t="s">
        <v>285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Perc Indst Fuel Use Reduction for Elec.xlsx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256</v>
      </c>
      <c r="B719" t="s">
        <v>284</v>
      </c>
      <c r="C719" t="s">
        <v>286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256</v>
      </c>
      <c r="B720" t="s">
        <v>287</v>
      </c>
      <c r="C720" t="s">
        <v>288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Reduction in Fuel Use from Early Retirement.xlsx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256</v>
      </c>
      <c r="B721" t="s">
        <v>287</v>
      </c>
      <c r="C721" t="s">
        <v>289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256</v>
      </c>
      <c r="B722" t="s">
        <v>290</v>
      </c>
      <c r="C722" t="s">
        <v>291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Inc Cogen and WHR.xlsx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256</v>
      </c>
      <c r="B723" t="s">
        <v>290</v>
      </c>
      <c r="C723" t="s">
        <v>292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256</v>
      </c>
      <c r="B724" t="s">
        <v>293</v>
      </c>
      <c r="C724" t="s">
        <v>294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Pot Perc Red in Fuel Use fr Impr Inst and Integ of Eqpt.xlsx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256</v>
      </c>
      <c r="B725" t="s">
        <v>293</v>
      </c>
      <c r="C725" t="s">
        <v>295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256</v>
      </c>
      <c r="B726" t="s">
        <v>1030</v>
      </c>
      <c r="C726" t="s">
        <v>1031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Ratio of Nutr Eqiv Plant to Anim Products Prd per Unit Land Area.xlsx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256</v>
      </c>
      <c r="B727" t="s">
        <v>1030</v>
      </c>
      <c r="C727" t="s">
        <v>1032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256</v>
      </c>
      <c r="B728" t="s">
        <v>852</v>
      </c>
      <c r="C728" t="s">
        <v>853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Share of Capital and OM Spending by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256</v>
      </c>
      <c r="B729" t="s">
        <v>852</v>
      </c>
      <c r="C729" t="s">
        <v>854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256</v>
      </c>
      <c r="B730" t="s">
        <v>873</v>
      </c>
      <c r="C730" t="s">
        <v>874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Shr of Cng in Indst Expenses Passed Thr to Buyers.xlsx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256</v>
      </c>
      <c r="B731" t="s">
        <v>873</v>
      </c>
      <c r="C731" t="s">
        <v>875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256</v>
      </c>
      <c r="B732" t="s">
        <v>876</v>
      </c>
      <c r="C732" t="s">
        <v>877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Share of Process Emis Abatement Spending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256</v>
      </c>
      <c r="B733" t="s">
        <v>876</v>
      </c>
      <c r="C733" t="s">
        <v>878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745</v>
      </c>
      <c r="B734" t="s">
        <v>1471</v>
      </c>
      <c r="C734" t="s">
        <v>1472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Avg Corp Tax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1471</v>
      </c>
      <c r="C735" t="s">
        <v>1473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1033</v>
      </c>
      <c r="C736" t="s">
        <v>1034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1033</v>
      </c>
      <c r="C737" t="s">
        <v>993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1033</v>
      </c>
      <c r="C738" t="s">
        <v>1035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1400</v>
      </c>
      <c r="C739" t="s">
        <v>1401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1400</v>
      </c>
      <c r="C740" t="s">
        <v>1402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1400</v>
      </c>
      <c r="C741" t="s">
        <v>1403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746</v>
      </c>
      <c r="C742" t="s">
        <v>747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Employment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746</v>
      </c>
      <c r="C743" t="s">
        <v>748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749</v>
      </c>
      <c r="C744" t="s">
        <v>750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Employee Compensation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749</v>
      </c>
      <c r="C745" t="s">
        <v>751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643</v>
      </c>
      <c r="C746" t="s">
        <v>644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GDP.xlsx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643</v>
      </c>
      <c r="C747" t="s">
        <v>645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752</v>
      </c>
      <c r="C748" t="s">
        <v>753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Output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752</v>
      </c>
      <c r="C749" t="s">
        <v>754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745</v>
      </c>
      <c r="B750" t="s">
        <v>1220</v>
      </c>
      <c r="C750" t="s">
        <v>1221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745</v>
      </c>
      <c r="B751" t="s">
        <v>1220</v>
      </c>
      <c r="C751" t="s">
        <v>1222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745</v>
      </c>
      <c r="B752" t="s">
        <v>1220</v>
      </c>
      <c r="C752" t="s">
        <v>994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745</v>
      </c>
      <c r="B753" t="s">
        <v>755</v>
      </c>
      <c r="C753" t="s">
        <v>756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Value Added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745</v>
      </c>
      <c r="B754" t="s">
        <v>755</v>
      </c>
      <c r="C754" t="s">
        <v>757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745</v>
      </c>
      <c r="B755" t="s">
        <v>758</v>
      </c>
      <c r="C755" t="s">
        <v>759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Domestic Leontief Inverse Matrix.xlsx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745</v>
      </c>
      <c r="B756" t="s">
        <v>758</v>
      </c>
      <c r="C756" t="s">
        <v>760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745</v>
      </c>
      <c r="B757" t="s">
        <v>995</v>
      </c>
      <c r="C757" t="s">
        <v>996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745</v>
      </c>
      <c r="B758" t="s">
        <v>995</v>
      </c>
      <c r="C758" t="s">
        <v>997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745</v>
      </c>
      <c r="B759" t="s">
        <v>995</v>
      </c>
      <c r="C759" t="s">
        <v>998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745</v>
      </c>
      <c r="B760" t="s">
        <v>995</v>
      </c>
      <c r="C760" t="s">
        <v>999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745</v>
      </c>
      <c r="B761" t="s">
        <v>995</v>
      </c>
      <c r="C761" t="s">
        <v>1000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745</v>
      </c>
      <c r="B762" t="s">
        <v>995</v>
      </c>
      <c r="C762" t="s">
        <v>1001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745</v>
      </c>
      <c r="B763" t="s">
        <v>995</v>
      </c>
      <c r="C763" t="s">
        <v>1002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745</v>
      </c>
      <c r="B764" t="s">
        <v>995</v>
      </c>
      <c r="C764" t="s">
        <v>1003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745</v>
      </c>
      <c r="B765" t="s">
        <v>995</v>
      </c>
      <c r="C765" t="s">
        <v>1004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745</v>
      </c>
      <c r="B766" t="s">
        <v>995</v>
      </c>
      <c r="C766" t="s">
        <v>1005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745</v>
      </c>
      <c r="B767" t="s">
        <v>995</v>
      </c>
      <c r="C767" t="s">
        <v>1006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745</v>
      </c>
      <c r="B768" t="s">
        <v>995</v>
      </c>
      <c r="C768" t="s">
        <v>1007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745</v>
      </c>
      <c r="B769" t="s">
        <v>995</v>
      </c>
      <c r="C769" t="s">
        <v>1008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745</v>
      </c>
      <c r="B770" t="s">
        <v>995</v>
      </c>
      <c r="C770" t="s">
        <v>1009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745</v>
      </c>
      <c r="B771" t="s">
        <v>995</v>
      </c>
      <c r="C771" t="s">
        <v>1010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745</v>
      </c>
      <c r="B772" t="s">
        <v>995</v>
      </c>
      <c r="C772" t="s">
        <v>1011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745</v>
      </c>
      <c r="B773" t="s">
        <v>855</v>
      </c>
      <c r="C773" t="s">
        <v>856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745</v>
      </c>
      <c r="B774" t="s">
        <v>855</v>
      </c>
      <c r="C774" t="s">
        <v>857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745</v>
      </c>
      <c r="B775" t="s">
        <v>855</v>
      </c>
      <c r="C775" t="s">
        <v>1501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745</v>
      </c>
      <c r="B776" t="s">
        <v>855</v>
      </c>
      <c r="C776" t="s">
        <v>882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745</v>
      </c>
      <c r="B777" t="s">
        <v>937</v>
      </c>
      <c r="C777" t="s">
        <v>938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Fuel to Producing ISIC Code Map.xlsx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745</v>
      </c>
      <c r="B778" t="s">
        <v>937</v>
      </c>
      <c r="C778" t="s">
        <v>939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745</v>
      </c>
      <c r="B779" t="s">
        <v>883</v>
      </c>
      <c r="C779" t="s">
        <v>884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Govt and Hhld Expenditures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745</v>
      </c>
      <c r="B780" t="s">
        <v>883</v>
      </c>
      <c r="C780" t="s">
        <v>885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745</v>
      </c>
      <c r="B781" t="s">
        <v>883</v>
      </c>
      <c r="C781" t="s">
        <v>886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745</v>
      </c>
      <c r="B782" t="s">
        <v>879</v>
      </c>
      <c r="C782" t="s">
        <v>880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Household Savings Rate.xlsx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745</v>
      </c>
      <c r="B783" t="s">
        <v>879</v>
      </c>
      <c r="C783" t="s">
        <v>881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745</v>
      </c>
      <c r="B784" t="s">
        <v>784</v>
      </c>
      <c r="C784" t="s">
        <v>785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Interest Rate on National Debt.xlsx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745</v>
      </c>
      <c r="B785" t="s">
        <v>784</v>
      </c>
      <c r="C785" t="s">
        <v>786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745</v>
      </c>
      <c r="B786" t="s">
        <v>761</v>
      </c>
      <c r="C786" t="s">
        <v>762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Labor Productivity Growth Rate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745</v>
      </c>
      <c r="B787" t="s">
        <v>761</v>
      </c>
      <c r="C787" t="s">
        <v>763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745</v>
      </c>
      <c r="B788" t="s">
        <v>787</v>
      </c>
      <c r="C788" t="s">
        <v>788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Perc of National Debt Held by Entity.xlsx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745</v>
      </c>
      <c r="B789" t="s">
        <v>787</v>
      </c>
      <c r="C789" t="s">
        <v>789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745</v>
      </c>
      <c r="B790" t="s">
        <v>1012</v>
      </c>
      <c r="C790" t="s">
        <v>1013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Total Leontief Inverse Matrix.xlsx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745</v>
      </c>
      <c r="B791" t="s">
        <v>1012</v>
      </c>
      <c r="C791" t="s">
        <v>1014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745</v>
      </c>
      <c r="B792" t="s">
        <v>764</v>
      </c>
      <c r="C792" t="s">
        <v>765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Union Representation Perc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745</v>
      </c>
      <c r="B793" t="s">
        <v>764</v>
      </c>
      <c r="C793" t="s">
        <v>766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745</v>
      </c>
      <c r="B794" t="s">
        <v>1036</v>
      </c>
      <c r="C794" t="s">
        <v>1037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VAT or Sales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745</v>
      </c>
      <c r="B795" t="s">
        <v>1036</v>
      </c>
      <c r="C795" t="s">
        <v>1038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745</v>
      </c>
      <c r="B796" t="s">
        <v>296</v>
      </c>
      <c r="C796" t="s">
        <v>297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Worker Marg Income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745</v>
      </c>
      <c r="B797" t="s">
        <v>296</v>
      </c>
      <c r="C797" t="s">
        <v>298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299</v>
      </c>
      <c r="B798" t="s">
        <v>300</v>
      </c>
      <c r="C798" t="s">
        <v>301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Annual Ongoing Cost of Land Use Pol per Unit Area.xlsx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299</v>
      </c>
      <c r="B799" t="s">
        <v>300</v>
      </c>
      <c r="C799" t="s">
        <v>302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299</v>
      </c>
      <c r="B800" t="s">
        <v>303</v>
      </c>
      <c r="C800" t="s">
        <v>304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LULUCF Anthro Pollutant Emis.xlsx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299</v>
      </c>
      <c r="B801" t="s">
        <v>303</v>
      </c>
      <c r="C801" t="s">
        <v>305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299</v>
      </c>
      <c r="B802" t="s">
        <v>306</v>
      </c>
      <c r="C802" t="s">
        <v>307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CO2 Abated per Unit Land Area by Impr For Mgmt.xlsx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299</v>
      </c>
      <c r="B803" t="s">
        <v>306</v>
      </c>
      <c r="C803" t="s">
        <v>308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299</v>
      </c>
      <c r="B804" t="s">
        <v>309</v>
      </c>
      <c r="C804" t="s">
        <v>310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Chg in Land Val per Unit Area Affected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299</v>
      </c>
      <c r="B805" t="s">
        <v>309</v>
      </c>
      <c r="C805" t="s">
        <v>311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299</v>
      </c>
      <c r="B806" t="s">
        <v>312</v>
      </c>
      <c r="C806" t="s">
        <v>313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CO2 Sequestered per Unit Land Area per Year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299</v>
      </c>
      <c r="B807" t="s">
        <v>312</v>
      </c>
      <c r="C807" t="s">
        <v>314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299</v>
      </c>
      <c r="B808" t="s">
        <v>315</v>
      </c>
      <c r="C808" t="s">
        <v>316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Forests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299</v>
      </c>
      <c r="B809" t="s">
        <v>315</v>
      </c>
      <c r="C809" t="s">
        <v>317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299</v>
      </c>
      <c r="B810" t="s">
        <v>318</v>
      </c>
      <c r="C810" t="s">
        <v>319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Impl Cost of Land Use Policies per Unit Area.xlsx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299</v>
      </c>
      <c r="B811" t="s">
        <v>318</v>
      </c>
      <c r="C811" t="s">
        <v>320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299</v>
      </c>
      <c r="B812" t="s">
        <v>1502</v>
      </c>
      <c r="C812" t="s">
        <v>320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Impl Cost of Land Use Policies per Unit Area.xlsx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299</v>
      </c>
      <c r="B813" t="s">
        <v>321</v>
      </c>
      <c r="C813" t="s">
        <v>322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Potential Land Area Newly Affected by Pol in a Single Yr.xlsx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299</v>
      </c>
      <c r="B814" t="s">
        <v>321</v>
      </c>
      <c r="C814" t="s">
        <v>323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Potential Land Area Newly Affected by Pol in a Single Yr.xlsx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299</v>
      </c>
      <c r="B815" t="s">
        <v>324</v>
      </c>
      <c r="C815" t="s">
        <v>325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Rebound Pol Emis per Unit Avoided CO2 Emis.xlsx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299</v>
      </c>
      <c r="B816" t="s">
        <v>324</v>
      </c>
      <c r="C816" t="s">
        <v>326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Rebound Pol Emis per Unit Avoided CO2 Emis.xlsx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340</v>
      </c>
      <c r="B817" t="s">
        <v>1066</v>
      </c>
      <c r="C817" t="s">
        <v>1223</v>
      </c>
      <c r="G817" t="str">
        <f t="shared" si="28"/>
        <v>l.py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340</v>
      </c>
      <c r="B818" t="s">
        <v>1066</v>
      </c>
      <c r="C818" t="s">
        <v>1067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340</v>
      </c>
      <c r="B819" t="s">
        <v>1066</v>
      </c>
      <c r="C819" t="s">
        <v>1068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340</v>
      </c>
      <c r="B820" t="s">
        <v>1066</v>
      </c>
      <c r="C820" t="s">
        <v>1069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340</v>
      </c>
      <c r="B821" t="s">
        <v>1066</v>
      </c>
      <c r="C821" t="s">
        <v>1070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340</v>
      </c>
      <c r="B822" t="s">
        <v>1066</v>
      </c>
      <c r="C822" t="s">
        <v>1071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340</v>
      </c>
      <c r="B823" t="s">
        <v>1066</v>
      </c>
      <c r="C823" t="s">
        <v>1072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340</v>
      </c>
      <c r="B824" t="s">
        <v>1066</v>
      </c>
      <c r="C824" t="s">
        <v>1073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340</v>
      </c>
      <c r="B825" t="s">
        <v>1066</v>
      </c>
      <c r="C825" t="s">
        <v>1074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340</v>
      </c>
      <c r="B826" t="s">
        <v>1066</v>
      </c>
      <c r="C826" t="s">
        <v>1075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340</v>
      </c>
      <c r="B827" t="s">
        <v>1066</v>
      </c>
      <c r="C827" t="s">
        <v>1076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340</v>
      </c>
      <c r="B828" t="s">
        <v>1066</v>
      </c>
      <c r="C828" t="s">
        <v>1077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340</v>
      </c>
      <c r="B829" t="s">
        <v>1066</v>
      </c>
      <c r="C829" t="s">
        <v>1078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340</v>
      </c>
      <c r="B830" t="s">
        <v>1066</v>
      </c>
      <c r="C830" t="s">
        <v>1079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340</v>
      </c>
      <c r="B831" t="s">
        <v>1066</v>
      </c>
      <c r="C831" t="s">
        <v>1080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340</v>
      </c>
      <c r="B832" t="s">
        <v>1066</v>
      </c>
      <c r="C832" t="s">
        <v>1081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340</v>
      </c>
      <c r="B833" t="s">
        <v>1066</v>
      </c>
      <c r="C833" t="s">
        <v>1082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340</v>
      </c>
      <c r="B834" t="s">
        <v>1066</v>
      </c>
      <c r="C834" t="s">
        <v>1083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340</v>
      </c>
      <c r="B835" t="s">
        <v>1066</v>
      </c>
      <c r="C835" t="s">
        <v>1084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340</v>
      </c>
      <c r="B836" t="s">
        <v>1066</v>
      </c>
      <c r="C836" t="s">
        <v>1085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340</v>
      </c>
      <c r="B837" t="s">
        <v>1066</v>
      </c>
      <c r="C837" t="s">
        <v>1503</v>
      </c>
      <c r="G837" t="str">
        <f t="shared" si="32"/>
        <v>xlsx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340</v>
      </c>
      <c r="B838" t="s">
        <v>1066</v>
      </c>
      <c r="C838" t="s">
        <v>1086</v>
      </c>
      <c r="G838" t="str">
        <f t="shared" si="32"/>
        <v>r.py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340</v>
      </c>
      <c r="B839" t="s">
        <v>1066</v>
      </c>
      <c r="C839" t="s">
        <v>1504</v>
      </c>
      <c r="G839" t="str">
        <f t="shared" si="32"/>
        <v>d.py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340</v>
      </c>
      <c r="B840" t="s">
        <v>1066</v>
      </c>
      <c r="C840" t="s">
        <v>1087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340</v>
      </c>
      <c r="B841" t="s">
        <v>341</v>
      </c>
      <c r="C841" t="s">
        <v>342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Final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340</v>
      </c>
      <c r="B842" t="s">
        <v>341</v>
      </c>
      <c r="C842" t="s">
        <v>343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Final 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340</v>
      </c>
      <c r="B843" t="s">
        <v>1404</v>
      </c>
      <c r="C843" t="s">
        <v>1405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FY Future Years.xlsx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340</v>
      </c>
      <c r="B844" t="s">
        <v>1404</v>
      </c>
      <c r="C844" t="s">
        <v>1406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FY Future Years.xlsx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340</v>
      </c>
      <c r="B845" t="s">
        <v>344</v>
      </c>
      <c r="C845" t="s">
        <v>345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Initial Time.xlsx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340</v>
      </c>
      <c r="B846" t="s">
        <v>344</v>
      </c>
      <c r="C846" t="s">
        <v>346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Initial Time.xlsx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1224</v>
      </c>
      <c r="C847" t="s">
        <v>1225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Ann Impvmt in Bat Cap by Veh Type.xlsx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1224</v>
      </c>
      <c r="C848" t="s">
        <v>1226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1224</v>
      </c>
      <c r="C849" t="s">
        <v>1227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1224</v>
      </c>
      <c r="C850" t="s">
        <v>1228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1224</v>
      </c>
      <c r="C851" t="s">
        <v>1229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Ann Impvmt in Bat Cap by Veh Type.xlsx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1039</v>
      </c>
      <c r="C852" t="s">
        <v>1040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Annual Vehicle Insurance Cost.xlsx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1039</v>
      </c>
      <c r="C853" t="s">
        <v>1041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Annual Vehicle Insurance Cost.xlsx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348</v>
      </c>
      <c r="C854" t="s">
        <v>349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Avg Vehicle Lifetime.xlsx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348</v>
      </c>
      <c r="C855" t="s">
        <v>350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Lifetime.xlsx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351</v>
      </c>
      <c r="C856" t="s">
        <v>352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Avg Vehicle Loading.xlsx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351</v>
      </c>
      <c r="C857" t="s">
        <v>353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351</v>
      </c>
      <c r="C858" t="s">
        <v>354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351</v>
      </c>
      <c r="C859" t="s">
        <v>1407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351</v>
      </c>
      <c r="C860" t="s">
        <v>1408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Avg Vehicle Loading.xlsx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1042</v>
      </c>
      <c r="C861" t="s">
        <v>1043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Annual Vehicle Licensing Registration and Property Tax Costs.xlsx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1042</v>
      </c>
      <c r="C862" t="s">
        <v>1044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682</v>
      </c>
      <c r="C863" t="s">
        <v>683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Maint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682</v>
      </c>
      <c r="C864" t="s">
        <v>684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682</v>
      </c>
      <c r="C865" t="s">
        <v>685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1329</v>
      </c>
      <c r="C866" t="s">
        <v>1330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Avg Veh Ownership Period.xlsx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1329</v>
      </c>
      <c r="C867" t="s">
        <v>1331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1045</v>
      </c>
      <c r="C868" t="s">
        <v>1046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Annual Vehicle Parking Costs.xlsx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1045</v>
      </c>
      <c r="C869" t="s">
        <v>1047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355</v>
      </c>
      <c r="C870" t="s">
        <v>356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Avg Annual Dist Traveled by Veh Type.xlsx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355</v>
      </c>
      <c r="C871" t="s">
        <v>357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355</v>
      </c>
      <c r="C872" t="s">
        <v>358</v>
      </c>
      <c r="G872" t="str">
        <f t="shared" si="32"/>
        <v>xlsx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355</v>
      </c>
      <c r="C873" t="s">
        <v>1409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355</v>
      </c>
      <c r="C874" t="s">
        <v>1410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359</v>
      </c>
      <c r="C875" t="s">
        <v>360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BAU Cargo Dist Transported Relative to Start Yr.xlsx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359</v>
      </c>
      <c r="C876" t="s">
        <v>361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359</v>
      </c>
      <c r="C877" t="s">
        <v>362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363</v>
      </c>
      <c r="C878" t="s">
        <v>364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363</v>
      </c>
      <c r="C879" t="s">
        <v>365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363</v>
      </c>
      <c r="C880" t="s">
        <v>366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363</v>
      </c>
      <c r="C881" t="s">
        <v>367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363</v>
      </c>
      <c r="C882" t="s">
        <v>368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363</v>
      </c>
      <c r="C883" t="s">
        <v>369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363</v>
      </c>
      <c r="C884" t="s">
        <v>370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363</v>
      </c>
      <c r="C885" t="s">
        <v>371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363</v>
      </c>
      <c r="C886" t="s">
        <v>372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363</v>
      </c>
      <c r="C887" t="s">
        <v>373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363</v>
      </c>
      <c r="C888" t="s">
        <v>374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363</v>
      </c>
      <c r="C889" t="s">
        <v>375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363</v>
      </c>
      <c r="C890" t="s">
        <v>376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363</v>
      </c>
      <c r="C891" t="s">
        <v>586</v>
      </c>
      <c r="D891" t="s">
        <v>587</v>
      </c>
      <c r="G891" t="str">
        <f t="shared" si="32"/>
        <v>FAFE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363</v>
      </c>
      <c r="C892" t="s">
        <v>586</v>
      </c>
      <c r="D892" t="s">
        <v>588</v>
      </c>
      <c r="G892" t="str">
        <f t="shared" si="32"/>
        <v>FAFE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363</v>
      </c>
      <c r="C893" t="s">
        <v>586</v>
      </c>
      <c r="D893" t="s">
        <v>589</v>
      </c>
      <c r="G893" t="str">
        <f t="shared" si="32"/>
        <v>FAFE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377</v>
      </c>
      <c r="C894" t="s">
        <v>378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BAU LCFS Perc.xlsx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377</v>
      </c>
      <c r="C895" t="s">
        <v>379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LCFS Perc.xlsx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1230</v>
      </c>
      <c r="C896" t="s">
        <v>1231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BAU Number of EV Chargers.xlsx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1230</v>
      </c>
      <c r="C897" t="s">
        <v>1232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Number of EV Chargers.xlsx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1233</v>
      </c>
      <c r="C898" t="s">
        <v>1234</v>
      </c>
      <c r="G898" t="str">
        <f t="shared" si="34"/>
        <v>xlsx</v>
      </c>
      <c r="H898" s="5" t="str">
        <f>IFERROR(IF(B898="FoPITY",INDEX(Customizations!$C$2:$C$19,MATCH(Sheet1!C898,Customizations!$B$2:$B$19,0),1),INDEX(About!C:C,MATCH(Sheet1!B898,About!B:B,0),1)),"")</f>
        <v>BAU Number of Gas Pumps.xlsx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1233</v>
      </c>
      <c r="C899" t="s">
        <v>1235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Number of Gas Pumps.xlsx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380</v>
      </c>
      <c r="C900" t="s">
        <v>381</v>
      </c>
      <c r="G900" t="str">
        <f t="shared" si="34"/>
        <v>xlsx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380</v>
      </c>
      <c r="C901" t="s">
        <v>382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380</v>
      </c>
      <c r="C902" t="s">
        <v>383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380</v>
      </c>
      <c r="C903" t="s">
        <v>384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380</v>
      </c>
      <c r="C904" t="s">
        <v>385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380</v>
      </c>
      <c r="C905" t="s">
        <v>386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380</v>
      </c>
      <c r="C906" t="s">
        <v>387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380</v>
      </c>
      <c r="C907" t="s">
        <v>388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380</v>
      </c>
      <c r="C908" t="s">
        <v>389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380</v>
      </c>
      <c r="C909" t="s">
        <v>390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380</v>
      </c>
      <c r="C910" t="s">
        <v>391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380</v>
      </c>
      <c r="C911" t="s">
        <v>392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380</v>
      </c>
      <c r="C912" t="s">
        <v>393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395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396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397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398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399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400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401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402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403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404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405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406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407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408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409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410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411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412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413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394</v>
      </c>
      <c r="C932" t="s">
        <v>414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394</v>
      </c>
      <c r="C933" t="s">
        <v>415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394</v>
      </c>
      <c r="C934" t="s">
        <v>416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394</v>
      </c>
      <c r="C935" t="s">
        <v>417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394</v>
      </c>
      <c r="C936" t="s">
        <v>418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394</v>
      </c>
      <c r="C937" t="s">
        <v>419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394</v>
      </c>
      <c r="C938" t="s">
        <v>420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394</v>
      </c>
      <c r="C939" t="s">
        <v>421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394</v>
      </c>
      <c r="C940" t="s">
        <v>422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394</v>
      </c>
      <c r="C941" t="s">
        <v>423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394</v>
      </c>
      <c r="C942" t="s">
        <v>424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394</v>
      </c>
      <c r="C943" t="s">
        <v>425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394</v>
      </c>
      <c r="C944" t="s">
        <v>426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394</v>
      </c>
      <c r="C945" t="s">
        <v>427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394</v>
      </c>
      <c r="C946" t="s">
        <v>428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394</v>
      </c>
      <c r="C947" t="s">
        <v>429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394</v>
      </c>
      <c r="C948" t="s">
        <v>430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394</v>
      </c>
      <c r="C949" t="s">
        <v>431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394</v>
      </c>
      <c r="C950" t="s">
        <v>432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394</v>
      </c>
      <c r="C951" t="s">
        <v>433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394</v>
      </c>
      <c r="C952" t="s">
        <v>434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394</v>
      </c>
      <c r="C953" t="s">
        <v>435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394</v>
      </c>
      <c r="C954" t="s">
        <v>436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394</v>
      </c>
      <c r="C955" t="s">
        <v>437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394</v>
      </c>
      <c r="C956" t="s">
        <v>438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394</v>
      </c>
      <c r="C957" t="s">
        <v>439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394</v>
      </c>
      <c r="C958" t="s">
        <v>440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394</v>
      </c>
      <c r="C959" t="s">
        <v>441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394</v>
      </c>
      <c r="C960" t="s">
        <v>442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394</v>
      </c>
      <c r="C961" t="s">
        <v>443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394</v>
      </c>
      <c r="C962" t="s">
        <v>444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394</v>
      </c>
      <c r="C963" t="s">
        <v>445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394</v>
      </c>
      <c r="C964" t="s">
        <v>446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394</v>
      </c>
      <c r="C965" t="s">
        <v>447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394</v>
      </c>
      <c r="C966" t="s">
        <v>448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394</v>
      </c>
      <c r="C967" t="s">
        <v>449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394</v>
      </c>
      <c r="C968" t="s">
        <v>450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394</v>
      </c>
      <c r="C969" t="s">
        <v>451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394</v>
      </c>
      <c r="C970" t="s">
        <v>452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394</v>
      </c>
      <c r="C971" t="s">
        <v>453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394</v>
      </c>
      <c r="C972" t="s">
        <v>454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394</v>
      </c>
      <c r="C973" t="s">
        <v>455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394</v>
      </c>
      <c r="C974" t="s">
        <v>456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394</v>
      </c>
      <c r="C975" t="s">
        <v>457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394</v>
      </c>
      <c r="C976" t="s">
        <v>458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394</v>
      </c>
      <c r="C977" t="s">
        <v>459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394</v>
      </c>
      <c r="C978" t="s">
        <v>460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394</v>
      </c>
      <c r="C979" t="s">
        <v>461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394</v>
      </c>
      <c r="C980" t="s">
        <v>462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394</v>
      </c>
      <c r="C981" t="s">
        <v>463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394</v>
      </c>
      <c r="C982" t="s">
        <v>464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394</v>
      </c>
      <c r="C983" t="s">
        <v>465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394</v>
      </c>
      <c r="C984" t="s">
        <v>466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394</v>
      </c>
      <c r="C985" t="s">
        <v>467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1236</v>
      </c>
      <c r="C986" t="s">
        <v>1237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Battery Pack Price.xlsx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1236</v>
      </c>
      <c r="C987" t="s">
        <v>1238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Battery Pack Price.xlsx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1236</v>
      </c>
      <c r="C988" t="s">
        <v>1239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Battery Pack Price.xlsx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1240</v>
      </c>
      <c r="C989" t="s">
        <v>1241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BAU Rng Anxiety Shadow Costs.xlsx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1240</v>
      </c>
      <c r="C990" t="s">
        <v>1242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Rng Anxiety Shadow Costs.xlsx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1581</v>
      </c>
      <c r="C991" t="s">
        <v>1582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BAU Required ZEV Sales Percentage by Model 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1581</v>
      </c>
      <c r="C992" t="s">
        <v>1583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Percentage by Model 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1581</v>
      </c>
      <c r="C993" t="s">
        <v>1584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Percentage by Model 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1088</v>
      </c>
      <c r="C994" t="s">
        <v>1089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1088</v>
      </c>
      <c r="C995" t="s">
        <v>1411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1088</v>
      </c>
      <c r="C996" t="s">
        <v>1090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1088</v>
      </c>
      <c r="C997" t="s">
        <v>1091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1088</v>
      </c>
      <c r="C998" t="s">
        <v>1092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1088</v>
      </c>
      <c r="C999" t="s">
        <v>1412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1088</v>
      </c>
      <c r="C1000" t="s">
        <v>1413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1088</v>
      </c>
      <c r="C1001" t="s">
        <v>1414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1088</v>
      </c>
      <c r="C1002" t="s">
        <v>1093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1088</v>
      </c>
      <c r="C1003" t="s">
        <v>1094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1088</v>
      </c>
      <c r="C1004" t="s">
        <v>1095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1088</v>
      </c>
      <c r="C1005" t="s">
        <v>1415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1088</v>
      </c>
      <c r="C1006" t="s">
        <v>1416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1243</v>
      </c>
      <c r="C1007" t="s">
        <v>1244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BAU Subsidy for Vehicle Battery Production.xlsx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1243</v>
      </c>
      <c r="C1008" t="s">
        <v>1245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Subsidy for Vehicle Battery Production.xlsx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1246</v>
      </c>
      <c r="C1009" t="s">
        <v>1247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1246</v>
      </c>
      <c r="C1010" t="s">
        <v>1248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1246</v>
      </c>
      <c r="C1011" t="s">
        <v>1249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1246</v>
      </c>
      <c r="C1012" t="s">
        <v>1250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1246</v>
      </c>
      <c r="C1013" t="s">
        <v>1251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1246</v>
      </c>
      <c r="C1014" t="s">
        <v>1252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1246</v>
      </c>
      <c r="C1015" t="s">
        <v>1253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1246</v>
      </c>
      <c r="C1016" t="s">
        <v>1254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1246</v>
      </c>
      <c r="C1017" t="s">
        <v>1255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1246</v>
      </c>
      <c r="C1018" t="s">
        <v>1256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1246</v>
      </c>
      <c r="C1019" t="s">
        <v>1257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1246</v>
      </c>
      <c r="C1020" t="s">
        <v>1258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1246</v>
      </c>
      <c r="C1021" t="s">
        <v>1259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1096</v>
      </c>
      <c r="C1022" t="s">
        <v>1097</v>
      </c>
      <c r="G1022" t="str">
        <f t="shared" si="38"/>
        <v>xlsx</v>
      </c>
      <c r="H1022" s="5" t="str">
        <f>IFERROR(IF(B1022="FoPITY",INDEX(Customizations!$C$2:$C$19,MATCH(Sheet1!C1022,Customizations!$B$2:$B$19,0),1),INDEX(About!C:C,MATCH(Sheet1!B1022,About!B:B,0),1)),"")</f>
        <v>BAU Veh Techs Qualifying as ZEVs.xlsx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1096</v>
      </c>
      <c r="C1023" t="s">
        <v>1505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1096</v>
      </c>
      <c r="C1024" t="s">
        <v>1506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1096</v>
      </c>
      <c r="C1025" t="s">
        <v>1507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1096</v>
      </c>
      <c r="C1026" t="s">
        <v>1508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1096</v>
      </c>
      <c r="C1027" t="s">
        <v>1509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1096</v>
      </c>
      <c r="C1028" t="s">
        <v>1510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468</v>
      </c>
      <c r="C1029" t="s">
        <v>469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Boolean Veh Types Subject to LCFS.xlsx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468</v>
      </c>
      <c r="C1030" t="s">
        <v>470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Boolean Veh Types Subject to LCFS.xlsx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471</v>
      </c>
      <c r="C1031" t="s">
        <v>472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Carbon Intensity Ratios by Transport Fuel.xlsx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471</v>
      </c>
      <c r="C1032" t="s">
        <v>473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Carbon Intensity Ratios by Transport Fuel.xlsx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474</v>
      </c>
      <c r="C1033" t="s">
        <v>475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Elast of Demand for Veh Use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474</v>
      </c>
      <c r="C1034" t="s">
        <v>476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Demand for Veh Use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477</v>
      </c>
      <c r="C1035" t="s">
        <v>478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Effect of Feebate on New Veh Fuel Econ.xlsx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477</v>
      </c>
      <c r="C1036" t="s">
        <v>479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Effect of Feebate on New Veh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480</v>
      </c>
      <c r="C1037" t="s">
        <v>481</v>
      </c>
      <c r="G1037" t="str">
        <f t="shared" si="38"/>
        <v>xlsx</v>
      </c>
      <c r="H1037" s="5" t="str">
        <f>IFERROR(IF(B1037="FoPITY",INDEX(Customizations!$C$2:$C$19,MATCH(Sheet1!C1037,Customizations!$B$2:$B$19,0),1),INDEX(About!C:C,MATCH(Sheet1!B1037,About!B:B,0),1)),"")</f>
        <v>Elast of New Veh Fuel Econ wrt Fuel Cost.xlsx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480</v>
      </c>
      <c r="C1038" t="s">
        <v>482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480</v>
      </c>
      <c r="C1039" t="s">
        <v>483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480</v>
      </c>
      <c r="C1040" t="s">
        <v>484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480</v>
      </c>
      <c r="C1041" t="s">
        <v>485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480</v>
      </c>
      <c r="C1042" t="s">
        <v>486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480</v>
      </c>
      <c r="C1043" t="s">
        <v>487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488</v>
      </c>
      <c r="C1044" t="s">
        <v>489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Elasticity of Veh Price wrt Fuel Econ.xlsx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488</v>
      </c>
      <c r="C1045" t="s">
        <v>490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Elasticity of Veh Price wrt Fuel Econ.xlsx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1260</v>
      </c>
      <c r="C1046" t="s">
        <v>1261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EV Charging Availability Parameters.xlsx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1260</v>
      </c>
      <c r="C1047" t="s">
        <v>1262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EV Charging Availability Parameters.xlsx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1260</v>
      </c>
      <c r="C1048" t="s">
        <v>1263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EV Charging Availability Parameters.xlsx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767</v>
      </c>
      <c r="C1049" t="s">
        <v>768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EV Charger Cost.xlsx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767</v>
      </c>
      <c r="C1050" t="s">
        <v>769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EV Charger Cost.xlsx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858</v>
      </c>
      <c r="C1051" t="s">
        <v>859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EV Charger Revenue Share by Recip ISIC Code.xlsx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858</v>
      </c>
      <c r="C1052" t="s">
        <v>860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EV Charger Revenue Share by Recip ISIC Code.xlsx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1264</v>
      </c>
      <c r="C1053" t="s">
        <v>1265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Fraction of Subsidy for Battery Production Passed Through to Consumers.xlsx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1264</v>
      </c>
      <c r="C1054" t="s">
        <v>1266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Fraction of Subsidy for Battery Production Passed Through to Consumers.xlsx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1267</v>
      </c>
      <c r="C1055" t="s">
        <v>1268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Fraction of Vehicle Batteries Produced Domestically.xlsx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1267</v>
      </c>
      <c r="C1056" t="s">
        <v>1269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Fraction of Vehicle Batteries Produced Domestically.xlsx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491</v>
      </c>
      <c r="C1057" t="s">
        <v>492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Fraction of Veh Owned by Entity.xlsx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491</v>
      </c>
      <c r="C1058" t="s">
        <v>493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Fraction of Veh Owned by Entity.xlsx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491</v>
      </c>
      <c r="C1059" t="s">
        <v>494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Fraction of Veh Owned by Entity.xlsx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1048</v>
      </c>
      <c r="C1060" t="s">
        <v>1049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Fare per Unit Cargo Dist.xlsx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1048</v>
      </c>
      <c r="C1061" t="s">
        <v>1050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1048</v>
      </c>
      <c r="C1062" t="s">
        <v>1051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Fare per Unit Cargo Dist.xlsx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495</v>
      </c>
      <c r="C1063" t="s">
        <v>496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Grams CO2e Avoided per LCFS Credit.xlsx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495</v>
      </c>
      <c r="C1064" t="s">
        <v>497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Grams CO2e Avoided per LCFS Credit.xlsx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498</v>
      </c>
      <c r="C1065" t="s">
        <v>499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Incremental Cost to Produce Substitute Fuel for LCFS.xlsx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498</v>
      </c>
      <c r="C1066" t="s">
        <v>500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Incremental Cost to Produce Substitute Fuel for LCFS.xlsx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501</v>
      </c>
      <c r="C1067" t="s">
        <v>502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LCFS Credit Price Cap.xlsx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501</v>
      </c>
      <c r="C1068" t="s">
        <v>503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LCFS Credit Price Cap.xlsx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505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506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507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508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509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510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511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512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513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514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515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516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517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504</v>
      </c>
      <c r="C1082" t="s">
        <v>518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504</v>
      </c>
      <c r="C1083" t="s">
        <v>519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504</v>
      </c>
      <c r="C1084" t="s">
        <v>520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504</v>
      </c>
      <c r="C1085" t="s">
        <v>521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504</v>
      </c>
      <c r="C1086" t="s">
        <v>522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504</v>
      </c>
      <c r="C1087" t="s">
        <v>523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504</v>
      </c>
      <c r="C1088" t="s">
        <v>524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504</v>
      </c>
      <c r="C1089" t="s">
        <v>525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504</v>
      </c>
      <c r="C1090" t="s">
        <v>526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504</v>
      </c>
      <c r="C1091" t="s">
        <v>527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504</v>
      </c>
      <c r="C1092" t="s">
        <v>528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504</v>
      </c>
      <c r="C1093" t="s">
        <v>529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504</v>
      </c>
      <c r="C1094" t="s">
        <v>530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504</v>
      </c>
      <c r="C1095" t="s">
        <v>531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504</v>
      </c>
      <c r="C1096" t="s">
        <v>532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504</v>
      </c>
      <c r="C1097" t="s">
        <v>533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504</v>
      </c>
      <c r="C1098" t="s">
        <v>534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504</v>
      </c>
      <c r="C1099" t="s">
        <v>535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504</v>
      </c>
      <c r="C1100" t="s">
        <v>536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504</v>
      </c>
      <c r="C1101" t="s">
        <v>537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504</v>
      </c>
      <c r="C1102" t="s">
        <v>538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504</v>
      </c>
      <c r="C1103" t="s">
        <v>539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504</v>
      </c>
      <c r="C1104" t="s">
        <v>540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504</v>
      </c>
      <c r="C1105" t="s">
        <v>541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504</v>
      </c>
      <c r="C1106" t="s">
        <v>542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504</v>
      </c>
      <c r="C1107" t="s">
        <v>543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504</v>
      </c>
      <c r="C1108" t="s">
        <v>544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504</v>
      </c>
      <c r="C1109" t="s">
        <v>545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504</v>
      </c>
      <c r="C1110" t="s">
        <v>546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504</v>
      </c>
      <c r="C1111" t="s">
        <v>547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504</v>
      </c>
      <c r="C1112" t="s">
        <v>548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504</v>
      </c>
      <c r="C1113" t="s">
        <v>549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504</v>
      </c>
      <c r="C1114" t="s">
        <v>550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504</v>
      </c>
      <c r="C1115" t="s">
        <v>551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504</v>
      </c>
      <c r="C1116" t="s">
        <v>552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504</v>
      </c>
      <c r="C1117" t="s">
        <v>553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504</v>
      </c>
      <c r="C1118" t="s">
        <v>554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504</v>
      </c>
      <c r="C1119" t="s">
        <v>555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504</v>
      </c>
      <c r="C1120" t="s">
        <v>556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504</v>
      </c>
      <c r="C1121" t="s">
        <v>557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504</v>
      </c>
      <c r="C1122" t="s">
        <v>558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504</v>
      </c>
      <c r="C1123" t="s">
        <v>559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504</v>
      </c>
      <c r="C1124" t="s">
        <v>560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504</v>
      </c>
      <c r="C1125" t="s">
        <v>561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504</v>
      </c>
      <c r="C1126" t="s">
        <v>562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504</v>
      </c>
      <c r="C1127" t="s">
        <v>563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504</v>
      </c>
      <c r="C1128" t="s">
        <v>564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504</v>
      </c>
      <c r="C1129" t="s">
        <v>565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504</v>
      </c>
      <c r="C1130" t="s">
        <v>566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504</v>
      </c>
      <c r="C1131" t="s">
        <v>567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504</v>
      </c>
      <c r="C1132" t="s">
        <v>568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504</v>
      </c>
      <c r="C1133" t="s">
        <v>569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504</v>
      </c>
      <c r="C1134" t="s">
        <v>570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504</v>
      </c>
      <c r="C1135" t="s">
        <v>571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504</v>
      </c>
      <c r="C1136" t="s">
        <v>572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504</v>
      </c>
      <c r="C1137" t="s">
        <v>573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504</v>
      </c>
      <c r="C1138" t="s">
        <v>574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504</v>
      </c>
      <c r="C1139" t="s">
        <v>575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504</v>
      </c>
      <c r="C1140" t="s">
        <v>576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504</v>
      </c>
      <c r="C1141" t="s">
        <v>577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1417</v>
      </c>
      <c r="C1142" t="s">
        <v>1418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1417</v>
      </c>
      <c r="C1143" t="s">
        <v>1419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347</v>
      </c>
      <c r="B1144" t="s">
        <v>1417</v>
      </c>
      <c r="C1144" t="s">
        <v>1420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347</v>
      </c>
      <c r="B1145" t="s">
        <v>1417</v>
      </c>
      <c r="C1145" t="s">
        <v>1421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1417</v>
      </c>
      <c r="C1146" t="s">
        <v>1422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1417</v>
      </c>
      <c r="C1147" t="s">
        <v>1423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347</v>
      </c>
      <c r="B1148" t="s">
        <v>1417</v>
      </c>
      <c r="C1148" t="s">
        <v>1424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347</v>
      </c>
      <c r="B1149" t="s">
        <v>1417</v>
      </c>
      <c r="C1149" t="s">
        <v>1425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347</v>
      </c>
      <c r="B1150" t="s">
        <v>1417</v>
      </c>
      <c r="C1150" t="s">
        <v>1426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347</v>
      </c>
      <c r="B1151" t="s">
        <v>1417</v>
      </c>
      <c r="C1151" t="s">
        <v>1427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347</v>
      </c>
      <c r="B1152" t="s">
        <v>1417</v>
      </c>
      <c r="C1152" t="s">
        <v>1428</v>
      </c>
    </row>
    <row r="1153" spans="1:3" x14ac:dyDescent="0.3">
      <c r="A1153" t="s">
        <v>347</v>
      </c>
      <c r="B1153" t="s">
        <v>1417</v>
      </c>
      <c r="C1153" t="s">
        <v>1429</v>
      </c>
    </row>
    <row r="1154" spans="1:3" x14ac:dyDescent="0.3">
      <c r="A1154" t="s">
        <v>347</v>
      </c>
      <c r="B1154" t="s">
        <v>1417</v>
      </c>
      <c r="C1154" t="s">
        <v>1430</v>
      </c>
    </row>
    <row r="1155" spans="1:3" x14ac:dyDescent="0.3">
      <c r="A1155" t="s">
        <v>347</v>
      </c>
      <c r="B1155" t="s">
        <v>578</v>
      </c>
      <c r="C1155" t="s">
        <v>579</v>
      </c>
    </row>
    <row r="1156" spans="1:3" x14ac:dyDescent="0.3">
      <c r="A1156" t="s">
        <v>347</v>
      </c>
      <c r="B1156" t="s">
        <v>578</v>
      </c>
      <c r="C1156" t="s">
        <v>580</v>
      </c>
    </row>
    <row r="1157" spans="1:3" x14ac:dyDescent="0.3">
      <c r="A1157" t="s">
        <v>347</v>
      </c>
      <c r="B1157" t="s">
        <v>1431</v>
      </c>
      <c r="C1157" t="s">
        <v>1432</v>
      </c>
    </row>
    <row r="1158" spans="1:3" x14ac:dyDescent="0.3">
      <c r="A1158" t="s">
        <v>347</v>
      </c>
      <c r="B1158" t="s">
        <v>1431</v>
      </c>
      <c r="C1158" t="s">
        <v>1433</v>
      </c>
    </row>
    <row r="1159" spans="1:3" x14ac:dyDescent="0.3">
      <c r="A1159" t="s">
        <v>347</v>
      </c>
      <c r="B1159" t="s">
        <v>770</v>
      </c>
      <c r="C1159" t="s">
        <v>771</v>
      </c>
    </row>
    <row r="1160" spans="1:3" x14ac:dyDescent="0.3">
      <c r="A1160" t="s">
        <v>347</v>
      </c>
      <c r="B1160" t="s">
        <v>770</v>
      </c>
      <c r="C1160" t="s">
        <v>772</v>
      </c>
    </row>
    <row r="1161" spans="1:3" x14ac:dyDescent="0.3">
      <c r="A1161" t="s">
        <v>347</v>
      </c>
      <c r="B1161" t="s">
        <v>1270</v>
      </c>
      <c r="C1161" t="s">
        <v>1271</v>
      </c>
    </row>
    <row r="1162" spans="1:3" x14ac:dyDescent="0.3">
      <c r="A1162" t="s">
        <v>347</v>
      </c>
      <c r="B1162" t="s">
        <v>1270</v>
      </c>
      <c r="C1162" t="s">
        <v>1272</v>
      </c>
    </row>
    <row r="1163" spans="1:3" x14ac:dyDescent="0.3">
      <c r="A1163" t="s">
        <v>347</v>
      </c>
      <c r="B1163" t="s">
        <v>896</v>
      </c>
      <c r="C1163" t="s">
        <v>897</v>
      </c>
    </row>
    <row r="1164" spans="1:3" x14ac:dyDescent="0.3">
      <c r="A1164" t="s">
        <v>347</v>
      </c>
      <c r="B1164" t="s">
        <v>896</v>
      </c>
      <c r="C1164" t="s">
        <v>898</v>
      </c>
    </row>
    <row r="1165" spans="1:3" x14ac:dyDescent="0.3">
      <c r="A1165" t="s">
        <v>347</v>
      </c>
      <c r="B1165" t="s">
        <v>896</v>
      </c>
      <c r="C1165" t="s">
        <v>899</v>
      </c>
    </row>
    <row r="1166" spans="1:3" x14ac:dyDescent="0.3">
      <c r="A1166" t="s">
        <v>347</v>
      </c>
      <c r="B1166" t="s">
        <v>1511</v>
      </c>
      <c r="C1166" t="s">
        <v>1512</v>
      </c>
    </row>
    <row r="1167" spans="1:3" x14ac:dyDescent="0.3">
      <c r="A1167" t="s">
        <v>347</v>
      </c>
      <c r="B1167" t="s">
        <v>1511</v>
      </c>
      <c r="C1167" t="s">
        <v>1513</v>
      </c>
    </row>
    <row r="1168" spans="1:3" x14ac:dyDescent="0.3">
      <c r="A1168" t="s">
        <v>347</v>
      </c>
      <c r="B1168" t="s">
        <v>1511</v>
      </c>
      <c r="C1168" t="s">
        <v>1514</v>
      </c>
    </row>
    <row r="1169" spans="1:3" x14ac:dyDescent="0.3">
      <c r="A1169" t="s">
        <v>347</v>
      </c>
      <c r="B1169" t="s">
        <v>1511</v>
      </c>
      <c r="C1169" t="s">
        <v>1515</v>
      </c>
    </row>
    <row r="1170" spans="1:3" x14ac:dyDescent="0.3">
      <c r="A1170" t="s">
        <v>347</v>
      </c>
      <c r="B1170" t="s">
        <v>1511</v>
      </c>
      <c r="C1170" t="s">
        <v>1516</v>
      </c>
    </row>
    <row r="1171" spans="1:3" x14ac:dyDescent="0.3">
      <c r="A1171" t="s">
        <v>347</v>
      </c>
      <c r="B1171" t="s">
        <v>1511</v>
      </c>
      <c r="C1171" t="s">
        <v>1517</v>
      </c>
    </row>
    <row r="1172" spans="1:3" x14ac:dyDescent="0.3">
      <c r="A1172" t="s">
        <v>347</v>
      </c>
      <c r="B1172" t="s">
        <v>1511</v>
      </c>
      <c r="C1172" t="s">
        <v>1518</v>
      </c>
    </row>
    <row r="1173" spans="1:3" x14ac:dyDescent="0.3">
      <c r="A1173" t="s">
        <v>347</v>
      </c>
      <c r="B1173" t="s">
        <v>1511</v>
      </c>
      <c r="C1173" t="s">
        <v>1519</v>
      </c>
    </row>
    <row r="1174" spans="1:3" x14ac:dyDescent="0.3">
      <c r="A1174" t="s">
        <v>347</v>
      </c>
      <c r="B1174" t="s">
        <v>1511</v>
      </c>
      <c r="C1174" t="s">
        <v>1520</v>
      </c>
    </row>
    <row r="1175" spans="1:3" x14ac:dyDescent="0.3">
      <c r="A1175" t="s">
        <v>347</v>
      </c>
      <c r="B1175" t="s">
        <v>1511</v>
      </c>
      <c r="C1175" t="s">
        <v>1521</v>
      </c>
    </row>
    <row r="1176" spans="1:3" x14ac:dyDescent="0.3">
      <c r="A1176" t="s">
        <v>347</v>
      </c>
      <c r="B1176" t="s">
        <v>1511</v>
      </c>
      <c r="C1176" t="s">
        <v>1522</v>
      </c>
    </row>
    <row r="1177" spans="1:3" x14ac:dyDescent="0.3">
      <c r="A1177" t="s">
        <v>347</v>
      </c>
      <c r="B1177" t="s">
        <v>1511</v>
      </c>
      <c r="C1177" t="s">
        <v>1523</v>
      </c>
    </row>
    <row r="1178" spans="1:3" x14ac:dyDescent="0.3">
      <c r="A1178" t="s">
        <v>347</v>
      </c>
      <c r="B1178" t="s">
        <v>1511</v>
      </c>
      <c r="C1178" t="s">
        <v>1524</v>
      </c>
    </row>
    <row r="1179" spans="1:3" x14ac:dyDescent="0.3">
      <c r="A1179" t="s">
        <v>347</v>
      </c>
      <c r="B1179" t="s">
        <v>581</v>
      </c>
      <c r="C1179" t="s">
        <v>582</v>
      </c>
    </row>
    <row r="1180" spans="1:3" x14ac:dyDescent="0.3">
      <c r="A1180" t="s">
        <v>347</v>
      </c>
      <c r="B1180" t="s">
        <v>581</v>
      </c>
      <c r="C1180" t="s">
        <v>664</v>
      </c>
    </row>
    <row r="1181" spans="1:3" x14ac:dyDescent="0.3">
      <c r="A1181" t="s">
        <v>347</v>
      </c>
      <c r="B1181" t="s">
        <v>581</v>
      </c>
      <c r="C1181" t="s">
        <v>665</v>
      </c>
    </row>
    <row r="1182" spans="1:3" x14ac:dyDescent="0.3">
      <c r="A1182" t="s">
        <v>347</v>
      </c>
      <c r="B1182" t="s">
        <v>583</v>
      </c>
      <c r="C1182" t="s">
        <v>584</v>
      </c>
    </row>
    <row r="1183" spans="1:3" x14ac:dyDescent="0.3">
      <c r="A1183" t="s">
        <v>347</v>
      </c>
      <c r="B1183" t="s">
        <v>583</v>
      </c>
      <c r="C1183" t="s">
        <v>585</v>
      </c>
    </row>
    <row r="1184" spans="1:3" x14ac:dyDescent="0.3">
      <c r="A1184" t="s">
        <v>347</v>
      </c>
      <c r="B1184" t="s">
        <v>1273</v>
      </c>
      <c r="C1184" t="s">
        <v>1274</v>
      </c>
    </row>
    <row r="1185" spans="1:3" x14ac:dyDescent="0.3">
      <c r="A1185" t="s">
        <v>347</v>
      </c>
      <c r="B1185" t="s">
        <v>1273</v>
      </c>
      <c r="C1185" t="s">
        <v>1275</v>
      </c>
    </row>
    <row r="1186" spans="1:3" x14ac:dyDescent="0.3">
      <c r="A1186" t="s">
        <v>347</v>
      </c>
      <c r="B1186" t="s">
        <v>1273</v>
      </c>
      <c r="C1186" t="s">
        <v>1276</v>
      </c>
    </row>
    <row r="1187" spans="1:3" x14ac:dyDescent="0.3">
      <c r="A1187" t="s">
        <v>347</v>
      </c>
      <c r="B1187" t="s">
        <v>586</v>
      </c>
      <c r="C1187" t="s">
        <v>587</v>
      </c>
    </row>
    <row r="1188" spans="1:3" x14ac:dyDescent="0.3">
      <c r="A1188" t="s">
        <v>347</v>
      </c>
      <c r="B1188" t="s">
        <v>586</v>
      </c>
      <c r="C1188" t="s">
        <v>588</v>
      </c>
    </row>
    <row r="1189" spans="1:3" x14ac:dyDescent="0.3">
      <c r="A1189" t="s">
        <v>347</v>
      </c>
      <c r="B1189" t="s">
        <v>586</v>
      </c>
      <c r="C1189" t="s">
        <v>589</v>
      </c>
    </row>
    <row r="1190" spans="1:3" x14ac:dyDescent="0.3">
      <c r="A1190" t="s">
        <v>347</v>
      </c>
      <c r="B1190" t="s">
        <v>1277</v>
      </c>
      <c r="C1190" t="s">
        <v>1278</v>
      </c>
    </row>
    <row r="1191" spans="1:3" x14ac:dyDescent="0.3">
      <c r="A1191" t="s">
        <v>347</v>
      </c>
      <c r="B1191" t="s">
        <v>1277</v>
      </c>
      <c r="C1191" t="s">
        <v>1279</v>
      </c>
    </row>
    <row r="1192" spans="1:3" x14ac:dyDescent="0.3">
      <c r="A1192" t="s">
        <v>347</v>
      </c>
      <c r="B1192" t="s">
        <v>590</v>
      </c>
      <c r="C1192" t="s">
        <v>591</v>
      </c>
    </row>
    <row r="1193" spans="1:3" x14ac:dyDescent="0.3">
      <c r="A1193" t="s">
        <v>347</v>
      </c>
      <c r="B1193" t="s">
        <v>590</v>
      </c>
      <c r="C1193" t="s">
        <v>592</v>
      </c>
    </row>
    <row r="1194" spans="1:3" x14ac:dyDescent="0.3">
      <c r="A1194" t="s">
        <v>347</v>
      </c>
      <c r="B1194" t="s">
        <v>590</v>
      </c>
      <c r="C1194" t="s">
        <v>593</v>
      </c>
    </row>
    <row r="1195" spans="1:3" x14ac:dyDescent="0.3">
      <c r="A1195" t="s">
        <v>347</v>
      </c>
      <c r="B1195" t="s">
        <v>940</v>
      </c>
      <c r="C1195" t="s">
        <v>941</v>
      </c>
    </row>
    <row r="1196" spans="1:3" x14ac:dyDescent="0.3">
      <c r="A1196" t="s">
        <v>347</v>
      </c>
      <c r="B1196" t="s">
        <v>940</v>
      </c>
      <c r="C1196" t="s">
        <v>942</v>
      </c>
    </row>
    <row r="1197" spans="1:3" x14ac:dyDescent="0.3">
      <c r="A1197" t="s">
        <v>347</v>
      </c>
      <c r="B1197" t="s">
        <v>943</v>
      </c>
      <c r="C1197" t="s">
        <v>944</v>
      </c>
    </row>
    <row r="1198" spans="1:3" x14ac:dyDescent="0.3">
      <c r="A1198" t="s">
        <v>347</v>
      </c>
      <c r="B1198" t="s">
        <v>943</v>
      </c>
      <c r="C1198" t="s">
        <v>945</v>
      </c>
    </row>
    <row r="1199" spans="1:3" x14ac:dyDescent="0.3">
      <c r="A1199" t="s">
        <v>347</v>
      </c>
      <c r="B1199" t="s">
        <v>943</v>
      </c>
      <c r="C1199" t="s">
        <v>946</v>
      </c>
    </row>
    <row r="1200" spans="1:3" x14ac:dyDescent="0.3">
      <c r="A1200" t="s">
        <v>347</v>
      </c>
      <c r="B1200" t="s">
        <v>943</v>
      </c>
      <c r="C1200" t="s">
        <v>947</v>
      </c>
    </row>
    <row r="1201" spans="1:3" x14ac:dyDescent="0.3">
      <c r="A1201" t="s">
        <v>347</v>
      </c>
      <c r="B1201" t="s">
        <v>943</v>
      </c>
      <c r="C1201" t="s">
        <v>948</v>
      </c>
    </row>
    <row r="1202" spans="1:3" x14ac:dyDescent="0.3">
      <c r="A1202" t="s">
        <v>347</v>
      </c>
      <c r="B1202" t="s">
        <v>943</v>
      </c>
      <c r="C1202" t="s">
        <v>949</v>
      </c>
    </row>
    <row r="1203" spans="1:3" x14ac:dyDescent="0.3">
      <c r="A1203" t="s">
        <v>347</v>
      </c>
      <c r="B1203" t="s">
        <v>943</v>
      </c>
      <c r="C1203" t="s">
        <v>950</v>
      </c>
    </row>
    <row r="1204" spans="1:3" x14ac:dyDescent="0.3">
      <c r="A1204" t="s">
        <v>347</v>
      </c>
      <c r="B1204" t="s">
        <v>943</v>
      </c>
      <c r="C1204" t="s">
        <v>951</v>
      </c>
    </row>
    <row r="1205" spans="1:3" x14ac:dyDescent="0.3">
      <c r="A1205" t="s">
        <v>347</v>
      </c>
      <c r="B1205" t="s">
        <v>943</v>
      </c>
      <c r="C1205" t="s">
        <v>952</v>
      </c>
    </row>
    <row r="1206" spans="1:3" x14ac:dyDescent="0.3">
      <c r="A1206" t="s">
        <v>347</v>
      </c>
      <c r="B1206" t="s">
        <v>943</v>
      </c>
      <c r="C1206" t="s">
        <v>953</v>
      </c>
    </row>
    <row r="1207" spans="1:3" x14ac:dyDescent="0.3">
      <c r="A1207" t="s">
        <v>347</v>
      </c>
      <c r="B1207" t="s">
        <v>943</v>
      </c>
      <c r="C1207" t="s">
        <v>954</v>
      </c>
    </row>
    <row r="1208" spans="1:3" x14ac:dyDescent="0.3">
      <c r="A1208" t="s">
        <v>347</v>
      </c>
      <c r="B1208" t="s">
        <v>943</v>
      </c>
      <c r="C1208" t="s">
        <v>955</v>
      </c>
    </row>
    <row r="1209" spans="1:3" x14ac:dyDescent="0.3">
      <c r="A1209" t="s">
        <v>347</v>
      </c>
      <c r="B1209" t="s">
        <v>943</v>
      </c>
      <c r="C1209" t="s">
        <v>956</v>
      </c>
    </row>
    <row r="1210" spans="1:3" x14ac:dyDescent="0.3">
      <c r="A1210" t="s">
        <v>347</v>
      </c>
      <c r="B1210" t="s">
        <v>594</v>
      </c>
      <c r="C1210" t="s">
        <v>595</v>
      </c>
    </row>
    <row r="1211" spans="1:3" x14ac:dyDescent="0.3">
      <c r="A1211" t="s">
        <v>347</v>
      </c>
      <c r="B1211" t="s">
        <v>594</v>
      </c>
      <c r="C1211" t="s">
        <v>596</v>
      </c>
    </row>
    <row r="1212" spans="1:3" x14ac:dyDescent="0.3">
      <c r="A1212" t="s">
        <v>347</v>
      </c>
      <c r="B1212" t="s">
        <v>1280</v>
      </c>
      <c r="C1212" t="s">
        <v>1281</v>
      </c>
    </row>
    <row r="1213" spans="1:3" x14ac:dyDescent="0.3">
      <c r="A1213" t="s">
        <v>347</v>
      </c>
      <c r="B1213" t="s">
        <v>1280</v>
      </c>
      <c r="C1213" t="s">
        <v>1282</v>
      </c>
    </row>
    <row r="1214" spans="1:3" x14ac:dyDescent="0.3">
      <c r="A1214" t="s">
        <v>347</v>
      </c>
      <c r="B1214" t="s">
        <v>1098</v>
      </c>
      <c r="C1214" t="s">
        <v>1099</v>
      </c>
    </row>
    <row r="1215" spans="1:3" x14ac:dyDescent="0.3">
      <c r="A1215" t="s">
        <v>347</v>
      </c>
      <c r="B1215" t="s">
        <v>1098</v>
      </c>
      <c r="C1215" t="s">
        <v>1100</v>
      </c>
    </row>
    <row r="1216" spans="1:3" x14ac:dyDescent="0.3">
      <c r="A1216" t="s">
        <v>347</v>
      </c>
      <c r="B1216" t="s">
        <v>1098</v>
      </c>
      <c r="C1216" t="s">
        <v>1101</v>
      </c>
    </row>
    <row r="1217" spans="1:3" x14ac:dyDescent="0.3">
      <c r="A1217" t="s">
        <v>347</v>
      </c>
      <c r="B1217" t="s">
        <v>1102</v>
      </c>
      <c r="C1217" t="s">
        <v>1103</v>
      </c>
    </row>
    <row r="1218" spans="1:3" x14ac:dyDescent="0.3">
      <c r="A1218" t="s">
        <v>347</v>
      </c>
      <c r="B1218" t="s">
        <v>1102</v>
      </c>
      <c r="C1218" t="s">
        <v>1525</v>
      </c>
    </row>
    <row r="1219" spans="1:3" x14ac:dyDescent="0.3">
      <c r="A1219" t="s">
        <v>347</v>
      </c>
      <c r="B1219" t="s">
        <v>1102</v>
      </c>
      <c r="C1219" t="s">
        <v>1526</v>
      </c>
    </row>
    <row r="1220" spans="1:3" x14ac:dyDescent="0.3">
      <c r="A1220" t="s">
        <v>347</v>
      </c>
      <c r="B1220" t="s">
        <v>1102</v>
      </c>
      <c r="C1220" t="s">
        <v>1527</v>
      </c>
    </row>
    <row r="1221" spans="1:3" x14ac:dyDescent="0.3">
      <c r="A1221" t="s">
        <v>347</v>
      </c>
      <c r="B1221" t="s">
        <v>1102</v>
      </c>
      <c r="C1221" t="s">
        <v>1528</v>
      </c>
    </row>
    <row r="1222" spans="1:3" x14ac:dyDescent="0.3">
      <c r="A1222" t="s">
        <v>347</v>
      </c>
      <c r="B1222" t="s">
        <v>1102</v>
      </c>
      <c r="C1222" t="s">
        <v>1529</v>
      </c>
    </row>
    <row r="1223" spans="1:3" x14ac:dyDescent="0.3">
      <c r="A1223" t="s">
        <v>347</v>
      </c>
      <c r="B1223" t="s">
        <v>1102</v>
      </c>
      <c r="C1223" t="s">
        <v>1530</v>
      </c>
    </row>
    <row r="1224" spans="1:3" x14ac:dyDescent="0.3">
      <c r="A1224" t="s">
        <v>347</v>
      </c>
      <c r="B1224" t="s">
        <v>597</v>
      </c>
      <c r="C1224" t="s">
        <v>598</v>
      </c>
    </row>
    <row r="1225" spans="1:3" x14ac:dyDescent="0.3">
      <c r="A1225" t="s">
        <v>347</v>
      </c>
      <c r="B1225" t="s">
        <v>597</v>
      </c>
      <c r="C1225" t="s">
        <v>599</v>
      </c>
    </row>
    <row r="1226" spans="1:3" x14ac:dyDescent="0.3">
      <c r="A1226" t="s">
        <v>600</v>
      </c>
      <c r="B1226" t="s">
        <v>601</v>
      </c>
      <c r="C1226" t="s">
        <v>602</v>
      </c>
    </row>
    <row r="1227" spans="1:3" x14ac:dyDescent="0.3">
      <c r="A1227" t="s">
        <v>600</v>
      </c>
      <c r="B1227" t="s">
        <v>601</v>
      </c>
      <c r="C1227" t="s">
        <v>603</v>
      </c>
    </row>
    <row r="1228" spans="1:3" x14ac:dyDescent="0.3">
      <c r="A1228" t="s">
        <v>600</v>
      </c>
      <c r="B1228" t="s">
        <v>601</v>
      </c>
      <c r="C1228" t="s">
        <v>1434</v>
      </c>
    </row>
    <row r="1229" spans="1:3" x14ac:dyDescent="0.3">
      <c r="A1229" t="s">
        <v>600</v>
      </c>
      <c r="B1229" t="s">
        <v>601</v>
      </c>
      <c r="C1229" t="s">
        <v>604</v>
      </c>
    </row>
    <row r="1230" spans="1:3" x14ac:dyDescent="0.3">
      <c r="A1230" t="s">
        <v>600</v>
      </c>
      <c r="B1230" t="s">
        <v>601</v>
      </c>
      <c r="C1230" t="s">
        <v>605</v>
      </c>
    </row>
    <row r="1231" spans="1:3" x14ac:dyDescent="0.3">
      <c r="A1231" t="s">
        <v>600</v>
      </c>
      <c r="B1231" t="s">
        <v>601</v>
      </c>
      <c r="C1231" t="s">
        <v>606</v>
      </c>
    </row>
    <row r="1232" spans="1:3" x14ac:dyDescent="0.3">
      <c r="A1232" t="s">
        <v>600</v>
      </c>
      <c r="B1232" t="s">
        <v>607</v>
      </c>
      <c r="C1232" t="s">
        <v>666</v>
      </c>
    </row>
    <row r="1233" spans="1:3" x14ac:dyDescent="0.3">
      <c r="A1233" t="s">
        <v>600</v>
      </c>
      <c r="B1233" t="s">
        <v>607</v>
      </c>
      <c r="C1233" t="s">
        <v>667</v>
      </c>
    </row>
    <row r="1234" spans="1:3" x14ac:dyDescent="0.3">
      <c r="A1234" t="s">
        <v>600</v>
      </c>
      <c r="B1234" t="s">
        <v>607</v>
      </c>
      <c r="C1234" t="s">
        <v>608</v>
      </c>
    </row>
    <row r="1235" spans="1:3" x14ac:dyDescent="0.3">
      <c r="A1235" t="s">
        <v>600</v>
      </c>
      <c r="B1235" t="s">
        <v>609</v>
      </c>
      <c r="C1235" t="s">
        <v>610</v>
      </c>
    </row>
    <row r="1236" spans="1:3" x14ac:dyDescent="0.3">
      <c r="A1236" t="s">
        <v>600</v>
      </c>
      <c r="B1236" t="s">
        <v>609</v>
      </c>
      <c r="C1236" t="s">
        <v>611</v>
      </c>
    </row>
    <row r="1237" spans="1:3" x14ac:dyDescent="0.3">
      <c r="A1237" t="s">
        <v>600</v>
      </c>
      <c r="B1237" t="s">
        <v>609</v>
      </c>
      <c r="C1237" t="s">
        <v>612</v>
      </c>
    </row>
    <row r="1238" spans="1:3" x14ac:dyDescent="0.3">
      <c r="A1238" t="s">
        <v>600</v>
      </c>
      <c r="B1238" t="s">
        <v>1474</v>
      </c>
      <c r="C1238" t="s">
        <v>1475</v>
      </c>
    </row>
    <row r="1239" spans="1:3" x14ac:dyDescent="0.3">
      <c r="A1239" t="s">
        <v>600</v>
      </c>
      <c r="B1239" t="s">
        <v>613</v>
      </c>
      <c r="C1239" t="s">
        <v>614</v>
      </c>
    </row>
    <row r="1240" spans="1:3" x14ac:dyDescent="0.3">
      <c r="A1240" t="s">
        <v>600</v>
      </c>
      <c r="B1240" t="s">
        <v>613</v>
      </c>
      <c r="C1240" t="s">
        <v>615</v>
      </c>
    </row>
    <row r="1241" spans="1:3" x14ac:dyDescent="0.3">
      <c r="A1241" t="s">
        <v>600</v>
      </c>
      <c r="B1241" t="s">
        <v>1052</v>
      </c>
      <c r="C1241" t="s">
        <v>1053</v>
      </c>
    </row>
    <row r="1242" spans="1:3" x14ac:dyDescent="0.3">
      <c r="A1242" t="s">
        <v>600</v>
      </c>
      <c r="B1242" t="s">
        <v>1052</v>
      </c>
      <c r="C1242" t="s">
        <v>1054</v>
      </c>
    </row>
    <row r="1243" spans="1:3" x14ac:dyDescent="0.3">
      <c r="A1243" t="s">
        <v>600</v>
      </c>
      <c r="B1243" t="s">
        <v>1052</v>
      </c>
      <c r="C1243" t="s">
        <v>1055</v>
      </c>
    </row>
    <row r="1244" spans="1:3" x14ac:dyDescent="0.3">
      <c r="A1244" t="s">
        <v>600</v>
      </c>
      <c r="B1244" t="s">
        <v>616</v>
      </c>
      <c r="C1244" t="s">
        <v>617</v>
      </c>
    </row>
    <row r="1245" spans="1:3" x14ac:dyDescent="0.3">
      <c r="A1245" t="s">
        <v>600</v>
      </c>
      <c r="B1245" t="s">
        <v>616</v>
      </c>
      <c r="C1245" t="s">
        <v>618</v>
      </c>
    </row>
    <row r="1246" spans="1:3" x14ac:dyDescent="0.3">
      <c r="A1246" t="s">
        <v>600</v>
      </c>
      <c r="B1246" t="s">
        <v>616</v>
      </c>
      <c r="C1246" t="s">
        <v>619</v>
      </c>
    </row>
    <row r="1247" spans="1:3" x14ac:dyDescent="0.3">
      <c r="A1247" t="s">
        <v>600</v>
      </c>
      <c r="B1247" t="s">
        <v>616</v>
      </c>
      <c r="C1247" t="s">
        <v>620</v>
      </c>
    </row>
    <row r="1248" spans="1:3" x14ac:dyDescent="0.3">
      <c r="A1248" t="s">
        <v>600</v>
      </c>
      <c r="B1248" t="s">
        <v>616</v>
      </c>
      <c r="C1248" t="s">
        <v>620</v>
      </c>
    </row>
    <row r="1249" spans="1:3" x14ac:dyDescent="0.3">
      <c r="A1249" t="s">
        <v>600</v>
      </c>
      <c r="B1249" t="s">
        <v>616</v>
      </c>
      <c r="C124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2025-07-09T16:20:49Z</dcterms:modified>
</cp:coreProperties>
</file>