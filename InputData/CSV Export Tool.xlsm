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305172A5-5229-4016-A15A-FC7143A6B1AD}" xr6:coauthVersionLast="47" xr6:coauthVersionMax="47" xr10:uidLastSave="{00000000-0000-0000-0000-000000000000}"/>
  <bookViews>
    <workbookView xWindow="768" yWindow="768" windowWidth="19944" windowHeight="13104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31" i="1" l="1"/>
  <c r="H1231" i="1"/>
  <c r="I1231" i="1" s="1"/>
  <c r="G1232" i="1"/>
  <c r="H1232" i="1"/>
  <c r="I1232" i="1" s="1"/>
  <c r="J1232" i="1" s="1"/>
  <c r="G1233" i="1"/>
  <c r="H1233" i="1"/>
  <c r="I1233" i="1" s="1"/>
  <c r="G1234" i="1"/>
  <c r="H1234" i="1"/>
  <c r="I1234" i="1" s="1"/>
  <c r="G1235" i="1"/>
  <c r="H1235" i="1"/>
  <c r="I1235" i="1" s="1"/>
  <c r="J1235" i="1" s="1"/>
  <c r="G1236" i="1"/>
  <c r="H1236" i="1"/>
  <c r="I1236" i="1" s="1"/>
  <c r="G1237" i="1"/>
  <c r="H1237" i="1"/>
  <c r="I1237" i="1" s="1"/>
  <c r="G1238" i="1"/>
  <c r="H1238" i="1"/>
  <c r="I1238" i="1" s="1"/>
  <c r="G1239" i="1"/>
  <c r="H1239" i="1"/>
  <c r="I1239" i="1" s="1"/>
  <c r="G1240" i="1"/>
  <c r="H1240" i="1"/>
  <c r="I1240" i="1" s="1"/>
  <c r="G1241" i="1"/>
  <c r="H1241" i="1"/>
  <c r="I1241" i="1" s="1"/>
  <c r="G1242" i="1"/>
  <c r="H1242" i="1"/>
  <c r="I1242" i="1" s="1"/>
  <c r="G1243" i="1"/>
  <c r="H1243" i="1"/>
  <c r="I1243" i="1" s="1"/>
  <c r="G1244" i="1"/>
  <c r="H1244" i="1"/>
  <c r="I1244" i="1" s="1"/>
  <c r="G1245" i="1"/>
  <c r="H1245" i="1"/>
  <c r="I1245" i="1" s="1"/>
  <c r="G1246" i="1"/>
  <c r="H1246" i="1"/>
  <c r="I1246" i="1" s="1"/>
  <c r="G1147" i="1"/>
  <c r="H1147" i="1"/>
  <c r="I1147" i="1" s="1"/>
  <c r="J1147" i="1" s="1"/>
  <c r="G1148" i="1"/>
  <c r="H1148" i="1"/>
  <c r="I1148" i="1" s="1"/>
  <c r="G1149" i="1"/>
  <c r="H1149" i="1"/>
  <c r="I1149" i="1" s="1"/>
  <c r="G1150" i="1"/>
  <c r="H1150" i="1"/>
  <c r="I1150" i="1" s="1"/>
  <c r="G1151" i="1"/>
  <c r="H1151" i="1"/>
  <c r="I1151" i="1" s="1"/>
  <c r="G1152" i="1"/>
  <c r="H1152" i="1"/>
  <c r="I1152" i="1" s="1"/>
  <c r="G1153" i="1"/>
  <c r="H1153" i="1"/>
  <c r="I1153" i="1" s="1"/>
  <c r="G1154" i="1"/>
  <c r="H1154" i="1"/>
  <c r="I1154" i="1" s="1"/>
  <c r="G1155" i="1"/>
  <c r="H1155" i="1"/>
  <c r="I1155" i="1" s="1"/>
  <c r="G1156" i="1"/>
  <c r="H1156" i="1"/>
  <c r="I1156" i="1" s="1"/>
  <c r="G1157" i="1"/>
  <c r="H1157" i="1"/>
  <c r="I1157" i="1" s="1"/>
  <c r="G1158" i="1"/>
  <c r="H1158" i="1"/>
  <c r="I1158" i="1" s="1"/>
  <c r="J1158" i="1" s="1"/>
  <c r="G1159" i="1"/>
  <c r="H1159" i="1"/>
  <c r="I1159" i="1" s="1"/>
  <c r="G1160" i="1"/>
  <c r="H1160" i="1"/>
  <c r="I1160" i="1" s="1"/>
  <c r="G1161" i="1"/>
  <c r="H1161" i="1"/>
  <c r="I1161" i="1" s="1"/>
  <c r="G1162" i="1"/>
  <c r="H1162" i="1"/>
  <c r="I1162" i="1" s="1"/>
  <c r="G1163" i="1"/>
  <c r="H1163" i="1"/>
  <c r="I1163" i="1" s="1"/>
  <c r="G1164" i="1"/>
  <c r="H1164" i="1"/>
  <c r="I1164" i="1" s="1"/>
  <c r="J1164" i="1" s="1"/>
  <c r="G1165" i="1"/>
  <c r="H1165" i="1"/>
  <c r="I1165" i="1" s="1"/>
  <c r="G1166" i="1"/>
  <c r="H1166" i="1"/>
  <c r="I1166" i="1" s="1"/>
  <c r="G1167" i="1"/>
  <c r="H1167" i="1"/>
  <c r="I1167" i="1" s="1"/>
  <c r="J1167" i="1" s="1"/>
  <c r="G1168" i="1"/>
  <c r="H1168" i="1"/>
  <c r="I1168" i="1" s="1"/>
  <c r="G1169" i="1"/>
  <c r="H1169" i="1"/>
  <c r="I1169" i="1" s="1"/>
  <c r="G1170" i="1"/>
  <c r="H1170" i="1"/>
  <c r="I1170" i="1" s="1"/>
  <c r="J1170" i="1" s="1"/>
  <c r="G1171" i="1"/>
  <c r="H1171" i="1"/>
  <c r="I1171" i="1"/>
  <c r="G1172" i="1"/>
  <c r="H1172" i="1"/>
  <c r="I1172" i="1" s="1"/>
  <c r="G1173" i="1"/>
  <c r="H1173" i="1"/>
  <c r="I1173" i="1" s="1"/>
  <c r="G1174" i="1"/>
  <c r="H1174" i="1"/>
  <c r="I1174" i="1"/>
  <c r="G1175" i="1"/>
  <c r="H1175" i="1"/>
  <c r="I1175" i="1" s="1"/>
  <c r="G1176" i="1"/>
  <c r="H1176" i="1"/>
  <c r="I1176" i="1" s="1"/>
  <c r="G1177" i="1"/>
  <c r="H1177" i="1"/>
  <c r="I1177" i="1" s="1"/>
  <c r="G1178" i="1"/>
  <c r="H1178" i="1"/>
  <c r="I1178" i="1" s="1"/>
  <c r="G1179" i="1"/>
  <c r="H1179" i="1"/>
  <c r="I1179" i="1" s="1"/>
  <c r="G1180" i="1"/>
  <c r="H1180" i="1"/>
  <c r="I1180" i="1" s="1"/>
  <c r="G1181" i="1"/>
  <c r="H1181" i="1"/>
  <c r="I1181" i="1" s="1"/>
  <c r="J1181" i="1" s="1"/>
  <c r="G1182" i="1"/>
  <c r="H1182" i="1"/>
  <c r="I1182" i="1" s="1"/>
  <c r="G1183" i="1"/>
  <c r="H1183" i="1"/>
  <c r="I1183" i="1" s="1"/>
  <c r="G1184" i="1"/>
  <c r="H1184" i="1"/>
  <c r="I1184" i="1" s="1"/>
  <c r="G1185" i="1"/>
  <c r="H1185" i="1"/>
  <c r="I1185" i="1" s="1"/>
  <c r="J1185" i="1" s="1"/>
  <c r="G1186" i="1"/>
  <c r="H1186" i="1"/>
  <c r="I1186" i="1" s="1"/>
  <c r="G1187" i="1"/>
  <c r="H1187" i="1"/>
  <c r="I1187" i="1" s="1"/>
  <c r="G1188" i="1"/>
  <c r="H1188" i="1"/>
  <c r="I1188" i="1" s="1"/>
  <c r="J1188" i="1" s="1"/>
  <c r="G1189" i="1"/>
  <c r="H1189" i="1"/>
  <c r="I1189" i="1" s="1"/>
  <c r="G1190" i="1"/>
  <c r="H1190" i="1"/>
  <c r="I1190" i="1" s="1"/>
  <c r="J1190" i="1" s="1"/>
  <c r="G1191" i="1"/>
  <c r="H1191" i="1"/>
  <c r="I1191" i="1" s="1"/>
  <c r="G1192" i="1"/>
  <c r="H1192" i="1"/>
  <c r="I1192" i="1" s="1"/>
  <c r="G1193" i="1"/>
  <c r="H1193" i="1"/>
  <c r="I1193" i="1" s="1"/>
  <c r="G1194" i="1"/>
  <c r="H1194" i="1"/>
  <c r="I1194" i="1" s="1"/>
  <c r="J1194" i="1" s="1"/>
  <c r="G1195" i="1"/>
  <c r="H1195" i="1"/>
  <c r="I1195" i="1" s="1"/>
  <c r="J1195" i="1" s="1"/>
  <c r="G1196" i="1"/>
  <c r="H1196" i="1"/>
  <c r="I1196" i="1" s="1"/>
  <c r="G1197" i="1"/>
  <c r="H1197" i="1"/>
  <c r="I1197" i="1" s="1"/>
  <c r="G1198" i="1"/>
  <c r="H1198" i="1"/>
  <c r="I1198" i="1" s="1"/>
  <c r="G1199" i="1"/>
  <c r="H1199" i="1"/>
  <c r="I1199" i="1" s="1"/>
  <c r="G1200" i="1"/>
  <c r="H1200" i="1"/>
  <c r="I1200" i="1" s="1"/>
  <c r="G1201" i="1"/>
  <c r="H1201" i="1"/>
  <c r="I1201" i="1" s="1"/>
  <c r="G1202" i="1"/>
  <c r="H1202" i="1"/>
  <c r="I1202" i="1" s="1"/>
  <c r="G1203" i="1"/>
  <c r="H1203" i="1"/>
  <c r="I1203" i="1" s="1"/>
  <c r="G1204" i="1"/>
  <c r="H1204" i="1"/>
  <c r="I1204" i="1" s="1"/>
  <c r="G1205" i="1"/>
  <c r="H1205" i="1"/>
  <c r="I1205" i="1" s="1"/>
  <c r="G1206" i="1"/>
  <c r="H1206" i="1"/>
  <c r="I1206" i="1" s="1"/>
  <c r="G1207" i="1"/>
  <c r="H1207" i="1"/>
  <c r="I1207" i="1" s="1"/>
  <c r="G1208" i="1"/>
  <c r="H1208" i="1"/>
  <c r="I1208" i="1" s="1"/>
  <c r="G1209" i="1"/>
  <c r="H1209" i="1"/>
  <c r="I1209" i="1" s="1"/>
  <c r="G1210" i="1"/>
  <c r="H1210" i="1"/>
  <c r="I1210" i="1" s="1"/>
  <c r="G1211" i="1"/>
  <c r="H1211" i="1"/>
  <c r="I1211" i="1" s="1"/>
  <c r="G1212" i="1"/>
  <c r="H1212" i="1"/>
  <c r="I1212" i="1" s="1"/>
  <c r="G1213" i="1"/>
  <c r="H1213" i="1"/>
  <c r="I1213" i="1"/>
  <c r="G1214" i="1"/>
  <c r="H1214" i="1"/>
  <c r="I1214" i="1" s="1"/>
  <c r="J1214" i="1" s="1"/>
  <c r="G1215" i="1"/>
  <c r="H1215" i="1"/>
  <c r="I1215" i="1" s="1"/>
  <c r="G1216" i="1"/>
  <c r="H1216" i="1"/>
  <c r="I1216" i="1" s="1"/>
  <c r="G1217" i="1"/>
  <c r="H1217" i="1"/>
  <c r="I1217" i="1" s="1"/>
  <c r="G1218" i="1"/>
  <c r="H1218" i="1"/>
  <c r="I1218" i="1" s="1"/>
  <c r="G1219" i="1"/>
  <c r="H1219" i="1"/>
  <c r="I1219" i="1" s="1"/>
  <c r="J1219" i="1" s="1"/>
  <c r="G1220" i="1"/>
  <c r="H1220" i="1"/>
  <c r="I1220" i="1" s="1"/>
  <c r="G1221" i="1"/>
  <c r="H1221" i="1"/>
  <c r="I1221" i="1" s="1"/>
  <c r="G1222" i="1"/>
  <c r="H1222" i="1"/>
  <c r="I1222" i="1" s="1"/>
  <c r="J1222" i="1" s="1"/>
  <c r="G1223" i="1"/>
  <c r="H1223" i="1"/>
  <c r="I1223" i="1" s="1"/>
  <c r="G1224" i="1"/>
  <c r="H1224" i="1"/>
  <c r="I1224" i="1" s="1"/>
  <c r="G1225" i="1"/>
  <c r="H1225" i="1"/>
  <c r="I1225" i="1" s="1"/>
  <c r="G1226" i="1"/>
  <c r="H1226" i="1"/>
  <c r="I1226" i="1" s="1"/>
  <c r="G1227" i="1"/>
  <c r="H1227" i="1"/>
  <c r="I1227" i="1" s="1"/>
  <c r="G1228" i="1"/>
  <c r="H1228" i="1"/>
  <c r="I1228" i="1" s="1"/>
  <c r="G1229" i="1"/>
  <c r="H1229" i="1"/>
  <c r="I1229" i="1" s="1"/>
  <c r="G1230" i="1"/>
  <c r="H1230" i="1"/>
  <c r="I1230" i="1" s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H950" i="1"/>
  <c r="I950" i="1" s="1"/>
  <c r="G950" i="1"/>
  <c r="H949" i="1"/>
  <c r="I949" i="1" s="1"/>
  <c r="G949" i="1"/>
  <c r="H948" i="1"/>
  <c r="I948" i="1" s="1"/>
  <c r="G948" i="1"/>
  <c r="H947" i="1"/>
  <c r="I947" i="1" s="1"/>
  <c r="G947" i="1"/>
  <c r="H946" i="1"/>
  <c r="I946" i="1" s="1"/>
  <c r="G946" i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J942" i="1" s="1"/>
  <c r="G943" i="1"/>
  <c r="H943" i="1"/>
  <c r="I943" i="1" s="1"/>
  <c r="G944" i="1"/>
  <c r="H944" i="1"/>
  <c r="I944" i="1" s="1"/>
  <c r="G945" i="1"/>
  <c r="H945" i="1"/>
  <c r="I945" i="1" s="1"/>
  <c r="J1199" i="1" l="1"/>
  <c r="J1226" i="1"/>
  <c r="J1209" i="1"/>
  <c r="J1203" i="1"/>
  <c r="J1197" i="1"/>
  <c r="J1230" i="1"/>
  <c r="J1227" i="1"/>
  <c r="J1152" i="1"/>
  <c r="J1151" i="1"/>
  <c r="J1239" i="1"/>
  <c r="J1179" i="1"/>
  <c r="J1150" i="1"/>
  <c r="J1149" i="1"/>
  <c r="J1212" i="1"/>
  <c r="J1206" i="1"/>
  <c r="J1223" i="1"/>
  <c r="J1200" i="1"/>
  <c r="J1205" i="1"/>
  <c r="J1169" i="1"/>
  <c r="J1204" i="1"/>
  <c r="J1168" i="1"/>
  <c r="J1245" i="1"/>
  <c r="J1221" i="1"/>
  <c r="J1215" i="1"/>
  <c r="J1177" i="1"/>
  <c r="J1161" i="1"/>
  <c r="J1155" i="1"/>
  <c r="J1244" i="1"/>
  <c r="J1208" i="1"/>
  <c r="J1224" i="1"/>
  <c r="J1213" i="1"/>
  <c r="J1160" i="1"/>
  <c r="J1218" i="1"/>
  <c r="J1196" i="1"/>
  <c r="J1191" i="1"/>
  <c r="J1159" i="1"/>
  <c r="J1154" i="1"/>
  <c r="J1217" i="1"/>
  <c r="J1178" i="1"/>
  <c r="J1173" i="1"/>
  <c r="J1163" i="1"/>
  <c r="J1233" i="1"/>
  <c r="J1187" i="1"/>
  <c r="J1182" i="1"/>
  <c r="J1172" i="1"/>
  <c r="J1186" i="1"/>
  <c r="J1176" i="1"/>
  <c r="J1225" i="1"/>
  <c r="J1216" i="1"/>
  <c r="J1207" i="1"/>
  <c r="J1198" i="1"/>
  <c r="J1189" i="1"/>
  <c r="J1180" i="1"/>
  <c r="J1171" i="1"/>
  <c r="J1162" i="1"/>
  <c r="J1153" i="1"/>
  <c r="J1220" i="1"/>
  <c r="J1211" i="1"/>
  <c r="J1202" i="1"/>
  <c r="J1193" i="1"/>
  <c r="J1184" i="1"/>
  <c r="J1175" i="1"/>
  <c r="J1166" i="1"/>
  <c r="J1157" i="1"/>
  <c r="J1148" i="1"/>
  <c r="J1238" i="1"/>
  <c r="J1210" i="1"/>
  <c r="J1201" i="1"/>
  <c r="J1192" i="1"/>
  <c r="J1183" i="1"/>
  <c r="J1174" i="1"/>
  <c r="J1165" i="1"/>
  <c r="J1156" i="1"/>
  <c r="J1242" i="1"/>
  <c r="J1236" i="1"/>
  <c r="J1241" i="1"/>
  <c r="J1240" i="1"/>
  <c r="J1228" i="1"/>
  <c r="J1246" i="1"/>
  <c r="J1234" i="1"/>
  <c r="J1243" i="1"/>
  <c r="J1237" i="1"/>
  <c r="J1231" i="1"/>
  <c r="J1229" i="1"/>
  <c r="J913" i="1"/>
  <c r="J933" i="1"/>
  <c r="J940" i="1"/>
  <c r="J955" i="1"/>
  <c r="J965" i="1"/>
  <c r="J921" i="1"/>
  <c r="J901" i="1"/>
  <c r="J881" i="1"/>
  <c r="J953" i="1"/>
  <c r="J973" i="1"/>
  <c r="J963" i="1"/>
  <c r="J944" i="1"/>
  <c r="J935" i="1"/>
  <c r="J925" i="1"/>
  <c r="J905" i="1"/>
  <c r="J885" i="1"/>
  <c r="J929" i="1"/>
  <c r="J889" i="1"/>
  <c r="J986" i="1"/>
  <c r="J988" i="1"/>
  <c r="J951" i="1"/>
  <c r="J961" i="1"/>
  <c r="J959" i="1"/>
  <c r="J969" i="1"/>
  <c r="J937" i="1"/>
  <c r="J947" i="1"/>
  <c r="J967" i="1"/>
  <c r="J1024" i="1"/>
  <c r="J1022" i="1"/>
  <c r="J1026" i="1"/>
  <c r="J1030" i="1"/>
  <c r="J1110" i="1"/>
  <c r="J1122" i="1"/>
  <c r="J1126" i="1"/>
  <c r="J998" i="1"/>
  <c r="J1112" i="1"/>
  <c r="J1056" i="1"/>
  <c r="J1115" i="1"/>
  <c r="J1070" i="1"/>
  <c r="J1040" i="1"/>
  <c r="J1088" i="1"/>
  <c r="J972" i="1"/>
  <c r="J976" i="1"/>
  <c r="J1006" i="1"/>
  <c r="J1071" i="1"/>
  <c r="J946" i="1"/>
  <c r="J950" i="1"/>
  <c r="J1019" i="1"/>
  <c r="J1038" i="1"/>
  <c r="J1083" i="1"/>
  <c r="J1090" i="1"/>
  <c r="J1094" i="1"/>
  <c r="J1106" i="1"/>
  <c r="J970" i="1"/>
  <c r="J974" i="1"/>
  <c r="J1000" i="1"/>
  <c r="J1016" i="1"/>
  <c r="J1039" i="1"/>
  <c r="J1134" i="1"/>
  <c r="J1142" i="1"/>
  <c r="J978" i="1"/>
  <c r="J984" i="1"/>
  <c r="J1048" i="1"/>
  <c r="J1085" i="1"/>
  <c r="J1103" i="1"/>
  <c r="J994" i="1"/>
  <c r="J1008" i="1"/>
  <c r="J1023" i="1"/>
  <c r="J1067" i="1"/>
  <c r="J1074" i="1"/>
  <c r="J1078" i="1"/>
  <c r="J1096" i="1"/>
  <c r="J1118" i="1"/>
  <c r="J1133" i="1"/>
  <c r="J1136" i="1"/>
  <c r="J1144" i="1"/>
  <c r="J949" i="1"/>
  <c r="J960" i="1"/>
  <c r="J971" i="1"/>
  <c r="J975" i="1"/>
  <c r="J992" i="1"/>
  <c r="J1042" i="1"/>
  <c r="J1046" i="1"/>
  <c r="J1064" i="1"/>
  <c r="J1086" i="1"/>
  <c r="J1101" i="1"/>
  <c r="J1104" i="1"/>
  <c r="J1119" i="1"/>
  <c r="J954" i="1"/>
  <c r="J957" i="1"/>
  <c r="J1003" i="1"/>
  <c r="J1010" i="1"/>
  <c r="J1014" i="1"/>
  <c r="J1032" i="1"/>
  <c r="J1054" i="1"/>
  <c r="J1072" i="1"/>
  <c r="J1087" i="1"/>
  <c r="J1131" i="1"/>
  <c r="J1138" i="1"/>
  <c r="J958" i="1"/>
  <c r="J980" i="1"/>
  <c r="J987" i="1"/>
  <c r="J1007" i="1"/>
  <c r="J1051" i="1"/>
  <c r="J1058" i="1"/>
  <c r="J1062" i="1"/>
  <c r="J1080" i="1"/>
  <c r="J1102" i="1"/>
  <c r="J1117" i="1"/>
  <c r="J1120" i="1"/>
  <c r="J1135" i="1"/>
  <c r="J1055" i="1"/>
  <c r="J1128" i="1"/>
  <c r="J948" i="1"/>
  <c r="J964" i="1"/>
  <c r="J968" i="1"/>
  <c r="J982" i="1"/>
  <c r="J1035" i="1"/>
  <c r="J952" i="1"/>
  <c r="J962" i="1"/>
  <c r="J956" i="1"/>
  <c r="J966" i="1"/>
  <c r="J1099" i="1"/>
  <c r="J1013" i="1"/>
  <c r="J1045" i="1"/>
  <c r="J1093" i="1"/>
  <c r="J985" i="1"/>
  <c r="J995" i="1"/>
  <c r="J1001" i="1"/>
  <c r="J1004" i="1"/>
  <c r="J1017" i="1"/>
  <c r="J1020" i="1"/>
  <c r="J1033" i="1"/>
  <c r="J1036" i="1"/>
  <c r="J1049" i="1"/>
  <c r="J1052" i="1"/>
  <c r="J1065" i="1"/>
  <c r="J1068" i="1"/>
  <c r="J1081" i="1"/>
  <c r="J1084" i="1"/>
  <c r="J1097" i="1"/>
  <c r="J1100" i="1"/>
  <c r="J1113" i="1"/>
  <c r="J1116" i="1"/>
  <c r="J1129" i="1"/>
  <c r="J1132" i="1"/>
  <c r="J1145" i="1"/>
  <c r="J1061" i="1"/>
  <c r="J1077" i="1"/>
  <c r="J1109" i="1"/>
  <c r="J983" i="1"/>
  <c r="J1027" i="1"/>
  <c r="J1059" i="1"/>
  <c r="J1075" i="1"/>
  <c r="J1091" i="1"/>
  <c r="J1107" i="1"/>
  <c r="J1123" i="1"/>
  <c r="J1139" i="1"/>
  <c r="J1141" i="1"/>
  <c r="J993" i="1"/>
  <c r="J1021" i="1"/>
  <c r="J1037" i="1"/>
  <c r="J1053" i="1"/>
  <c r="J1069" i="1"/>
  <c r="J989" i="1"/>
  <c r="J997" i="1"/>
  <c r="J990" i="1"/>
  <c r="J1011" i="1"/>
  <c r="J1043" i="1"/>
  <c r="J981" i="1"/>
  <c r="J1005" i="1"/>
  <c r="J979" i="1"/>
  <c r="J996" i="1"/>
  <c r="J999" i="1"/>
  <c r="J1002" i="1"/>
  <c r="J1015" i="1"/>
  <c r="J1018" i="1"/>
  <c r="J1031" i="1"/>
  <c r="J1034" i="1"/>
  <c r="J1047" i="1"/>
  <c r="J1050" i="1"/>
  <c r="J1063" i="1"/>
  <c r="J1066" i="1"/>
  <c r="J1079" i="1"/>
  <c r="J1082" i="1"/>
  <c r="J1095" i="1"/>
  <c r="J1098" i="1"/>
  <c r="J1111" i="1"/>
  <c r="J1114" i="1"/>
  <c r="J1127" i="1"/>
  <c r="J1130" i="1"/>
  <c r="J1143" i="1"/>
  <c r="J1146" i="1"/>
  <c r="J1029" i="1"/>
  <c r="J1125" i="1"/>
  <c r="J977" i="1"/>
  <c r="J991" i="1"/>
  <c r="J1009" i="1"/>
  <c r="J1012" i="1"/>
  <c r="J1025" i="1"/>
  <c r="J1028" i="1"/>
  <c r="J1041" i="1"/>
  <c r="J1044" i="1"/>
  <c r="J1057" i="1"/>
  <c r="J1060" i="1"/>
  <c r="J1073" i="1"/>
  <c r="J1076" i="1"/>
  <c r="J1089" i="1"/>
  <c r="J1092" i="1"/>
  <c r="J1105" i="1"/>
  <c r="J1108" i="1"/>
  <c r="J1121" i="1"/>
  <c r="J1124" i="1"/>
  <c r="J1137" i="1"/>
  <c r="J1140" i="1"/>
  <c r="J923" i="1"/>
  <c r="J911" i="1"/>
  <c r="J895" i="1"/>
  <c r="J891" i="1"/>
  <c r="J887" i="1"/>
  <c r="J927" i="1"/>
  <c r="J907" i="1"/>
  <c r="J903" i="1"/>
  <c r="J902" i="1"/>
  <c r="J897" i="1"/>
  <c r="J919" i="1"/>
  <c r="J909" i="1"/>
  <c r="J945" i="1"/>
  <c r="J899" i="1"/>
  <c r="J926" i="1"/>
  <c r="J906" i="1"/>
  <c r="J917" i="1"/>
  <c r="J898" i="1"/>
  <c r="J918" i="1"/>
  <c r="J914" i="1"/>
  <c r="J890" i="1"/>
  <c r="J938" i="1"/>
  <c r="J915" i="1"/>
  <c r="J941" i="1"/>
  <c r="J931" i="1"/>
  <c r="J894" i="1"/>
  <c r="J883" i="1"/>
  <c r="J934" i="1"/>
  <c r="J930" i="1"/>
  <c r="J893" i="1"/>
  <c r="J886" i="1"/>
  <c r="J882" i="1"/>
  <c r="J922" i="1"/>
  <c r="J910" i="1"/>
  <c r="J939" i="1"/>
  <c r="J924" i="1"/>
  <c r="J908" i="1"/>
  <c r="J892" i="1"/>
  <c r="J879" i="1"/>
  <c r="J875" i="1"/>
  <c r="J872" i="1"/>
  <c r="J868" i="1"/>
  <c r="J864" i="1"/>
  <c r="J860" i="1"/>
  <c r="J856" i="1"/>
  <c r="J852" i="1"/>
  <c r="J848" i="1"/>
  <c r="J844" i="1"/>
  <c r="J840" i="1"/>
  <c r="J836" i="1"/>
  <c r="J832" i="1"/>
  <c r="J936" i="1"/>
  <c r="J920" i="1"/>
  <c r="J904" i="1"/>
  <c r="J888" i="1"/>
  <c r="J878" i="1"/>
  <c r="J871" i="1"/>
  <c r="J867" i="1"/>
  <c r="J863" i="1"/>
  <c r="J859" i="1"/>
  <c r="J855" i="1"/>
  <c r="J851" i="1"/>
  <c r="J847" i="1"/>
  <c r="J843" i="1"/>
  <c r="J839" i="1"/>
  <c r="J835" i="1"/>
  <c r="J831" i="1"/>
  <c r="J932" i="1"/>
  <c r="J916" i="1"/>
  <c r="J900" i="1"/>
  <c r="J884" i="1"/>
  <c r="J877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943" i="1"/>
  <c r="J928" i="1"/>
  <c r="J912" i="1"/>
  <c r="J896" i="1"/>
  <c r="J880" i="1"/>
  <c r="J876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G766" i="1"/>
  <c r="H766" i="1"/>
  <c r="I766" i="1" s="1"/>
  <c r="G767" i="1"/>
  <c r="H767" i="1"/>
  <c r="I767" i="1" s="1"/>
  <c r="G768" i="1"/>
  <c r="H768" i="1"/>
  <c r="I768" i="1" s="1"/>
  <c r="G769" i="1"/>
  <c r="H769" i="1"/>
  <c r="I769" i="1" s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J825" i="1" l="1"/>
  <c r="J821" i="1"/>
  <c r="J817" i="1"/>
  <c r="J813" i="1"/>
  <c r="J809" i="1"/>
  <c r="J806" i="1"/>
  <c r="J804" i="1"/>
  <c r="J801" i="1"/>
  <c r="J797" i="1"/>
  <c r="J793" i="1"/>
  <c r="J789" i="1"/>
  <c r="J785" i="1"/>
  <c r="J781" i="1"/>
  <c r="J777" i="1"/>
  <c r="J773" i="1"/>
  <c r="J769" i="1"/>
  <c r="J828" i="1"/>
  <c r="J824" i="1"/>
  <c r="J820" i="1"/>
  <c r="J816" i="1"/>
  <c r="J812" i="1"/>
  <c r="J803" i="1"/>
  <c r="J800" i="1"/>
  <c r="J796" i="1"/>
  <c r="J792" i="1"/>
  <c r="J788" i="1"/>
  <c r="J784" i="1"/>
  <c r="J780" i="1"/>
  <c r="J776" i="1"/>
  <c r="J772" i="1"/>
  <c r="J768" i="1"/>
  <c r="J827" i="1"/>
  <c r="J823" i="1"/>
  <c r="J819" i="1"/>
  <c r="J815" i="1"/>
  <c r="J811" i="1"/>
  <c r="J808" i="1"/>
  <c r="J805" i="1"/>
  <c r="J802" i="1"/>
  <c r="J799" i="1"/>
  <c r="J795" i="1"/>
  <c r="J791" i="1"/>
  <c r="J787" i="1"/>
  <c r="J783" i="1"/>
  <c r="J779" i="1"/>
  <c r="J775" i="1"/>
  <c r="J771" i="1"/>
  <c r="J767" i="1"/>
  <c r="J826" i="1"/>
  <c r="J822" i="1"/>
  <c r="J818" i="1"/>
  <c r="J814" i="1"/>
  <c r="J810" i="1"/>
  <c r="J807" i="1"/>
  <c r="J798" i="1"/>
  <c r="J794" i="1"/>
  <c r="J790" i="1"/>
  <c r="J786" i="1"/>
  <c r="J782" i="1"/>
  <c r="J778" i="1"/>
  <c r="J774" i="1"/>
  <c r="J770" i="1"/>
  <c r="J766" i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56" i="1"/>
  <c r="I456" i="1" s="1"/>
  <c r="H457" i="1"/>
  <c r="I457" i="1" s="1"/>
  <c r="H458" i="1"/>
  <c r="I458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519" i="1"/>
  <c r="I519" i="1" s="1"/>
  <c r="H520" i="1"/>
  <c r="I520" i="1" s="1"/>
  <c r="H521" i="1"/>
  <c r="I521" i="1" s="1"/>
  <c r="H534" i="1"/>
  <c r="I534" i="1" s="1"/>
  <c r="H535" i="1"/>
  <c r="I535" i="1" s="1"/>
  <c r="H536" i="1"/>
  <c r="I536" i="1" s="1"/>
  <c r="H537" i="1"/>
  <c r="I537" i="1" s="1"/>
  <c r="H538" i="1"/>
  <c r="I538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6" i="1"/>
  <c r="I6" i="1" s="1"/>
  <c r="G705" i="1" l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04" i="1"/>
  <c r="J70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J456" i="1" s="1"/>
  <c r="G457" i="1"/>
  <c r="J457" i="1" s="1"/>
  <c r="G458" i="1"/>
  <c r="J458" i="1" s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J519" i="1" s="1"/>
  <c r="G520" i="1"/>
  <c r="J520" i="1" s="1"/>
  <c r="G521" i="1"/>
  <c r="J521" i="1" s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J534" i="1" s="1"/>
  <c r="G535" i="1"/>
  <c r="J535" i="1" s="1"/>
  <c r="G536" i="1"/>
  <c r="J536" i="1" s="1"/>
  <c r="G537" i="1"/>
  <c r="J537" i="1" s="1"/>
  <c r="G538" i="1"/>
  <c r="J538" i="1" s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J574" i="1" s="1"/>
  <c r="G575" i="1"/>
  <c r="J575" i="1" s="1"/>
  <c r="G576" i="1"/>
  <c r="J576" i="1" s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G609" i="1"/>
  <c r="G610" i="1"/>
  <c r="G611" i="1"/>
  <c r="G612" i="1"/>
  <c r="G613" i="1"/>
  <c r="G614" i="1"/>
  <c r="G615" i="1"/>
  <c r="G616" i="1"/>
  <c r="G617" i="1"/>
  <c r="G618" i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J6" i="1" l="1"/>
  <c r="H434" i="1" l="1"/>
  <c r="I434" i="1" s="1"/>
  <c r="J434" i="1" s="1"/>
  <c r="H435" i="1"/>
  <c r="I435" i="1" s="1"/>
  <c r="J435" i="1" s="1"/>
  <c r="H433" i="1" l="1"/>
  <c r="I433" i="1" s="1"/>
  <c r="J433" i="1" s="1"/>
  <c r="H442" i="1" l="1"/>
  <c r="I442" i="1" s="1"/>
  <c r="J442" i="1" s="1"/>
  <c r="H440" i="1"/>
  <c r="I440" i="1" s="1"/>
  <c r="J440" i="1" s="1"/>
  <c r="H441" i="1"/>
  <c r="I441" i="1" s="1"/>
  <c r="J441" i="1" s="1"/>
  <c r="H443" i="1"/>
  <c r="I443" i="1" s="1"/>
  <c r="J443" i="1" s="1"/>
  <c r="H436" i="1"/>
  <c r="I436" i="1" s="1"/>
  <c r="J436" i="1" s="1"/>
  <c r="H437" i="1" l="1"/>
  <c r="I437" i="1" s="1"/>
  <c r="J437" i="1" s="1"/>
  <c r="H438" i="1"/>
  <c r="I438" i="1" s="1"/>
  <c r="J438" i="1" s="1"/>
  <c r="H439" i="1"/>
  <c r="I439" i="1" s="1"/>
  <c r="J439" i="1" s="1"/>
  <c r="H446" i="1"/>
  <c r="I446" i="1" s="1"/>
  <c r="J446" i="1" s="1"/>
  <c r="H449" i="1" l="1"/>
  <c r="I449" i="1" s="1"/>
  <c r="J449" i="1" s="1"/>
  <c r="H447" i="1"/>
  <c r="I447" i="1" s="1"/>
  <c r="J447" i="1" s="1"/>
  <c r="H445" i="1"/>
  <c r="I445" i="1" s="1"/>
  <c r="J445" i="1" s="1"/>
  <c r="H448" i="1"/>
  <c r="I448" i="1" s="1"/>
  <c r="J448" i="1" s="1"/>
  <c r="H444" i="1"/>
  <c r="I444" i="1" s="1"/>
  <c r="J444" i="1" s="1"/>
  <c r="H455" i="1" l="1"/>
  <c r="I455" i="1" s="1"/>
  <c r="J455" i="1" s="1"/>
  <c r="H452" i="1"/>
  <c r="I452" i="1" s="1"/>
  <c r="J452" i="1" s="1"/>
  <c r="H451" i="1"/>
  <c r="I451" i="1" s="1"/>
  <c r="J451" i="1" s="1"/>
  <c r="H454" i="1"/>
  <c r="I454" i="1" s="1"/>
  <c r="J454" i="1" s="1"/>
  <c r="H453" i="1"/>
  <c r="I453" i="1" s="1"/>
  <c r="J453" i="1" s="1"/>
  <c r="H450" i="1"/>
  <c r="I450" i="1" s="1"/>
  <c r="J450" i="1" s="1"/>
  <c r="H503" i="1" l="1"/>
  <c r="I503" i="1" s="1"/>
  <c r="J503" i="1" s="1"/>
  <c r="H498" i="1"/>
  <c r="I498" i="1" s="1"/>
  <c r="J498" i="1" s="1"/>
  <c r="H496" i="1"/>
  <c r="I496" i="1" s="1"/>
  <c r="J496" i="1" s="1"/>
  <c r="H500" i="1"/>
  <c r="I500" i="1" s="1"/>
  <c r="J500" i="1" s="1"/>
  <c r="H497" i="1"/>
  <c r="I497" i="1" s="1"/>
  <c r="J497" i="1" s="1"/>
  <c r="H499" i="1"/>
  <c r="I499" i="1" s="1"/>
  <c r="J499" i="1" s="1"/>
  <c r="H501" i="1" l="1"/>
  <c r="I501" i="1" s="1"/>
  <c r="J501" i="1" s="1"/>
  <c r="H502" i="1"/>
  <c r="I502" i="1" s="1"/>
  <c r="J502" i="1" s="1"/>
  <c r="H504" i="1"/>
  <c r="I504" i="1" s="1"/>
  <c r="J504" i="1" s="1"/>
  <c r="H505" i="1"/>
  <c r="I505" i="1" s="1"/>
  <c r="J505" i="1" s="1"/>
  <c r="H506" i="1"/>
  <c r="I506" i="1" s="1"/>
  <c r="J506" i="1" s="1"/>
  <c r="H512" i="1" l="1"/>
  <c r="I512" i="1" s="1"/>
  <c r="J512" i="1" s="1"/>
  <c r="H511" i="1"/>
  <c r="I511" i="1" s="1"/>
  <c r="J511" i="1" s="1"/>
  <c r="H509" i="1"/>
  <c r="I509" i="1" s="1"/>
  <c r="J509" i="1" s="1"/>
  <c r="H508" i="1"/>
  <c r="I508" i="1" s="1"/>
  <c r="J508" i="1" s="1"/>
  <c r="H510" i="1"/>
  <c r="I510" i="1" s="1"/>
  <c r="J510" i="1" s="1"/>
  <c r="H507" i="1"/>
  <c r="I507" i="1" s="1"/>
  <c r="J507" i="1" s="1"/>
  <c r="H513" i="1" l="1"/>
  <c r="I513" i="1" s="1"/>
  <c r="J513" i="1" s="1"/>
  <c r="H516" i="1"/>
  <c r="I516" i="1" s="1"/>
  <c r="J516" i="1" s="1"/>
  <c r="H515" i="1"/>
  <c r="I515" i="1" s="1"/>
  <c r="J515" i="1" s="1"/>
  <c r="H517" i="1"/>
  <c r="I517" i="1" s="1"/>
  <c r="J517" i="1" s="1"/>
  <c r="H514" i="1"/>
  <c r="I514" i="1" s="1"/>
  <c r="J514" i="1" s="1"/>
  <c r="H518" i="1"/>
  <c r="I518" i="1" s="1"/>
  <c r="J518" i="1" s="1"/>
  <c r="H529" i="1" l="1"/>
  <c r="I529" i="1" s="1"/>
  <c r="J529" i="1" s="1"/>
  <c r="H523" i="1"/>
  <c r="I523" i="1" s="1"/>
  <c r="J523" i="1" s="1"/>
  <c r="H525" i="1"/>
  <c r="I525" i="1" s="1"/>
  <c r="J525" i="1" s="1"/>
  <c r="H526" i="1"/>
  <c r="I526" i="1" s="1"/>
  <c r="J526" i="1" s="1"/>
  <c r="H524" i="1"/>
  <c r="I524" i="1" s="1"/>
  <c r="J524" i="1" s="1"/>
  <c r="H527" i="1"/>
  <c r="I527" i="1" s="1"/>
  <c r="J527" i="1" s="1"/>
  <c r="H522" i="1"/>
  <c r="I522" i="1" s="1"/>
  <c r="J522" i="1" s="1"/>
  <c r="H533" i="1" l="1"/>
  <c r="I533" i="1" s="1"/>
  <c r="J533" i="1" s="1"/>
  <c r="H528" i="1"/>
  <c r="I528" i="1" s="1"/>
  <c r="J528" i="1" s="1"/>
  <c r="H532" i="1"/>
  <c r="I532" i="1" s="1"/>
  <c r="J532" i="1" s="1"/>
  <c r="H530" i="1"/>
  <c r="I530" i="1" s="1"/>
  <c r="J530" i="1" s="1"/>
  <c r="H531" i="1"/>
  <c r="I531" i="1" s="1"/>
  <c r="J531" i="1" s="1"/>
  <c r="H539" i="1" l="1"/>
  <c r="I539" i="1" s="1"/>
  <c r="J539" i="1" s="1"/>
  <c r="H540" i="1" l="1"/>
  <c r="I540" i="1" s="1"/>
  <c r="J540" i="1" s="1"/>
  <c r="H551" i="1"/>
  <c r="I551" i="1" s="1"/>
  <c r="J551" i="1" s="1"/>
  <c r="H544" i="1" l="1"/>
  <c r="I544" i="1" s="1"/>
  <c r="J544" i="1" s="1"/>
  <c r="H543" i="1"/>
  <c r="I543" i="1" s="1"/>
  <c r="J543" i="1" s="1"/>
  <c r="H542" i="1"/>
  <c r="I542" i="1" s="1"/>
  <c r="J542" i="1" s="1"/>
  <c r="H541" i="1"/>
  <c r="I541" i="1" s="1"/>
  <c r="J541" i="1" s="1"/>
  <c r="H545" i="1" l="1"/>
  <c r="I545" i="1" s="1"/>
  <c r="J545" i="1" s="1"/>
  <c r="H547" i="1"/>
  <c r="I547" i="1" s="1"/>
  <c r="J547" i="1" s="1"/>
  <c r="H550" i="1"/>
  <c r="I550" i="1" s="1"/>
  <c r="J550" i="1" s="1"/>
  <c r="H546" i="1"/>
  <c r="I546" i="1" s="1"/>
  <c r="J546" i="1" s="1"/>
  <c r="H548" i="1"/>
  <c r="I548" i="1" s="1"/>
  <c r="J548" i="1" s="1"/>
  <c r="H549" i="1"/>
  <c r="I549" i="1" s="1"/>
  <c r="J549" i="1" s="1"/>
  <c r="H567" i="1" l="1"/>
  <c r="I567" i="1" s="1"/>
  <c r="J567" i="1" s="1"/>
  <c r="H568" i="1"/>
  <c r="I568" i="1" s="1"/>
  <c r="J568" i="1" s="1"/>
  <c r="H569" i="1"/>
  <c r="I569" i="1" s="1"/>
  <c r="J569" i="1" s="1"/>
  <c r="H570" i="1"/>
  <c r="I570" i="1" s="1"/>
  <c r="J570" i="1" s="1"/>
  <c r="H571" i="1"/>
  <c r="I571" i="1" s="1"/>
  <c r="J571" i="1" s="1"/>
  <c r="H572" i="1"/>
  <c r="I572" i="1" s="1"/>
  <c r="J572" i="1" s="1"/>
  <c r="H573" i="1" l="1"/>
  <c r="I573" i="1" s="1"/>
  <c r="J573" i="1" s="1"/>
  <c r="H552" i="1" l="1"/>
  <c r="I552" i="1" s="1"/>
  <c r="J552" i="1" s="1"/>
  <c r="H554" i="1"/>
  <c r="I554" i="1" s="1"/>
  <c r="J554" i="1" s="1"/>
  <c r="H553" i="1"/>
  <c r="I553" i="1" s="1"/>
  <c r="J553" i="1" s="1"/>
  <c r="H556" i="1" l="1"/>
  <c r="I556" i="1" s="1"/>
  <c r="J556" i="1" s="1"/>
  <c r="H559" i="1"/>
  <c r="I559" i="1" s="1"/>
  <c r="J559" i="1" s="1"/>
  <c r="H557" i="1"/>
  <c r="I557" i="1" s="1"/>
  <c r="J557" i="1" s="1"/>
  <c r="H558" i="1"/>
  <c r="I558" i="1" s="1"/>
  <c r="J558" i="1" s="1"/>
  <c r="H560" i="1"/>
  <c r="I560" i="1" s="1"/>
  <c r="J560" i="1" s="1"/>
  <c r="H555" i="1"/>
  <c r="I555" i="1" s="1"/>
  <c r="J555" i="1" s="1"/>
  <c r="H562" i="1" l="1"/>
  <c r="I562" i="1" s="1"/>
  <c r="J562" i="1" s="1"/>
  <c r="H563" i="1"/>
  <c r="I563" i="1" s="1"/>
  <c r="J563" i="1" s="1"/>
  <c r="H565" i="1"/>
  <c r="I565" i="1" s="1"/>
  <c r="J565" i="1" s="1"/>
  <c r="H564" i="1"/>
  <c r="I564" i="1" s="1"/>
  <c r="J564" i="1" s="1"/>
  <c r="H561" i="1"/>
  <c r="I561" i="1" s="1"/>
  <c r="J561" i="1" s="1"/>
  <c r="H566" i="1"/>
  <c r="I566" i="1" s="1"/>
  <c r="J566" i="1" s="1"/>
  <c r="H608" i="1" l="1"/>
  <c r="I608" i="1" s="1"/>
  <c r="J608" i="1" s="1"/>
  <c r="H618" i="1"/>
  <c r="I618" i="1" s="1"/>
  <c r="J618" i="1" s="1"/>
  <c r="H614" i="1"/>
  <c r="I614" i="1" s="1"/>
  <c r="J614" i="1" s="1"/>
  <c r="H609" i="1"/>
  <c r="I609" i="1" s="1"/>
  <c r="J609" i="1" s="1"/>
  <c r="H617" i="1"/>
  <c r="I617" i="1" s="1"/>
  <c r="J617" i="1" s="1"/>
  <c r="H616" i="1"/>
  <c r="I616" i="1" s="1"/>
  <c r="J616" i="1" s="1"/>
  <c r="H613" i="1"/>
  <c r="I613" i="1" s="1"/>
  <c r="J613" i="1" s="1"/>
  <c r="H612" i="1"/>
  <c r="I612" i="1" s="1"/>
  <c r="J612" i="1" s="1"/>
  <c r="H615" i="1"/>
  <c r="I615" i="1" s="1"/>
  <c r="J615" i="1" s="1"/>
  <c r="H611" i="1"/>
  <c r="I611" i="1" s="1"/>
  <c r="J611" i="1" s="1"/>
  <c r="H610" i="1"/>
  <c r="I610" i="1" s="1"/>
  <c r="J610" i="1" s="1"/>
</calcChain>
</file>

<file path=xl/sharedStrings.xml><?xml version="1.0" encoding="utf-8"?>
<sst xmlns="http://schemas.openxmlformats.org/spreadsheetml/2006/main" count="4704" uniqueCount="1589">
  <si>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</si>
  <si>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</si>
  <si>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</si>
  <si>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</si>
  <si>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</si>
  <si>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</si>
  <si>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</si>
  <si>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</si>
  <si>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</si>
  <si>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</si>
  <si>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</si>
  <si>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</si>
  <si>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</si>
  <si>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</si>
  <si>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</si>
  <si>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</si>
  <si>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</si>
  <si>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</si>
  <si>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</si>
  <si>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</si>
  <si>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</si>
  <si>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</si>
  <si>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</si>
  <si>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</si>
  <si>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</si>
  <si>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</si>
  <si>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</si>
  <si>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</si>
  <si>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</si>
  <si>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</si>
  <si>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</si>
  <si>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</si>
  <si>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</si>
  <si>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</si>
  <si>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</si>
  <si>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</si>
  <si>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</si>
  <si>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</si>
  <si>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</si>
  <si>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</si>
  <si>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</si>
  <si>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</si>
  <si>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</si>
  <si>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</si>
  <si>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</si>
  <si>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</si>
  <si>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</si>
  <si>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</si>
  <si>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</si>
  <si>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</si>
  <si>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</si>
  <si>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</si>
  <si>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</si>
  <si>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</si>
  <si>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</si>
  <si>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</si>
  <si>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</si>
  <si>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</si>
  <si>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</si>
  <si>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</si>
  <si>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</si>
  <si>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</si>
  <si>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</si>
  <si>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</si>
  <si>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</si>
  <si>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</si>
  <si>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</si>
  <si>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</si>
  <si>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</si>
  <si>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</si>
  <si>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</si>
  <si>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</si>
  <si>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</si>
  <si>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</si>
  <si>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</si>
  <si>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</si>
  <si>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</si>
  <si>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</si>
  <si>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</si>
  <si>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</si>
  <si>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</si>
  <si>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</si>
  <si>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</si>
  <si>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</si>
  <si>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</si>
  <si>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</si>
  <si>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</si>
  <si>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</si>
  <si>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</si>
  <si>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</si>
  <si>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</si>
  <si>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</si>
  <si>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</si>
  <si>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</si>
  <si>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</si>
  <si>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</si>
  <si>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</si>
  <si>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</si>
  <si>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</si>
  <si>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</si>
  <si>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</si>
  <si>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</si>
  <si>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</si>
  <si>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</si>
  <si>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</si>
  <si>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</si>
  <si>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</si>
  <si>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</si>
  <si>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</si>
  <si>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</si>
  <si>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</si>
  <si>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</si>
  <si>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</si>
  <si>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</si>
  <si>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</si>
  <si>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</si>
  <si>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</si>
  <si>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</si>
  <si>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</si>
  <si>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</si>
  <si>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</si>
  <si>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</si>
  <si>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</si>
  <si>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</si>
  <si>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</si>
  <si>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</si>
  <si>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</si>
  <si>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</si>
  <si>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</si>
  <si>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</si>
  <si>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</si>
  <si>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</si>
  <si>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</si>
  <si>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</si>
  <si>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</si>
  <si>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</si>
  <si>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</si>
  <si>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</si>
  <si>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</si>
  <si>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</si>
  <si>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</si>
  <si>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</si>
  <si>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</si>
  <si>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</si>
  <si>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</si>
  <si>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</si>
  <si>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</si>
  <si>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</si>
  <si>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</si>
  <si>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</si>
  <si>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</si>
  <si>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</si>
  <si>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</si>
  <si>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</si>
  <si>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</si>
  <si>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</si>
  <si>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</si>
  <si>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</si>
  <si>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</si>
  <si>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</si>
  <si>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</si>
  <si>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</si>
  <si>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</si>
  <si>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</si>
  <si>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</si>
  <si>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</si>
  <si>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</si>
  <si>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</si>
  <si>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</si>
  <si>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</si>
  <si>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</si>
  <si>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</si>
  <si>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</si>
  <si>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</si>
  <si>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</si>
  <si>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</si>
  <si>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</si>
  <si>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</si>
  <si>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</si>
  <si>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</si>
  <si>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</si>
  <si>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</si>
  <si>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</si>
  <si>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</si>
  <si>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</si>
  <si>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</si>
  <si>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</si>
  <si>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</si>
  <si>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</si>
  <si>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</si>
  <si>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</si>
  <si>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</si>
  <si>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</si>
  <si>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</si>
  <si>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</si>
  <si>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</si>
  <si>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</si>
  <si>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</si>
  <si>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</si>
  <si>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</si>
  <si>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</si>
  <si>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</si>
  <si>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</si>
  <si>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</si>
  <si>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</si>
  <si>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</si>
  <si>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</si>
  <si>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</si>
  <si>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</si>
  <si>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</si>
  <si>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</si>
  <si>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</si>
  <si>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</si>
  <si>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</si>
  <si>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</si>
  <si>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</si>
  <si>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</si>
  <si>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</si>
  <si>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</si>
  <si>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</si>
  <si>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</si>
  <si>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</si>
  <si>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</si>
  <si>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</si>
  <si>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</si>
  <si>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</si>
  <si>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</si>
  <si>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</si>
  <si>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</si>
  <si>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</si>
  <si>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</si>
  <si>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</si>
  <si>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</si>
  <si>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</si>
  <si>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</si>
  <si>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</si>
  <si>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</si>
  <si>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</si>
  <si>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</si>
  <si>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</si>
  <si>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</si>
  <si>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</si>
  <si>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</si>
  <si>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</si>
  <si>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</si>
  <si>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</si>
  <si>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</si>
  <si>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</si>
  <si>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</si>
  <si>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</si>
  <si>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</si>
  <si>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</si>
  <si>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</si>
  <si>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</si>
  <si>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</si>
  <si>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</si>
  <si>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</si>
  <si>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</si>
  <si>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</si>
  <si>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</si>
  <si>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</si>
  <si>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</si>
  <si>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</si>
  <si>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</si>
  <si>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</si>
  <si>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</si>
  <si>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</si>
  <si>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</si>
  <si>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</si>
  <si>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</si>
  <si>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</si>
  <si>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</si>
  <si>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</si>
  <si>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</si>
  <si>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</si>
  <si>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</si>
  <si>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</si>
  <si>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</si>
  <si>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</si>
  <si>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</si>
  <si>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</si>
  <si>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</si>
  <si>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</si>
  <si>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</si>
  <si>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</si>
  <si>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</si>
  <si>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</si>
  <si>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</si>
  <si>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</si>
  <si>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</si>
  <si>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</si>
  <si>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</si>
  <si>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</si>
  <si>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</si>
  <si>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</si>
  <si>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</si>
  <si>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</si>
  <si>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</si>
  <si>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</si>
  <si>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</si>
  <si>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</si>
  <si>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</si>
  <si>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</si>
  <si>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</si>
  <si>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</si>
  <si>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</si>
  <si>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</si>
  <si>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</si>
  <si>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</si>
  <si>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</si>
  <si>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</si>
  <si>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</si>
  <si>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</si>
  <si>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</si>
  <si>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</si>
  <si>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</si>
  <si>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</si>
  <si>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</si>
  <si>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</si>
  <si>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</si>
  <si>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</si>
  <si>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</si>
  <si>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</si>
  <si>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</si>
  <si>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</si>
  <si>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</si>
  <si>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</si>
  <si>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</si>
  <si>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</si>
  <si>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</si>
  <si>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</si>
  <si>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</si>
  <si>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</si>
  <si>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</si>
  <si>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</si>
  <si>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</si>
  <si>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</si>
  <si>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</si>
  <si>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</si>
  <si>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</si>
  <si>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</si>
  <si>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</si>
  <si>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</si>
  <si>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</si>
  <si>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</si>
  <si>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</si>
  <si>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</si>
  <si>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</si>
  <si>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</si>
  <si>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</si>
  <si>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</si>
  <si>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</si>
  <si>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</si>
  <si>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</si>
  <si>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</si>
  <si>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</si>
  <si>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</si>
  <si>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</si>
  <si>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</si>
  <si>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</si>
  <si>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</si>
  <si>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</si>
  <si>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</si>
  <si>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</si>
  <si>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</si>
  <si>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</si>
  <si>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</si>
  <si>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</si>
  <si>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</si>
  <si>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</si>
  <si>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</si>
  <si>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</si>
  <si>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</si>
  <si>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</si>
  <si>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</si>
  <si>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</si>
  <si>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</si>
  <si>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</si>
  <si>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</si>
  <si>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</si>
  <si>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</si>
  <si>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</si>
  <si>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</si>
  <si>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</si>
  <si>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</si>
  <si>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</si>
  <si>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</si>
  <si>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</si>
  <si>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</si>
  <si>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</si>
  <si>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</si>
  <si>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</si>
  <si>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</si>
  <si>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</si>
  <si>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</si>
  <si>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</si>
  <si>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</si>
  <si>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</si>
  <si>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</si>
  <si>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</si>
  <si>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</si>
  <si>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</si>
  <si>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</si>
  <si>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</si>
  <si>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</si>
  <si>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</si>
  <si>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</si>
  <si>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</si>
  <si>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</si>
  <si>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</si>
  <si>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</si>
  <si>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</si>
  <si>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</si>
  <si>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</si>
  <si>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</si>
  <si>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</si>
  <si>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</si>
  <si>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</si>
  <si>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</si>
  <si>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</si>
  <si>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</si>
  <si>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</si>
  <si>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</si>
  <si>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</si>
  <si>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</si>
  <si>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</si>
  <si>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</si>
  <si>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</si>
  <si>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</si>
  <si>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</si>
  <si>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</si>
  <si>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</si>
  <si>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</si>
  <si>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</si>
  <si>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</si>
  <si>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</si>
  <si>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</si>
  <si>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</si>
  <si>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</si>
  <si>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</si>
  <si>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</si>
  <si>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</si>
  <si>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</si>
  <si>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</si>
  <si>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</si>
  <si>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</si>
  <si>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</si>
  <si>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</si>
  <si>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</si>
  <si>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</si>
  <si>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</si>
  <si>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</si>
  <si>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</si>
  <si>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</si>
  <si>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</si>
  <si>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</si>
  <si>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</si>
  <si>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</si>
  <si>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</si>
  <si>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</si>
  <si>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</si>
  <si>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</si>
  <si>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</si>
  <si>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</si>
  <si>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</si>
  <si>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</si>
  <si>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</si>
  <si>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</si>
  <si>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</si>
  <si>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</si>
  <si>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</si>
  <si>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</si>
  <si>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</si>
  <si>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</si>
  <si>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</si>
  <si>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</si>
  <si>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</si>
  <si>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</si>
  <si>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</si>
  <si>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</si>
  <si>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</si>
  <si>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</si>
  <si>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</si>
  <si>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</si>
  <si>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</si>
  <si>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</si>
  <si>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</si>
  <si>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</si>
  <si>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</si>
  <si>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</si>
  <si>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</si>
  <si>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</si>
  <si>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</si>
  <si>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</si>
  <si>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</si>
  <si>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</si>
  <si>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</si>
  <si>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</si>
  <si>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</si>
  <si>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</si>
  <si>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</si>
  <si>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</si>
  <si>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</si>
  <si>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</si>
  <si>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</si>
  <si>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</si>
  <si>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</si>
  <si>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</si>
  <si>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</si>
  <si>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</si>
  <si>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</si>
  <si>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</si>
  <si>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</si>
  <si>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</si>
  <si>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</si>
  <si>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</si>
  <si>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</si>
  <si>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</si>
  <si>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</si>
  <si>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</si>
  <si>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</si>
  <si>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</si>
  <si>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</si>
  <si>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</si>
  <si>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</si>
  <si>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</si>
  <si>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</si>
  <si>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</si>
  <si>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</si>
  <si>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</si>
  <si>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</si>
  <si>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</si>
  <si>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</si>
  <si>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</si>
  <si>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</si>
  <si>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</si>
  <si>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</si>
  <si>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</si>
  <si>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</si>
  <si>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</si>
  <si>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</si>
  <si>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</si>
  <si>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</si>
  <si>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</si>
  <si>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</si>
  <si>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</si>
  <si>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</si>
  <si>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</si>
  <si>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</si>
  <si>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</si>
  <si>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</si>
  <si>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</si>
  <si>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</si>
  <si>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</si>
  <si>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</si>
  <si>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</si>
  <si>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</si>
  <si>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</si>
  <si>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</si>
  <si>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</si>
  <si>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</si>
  <si>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</si>
  <si>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</si>
  <si>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</si>
  <si>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</si>
  <si>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</si>
  <si>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</si>
  <si>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</si>
  <si>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</si>
  <si>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</si>
  <si>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</si>
  <si>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</si>
  <si>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</si>
  <si>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</si>
  <si>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</si>
  <si>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</si>
  <si>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</si>
  <si>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</si>
  <si>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</si>
  <si>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</si>
  <si>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</si>
  <si>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</si>
  <si>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</si>
  <si>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</si>
  <si>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</si>
  <si>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</si>
  <si>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</si>
  <si>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</si>
  <si>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</si>
  <si>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</si>
  <si>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</si>
  <si>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</si>
  <si>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</si>
  <si>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</si>
  <si>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</si>
  <si>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</si>
  <si>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</si>
  <si>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</si>
  <si>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</si>
  <si>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</si>
  <si>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</si>
  <si>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</si>
  <si>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</si>
  <si>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</si>
  <si>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</si>
  <si>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</si>
  <si>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</si>
  <si>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</si>
  <si>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</si>
  <si>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</si>
  <si>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</si>
  <si>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</si>
  <si>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</si>
  <si>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</si>
  <si>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</si>
  <si>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</si>
  <si>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</si>
  <si>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</si>
  <si>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</si>
  <si>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</si>
  <si>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</si>
  <si>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</si>
  <si>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</si>
  <si>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</si>
  <si>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</si>
  <si>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</si>
  <si>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</si>
  <si>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</si>
  <si>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</si>
  <si>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</si>
  <si>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</si>
  <si>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</si>
  <si>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</si>
  <si>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</si>
  <si>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</si>
  <si>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</si>
  <si>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</si>
  <si>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</si>
  <si>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</si>
  <si>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</si>
  <si>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</si>
  <si>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</si>
  <si>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</si>
  <si>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</si>
  <si>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</si>
  <si>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</si>
  <si>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</si>
  <si>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</si>
  <si>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</si>
  <si>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</si>
  <si>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</si>
  <si>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</si>
  <si>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</si>
  <si>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</si>
  <si>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</si>
  <si>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</si>
  <si>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</si>
  <si>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</si>
  <si>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</si>
  <si>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</si>
  <si>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</si>
  <si>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</si>
  <si>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</si>
  <si>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</si>
  <si>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</si>
  <si>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</si>
  <si>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</si>
  <si>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</si>
  <si>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</si>
  <si>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</si>
  <si>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</si>
  <si>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</si>
  <si>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</si>
  <si>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</si>
  <si>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</si>
  <si>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</si>
  <si>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</si>
  <si>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</si>
  <si>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</si>
  <si>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</si>
  <si>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</si>
  <si>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</si>
  <si>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</si>
  <si>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</si>
  <si>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</si>
  <si>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</si>
  <si>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</si>
  <si>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</si>
  <si>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</si>
  <si>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</si>
  <si>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</si>
  <si>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</si>
  <si>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</si>
  <si>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</si>
  <si>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</si>
  <si>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</si>
  <si>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</si>
  <si>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</si>
  <si>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</si>
  <si>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</si>
  <si>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</si>
  <si>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</si>
  <si>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</si>
  <si>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</si>
  <si>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</si>
  <si>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</si>
  <si>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</si>
  <si>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</si>
  <si>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</si>
  <si>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</si>
  <si>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</si>
  <si>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</si>
  <si>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</si>
  <si>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</si>
  <si>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</si>
  <si>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</si>
  <si>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</si>
  <si>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</si>
  <si>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</si>
  <si>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</si>
  <si>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</si>
  <si>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</si>
  <si>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</si>
  <si>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</si>
  <si>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</si>
  <si>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</si>
  <si>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</si>
  <si>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</si>
  <si>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</si>
  <si>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</si>
  <si>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</si>
  <si>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</si>
  <si>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</si>
  <si>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</si>
  <si>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</si>
  <si>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</si>
  <si>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</si>
  <si>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</si>
  <si>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</si>
  <si>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</si>
  <si>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</si>
  <si>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</si>
  <si>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</si>
  <si>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</si>
  <si>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</si>
  <si>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</si>
  <si>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</si>
  <si>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</si>
  <si>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</si>
  <si>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</si>
  <si>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</si>
  <si>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</si>
  <si>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</si>
  <si>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</si>
  <si>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</si>
  <si>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</si>
  <si>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</si>
  <si>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</si>
  <si>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</si>
  <si>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</si>
  <si>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</si>
  <si>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</si>
  <si>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</si>
  <si>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</si>
  <si>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</si>
  <si>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</si>
  <si>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</si>
  <si>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</si>
  <si>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</si>
  <si>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</si>
  <si>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</si>
  <si>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</si>
  <si>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</si>
  <si>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</si>
  <si>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</si>
  <si>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</si>
  <si>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</si>
  <si>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</si>
  <si>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</si>
  <si>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</si>
  <si>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</si>
  <si>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</si>
  <si>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</si>
  <si>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</si>
  <si>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</si>
  <si>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</si>
  <si>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</si>
  <si>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</si>
  <si>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</si>
  <si>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</si>
  <si>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</si>
  <si>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</si>
  <si>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</si>
  <si>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</si>
  <si>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</si>
  <si>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</si>
  <si>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</si>
  <si>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</si>
  <si>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</si>
  <si>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</si>
  <si>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</si>
  <si>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</si>
  <si>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</si>
  <si>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</si>
  <si>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</si>
  <si>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</si>
  <si>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</si>
  <si>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</si>
  <si>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</si>
  <si>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</si>
  <si>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</si>
  <si>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</si>
  <si>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</si>
  <si>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</si>
  <si>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</si>
  <si>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</si>
  <si>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</si>
  <si>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</si>
  <si>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</si>
  <si>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</si>
  <si>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</si>
  <si>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</si>
  <si>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</si>
  <si>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</si>
  <si>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</si>
  <si>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</si>
  <si>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</si>
  <si>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</si>
  <si>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</si>
  <si>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</si>
  <si>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</si>
  <si>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</si>
  <si>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</si>
  <si>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</si>
  <si>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</si>
  <si>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</si>
  <si>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</si>
  <si>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</si>
  <si>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</si>
  <si>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</si>
  <si>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</si>
  <si>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</si>
  <si>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</si>
  <si>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</si>
  <si>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</si>
  <si>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</si>
  <si>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</si>
  <si>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</si>
  <si>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</si>
  <si>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</si>
  <si>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</si>
  <si>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</si>
  <si>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</si>
  <si>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</si>
  <si>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</si>
  <si>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</si>
  <si>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</si>
  <si>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</si>
  <si>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</si>
  <si>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</si>
  <si>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</si>
  <si>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</si>
  <si>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</si>
  <si>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</si>
  <si>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</si>
  <si>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</si>
  <si>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</si>
  <si>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</si>
  <si>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</si>
  <si>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</si>
  <si>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</si>
  <si>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</si>
  <si>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</si>
  <si>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</si>
  <si>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</si>
  <si>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</si>
  <si>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</si>
  <si>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</si>
  <si>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</si>
  <si>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</si>
  <si>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</si>
  <si>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</si>
  <si>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</si>
  <si>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</si>
  <si>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</si>
  <si>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</si>
  <si>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</si>
  <si>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</si>
  <si>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</si>
  <si>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</si>
  <si>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</si>
  <si>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</si>
  <si>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</si>
  <si>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</si>
  <si>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</si>
  <si>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</si>
  <si>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</si>
  <si>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</si>
  <si>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</si>
  <si>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</si>
  <si>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</si>
  <si>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</si>
  <si>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</si>
  <si>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</si>
  <si>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</si>
  <si>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</si>
  <si>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</si>
  <si>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</si>
  <si>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</si>
  <si>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</si>
  <si>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</si>
  <si>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</si>
  <si>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</si>
  <si>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</si>
  <si>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</si>
  <si>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</si>
  <si>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</si>
  <si>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</si>
  <si>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</si>
  <si>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</si>
  <si>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</si>
  <si>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</si>
  <si>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</si>
  <si>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</si>
  <si>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</si>
  <si>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</si>
  <si>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</si>
  <si>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</si>
  <si>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</si>
  <si>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</si>
  <si>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</si>
  <si>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</si>
  <si>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</si>
  <si>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</si>
  <si>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</si>
  <si>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</si>
  <si>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</si>
  <si>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</si>
  <si>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</si>
  <si>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</si>
  <si>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</si>
  <si>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</si>
  <si>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</si>
  <si>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</si>
  <si>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</si>
  <si>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</si>
  <si>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</si>
  <si>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</si>
  <si>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</si>
  <si>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</si>
  <si>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</si>
  <si>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</si>
  <si>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</si>
  <si>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</si>
  <si>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</si>
  <si>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</si>
  <si>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</si>
  <si>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</si>
  <si>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</si>
  <si>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</si>
  <si>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</si>
  <si>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</si>
  <si>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</si>
  <si>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</si>
  <si>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</si>
  <si>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</si>
  <si>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</si>
  <si>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</si>
  <si>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</si>
  <si>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</si>
  <si>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</si>
  <si>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</si>
  <si>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</si>
  <si>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</si>
  <si>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</si>
  <si>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</si>
  <si>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</si>
  <si>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</si>
  <si>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</si>
  <si>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</si>
  <si>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</si>
  <si>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</si>
  <si>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</si>
  <si>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</si>
  <si>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</si>
  <si>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</si>
  <si>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</si>
  <si>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</si>
  <si>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</si>
  <si>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</si>
  <si>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</si>
  <si>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</si>
  <si>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</si>
  <si>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</si>
  <si>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</si>
  <si>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</si>
  <si>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</si>
  <si>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</si>
  <si>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</si>
  <si>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</si>
  <si>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</si>
  <si>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</si>
  <si>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</si>
  <si>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</si>
  <si>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</si>
  <si>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</si>
  <si>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</si>
  <si>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</si>
  <si>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</si>
  <si>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</si>
  <si>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</si>
  <si>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</si>
  <si>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</si>
  <si>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</si>
  <si>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</si>
  <si>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</si>
  <si>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</si>
  <si>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</si>
  <si>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</si>
  <si>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</si>
  <si>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</si>
  <si>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</si>
  <si>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</si>
  <si>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</si>
  <si>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</si>
  <si>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</si>
  <si>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</si>
  <si>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</si>
  <si>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</si>
  <si>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</si>
  <si>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</si>
  <si>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</si>
  <si>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</si>
  <si>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</si>
  <si>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</si>
  <si>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</si>
  <si>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</si>
  <si>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</si>
  <si>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</si>
  <si>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</si>
  <si>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</si>
  <si>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</si>
  <si>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</si>
  <si>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</si>
  <si>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</si>
  <si>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</si>
  <si>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</si>
  <si>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</si>
  <si>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</si>
  <si>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</si>
  <si>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</si>
  <si>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</si>
  <si>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</si>
  <si>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</si>
  <si>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</si>
  <si>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</si>
  <si>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</si>
  <si>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</si>
  <si>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</si>
  <si>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</si>
  <si>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</si>
  <si>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</si>
  <si>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</si>
  <si>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</si>
  <si>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</si>
  <si>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</si>
  <si>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</si>
  <si>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</si>
  <si>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</si>
  <si>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</si>
  <si>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</si>
  <si>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</si>
  <si>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</si>
  <si>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</si>
  <si>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</si>
  <si>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</si>
  <si>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</si>
  <si>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</si>
  <si>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</si>
  <si>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</si>
  <si>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</si>
  <si>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</si>
  <si>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</si>
  <si>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</si>
  <si>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</si>
  <si>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</si>
  <si>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</si>
  <si>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</si>
  <si>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</si>
  <si>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</si>
  <si>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</si>
  <si>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</si>
  <si>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</si>
  <si>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</si>
  <si>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</si>
  <si>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</si>
  <si>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</si>
  <si>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</si>
  <si>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</si>
  <si>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</si>
  <si>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</si>
  <si>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</si>
  <si>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</si>
  <si>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</si>
  <si>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</si>
  <si>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</si>
  <si>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</si>
  <si>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</si>
  <si>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</si>
  <si>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</si>
  <si>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</si>
  <si>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</si>
  <si>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</si>
  <si>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</si>
  <si>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</si>
  <si>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</si>
  <si>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</si>
  <si>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</si>
  <si>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</si>
  <si>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</si>
  <si>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</si>
  <si>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</si>
  <si>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</si>
  <si>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</si>
  <si>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</si>
  <si>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</si>
  <si>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</si>
  <si>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</si>
  <si>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</si>
  <si>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</si>
  <si>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</si>
  <si>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</si>
  <si>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</si>
  <si>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</si>
  <si>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</si>
  <si>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</si>
  <si>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</si>
  <si>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</si>
  <si>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</si>
  <si>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</si>
  <si>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</si>
  <si>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</si>
  <si>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</si>
  <si>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</si>
  <si>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</si>
  <si>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</si>
  <si>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</si>
  <si>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</si>
  <si>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</si>
  <si>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</si>
  <si>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</si>
  <si>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</si>
  <si>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</si>
  <si>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</si>
  <si>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</si>
  <si>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</si>
  <si>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</si>
  <si>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</si>
  <si>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</si>
  <si>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</si>
  <si>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</si>
  <si>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</si>
  <si>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</si>
  <si>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</si>
  <si>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</si>
  <si>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</si>
  <si>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</si>
  <si>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</si>
  <si>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</si>
  <si>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</si>
  <si>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</si>
  <si>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</si>
  <si>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</si>
  <si>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</si>
  <si>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</si>
  <si>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</si>
  <si>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</si>
  <si>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</si>
  <si>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</si>
  <si>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</si>
  <si>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</si>
  <si>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</si>
  <si>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</si>
  <si>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</si>
  <si>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</si>
  <si>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</si>
  <si>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</si>
  <si>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</si>
  <si>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</si>
  <si>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</si>
  <si>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</si>
  <si>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</si>
  <si>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</si>
  <si>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</si>
  <si>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</si>
  <si>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</si>
  <si>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</si>
  <si>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</si>
  <si>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</si>
  <si>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</si>
  <si>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</si>
  <si>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</si>
  <si>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</si>
  <si>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</si>
  <si>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</si>
  <si>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</si>
  <si>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</si>
  <si>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</si>
  <si>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</si>
  <si>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</si>
  <si>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</si>
  <si>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</si>
  <si>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</si>
  <si>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</si>
  <si>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</si>
  <si>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</si>
  <si>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</si>
  <si>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</si>
  <si>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</si>
  <si>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</si>
  <si>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</si>
  <si>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</si>
  <si>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</si>
  <si>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</si>
  <si>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</si>
  <si>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</si>
  <si>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</si>
  <si>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</si>
  <si>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</si>
  <si>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</si>
  <si>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</si>
  <si>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</si>
  <si>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</si>
  <si>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</si>
  <si>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</si>
  <si>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</si>
  <si>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</si>
  <si>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</si>
  <si>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</si>
  <si>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</si>
  <si>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</si>
  <si>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</si>
  <si>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</si>
  <si>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</si>
  <si>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</si>
  <si>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</si>
  <si>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</si>
  <si>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</si>
  <si>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</si>
  <si>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</si>
  <si>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</si>
  <si>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</si>
  <si>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</si>
  <si>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</si>
  <si>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</si>
  <si>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</si>
  <si>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</si>
  <si>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</si>
  <si>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</si>
  <si>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</si>
  <si>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</si>
  <si>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</si>
  <si>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</si>
  <si>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</si>
  <si>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</si>
  <si>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</si>
  <si>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</si>
  <si>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</si>
  <si>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</si>
  <si>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</si>
  <si>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</si>
  <si>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</si>
  <si>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</si>
  <si>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</si>
  <si>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</si>
  <si>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</si>
  <si>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</si>
  <si>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</si>
  <si>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</si>
  <si>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</si>
  <si>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</si>
  <si>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</si>
  <si>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</si>
  <si>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</si>
  <si>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</si>
  <si>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</si>
  <si>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</si>
  <si>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</si>
  <si>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</si>
  <si>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</si>
  <si>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</si>
  <si>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</si>
  <si>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</si>
  <si>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</si>
  <si>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</si>
  <si>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</si>
  <si>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</si>
  <si>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</si>
  <si>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</si>
  <si>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</si>
  <si>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</si>
  <si>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</si>
  <si>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</si>
  <si>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</si>
  <si>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</si>
  <si>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</si>
  <si>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</si>
  <si>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</si>
  <si>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</si>
  <si>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</si>
  <si>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</si>
  <si>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</si>
  <si>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</si>
  <si>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</si>
  <si>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</si>
  <si>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</si>
  <si>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</si>
  <si>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</si>
  <si>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</si>
  <si>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</si>
  <si>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</si>
  <si>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</si>
  <si>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</si>
  <si>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</si>
  <si>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</si>
  <si>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</si>
  <si>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</si>
  <si>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</si>
  <si>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</si>
  <si>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</si>
  <si>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</si>
  <si>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</si>
  <si>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</si>
  <si>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</si>
  <si>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</si>
  <si>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</si>
  <si>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</si>
  <si>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</si>
  <si>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</si>
  <si>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</si>
  <si>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</si>
  <si>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</si>
  <si>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</si>
  <si>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</si>
  <si>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</si>
  <si>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</si>
  <si>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</si>
  <si>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</si>
  <si>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</si>
  <si>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</si>
  <si>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</si>
  <si>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</si>
  <si>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</si>
  <si>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</si>
  <si>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</si>
  <si>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</si>
  <si>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</si>
  <si>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</si>
  <si>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</si>
  <si>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</si>
  <si>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</si>
  <si>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</si>
  <si>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</si>
  <si>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</si>
  <si>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</si>
  <si>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</si>
  <si>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</si>
  <si>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</si>
  <si>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</si>
  <si>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</si>
  <si>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</si>
  <si>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</si>
  <si>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</si>
  <si>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</si>
  <si>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</si>
  <si>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</si>
  <si>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</si>
  <si>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</si>
  <si>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</si>
  <si>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</si>
  <si>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</si>
  <si>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</si>
  <si>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</si>
  <si>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</si>
  <si>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</si>
  <si>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</si>
  <si>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</si>
  <si>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</si>
  <si>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</si>
  <si>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</si>
  <si>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</si>
  <si>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</si>
  <si>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</si>
  <si>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</si>
  <si>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</si>
  <si>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</si>
  <si>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</si>
  <si>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</si>
  <si>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</si>
  <si>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</si>
  <si>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</si>
  <si>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</si>
  <si>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</si>
  <si>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</si>
  <si>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</si>
  <si>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</si>
  <si>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</si>
  <si>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</si>
  <si>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</si>
  <si>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</si>
  <si>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</si>
  <si>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</si>
  <si>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</si>
  <si>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</si>
  <si>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</si>
  <si>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</si>
  <si>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</si>
  <si>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</si>
  <si>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</si>
  <si>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</si>
  <si>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</si>
  <si>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</si>
  <si>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</si>
  <si>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</si>
  <si>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</si>
  <si>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</si>
  <si>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</si>
  <si>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</si>
  <si>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</si>
  <si>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</si>
  <si>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</si>
  <si>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</si>
  <si>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</si>
  <si>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</si>
  <si>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</si>
  <si>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</si>
  <si>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</si>
  <si>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</si>
  <si>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</si>
  <si>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</si>
  <si>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</si>
  <si>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</si>
  <si>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</si>
  <si>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</si>
  <si>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</si>
  <si>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</si>
  <si>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</si>
  <si>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</si>
  <si>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</si>
  <si>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</si>
  <si>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</si>
  <si>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</si>
  <si>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</si>
  <si>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</si>
  <si>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</si>
  <si>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</si>
  <si>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</si>
  <si>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</si>
  <si>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</si>
  <si>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</si>
  <si>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</si>
  <si>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</si>
  <si>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</si>
  <si>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</si>
  <si>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</si>
  <si>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</si>
  <si>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</si>
  <si>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</si>
  <si>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</si>
  <si>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</si>
  <si>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</si>
  <si>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</si>
  <si>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</si>
  <si>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</si>
  <si>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</si>
  <si>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</si>
  <si>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</si>
  <si>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</si>
  <si>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</si>
  <si>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</si>
  <si>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</si>
  <si>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</si>
  <si>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</si>
  <si>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</si>
  <si>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</si>
  <si>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</si>
  <si>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</si>
  <si>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</si>
  <si>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</si>
  <si>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</si>
  <si>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</si>
  <si>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</si>
  <si>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</si>
  <si>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</si>
  <si>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</si>
  <si>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</si>
  <si>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</si>
  <si>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</si>
  <si>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</si>
  <si>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</si>
  <si>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</si>
  <si>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</si>
  <si>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</si>
  <si>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</si>
  <si>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</si>
  <si>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</si>
  <si>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</si>
  <si>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</si>
  <si>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</si>
  <si>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</si>
  <si>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</si>
  <si>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</si>
  <si>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</si>
  <si>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</si>
  <si>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</si>
  <si>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</si>
  <si>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</si>
  <si>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</si>
  <si>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</si>
  <si>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</si>
  <si>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</si>
  <si>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</si>
  <si>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</si>
  <si>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</si>
  <si>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</si>
  <si>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</si>
  <si>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</si>
  <si>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</si>
  <si>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</si>
  <si>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</si>
  <si>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</si>
  <si>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</si>
  <si>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</si>
  <si>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</si>
  <si>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</si>
  <si>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</si>
  <si>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</si>
  <si>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</si>
  <si>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</si>
  <si>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</si>
  <si>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</si>
  <si>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</si>
  <si>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</si>
  <si>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</si>
  <si>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</si>
  <si>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</si>
  <si>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</si>
  <si>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</si>
  <si>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</si>
  <si>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</si>
  <si>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</si>
  <si>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</si>
  <si>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</si>
  <si>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</si>
  <si>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</si>
  <si>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</si>
  <si>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</si>
  <si>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</si>
  <si>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</si>
  <si>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</si>
  <si>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</si>
  <si>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</si>
  <si>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</si>
  <si>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</si>
  <si>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</si>
  <si>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</si>
  <si>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</si>
  <si>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</si>
  <si>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</si>
  <si>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</si>
  <si>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</si>
  <si>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</si>
  <si>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</si>
  <si>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</si>
  <si>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</si>
  <si>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</si>
  <si>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</si>
  <si>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</si>
  <si>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</si>
  <si>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</si>
  <si>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BAU Components Energy Use_old.xlsx</t>
  </si>
  <si>
    <t>BAU Distribued Electricity Source Capacities_old.xlsx</t>
  </si>
  <si>
    <t>Start Year Distributed Electricity Capacity_old.xlsx</t>
  </si>
  <si>
    <t>desktop.ini</t>
  </si>
  <si>
    <t>Seasonal Hourly Equipment Load Factors by End Use US VERSION.xlsx</t>
  </si>
  <si>
    <t>BAU Industrial Fuel Use before CCS_old.xlsx</t>
  </si>
  <si>
    <t>Frac of Goods Purchased by Entity and ISIC Code US.xlsx</t>
  </si>
  <si>
    <t>policy_upload.py</t>
  </si>
  <si>
    <t>BAU Cargo Dist Transported Relative to Start Yr_old.xlsx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</si>
</sst>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947.434670949071" createdVersion="6" refreshedVersion="8" minRefreshableVersion="3" recordCount="1251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8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AU Components Energy Use_old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AU Distribued Electricity Source Capacities_old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tart Year Distributed Electricity Capacity_old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desktop.ini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 US VERSION.xlsx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AU Industrial Fuel Use before CCS_old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 US.xlsx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policy_upload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AU Cargo Dist Transported Relative to Start Yr_old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SYFAFE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1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8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10"/>
    <x v="77"/>
  </r>
  <r>
    <x v="7"/>
    <x v="10"/>
    <x v="78"/>
  </r>
  <r>
    <x v="7"/>
    <x v="10"/>
    <x v="79"/>
  </r>
  <r>
    <x v="7"/>
    <x v="10"/>
    <x v="80"/>
  </r>
  <r>
    <x v="7"/>
    <x v="11"/>
    <x v="81"/>
  </r>
  <r>
    <x v="7"/>
    <x v="11"/>
    <x v="82"/>
  </r>
  <r>
    <x v="7"/>
    <x v="12"/>
    <x v="83"/>
  </r>
  <r>
    <x v="7"/>
    <x v="12"/>
    <x v="84"/>
  </r>
  <r>
    <x v="7"/>
    <x v="12"/>
    <x v="85"/>
  </r>
  <r>
    <x v="7"/>
    <x v="13"/>
    <x v="86"/>
  </r>
  <r>
    <x v="7"/>
    <x v="13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5"/>
    <x v="94"/>
  </r>
  <r>
    <x v="7"/>
    <x v="16"/>
    <x v="95"/>
  </r>
  <r>
    <x v="7"/>
    <x v="16"/>
    <x v="96"/>
  </r>
  <r>
    <x v="7"/>
    <x v="17"/>
    <x v="97"/>
  </r>
  <r>
    <x v="7"/>
    <x v="17"/>
    <x v="98"/>
  </r>
  <r>
    <x v="7"/>
    <x v="18"/>
    <x v="99"/>
  </r>
  <r>
    <x v="7"/>
    <x v="18"/>
    <x v="100"/>
  </r>
  <r>
    <x v="7"/>
    <x v="19"/>
    <x v="101"/>
  </r>
  <r>
    <x v="7"/>
    <x v="19"/>
    <x v="102"/>
  </r>
  <r>
    <x v="7"/>
    <x v="20"/>
    <x v="103"/>
  </r>
  <r>
    <x v="7"/>
    <x v="20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1"/>
    <x v="113"/>
  </r>
  <r>
    <x v="7"/>
    <x v="21"/>
    <x v="114"/>
  </r>
  <r>
    <x v="7"/>
    <x v="22"/>
    <x v="115"/>
  </r>
  <r>
    <x v="7"/>
    <x v="22"/>
    <x v="116"/>
  </r>
  <r>
    <x v="7"/>
    <x v="23"/>
    <x v="117"/>
  </r>
  <r>
    <x v="7"/>
    <x v="23"/>
    <x v="118"/>
  </r>
  <r>
    <x v="7"/>
    <x v="24"/>
    <x v="119"/>
  </r>
  <r>
    <x v="7"/>
    <x v="24"/>
    <x v="120"/>
  </r>
  <r>
    <x v="7"/>
    <x v="25"/>
    <x v="121"/>
  </r>
  <r>
    <x v="7"/>
    <x v="25"/>
    <x v="122"/>
  </r>
  <r>
    <x v="7"/>
    <x v="26"/>
    <x v="123"/>
  </r>
  <r>
    <x v="7"/>
    <x v="26"/>
    <x v="124"/>
  </r>
  <r>
    <x v="7"/>
    <x v="27"/>
    <x v="125"/>
  </r>
  <r>
    <x v="7"/>
    <x v="27"/>
    <x v="126"/>
  </r>
  <r>
    <x v="7"/>
    <x v="28"/>
    <x v="127"/>
  </r>
  <r>
    <x v="7"/>
    <x v="28"/>
    <x v="128"/>
  </r>
  <r>
    <x v="7"/>
    <x v="29"/>
    <x v="129"/>
  </r>
  <r>
    <x v="7"/>
    <x v="29"/>
    <x v="130"/>
  </r>
  <r>
    <x v="7"/>
    <x v="30"/>
    <x v="131"/>
  </r>
  <r>
    <x v="7"/>
    <x v="30"/>
    <x v="132"/>
  </r>
  <r>
    <x v="7"/>
    <x v="30"/>
    <x v="133"/>
  </r>
  <r>
    <x v="7"/>
    <x v="30"/>
    <x v="134"/>
  </r>
  <r>
    <x v="7"/>
    <x v="31"/>
    <x v="135"/>
  </r>
  <r>
    <x v="7"/>
    <x v="31"/>
    <x v="136"/>
  </r>
  <r>
    <x v="7"/>
    <x v="32"/>
    <x v="137"/>
  </r>
  <r>
    <x v="7"/>
    <x v="32"/>
    <x v="138"/>
  </r>
  <r>
    <x v="7"/>
    <x v="33"/>
    <x v="139"/>
  </r>
  <r>
    <x v="7"/>
    <x v="33"/>
    <x v="140"/>
  </r>
  <r>
    <x v="7"/>
    <x v="34"/>
    <x v="141"/>
  </r>
  <r>
    <x v="7"/>
    <x v="34"/>
    <x v="142"/>
  </r>
  <r>
    <x v="7"/>
    <x v="34"/>
    <x v="143"/>
  </r>
  <r>
    <x v="7"/>
    <x v="34"/>
    <x v="144"/>
  </r>
  <r>
    <x v="7"/>
    <x v="35"/>
    <x v="145"/>
  </r>
  <r>
    <x v="7"/>
    <x v="35"/>
    <x v="146"/>
  </r>
  <r>
    <x v="7"/>
    <x v="35"/>
    <x v="147"/>
  </r>
  <r>
    <x v="8"/>
    <x v="36"/>
    <x v="148"/>
  </r>
  <r>
    <x v="8"/>
    <x v="36"/>
    <x v="149"/>
  </r>
  <r>
    <x v="8"/>
    <x v="36"/>
    <x v="150"/>
  </r>
  <r>
    <x v="8"/>
    <x v="37"/>
    <x v="151"/>
  </r>
  <r>
    <x v="8"/>
    <x v="37"/>
    <x v="152"/>
  </r>
  <r>
    <x v="8"/>
    <x v="37"/>
    <x v="153"/>
  </r>
  <r>
    <x v="8"/>
    <x v="38"/>
    <x v="154"/>
  </r>
  <r>
    <x v="8"/>
    <x v="38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39"/>
    <x v="163"/>
  </r>
  <r>
    <x v="8"/>
    <x v="39"/>
    <x v="164"/>
  </r>
  <r>
    <x v="8"/>
    <x v="39"/>
    <x v="165"/>
  </r>
  <r>
    <x v="8"/>
    <x v="40"/>
    <x v="166"/>
  </r>
  <r>
    <x v="8"/>
    <x v="40"/>
    <x v="167"/>
  </r>
  <r>
    <x v="8"/>
    <x v="40"/>
    <x v="168"/>
  </r>
  <r>
    <x v="8"/>
    <x v="40"/>
    <x v="169"/>
  </r>
  <r>
    <x v="8"/>
    <x v="41"/>
    <x v="170"/>
  </r>
  <r>
    <x v="8"/>
    <x v="41"/>
    <x v="171"/>
  </r>
  <r>
    <x v="8"/>
    <x v="42"/>
    <x v="172"/>
  </r>
  <r>
    <x v="8"/>
    <x v="42"/>
    <x v="173"/>
  </r>
  <r>
    <x v="8"/>
    <x v="42"/>
    <x v="174"/>
  </r>
  <r>
    <x v="8"/>
    <x v="42"/>
    <x v="175"/>
  </r>
  <r>
    <x v="8"/>
    <x v="43"/>
    <x v="176"/>
  </r>
  <r>
    <x v="8"/>
    <x v="43"/>
    <x v="177"/>
  </r>
  <r>
    <x v="8"/>
    <x v="44"/>
    <x v="178"/>
  </r>
  <r>
    <x v="8"/>
    <x v="44"/>
    <x v="179"/>
  </r>
  <r>
    <x v="9"/>
    <x v="45"/>
    <x v="180"/>
  </r>
  <r>
    <x v="9"/>
    <x v="45"/>
    <x v="181"/>
  </r>
  <r>
    <x v="9"/>
    <x v="46"/>
    <x v="182"/>
  </r>
  <r>
    <x v="9"/>
    <x v="46"/>
    <x v="183"/>
  </r>
  <r>
    <x v="10"/>
    <x v="47"/>
    <x v="184"/>
  </r>
  <r>
    <x v="10"/>
    <x v="47"/>
    <x v="185"/>
  </r>
  <r>
    <x v="11"/>
    <x v="48"/>
    <x v="186"/>
  </r>
  <r>
    <x v="11"/>
    <x v="48"/>
    <x v="187"/>
  </r>
  <r>
    <x v="11"/>
    <x v="49"/>
    <x v="188"/>
  </r>
  <r>
    <x v="11"/>
    <x v="49"/>
    <x v="189"/>
  </r>
  <r>
    <x v="11"/>
    <x v="50"/>
    <x v="190"/>
  </r>
  <r>
    <x v="11"/>
    <x v="50"/>
    <x v="191"/>
  </r>
  <r>
    <x v="11"/>
    <x v="51"/>
    <x v="192"/>
  </r>
  <r>
    <x v="11"/>
    <x v="51"/>
    <x v="193"/>
  </r>
  <r>
    <x v="11"/>
    <x v="52"/>
    <x v="194"/>
  </r>
  <r>
    <x v="11"/>
    <x v="52"/>
    <x v="195"/>
  </r>
  <r>
    <x v="11"/>
    <x v="53"/>
    <x v="196"/>
  </r>
  <r>
    <x v="11"/>
    <x v="53"/>
    <x v="197"/>
  </r>
  <r>
    <x v="11"/>
    <x v="54"/>
    <x v="198"/>
  </r>
  <r>
    <x v="11"/>
    <x v="54"/>
    <x v="199"/>
  </r>
  <r>
    <x v="11"/>
    <x v="55"/>
    <x v="200"/>
  </r>
  <r>
    <x v="11"/>
    <x v="55"/>
    <x v="201"/>
  </r>
  <r>
    <x v="11"/>
    <x v="56"/>
    <x v="202"/>
  </r>
  <r>
    <x v="11"/>
    <x v="56"/>
    <x v="203"/>
  </r>
  <r>
    <x v="11"/>
    <x v="57"/>
    <x v="204"/>
  </r>
  <r>
    <x v="11"/>
    <x v="57"/>
    <x v="205"/>
  </r>
  <r>
    <x v="11"/>
    <x v="58"/>
    <x v="206"/>
  </r>
  <r>
    <x v="11"/>
    <x v="58"/>
    <x v="207"/>
  </r>
  <r>
    <x v="11"/>
    <x v="59"/>
    <x v="208"/>
  </r>
  <r>
    <x v="11"/>
    <x v="59"/>
    <x v="209"/>
  </r>
  <r>
    <x v="11"/>
    <x v="59"/>
    <x v="210"/>
  </r>
  <r>
    <x v="11"/>
    <x v="60"/>
    <x v="211"/>
  </r>
  <r>
    <x v="11"/>
    <x v="60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1"/>
    <x v="61"/>
    <x v="223"/>
  </r>
  <r>
    <x v="11"/>
    <x v="61"/>
    <x v="224"/>
  </r>
  <r>
    <x v="11"/>
    <x v="61"/>
    <x v="225"/>
  </r>
  <r>
    <x v="12"/>
    <x v="62"/>
    <x v="226"/>
  </r>
  <r>
    <x v="12"/>
    <x v="62"/>
    <x v="227"/>
  </r>
  <r>
    <x v="12"/>
    <x v="63"/>
    <x v="228"/>
  </r>
  <r>
    <x v="12"/>
    <x v="63"/>
    <x v="229"/>
  </r>
  <r>
    <x v="12"/>
    <x v="64"/>
    <x v="230"/>
  </r>
  <r>
    <x v="12"/>
    <x v="64"/>
    <x v="231"/>
  </r>
  <r>
    <x v="12"/>
    <x v="65"/>
    <x v="232"/>
  </r>
  <r>
    <x v="12"/>
    <x v="65"/>
    <x v="233"/>
  </r>
  <r>
    <x v="12"/>
    <x v="66"/>
    <x v="234"/>
  </r>
  <r>
    <x v="12"/>
    <x v="66"/>
    <x v="235"/>
  </r>
  <r>
    <x v="13"/>
    <x v="67"/>
    <x v="236"/>
  </r>
  <r>
    <x v="13"/>
    <x v="67"/>
    <x v="237"/>
  </r>
  <r>
    <x v="13"/>
    <x v="68"/>
    <x v="238"/>
  </r>
  <r>
    <x v="13"/>
    <x v="68"/>
    <x v="239"/>
  </r>
  <r>
    <x v="13"/>
    <x v="69"/>
    <x v="240"/>
  </r>
  <r>
    <x v="13"/>
    <x v="69"/>
    <x v="241"/>
  </r>
  <r>
    <x v="13"/>
    <x v="69"/>
    <x v="242"/>
  </r>
  <r>
    <x v="13"/>
    <x v="70"/>
    <x v="243"/>
  </r>
  <r>
    <x v="13"/>
    <x v="70"/>
    <x v="244"/>
  </r>
  <r>
    <x v="13"/>
    <x v="70"/>
    <x v="245"/>
  </r>
  <r>
    <x v="13"/>
    <x v="70"/>
    <x v="246"/>
  </r>
  <r>
    <x v="13"/>
    <x v="71"/>
    <x v="247"/>
  </r>
  <r>
    <x v="13"/>
    <x v="71"/>
    <x v="248"/>
  </r>
  <r>
    <x v="13"/>
    <x v="72"/>
    <x v="249"/>
  </r>
  <r>
    <x v="13"/>
    <x v="72"/>
    <x v="250"/>
  </r>
  <r>
    <x v="13"/>
    <x v="73"/>
    <x v="251"/>
  </r>
  <r>
    <x v="13"/>
    <x v="73"/>
    <x v="252"/>
  </r>
  <r>
    <x v="13"/>
    <x v="73"/>
    <x v="253"/>
  </r>
  <r>
    <x v="13"/>
    <x v="74"/>
    <x v="254"/>
  </r>
  <r>
    <x v="13"/>
    <x v="74"/>
    <x v="255"/>
  </r>
  <r>
    <x v="13"/>
    <x v="75"/>
    <x v="256"/>
  </r>
  <r>
    <x v="13"/>
    <x v="75"/>
    <x v="257"/>
  </r>
  <r>
    <x v="13"/>
    <x v="75"/>
    <x v="258"/>
  </r>
  <r>
    <x v="13"/>
    <x v="76"/>
    <x v="259"/>
  </r>
  <r>
    <x v="13"/>
    <x v="76"/>
    <x v="260"/>
  </r>
  <r>
    <x v="13"/>
    <x v="77"/>
    <x v="261"/>
  </r>
  <r>
    <x v="13"/>
    <x v="77"/>
    <x v="262"/>
  </r>
  <r>
    <x v="13"/>
    <x v="78"/>
    <x v="263"/>
  </r>
  <r>
    <x v="13"/>
    <x v="78"/>
    <x v="264"/>
  </r>
  <r>
    <x v="13"/>
    <x v="79"/>
    <x v="265"/>
  </r>
  <r>
    <x v="13"/>
    <x v="79"/>
    <x v="266"/>
  </r>
  <r>
    <x v="13"/>
    <x v="80"/>
    <x v="267"/>
  </r>
  <r>
    <x v="13"/>
    <x v="80"/>
    <x v="268"/>
  </r>
  <r>
    <x v="13"/>
    <x v="81"/>
    <x v="269"/>
  </r>
  <r>
    <x v="13"/>
    <x v="81"/>
    <x v="270"/>
  </r>
  <r>
    <x v="13"/>
    <x v="81"/>
    <x v="271"/>
  </r>
  <r>
    <x v="13"/>
    <x v="82"/>
    <x v="272"/>
  </r>
  <r>
    <x v="13"/>
    <x v="82"/>
    <x v="273"/>
  </r>
  <r>
    <x v="13"/>
    <x v="83"/>
    <x v="274"/>
  </r>
  <r>
    <x v="13"/>
    <x v="83"/>
    <x v="275"/>
  </r>
  <r>
    <x v="13"/>
    <x v="84"/>
    <x v="276"/>
  </r>
  <r>
    <x v="13"/>
    <x v="84"/>
    <x v="277"/>
  </r>
  <r>
    <x v="13"/>
    <x v="85"/>
    <x v="278"/>
  </r>
  <r>
    <x v="13"/>
    <x v="85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6"/>
    <x v="285"/>
  </r>
  <r>
    <x v="13"/>
    <x v="86"/>
    <x v="286"/>
  </r>
  <r>
    <x v="13"/>
    <x v="86"/>
    <x v="287"/>
  </r>
  <r>
    <x v="13"/>
    <x v="87"/>
    <x v="288"/>
  </r>
  <r>
    <x v="13"/>
    <x v="87"/>
    <x v="289"/>
  </r>
  <r>
    <x v="13"/>
    <x v="88"/>
    <x v="290"/>
  </r>
  <r>
    <x v="13"/>
    <x v="88"/>
    <x v="291"/>
  </r>
  <r>
    <x v="13"/>
    <x v="89"/>
    <x v="292"/>
  </r>
  <r>
    <x v="13"/>
    <x v="89"/>
    <x v="293"/>
  </r>
  <r>
    <x v="13"/>
    <x v="90"/>
    <x v="294"/>
  </r>
  <r>
    <x v="13"/>
    <x v="90"/>
    <x v="295"/>
  </r>
  <r>
    <x v="13"/>
    <x v="90"/>
    <x v="296"/>
  </r>
  <r>
    <x v="13"/>
    <x v="90"/>
    <x v="297"/>
  </r>
  <r>
    <x v="13"/>
    <x v="91"/>
    <x v="298"/>
  </r>
  <r>
    <x v="13"/>
    <x v="91"/>
    <x v="299"/>
  </r>
  <r>
    <x v="13"/>
    <x v="92"/>
    <x v="300"/>
  </r>
  <r>
    <x v="13"/>
    <x v="92"/>
    <x v="301"/>
  </r>
  <r>
    <x v="13"/>
    <x v="93"/>
    <x v="302"/>
  </r>
  <r>
    <x v="13"/>
    <x v="93"/>
    <x v="303"/>
  </r>
  <r>
    <x v="13"/>
    <x v="94"/>
    <x v="304"/>
  </r>
  <r>
    <x v="13"/>
    <x v="94"/>
    <x v="305"/>
  </r>
  <r>
    <x v="13"/>
    <x v="94"/>
    <x v="306"/>
  </r>
  <r>
    <x v="13"/>
    <x v="94"/>
    <x v="307"/>
  </r>
  <r>
    <x v="13"/>
    <x v="95"/>
    <x v="308"/>
  </r>
  <r>
    <x v="13"/>
    <x v="95"/>
    <x v="309"/>
  </r>
  <r>
    <x v="13"/>
    <x v="95"/>
    <x v="310"/>
  </r>
  <r>
    <x v="13"/>
    <x v="96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7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8"/>
    <x v="321"/>
  </r>
  <r>
    <x v="13"/>
    <x v="99"/>
    <x v="322"/>
  </r>
  <r>
    <x v="13"/>
    <x v="99"/>
    <x v="323"/>
  </r>
  <r>
    <x v="13"/>
    <x v="99"/>
    <x v="324"/>
  </r>
  <r>
    <x v="13"/>
    <x v="100"/>
    <x v="325"/>
  </r>
  <r>
    <x v="13"/>
    <x v="100"/>
    <x v="326"/>
  </r>
  <r>
    <x v="13"/>
    <x v="101"/>
    <x v="327"/>
  </r>
  <r>
    <x v="13"/>
    <x v="101"/>
    <x v="328"/>
  </r>
  <r>
    <x v="13"/>
    <x v="102"/>
    <x v="329"/>
  </r>
  <r>
    <x v="13"/>
    <x v="102"/>
    <x v="330"/>
  </r>
  <r>
    <x v="13"/>
    <x v="102"/>
    <x v="331"/>
  </r>
  <r>
    <x v="13"/>
    <x v="103"/>
    <x v="332"/>
  </r>
  <r>
    <x v="13"/>
    <x v="103"/>
    <x v="333"/>
  </r>
  <r>
    <x v="13"/>
    <x v="104"/>
    <x v="334"/>
  </r>
  <r>
    <x v="13"/>
    <x v="104"/>
    <x v="335"/>
  </r>
  <r>
    <x v="13"/>
    <x v="105"/>
    <x v="336"/>
  </r>
  <r>
    <x v="13"/>
    <x v="105"/>
    <x v="337"/>
  </r>
  <r>
    <x v="13"/>
    <x v="106"/>
    <x v="338"/>
  </r>
  <r>
    <x v="13"/>
    <x v="106"/>
    <x v="339"/>
  </r>
  <r>
    <x v="13"/>
    <x v="107"/>
    <x v="340"/>
  </r>
  <r>
    <x v="13"/>
    <x v="107"/>
    <x v="341"/>
  </r>
  <r>
    <x v="13"/>
    <x v="108"/>
    <x v="342"/>
  </r>
  <r>
    <x v="13"/>
    <x v="108"/>
    <x v="343"/>
  </r>
  <r>
    <x v="13"/>
    <x v="109"/>
    <x v="344"/>
  </r>
  <r>
    <x v="13"/>
    <x v="109"/>
    <x v="345"/>
  </r>
  <r>
    <x v="13"/>
    <x v="110"/>
    <x v="346"/>
  </r>
  <r>
    <x v="13"/>
    <x v="110"/>
    <x v="347"/>
  </r>
  <r>
    <x v="13"/>
    <x v="110"/>
    <x v="348"/>
  </r>
  <r>
    <x v="13"/>
    <x v="110"/>
    <x v="349"/>
  </r>
  <r>
    <x v="13"/>
    <x v="111"/>
    <x v="350"/>
  </r>
  <r>
    <x v="13"/>
    <x v="111"/>
    <x v="351"/>
  </r>
  <r>
    <x v="13"/>
    <x v="112"/>
    <x v="352"/>
  </r>
  <r>
    <x v="13"/>
    <x v="112"/>
    <x v="353"/>
  </r>
  <r>
    <x v="13"/>
    <x v="113"/>
    <x v="354"/>
  </r>
  <r>
    <x v="13"/>
    <x v="113"/>
    <x v="355"/>
  </r>
  <r>
    <x v="13"/>
    <x v="114"/>
    <x v="356"/>
  </r>
  <r>
    <x v="13"/>
    <x v="114"/>
    <x v="357"/>
  </r>
  <r>
    <x v="13"/>
    <x v="115"/>
    <x v="358"/>
  </r>
  <r>
    <x v="13"/>
    <x v="115"/>
    <x v="359"/>
  </r>
  <r>
    <x v="13"/>
    <x v="116"/>
    <x v="360"/>
  </r>
  <r>
    <x v="13"/>
    <x v="116"/>
    <x v="361"/>
  </r>
  <r>
    <x v="13"/>
    <x v="117"/>
    <x v="362"/>
  </r>
  <r>
    <x v="13"/>
    <x v="117"/>
    <x v="363"/>
  </r>
  <r>
    <x v="13"/>
    <x v="117"/>
    <x v="364"/>
  </r>
  <r>
    <x v="13"/>
    <x v="118"/>
    <x v="365"/>
  </r>
  <r>
    <x v="13"/>
    <x v="118"/>
    <x v="366"/>
  </r>
  <r>
    <x v="13"/>
    <x v="118"/>
    <x v="367"/>
  </r>
  <r>
    <x v="13"/>
    <x v="118"/>
    <x v="368"/>
  </r>
  <r>
    <x v="13"/>
    <x v="119"/>
    <x v="369"/>
  </r>
  <r>
    <x v="13"/>
    <x v="119"/>
    <x v="370"/>
  </r>
  <r>
    <x v="13"/>
    <x v="120"/>
    <x v="371"/>
  </r>
  <r>
    <x v="13"/>
    <x v="120"/>
    <x v="372"/>
  </r>
  <r>
    <x v="13"/>
    <x v="121"/>
    <x v="373"/>
  </r>
  <r>
    <x v="13"/>
    <x v="121"/>
    <x v="374"/>
  </r>
  <r>
    <x v="13"/>
    <x v="121"/>
    <x v="375"/>
  </r>
  <r>
    <x v="13"/>
    <x v="122"/>
    <x v="376"/>
  </r>
  <r>
    <x v="13"/>
    <x v="122"/>
    <x v="377"/>
  </r>
  <r>
    <x v="13"/>
    <x v="122"/>
    <x v="378"/>
  </r>
  <r>
    <x v="13"/>
    <x v="122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3"/>
    <x v="399"/>
  </r>
  <r>
    <x v="13"/>
    <x v="123"/>
    <x v="400"/>
  </r>
  <r>
    <x v="13"/>
    <x v="123"/>
    <x v="401"/>
  </r>
  <r>
    <x v="13"/>
    <x v="123"/>
    <x v="402"/>
  </r>
  <r>
    <x v="13"/>
    <x v="123"/>
    <x v="403"/>
  </r>
  <r>
    <x v="13"/>
    <x v="124"/>
    <x v="404"/>
  </r>
  <r>
    <x v="13"/>
    <x v="124"/>
    <x v="405"/>
  </r>
  <r>
    <x v="13"/>
    <x v="125"/>
    <x v="406"/>
  </r>
  <r>
    <x v="13"/>
    <x v="125"/>
    <x v="407"/>
  </r>
  <r>
    <x v="13"/>
    <x v="125"/>
    <x v="408"/>
  </r>
  <r>
    <x v="13"/>
    <x v="125"/>
    <x v="409"/>
  </r>
  <r>
    <x v="13"/>
    <x v="126"/>
    <x v="410"/>
  </r>
  <r>
    <x v="13"/>
    <x v="126"/>
    <x v="411"/>
  </r>
  <r>
    <x v="13"/>
    <x v="127"/>
    <x v="412"/>
  </r>
  <r>
    <x v="13"/>
    <x v="127"/>
    <x v="413"/>
  </r>
  <r>
    <x v="13"/>
    <x v="128"/>
    <x v="414"/>
  </r>
  <r>
    <x v="13"/>
    <x v="128"/>
    <x v="415"/>
  </r>
  <r>
    <x v="13"/>
    <x v="129"/>
    <x v="416"/>
  </r>
  <r>
    <x v="13"/>
    <x v="129"/>
    <x v="417"/>
  </r>
  <r>
    <x v="13"/>
    <x v="130"/>
    <x v="418"/>
  </r>
  <r>
    <x v="13"/>
    <x v="130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1"/>
    <x v="442"/>
  </r>
  <r>
    <x v="13"/>
    <x v="131"/>
    <x v="443"/>
  </r>
  <r>
    <x v="13"/>
    <x v="131"/>
    <x v="444"/>
  </r>
  <r>
    <x v="13"/>
    <x v="131"/>
    <x v="445"/>
  </r>
  <r>
    <x v="13"/>
    <x v="131"/>
    <x v="446"/>
  </r>
  <r>
    <x v="13"/>
    <x v="132"/>
    <x v="447"/>
  </r>
  <r>
    <x v="13"/>
    <x v="132"/>
    <x v="448"/>
  </r>
  <r>
    <x v="13"/>
    <x v="132"/>
    <x v="449"/>
  </r>
  <r>
    <x v="13"/>
    <x v="132"/>
    <x v="450"/>
  </r>
  <r>
    <x v="13"/>
    <x v="132"/>
    <x v="451"/>
  </r>
  <r>
    <x v="13"/>
    <x v="133"/>
    <x v="452"/>
  </r>
  <r>
    <x v="13"/>
    <x v="133"/>
    <x v="453"/>
  </r>
  <r>
    <x v="13"/>
    <x v="134"/>
    <x v="454"/>
  </r>
  <r>
    <x v="13"/>
    <x v="134"/>
    <x v="455"/>
  </r>
  <r>
    <x v="13"/>
    <x v="135"/>
    <x v="456"/>
  </r>
  <r>
    <x v="13"/>
    <x v="135"/>
    <x v="457"/>
  </r>
  <r>
    <x v="13"/>
    <x v="135"/>
    <x v="458"/>
  </r>
  <r>
    <x v="14"/>
    <x v="136"/>
    <x v="459"/>
  </r>
  <r>
    <x v="14"/>
    <x v="136"/>
    <x v="460"/>
  </r>
  <r>
    <x v="14"/>
    <x v="136"/>
    <x v="461"/>
  </r>
  <r>
    <x v="14"/>
    <x v="137"/>
    <x v="462"/>
  </r>
  <r>
    <x v="14"/>
    <x v="137"/>
    <x v="463"/>
  </r>
  <r>
    <x v="14"/>
    <x v="137"/>
    <x v="331"/>
  </r>
  <r>
    <x v="14"/>
    <x v="138"/>
    <x v="464"/>
  </r>
  <r>
    <x v="14"/>
    <x v="138"/>
    <x v="465"/>
  </r>
  <r>
    <x v="14"/>
    <x v="138"/>
    <x v="466"/>
  </r>
  <r>
    <x v="14"/>
    <x v="139"/>
    <x v="467"/>
  </r>
  <r>
    <x v="14"/>
    <x v="139"/>
    <x v="468"/>
  </r>
  <r>
    <x v="14"/>
    <x v="140"/>
    <x v="469"/>
  </r>
  <r>
    <x v="14"/>
    <x v="140"/>
    <x v="470"/>
  </r>
  <r>
    <x v="14"/>
    <x v="141"/>
    <x v="471"/>
  </r>
  <r>
    <x v="14"/>
    <x v="141"/>
    <x v="472"/>
  </r>
  <r>
    <x v="14"/>
    <x v="142"/>
    <x v="473"/>
  </r>
  <r>
    <x v="14"/>
    <x v="142"/>
    <x v="474"/>
  </r>
  <r>
    <x v="15"/>
    <x v="143"/>
    <x v="475"/>
  </r>
  <r>
    <x v="15"/>
    <x v="143"/>
    <x v="476"/>
  </r>
  <r>
    <x v="15"/>
    <x v="144"/>
    <x v="477"/>
  </r>
  <r>
    <x v="15"/>
    <x v="144"/>
    <x v="478"/>
  </r>
  <r>
    <x v="15"/>
    <x v="145"/>
    <x v="479"/>
  </r>
  <r>
    <x v="15"/>
    <x v="145"/>
    <x v="480"/>
  </r>
  <r>
    <x v="15"/>
    <x v="146"/>
    <x v="481"/>
  </r>
  <r>
    <x v="15"/>
    <x v="146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7"/>
    <x v="521"/>
  </r>
  <r>
    <x v="15"/>
    <x v="147"/>
    <x v="522"/>
  </r>
  <r>
    <x v="15"/>
    <x v="147"/>
    <x v="523"/>
  </r>
  <r>
    <x v="15"/>
    <x v="147"/>
    <x v="524"/>
  </r>
  <r>
    <x v="15"/>
    <x v="147"/>
    <x v="525"/>
  </r>
  <r>
    <x v="15"/>
    <x v="148"/>
    <x v="526"/>
  </r>
  <r>
    <x v="15"/>
    <x v="148"/>
    <x v="527"/>
  </r>
  <r>
    <x v="15"/>
    <x v="148"/>
    <x v="528"/>
  </r>
  <r>
    <x v="15"/>
    <x v="148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49"/>
    <x v="536"/>
  </r>
  <r>
    <x v="15"/>
    <x v="149"/>
    <x v="537"/>
  </r>
  <r>
    <x v="15"/>
    <x v="149"/>
    <x v="538"/>
  </r>
  <r>
    <x v="15"/>
    <x v="149"/>
    <x v="539"/>
  </r>
  <r>
    <x v="15"/>
    <x v="149"/>
    <x v="540"/>
  </r>
  <r>
    <x v="15"/>
    <x v="150"/>
    <x v="541"/>
  </r>
  <r>
    <x v="15"/>
    <x v="150"/>
    <x v="542"/>
  </r>
  <r>
    <x v="15"/>
    <x v="151"/>
    <x v="543"/>
  </r>
  <r>
    <x v="15"/>
    <x v="151"/>
    <x v="544"/>
  </r>
  <r>
    <x v="15"/>
    <x v="152"/>
    <x v="545"/>
  </r>
  <r>
    <x v="15"/>
    <x v="152"/>
    <x v="546"/>
  </r>
  <r>
    <x v="15"/>
    <x v="153"/>
    <x v="547"/>
  </r>
  <r>
    <x v="15"/>
    <x v="153"/>
    <x v="548"/>
  </r>
  <r>
    <x v="15"/>
    <x v="154"/>
    <x v="549"/>
  </r>
  <r>
    <x v="15"/>
    <x v="154"/>
    <x v="550"/>
  </r>
  <r>
    <x v="15"/>
    <x v="155"/>
    <x v="551"/>
  </r>
  <r>
    <x v="15"/>
    <x v="155"/>
    <x v="552"/>
  </r>
  <r>
    <x v="15"/>
    <x v="156"/>
    <x v="553"/>
  </r>
  <r>
    <x v="15"/>
    <x v="156"/>
    <x v="554"/>
  </r>
  <r>
    <x v="15"/>
    <x v="157"/>
    <x v="555"/>
  </r>
  <r>
    <x v="15"/>
    <x v="157"/>
    <x v="556"/>
  </r>
  <r>
    <x v="15"/>
    <x v="158"/>
    <x v="557"/>
  </r>
  <r>
    <x v="15"/>
    <x v="158"/>
    <x v="558"/>
  </r>
  <r>
    <x v="15"/>
    <x v="159"/>
    <x v="559"/>
  </r>
  <r>
    <x v="15"/>
    <x v="159"/>
    <x v="560"/>
  </r>
  <r>
    <x v="15"/>
    <x v="160"/>
    <x v="561"/>
  </r>
  <r>
    <x v="15"/>
    <x v="160"/>
    <x v="562"/>
  </r>
  <r>
    <x v="15"/>
    <x v="161"/>
    <x v="563"/>
  </r>
  <r>
    <x v="15"/>
    <x v="161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2"/>
    <x v="570"/>
  </r>
  <r>
    <x v="15"/>
    <x v="162"/>
    <x v="571"/>
  </r>
  <r>
    <x v="15"/>
    <x v="162"/>
    <x v="572"/>
  </r>
  <r>
    <x v="15"/>
    <x v="162"/>
    <x v="573"/>
  </r>
  <r>
    <x v="15"/>
    <x v="162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3"/>
    <x v="580"/>
  </r>
  <r>
    <x v="15"/>
    <x v="163"/>
    <x v="581"/>
  </r>
  <r>
    <x v="15"/>
    <x v="163"/>
    <x v="582"/>
  </r>
  <r>
    <x v="15"/>
    <x v="163"/>
    <x v="583"/>
  </r>
  <r>
    <x v="15"/>
    <x v="163"/>
    <x v="584"/>
  </r>
  <r>
    <x v="15"/>
    <x v="164"/>
    <x v="585"/>
  </r>
  <r>
    <x v="15"/>
    <x v="164"/>
    <x v="586"/>
  </r>
  <r>
    <x v="15"/>
    <x v="165"/>
    <x v="587"/>
  </r>
  <r>
    <x v="15"/>
    <x v="165"/>
    <x v="588"/>
  </r>
  <r>
    <x v="16"/>
    <x v="166"/>
    <x v="589"/>
  </r>
  <r>
    <x v="16"/>
    <x v="166"/>
    <x v="590"/>
  </r>
  <r>
    <x v="16"/>
    <x v="166"/>
    <x v="591"/>
  </r>
  <r>
    <x v="16"/>
    <x v="166"/>
    <x v="592"/>
  </r>
  <r>
    <x v="16"/>
    <x v="167"/>
    <x v="593"/>
  </r>
  <r>
    <x v="16"/>
    <x v="167"/>
    <x v="594"/>
  </r>
  <r>
    <x v="16"/>
    <x v="167"/>
    <x v="595"/>
  </r>
  <r>
    <x v="16"/>
    <x v="167"/>
    <x v="596"/>
  </r>
  <r>
    <x v="17"/>
    <x v="168"/>
    <x v="597"/>
  </r>
  <r>
    <x v="17"/>
    <x v="168"/>
    <x v="598"/>
  </r>
  <r>
    <x v="17"/>
    <x v="169"/>
    <x v="599"/>
  </r>
  <r>
    <x v="17"/>
    <x v="169"/>
    <x v="600"/>
  </r>
  <r>
    <x v="17"/>
    <x v="170"/>
    <x v="601"/>
  </r>
  <r>
    <x v="17"/>
    <x v="170"/>
    <x v="602"/>
  </r>
  <r>
    <x v="17"/>
    <x v="171"/>
    <x v="603"/>
  </r>
  <r>
    <x v="17"/>
    <x v="171"/>
    <x v="604"/>
  </r>
  <r>
    <x v="17"/>
    <x v="172"/>
    <x v="605"/>
  </r>
  <r>
    <x v="17"/>
    <x v="172"/>
    <x v="606"/>
  </r>
  <r>
    <x v="17"/>
    <x v="172"/>
    <x v="607"/>
  </r>
  <r>
    <x v="17"/>
    <x v="173"/>
    <x v="608"/>
  </r>
  <r>
    <x v="17"/>
    <x v="173"/>
    <x v="609"/>
  </r>
  <r>
    <x v="17"/>
    <x v="174"/>
    <x v="610"/>
  </r>
  <r>
    <x v="17"/>
    <x v="174"/>
    <x v="611"/>
  </r>
  <r>
    <x v="17"/>
    <x v="175"/>
    <x v="612"/>
  </r>
  <r>
    <x v="17"/>
    <x v="175"/>
    <x v="613"/>
  </r>
  <r>
    <x v="17"/>
    <x v="176"/>
    <x v="614"/>
  </r>
  <r>
    <x v="17"/>
    <x v="176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7"/>
    <x v="625"/>
  </r>
  <r>
    <x v="18"/>
    <x v="177"/>
    <x v="626"/>
  </r>
  <r>
    <x v="18"/>
    <x v="177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8"/>
    <x v="636"/>
  </r>
  <r>
    <x v="18"/>
    <x v="178"/>
    <x v="637"/>
  </r>
  <r>
    <x v="18"/>
    <x v="178"/>
    <x v="638"/>
  </r>
  <r>
    <x v="18"/>
    <x v="178"/>
    <x v="639"/>
  </r>
  <r>
    <x v="18"/>
    <x v="178"/>
    <x v="640"/>
  </r>
  <r>
    <x v="18"/>
    <x v="178"/>
    <x v="641"/>
  </r>
  <r>
    <x v="18"/>
    <x v="179"/>
    <x v="642"/>
  </r>
  <r>
    <x v="18"/>
    <x v="179"/>
    <x v="643"/>
  </r>
  <r>
    <x v="18"/>
    <x v="179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0"/>
    <x v="650"/>
  </r>
  <r>
    <x v="18"/>
    <x v="180"/>
    <x v="651"/>
  </r>
  <r>
    <x v="18"/>
    <x v="180"/>
    <x v="652"/>
  </r>
  <r>
    <x v="18"/>
    <x v="180"/>
    <x v="653"/>
  </r>
  <r>
    <x v="18"/>
    <x v="180"/>
    <x v="654"/>
  </r>
  <r>
    <x v="18"/>
    <x v="180"/>
    <x v="655"/>
  </r>
  <r>
    <x v="18"/>
    <x v="181"/>
    <x v="656"/>
  </r>
  <r>
    <x v="18"/>
    <x v="181"/>
    <x v="657"/>
  </r>
  <r>
    <x v="18"/>
    <x v="182"/>
    <x v="658"/>
  </r>
  <r>
    <x v="18"/>
    <x v="182"/>
    <x v="659"/>
  </r>
  <r>
    <x v="18"/>
    <x v="183"/>
    <x v="660"/>
  </r>
  <r>
    <x v="18"/>
    <x v="183"/>
    <x v="661"/>
  </r>
  <r>
    <x v="18"/>
    <x v="184"/>
    <x v="662"/>
  </r>
  <r>
    <x v="18"/>
    <x v="184"/>
    <x v="663"/>
  </r>
  <r>
    <x v="18"/>
    <x v="185"/>
    <x v="664"/>
  </r>
  <r>
    <x v="18"/>
    <x v="185"/>
    <x v="665"/>
  </r>
  <r>
    <x v="18"/>
    <x v="186"/>
    <x v="666"/>
  </r>
  <r>
    <x v="18"/>
    <x v="186"/>
    <x v="667"/>
  </r>
  <r>
    <x v="18"/>
    <x v="186"/>
    <x v="668"/>
  </r>
  <r>
    <x v="18"/>
    <x v="187"/>
    <x v="669"/>
  </r>
  <r>
    <x v="18"/>
    <x v="187"/>
    <x v="670"/>
  </r>
  <r>
    <x v="18"/>
    <x v="188"/>
    <x v="671"/>
  </r>
  <r>
    <x v="18"/>
    <x v="188"/>
    <x v="672"/>
  </r>
  <r>
    <x v="18"/>
    <x v="189"/>
    <x v="673"/>
  </r>
  <r>
    <x v="18"/>
    <x v="189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0"/>
    <x v="688"/>
  </r>
  <r>
    <x v="18"/>
    <x v="190"/>
    <x v="689"/>
  </r>
  <r>
    <x v="18"/>
    <x v="190"/>
    <x v="690"/>
  </r>
  <r>
    <x v="18"/>
    <x v="190"/>
    <x v="691"/>
  </r>
  <r>
    <x v="18"/>
    <x v="190"/>
    <x v="692"/>
  </r>
  <r>
    <x v="18"/>
    <x v="190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1"/>
    <x v="708"/>
  </r>
  <r>
    <x v="18"/>
    <x v="191"/>
    <x v="709"/>
  </r>
  <r>
    <x v="18"/>
    <x v="191"/>
    <x v="710"/>
  </r>
  <r>
    <x v="18"/>
    <x v="191"/>
    <x v="711"/>
  </r>
  <r>
    <x v="18"/>
    <x v="191"/>
    <x v="712"/>
  </r>
  <r>
    <x v="18"/>
    <x v="191"/>
    <x v="713"/>
  </r>
  <r>
    <x v="18"/>
    <x v="192"/>
    <x v="714"/>
  </r>
  <r>
    <x v="18"/>
    <x v="192"/>
    <x v="715"/>
  </r>
  <r>
    <x v="18"/>
    <x v="193"/>
    <x v="716"/>
  </r>
  <r>
    <x v="18"/>
    <x v="193"/>
    <x v="717"/>
  </r>
  <r>
    <x v="18"/>
    <x v="194"/>
    <x v="718"/>
  </r>
  <r>
    <x v="18"/>
    <x v="194"/>
    <x v="719"/>
  </r>
  <r>
    <x v="18"/>
    <x v="195"/>
    <x v="720"/>
  </r>
  <r>
    <x v="18"/>
    <x v="195"/>
    <x v="721"/>
  </r>
  <r>
    <x v="18"/>
    <x v="196"/>
    <x v="722"/>
  </r>
  <r>
    <x v="18"/>
    <x v="196"/>
    <x v="723"/>
  </r>
  <r>
    <x v="18"/>
    <x v="197"/>
    <x v="724"/>
  </r>
  <r>
    <x v="18"/>
    <x v="197"/>
    <x v="725"/>
  </r>
  <r>
    <x v="18"/>
    <x v="198"/>
    <x v="726"/>
  </r>
  <r>
    <x v="18"/>
    <x v="198"/>
    <x v="727"/>
  </r>
  <r>
    <x v="18"/>
    <x v="199"/>
    <x v="728"/>
  </r>
  <r>
    <x v="18"/>
    <x v="199"/>
    <x v="729"/>
  </r>
  <r>
    <x v="19"/>
    <x v="200"/>
    <x v="730"/>
  </r>
  <r>
    <x v="19"/>
    <x v="200"/>
    <x v="731"/>
  </r>
  <r>
    <x v="19"/>
    <x v="201"/>
    <x v="732"/>
  </r>
  <r>
    <x v="19"/>
    <x v="201"/>
    <x v="733"/>
  </r>
  <r>
    <x v="19"/>
    <x v="201"/>
    <x v="734"/>
  </r>
  <r>
    <x v="19"/>
    <x v="202"/>
    <x v="735"/>
  </r>
  <r>
    <x v="19"/>
    <x v="202"/>
    <x v="736"/>
  </r>
  <r>
    <x v="19"/>
    <x v="202"/>
    <x v="737"/>
  </r>
  <r>
    <x v="19"/>
    <x v="203"/>
    <x v="738"/>
  </r>
  <r>
    <x v="19"/>
    <x v="203"/>
    <x v="739"/>
  </r>
  <r>
    <x v="19"/>
    <x v="204"/>
    <x v="740"/>
  </r>
  <r>
    <x v="19"/>
    <x v="204"/>
    <x v="741"/>
  </r>
  <r>
    <x v="19"/>
    <x v="205"/>
    <x v="742"/>
  </r>
  <r>
    <x v="19"/>
    <x v="205"/>
    <x v="743"/>
  </r>
  <r>
    <x v="19"/>
    <x v="206"/>
    <x v="744"/>
  </r>
  <r>
    <x v="19"/>
    <x v="206"/>
    <x v="745"/>
  </r>
  <r>
    <x v="19"/>
    <x v="207"/>
    <x v="746"/>
  </r>
  <r>
    <x v="19"/>
    <x v="207"/>
    <x v="747"/>
  </r>
  <r>
    <x v="19"/>
    <x v="207"/>
    <x v="748"/>
  </r>
  <r>
    <x v="19"/>
    <x v="208"/>
    <x v="749"/>
  </r>
  <r>
    <x v="19"/>
    <x v="208"/>
    <x v="750"/>
  </r>
  <r>
    <x v="19"/>
    <x v="209"/>
    <x v="751"/>
  </r>
  <r>
    <x v="19"/>
    <x v="209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0"/>
    <x v="763"/>
  </r>
  <r>
    <x v="19"/>
    <x v="210"/>
    <x v="764"/>
  </r>
  <r>
    <x v="19"/>
    <x v="210"/>
    <x v="765"/>
  </r>
  <r>
    <x v="19"/>
    <x v="210"/>
    <x v="766"/>
  </r>
  <r>
    <x v="19"/>
    <x v="210"/>
    <x v="767"/>
  </r>
  <r>
    <x v="19"/>
    <x v="210"/>
    <x v="768"/>
  </r>
  <r>
    <x v="19"/>
    <x v="211"/>
    <x v="769"/>
  </r>
  <r>
    <x v="19"/>
    <x v="211"/>
    <x v="770"/>
  </r>
  <r>
    <x v="19"/>
    <x v="211"/>
    <x v="771"/>
  </r>
  <r>
    <x v="19"/>
    <x v="211"/>
    <x v="772"/>
  </r>
  <r>
    <x v="19"/>
    <x v="212"/>
    <x v="773"/>
  </r>
  <r>
    <x v="19"/>
    <x v="212"/>
    <x v="774"/>
  </r>
  <r>
    <x v="19"/>
    <x v="213"/>
    <x v="775"/>
  </r>
  <r>
    <x v="19"/>
    <x v="213"/>
    <x v="776"/>
  </r>
  <r>
    <x v="19"/>
    <x v="213"/>
    <x v="777"/>
  </r>
  <r>
    <x v="19"/>
    <x v="214"/>
    <x v="778"/>
  </r>
  <r>
    <x v="19"/>
    <x v="214"/>
    <x v="779"/>
  </r>
  <r>
    <x v="19"/>
    <x v="215"/>
    <x v="780"/>
  </r>
  <r>
    <x v="19"/>
    <x v="215"/>
    <x v="781"/>
  </r>
  <r>
    <x v="19"/>
    <x v="216"/>
    <x v="782"/>
  </r>
  <r>
    <x v="19"/>
    <x v="216"/>
    <x v="783"/>
  </r>
  <r>
    <x v="19"/>
    <x v="217"/>
    <x v="784"/>
  </r>
  <r>
    <x v="19"/>
    <x v="217"/>
    <x v="785"/>
  </r>
  <r>
    <x v="19"/>
    <x v="218"/>
    <x v="786"/>
  </r>
  <r>
    <x v="19"/>
    <x v="218"/>
    <x v="787"/>
  </r>
  <r>
    <x v="19"/>
    <x v="219"/>
    <x v="788"/>
  </r>
  <r>
    <x v="19"/>
    <x v="219"/>
    <x v="789"/>
  </r>
  <r>
    <x v="19"/>
    <x v="220"/>
    <x v="790"/>
  </r>
  <r>
    <x v="19"/>
    <x v="220"/>
    <x v="791"/>
  </r>
  <r>
    <x v="19"/>
    <x v="221"/>
    <x v="792"/>
  </r>
  <r>
    <x v="19"/>
    <x v="221"/>
    <x v="793"/>
  </r>
  <r>
    <x v="20"/>
    <x v="222"/>
    <x v="794"/>
  </r>
  <r>
    <x v="20"/>
    <x v="222"/>
    <x v="795"/>
  </r>
  <r>
    <x v="20"/>
    <x v="223"/>
    <x v="796"/>
  </r>
  <r>
    <x v="20"/>
    <x v="223"/>
    <x v="797"/>
  </r>
  <r>
    <x v="20"/>
    <x v="224"/>
    <x v="798"/>
  </r>
  <r>
    <x v="20"/>
    <x v="224"/>
    <x v="799"/>
  </r>
  <r>
    <x v="20"/>
    <x v="225"/>
    <x v="800"/>
  </r>
  <r>
    <x v="20"/>
    <x v="225"/>
    <x v="801"/>
  </r>
  <r>
    <x v="20"/>
    <x v="226"/>
    <x v="802"/>
  </r>
  <r>
    <x v="20"/>
    <x v="226"/>
    <x v="803"/>
  </r>
  <r>
    <x v="20"/>
    <x v="227"/>
    <x v="804"/>
  </r>
  <r>
    <x v="20"/>
    <x v="227"/>
    <x v="805"/>
  </r>
  <r>
    <x v="20"/>
    <x v="228"/>
    <x v="806"/>
  </r>
  <r>
    <x v="20"/>
    <x v="228"/>
    <x v="807"/>
  </r>
  <r>
    <x v="20"/>
    <x v="229"/>
    <x v="808"/>
  </r>
  <r>
    <x v="20"/>
    <x v="229"/>
    <x v="809"/>
  </r>
  <r>
    <x v="20"/>
    <x v="230"/>
    <x v="810"/>
  </r>
  <r>
    <x v="20"/>
    <x v="230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1"/>
    <x v="828"/>
  </r>
  <r>
    <x v="21"/>
    <x v="231"/>
    <x v="829"/>
  </r>
  <r>
    <x v="21"/>
    <x v="231"/>
    <x v="830"/>
  </r>
  <r>
    <x v="21"/>
    <x v="231"/>
    <x v="831"/>
  </r>
  <r>
    <x v="21"/>
    <x v="231"/>
    <x v="832"/>
  </r>
  <r>
    <x v="21"/>
    <x v="231"/>
    <x v="833"/>
  </r>
  <r>
    <x v="21"/>
    <x v="231"/>
    <x v="834"/>
  </r>
  <r>
    <x v="21"/>
    <x v="231"/>
    <x v="835"/>
  </r>
  <r>
    <x v="21"/>
    <x v="232"/>
    <x v="836"/>
  </r>
  <r>
    <x v="21"/>
    <x v="232"/>
    <x v="837"/>
  </r>
  <r>
    <x v="21"/>
    <x v="233"/>
    <x v="838"/>
  </r>
  <r>
    <x v="21"/>
    <x v="233"/>
    <x v="839"/>
  </r>
  <r>
    <x v="21"/>
    <x v="234"/>
    <x v="840"/>
  </r>
  <r>
    <x v="21"/>
    <x v="234"/>
    <x v="841"/>
  </r>
  <r>
    <x v="22"/>
    <x v="235"/>
    <x v="842"/>
  </r>
  <r>
    <x v="22"/>
    <x v="235"/>
    <x v="843"/>
  </r>
  <r>
    <x v="22"/>
    <x v="235"/>
    <x v="844"/>
  </r>
  <r>
    <x v="22"/>
    <x v="235"/>
    <x v="845"/>
  </r>
  <r>
    <x v="22"/>
    <x v="235"/>
    <x v="846"/>
  </r>
  <r>
    <x v="22"/>
    <x v="236"/>
    <x v="847"/>
  </r>
  <r>
    <x v="22"/>
    <x v="236"/>
    <x v="848"/>
  </r>
  <r>
    <x v="22"/>
    <x v="237"/>
    <x v="849"/>
  </r>
  <r>
    <x v="22"/>
    <x v="237"/>
    <x v="850"/>
  </r>
  <r>
    <x v="22"/>
    <x v="238"/>
    <x v="851"/>
  </r>
  <r>
    <x v="22"/>
    <x v="238"/>
    <x v="852"/>
  </r>
  <r>
    <x v="22"/>
    <x v="238"/>
    <x v="853"/>
  </r>
  <r>
    <x v="22"/>
    <x v="238"/>
    <x v="854"/>
  </r>
  <r>
    <x v="22"/>
    <x v="238"/>
    <x v="855"/>
  </r>
  <r>
    <x v="22"/>
    <x v="239"/>
    <x v="856"/>
  </r>
  <r>
    <x v="22"/>
    <x v="239"/>
    <x v="857"/>
  </r>
  <r>
    <x v="22"/>
    <x v="240"/>
    <x v="858"/>
  </r>
  <r>
    <x v="22"/>
    <x v="240"/>
    <x v="859"/>
  </r>
  <r>
    <x v="22"/>
    <x v="240"/>
    <x v="860"/>
  </r>
  <r>
    <x v="22"/>
    <x v="241"/>
    <x v="861"/>
  </r>
  <r>
    <x v="22"/>
    <x v="241"/>
    <x v="862"/>
  </r>
  <r>
    <x v="22"/>
    <x v="242"/>
    <x v="863"/>
  </r>
  <r>
    <x v="22"/>
    <x v="242"/>
    <x v="864"/>
  </r>
  <r>
    <x v="22"/>
    <x v="243"/>
    <x v="865"/>
  </r>
  <r>
    <x v="22"/>
    <x v="243"/>
    <x v="866"/>
  </r>
  <r>
    <x v="22"/>
    <x v="243"/>
    <x v="867"/>
  </r>
  <r>
    <x v="22"/>
    <x v="243"/>
    <x v="868"/>
  </r>
  <r>
    <x v="22"/>
    <x v="243"/>
    <x v="869"/>
  </r>
  <r>
    <x v="22"/>
    <x v="244"/>
    <x v="870"/>
  </r>
  <r>
    <x v="22"/>
    <x v="244"/>
    <x v="871"/>
  </r>
  <r>
    <x v="22"/>
    <x v="244"/>
    <x v="872"/>
  </r>
  <r>
    <x v="22"/>
    <x v="244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7"/>
  </r>
  <r>
    <x v="22"/>
    <x v="245"/>
    <x v="887"/>
  </r>
  <r>
    <x v="22"/>
    <x v="245"/>
    <x v="887"/>
  </r>
  <r>
    <x v="22"/>
    <x v="246"/>
    <x v="888"/>
  </r>
  <r>
    <x v="22"/>
    <x v="246"/>
    <x v="889"/>
  </r>
  <r>
    <x v="22"/>
    <x v="247"/>
    <x v="890"/>
  </r>
  <r>
    <x v="22"/>
    <x v="247"/>
    <x v="891"/>
  </r>
  <r>
    <x v="22"/>
    <x v="248"/>
    <x v="892"/>
  </r>
  <r>
    <x v="22"/>
    <x v="248"/>
    <x v="893"/>
  </r>
  <r>
    <x v="22"/>
    <x v="249"/>
    <x v="894"/>
  </r>
  <r>
    <x v="22"/>
    <x v="249"/>
    <x v="895"/>
  </r>
  <r>
    <x v="22"/>
    <x v="249"/>
    <x v="896"/>
  </r>
  <r>
    <x v="22"/>
    <x v="249"/>
    <x v="897"/>
  </r>
  <r>
    <x v="22"/>
    <x v="249"/>
    <x v="898"/>
  </r>
  <r>
    <x v="22"/>
    <x v="249"/>
    <x v="899"/>
  </r>
  <r>
    <x v="22"/>
    <x v="249"/>
    <x v="900"/>
  </r>
  <r>
    <x v="22"/>
    <x v="249"/>
    <x v="901"/>
  </r>
  <r>
    <x v="22"/>
    <x v="249"/>
    <x v="902"/>
  </r>
  <r>
    <x v="22"/>
    <x v="249"/>
    <x v="903"/>
  </r>
  <r>
    <x v="22"/>
    <x v="249"/>
    <x v="904"/>
  </r>
  <r>
    <x v="22"/>
    <x v="249"/>
    <x v="905"/>
  </r>
  <r>
    <x v="22"/>
    <x v="249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0"/>
    <x v="970"/>
  </r>
  <r>
    <x v="22"/>
    <x v="250"/>
    <x v="971"/>
  </r>
  <r>
    <x v="22"/>
    <x v="250"/>
    <x v="972"/>
  </r>
  <r>
    <x v="22"/>
    <x v="250"/>
    <x v="973"/>
  </r>
  <r>
    <x v="22"/>
    <x v="250"/>
    <x v="974"/>
  </r>
  <r>
    <x v="22"/>
    <x v="250"/>
    <x v="975"/>
  </r>
  <r>
    <x v="22"/>
    <x v="250"/>
    <x v="976"/>
  </r>
  <r>
    <x v="22"/>
    <x v="250"/>
    <x v="977"/>
  </r>
  <r>
    <x v="22"/>
    <x v="250"/>
    <x v="978"/>
  </r>
  <r>
    <x v="22"/>
    <x v="250"/>
    <x v="979"/>
  </r>
  <r>
    <x v="22"/>
    <x v="251"/>
    <x v="980"/>
  </r>
  <r>
    <x v="22"/>
    <x v="251"/>
    <x v="981"/>
  </r>
  <r>
    <x v="22"/>
    <x v="251"/>
    <x v="982"/>
  </r>
  <r>
    <x v="22"/>
    <x v="252"/>
    <x v="983"/>
  </r>
  <r>
    <x v="22"/>
    <x v="252"/>
    <x v="984"/>
  </r>
  <r>
    <x v="22"/>
    <x v="253"/>
    <x v="985"/>
  </r>
  <r>
    <x v="22"/>
    <x v="253"/>
    <x v="986"/>
  </r>
  <r>
    <x v="22"/>
    <x v="253"/>
    <x v="987"/>
  </r>
  <r>
    <x v="22"/>
    <x v="254"/>
    <x v="988"/>
  </r>
  <r>
    <x v="22"/>
    <x v="254"/>
    <x v="989"/>
  </r>
  <r>
    <x v="22"/>
    <x v="254"/>
    <x v="990"/>
  </r>
  <r>
    <x v="22"/>
    <x v="254"/>
    <x v="991"/>
  </r>
  <r>
    <x v="22"/>
    <x v="254"/>
    <x v="992"/>
  </r>
  <r>
    <x v="22"/>
    <x v="254"/>
    <x v="993"/>
  </r>
  <r>
    <x v="22"/>
    <x v="254"/>
    <x v="994"/>
  </r>
  <r>
    <x v="22"/>
    <x v="254"/>
    <x v="995"/>
  </r>
  <r>
    <x v="22"/>
    <x v="254"/>
    <x v="996"/>
  </r>
  <r>
    <x v="22"/>
    <x v="254"/>
    <x v="997"/>
  </r>
  <r>
    <x v="22"/>
    <x v="254"/>
    <x v="998"/>
  </r>
  <r>
    <x v="22"/>
    <x v="254"/>
    <x v="999"/>
  </r>
  <r>
    <x v="22"/>
    <x v="254"/>
    <x v="1000"/>
  </r>
  <r>
    <x v="22"/>
    <x v="255"/>
    <x v="1001"/>
  </r>
  <r>
    <x v="22"/>
    <x v="255"/>
    <x v="1002"/>
  </r>
  <r>
    <x v="22"/>
    <x v="256"/>
    <x v="1003"/>
  </r>
  <r>
    <x v="22"/>
    <x v="256"/>
    <x v="1004"/>
  </r>
  <r>
    <x v="22"/>
    <x v="256"/>
    <x v="1005"/>
  </r>
  <r>
    <x v="22"/>
    <x v="256"/>
    <x v="1006"/>
  </r>
  <r>
    <x v="22"/>
    <x v="256"/>
    <x v="1007"/>
  </r>
  <r>
    <x v="22"/>
    <x v="256"/>
    <x v="1008"/>
  </r>
  <r>
    <x v="22"/>
    <x v="256"/>
    <x v="1009"/>
  </r>
  <r>
    <x v="22"/>
    <x v="256"/>
    <x v="1010"/>
  </r>
  <r>
    <x v="22"/>
    <x v="256"/>
    <x v="1011"/>
  </r>
  <r>
    <x v="22"/>
    <x v="256"/>
    <x v="1012"/>
  </r>
  <r>
    <x v="22"/>
    <x v="256"/>
    <x v="1013"/>
  </r>
  <r>
    <x v="22"/>
    <x v="256"/>
    <x v="1014"/>
  </r>
  <r>
    <x v="22"/>
    <x v="256"/>
    <x v="1015"/>
  </r>
  <r>
    <x v="22"/>
    <x v="257"/>
    <x v="1016"/>
  </r>
  <r>
    <x v="22"/>
    <x v="257"/>
    <x v="1017"/>
  </r>
  <r>
    <x v="22"/>
    <x v="257"/>
    <x v="1018"/>
  </r>
  <r>
    <x v="22"/>
    <x v="257"/>
    <x v="1019"/>
  </r>
  <r>
    <x v="22"/>
    <x v="257"/>
    <x v="1020"/>
  </r>
  <r>
    <x v="22"/>
    <x v="257"/>
    <x v="1021"/>
  </r>
  <r>
    <x v="22"/>
    <x v="257"/>
    <x v="1022"/>
  </r>
  <r>
    <x v="22"/>
    <x v="258"/>
    <x v="1023"/>
  </r>
  <r>
    <x v="22"/>
    <x v="258"/>
    <x v="1024"/>
  </r>
  <r>
    <x v="22"/>
    <x v="259"/>
    <x v="1025"/>
  </r>
  <r>
    <x v="22"/>
    <x v="259"/>
    <x v="1026"/>
  </r>
  <r>
    <x v="22"/>
    <x v="260"/>
    <x v="1027"/>
  </r>
  <r>
    <x v="22"/>
    <x v="260"/>
    <x v="1028"/>
  </r>
  <r>
    <x v="22"/>
    <x v="261"/>
    <x v="1029"/>
  </r>
  <r>
    <x v="22"/>
    <x v="261"/>
    <x v="1030"/>
  </r>
  <r>
    <x v="22"/>
    <x v="262"/>
    <x v="1031"/>
  </r>
  <r>
    <x v="22"/>
    <x v="262"/>
    <x v="1032"/>
  </r>
  <r>
    <x v="22"/>
    <x v="262"/>
    <x v="1033"/>
  </r>
  <r>
    <x v="22"/>
    <x v="262"/>
    <x v="1034"/>
  </r>
  <r>
    <x v="22"/>
    <x v="262"/>
    <x v="1035"/>
  </r>
  <r>
    <x v="22"/>
    <x v="262"/>
    <x v="1036"/>
  </r>
  <r>
    <x v="22"/>
    <x v="262"/>
    <x v="1037"/>
  </r>
  <r>
    <x v="22"/>
    <x v="263"/>
    <x v="1038"/>
  </r>
  <r>
    <x v="22"/>
    <x v="263"/>
    <x v="1039"/>
  </r>
  <r>
    <x v="22"/>
    <x v="264"/>
    <x v="1040"/>
  </r>
  <r>
    <x v="22"/>
    <x v="264"/>
    <x v="1041"/>
  </r>
  <r>
    <x v="22"/>
    <x v="264"/>
    <x v="1042"/>
  </r>
  <r>
    <x v="22"/>
    <x v="265"/>
    <x v="1043"/>
  </r>
  <r>
    <x v="22"/>
    <x v="265"/>
    <x v="1044"/>
  </r>
  <r>
    <x v="22"/>
    <x v="266"/>
    <x v="1045"/>
  </r>
  <r>
    <x v="22"/>
    <x v="266"/>
    <x v="1046"/>
  </r>
  <r>
    <x v="22"/>
    <x v="267"/>
    <x v="1047"/>
  </r>
  <r>
    <x v="22"/>
    <x v="267"/>
    <x v="1048"/>
  </r>
  <r>
    <x v="22"/>
    <x v="268"/>
    <x v="1049"/>
  </r>
  <r>
    <x v="22"/>
    <x v="268"/>
    <x v="1050"/>
  </r>
  <r>
    <x v="22"/>
    <x v="269"/>
    <x v="1051"/>
  </r>
  <r>
    <x v="22"/>
    <x v="269"/>
    <x v="1052"/>
  </r>
  <r>
    <x v="22"/>
    <x v="269"/>
    <x v="1053"/>
  </r>
  <r>
    <x v="22"/>
    <x v="270"/>
    <x v="1054"/>
  </r>
  <r>
    <x v="22"/>
    <x v="270"/>
    <x v="1055"/>
  </r>
  <r>
    <x v="22"/>
    <x v="270"/>
    <x v="1056"/>
  </r>
  <r>
    <x v="22"/>
    <x v="271"/>
    <x v="1057"/>
  </r>
  <r>
    <x v="22"/>
    <x v="271"/>
    <x v="1058"/>
  </r>
  <r>
    <x v="22"/>
    <x v="272"/>
    <x v="1059"/>
  </r>
  <r>
    <x v="22"/>
    <x v="272"/>
    <x v="1060"/>
  </r>
  <r>
    <x v="22"/>
    <x v="273"/>
    <x v="1061"/>
  </r>
  <r>
    <x v="22"/>
    <x v="273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4"/>
    <x v="1126"/>
  </r>
  <r>
    <x v="22"/>
    <x v="274"/>
    <x v="1127"/>
  </r>
  <r>
    <x v="22"/>
    <x v="274"/>
    <x v="1128"/>
  </r>
  <r>
    <x v="22"/>
    <x v="274"/>
    <x v="1129"/>
  </r>
  <r>
    <x v="22"/>
    <x v="274"/>
    <x v="1130"/>
  </r>
  <r>
    <x v="22"/>
    <x v="274"/>
    <x v="1131"/>
  </r>
  <r>
    <x v="22"/>
    <x v="274"/>
    <x v="1132"/>
  </r>
  <r>
    <x v="22"/>
    <x v="274"/>
    <x v="1133"/>
  </r>
  <r>
    <x v="22"/>
    <x v="274"/>
    <x v="1134"/>
  </r>
  <r>
    <x v="22"/>
    <x v="274"/>
    <x v="1135"/>
  </r>
  <r>
    <x v="22"/>
    <x v="275"/>
    <x v="1136"/>
  </r>
  <r>
    <x v="22"/>
    <x v="275"/>
    <x v="1137"/>
  </r>
  <r>
    <x v="22"/>
    <x v="275"/>
    <x v="1138"/>
  </r>
  <r>
    <x v="22"/>
    <x v="275"/>
    <x v="1139"/>
  </r>
  <r>
    <x v="22"/>
    <x v="275"/>
    <x v="1140"/>
  </r>
  <r>
    <x v="22"/>
    <x v="275"/>
    <x v="1141"/>
  </r>
  <r>
    <x v="22"/>
    <x v="275"/>
    <x v="1142"/>
  </r>
  <r>
    <x v="22"/>
    <x v="275"/>
    <x v="1143"/>
  </r>
  <r>
    <x v="22"/>
    <x v="275"/>
    <x v="1144"/>
  </r>
  <r>
    <x v="22"/>
    <x v="275"/>
    <x v="1145"/>
  </r>
  <r>
    <x v="22"/>
    <x v="275"/>
    <x v="1146"/>
  </r>
  <r>
    <x v="22"/>
    <x v="275"/>
    <x v="1147"/>
  </r>
  <r>
    <x v="22"/>
    <x v="275"/>
    <x v="1148"/>
  </r>
  <r>
    <x v="22"/>
    <x v="276"/>
    <x v="1149"/>
  </r>
  <r>
    <x v="22"/>
    <x v="276"/>
    <x v="1150"/>
  </r>
  <r>
    <x v="22"/>
    <x v="277"/>
    <x v="1151"/>
  </r>
  <r>
    <x v="22"/>
    <x v="277"/>
    <x v="1152"/>
  </r>
  <r>
    <x v="22"/>
    <x v="278"/>
    <x v="1153"/>
  </r>
  <r>
    <x v="22"/>
    <x v="278"/>
    <x v="1154"/>
  </r>
  <r>
    <x v="22"/>
    <x v="279"/>
    <x v="1155"/>
  </r>
  <r>
    <x v="22"/>
    <x v="279"/>
    <x v="1156"/>
  </r>
  <r>
    <x v="22"/>
    <x v="280"/>
    <x v="1157"/>
  </r>
  <r>
    <x v="22"/>
    <x v="280"/>
    <x v="1158"/>
  </r>
  <r>
    <x v="22"/>
    <x v="280"/>
    <x v="1159"/>
  </r>
  <r>
    <x v="22"/>
    <x v="281"/>
    <x v="1160"/>
  </r>
  <r>
    <x v="22"/>
    <x v="281"/>
    <x v="1161"/>
  </r>
  <r>
    <x v="22"/>
    <x v="281"/>
    <x v="1162"/>
  </r>
  <r>
    <x v="22"/>
    <x v="281"/>
    <x v="1163"/>
  </r>
  <r>
    <x v="22"/>
    <x v="281"/>
    <x v="1164"/>
  </r>
  <r>
    <x v="22"/>
    <x v="281"/>
    <x v="1165"/>
  </r>
  <r>
    <x v="22"/>
    <x v="281"/>
    <x v="1166"/>
  </r>
  <r>
    <x v="22"/>
    <x v="281"/>
    <x v="1167"/>
  </r>
  <r>
    <x v="22"/>
    <x v="281"/>
    <x v="1168"/>
  </r>
  <r>
    <x v="22"/>
    <x v="281"/>
    <x v="1169"/>
  </r>
  <r>
    <x v="22"/>
    <x v="281"/>
    <x v="1170"/>
  </r>
  <r>
    <x v="22"/>
    <x v="281"/>
    <x v="1171"/>
  </r>
  <r>
    <x v="22"/>
    <x v="281"/>
    <x v="1172"/>
  </r>
  <r>
    <x v="22"/>
    <x v="282"/>
    <x v="1173"/>
  </r>
  <r>
    <x v="22"/>
    <x v="282"/>
    <x v="1174"/>
  </r>
  <r>
    <x v="22"/>
    <x v="282"/>
    <x v="1175"/>
  </r>
  <r>
    <x v="22"/>
    <x v="283"/>
    <x v="1176"/>
  </r>
  <r>
    <x v="22"/>
    <x v="283"/>
    <x v="1177"/>
  </r>
  <r>
    <x v="22"/>
    <x v="284"/>
    <x v="1178"/>
  </r>
  <r>
    <x v="22"/>
    <x v="284"/>
    <x v="1179"/>
  </r>
  <r>
    <x v="22"/>
    <x v="284"/>
    <x v="1180"/>
  </r>
  <r>
    <x v="22"/>
    <x v="285"/>
    <x v="1181"/>
  </r>
  <r>
    <x v="22"/>
    <x v="285"/>
    <x v="1182"/>
  </r>
  <r>
    <x v="22"/>
    <x v="285"/>
    <x v="1183"/>
  </r>
  <r>
    <x v="22"/>
    <x v="286"/>
    <x v="1184"/>
  </r>
  <r>
    <x v="22"/>
    <x v="286"/>
    <x v="1185"/>
  </r>
  <r>
    <x v="22"/>
    <x v="287"/>
    <x v="1186"/>
  </r>
  <r>
    <x v="22"/>
    <x v="287"/>
    <x v="1187"/>
  </r>
  <r>
    <x v="22"/>
    <x v="287"/>
    <x v="1188"/>
  </r>
  <r>
    <x v="22"/>
    <x v="288"/>
    <x v="1189"/>
  </r>
  <r>
    <x v="22"/>
    <x v="288"/>
    <x v="1190"/>
  </r>
  <r>
    <x v="22"/>
    <x v="289"/>
    <x v="1191"/>
  </r>
  <r>
    <x v="22"/>
    <x v="289"/>
    <x v="1192"/>
  </r>
  <r>
    <x v="22"/>
    <x v="289"/>
    <x v="1193"/>
  </r>
  <r>
    <x v="22"/>
    <x v="289"/>
    <x v="1194"/>
  </r>
  <r>
    <x v="22"/>
    <x v="289"/>
    <x v="1195"/>
  </r>
  <r>
    <x v="22"/>
    <x v="289"/>
    <x v="1196"/>
  </r>
  <r>
    <x v="22"/>
    <x v="289"/>
    <x v="1197"/>
  </r>
  <r>
    <x v="22"/>
    <x v="289"/>
    <x v="1198"/>
  </r>
  <r>
    <x v="22"/>
    <x v="289"/>
    <x v="1199"/>
  </r>
  <r>
    <x v="22"/>
    <x v="289"/>
    <x v="1200"/>
  </r>
  <r>
    <x v="22"/>
    <x v="289"/>
    <x v="1201"/>
  </r>
  <r>
    <x v="22"/>
    <x v="289"/>
    <x v="1202"/>
  </r>
  <r>
    <x v="22"/>
    <x v="289"/>
    <x v="1203"/>
  </r>
  <r>
    <x v="22"/>
    <x v="290"/>
    <x v="1204"/>
  </r>
  <r>
    <x v="22"/>
    <x v="290"/>
    <x v="1205"/>
  </r>
  <r>
    <x v="22"/>
    <x v="291"/>
    <x v="1206"/>
  </r>
  <r>
    <x v="22"/>
    <x v="291"/>
    <x v="1207"/>
  </r>
  <r>
    <x v="22"/>
    <x v="292"/>
    <x v="1208"/>
  </r>
  <r>
    <x v="22"/>
    <x v="292"/>
    <x v="1209"/>
  </r>
  <r>
    <x v="22"/>
    <x v="292"/>
    <x v="1210"/>
  </r>
  <r>
    <x v="22"/>
    <x v="293"/>
    <x v="1211"/>
  </r>
  <r>
    <x v="22"/>
    <x v="293"/>
    <x v="1212"/>
  </r>
  <r>
    <x v="22"/>
    <x v="293"/>
    <x v="1213"/>
  </r>
  <r>
    <x v="22"/>
    <x v="293"/>
    <x v="1214"/>
  </r>
  <r>
    <x v="22"/>
    <x v="293"/>
    <x v="1215"/>
  </r>
  <r>
    <x v="22"/>
    <x v="293"/>
    <x v="1216"/>
  </r>
  <r>
    <x v="22"/>
    <x v="293"/>
    <x v="1217"/>
  </r>
  <r>
    <x v="22"/>
    <x v="294"/>
    <x v="1218"/>
  </r>
  <r>
    <x v="22"/>
    <x v="294"/>
    <x v="1219"/>
  </r>
  <r>
    <x v="23"/>
    <x v="295"/>
    <x v="1220"/>
  </r>
  <r>
    <x v="23"/>
    <x v="295"/>
    <x v="1221"/>
  </r>
  <r>
    <x v="23"/>
    <x v="295"/>
    <x v="1222"/>
  </r>
  <r>
    <x v="23"/>
    <x v="295"/>
    <x v="1223"/>
  </r>
  <r>
    <x v="23"/>
    <x v="295"/>
    <x v="1224"/>
  </r>
  <r>
    <x v="23"/>
    <x v="295"/>
    <x v="1225"/>
  </r>
  <r>
    <x v="23"/>
    <x v="296"/>
    <x v="1226"/>
  </r>
  <r>
    <x v="23"/>
    <x v="296"/>
    <x v="1227"/>
  </r>
  <r>
    <x v="23"/>
    <x v="296"/>
    <x v="1228"/>
  </r>
  <r>
    <x v="23"/>
    <x v="297"/>
    <x v="1229"/>
  </r>
  <r>
    <x v="23"/>
    <x v="297"/>
    <x v="1230"/>
  </r>
  <r>
    <x v="23"/>
    <x v="297"/>
    <x v="1231"/>
  </r>
  <r>
    <x v="23"/>
    <x v="298"/>
    <x v="1232"/>
  </r>
  <r>
    <x v="23"/>
    <x v="299"/>
    <x v="1233"/>
  </r>
  <r>
    <x v="23"/>
    <x v="299"/>
    <x v="1234"/>
  </r>
  <r>
    <x v="23"/>
    <x v="300"/>
    <x v="1235"/>
  </r>
  <r>
    <x v="23"/>
    <x v="300"/>
    <x v="1236"/>
  </r>
  <r>
    <x v="23"/>
    <x v="300"/>
    <x v="1237"/>
  </r>
  <r>
    <x v="23"/>
    <x v="301"/>
    <x v="1238"/>
  </r>
  <r>
    <x v="23"/>
    <x v="301"/>
    <x v="1239"/>
  </r>
  <r>
    <x v="23"/>
    <x v="301"/>
    <x v="1240"/>
  </r>
  <r>
    <x v="23"/>
    <x v="301"/>
    <x v="124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41" firstHeaderRow="1" firstDataRow="1" firstDataCol="3"/>
  <pivotFields count="3">
    <pivotField axis="axisRow" compact="0" outline="0" showAll="0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87">
        <item m="1" x="1271"/>
        <item x="794"/>
        <item x="795"/>
        <item m="1" x="1272"/>
        <item x="849"/>
        <item x="851"/>
        <item x="850"/>
        <item x="852"/>
        <item x="853"/>
        <item x="865"/>
        <item x="866"/>
        <item x="186"/>
        <item x="50"/>
        <item x="51"/>
        <item x="52"/>
        <item m="1" x="1439"/>
        <item x="243"/>
        <item x="53"/>
        <item x="867"/>
        <item x="247"/>
        <item x="870"/>
        <item x="459"/>
        <item x="54"/>
        <item m="1" x="1275"/>
        <item m="1" x="1261"/>
        <item m="1" x="1352"/>
        <item m="1" x="1279"/>
        <item x="77"/>
        <item x="228"/>
        <item x="226"/>
        <item m="1" x="1431"/>
        <item x="526"/>
        <item m="1" x="1281"/>
        <item x="462"/>
        <item x="464"/>
        <item m="1" x="1532"/>
        <item x="254"/>
        <item m="1" x="1654"/>
        <item x="874"/>
        <item x="597"/>
        <item x="616"/>
        <item x="888"/>
        <item x="796"/>
        <item m="1" x="1414"/>
        <item x="894"/>
        <item m="1" x="1353"/>
        <item x="907"/>
        <item x="261"/>
        <item m="1" x="1538"/>
        <item x="645"/>
        <item x="259"/>
        <item m="1" x="1509"/>
        <item m="1" x="1379"/>
        <item m="1" x="1486"/>
        <item x="656"/>
        <item x="530"/>
        <item x="276"/>
        <item m="1" x="1286"/>
        <item m="1" x="1668"/>
        <item m="1" x="1398"/>
        <item x="872"/>
        <item x="873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1220"/>
        <item x="1221"/>
        <item x="1223"/>
        <item x="1224"/>
        <item m="1" x="1274"/>
        <item x="248"/>
        <item x="460"/>
        <item m="1" x="1262"/>
        <item m="1" x="1263"/>
        <item m="1" x="1264"/>
        <item m="1" x="1265"/>
        <item m="1" x="1266"/>
        <item m="1" x="1267"/>
        <item m="1" x="1276"/>
        <item m="1" x="1277"/>
        <item m="1" x="1399"/>
        <item m="1" x="1601"/>
        <item m="1" x="1465"/>
        <item x="192"/>
        <item x="194"/>
        <item m="1" x="1565"/>
        <item m="1" x="1666"/>
        <item m="1" x="1585"/>
        <item m="1" x="1612"/>
        <item m="1" x="1484"/>
        <item m="1" x="1531"/>
        <item m="1" x="1596"/>
        <item m="1" x="1684"/>
        <item m="1" x="1401"/>
        <item m="1" x="1652"/>
        <item m="1" x="1548"/>
        <item m="1" x="1452"/>
        <item m="1" x="1627"/>
        <item m="1" x="1679"/>
        <item m="1" x="1556"/>
        <item m="1" x="1605"/>
        <item m="1" x="1389"/>
        <item m="1" x="1586"/>
        <item m="1" x="1466"/>
        <item m="1" x="1657"/>
        <item m="1" x="1388"/>
        <item m="1" x="1641"/>
        <item m="1" x="1476"/>
        <item x="78"/>
        <item x="79"/>
        <item x="80"/>
        <item x="227"/>
        <item x="229"/>
        <item x="527"/>
        <item x="528"/>
        <item x="529"/>
        <item x="463"/>
        <item m="1" x="1282"/>
        <item x="255"/>
        <item m="1" x="1638"/>
        <item x="465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598"/>
        <item m="1" x="1488"/>
        <item x="200"/>
        <item x="618"/>
        <item x="619"/>
        <item x="620"/>
        <item x="621"/>
        <item x="622"/>
        <item x="623"/>
        <item x="624"/>
        <item x="625"/>
        <item x="626"/>
        <item x="627"/>
        <item x="797"/>
        <item x="83"/>
        <item x="889"/>
        <item m="1" x="1444"/>
        <item m="1" x="1678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x="187"/>
        <item m="1" x="1278"/>
        <item x="193"/>
        <item x="195"/>
        <item x="201"/>
        <item m="1" x="1469"/>
        <item x="206"/>
        <item x="1023"/>
        <item m="1" x="1448"/>
        <item m="1" x="1655"/>
        <item m="1" x="1487"/>
        <item m="1" x="1597"/>
        <item m="1" x="1542"/>
        <item m="1" x="1625"/>
        <item m="1" x="1411"/>
        <item x="260"/>
        <item x="262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m="1" x="1539"/>
        <item m="1" x="1437"/>
        <item m="1" x="1423"/>
        <item x="84"/>
        <item x="85"/>
        <item m="1" x="1380"/>
        <item m="1" x="1247"/>
        <item x="538"/>
        <item x="539"/>
        <item x="657"/>
        <item m="1" x="1617"/>
        <item x="277"/>
        <item m="1" x="1287"/>
        <item x="1225"/>
        <item x="1228"/>
        <item x="207"/>
        <item x="1024"/>
        <item x="280"/>
        <item m="1" x="1499"/>
        <item x="798"/>
        <item x="1025"/>
        <item m="1" x="1523"/>
        <item x="1229"/>
        <item m="1" x="1477"/>
        <item x="282"/>
        <item x="283"/>
        <item x="287"/>
        <item m="1" x="1268"/>
        <item m="1" x="1269"/>
        <item m="1" x="1683"/>
        <item m="1" x="1407"/>
        <item m="1" x="1270"/>
        <item x="1230"/>
        <item x="1231"/>
        <item m="1" x="1576"/>
        <item m="1" x="1457"/>
        <item x="800"/>
        <item x="801"/>
        <item x="1026"/>
        <item x="90"/>
        <item x="799"/>
        <item x="802"/>
        <item x="91"/>
        <item x="92"/>
        <item x="658"/>
        <item m="1" x="1446"/>
        <item m="1" x="1445"/>
        <item m="1" x="1670"/>
        <item m="1" x="1571"/>
        <item m="1" x="1686"/>
        <item m="1" x="1450"/>
        <item x="803"/>
        <item x="659"/>
        <item x="300"/>
        <item x="301"/>
        <item x="304"/>
        <item x="308"/>
        <item x="180"/>
        <item x="302"/>
        <item m="1" x="1373"/>
        <item x="303"/>
        <item x="181"/>
        <item x="306"/>
        <item x="309"/>
        <item x="310"/>
        <item x="307"/>
        <item m="1" x="1374"/>
        <item m="1" x="1390"/>
        <item m="1" x="1392"/>
        <item m="1" x="1644"/>
        <item m="1" x="1366"/>
        <item x="1029"/>
        <item x="230"/>
        <item x="601"/>
        <item x="314"/>
        <item x="316"/>
        <item x="95"/>
        <item x="97"/>
        <item x="99"/>
        <item x="1027"/>
        <item x="1031"/>
        <item m="1" x="1418"/>
        <item x="101"/>
        <item x="1038"/>
        <item x="318"/>
        <item x="602"/>
        <item m="1" x="1646"/>
        <item m="1" x="1406"/>
        <item m="1" x="1393"/>
        <item x="96"/>
        <item x="98"/>
        <item x="100"/>
        <item m="1" x="1367"/>
        <item x="231"/>
        <item x="1028"/>
        <item x="102"/>
        <item x="1030"/>
        <item x="1032"/>
        <item x="1033"/>
        <item x="1034"/>
        <item x="1035"/>
        <item x="1036"/>
        <item x="1037"/>
        <item m="1" x="1554"/>
        <item m="1" x="1645"/>
        <item x="1039"/>
        <item m="1" x="1529"/>
        <item x="541"/>
        <item m="1" x="1522"/>
        <item m="1" x="1506"/>
        <item m="1" x="1408"/>
        <item m="1" x="1481"/>
        <item x="542"/>
        <item x="836"/>
        <item m="1" x="1674"/>
        <item m="1" x="1629"/>
        <item x="662"/>
        <item x="103"/>
        <item m="1" x="1534"/>
        <item x="804"/>
        <item m="1" x="1438"/>
        <item m="1" x="1685"/>
        <item m="1" x="1566"/>
        <item m="1" x="1485"/>
        <item x="814"/>
        <item x="813"/>
        <item x="816"/>
        <item x="815"/>
        <item x="818"/>
        <item x="820"/>
        <item x="822"/>
        <item x="824"/>
        <item x="826"/>
        <item x="828"/>
        <item x="830"/>
        <item x="663"/>
        <item m="1" x="1315"/>
        <item x="1051"/>
        <item x="1052"/>
        <item m="1" x="1473"/>
        <item m="1" x="1680"/>
        <item m="1" x="1430"/>
        <item m="1" x="1533"/>
        <item m="1" x="1391"/>
        <item m="1" x="1673"/>
        <item m="1" x="1405"/>
        <item m="1" x="1435"/>
        <item m="1" x="1463"/>
        <item m="1" x="1639"/>
        <item m="1" x="1642"/>
        <item m="1" x="1422"/>
        <item m="1" x="1425"/>
        <item x="104"/>
        <item m="1" x="1443"/>
        <item m="1" x="1471"/>
        <item m="1" x="1470"/>
        <item m="1" x="1614"/>
        <item m="1" x="1316"/>
        <item x="805"/>
        <item m="1" x="1592"/>
        <item m="1" x="1621"/>
        <item x="1053"/>
        <item x="837"/>
        <item m="1" x="1342"/>
        <item x="555"/>
        <item x="1057"/>
        <item x="332"/>
        <item x="1058"/>
        <item m="1" x="1343"/>
        <item x="333"/>
        <item x="556"/>
        <item x="603"/>
        <item x="605"/>
        <item x="606"/>
        <item x="608"/>
        <item x="610"/>
        <item x="609"/>
        <item x="604"/>
        <item x="611"/>
        <item x="607"/>
        <item x="806"/>
        <item x="1059"/>
        <item x="557"/>
        <item x="807"/>
        <item x="1060"/>
        <item x="840"/>
        <item x="558"/>
        <item x="841"/>
        <item x="1061"/>
        <item x="1062"/>
        <item x="1233"/>
        <item x="1234"/>
        <item x="117"/>
        <item m="1" x="1498"/>
        <item x="559"/>
        <item x="561"/>
        <item x="563"/>
        <item m="1" x="1496"/>
        <item x="1063"/>
        <item x="354"/>
        <item m="1" x="1387"/>
        <item x="673"/>
        <item x="674"/>
        <item x="356"/>
        <item x="355"/>
        <item x="560"/>
        <item x="562"/>
        <item x="564"/>
        <item m="1" x="1604"/>
        <item m="1" x="1672"/>
        <item m="1" x="1515"/>
        <item m="1" x="1535"/>
        <item m="1" x="1516"/>
        <item m="1" x="1536"/>
        <item m="1" x="1490"/>
        <item m="1" x="1394"/>
        <item m="1" x="1517"/>
        <item m="1" x="1537"/>
        <item m="1" x="1505"/>
        <item m="1" x="1640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357"/>
        <item x="118"/>
        <item m="1" x="1472"/>
        <item m="1" x="1671"/>
        <item m="1" x="1661"/>
        <item m="1" x="1320"/>
        <item m="1" x="1321"/>
        <item m="1" x="1628"/>
        <item x="1238"/>
        <item x="1239"/>
        <item x="1240"/>
        <item x="1241"/>
        <item m="1" x="1664"/>
        <item x="119"/>
        <item m="1" x="1623"/>
        <item x="469"/>
        <item x="471"/>
        <item x="473"/>
        <item m="1" x="1323"/>
        <item x="565"/>
        <item x="566"/>
        <item m="1" x="1440"/>
        <item m="1" x="1662"/>
        <item m="1" x="1578"/>
        <item m="1" x="1409"/>
        <item m="1" x="1525"/>
        <item m="1" x="1669"/>
        <item m="1" x="1682"/>
        <item m="1" x="1455"/>
        <item x="575"/>
        <item x="576"/>
        <item m="1" x="1429"/>
        <item m="1" x="1453"/>
        <item m="1" x="1427"/>
        <item m="1" x="1603"/>
        <item m="1" x="1467"/>
        <item m="1" x="1590"/>
        <item m="1" x="1475"/>
        <item m="1" x="1461"/>
        <item x="578"/>
        <item x="579"/>
        <item x="580"/>
        <item x="581"/>
        <item x="582"/>
        <item x="583"/>
        <item x="568"/>
        <item x="569"/>
        <item x="570"/>
        <item x="571"/>
        <item x="572"/>
        <item x="573"/>
        <item m="1" x="1419"/>
        <item m="1" x="1454"/>
        <item m="1" x="1665"/>
        <item m="1" x="1676"/>
        <item m="1" x="1616"/>
        <item m="1" x="1459"/>
        <item m="1" x="1464"/>
        <item m="1" x="1514"/>
        <item m="1" x="1564"/>
        <item m="1" x="1501"/>
        <item m="1" x="1540"/>
        <item m="1" x="1491"/>
        <item m="1" x="1622"/>
        <item m="1" x="1480"/>
        <item m="1" x="1637"/>
        <item x="120"/>
        <item x="470"/>
        <item x="472"/>
        <item x="474"/>
        <item x="121"/>
        <item x="714"/>
        <item x="585"/>
        <item x="1149"/>
        <item x="122"/>
        <item x="715"/>
        <item x="808"/>
        <item x="358"/>
        <item x="586"/>
        <item x="359"/>
        <item x="574"/>
        <item x="584"/>
        <item m="1" x="1656"/>
        <item x="123"/>
        <item x="720"/>
        <item x="718"/>
        <item x="716"/>
        <item x="809"/>
        <item x="125"/>
        <item x="124"/>
        <item x="126"/>
        <item x="717"/>
        <item x="719"/>
        <item x="721"/>
        <item m="1" x="1324"/>
        <item x="1150"/>
        <item m="1" x="1495"/>
        <item x="127"/>
        <item x="810"/>
        <item x="128"/>
        <item x="234"/>
        <item x="612"/>
        <item m="1" x="1468"/>
        <item x="369"/>
        <item x="235"/>
        <item x="613"/>
        <item m="1" x="1595"/>
        <item m="1" x="1570"/>
        <item m="1" x="1611"/>
        <item m="1" x="1589"/>
        <item m="1" x="1396"/>
        <item m="1" x="1555"/>
        <item m="1" x="1613"/>
        <item m="1" x="1577"/>
        <item x="370"/>
        <item m="1" x="1451"/>
        <item x="811"/>
        <item x="373"/>
        <item x="374"/>
        <item x="375"/>
        <item x="46"/>
        <item m="1" x="1626"/>
        <item m="1" x="1633"/>
        <item m="1" x="1551"/>
        <item m="1" x="1428"/>
        <item m="1" x="1497"/>
        <item m="1" x="1500"/>
        <item m="1" x="1510"/>
        <item x="1176"/>
        <item x="1173"/>
        <item x="137"/>
        <item m="1" x="1494"/>
        <item m="1" x="1553"/>
        <item x="138"/>
        <item x="47"/>
        <item m="1" x="1513"/>
        <item x="1177"/>
        <item m="1" x="1489"/>
        <item m="1" x="1420"/>
        <item x="1181"/>
        <item x="1186"/>
        <item m="1" x="1404"/>
        <item m="1" x="1624"/>
        <item m="1" x="1436"/>
        <item m="1" x="1441"/>
        <item m="1" x="1583"/>
        <item m="1" x="1526"/>
        <item m="1" x="1561"/>
        <item x="1182"/>
        <item x="1183"/>
        <item m="1" x="1474"/>
        <item m="1" x="1483"/>
        <item x="1187"/>
        <item x="1188"/>
        <item m="1" x="1338"/>
        <item m="1" x="1412"/>
        <item m="1" x="1615"/>
        <item m="1" x="1630"/>
        <item m="1" x="1339"/>
        <item m="1" x="1667"/>
        <item x="48"/>
        <item x="1204"/>
        <item x="1205"/>
        <item x="1218"/>
        <item m="1" x="1600"/>
        <item x="49"/>
        <item m="1" x="1433"/>
        <item x="1219"/>
        <item x="456"/>
        <item x="792"/>
        <item x="793"/>
        <item x="457"/>
        <item x="458"/>
        <item x="0"/>
        <item m="1" x="1579"/>
        <item m="1" x="1432"/>
        <item m="1" x="1507"/>
        <item x="817"/>
        <item n="Frac of Pol Impl This Yr - 2 - NDC.xlsx" m="1" x="1558"/>
        <item m="1" x="1520"/>
        <item x="742"/>
        <item x="743"/>
        <item m="1" x="1527"/>
        <item m="1" x="1417"/>
        <item m="1" x="1300"/>
        <item m="1" x="1301"/>
        <item m="1" x="1317"/>
        <item m="1" x="1318"/>
        <item x="589"/>
        <item x="590"/>
        <item x="591"/>
        <item x="592"/>
        <item x="695"/>
        <item x="698"/>
        <item x="699"/>
        <item x="700"/>
        <item x="701"/>
        <item x="702"/>
        <item x="703"/>
        <item m="1" x="1424"/>
        <item x="704"/>
        <item x="705"/>
        <item m="1" x="1442"/>
        <item m="1" x="1618"/>
        <item x="711"/>
        <item x="712"/>
        <item x="713"/>
        <item x="1174"/>
        <item x="1175"/>
        <item x="1226"/>
        <item x="1227"/>
        <item m="1" x="1375"/>
        <item m="1" x="1413"/>
        <item x="166"/>
        <item x="167"/>
        <item x="169"/>
        <item x="211"/>
        <item x="212"/>
        <item m="1" x="1503"/>
        <item m="1" x="1512"/>
        <item m="1" x="1587"/>
        <item m="1" x="1524"/>
        <item m="1" x="1386"/>
        <item x="858"/>
        <item x="859"/>
        <item x="860"/>
        <item m="1" x="1434"/>
        <item m="1" x="1456"/>
        <item m="1" x="1541"/>
        <item m="1" x="1421"/>
        <item m="1" x="1675"/>
        <item m="1" x="1410"/>
        <item m="1" x="1619"/>
        <item m="1" x="1602"/>
        <item m="1" x="1518"/>
        <item m="1" x="147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9"/>
        <item x="130"/>
        <item x="131"/>
        <item x="132"/>
        <item x="133"/>
        <item x="134"/>
        <item x="141"/>
        <item x="142"/>
        <item x="143"/>
        <item x="144"/>
        <item x="145"/>
        <item x="147"/>
        <item x="165"/>
        <item x="182"/>
        <item x="183"/>
        <item x="190"/>
        <item x="191"/>
        <item x="184"/>
        <item x="185"/>
        <item m="1" x="1273"/>
        <item x="315"/>
        <item x="317"/>
        <item x="406"/>
        <item x="407"/>
        <item x="408"/>
        <item x="409"/>
        <item m="1" x="1449"/>
        <item x="331"/>
        <item x="467"/>
        <item x="468"/>
        <item x="587"/>
        <item x="588"/>
        <item m="1" x="1631"/>
        <item m="1" x="1608"/>
        <item m="1" x="1635"/>
        <item m="1" x="1502"/>
        <item m="1" x="1593"/>
        <item x="738"/>
        <item x="739"/>
        <item x="740"/>
        <item x="741"/>
        <item x="744"/>
        <item x="745"/>
        <item m="1" x="1568"/>
        <item m="1" x="1580"/>
        <item x="749"/>
        <item x="750"/>
        <item m="1" x="1400"/>
        <item m="1" x="1519"/>
        <item x="751"/>
        <item x="752"/>
        <item m="1" x="1659"/>
        <item m="1" x="1416"/>
        <item m="1" x="1415"/>
        <item m="1" x="1511"/>
        <item m="1" x="1559"/>
        <item m="1" x="1681"/>
        <item x="782"/>
        <item x="783"/>
        <item x="786"/>
        <item x="787"/>
        <item x="788"/>
        <item x="789"/>
        <item x="1043"/>
        <item x="1044"/>
        <item x="1153"/>
        <item x="1154"/>
        <item x="56"/>
        <item x="93"/>
        <item x="94"/>
        <item x="213"/>
        <item m="1" x="1584"/>
        <item m="1" x="1492"/>
        <item m="1" x="1549"/>
        <item m="1" x="1609"/>
        <item m="1" x="1493"/>
        <item x="285"/>
        <item m="1" x="1295"/>
        <item m="1" x="1296"/>
        <item m="1" x="1297"/>
        <item m="1" x="1298"/>
        <item m="1" x="1299"/>
        <item x="475"/>
        <item x="476"/>
        <item x="483"/>
        <item m="1" x="1636"/>
        <item m="1" x="1447"/>
        <item m="1" x="1345"/>
        <item m="1" x="1346"/>
        <item m="1" x="1347"/>
        <item m="1" x="1348"/>
        <item x="780"/>
        <item x="781"/>
        <item x="784"/>
        <item x="785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105"/>
        <item m="1" x="1397"/>
        <item x="106"/>
        <item m="1" x="1521"/>
        <item x="107"/>
        <item x="108"/>
        <item m="1" x="1598"/>
        <item x="109"/>
        <item m="1" x="1573"/>
        <item x="110"/>
        <item x="111"/>
        <item m="1" x="1599"/>
        <item x="112"/>
        <item m="1" x="1574"/>
        <item x="113"/>
        <item x="114"/>
        <item x="215"/>
        <item x="217"/>
        <item x="218"/>
        <item x="219"/>
        <item x="220"/>
        <item x="221"/>
        <item x="222"/>
        <item x="223"/>
        <item x="224"/>
        <item x="724"/>
        <item x="725"/>
        <item x="769"/>
        <item x="770"/>
        <item m="1" x="1552"/>
        <item x="1045"/>
        <item x="1046"/>
        <item x="139"/>
        <item x="140"/>
        <item x="330"/>
        <item m="1" x="1319"/>
        <item x="614"/>
        <item x="615"/>
        <item m="1" x="1634"/>
        <item m="1" x="1575"/>
        <item m="1" x="1402"/>
        <item m="1" x="1569"/>
        <item x="660"/>
        <item x="661"/>
        <item x="726"/>
        <item x="727"/>
        <item x="728"/>
        <item x="729"/>
        <item x="778"/>
        <item x="779"/>
        <item x="772"/>
        <item x="775"/>
        <item x="776"/>
        <item x="777"/>
        <item m="1" x="1607"/>
        <item x="135"/>
        <item x="136"/>
        <item m="1" x="1376"/>
        <item m="1" x="1462"/>
        <item x="198"/>
        <item x="199"/>
        <item m="1" x="1562"/>
        <item m="1" x="1649"/>
        <item m="1" x="1426"/>
        <item m="1" x="1594"/>
        <item m="1" x="1677"/>
        <item m="1" x="1658"/>
        <item x="290"/>
        <item x="291"/>
        <item m="1" x="1508"/>
        <item m="1" x="1572"/>
        <item m="1" x="1458"/>
        <item m="1" x="1385"/>
        <item m="1" x="1395"/>
        <item m="1" x="1653"/>
        <item m="1" x="1545"/>
        <item m="1" x="1403"/>
        <item m="1" x="1530"/>
        <item m="1" x="1651"/>
        <item m="1" x="1563"/>
        <item m="1" x="1479"/>
        <item x="831"/>
        <item n="Frac of Pol Impl This Yr - 3 - Example Scenario.xlsx" m="1" x="1504"/>
        <item m="1" x="1543"/>
        <item x="1157"/>
        <item x="1158"/>
        <item x="1159"/>
        <item m="1" x="1304"/>
        <item m="1" x="1460"/>
        <item m="1" x="1307"/>
        <item m="1" x="1308"/>
        <item x="547"/>
        <item x="548"/>
        <item x="567"/>
        <item x="57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6"/>
        <item x="647"/>
        <item x="648"/>
        <item x="649"/>
        <item x="650"/>
        <item x="651"/>
        <item x="652"/>
        <item x="653"/>
        <item x="654"/>
        <item x="655"/>
        <item x="671"/>
        <item x="672"/>
        <item x="706"/>
        <item x="707"/>
        <item x="708"/>
        <item x="709"/>
        <item x="773"/>
        <item x="774"/>
        <item m="1" x="1582"/>
        <item m="1" x="152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32"/>
        <item x="233"/>
        <item x="551"/>
        <item x="552"/>
        <item x="697"/>
        <item m="1" x="1650"/>
        <item x="733"/>
        <item m="1" x="1643"/>
        <item x="748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n="Frac of Pol Impl This Yr - 2 - NDC.xlsx2" m="1" x="1557"/>
        <item n="Frac of Pol Impl This Yr - 3 - Example Scenario.xlsx2" m="1" x="1547"/>
        <item m="1" x="1349"/>
        <item m="1" x="1620"/>
        <item m="1" x="1482"/>
        <item m="1" x="1377"/>
        <item m="1" x="1378"/>
        <item x="188"/>
        <item x="189"/>
        <item x="202"/>
        <item x="203"/>
        <item m="1" x="1544"/>
        <item m="1" x="1660"/>
        <item m="1" x="1647"/>
        <item m="1" x="1293"/>
        <item m="1" x="1294"/>
        <item m="1" x="1663"/>
        <item m="1" x="1581"/>
        <item m="1" x="1591"/>
        <item x="416"/>
        <item x="417"/>
        <item m="1" x="1610"/>
        <item m="1" x="1560"/>
        <item m="1" x="1550"/>
        <item m="1" x="1546"/>
        <item m="1" x="1250"/>
        <item x="664"/>
        <item x="665"/>
        <item m="1" x="1648"/>
        <item m="1" x="1606"/>
        <item x="694"/>
        <item x="696"/>
        <item x="710"/>
        <item m="1" x="1588"/>
        <item x="722"/>
        <item x="723"/>
        <item x="732"/>
        <item x="734"/>
        <item x="790"/>
        <item x="791"/>
        <item x="819"/>
        <item x="821"/>
        <item x="823"/>
        <item x="825"/>
        <item x="827"/>
        <item x="829"/>
        <item x="833"/>
        <item x="835"/>
        <item x="847"/>
        <item x="848"/>
        <item x="856"/>
        <item x="857"/>
        <item x="863"/>
        <item x="864"/>
        <item m="1" x="1350"/>
        <item m="1" x="1351"/>
        <item x="1054"/>
        <item x="1055"/>
        <item x="1056"/>
        <item x="1235"/>
        <item x="1236"/>
        <item x="1237"/>
        <item x="44"/>
        <item x="45"/>
        <item x="208"/>
        <item x="209"/>
        <item x="210"/>
        <item m="1" x="1632"/>
        <item m="1" x="1567"/>
        <item x="371"/>
        <item x="372"/>
        <item x="988"/>
        <item x="990"/>
        <item x="991"/>
        <item x="992"/>
        <item x="996"/>
        <item x="997"/>
        <item x="998"/>
        <item x="1016"/>
        <item m="1" x="1252"/>
        <item x="1208"/>
        <item x="1209"/>
        <item x="1210"/>
        <item x="1211"/>
        <item m="1" x="1254"/>
        <item x="81"/>
        <item x="82"/>
        <item x="148"/>
        <item m="1" x="1255"/>
        <item x="196"/>
        <item x="197"/>
        <item x="545"/>
        <item x="546"/>
        <item x="216"/>
        <item x="225"/>
        <item x="240"/>
        <item x="241"/>
        <item x="242"/>
        <item x="249"/>
        <item x="250"/>
        <item m="1" x="1280"/>
        <item x="256"/>
        <item x="257"/>
        <item x="258"/>
        <item m="1" x="1283"/>
        <item m="1" x="1284"/>
        <item m="1" x="1285"/>
        <item x="278"/>
        <item x="279"/>
        <item x="281"/>
        <item x="286"/>
        <item m="1" x="1288"/>
        <item m="1" x="1290"/>
        <item m="1" x="1291"/>
        <item x="298"/>
        <item x="299"/>
        <item x="305"/>
        <item m="1" x="1292"/>
        <item x="311"/>
        <item x="312"/>
        <item x="313"/>
        <item m="1" x="1305"/>
        <item m="1" x="1306"/>
        <item m="1" x="1381"/>
        <item m="1" x="1382"/>
        <item m="1" x="1383"/>
        <item m="1" x="1311"/>
        <item m="1" x="1312"/>
        <item m="1" x="1313"/>
        <item m="1" x="1314"/>
        <item x="329"/>
        <item x="342"/>
        <item x="343"/>
        <item x="344"/>
        <item x="345"/>
        <item x="350"/>
        <item x="351"/>
        <item x="352"/>
        <item x="353"/>
        <item m="1" x="1325"/>
        <item m="1" x="1326"/>
        <item m="1" x="1327"/>
        <item m="1" x="1328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m="1" x="1329"/>
        <item m="1" x="1330"/>
        <item x="412"/>
        <item x="413"/>
        <item x="414"/>
        <item x="415"/>
        <item m="1" x="1333"/>
        <item m="1" x="1334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m="1" x="1384"/>
        <item x="433"/>
        <item x="434"/>
        <item x="435"/>
        <item x="436"/>
        <item x="437"/>
        <item x="438"/>
        <item x="439"/>
        <item x="440"/>
        <item x="442"/>
        <item x="444"/>
        <item x="445"/>
        <item x="446"/>
        <item m="1" x="1335"/>
        <item m="1" x="1336"/>
        <item m="1" x="1337"/>
        <item m="1" x="1340"/>
        <item m="1" x="1341"/>
        <item x="466"/>
        <item x="553"/>
        <item x="554"/>
        <item x="642"/>
        <item x="643"/>
        <item x="644"/>
        <item x="746"/>
        <item x="747"/>
        <item x="812"/>
        <item x="842"/>
        <item x="843"/>
        <item x="844"/>
        <item x="845"/>
        <item x="846"/>
        <item x="890"/>
        <item x="891"/>
        <item x="892"/>
        <item x="893"/>
        <item x="980"/>
        <item x="981"/>
        <item x="982"/>
        <item x="983"/>
        <item x="984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40"/>
        <item x="1041"/>
        <item x="1042"/>
        <item x="1047"/>
        <item x="1048"/>
        <item x="1049"/>
        <item x="1050"/>
        <item m="1" x="1368"/>
        <item m="1" x="1369"/>
        <item m="1" x="1370"/>
        <item m="1" x="1371"/>
        <item m="1" x="1372"/>
        <item x="1155"/>
        <item x="1156"/>
        <item x="1178"/>
        <item x="1179"/>
        <item x="1180"/>
        <item x="1184"/>
        <item x="1185"/>
        <item x="1206"/>
        <item x="1207"/>
        <item x="151"/>
        <item x="152"/>
        <item x="153"/>
        <item x="154"/>
        <item x="155"/>
        <item x="251"/>
        <item x="252"/>
        <item x="253"/>
        <item x="267"/>
        <item x="268"/>
        <item x="269"/>
        <item x="270"/>
        <item x="271"/>
        <item x="274"/>
        <item x="275"/>
        <item x="284"/>
        <item x="170"/>
        <item x="171"/>
        <item m="1" x="1289"/>
        <item m="1" x="1259"/>
        <item m="1" x="1260"/>
        <item x="319"/>
        <item x="320"/>
        <item x="321"/>
        <item m="1" x="1302"/>
        <item m="1" x="1303"/>
        <item m="1" x="1309"/>
        <item m="1" x="1310"/>
        <item m="1" x="1322"/>
        <item x="366"/>
        <item x="367"/>
        <item x="368"/>
        <item x="376"/>
        <item x="377"/>
        <item x="378"/>
        <item x="379"/>
        <item x="404"/>
        <item x="405"/>
        <item x="410"/>
        <item x="411"/>
        <item m="1" x="1331"/>
        <item m="1" x="1332"/>
        <item x="431"/>
        <item x="432"/>
        <item x="443"/>
        <item m="1" x="1344"/>
        <item x="861"/>
        <item x="862"/>
        <item x="72"/>
        <item x="74"/>
        <item x="75"/>
        <item x="76"/>
        <item x="156"/>
        <item x="157"/>
        <item x="158"/>
        <item x="159"/>
        <item x="160"/>
        <item x="161"/>
        <item x="162"/>
        <item x="163"/>
        <item x="164"/>
        <item x="168"/>
        <item x="176"/>
        <item x="177"/>
        <item x="178"/>
        <item x="179"/>
        <item x="543"/>
        <item x="544"/>
        <item x="549"/>
        <item x="550"/>
        <item m="1" x="1242"/>
        <item x="364"/>
        <item x="244"/>
        <item x="245"/>
        <item x="246"/>
        <item x="288"/>
        <item x="289"/>
        <item x="292"/>
        <item x="293"/>
        <item x="294"/>
        <item x="295"/>
        <item x="296"/>
        <item x="297"/>
        <item x="322"/>
        <item x="323"/>
        <item x="324"/>
        <item x="327"/>
        <item x="328"/>
        <item x="338"/>
        <item x="339"/>
        <item x="340"/>
        <item x="341"/>
        <item x="365"/>
        <item m="1" x="1256"/>
        <item m="1" x="1257"/>
        <item m="1" x="1258"/>
        <item x="441"/>
        <item x="447"/>
        <item x="448"/>
        <item x="449"/>
        <item x="450"/>
        <item x="451"/>
        <item x="454"/>
        <item x="455"/>
        <item x="461"/>
        <item x="735"/>
        <item x="736"/>
        <item x="737"/>
        <item x="838"/>
        <item x="839"/>
        <item x="854"/>
        <item x="855"/>
        <item x="868"/>
        <item x="869"/>
        <item x="989"/>
        <item x="993"/>
        <item x="994"/>
        <item x="995"/>
        <item x="999"/>
        <item x="1000"/>
        <item m="1" x="1253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51"/>
        <item x="1152"/>
        <item x="1222"/>
        <item x="149"/>
        <item x="150"/>
        <item x="236"/>
        <item x="237"/>
        <item x="238"/>
        <item x="239"/>
        <item m="1" x="1243"/>
        <item x="263"/>
        <item x="264"/>
        <item m="1" x="1244"/>
        <item x="347"/>
        <item x="348"/>
        <item x="349"/>
        <item x="360"/>
        <item x="361"/>
        <item m="1" x="1245"/>
        <item m="1" x="1246"/>
        <item x="477"/>
        <item x="478"/>
        <item x="479"/>
        <item x="480"/>
        <item x="481"/>
        <item x="482"/>
        <item x="540"/>
        <item x="593"/>
        <item x="594"/>
        <item x="595"/>
        <item x="596"/>
        <item m="1" x="1248"/>
        <item m="1" x="1249"/>
        <item x="730"/>
        <item x="731"/>
        <item m="1" x="1251"/>
        <item x="1232"/>
        <item x="86"/>
        <item x="87"/>
        <item x="88"/>
        <item x="89"/>
        <item x="115"/>
        <item x="116"/>
        <item x="172"/>
        <item x="173"/>
        <item x="174"/>
        <item x="175"/>
        <item x="204"/>
        <item x="205"/>
        <item x="214"/>
        <item x="265"/>
        <item x="266"/>
        <item x="272"/>
        <item x="273"/>
        <item x="325"/>
        <item x="326"/>
        <item x="334"/>
        <item x="335"/>
        <item x="336"/>
        <item x="337"/>
        <item x="362"/>
        <item x="363"/>
        <item x="452"/>
        <item x="453"/>
        <item x="531"/>
        <item x="532"/>
        <item x="533"/>
        <item x="534"/>
        <item x="535"/>
        <item x="536"/>
        <item x="537"/>
        <item x="599"/>
        <item x="600"/>
        <item x="666"/>
        <item x="667"/>
        <item x="668"/>
        <item x="669"/>
        <item x="670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832"/>
        <item x="985"/>
        <item x="986"/>
        <item x="987"/>
        <item x="1017"/>
        <item x="1018"/>
        <item x="1019"/>
        <item x="1020"/>
        <item x="1021"/>
        <item x="1022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212"/>
        <item x="1213"/>
        <item x="1214"/>
        <item x="1215"/>
        <item x="1216"/>
        <item x="1217"/>
        <item x="55"/>
        <item x="73"/>
        <item x="146"/>
        <item x="346"/>
        <item x="380"/>
        <item x="617"/>
        <item x="771"/>
        <item x="834"/>
        <item x="871"/>
        <item x="88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7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2">
      <x v="1677"/>
    </i>
    <i r="1">
      <x v="33"/>
      <x v="1465"/>
    </i>
    <i r="2">
      <x v="1678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 r="2">
      <x v="1679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2">
      <x v="1680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2">
      <x v="1681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4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2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2">
      <x v="1682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6"/>
    </i>
    <i r="1">
      <x v="259"/>
      <x v="1628"/>
    </i>
    <i r="1">
      <x v="260"/>
      <x v="1077"/>
    </i>
    <i r="1">
      <x v="276"/>
      <x v="477"/>
    </i>
    <i r="1">
      <x v="299"/>
      <x v="1647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2">
      <x v="1683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48"/>
    </i>
    <i r="2">
      <x v="1684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2">
      <x v="1685"/>
    </i>
    <i r="1">
      <x v="64"/>
      <x v="38"/>
    </i>
    <i r="2">
      <x v="1686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4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58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2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8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7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5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2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9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7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4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3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41"/>
  <sheetViews>
    <sheetView tabSelected="1" topLeftCell="B1" workbookViewId="0">
      <selection activeCell="C4" sqref="C4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4.777343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15</v>
      </c>
      <c r="C33" t="s">
        <v>1580</v>
      </c>
      <c r="D33">
        <v>0</v>
      </c>
    </row>
    <row r="34" spans="1:4" x14ac:dyDescent="0.3">
      <c r="A34" t="s">
        <v>9</v>
      </c>
      <c r="B34" t="s">
        <v>1331</v>
      </c>
      <c r="C34" t="s">
        <v>1332</v>
      </c>
      <c r="D34">
        <v>0</v>
      </c>
    </row>
    <row r="35" spans="1:4" x14ac:dyDescent="0.3">
      <c r="A35" t="s">
        <v>9</v>
      </c>
      <c r="B35" t="s">
        <v>1331</v>
      </c>
      <c r="C35" t="s">
        <v>1581</v>
      </c>
      <c r="D35">
        <v>0</v>
      </c>
    </row>
    <row r="36" spans="1:4" x14ac:dyDescent="0.3">
      <c r="A36" t="s">
        <v>9</v>
      </c>
      <c r="B36" t="s">
        <v>32</v>
      </c>
      <c r="C36" t="s">
        <v>33</v>
      </c>
      <c r="D36">
        <v>0</v>
      </c>
    </row>
    <row r="37" spans="1:4" x14ac:dyDescent="0.3">
      <c r="A37" t="s">
        <v>9</v>
      </c>
      <c r="B37" t="s">
        <v>1103</v>
      </c>
      <c r="C37" t="s">
        <v>1104</v>
      </c>
      <c r="D37">
        <v>0</v>
      </c>
    </row>
    <row r="38" spans="1:4" x14ac:dyDescent="0.3">
      <c r="A38" t="s">
        <v>9</v>
      </c>
      <c r="B38" t="s">
        <v>37</v>
      </c>
      <c r="C38" t="s">
        <v>38</v>
      </c>
      <c r="D38">
        <v>0</v>
      </c>
    </row>
    <row r="39" spans="1:4" x14ac:dyDescent="0.3">
      <c r="A39" t="s">
        <v>9</v>
      </c>
      <c r="B39" t="s">
        <v>1475</v>
      </c>
      <c r="C39" t="s">
        <v>1476</v>
      </c>
      <c r="D39">
        <v>0</v>
      </c>
    </row>
    <row r="40" spans="1:4" x14ac:dyDescent="0.3">
      <c r="A40" t="s">
        <v>9</v>
      </c>
      <c r="B40" t="s">
        <v>41</v>
      </c>
      <c r="C40" t="s">
        <v>43</v>
      </c>
      <c r="D40">
        <v>0</v>
      </c>
    </row>
    <row r="41" spans="1:4" x14ac:dyDescent="0.3">
      <c r="A41" t="s">
        <v>9</v>
      </c>
      <c r="B41" t="s">
        <v>44</v>
      </c>
      <c r="C41" t="s">
        <v>45</v>
      </c>
      <c r="D41">
        <v>0</v>
      </c>
    </row>
    <row r="42" spans="1:4" x14ac:dyDescent="0.3">
      <c r="A42" t="s">
        <v>9</v>
      </c>
      <c r="B42" t="s">
        <v>46</v>
      </c>
      <c r="C42" t="s">
        <v>47</v>
      </c>
      <c r="D42">
        <v>0</v>
      </c>
    </row>
    <row r="43" spans="1:4" x14ac:dyDescent="0.3">
      <c r="A43" t="s">
        <v>9</v>
      </c>
      <c r="B43" t="s">
        <v>49</v>
      </c>
      <c r="C43" t="s">
        <v>50</v>
      </c>
      <c r="D43">
        <v>0</v>
      </c>
    </row>
    <row r="44" spans="1:4" x14ac:dyDescent="0.3">
      <c r="A44" t="s">
        <v>9</v>
      </c>
      <c r="B44" t="s">
        <v>52</v>
      </c>
      <c r="C44" t="s">
        <v>53</v>
      </c>
      <c r="D44">
        <v>0</v>
      </c>
    </row>
    <row r="45" spans="1:4" x14ac:dyDescent="0.3">
      <c r="A45" t="s">
        <v>9</v>
      </c>
      <c r="B45" t="s">
        <v>55</v>
      </c>
      <c r="C45" t="s">
        <v>56</v>
      </c>
      <c r="D45">
        <v>0</v>
      </c>
    </row>
    <row r="46" spans="1:4" x14ac:dyDescent="0.3">
      <c r="A46" t="s">
        <v>9</v>
      </c>
      <c r="B46" t="s">
        <v>58</v>
      </c>
      <c r="C46" t="s">
        <v>60</v>
      </c>
      <c r="D46">
        <v>0</v>
      </c>
    </row>
    <row r="47" spans="1:4" x14ac:dyDescent="0.3">
      <c r="A47" t="s">
        <v>9</v>
      </c>
      <c r="B47" t="s">
        <v>831</v>
      </c>
      <c r="C47" t="s">
        <v>841</v>
      </c>
      <c r="D47">
        <v>0</v>
      </c>
    </row>
    <row r="48" spans="1:4" x14ac:dyDescent="0.3">
      <c r="A48" t="s">
        <v>9</v>
      </c>
      <c r="B48" t="s">
        <v>1480</v>
      </c>
      <c r="C48" t="s">
        <v>1481</v>
      </c>
      <c r="D48">
        <v>0</v>
      </c>
    </row>
    <row r="49" spans="1:4" x14ac:dyDescent="0.3">
      <c r="A49" t="s">
        <v>9</v>
      </c>
      <c r="B49" t="s">
        <v>61</v>
      </c>
      <c r="C49" t="s">
        <v>62</v>
      </c>
      <c r="D49">
        <v>0</v>
      </c>
    </row>
    <row r="50" spans="1:4" x14ac:dyDescent="0.3">
      <c r="A50" t="s">
        <v>9</v>
      </c>
      <c r="B50" t="s">
        <v>64</v>
      </c>
      <c r="C50" t="s">
        <v>66</v>
      </c>
      <c r="D50">
        <v>0</v>
      </c>
    </row>
    <row r="51" spans="1:4" x14ac:dyDescent="0.3">
      <c r="A51" t="s">
        <v>9</v>
      </c>
      <c r="B51" t="s">
        <v>67</v>
      </c>
      <c r="C51" t="s">
        <v>68</v>
      </c>
      <c r="D51">
        <v>0</v>
      </c>
    </row>
    <row r="52" spans="1:4" x14ac:dyDescent="0.3">
      <c r="A52" t="s">
        <v>9</v>
      </c>
      <c r="B52" t="s">
        <v>70</v>
      </c>
      <c r="C52" t="s">
        <v>71</v>
      </c>
      <c r="D52">
        <v>0</v>
      </c>
    </row>
    <row r="53" spans="1:4" x14ac:dyDescent="0.3">
      <c r="A53" t="s">
        <v>9</v>
      </c>
      <c r="B53" t="s">
        <v>73</v>
      </c>
      <c r="C53" t="s">
        <v>74</v>
      </c>
      <c r="D53">
        <v>0</v>
      </c>
    </row>
    <row r="54" spans="1:4" x14ac:dyDescent="0.3">
      <c r="A54" t="s">
        <v>9</v>
      </c>
      <c r="B54" t="s">
        <v>76</v>
      </c>
      <c r="C54" t="s">
        <v>78</v>
      </c>
      <c r="D54">
        <v>0</v>
      </c>
    </row>
    <row r="55" spans="1:4" x14ac:dyDescent="0.3">
      <c r="A55" t="s">
        <v>9</v>
      </c>
      <c r="B55" t="s">
        <v>704</v>
      </c>
      <c r="C55" t="s">
        <v>705</v>
      </c>
      <c r="D55">
        <v>0</v>
      </c>
    </row>
    <row r="56" spans="1:4" x14ac:dyDescent="0.3">
      <c r="A56" t="s">
        <v>9</v>
      </c>
      <c r="B56" t="s">
        <v>707</v>
      </c>
      <c r="C56" t="s">
        <v>708</v>
      </c>
      <c r="D56">
        <v>0</v>
      </c>
    </row>
    <row r="57" spans="1:4" x14ac:dyDescent="0.3">
      <c r="A57" t="s">
        <v>9</v>
      </c>
      <c r="B57" t="s">
        <v>886</v>
      </c>
      <c r="C57" t="s">
        <v>887</v>
      </c>
      <c r="D57">
        <v>0</v>
      </c>
    </row>
    <row r="58" spans="1:4" x14ac:dyDescent="0.3">
      <c r="A58" t="s">
        <v>9</v>
      </c>
      <c r="B58" t="s">
        <v>79</v>
      </c>
      <c r="C58" t="s">
        <v>80</v>
      </c>
      <c r="D58">
        <v>0</v>
      </c>
    </row>
    <row r="59" spans="1:4" x14ac:dyDescent="0.3">
      <c r="A59" t="s">
        <v>9</v>
      </c>
      <c r="B59" t="s">
        <v>861</v>
      </c>
      <c r="C59" t="s">
        <v>862</v>
      </c>
      <c r="D59">
        <v>0</v>
      </c>
    </row>
    <row r="60" spans="1:4" x14ac:dyDescent="0.3">
      <c r="A60" t="s">
        <v>9</v>
      </c>
      <c r="B60" t="s">
        <v>712</v>
      </c>
      <c r="C60" t="s">
        <v>713</v>
      </c>
      <c r="D60">
        <v>0</v>
      </c>
    </row>
    <row r="61" spans="1:4" x14ac:dyDescent="0.3">
      <c r="A61" t="s">
        <v>9</v>
      </c>
      <c r="B61" t="s">
        <v>717</v>
      </c>
      <c r="C61" t="s">
        <v>718</v>
      </c>
      <c r="D61">
        <v>0</v>
      </c>
    </row>
    <row r="62" spans="1:4" x14ac:dyDescent="0.3">
      <c r="A62" t="s">
        <v>9</v>
      </c>
      <c r="B62" t="s">
        <v>717</v>
      </c>
      <c r="C62" t="s">
        <v>1582</v>
      </c>
      <c r="D62">
        <v>0</v>
      </c>
    </row>
    <row r="63" spans="1:4" x14ac:dyDescent="0.3">
      <c r="A63" t="s">
        <v>82</v>
      </c>
      <c r="B63" t="s">
        <v>1106</v>
      </c>
      <c r="C63" t="s">
        <v>1107</v>
      </c>
      <c r="D63">
        <v>0</v>
      </c>
    </row>
    <row r="64" spans="1:4" x14ac:dyDescent="0.3">
      <c r="A64" t="s">
        <v>82</v>
      </c>
      <c r="B64" t="s">
        <v>1282</v>
      </c>
      <c r="C64" t="s">
        <v>1283</v>
      </c>
      <c r="D64">
        <v>0</v>
      </c>
    </row>
    <row r="65" spans="1:4" x14ac:dyDescent="0.3">
      <c r="A65" t="s">
        <v>82</v>
      </c>
      <c r="B65" t="s">
        <v>1286</v>
      </c>
      <c r="C65" t="s">
        <v>1287</v>
      </c>
      <c r="D65">
        <v>0</v>
      </c>
    </row>
    <row r="66" spans="1:4" x14ac:dyDescent="0.3">
      <c r="A66" t="s">
        <v>82</v>
      </c>
      <c r="B66" t="s">
        <v>83</v>
      </c>
      <c r="C66" t="s">
        <v>720</v>
      </c>
      <c r="D66">
        <v>0</v>
      </c>
    </row>
    <row r="67" spans="1:4" x14ac:dyDescent="0.3">
      <c r="A67" t="s">
        <v>82</v>
      </c>
      <c r="B67" t="s">
        <v>671</v>
      </c>
      <c r="C67" t="s">
        <v>672</v>
      </c>
      <c r="D67">
        <v>0</v>
      </c>
    </row>
    <row r="68" spans="1:4" x14ac:dyDescent="0.3">
      <c r="A68" t="s">
        <v>82</v>
      </c>
      <c r="B68" t="s">
        <v>1304</v>
      </c>
      <c r="C68" t="s">
        <v>1305</v>
      </c>
      <c r="D68">
        <v>0</v>
      </c>
    </row>
    <row r="69" spans="1:4" x14ac:dyDescent="0.3">
      <c r="A69" t="s">
        <v>82</v>
      </c>
      <c r="B69" t="s">
        <v>1483</v>
      </c>
      <c r="C69" t="s">
        <v>1487</v>
      </c>
      <c r="D69">
        <v>0</v>
      </c>
    </row>
    <row r="70" spans="1:4" x14ac:dyDescent="0.3">
      <c r="A70" t="s">
        <v>82</v>
      </c>
      <c r="B70" t="s">
        <v>1346</v>
      </c>
      <c r="C70" t="s">
        <v>1347</v>
      </c>
      <c r="D70">
        <v>0</v>
      </c>
    </row>
    <row r="71" spans="1:4" x14ac:dyDescent="0.3">
      <c r="A71" t="s">
        <v>82</v>
      </c>
      <c r="B71" t="s">
        <v>1349</v>
      </c>
      <c r="C71" t="s">
        <v>1350</v>
      </c>
      <c r="D71">
        <v>0</v>
      </c>
    </row>
    <row r="72" spans="1:4" x14ac:dyDescent="0.3">
      <c r="A72" t="s">
        <v>84</v>
      </c>
      <c r="B72" t="s">
        <v>85</v>
      </c>
      <c r="C72" t="s">
        <v>86</v>
      </c>
      <c r="D72">
        <v>0</v>
      </c>
    </row>
    <row r="73" spans="1:4" x14ac:dyDescent="0.3">
      <c r="A73" t="s">
        <v>84</v>
      </c>
      <c r="B73" t="s">
        <v>721</v>
      </c>
      <c r="C73" t="s">
        <v>723</v>
      </c>
      <c r="D73">
        <v>0</v>
      </c>
    </row>
    <row r="74" spans="1:4" x14ac:dyDescent="0.3">
      <c r="A74" t="s">
        <v>860</v>
      </c>
      <c r="B74" t="s">
        <v>727</v>
      </c>
      <c r="C74" t="s">
        <v>729</v>
      </c>
      <c r="D74">
        <v>0</v>
      </c>
    </row>
    <row r="75" spans="1:4" x14ac:dyDescent="0.3">
      <c r="A75" t="s">
        <v>675</v>
      </c>
      <c r="B75" t="s">
        <v>326</v>
      </c>
      <c r="C75" t="s">
        <v>328</v>
      </c>
      <c r="D75">
        <v>0</v>
      </c>
    </row>
    <row r="76" spans="1:4" x14ac:dyDescent="0.3">
      <c r="A76" t="s">
        <v>675</v>
      </c>
      <c r="B76" t="s">
        <v>1014</v>
      </c>
      <c r="C76" t="s">
        <v>1016</v>
      </c>
      <c r="D76">
        <v>0</v>
      </c>
    </row>
    <row r="77" spans="1:4" x14ac:dyDescent="0.3">
      <c r="A77" t="s">
        <v>675</v>
      </c>
      <c r="B77" t="s">
        <v>724</v>
      </c>
      <c r="C77" t="s">
        <v>726</v>
      </c>
      <c r="D77">
        <v>0</v>
      </c>
    </row>
    <row r="78" spans="1:4" x14ac:dyDescent="0.3">
      <c r="A78" t="s">
        <v>675</v>
      </c>
      <c r="B78" t="s">
        <v>329</v>
      </c>
      <c r="C78" t="s">
        <v>331</v>
      </c>
      <c r="D78">
        <v>0</v>
      </c>
    </row>
    <row r="79" spans="1:4" x14ac:dyDescent="0.3">
      <c r="A79" t="s">
        <v>675</v>
      </c>
      <c r="B79" t="s">
        <v>676</v>
      </c>
      <c r="C79" t="s">
        <v>677</v>
      </c>
      <c r="D79">
        <v>0</v>
      </c>
    </row>
    <row r="80" spans="1:4" x14ac:dyDescent="0.3">
      <c r="A80" t="s">
        <v>675</v>
      </c>
      <c r="B80" t="s">
        <v>1108</v>
      </c>
      <c r="C80" t="s">
        <v>1110</v>
      </c>
      <c r="D80">
        <v>0</v>
      </c>
    </row>
    <row r="81" spans="1:4" x14ac:dyDescent="0.3">
      <c r="A81" t="s">
        <v>675</v>
      </c>
      <c r="B81" t="s">
        <v>889</v>
      </c>
      <c r="C81" t="s">
        <v>891</v>
      </c>
      <c r="D81">
        <v>0</v>
      </c>
    </row>
    <row r="82" spans="1:4" x14ac:dyDescent="0.3">
      <c r="A82" t="s">
        <v>675</v>
      </c>
      <c r="B82" t="s">
        <v>333</v>
      </c>
      <c r="C82" t="s">
        <v>335</v>
      </c>
      <c r="D82">
        <v>0</v>
      </c>
    </row>
    <row r="83" spans="1:4" x14ac:dyDescent="0.3">
      <c r="A83" t="s">
        <v>675</v>
      </c>
      <c r="B83" t="s">
        <v>1017</v>
      </c>
      <c r="C83" t="s">
        <v>1018</v>
      </c>
      <c r="D83">
        <v>0</v>
      </c>
    </row>
    <row r="84" spans="1:4" x14ac:dyDescent="0.3">
      <c r="A84" t="s">
        <v>675</v>
      </c>
      <c r="B84" t="s">
        <v>1488</v>
      </c>
      <c r="C84" t="s">
        <v>1489</v>
      </c>
      <c r="D84">
        <v>0</v>
      </c>
    </row>
    <row r="85" spans="1:4" x14ac:dyDescent="0.3">
      <c r="A85" t="s">
        <v>675</v>
      </c>
      <c r="B85" t="s">
        <v>336</v>
      </c>
      <c r="C85" t="s">
        <v>337</v>
      </c>
      <c r="D85">
        <v>0</v>
      </c>
    </row>
    <row r="86" spans="1:4" x14ac:dyDescent="0.3">
      <c r="A86" t="s">
        <v>675</v>
      </c>
      <c r="B86" t="s">
        <v>1058</v>
      </c>
      <c r="C86" t="s">
        <v>1061</v>
      </c>
      <c r="D86">
        <v>0</v>
      </c>
    </row>
    <row r="87" spans="1:4" x14ac:dyDescent="0.3">
      <c r="A87" t="s">
        <v>675</v>
      </c>
      <c r="B87" t="s">
        <v>678</v>
      </c>
      <c r="C87" t="s">
        <v>679</v>
      </c>
      <c r="D87">
        <v>0</v>
      </c>
    </row>
    <row r="88" spans="1:4" x14ac:dyDescent="0.3">
      <c r="A88" t="s">
        <v>675</v>
      </c>
      <c r="B88" t="s">
        <v>775</v>
      </c>
      <c r="C88" t="s">
        <v>776</v>
      </c>
      <c r="D88">
        <v>0</v>
      </c>
    </row>
    <row r="89" spans="1:4" x14ac:dyDescent="0.3">
      <c r="A89" t="s">
        <v>88</v>
      </c>
      <c r="B89" t="s">
        <v>89</v>
      </c>
      <c r="C89" t="s">
        <v>90</v>
      </c>
      <c r="D89">
        <v>0</v>
      </c>
    </row>
    <row r="90" spans="1:4" x14ac:dyDescent="0.3">
      <c r="A90" t="s">
        <v>88</v>
      </c>
      <c r="B90" t="s">
        <v>92</v>
      </c>
      <c r="C90" t="s">
        <v>93</v>
      </c>
      <c r="D90">
        <v>0</v>
      </c>
    </row>
    <row r="91" spans="1:4" x14ac:dyDescent="0.3">
      <c r="A91" t="s">
        <v>88</v>
      </c>
      <c r="B91" t="s">
        <v>95</v>
      </c>
      <c r="C91" t="s">
        <v>96</v>
      </c>
      <c r="D91">
        <v>0</v>
      </c>
    </row>
    <row r="92" spans="1:4" x14ac:dyDescent="0.3">
      <c r="A92" t="s">
        <v>88</v>
      </c>
      <c r="B92" t="s">
        <v>985</v>
      </c>
      <c r="C92" t="s">
        <v>987</v>
      </c>
      <c r="D92">
        <v>0</v>
      </c>
    </row>
    <row r="93" spans="1:4" x14ac:dyDescent="0.3">
      <c r="A93" t="s">
        <v>88</v>
      </c>
      <c r="B93" t="s">
        <v>98</v>
      </c>
      <c r="C93" t="s">
        <v>99</v>
      </c>
      <c r="D93">
        <v>0</v>
      </c>
    </row>
    <row r="94" spans="1:4" x14ac:dyDescent="0.3">
      <c r="A94" t="s">
        <v>101</v>
      </c>
      <c r="B94" t="s">
        <v>1436</v>
      </c>
      <c r="C94" t="s">
        <v>1437</v>
      </c>
      <c r="D94">
        <v>0</v>
      </c>
    </row>
    <row r="95" spans="1:4" x14ac:dyDescent="0.3">
      <c r="A95" t="s">
        <v>101</v>
      </c>
      <c r="B95" t="s">
        <v>1439</v>
      </c>
      <c r="C95" t="s">
        <v>1440</v>
      </c>
      <c r="D95">
        <v>0</v>
      </c>
    </row>
    <row r="96" spans="1:4" x14ac:dyDescent="0.3">
      <c r="A96" t="s">
        <v>101</v>
      </c>
      <c r="B96" t="s">
        <v>1116</v>
      </c>
      <c r="C96" t="s">
        <v>1117</v>
      </c>
      <c r="D96">
        <v>0</v>
      </c>
    </row>
    <row r="97" spans="1:4" x14ac:dyDescent="0.3">
      <c r="A97" t="s">
        <v>101</v>
      </c>
      <c r="B97" t="s">
        <v>102</v>
      </c>
      <c r="C97" t="s">
        <v>103</v>
      </c>
      <c r="D97">
        <v>0</v>
      </c>
    </row>
    <row r="98" spans="1:4" x14ac:dyDescent="0.3">
      <c r="A98" t="s">
        <v>101</v>
      </c>
      <c r="B98" t="s">
        <v>104</v>
      </c>
      <c r="C98" t="s">
        <v>105</v>
      </c>
      <c r="D98">
        <v>0</v>
      </c>
    </row>
    <row r="99" spans="1:4" x14ac:dyDescent="0.3">
      <c r="A99" t="s">
        <v>101</v>
      </c>
      <c r="B99" t="s">
        <v>1120</v>
      </c>
      <c r="C99" t="s">
        <v>1122</v>
      </c>
      <c r="D99">
        <v>0</v>
      </c>
    </row>
    <row r="100" spans="1:4" x14ac:dyDescent="0.3">
      <c r="A100" t="s">
        <v>101</v>
      </c>
      <c r="B100" t="s">
        <v>1289</v>
      </c>
      <c r="C100" t="s">
        <v>1290</v>
      </c>
      <c r="D100">
        <v>0</v>
      </c>
    </row>
    <row r="101" spans="1:4" x14ac:dyDescent="0.3">
      <c r="A101" t="s">
        <v>101</v>
      </c>
      <c r="B101" t="s">
        <v>107</v>
      </c>
      <c r="C101" t="s">
        <v>108</v>
      </c>
      <c r="D101">
        <v>0</v>
      </c>
    </row>
    <row r="102" spans="1:4" x14ac:dyDescent="0.3">
      <c r="A102" t="s">
        <v>101</v>
      </c>
      <c r="B102" t="s">
        <v>1123</v>
      </c>
      <c r="C102" t="s">
        <v>1124</v>
      </c>
      <c r="D102">
        <v>0</v>
      </c>
    </row>
    <row r="103" spans="1:4" x14ac:dyDescent="0.3">
      <c r="A103" t="s">
        <v>101</v>
      </c>
      <c r="B103" t="s">
        <v>110</v>
      </c>
      <c r="C103" t="s">
        <v>111</v>
      </c>
      <c r="D103">
        <v>0</v>
      </c>
    </row>
    <row r="104" spans="1:4" x14ac:dyDescent="0.3">
      <c r="A104" t="s">
        <v>101</v>
      </c>
      <c r="B104" t="s">
        <v>113</v>
      </c>
      <c r="C104" t="s">
        <v>114</v>
      </c>
      <c r="D104">
        <v>0</v>
      </c>
    </row>
    <row r="105" spans="1:4" x14ac:dyDescent="0.3">
      <c r="A105" t="s">
        <v>101</v>
      </c>
      <c r="B105" t="s">
        <v>1442</v>
      </c>
      <c r="C105" t="s">
        <v>1443</v>
      </c>
      <c r="D105">
        <v>0</v>
      </c>
    </row>
    <row r="106" spans="1:4" x14ac:dyDescent="0.3">
      <c r="A106" t="s">
        <v>101</v>
      </c>
      <c r="B106" t="s">
        <v>1492</v>
      </c>
      <c r="C106" t="s">
        <v>1493</v>
      </c>
      <c r="D106">
        <v>0</v>
      </c>
    </row>
    <row r="107" spans="1:4" x14ac:dyDescent="0.3">
      <c r="A107" t="s">
        <v>101</v>
      </c>
      <c r="B107" t="s">
        <v>1293</v>
      </c>
      <c r="C107" t="s">
        <v>1294</v>
      </c>
      <c r="D107">
        <v>0</v>
      </c>
    </row>
    <row r="108" spans="1:4" x14ac:dyDescent="0.3">
      <c r="A108" t="s">
        <v>101</v>
      </c>
      <c r="B108" t="s">
        <v>1296</v>
      </c>
      <c r="C108" t="s">
        <v>1297</v>
      </c>
      <c r="D108">
        <v>0</v>
      </c>
    </row>
    <row r="109" spans="1:4" x14ac:dyDescent="0.3">
      <c r="A109" t="s">
        <v>101</v>
      </c>
      <c r="B109" t="s">
        <v>1495</v>
      </c>
      <c r="C109" t="s">
        <v>1496</v>
      </c>
      <c r="D109">
        <v>0</v>
      </c>
    </row>
    <row r="110" spans="1:4" x14ac:dyDescent="0.3">
      <c r="A110" t="s">
        <v>101</v>
      </c>
      <c r="B110" t="s">
        <v>1300</v>
      </c>
      <c r="C110" t="s">
        <v>1301</v>
      </c>
      <c r="D110">
        <v>0</v>
      </c>
    </row>
    <row r="111" spans="1:4" x14ac:dyDescent="0.3">
      <c r="A111" t="s">
        <v>101</v>
      </c>
      <c r="B111" t="s">
        <v>116</v>
      </c>
      <c r="C111" t="s">
        <v>117</v>
      </c>
      <c r="D111">
        <v>0</v>
      </c>
    </row>
    <row r="112" spans="1:4" x14ac:dyDescent="0.3">
      <c r="A112" t="s">
        <v>101</v>
      </c>
      <c r="B112" t="s">
        <v>1127</v>
      </c>
      <c r="C112" t="s">
        <v>1128</v>
      </c>
      <c r="D112">
        <v>0</v>
      </c>
    </row>
    <row r="113" spans="1:4" x14ac:dyDescent="0.3">
      <c r="A113" t="s">
        <v>101</v>
      </c>
      <c r="B113" t="s">
        <v>119</v>
      </c>
      <c r="C113" t="s">
        <v>120</v>
      </c>
      <c r="D113">
        <v>0</v>
      </c>
    </row>
    <row r="114" spans="1:4" x14ac:dyDescent="0.3">
      <c r="A114" t="s">
        <v>101</v>
      </c>
      <c r="B114" t="s">
        <v>1361</v>
      </c>
      <c r="C114" t="s">
        <v>1363</v>
      </c>
      <c r="D114">
        <v>0</v>
      </c>
    </row>
    <row r="115" spans="1:4" x14ac:dyDescent="0.3">
      <c r="A115" t="s">
        <v>101</v>
      </c>
      <c r="B115" t="s">
        <v>892</v>
      </c>
      <c r="C115" t="s">
        <v>893</v>
      </c>
      <c r="D115">
        <v>0</v>
      </c>
    </row>
    <row r="116" spans="1:4" x14ac:dyDescent="0.3">
      <c r="A116" t="s">
        <v>101</v>
      </c>
      <c r="B116" t="s">
        <v>1364</v>
      </c>
      <c r="C116" t="s">
        <v>1365</v>
      </c>
      <c r="D116">
        <v>0</v>
      </c>
    </row>
    <row r="117" spans="1:4" x14ac:dyDescent="0.3">
      <c r="A117" t="s">
        <v>101</v>
      </c>
      <c r="B117" t="s">
        <v>1367</v>
      </c>
      <c r="C117" t="s">
        <v>1368</v>
      </c>
      <c r="D117">
        <v>0</v>
      </c>
    </row>
    <row r="118" spans="1:4" x14ac:dyDescent="0.3">
      <c r="A118" t="s">
        <v>101</v>
      </c>
      <c r="B118" t="s">
        <v>1134</v>
      </c>
      <c r="C118" t="s">
        <v>1136</v>
      </c>
      <c r="D118">
        <v>0</v>
      </c>
    </row>
    <row r="119" spans="1:4" x14ac:dyDescent="0.3">
      <c r="A119" t="s">
        <v>101</v>
      </c>
      <c r="B119" t="s">
        <v>122</v>
      </c>
      <c r="C119" t="s">
        <v>124</v>
      </c>
      <c r="D119">
        <v>0</v>
      </c>
    </row>
    <row r="120" spans="1:4" x14ac:dyDescent="0.3">
      <c r="A120" t="s">
        <v>101</v>
      </c>
      <c r="B120" t="s">
        <v>125</v>
      </c>
      <c r="C120" t="s">
        <v>126</v>
      </c>
      <c r="D120">
        <v>0</v>
      </c>
    </row>
    <row r="121" spans="1:4" x14ac:dyDescent="0.3">
      <c r="A121" t="s">
        <v>101</v>
      </c>
      <c r="B121" t="s">
        <v>128</v>
      </c>
      <c r="C121" t="s">
        <v>129</v>
      </c>
      <c r="D121">
        <v>0</v>
      </c>
    </row>
    <row r="122" spans="1:4" x14ac:dyDescent="0.3">
      <c r="A122" t="s">
        <v>101</v>
      </c>
      <c r="B122" t="s">
        <v>132</v>
      </c>
      <c r="C122" t="s">
        <v>133</v>
      </c>
      <c r="D122">
        <v>0</v>
      </c>
    </row>
    <row r="123" spans="1:4" x14ac:dyDescent="0.3">
      <c r="A123" t="s">
        <v>101</v>
      </c>
      <c r="B123" t="s">
        <v>1138</v>
      </c>
      <c r="C123" t="s">
        <v>1141</v>
      </c>
      <c r="D123">
        <v>0</v>
      </c>
    </row>
    <row r="124" spans="1:4" x14ac:dyDescent="0.3">
      <c r="A124" t="s">
        <v>101</v>
      </c>
      <c r="B124" t="s">
        <v>136</v>
      </c>
      <c r="C124" t="s">
        <v>139</v>
      </c>
      <c r="D124">
        <v>0</v>
      </c>
    </row>
    <row r="125" spans="1:4" x14ac:dyDescent="0.3">
      <c r="A125" t="s">
        <v>101</v>
      </c>
      <c r="B125" t="s">
        <v>1307</v>
      </c>
      <c r="C125" t="s">
        <v>1308</v>
      </c>
      <c r="D125">
        <v>0</v>
      </c>
    </row>
    <row r="126" spans="1:4" x14ac:dyDescent="0.3">
      <c r="A126" t="s">
        <v>101</v>
      </c>
      <c r="B126" t="s">
        <v>1372</v>
      </c>
      <c r="C126" t="s">
        <v>1373</v>
      </c>
      <c r="D126">
        <v>0</v>
      </c>
    </row>
    <row r="127" spans="1:4" x14ac:dyDescent="0.3">
      <c r="A127" t="s">
        <v>101</v>
      </c>
      <c r="B127" t="s">
        <v>1498</v>
      </c>
      <c r="C127" t="s">
        <v>1500</v>
      </c>
      <c r="D127">
        <v>0</v>
      </c>
    </row>
    <row r="128" spans="1:4" x14ac:dyDescent="0.3">
      <c r="A128" t="s">
        <v>101</v>
      </c>
      <c r="B128" t="s">
        <v>1376</v>
      </c>
      <c r="C128" t="s">
        <v>1378</v>
      </c>
      <c r="D128">
        <v>0</v>
      </c>
    </row>
    <row r="129" spans="1:4" x14ac:dyDescent="0.3">
      <c r="A129" t="s">
        <v>101</v>
      </c>
      <c r="B129" t="s">
        <v>864</v>
      </c>
      <c r="C129" t="s">
        <v>865</v>
      </c>
      <c r="D129">
        <v>0</v>
      </c>
    </row>
    <row r="130" spans="1:4" x14ac:dyDescent="0.3">
      <c r="A130" t="s">
        <v>101</v>
      </c>
      <c r="B130" t="s">
        <v>140</v>
      </c>
      <c r="C130" t="s">
        <v>142</v>
      </c>
      <c r="D130">
        <v>0</v>
      </c>
    </row>
    <row r="131" spans="1:4" x14ac:dyDescent="0.3">
      <c r="A131" t="s">
        <v>101</v>
      </c>
      <c r="B131" t="s">
        <v>1501</v>
      </c>
      <c r="C131" t="s">
        <v>1503</v>
      </c>
      <c r="D131">
        <v>0</v>
      </c>
    </row>
    <row r="132" spans="1:4" x14ac:dyDescent="0.3">
      <c r="A132" t="s">
        <v>101</v>
      </c>
      <c r="B132" t="s">
        <v>1504</v>
      </c>
      <c r="C132" t="s">
        <v>1506</v>
      </c>
      <c r="D132">
        <v>0</v>
      </c>
    </row>
    <row r="133" spans="1:4" x14ac:dyDescent="0.3">
      <c r="A133" t="s">
        <v>101</v>
      </c>
      <c r="B133" t="s">
        <v>1379</v>
      </c>
      <c r="C133" t="s">
        <v>1381</v>
      </c>
      <c r="D133">
        <v>0</v>
      </c>
    </row>
    <row r="134" spans="1:4" x14ac:dyDescent="0.3">
      <c r="A134" t="s">
        <v>101</v>
      </c>
      <c r="B134" t="s">
        <v>1382</v>
      </c>
      <c r="C134" t="s">
        <v>1383</v>
      </c>
      <c r="D134">
        <v>0</v>
      </c>
    </row>
    <row r="135" spans="1:4" x14ac:dyDescent="0.3">
      <c r="A135" t="s">
        <v>101</v>
      </c>
      <c r="B135" t="s">
        <v>1143</v>
      </c>
      <c r="C135" t="s">
        <v>1145</v>
      </c>
      <c r="D135">
        <v>0</v>
      </c>
    </row>
    <row r="136" spans="1:4" x14ac:dyDescent="0.3">
      <c r="A136" t="s">
        <v>101</v>
      </c>
      <c r="B136" t="s">
        <v>1146</v>
      </c>
      <c r="C136" t="s">
        <v>1148</v>
      </c>
      <c r="D136">
        <v>0</v>
      </c>
    </row>
    <row r="137" spans="1:4" x14ac:dyDescent="0.3">
      <c r="A137" t="s">
        <v>101</v>
      </c>
      <c r="B137" t="s">
        <v>1445</v>
      </c>
      <c r="C137" t="s">
        <v>1448</v>
      </c>
      <c r="D137">
        <v>0</v>
      </c>
    </row>
    <row r="138" spans="1:4" x14ac:dyDescent="0.3">
      <c r="A138" t="s">
        <v>101</v>
      </c>
      <c r="B138" t="s">
        <v>1445</v>
      </c>
      <c r="C138" t="s">
        <v>1583</v>
      </c>
      <c r="D138">
        <v>0</v>
      </c>
    </row>
    <row r="139" spans="1:4" x14ac:dyDescent="0.3">
      <c r="A139" t="s">
        <v>101</v>
      </c>
      <c r="B139" t="s">
        <v>1149</v>
      </c>
      <c r="C139" t="s">
        <v>1150</v>
      </c>
      <c r="D139">
        <v>0</v>
      </c>
    </row>
    <row r="140" spans="1:4" x14ac:dyDescent="0.3">
      <c r="A140" t="s">
        <v>101</v>
      </c>
      <c r="B140" t="s">
        <v>1152</v>
      </c>
      <c r="C140" t="s">
        <v>1153</v>
      </c>
      <c r="D140">
        <v>0</v>
      </c>
    </row>
    <row r="141" spans="1:4" x14ac:dyDescent="0.3">
      <c r="A141" t="s">
        <v>101</v>
      </c>
      <c r="B141" t="s">
        <v>143</v>
      </c>
      <c r="C141" t="s">
        <v>144</v>
      </c>
      <c r="D141">
        <v>0</v>
      </c>
    </row>
    <row r="142" spans="1:4" x14ac:dyDescent="0.3">
      <c r="A142" t="s">
        <v>101</v>
      </c>
      <c r="B142" t="s">
        <v>146</v>
      </c>
      <c r="C142" t="s">
        <v>147</v>
      </c>
      <c r="D142">
        <v>0</v>
      </c>
    </row>
    <row r="143" spans="1:4" x14ac:dyDescent="0.3">
      <c r="A143" t="s">
        <v>101</v>
      </c>
      <c r="B143" t="s">
        <v>149</v>
      </c>
      <c r="C143" t="s">
        <v>151</v>
      </c>
      <c r="D143">
        <v>0</v>
      </c>
    </row>
    <row r="144" spans="1:4" x14ac:dyDescent="0.3">
      <c r="A144" t="s">
        <v>101</v>
      </c>
      <c r="B144" t="s">
        <v>1449</v>
      </c>
      <c r="C144" t="s">
        <v>1451</v>
      </c>
      <c r="D144">
        <v>0</v>
      </c>
    </row>
    <row r="145" spans="1:4" x14ac:dyDescent="0.3">
      <c r="A145" t="s">
        <v>101</v>
      </c>
      <c r="B145" t="s">
        <v>1356</v>
      </c>
      <c r="C145" t="s">
        <v>1357</v>
      </c>
      <c r="D145">
        <v>0</v>
      </c>
    </row>
    <row r="146" spans="1:4" x14ac:dyDescent="0.3">
      <c r="A146" t="s">
        <v>101</v>
      </c>
      <c r="B146" t="s">
        <v>1311</v>
      </c>
      <c r="C146" t="s">
        <v>1314</v>
      </c>
      <c r="D146">
        <v>0</v>
      </c>
    </row>
    <row r="147" spans="1:4" x14ac:dyDescent="0.3">
      <c r="A147" t="s">
        <v>101</v>
      </c>
      <c r="B147" t="s">
        <v>152</v>
      </c>
      <c r="C147" t="s">
        <v>153</v>
      </c>
      <c r="D147">
        <v>0</v>
      </c>
    </row>
    <row r="148" spans="1:4" x14ac:dyDescent="0.3">
      <c r="A148" t="s">
        <v>101</v>
      </c>
      <c r="B148" t="s">
        <v>1062</v>
      </c>
      <c r="C148" t="s">
        <v>1063</v>
      </c>
      <c r="D148">
        <v>0</v>
      </c>
    </row>
    <row r="149" spans="1:4" x14ac:dyDescent="0.3">
      <c r="A149" t="s">
        <v>101</v>
      </c>
      <c r="B149" t="s">
        <v>155</v>
      </c>
      <c r="C149" t="s">
        <v>156</v>
      </c>
      <c r="D149">
        <v>0</v>
      </c>
    </row>
    <row r="150" spans="1:4" x14ac:dyDescent="0.3">
      <c r="A150" t="s">
        <v>101</v>
      </c>
      <c r="B150" t="s">
        <v>1315</v>
      </c>
      <c r="C150" t="s">
        <v>1316</v>
      </c>
      <c r="D150">
        <v>0</v>
      </c>
    </row>
    <row r="151" spans="1:4" x14ac:dyDescent="0.3">
      <c r="A151" t="s">
        <v>101</v>
      </c>
      <c r="B151" t="s">
        <v>1155</v>
      </c>
      <c r="C151" t="s">
        <v>1156</v>
      </c>
      <c r="D151">
        <v>0</v>
      </c>
    </row>
    <row r="152" spans="1:4" x14ac:dyDescent="0.3">
      <c r="A152" t="s">
        <v>101</v>
      </c>
      <c r="B152" t="s">
        <v>1155</v>
      </c>
      <c r="C152" t="s">
        <v>1584</v>
      </c>
      <c r="D152">
        <v>0</v>
      </c>
    </row>
    <row r="153" spans="1:4" x14ac:dyDescent="0.3">
      <c r="A153" t="s">
        <v>101</v>
      </c>
      <c r="B153" t="s">
        <v>1452</v>
      </c>
      <c r="C153" t="s">
        <v>1320</v>
      </c>
      <c r="D153">
        <v>0</v>
      </c>
    </row>
    <row r="154" spans="1:4" x14ac:dyDescent="0.3">
      <c r="A154" t="s">
        <v>101</v>
      </c>
      <c r="B154" t="s">
        <v>732</v>
      </c>
      <c r="C154" t="s">
        <v>733</v>
      </c>
      <c r="D154">
        <v>0</v>
      </c>
    </row>
    <row r="155" spans="1:4" x14ac:dyDescent="0.3">
      <c r="A155" t="s">
        <v>101</v>
      </c>
      <c r="B155" t="s">
        <v>1322</v>
      </c>
      <c r="C155" t="s">
        <v>1323</v>
      </c>
      <c r="D155">
        <v>0</v>
      </c>
    </row>
    <row r="156" spans="1:4" x14ac:dyDescent="0.3">
      <c r="A156" t="s">
        <v>101</v>
      </c>
      <c r="B156" t="s">
        <v>1179</v>
      </c>
      <c r="C156" t="s">
        <v>1180</v>
      </c>
      <c r="D156">
        <v>0</v>
      </c>
    </row>
    <row r="157" spans="1:4" x14ac:dyDescent="0.3">
      <c r="A157" t="s">
        <v>101</v>
      </c>
      <c r="B157" t="s">
        <v>1182</v>
      </c>
      <c r="C157" t="s">
        <v>1183</v>
      </c>
      <c r="D157">
        <v>0</v>
      </c>
    </row>
    <row r="158" spans="1:4" x14ac:dyDescent="0.3">
      <c r="A158" t="s">
        <v>101</v>
      </c>
      <c r="B158" t="s">
        <v>1020</v>
      </c>
      <c r="C158" t="s">
        <v>1021</v>
      </c>
      <c r="D158">
        <v>0</v>
      </c>
    </row>
    <row r="159" spans="1:4" x14ac:dyDescent="0.3">
      <c r="A159" t="s">
        <v>101</v>
      </c>
      <c r="B159" t="s">
        <v>1185</v>
      </c>
      <c r="C159" t="s">
        <v>1186</v>
      </c>
      <c r="D159">
        <v>0</v>
      </c>
    </row>
    <row r="160" spans="1:4" x14ac:dyDescent="0.3">
      <c r="A160" t="s">
        <v>101</v>
      </c>
      <c r="B160" t="s">
        <v>1188</v>
      </c>
      <c r="C160" t="s">
        <v>1189</v>
      </c>
      <c r="D160">
        <v>0</v>
      </c>
    </row>
    <row r="161" spans="1:4" x14ac:dyDescent="0.3">
      <c r="A161" t="s">
        <v>101</v>
      </c>
      <c r="B161" t="s">
        <v>1387</v>
      </c>
      <c r="C161" t="s">
        <v>1388</v>
      </c>
      <c r="D161">
        <v>0</v>
      </c>
    </row>
    <row r="162" spans="1:4" x14ac:dyDescent="0.3">
      <c r="A162" t="s">
        <v>101</v>
      </c>
      <c r="B162" t="s">
        <v>1509</v>
      </c>
      <c r="C162" t="s">
        <v>1511</v>
      </c>
      <c r="D162">
        <v>0</v>
      </c>
    </row>
    <row r="163" spans="1:4" x14ac:dyDescent="0.3">
      <c r="A163" t="s">
        <v>101</v>
      </c>
      <c r="B163" t="s">
        <v>1393</v>
      </c>
      <c r="C163" t="s">
        <v>1395</v>
      </c>
      <c r="D163">
        <v>0</v>
      </c>
    </row>
    <row r="164" spans="1:4" x14ac:dyDescent="0.3">
      <c r="A164" t="s">
        <v>101</v>
      </c>
      <c r="B164" t="s">
        <v>159</v>
      </c>
      <c r="C164" t="s">
        <v>160</v>
      </c>
      <c r="D164">
        <v>0</v>
      </c>
    </row>
    <row r="165" spans="1:4" x14ac:dyDescent="0.3">
      <c r="A165" t="s">
        <v>163</v>
      </c>
      <c r="B165" t="s">
        <v>164</v>
      </c>
      <c r="C165" t="s">
        <v>165</v>
      </c>
      <c r="D165">
        <v>0</v>
      </c>
    </row>
    <row r="166" spans="1:4" x14ac:dyDescent="0.3">
      <c r="A166" t="s">
        <v>163</v>
      </c>
      <c r="B166" t="s">
        <v>167</v>
      </c>
      <c r="C166" t="s">
        <v>168</v>
      </c>
      <c r="D166">
        <v>0</v>
      </c>
    </row>
    <row r="167" spans="1:4" x14ac:dyDescent="0.3">
      <c r="A167" t="s">
        <v>163</v>
      </c>
      <c r="B167" t="s">
        <v>170</v>
      </c>
      <c r="C167" t="s">
        <v>171</v>
      </c>
      <c r="D167">
        <v>0</v>
      </c>
    </row>
    <row r="168" spans="1:4" x14ac:dyDescent="0.3">
      <c r="A168" t="s">
        <v>163</v>
      </c>
      <c r="B168" t="s">
        <v>738</v>
      </c>
      <c r="C168" t="s">
        <v>740</v>
      </c>
      <c r="D168">
        <v>0</v>
      </c>
    </row>
    <row r="169" spans="1:4" x14ac:dyDescent="0.3">
      <c r="A169" t="s">
        <v>163</v>
      </c>
      <c r="B169" t="s">
        <v>173</v>
      </c>
      <c r="C169" t="s">
        <v>175</v>
      </c>
      <c r="D169">
        <v>0</v>
      </c>
    </row>
    <row r="170" spans="1:4" x14ac:dyDescent="0.3">
      <c r="A170" t="s">
        <v>163</v>
      </c>
      <c r="B170" t="s">
        <v>176</v>
      </c>
      <c r="C170" t="s">
        <v>178</v>
      </c>
      <c r="D170">
        <v>0</v>
      </c>
    </row>
    <row r="171" spans="1:4" x14ac:dyDescent="0.3">
      <c r="A171" t="s">
        <v>163</v>
      </c>
      <c r="B171" t="s">
        <v>179</v>
      </c>
      <c r="C171" t="s">
        <v>181</v>
      </c>
      <c r="D171">
        <v>0</v>
      </c>
    </row>
    <row r="172" spans="1:4" x14ac:dyDescent="0.3">
      <c r="A172" t="s">
        <v>667</v>
      </c>
      <c r="B172" t="s">
        <v>685</v>
      </c>
      <c r="C172" t="s">
        <v>685</v>
      </c>
      <c r="D172">
        <v>0</v>
      </c>
    </row>
    <row r="173" spans="1:4" x14ac:dyDescent="0.3">
      <c r="A173" t="s">
        <v>182</v>
      </c>
      <c r="B173" t="s">
        <v>778</v>
      </c>
      <c r="C173" t="s">
        <v>779</v>
      </c>
      <c r="D173">
        <v>0</v>
      </c>
    </row>
    <row r="174" spans="1:4" x14ac:dyDescent="0.3">
      <c r="A174" t="s">
        <v>182</v>
      </c>
      <c r="B174" t="s">
        <v>1453</v>
      </c>
      <c r="C174" t="s">
        <v>1454</v>
      </c>
      <c r="D174">
        <v>0</v>
      </c>
    </row>
    <row r="175" spans="1:4" x14ac:dyDescent="0.3">
      <c r="A175" t="s">
        <v>182</v>
      </c>
      <c r="B175" t="s">
        <v>1456</v>
      </c>
      <c r="C175" t="s">
        <v>1457</v>
      </c>
      <c r="D175">
        <v>0</v>
      </c>
    </row>
    <row r="176" spans="1:4" x14ac:dyDescent="0.3">
      <c r="A176" t="s">
        <v>182</v>
      </c>
      <c r="B176" t="s">
        <v>1459</v>
      </c>
      <c r="C176" t="s">
        <v>1460</v>
      </c>
      <c r="D176">
        <v>0</v>
      </c>
    </row>
    <row r="177" spans="1:4" x14ac:dyDescent="0.3">
      <c r="A177" t="s">
        <v>182</v>
      </c>
      <c r="B177" t="s">
        <v>781</v>
      </c>
      <c r="C177" t="s">
        <v>782</v>
      </c>
      <c r="D177">
        <v>0</v>
      </c>
    </row>
    <row r="178" spans="1:4" x14ac:dyDescent="0.3">
      <c r="A178" t="s">
        <v>182</v>
      </c>
      <c r="B178" t="s">
        <v>183</v>
      </c>
      <c r="C178" t="s">
        <v>184</v>
      </c>
      <c r="D178">
        <v>0</v>
      </c>
    </row>
    <row r="179" spans="1:4" x14ac:dyDescent="0.3">
      <c r="A179" t="s">
        <v>182</v>
      </c>
      <c r="B179" t="s">
        <v>188</v>
      </c>
      <c r="C179" t="s">
        <v>189</v>
      </c>
      <c r="D179">
        <v>0</v>
      </c>
    </row>
    <row r="180" spans="1:4" x14ac:dyDescent="0.3">
      <c r="A180" t="s">
        <v>182</v>
      </c>
      <c r="B180" t="s">
        <v>191</v>
      </c>
      <c r="C180" t="s">
        <v>193</v>
      </c>
      <c r="D180">
        <v>0</v>
      </c>
    </row>
    <row r="181" spans="1:4" x14ac:dyDescent="0.3">
      <c r="A181" t="s">
        <v>182</v>
      </c>
      <c r="B181" t="s">
        <v>1352</v>
      </c>
      <c r="C181" t="s">
        <v>1354</v>
      </c>
      <c r="D181">
        <v>0</v>
      </c>
    </row>
    <row r="182" spans="1:4" x14ac:dyDescent="0.3">
      <c r="A182" t="s">
        <v>182</v>
      </c>
      <c r="B182" t="s">
        <v>1111</v>
      </c>
      <c r="C182" t="s">
        <v>1113</v>
      </c>
      <c r="D182">
        <v>0</v>
      </c>
    </row>
    <row r="183" spans="1:4" x14ac:dyDescent="0.3">
      <c r="A183" t="s">
        <v>182</v>
      </c>
      <c r="B183" t="s">
        <v>899</v>
      </c>
      <c r="C183" t="s">
        <v>901</v>
      </c>
      <c r="D183">
        <v>0</v>
      </c>
    </row>
    <row r="184" spans="1:4" x14ac:dyDescent="0.3">
      <c r="A184" t="s">
        <v>182</v>
      </c>
      <c r="B184" t="s">
        <v>1463</v>
      </c>
      <c r="C184" t="s">
        <v>1355</v>
      </c>
      <c r="D184">
        <v>0</v>
      </c>
    </row>
    <row r="185" spans="1:4" x14ac:dyDescent="0.3">
      <c r="A185" t="s">
        <v>182</v>
      </c>
      <c r="B185" t="s">
        <v>988</v>
      </c>
      <c r="C185" t="s">
        <v>990</v>
      </c>
      <c r="D185">
        <v>0</v>
      </c>
    </row>
    <row r="186" spans="1:4" x14ac:dyDescent="0.3">
      <c r="A186" t="s">
        <v>182</v>
      </c>
      <c r="B186" t="s">
        <v>1214</v>
      </c>
      <c r="C186" t="s">
        <v>1216</v>
      </c>
      <c r="D186">
        <v>0</v>
      </c>
    </row>
    <row r="187" spans="1:4" x14ac:dyDescent="0.3">
      <c r="A187" t="s">
        <v>182</v>
      </c>
      <c r="B187" t="s">
        <v>194</v>
      </c>
      <c r="C187" t="s">
        <v>196</v>
      </c>
      <c r="D187">
        <v>0</v>
      </c>
    </row>
    <row r="188" spans="1:4" x14ac:dyDescent="0.3">
      <c r="A188" t="s">
        <v>182</v>
      </c>
      <c r="B188" t="s">
        <v>197</v>
      </c>
      <c r="C188" t="s">
        <v>199</v>
      </c>
      <c r="D188">
        <v>0</v>
      </c>
    </row>
    <row r="189" spans="1:4" x14ac:dyDescent="0.3">
      <c r="A189" t="s">
        <v>182</v>
      </c>
      <c r="B189" t="s">
        <v>200</v>
      </c>
      <c r="C189" t="s">
        <v>201</v>
      </c>
      <c r="D189">
        <v>0</v>
      </c>
    </row>
    <row r="190" spans="1:4" x14ac:dyDescent="0.3">
      <c r="A190" t="s">
        <v>182</v>
      </c>
      <c r="B190" t="s">
        <v>203</v>
      </c>
      <c r="C190" t="s">
        <v>204</v>
      </c>
      <c r="D190">
        <v>0</v>
      </c>
    </row>
    <row r="191" spans="1:4" x14ac:dyDescent="0.3">
      <c r="A191" t="s">
        <v>182</v>
      </c>
      <c r="B191" t="s">
        <v>206</v>
      </c>
      <c r="C191" t="s">
        <v>207</v>
      </c>
      <c r="D191">
        <v>0</v>
      </c>
    </row>
    <row r="192" spans="1:4" x14ac:dyDescent="0.3">
      <c r="A192" t="s">
        <v>182</v>
      </c>
      <c r="B192" t="s">
        <v>209</v>
      </c>
      <c r="C192" t="s">
        <v>218</v>
      </c>
      <c r="D192">
        <v>0</v>
      </c>
    </row>
    <row r="193" spans="1:4" x14ac:dyDescent="0.3">
      <c r="A193" t="s">
        <v>182</v>
      </c>
      <c r="B193" t="s">
        <v>219</v>
      </c>
      <c r="C193" t="s">
        <v>228</v>
      </c>
      <c r="D193">
        <v>0</v>
      </c>
    </row>
    <row r="194" spans="1:4" x14ac:dyDescent="0.3">
      <c r="A194" t="s">
        <v>182</v>
      </c>
      <c r="B194" t="s">
        <v>229</v>
      </c>
      <c r="C194" t="s">
        <v>230</v>
      </c>
      <c r="D194">
        <v>0</v>
      </c>
    </row>
    <row r="195" spans="1:4" x14ac:dyDescent="0.3">
      <c r="A195" t="s">
        <v>182</v>
      </c>
      <c r="B195" t="s">
        <v>741</v>
      </c>
      <c r="C195" t="s">
        <v>743</v>
      </c>
      <c r="D195">
        <v>0</v>
      </c>
    </row>
    <row r="196" spans="1:4" x14ac:dyDescent="0.3">
      <c r="A196" t="s">
        <v>645</v>
      </c>
      <c r="B196" t="s">
        <v>646</v>
      </c>
      <c r="C196" t="s">
        <v>650</v>
      </c>
      <c r="D196">
        <v>0</v>
      </c>
    </row>
    <row r="197" spans="1:4" x14ac:dyDescent="0.3">
      <c r="A197" t="s">
        <v>645</v>
      </c>
      <c r="B197" t="s">
        <v>1465</v>
      </c>
      <c r="C197" t="s">
        <v>1466</v>
      </c>
      <c r="D197">
        <v>0</v>
      </c>
    </row>
    <row r="198" spans="1:4" x14ac:dyDescent="0.3">
      <c r="A198" t="s">
        <v>232</v>
      </c>
      <c r="B198" t="s">
        <v>233</v>
      </c>
      <c r="C198" t="s">
        <v>234</v>
      </c>
      <c r="D198">
        <v>0</v>
      </c>
    </row>
    <row r="199" spans="1:4" x14ac:dyDescent="0.3">
      <c r="A199" t="s">
        <v>232</v>
      </c>
      <c r="B199" t="s">
        <v>1519</v>
      </c>
      <c r="C199" t="s">
        <v>1520</v>
      </c>
      <c r="D199">
        <v>0</v>
      </c>
    </row>
    <row r="200" spans="1:4" x14ac:dyDescent="0.3">
      <c r="A200" t="s">
        <v>232</v>
      </c>
      <c r="B200" t="s">
        <v>236</v>
      </c>
      <c r="C200" t="s">
        <v>238</v>
      </c>
      <c r="D200">
        <v>0</v>
      </c>
    </row>
    <row r="201" spans="1:4" x14ac:dyDescent="0.3">
      <c r="A201" t="s">
        <v>232</v>
      </c>
      <c r="B201" t="s">
        <v>239</v>
      </c>
      <c r="C201" t="s">
        <v>241</v>
      </c>
      <c r="D201">
        <v>0</v>
      </c>
    </row>
    <row r="202" spans="1:4" x14ac:dyDescent="0.3">
      <c r="A202" t="s">
        <v>232</v>
      </c>
      <c r="B202" t="s">
        <v>242</v>
      </c>
      <c r="C202" t="s">
        <v>245</v>
      </c>
      <c r="D202">
        <v>0</v>
      </c>
    </row>
    <row r="203" spans="1:4" x14ac:dyDescent="0.3">
      <c r="A203" t="s">
        <v>232</v>
      </c>
      <c r="B203" t="s">
        <v>246</v>
      </c>
      <c r="C203" t="s">
        <v>248</v>
      </c>
      <c r="D203">
        <v>0</v>
      </c>
    </row>
    <row r="204" spans="1:4" x14ac:dyDescent="0.3">
      <c r="A204" t="s">
        <v>232</v>
      </c>
      <c r="B204" t="s">
        <v>249</v>
      </c>
      <c r="C204" t="s">
        <v>251</v>
      </c>
      <c r="D204">
        <v>0</v>
      </c>
    </row>
    <row r="205" spans="1:4" x14ac:dyDescent="0.3">
      <c r="A205" t="s">
        <v>232</v>
      </c>
      <c r="B205" t="s">
        <v>252</v>
      </c>
      <c r="C205" t="s">
        <v>253</v>
      </c>
      <c r="D205">
        <v>0</v>
      </c>
    </row>
    <row r="206" spans="1:4" x14ac:dyDescent="0.3">
      <c r="A206" t="s">
        <v>232</v>
      </c>
      <c r="B206" t="s">
        <v>866</v>
      </c>
      <c r="C206" t="s">
        <v>867</v>
      </c>
      <c r="D206">
        <v>0</v>
      </c>
    </row>
    <row r="207" spans="1:4" x14ac:dyDescent="0.3">
      <c r="A207" t="s">
        <v>255</v>
      </c>
      <c r="B207" t="s">
        <v>256</v>
      </c>
      <c r="C207" t="s">
        <v>257</v>
      </c>
      <c r="D207">
        <v>0</v>
      </c>
    </row>
    <row r="208" spans="1:4" x14ac:dyDescent="0.3">
      <c r="A208" t="s">
        <v>255</v>
      </c>
      <c r="B208" t="s">
        <v>256</v>
      </c>
      <c r="C208" t="s">
        <v>1585</v>
      </c>
      <c r="D208">
        <v>0</v>
      </c>
    </row>
    <row r="209" spans="1:4" x14ac:dyDescent="0.3">
      <c r="A209" t="s">
        <v>255</v>
      </c>
      <c r="B209" t="s">
        <v>904</v>
      </c>
      <c r="C209" t="s">
        <v>905</v>
      </c>
      <c r="D209">
        <v>0</v>
      </c>
    </row>
    <row r="210" spans="1:4" x14ac:dyDescent="0.3">
      <c r="A210" t="s">
        <v>255</v>
      </c>
      <c r="B210" t="s">
        <v>1217</v>
      </c>
      <c r="C210" t="s">
        <v>1218</v>
      </c>
      <c r="D210">
        <v>0</v>
      </c>
    </row>
    <row r="211" spans="1:4" x14ac:dyDescent="0.3">
      <c r="A211" t="s">
        <v>255</v>
      </c>
      <c r="B211" t="s">
        <v>268</v>
      </c>
      <c r="C211" t="s">
        <v>269</v>
      </c>
      <c r="D211">
        <v>0</v>
      </c>
    </row>
    <row r="212" spans="1:4" x14ac:dyDescent="0.3">
      <c r="A212" t="s">
        <v>255</v>
      </c>
      <c r="B212" t="s">
        <v>270</v>
      </c>
      <c r="C212" t="s">
        <v>271</v>
      </c>
      <c r="D212">
        <v>0</v>
      </c>
    </row>
    <row r="213" spans="1:4" x14ac:dyDescent="0.3">
      <c r="A213" t="s">
        <v>255</v>
      </c>
      <c r="B213" t="s">
        <v>273</v>
      </c>
      <c r="C213" t="s">
        <v>274</v>
      </c>
      <c r="D213">
        <v>0</v>
      </c>
    </row>
    <row r="214" spans="1:4" x14ac:dyDescent="0.3">
      <c r="A214" t="s">
        <v>255</v>
      </c>
      <c r="B214" t="s">
        <v>869</v>
      </c>
      <c r="C214" t="s">
        <v>870</v>
      </c>
      <c r="D214">
        <v>0</v>
      </c>
    </row>
    <row r="215" spans="1:4" x14ac:dyDescent="0.3">
      <c r="A215" t="s">
        <v>255</v>
      </c>
      <c r="B215" t="s">
        <v>276</v>
      </c>
      <c r="C215" t="s">
        <v>278</v>
      </c>
      <c r="D215">
        <v>0</v>
      </c>
    </row>
    <row r="216" spans="1:4" x14ac:dyDescent="0.3">
      <c r="A216" t="s">
        <v>255</v>
      </c>
      <c r="B216" t="s">
        <v>1023</v>
      </c>
      <c r="C216" t="s">
        <v>1024</v>
      </c>
      <c r="D216">
        <v>0</v>
      </c>
    </row>
    <row r="217" spans="1:4" x14ac:dyDescent="0.3">
      <c r="A217" t="s">
        <v>255</v>
      </c>
      <c r="B217" t="s">
        <v>1522</v>
      </c>
      <c r="C217" t="s">
        <v>1525</v>
      </c>
      <c r="D217">
        <v>0</v>
      </c>
    </row>
    <row r="218" spans="1:4" x14ac:dyDescent="0.3">
      <c r="A218" t="s">
        <v>255</v>
      </c>
      <c r="B218" t="s">
        <v>1526</v>
      </c>
      <c r="C218" t="s">
        <v>1528</v>
      </c>
      <c r="D218">
        <v>0</v>
      </c>
    </row>
    <row r="219" spans="1:4" x14ac:dyDescent="0.3">
      <c r="A219" t="s">
        <v>255</v>
      </c>
      <c r="B219" t="s">
        <v>929</v>
      </c>
      <c r="C219" t="s">
        <v>931</v>
      </c>
      <c r="D219">
        <v>0</v>
      </c>
    </row>
    <row r="220" spans="1:4" x14ac:dyDescent="0.3">
      <c r="A220" t="s">
        <v>255</v>
      </c>
      <c r="B220" t="s">
        <v>279</v>
      </c>
      <c r="C220" t="s">
        <v>280</v>
      </c>
      <c r="D220">
        <v>0</v>
      </c>
    </row>
    <row r="221" spans="1:4" x14ac:dyDescent="0.3">
      <c r="A221" t="s">
        <v>255</v>
      </c>
      <c r="B221" t="s">
        <v>1529</v>
      </c>
      <c r="C221" t="s">
        <v>1548</v>
      </c>
      <c r="D221">
        <v>0</v>
      </c>
    </row>
    <row r="222" spans="1:4" x14ac:dyDescent="0.3">
      <c r="A222" t="s">
        <v>255</v>
      </c>
      <c r="B222" t="s">
        <v>282</v>
      </c>
      <c r="C222" t="s">
        <v>662</v>
      </c>
      <c r="D222">
        <v>0</v>
      </c>
    </row>
    <row r="223" spans="1:4" x14ac:dyDescent="0.3">
      <c r="A223" t="s">
        <v>255</v>
      </c>
      <c r="B223" t="s">
        <v>283</v>
      </c>
      <c r="C223" t="s">
        <v>284</v>
      </c>
      <c r="D223">
        <v>0</v>
      </c>
    </row>
    <row r="224" spans="1:4" x14ac:dyDescent="0.3">
      <c r="A224" t="s">
        <v>255</v>
      </c>
      <c r="B224" t="s">
        <v>286</v>
      </c>
      <c r="C224" t="s">
        <v>287</v>
      </c>
      <c r="D224">
        <v>0</v>
      </c>
    </row>
    <row r="225" spans="1:4" x14ac:dyDescent="0.3">
      <c r="A225" t="s">
        <v>255</v>
      </c>
      <c r="B225" t="s">
        <v>289</v>
      </c>
      <c r="C225" t="s">
        <v>290</v>
      </c>
      <c r="D225">
        <v>0</v>
      </c>
    </row>
    <row r="226" spans="1:4" x14ac:dyDescent="0.3">
      <c r="A226" t="s">
        <v>255</v>
      </c>
      <c r="B226" t="s">
        <v>292</v>
      </c>
      <c r="C226" t="s">
        <v>293</v>
      </c>
      <c r="D226">
        <v>0</v>
      </c>
    </row>
    <row r="227" spans="1:4" x14ac:dyDescent="0.3">
      <c r="A227" t="s">
        <v>255</v>
      </c>
      <c r="B227" t="s">
        <v>1029</v>
      </c>
      <c r="C227" t="s">
        <v>1030</v>
      </c>
      <c r="D227">
        <v>0</v>
      </c>
    </row>
    <row r="228" spans="1:4" x14ac:dyDescent="0.3">
      <c r="A228" t="s">
        <v>255</v>
      </c>
      <c r="B228" t="s">
        <v>851</v>
      </c>
      <c r="C228" t="s">
        <v>852</v>
      </c>
      <c r="D228">
        <v>0</v>
      </c>
    </row>
    <row r="229" spans="1:4" x14ac:dyDescent="0.3">
      <c r="A229" t="s">
        <v>255</v>
      </c>
      <c r="B229" t="s">
        <v>872</v>
      </c>
      <c r="C229" t="s">
        <v>873</v>
      </c>
      <c r="D229">
        <v>0</v>
      </c>
    </row>
    <row r="230" spans="1:4" x14ac:dyDescent="0.3">
      <c r="A230" t="s">
        <v>255</v>
      </c>
      <c r="B230" t="s">
        <v>875</v>
      </c>
      <c r="C230" t="s">
        <v>876</v>
      </c>
      <c r="D230">
        <v>0</v>
      </c>
    </row>
    <row r="231" spans="1:4" x14ac:dyDescent="0.3">
      <c r="A231" t="s">
        <v>744</v>
      </c>
      <c r="B231" t="s">
        <v>1470</v>
      </c>
      <c r="C231" t="s">
        <v>1472</v>
      </c>
      <c r="D231">
        <v>0</v>
      </c>
    </row>
    <row r="232" spans="1:4" x14ac:dyDescent="0.3">
      <c r="A232" t="s">
        <v>744</v>
      </c>
      <c r="B232" t="s">
        <v>1032</v>
      </c>
      <c r="C232" t="s">
        <v>1033</v>
      </c>
      <c r="D232">
        <v>0</v>
      </c>
    </row>
    <row r="233" spans="1:4" x14ac:dyDescent="0.3">
      <c r="A233" t="s">
        <v>744</v>
      </c>
      <c r="B233" t="s">
        <v>1399</v>
      </c>
      <c r="C233" t="s">
        <v>1400</v>
      </c>
      <c r="D233">
        <v>0</v>
      </c>
    </row>
    <row r="234" spans="1:4" x14ac:dyDescent="0.3">
      <c r="A234" t="s">
        <v>744</v>
      </c>
      <c r="B234" t="s">
        <v>745</v>
      </c>
      <c r="C234" t="s">
        <v>746</v>
      </c>
      <c r="D234">
        <v>0</v>
      </c>
    </row>
    <row r="235" spans="1:4" x14ac:dyDescent="0.3">
      <c r="A235" t="s">
        <v>744</v>
      </c>
      <c r="B235" t="s">
        <v>748</v>
      </c>
      <c r="C235" t="s">
        <v>749</v>
      </c>
      <c r="D235">
        <v>0</v>
      </c>
    </row>
    <row r="236" spans="1:4" x14ac:dyDescent="0.3">
      <c r="A236" t="s">
        <v>744</v>
      </c>
      <c r="B236" t="s">
        <v>642</v>
      </c>
      <c r="C236" t="s">
        <v>643</v>
      </c>
      <c r="D236">
        <v>0</v>
      </c>
    </row>
    <row r="237" spans="1:4" x14ac:dyDescent="0.3">
      <c r="A237" t="s">
        <v>744</v>
      </c>
      <c r="B237" t="s">
        <v>751</v>
      </c>
      <c r="C237" t="s">
        <v>752</v>
      </c>
      <c r="D237">
        <v>0</v>
      </c>
    </row>
    <row r="238" spans="1:4" x14ac:dyDescent="0.3">
      <c r="A238" t="s">
        <v>744</v>
      </c>
      <c r="B238" t="s">
        <v>1219</v>
      </c>
      <c r="C238" t="s">
        <v>1220</v>
      </c>
      <c r="D238">
        <v>0</v>
      </c>
    </row>
    <row r="239" spans="1:4" x14ac:dyDescent="0.3">
      <c r="A239" t="s">
        <v>744</v>
      </c>
      <c r="B239" t="s">
        <v>754</v>
      </c>
      <c r="C239" t="s">
        <v>755</v>
      </c>
      <c r="D239">
        <v>0</v>
      </c>
    </row>
    <row r="240" spans="1:4" x14ac:dyDescent="0.3">
      <c r="A240" t="s">
        <v>744</v>
      </c>
      <c r="B240" t="s">
        <v>757</v>
      </c>
      <c r="C240" t="s">
        <v>759</v>
      </c>
      <c r="D240">
        <v>0</v>
      </c>
    </row>
    <row r="241" spans="1:4" x14ac:dyDescent="0.3">
      <c r="A241" t="s">
        <v>744</v>
      </c>
      <c r="B241" t="s">
        <v>994</v>
      </c>
      <c r="C241" t="s">
        <v>995</v>
      </c>
      <c r="D241">
        <v>0</v>
      </c>
    </row>
    <row r="242" spans="1:4" x14ac:dyDescent="0.3">
      <c r="A242" t="s">
        <v>744</v>
      </c>
      <c r="B242" t="s">
        <v>854</v>
      </c>
      <c r="C242" t="s">
        <v>881</v>
      </c>
      <c r="D242">
        <v>0</v>
      </c>
    </row>
    <row r="243" spans="1:4" x14ac:dyDescent="0.3">
      <c r="A243" t="s">
        <v>744</v>
      </c>
      <c r="B243" t="s">
        <v>854</v>
      </c>
      <c r="C243" t="s">
        <v>1586</v>
      </c>
      <c r="D243">
        <v>0</v>
      </c>
    </row>
    <row r="244" spans="1:4" x14ac:dyDescent="0.3">
      <c r="A244" t="s">
        <v>744</v>
      </c>
      <c r="B244" t="s">
        <v>936</v>
      </c>
      <c r="C244" t="s">
        <v>938</v>
      </c>
      <c r="D244">
        <v>0</v>
      </c>
    </row>
    <row r="245" spans="1:4" x14ac:dyDescent="0.3">
      <c r="A245" t="s">
        <v>744</v>
      </c>
      <c r="B245" t="s">
        <v>882</v>
      </c>
      <c r="C245" t="s">
        <v>885</v>
      </c>
      <c r="D245">
        <v>0</v>
      </c>
    </row>
    <row r="246" spans="1:4" x14ac:dyDescent="0.3">
      <c r="A246" t="s">
        <v>744</v>
      </c>
      <c r="B246" t="s">
        <v>878</v>
      </c>
      <c r="C246" t="s">
        <v>879</v>
      </c>
      <c r="D246">
        <v>0</v>
      </c>
    </row>
    <row r="247" spans="1:4" x14ac:dyDescent="0.3">
      <c r="A247" t="s">
        <v>744</v>
      </c>
      <c r="B247" t="s">
        <v>783</v>
      </c>
      <c r="C247" t="s">
        <v>784</v>
      </c>
      <c r="D247">
        <v>0</v>
      </c>
    </row>
    <row r="248" spans="1:4" x14ac:dyDescent="0.3">
      <c r="A248" t="s">
        <v>744</v>
      </c>
      <c r="B248" t="s">
        <v>760</v>
      </c>
      <c r="C248" t="s">
        <v>761</v>
      </c>
      <c r="D248">
        <v>0</v>
      </c>
    </row>
    <row r="249" spans="1:4" x14ac:dyDescent="0.3">
      <c r="A249" t="s">
        <v>744</v>
      </c>
      <c r="B249" t="s">
        <v>786</v>
      </c>
      <c r="C249" t="s">
        <v>787</v>
      </c>
      <c r="D249">
        <v>0</v>
      </c>
    </row>
    <row r="250" spans="1:4" x14ac:dyDescent="0.3">
      <c r="A250" t="s">
        <v>744</v>
      </c>
      <c r="B250" t="s">
        <v>1011</v>
      </c>
      <c r="C250" t="s">
        <v>1013</v>
      </c>
      <c r="D250">
        <v>0</v>
      </c>
    </row>
    <row r="251" spans="1:4" x14ac:dyDescent="0.3">
      <c r="A251" t="s">
        <v>744</v>
      </c>
      <c r="B251" t="s">
        <v>763</v>
      </c>
      <c r="C251" t="s">
        <v>764</v>
      </c>
      <c r="D251">
        <v>0</v>
      </c>
    </row>
    <row r="252" spans="1:4" x14ac:dyDescent="0.3">
      <c r="A252" t="s">
        <v>744</v>
      </c>
      <c r="B252" t="s">
        <v>1035</v>
      </c>
      <c r="C252" t="s">
        <v>1036</v>
      </c>
      <c r="D252">
        <v>0</v>
      </c>
    </row>
    <row r="253" spans="1:4" x14ac:dyDescent="0.3">
      <c r="A253" t="s">
        <v>744</v>
      </c>
      <c r="B253" t="s">
        <v>295</v>
      </c>
      <c r="C253" t="s">
        <v>297</v>
      </c>
      <c r="D253">
        <v>0</v>
      </c>
    </row>
    <row r="254" spans="1:4" x14ac:dyDescent="0.3">
      <c r="A254" t="s">
        <v>298</v>
      </c>
      <c r="B254" t="s">
        <v>299</v>
      </c>
      <c r="C254" t="s">
        <v>300</v>
      </c>
      <c r="D254">
        <v>0</v>
      </c>
    </row>
    <row r="255" spans="1:4" x14ac:dyDescent="0.3">
      <c r="A255" t="s">
        <v>298</v>
      </c>
      <c r="B255" t="s">
        <v>302</v>
      </c>
      <c r="C255" t="s">
        <v>303</v>
      </c>
      <c r="D255">
        <v>0</v>
      </c>
    </row>
    <row r="256" spans="1:4" x14ac:dyDescent="0.3">
      <c r="A256" t="s">
        <v>298</v>
      </c>
      <c r="B256" t="s">
        <v>305</v>
      </c>
      <c r="C256" t="s">
        <v>307</v>
      </c>
      <c r="D256">
        <v>0</v>
      </c>
    </row>
    <row r="257" spans="1:4" x14ac:dyDescent="0.3">
      <c r="A257" t="s">
        <v>298</v>
      </c>
      <c r="B257" t="s">
        <v>308</v>
      </c>
      <c r="C257" t="s">
        <v>309</v>
      </c>
      <c r="D257">
        <v>0</v>
      </c>
    </row>
    <row r="258" spans="1:4" x14ac:dyDescent="0.3">
      <c r="A258" t="s">
        <v>298</v>
      </c>
      <c r="B258" t="s">
        <v>311</v>
      </c>
      <c r="C258" t="s">
        <v>312</v>
      </c>
      <c r="D258">
        <v>0</v>
      </c>
    </row>
    <row r="259" spans="1:4" x14ac:dyDescent="0.3">
      <c r="A259" t="s">
        <v>298</v>
      </c>
      <c r="B259" t="s">
        <v>314</v>
      </c>
      <c r="C259" t="s">
        <v>316</v>
      </c>
      <c r="D259">
        <v>0</v>
      </c>
    </row>
    <row r="260" spans="1:4" x14ac:dyDescent="0.3">
      <c r="A260" t="s">
        <v>298</v>
      </c>
      <c r="B260" t="s">
        <v>317</v>
      </c>
      <c r="C260" t="s">
        <v>319</v>
      </c>
      <c r="D260">
        <v>0</v>
      </c>
    </row>
    <row r="261" spans="1:4" x14ac:dyDescent="0.3">
      <c r="A261" t="s">
        <v>298</v>
      </c>
      <c r="B261" t="s">
        <v>320</v>
      </c>
      <c r="C261" t="s">
        <v>322</v>
      </c>
      <c r="D261">
        <v>0</v>
      </c>
    </row>
    <row r="262" spans="1:4" x14ac:dyDescent="0.3">
      <c r="A262" t="s">
        <v>298</v>
      </c>
      <c r="B262" t="s">
        <v>323</v>
      </c>
      <c r="C262" t="s">
        <v>324</v>
      </c>
      <c r="D262">
        <v>0</v>
      </c>
    </row>
    <row r="263" spans="1:4" x14ac:dyDescent="0.3">
      <c r="A263" t="s">
        <v>339</v>
      </c>
      <c r="B263" t="s">
        <v>1065</v>
      </c>
      <c r="C263" t="s">
        <v>1085</v>
      </c>
      <c r="D263">
        <v>0</v>
      </c>
    </row>
    <row r="264" spans="1:4" x14ac:dyDescent="0.3">
      <c r="A264" t="s">
        <v>339</v>
      </c>
      <c r="B264" t="s">
        <v>1065</v>
      </c>
      <c r="C264" t="s">
        <v>1086</v>
      </c>
      <c r="D264">
        <v>0</v>
      </c>
    </row>
    <row r="265" spans="1:4" x14ac:dyDescent="0.3">
      <c r="A265" t="s">
        <v>339</v>
      </c>
      <c r="B265" t="s">
        <v>1065</v>
      </c>
      <c r="C265" t="s">
        <v>1222</v>
      </c>
      <c r="D265">
        <v>0</v>
      </c>
    </row>
    <row r="266" spans="1:4" x14ac:dyDescent="0.3">
      <c r="A266" t="s">
        <v>339</v>
      </c>
      <c r="B266" t="s">
        <v>1065</v>
      </c>
      <c r="C266" t="s">
        <v>1549</v>
      </c>
      <c r="D266">
        <v>0</v>
      </c>
    </row>
    <row r="267" spans="1:4" x14ac:dyDescent="0.3">
      <c r="A267" t="s">
        <v>339</v>
      </c>
      <c r="B267" t="s">
        <v>1065</v>
      </c>
      <c r="C267" t="s">
        <v>1587</v>
      </c>
      <c r="D267">
        <v>0</v>
      </c>
    </row>
    <row r="268" spans="1:4" x14ac:dyDescent="0.3">
      <c r="A268" t="s">
        <v>339</v>
      </c>
      <c r="B268" t="s">
        <v>340</v>
      </c>
      <c r="C268" t="s">
        <v>341</v>
      </c>
      <c r="D268">
        <v>0</v>
      </c>
    </row>
    <row r="269" spans="1:4" x14ac:dyDescent="0.3">
      <c r="A269" t="s">
        <v>339</v>
      </c>
      <c r="B269" t="s">
        <v>1403</v>
      </c>
      <c r="C269" t="s">
        <v>1404</v>
      </c>
      <c r="D269">
        <v>0</v>
      </c>
    </row>
    <row r="270" spans="1:4" x14ac:dyDescent="0.3">
      <c r="A270" t="s">
        <v>339</v>
      </c>
      <c r="B270" t="s">
        <v>343</v>
      </c>
      <c r="C270" t="s">
        <v>344</v>
      </c>
      <c r="D270">
        <v>0</v>
      </c>
    </row>
    <row r="271" spans="1:4" x14ac:dyDescent="0.3">
      <c r="A271" t="s">
        <v>346</v>
      </c>
      <c r="B271" t="s">
        <v>1223</v>
      </c>
      <c r="C271" t="s">
        <v>1228</v>
      </c>
      <c r="D271">
        <v>0</v>
      </c>
    </row>
    <row r="272" spans="1:4" x14ac:dyDescent="0.3">
      <c r="A272" t="s">
        <v>346</v>
      </c>
      <c r="B272" t="s">
        <v>1038</v>
      </c>
      <c r="C272" t="s">
        <v>1039</v>
      </c>
      <c r="D272">
        <v>0</v>
      </c>
    </row>
    <row r="273" spans="1:4" x14ac:dyDescent="0.3">
      <c r="A273" t="s">
        <v>346</v>
      </c>
      <c r="B273" t="s">
        <v>347</v>
      </c>
      <c r="C273" t="s">
        <v>348</v>
      </c>
      <c r="D273">
        <v>0</v>
      </c>
    </row>
    <row r="274" spans="1:4" x14ac:dyDescent="0.3">
      <c r="A274" t="s">
        <v>346</v>
      </c>
      <c r="B274" t="s">
        <v>350</v>
      </c>
      <c r="C274" t="s">
        <v>351</v>
      </c>
      <c r="D274">
        <v>0</v>
      </c>
    </row>
    <row r="275" spans="1:4" x14ac:dyDescent="0.3">
      <c r="A275" t="s">
        <v>346</v>
      </c>
      <c r="B275" t="s">
        <v>1041</v>
      </c>
      <c r="C275" t="s">
        <v>1042</v>
      </c>
      <c r="D275">
        <v>0</v>
      </c>
    </row>
    <row r="276" spans="1:4" x14ac:dyDescent="0.3">
      <c r="A276" t="s">
        <v>346</v>
      </c>
      <c r="B276" t="s">
        <v>681</v>
      </c>
      <c r="C276" t="s">
        <v>682</v>
      </c>
      <c r="D276">
        <v>0</v>
      </c>
    </row>
    <row r="277" spans="1:4" x14ac:dyDescent="0.3">
      <c r="A277" t="s">
        <v>346</v>
      </c>
      <c r="B277" t="s">
        <v>1328</v>
      </c>
      <c r="C277" t="s">
        <v>1329</v>
      </c>
      <c r="D277">
        <v>0</v>
      </c>
    </row>
    <row r="278" spans="1:4" x14ac:dyDescent="0.3">
      <c r="A278" t="s">
        <v>346</v>
      </c>
      <c r="B278" t="s">
        <v>1044</v>
      </c>
      <c r="C278" t="s">
        <v>1045</v>
      </c>
      <c r="D278">
        <v>0</v>
      </c>
    </row>
    <row r="279" spans="1:4" x14ac:dyDescent="0.3">
      <c r="A279" t="s">
        <v>346</v>
      </c>
      <c r="B279" t="s">
        <v>354</v>
      </c>
      <c r="C279" t="s">
        <v>357</v>
      </c>
      <c r="D279">
        <v>0</v>
      </c>
    </row>
    <row r="280" spans="1:4" x14ac:dyDescent="0.3">
      <c r="A280" t="s">
        <v>346</v>
      </c>
      <c r="B280" t="s">
        <v>358</v>
      </c>
      <c r="C280" t="s">
        <v>359</v>
      </c>
      <c r="D280">
        <v>0</v>
      </c>
    </row>
    <row r="281" spans="1:4" x14ac:dyDescent="0.3">
      <c r="A281" t="s">
        <v>346</v>
      </c>
      <c r="B281" t="s">
        <v>358</v>
      </c>
      <c r="C281" t="s">
        <v>1588</v>
      </c>
      <c r="D281">
        <v>0</v>
      </c>
    </row>
    <row r="282" spans="1:4" x14ac:dyDescent="0.3">
      <c r="A282" t="s">
        <v>346</v>
      </c>
      <c r="B282" t="s">
        <v>362</v>
      </c>
      <c r="C282" t="s">
        <v>363</v>
      </c>
      <c r="D282">
        <v>0</v>
      </c>
    </row>
    <row r="283" spans="1:4" x14ac:dyDescent="0.3">
      <c r="A283" t="s">
        <v>346</v>
      </c>
      <c r="B283" t="s">
        <v>362</v>
      </c>
      <c r="C283" t="s">
        <v>585</v>
      </c>
      <c r="D283">
        <v>0</v>
      </c>
    </row>
    <row r="284" spans="1:4" x14ac:dyDescent="0.3">
      <c r="A284" t="s">
        <v>346</v>
      </c>
      <c r="B284" t="s">
        <v>376</v>
      </c>
      <c r="C284" t="s">
        <v>377</v>
      </c>
      <c r="D284">
        <v>0</v>
      </c>
    </row>
    <row r="285" spans="1:4" x14ac:dyDescent="0.3">
      <c r="A285" t="s">
        <v>346</v>
      </c>
      <c r="B285" t="s">
        <v>1229</v>
      </c>
      <c r="C285" t="s">
        <v>1230</v>
      </c>
      <c r="D285">
        <v>0</v>
      </c>
    </row>
    <row r="286" spans="1:4" x14ac:dyDescent="0.3">
      <c r="A286" t="s">
        <v>346</v>
      </c>
      <c r="B286" t="s">
        <v>1232</v>
      </c>
      <c r="C286" t="s">
        <v>1233</v>
      </c>
      <c r="D286">
        <v>0</v>
      </c>
    </row>
    <row r="287" spans="1:4" x14ac:dyDescent="0.3">
      <c r="A287" t="s">
        <v>346</v>
      </c>
      <c r="B287" t="s">
        <v>379</v>
      </c>
      <c r="C287" t="s">
        <v>380</v>
      </c>
      <c r="D287">
        <v>0</v>
      </c>
    </row>
    <row r="288" spans="1:4" x14ac:dyDescent="0.3">
      <c r="A288" t="s">
        <v>346</v>
      </c>
      <c r="B288" t="s">
        <v>393</v>
      </c>
      <c r="C288" t="s">
        <v>394</v>
      </c>
      <c r="D288">
        <v>0</v>
      </c>
    </row>
    <row r="289" spans="1:4" x14ac:dyDescent="0.3">
      <c r="A289" t="s">
        <v>346</v>
      </c>
      <c r="B289" t="s">
        <v>1235</v>
      </c>
      <c r="C289" t="s">
        <v>1236</v>
      </c>
      <c r="D289">
        <v>0</v>
      </c>
    </row>
    <row r="290" spans="1:4" x14ac:dyDescent="0.3">
      <c r="A290" t="s">
        <v>346</v>
      </c>
      <c r="B290" t="s">
        <v>1239</v>
      </c>
      <c r="C290" t="s">
        <v>1240</v>
      </c>
      <c r="D290">
        <v>0</v>
      </c>
    </row>
    <row r="291" spans="1:4" x14ac:dyDescent="0.3">
      <c r="A291" t="s">
        <v>346</v>
      </c>
      <c r="B291" t="s">
        <v>1550</v>
      </c>
      <c r="C291" t="s">
        <v>1551</v>
      </c>
      <c r="D291">
        <v>0</v>
      </c>
    </row>
    <row r="292" spans="1:4" x14ac:dyDescent="0.3">
      <c r="A292" t="s">
        <v>346</v>
      </c>
      <c r="B292" t="s">
        <v>1087</v>
      </c>
      <c r="C292" t="s">
        <v>1088</v>
      </c>
      <c r="D292">
        <v>0</v>
      </c>
    </row>
    <row r="293" spans="1:4" x14ac:dyDescent="0.3">
      <c r="A293" t="s">
        <v>346</v>
      </c>
      <c r="B293" t="s">
        <v>1242</v>
      </c>
      <c r="C293" t="s">
        <v>1243</v>
      </c>
      <c r="D293">
        <v>0</v>
      </c>
    </row>
    <row r="294" spans="1:4" x14ac:dyDescent="0.3">
      <c r="A294" t="s">
        <v>346</v>
      </c>
      <c r="B294" t="s">
        <v>1245</v>
      </c>
      <c r="C294" t="s">
        <v>1246</v>
      </c>
      <c r="D294">
        <v>0</v>
      </c>
    </row>
    <row r="295" spans="1:4" x14ac:dyDescent="0.3">
      <c r="A295" t="s">
        <v>346</v>
      </c>
      <c r="B295" t="s">
        <v>1095</v>
      </c>
      <c r="C295" t="s">
        <v>1096</v>
      </c>
      <c r="D295">
        <v>0</v>
      </c>
    </row>
    <row r="296" spans="1:4" x14ac:dyDescent="0.3">
      <c r="A296" t="s">
        <v>346</v>
      </c>
      <c r="B296" t="s">
        <v>467</v>
      </c>
      <c r="C296" t="s">
        <v>468</v>
      </c>
      <c r="D296">
        <v>0</v>
      </c>
    </row>
    <row r="297" spans="1:4" x14ac:dyDescent="0.3">
      <c r="A297" t="s">
        <v>346</v>
      </c>
      <c r="B297" t="s">
        <v>470</v>
      </c>
      <c r="C297" t="s">
        <v>471</v>
      </c>
      <c r="D297">
        <v>0</v>
      </c>
    </row>
    <row r="298" spans="1:4" x14ac:dyDescent="0.3">
      <c r="A298" t="s">
        <v>346</v>
      </c>
      <c r="B298" t="s">
        <v>473</v>
      </c>
      <c r="C298" t="s">
        <v>474</v>
      </c>
      <c r="D298">
        <v>0</v>
      </c>
    </row>
    <row r="299" spans="1:4" x14ac:dyDescent="0.3">
      <c r="A299" t="s">
        <v>346</v>
      </c>
      <c r="B299" t="s">
        <v>476</v>
      </c>
      <c r="C299" t="s">
        <v>477</v>
      </c>
      <c r="D299">
        <v>0</v>
      </c>
    </row>
    <row r="300" spans="1:4" x14ac:dyDescent="0.3">
      <c r="A300" t="s">
        <v>346</v>
      </c>
      <c r="B300" t="s">
        <v>479</v>
      </c>
      <c r="C300" t="s">
        <v>480</v>
      </c>
      <c r="D300">
        <v>0</v>
      </c>
    </row>
    <row r="301" spans="1:4" x14ac:dyDescent="0.3">
      <c r="A301" t="s">
        <v>346</v>
      </c>
      <c r="B301" t="s">
        <v>487</v>
      </c>
      <c r="C301" t="s">
        <v>488</v>
      </c>
      <c r="D301">
        <v>0</v>
      </c>
    </row>
    <row r="302" spans="1:4" x14ac:dyDescent="0.3">
      <c r="A302" t="s">
        <v>346</v>
      </c>
      <c r="B302" t="s">
        <v>1259</v>
      </c>
      <c r="C302" t="s">
        <v>1260</v>
      </c>
      <c r="D302">
        <v>0</v>
      </c>
    </row>
    <row r="303" spans="1:4" x14ac:dyDescent="0.3">
      <c r="A303" t="s">
        <v>346</v>
      </c>
      <c r="B303" t="s">
        <v>766</v>
      </c>
      <c r="C303" t="s">
        <v>767</v>
      </c>
      <c r="D303">
        <v>0</v>
      </c>
    </row>
    <row r="304" spans="1:4" x14ac:dyDescent="0.3">
      <c r="A304" t="s">
        <v>346</v>
      </c>
      <c r="B304" t="s">
        <v>857</v>
      </c>
      <c r="C304" t="s">
        <v>858</v>
      </c>
      <c r="D304">
        <v>0</v>
      </c>
    </row>
    <row r="305" spans="1:4" x14ac:dyDescent="0.3">
      <c r="A305" t="s">
        <v>346</v>
      </c>
      <c r="B305" t="s">
        <v>1263</v>
      </c>
      <c r="C305" t="s">
        <v>1265</v>
      </c>
      <c r="D305">
        <v>0</v>
      </c>
    </row>
    <row r="306" spans="1:4" x14ac:dyDescent="0.3">
      <c r="A306" t="s">
        <v>346</v>
      </c>
      <c r="B306" t="s">
        <v>1266</v>
      </c>
      <c r="C306" t="s">
        <v>1268</v>
      </c>
      <c r="D306">
        <v>0</v>
      </c>
    </row>
    <row r="307" spans="1:4" x14ac:dyDescent="0.3">
      <c r="A307" t="s">
        <v>346</v>
      </c>
      <c r="B307" t="s">
        <v>490</v>
      </c>
      <c r="C307" t="s">
        <v>493</v>
      </c>
      <c r="D307">
        <v>0</v>
      </c>
    </row>
    <row r="308" spans="1:4" x14ac:dyDescent="0.3">
      <c r="A308" t="s">
        <v>346</v>
      </c>
      <c r="B308" t="s">
        <v>1047</v>
      </c>
      <c r="C308" t="s">
        <v>1048</v>
      </c>
      <c r="D308">
        <v>0</v>
      </c>
    </row>
    <row r="309" spans="1:4" x14ac:dyDescent="0.3">
      <c r="A309" t="s">
        <v>346</v>
      </c>
      <c r="B309" t="s">
        <v>494</v>
      </c>
      <c r="C309" t="s">
        <v>496</v>
      </c>
      <c r="D309">
        <v>0</v>
      </c>
    </row>
    <row r="310" spans="1:4" x14ac:dyDescent="0.3">
      <c r="A310" t="s">
        <v>346</v>
      </c>
      <c r="B310" t="s">
        <v>497</v>
      </c>
      <c r="C310" t="s">
        <v>499</v>
      </c>
      <c r="D310">
        <v>0</v>
      </c>
    </row>
    <row r="311" spans="1:4" x14ac:dyDescent="0.3">
      <c r="A311" t="s">
        <v>346</v>
      </c>
      <c r="B311" t="s">
        <v>500</v>
      </c>
      <c r="C311" t="s">
        <v>501</v>
      </c>
      <c r="D311">
        <v>0</v>
      </c>
    </row>
    <row r="312" spans="1:4" x14ac:dyDescent="0.3">
      <c r="A312" t="s">
        <v>346</v>
      </c>
      <c r="B312" t="s">
        <v>503</v>
      </c>
      <c r="C312" t="s">
        <v>504</v>
      </c>
      <c r="D312">
        <v>0</v>
      </c>
    </row>
    <row r="313" spans="1:4" x14ac:dyDescent="0.3">
      <c r="A313" t="s">
        <v>346</v>
      </c>
      <c r="B313" t="s">
        <v>1416</v>
      </c>
      <c r="C313" t="s">
        <v>1429</v>
      </c>
      <c r="D313">
        <v>0</v>
      </c>
    </row>
    <row r="314" spans="1:4" x14ac:dyDescent="0.3">
      <c r="A314" t="s">
        <v>346</v>
      </c>
      <c r="B314" t="s">
        <v>577</v>
      </c>
      <c r="C314" t="s">
        <v>578</v>
      </c>
      <c r="D314">
        <v>0</v>
      </c>
    </row>
    <row r="315" spans="1:4" x14ac:dyDescent="0.3">
      <c r="A315" t="s">
        <v>346</v>
      </c>
      <c r="B315" t="s">
        <v>1430</v>
      </c>
      <c r="C315" t="s">
        <v>1431</v>
      </c>
      <c r="D315">
        <v>0</v>
      </c>
    </row>
    <row r="316" spans="1:4" x14ac:dyDescent="0.3">
      <c r="A316" t="s">
        <v>346</v>
      </c>
      <c r="B316" t="s">
        <v>769</v>
      </c>
      <c r="C316" t="s">
        <v>771</v>
      </c>
      <c r="D316">
        <v>0</v>
      </c>
    </row>
    <row r="317" spans="1:4" x14ac:dyDescent="0.3">
      <c r="A317" t="s">
        <v>346</v>
      </c>
      <c r="B317" t="s">
        <v>1269</v>
      </c>
      <c r="C317" t="s">
        <v>1270</v>
      </c>
      <c r="D317">
        <v>0</v>
      </c>
    </row>
    <row r="318" spans="1:4" x14ac:dyDescent="0.3">
      <c r="A318" t="s">
        <v>346</v>
      </c>
      <c r="B318" t="s">
        <v>895</v>
      </c>
      <c r="C318" t="s">
        <v>896</v>
      </c>
      <c r="D318">
        <v>0</v>
      </c>
    </row>
    <row r="319" spans="1:4" x14ac:dyDescent="0.3">
      <c r="A319" t="s">
        <v>346</v>
      </c>
      <c r="B319" t="s">
        <v>1560</v>
      </c>
      <c r="C319" t="s">
        <v>1561</v>
      </c>
      <c r="D319">
        <v>0</v>
      </c>
    </row>
    <row r="320" spans="1:4" x14ac:dyDescent="0.3">
      <c r="A320" t="s">
        <v>346</v>
      </c>
      <c r="B320" t="s">
        <v>580</v>
      </c>
      <c r="C320" t="s">
        <v>581</v>
      </c>
      <c r="D320">
        <v>0</v>
      </c>
    </row>
    <row r="321" spans="1:4" x14ac:dyDescent="0.3">
      <c r="A321" t="s">
        <v>346</v>
      </c>
      <c r="B321" t="s">
        <v>582</v>
      </c>
      <c r="C321" t="s">
        <v>583</v>
      </c>
      <c r="D321">
        <v>0</v>
      </c>
    </row>
    <row r="322" spans="1:4" x14ac:dyDescent="0.3">
      <c r="A322" t="s">
        <v>346</v>
      </c>
      <c r="B322" t="s">
        <v>1272</v>
      </c>
      <c r="C322" t="s">
        <v>1273</v>
      </c>
      <c r="D322">
        <v>0</v>
      </c>
    </row>
    <row r="323" spans="1:4" x14ac:dyDescent="0.3">
      <c r="A323" t="s">
        <v>346</v>
      </c>
      <c r="B323" t="s">
        <v>585</v>
      </c>
      <c r="C323" t="s">
        <v>586</v>
      </c>
      <c r="D323">
        <v>0</v>
      </c>
    </row>
    <row r="324" spans="1:4" x14ac:dyDescent="0.3">
      <c r="A324" t="s">
        <v>346</v>
      </c>
      <c r="B324" t="s">
        <v>1276</v>
      </c>
      <c r="C324" t="s">
        <v>1277</v>
      </c>
      <c r="D324">
        <v>0</v>
      </c>
    </row>
    <row r="325" spans="1:4" x14ac:dyDescent="0.3">
      <c r="A325" t="s">
        <v>346</v>
      </c>
      <c r="B325" t="s">
        <v>589</v>
      </c>
      <c r="C325" t="s">
        <v>590</v>
      </c>
      <c r="D325">
        <v>0</v>
      </c>
    </row>
    <row r="326" spans="1:4" x14ac:dyDescent="0.3">
      <c r="A326" t="s">
        <v>346</v>
      </c>
      <c r="B326" t="s">
        <v>939</v>
      </c>
      <c r="C326" t="s">
        <v>940</v>
      </c>
      <c r="D326">
        <v>0</v>
      </c>
    </row>
    <row r="327" spans="1:4" x14ac:dyDescent="0.3">
      <c r="A327" t="s">
        <v>346</v>
      </c>
      <c r="B327" t="s">
        <v>942</v>
      </c>
      <c r="C327" t="s">
        <v>943</v>
      </c>
      <c r="D327">
        <v>0</v>
      </c>
    </row>
    <row r="328" spans="1:4" x14ac:dyDescent="0.3">
      <c r="A328" t="s">
        <v>346</v>
      </c>
      <c r="B328" t="s">
        <v>593</v>
      </c>
      <c r="C328" t="s">
        <v>595</v>
      </c>
      <c r="D328">
        <v>0</v>
      </c>
    </row>
    <row r="329" spans="1:4" x14ac:dyDescent="0.3">
      <c r="A329" t="s">
        <v>346</v>
      </c>
      <c r="B329" t="s">
        <v>1279</v>
      </c>
      <c r="C329" t="s">
        <v>1280</v>
      </c>
      <c r="D329">
        <v>0</v>
      </c>
    </row>
    <row r="330" spans="1:4" x14ac:dyDescent="0.3">
      <c r="A330" t="s">
        <v>346</v>
      </c>
      <c r="B330" t="s">
        <v>1097</v>
      </c>
      <c r="C330" t="s">
        <v>1098</v>
      </c>
      <c r="D330">
        <v>0</v>
      </c>
    </row>
    <row r="331" spans="1:4" x14ac:dyDescent="0.3">
      <c r="A331" t="s">
        <v>346</v>
      </c>
      <c r="B331" t="s">
        <v>1101</v>
      </c>
      <c r="C331" t="s">
        <v>1102</v>
      </c>
      <c r="D331">
        <v>0</v>
      </c>
    </row>
    <row r="332" spans="1:4" x14ac:dyDescent="0.3">
      <c r="A332" t="s">
        <v>346</v>
      </c>
      <c r="B332" t="s">
        <v>596</v>
      </c>
      <c r="C332" t="s">
        <v>597</v>
      </c>
      <c r="D332">
        <v>0</v>
      </c>
    </row>
    <row r="333" spans="1:4" x14ac:dyDescent="0.3">
      <c r="A333" t="s">
        <v>686</v>
      </c>
      <c r="B333" t="s">
        <v>685</v>
      </c>
      <c r="C333" t="s">
        <v>685</v>
      </c>
      <c r="D333">
        <v>0</v>
      </c>
    </row>
    <row r="334" spans="1:4" x14ac:dyDescent="0.3">
      <c r="A334" t="s">
        <v>599</v>
      </c>
      <c r="B334" t="s">
        <v>600</v>
      </c>
      <c r="C334" t="s">
        <v>605</v>
      </c>
      <c r="D334">
        <v>0</v>
      </c>
    </row>
    <row r="335" spans="1:4" x14ac:dyDescent="0.3">
      <c r="A335" t="s">
        <v>599</v>
      </c>
      <c r="B335" t="s">
        <v>606</v>
      </c>
      <c r="C335" t="s">
        <v>607</v>
      </c>
      <c r="D335">
        <v>0</v>
      </c>
    </row>
    <row r="336" spans="1:4" x14ac:dyDescent="0.3">
      <c r="A336" t="s">
        <v>599</v>
      </c>
      <c r="B336" t="s">
        <v>608</v>
      </c>
      <c r="C336" t="s">
        <v>609</v>
      </c>
      <c r="D336">
        <v>0</v>
      </c>
    </row>
    <row r="337" spans="1:4" x14ac:dyDescent="0.3">
      <c r="A337" t="s">
        <v>599</v>
      </c>
      <c r="B337" t="s">
        <v>1473</v>
      </c>
      <c r="C337" t="s">
        <v>1474</v>
      </c>
      <c r="D337">
        <v>0</v>
      </c>
    </row>
    <row r="338" spans="1:4" x14ac:dyDescent="0.3">
      <c r="A338" t="s">
        <v>599</v>
      </c>
      <c r="B338" t="s">
        <v>612</v>
      </c>
      <c r="C338" t="s">
        <v>613</v>
      </c>
      <c r="D338">
        <v>0</v>
      </c>
    </row>
    <row r="339" spans="1:4" x14ac:dyDescent="0.3">
      <c r="A339" t="s">
        <v>599</v>
      </c>
      <c r="B339" t="s">
        <v>1051</v>
      </c>
      <c r="C339" t="s">
        <v>1052</v>
      </c>
      <c r="D339">
        <v>0</v>
      </c>
    </row>
    <row r="340" spans="1:4" x14ac:dyDescent="0.3">
      <c r="A340" t="s">
        <v>599</v>
      </c>
      <c r="B340" t="s">
        <v>615</v>
      </c>
      <c r="C340" t="s">
        <v>619</v>
      </c>
      <c r="D340">
        <v>0</v>
      </c>
    </row>
    <row r="341" spans="1:4" x14ac:dyDescent="0.3">
      <c r="A341" t="s">
        <v>685</v>
      </c>
      <c r="B341" t="s">
        <v>685</v>
      </c>
      <c r="C341" t="s">
        <v>685</v>
      </c>
      <c r="D341">
        <v>0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46"/>
  <sheetViews>
    <sheetView topLeftCell="A860" workbookViewId="0">
      <selection activeCell="A875" sqref="A875:XFD875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7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69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ref="G68:G130" si="2">RIGHT(C68,"4")</f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si="2"/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ref="J70:J132" si="3">IF(G70=".csv",1,0)*I70</f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si="3"/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ref="G131:G193" si="4">RIGHT(C131,"4")</f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4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si="4"/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ref="J133:J195" si="5">IF(G133=".csv",1,0)*I133</f>
        <v>0</v>
      </c>
    </row>
    <row r="134" spans="1:10" x14ac:dyDescent="0.3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5"/>
        <v>0</v>
      </c>
    </row>
    <row r="135" spans="1:10" x14ac:dyDescent="0.3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si="5"/>
        <v>0</v>
      </c>
    </row>
    <row r="136" spans="1:10" x14ac:dyDescent="0.3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724</v>
      </c>
      <c r="C194" t="s">
        <v>725</v>
      </c>
      <c r="G194" t="str">
        <f t="shared" ref="G194:G253" si="6">RIGHT(C194,"4")</f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724</v>
      </c>
      <c r="C195" t="s">
        <v>726</v>
      </c>
      <c r="G195" t="str">
        <f t="shared" si="6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329</v>
      </c>
      <c r="C196" t="s">
        <v>330</v>
      </c>
      <c r="G196" t="str">
        <f t="shared" si="6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ref="J196:J255" si="7">IF(G196=".csv",1,0)*I196</f>
        <v>0</v>
      </c>
    </row>
    <row r="197" spans="1:10" x14ac:dyDescent="0.3">
      <c r="A197" t="s">
        <v>675</v>
      </c>
      <c r="B197" t="s">
        <v>329</v>
      </c>
      <c r="C197" t="s">
        <v>331</v>
      </c>
      <c r="G197" t="str">
        <f t="shared" si="6"/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7"/>
        <v>0</v>
      </c>
    </row>
    <row r="198" spans="1:10" x14ac:dyDescent="0.3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7"/>
        <v>0</v>
      </c>
    </row>
    <row r="199" spans="1:10" x14ac:dyDescent="0.3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si="7"/>
        <v>0</v>
      </c>
    </row>
    <row r="200" spans="1:10" x14ac:dyDescent="0.3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1120</v>
      </c>
      <c r="C254" t="s">
        <v>1122</v>
      </c>
      <c r="G254" t="str">
        <f t="shared" ref="G254:G316" si="8">RIGHT(C254,"4")</f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1289</v>
      </c>
      <c r="C255" t="s">
        <v>1290</v>
      </c>
      <c r="G255" t="str">
        <f t="shared" si="8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1289</v>
      </c>
      <c r="C256" t="s">
        <v>1291</v>
      </c>
      <c r="G256" t="str">
        <f t="shared" si="8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ref="J256:J318" si="9">IF(G256=".csv",1,0)*I256</f>
        <v>0</v>
      </c>
    </row>
    <row r="257" spans="1:10" x14ac:dyDescent="0.3">
      <c r="A257" t="s">
        <v>101</v>
      </c>
      <c r="B257" t="s">
        <v>1289</v>
      </c>
      <c r="C257" t="s">
        <v>1292</v>
      </c>
      <c r="G257" t="str">
        <f t="shared" si="8"/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9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9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si="9"/>
        <v>0</v>
      </c>
    </row>
    <row r="260" spans="1:10" x14ac:dyDescent="0.3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1138</v>
      </c>
      <c r="C317" t="s">
        <v>1141</v>
      </c>
      <c r="G317" t="str">
        <f t="shared" ref="G317:G376" si="10">RIGHT(C317,"4")</f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10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730</v>
      </c>
      <c r="G319" t="str">
        <f t="shared" si="10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ref="J319:J378" si="11">IF(G319=".csv",1,0)*I319</f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si="10"/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11"/>
        <v>0</v>
      </c>
    </row>
    <row r="321" spans="1:10" x14ac:dyDescent="0.3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11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si="11"/>
        <v>0</v>
      </c>
    </row>
    <row r="323" spans="1:10" x14ac:dyDescent="0.3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1445</v>
      </c>
      <c r="C350" t="s">
        <v>1583</v>
      </c>
      <c r="G350" t="str">
        <f t="shared" si="10"/>
        <v>.ini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1445</v>
      </c>
      <c r="C351" t="s">
        <v>1446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1445</v>
      </c>
      <c r="C352" t="s">
        <v>1447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1445</v>
      </c>
      <c r="C353" t="s">
        <v>1448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 and Min Hourly Elec Imp and Exp.xlsx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1149</v>
      </c>
      <c r="C354" t="s">
        <v>1150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1149</v>
      </c>
      <c r="C355" t="s">
        <v>1151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Maximum Capacity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1152</v>
      </c>
      <c r="C356" t="s">
        <v>1153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1152</v>
      </c>
      <c r="C357" t="s">
        <v>1154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Min Life for Pwr Plnt Rtmnts.xlsx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144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143</v>
      </c>
      <c r="C359" t="s">
        <v>145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Max Potential Capacity by Source.xlsx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147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146</v>
      </c>
      <c r="C361" t="s">
        <v>148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Minimum Power Plant Capacity.xlsx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149</v>
      </c>
      <c r="C363" t="s">
        <v>151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Pol Mandated Cap Const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1449</v>
      </c>
      <c r="C364" t="s">
        <v>1450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1449</v>
      </c>
      <c r="C365" t="s">
        <v>1451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Pol Mandated Cap Retro Sched.xlsx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1356</v>
      </c>
      <c r="C366" t="s">
        <v>1507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1356</v>
      </c>
      <c r="C367" t="s">
        <v>1508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1356</v>
      </c>
      <c r="C368" t="s">
        <v>1357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RPS Alternative Compliance Payment.xlsx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1311</v>
      </c>
      <c r="C369" t="s">
        <v>1385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1311</v>
      </c>
      <c r="C370" t="s">
        <v>1312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1311</v>
      </c>
      <c r="C371" t="s">
        <v>1313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1311</v>
      </c>
      <c r="C372" t="s">
        <v>1314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Regional Availability Factor.xlsx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153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152</v>
      </c>
      <c r="C374" t="s">
        <v>154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Reserve Margin.xlsx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1062</v>
      </c>
      <c r="C375" t="s">
        <v>1063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1062</v>
      </c>
      <c r="C376" t="s">
        <v>1064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RPfFESCC Repayment Period for Financed Elec Sector Capital Costs.xlsx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156</v>
      </c>
      <c r="G377" t="str">
        <f t="shared" ref="G377:G439" si="12">RIGHT(C377,"4")</f>
        <v>xlsx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157</v>
      </c>
      <c r="G378" t="str">
        <f t="shared" si="12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155</v>
      </c>
      <c r="C379" t="s">
        <v>158</v>
      </c>
      <c r="G379" t="str">
        <f t="shared" si="12"/>
        <v>.csv</v>
      </c>
      <c r="H379" s="5" t="str">
        <f>IFERROR(IF(B379="FoPITY",INDEX(Customizations!$C$2:$C$19,MATCH(Sheet1!C379,Customizations!$B$2:$B$19,0),1),INDEX(About!C:C,MATCH(Sheet1!B379,About!B:B,0),1)),"")</f>
        <v>RPS Qualifying Source Definitions.xlsx</v>
      </c>
      <c r="I379" s="5">
        <f>IFERROR(INDEX(About!$D:$D,MATCH(Sheet1!H379,About!$C:$C,0),1),0)</f>
        <v>0</v>
      </c>
      <c r="J379" s="6">
        <f t="shared" ref="J379:J440" si="13">IF(G379=".csv",1,0)*I379</f>
        <v>0</v>
      </c>
    </row>
    <row r="380" spans="1:10" x14ac:dyDescent="0.3">
      <c r="A380" t="s">
        <v>101</v>
      </c>
      <c r="B380" t="s">
        <v>1315</v>
      </c>
      <c r="C380" t="s">
        <v>1316</v>
      </c>
      <c r="G380" t="str">
        <f t="shared" si="12"/>
        <v>xlsx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3"/>
        <v>0</v>
      </c>
    </row>
    <row r="381" spans="1:10" x14ac:dyDescent="0.3">
      <c r="A381" t="s">
        <v>101</v>
      </c>
      <c r="B381" t="s">
        <v>1315</v>
      </c>
      <c r="C381" t="s">
        <v>1317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3"/>
        <v>0</v>
      </c>
    </row>
    <row r="382" spans="1:10" x14ac:dyDescent="0.3">
      <c r="A382" t="s">
        <v>101</v>
      </c>
      <c r="B382" t="s">
        <v>1315</v>
      </c>
      <c r="C382" t="s">
        <v>1318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si="13"/>
        <v>0</v>
      </c>
    </row>
    <row r="383" spans="1:10" x14ac:dyDescent="0.3">
      <c r="A383" t="s">
        <v>101</v>
      </c>
      <c r="B383" t="s">
        <v>1315</v>
      </c>
      <c r="C383" t="s">
        <v>1319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1155</v>
      </c>
      <c r="C384" t="s">
        <v>1584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1155</v>
      </c>
      <c r="C385" t="s">
        <v>1156</v>
      </c>
      <c r="G385" t="str">
        <f t="shared" si="12"/>
        <v>xlsx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1155</v>
      </c>
      <c r="C386" t="s">
        <v>1157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1155</v>
      </c>
      <c r="C387" t="s">
        <v>1158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1155</v>
      </c>
      <c r="C388" t="s">
        <v>1159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1155</v>
      </c>
      <c r="C389" t="s">
        <v>1160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1155</v>
      </c>
      <c r="C390" t="s">
        <v>1161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1155</v>
      </c>
      <c r="C391" t="s">
        <v>1162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1155</v>
      </c>
      <c r="C392" t="s">
        <v>1163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1155</v>
      </c>
      <c r="C393" t="s">
        <v>1164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1155</v>
      </c>
      <c r="C394" t="s">
        <v>1165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1155</v>
      </c>
      <c r="C395" t="s">
        <v>1166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1155</v>
      </c>
      <c r="C396" t="s">
        <v>1167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1155</v>
      </c>
      <c r="C397" t="s">
        <v>1168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1155</v>
      </c>
      <c r="C398" t="s">
        <v>1169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1155</v>
      </c>
      <c r="C399" t="s">
        <v>1170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1155</v>
      </c>
      <c r="C400" t="s">
        <v>1171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1155</v>
      </c>
      <c r="C401" t="s">
        <v>1172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1155</v>
      </c>
      <c r="C402" t="s">
        <v>1173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1155</v>
      </c>
      <c r="C403" t="s">
        <v>1174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1155</v>
      </c>
      <c r="C404" t="s">
        <v>1175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1155</v>
      </c>
      <c r="C405" t="s">
        <v>1176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1155</v>
      </c>
      <c r="C406" t="s">
        <v>1177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1155</v>
      </c>
      <c r="C407" t="s">
        <v>1178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Seasonal Hourly Equipment Load Factors by End Use.xlsx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1452</v>
      </c>
      <c r="C408" t="s">
        <v>1320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Shr of Costs that Must be Covered to be Deemed Profitable.xlsx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1452</v>
      </c>
      <c r="C409" t="s">
        <v>1321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Shr of Costs that Must be Covered to be Deemed Profitable.xlsx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732</v>
      </c>
      <c r="C410" t="s">
        <v>733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732</v>
      </c>
      <c r="C411" t="s">
        <v>734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732</v>
      </c>
      <c r="C412" t="s">
        <v>735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732</v>
      </c>
      <c r="C413" t="s">
        <v>736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Share of Electricity Sector Capital and OM Costs by ISIC Code.xlsx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1322</v>
      </c>
      <c r="C414" t="s">
        <v>1323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Shr of Fwd Costs that Must be Covered to be Prevent Retirement.xlsx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1322</v>
      </c>
      <c r="C415" t="s">
        <v>1324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Shr of Fwd Costs that Must be Covered to be Prevent Retirement.xlsx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1179</v>
      </c>
      <c r="C416" t="s">
        <v>1180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Capital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1179</v>
      </c>
      <c r="C417" t="s">
        <v>1181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Capital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1182</v>
      </c>
      <c r="C418" t="s">
        <v>1183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Share of Transmission and Distribution OM Costs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1182</v>
      </c>
      <c r="C419" t="s">
        <v>1184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Share of Transmission and Distribution OM Costs by ISIC Code.xlsx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1020</v>
      </c>
      <c r="C420" t="s">
        <v>1021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STfESCE Smoothing Time for Electricity Sector Capital Expenditures.xlsx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1020</v>
      </c>
      <c r="C421" t="s">
        <v>1022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STfESCE Smoothing Time for Electricity Sector Capital Expenditures.xlsx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1185</v>
      </c>
      <c r="C422" t="s">
        <v>1186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1185</v>
      </c>
      <c r="C423" t="s">
        <v>1187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1188</v>
      </c>
      <c r="C424" t="s">
        <v>1189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1188</v>
      </c>
      <c r="C425" t="s">
        <v>1190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1188</v>
      </c>
      <c r="C426" t="s">
        <v>1191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1188</v>
      </c>
      <c r="C427" t="s">
        <v>1192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1188</v>
      </c>
      <c r="C428" t="s">
        <v>1193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1188</v>
      </c>
      <c r="C429" t="s">
        <v>1194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1188</v>
      </c>
      <c r="C430" t="s">
        <v>1195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1188</v>
      </c>
      <c r="C431" t="s">
        <v>1196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1188</v>
      </c>
      <c r="C432" t="s">
        <v>1197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1188</v>
      </c>
      <c r="C433" t="s">
        <v>1198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1188</v>
      </c>
      <c r="C434" t="s">
        <v>1199</v>
      </c>
      <c r="G434" t="str">
        <f t="shared" ref="G434" si="14">RIGHT(C434,"4")</f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1188</v>
      </c>
      <c r="C435" t="s">
        <v>1325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1188</v>
      </c>
      <c r="C436" t="s">
        <v>1326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1188</v>
      </c>
      <c r="C437" t="s">
        <v>1200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1188</v>
      </c>
      <c r="C438" t="s">
        <v>1201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1188</v>
      </c>
      <c r="C439" t="s">
        <v>1202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1188</v>
      </c>
      <c r="C440" t="s">
        <v>1203</v>
      </c>
      <c r="G440" t="str">
        <f t="shared" ref="G440:G499" si="15">RIGHT(C440,"4")</f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1188</v>
      </c>
      <c r="C441" t="s">
        <v>1204</v>
      </c>
      <c r="G441" t="str">
        <f t="shared" si="15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ref="J441:J499" si="16">IF(G441=".csv",1,0)*I441</f>
        <v>0</v>
      </c>
    </row>
    <row r="442" spans="1:10" x14ac:dyDescent="0.3">
      <c r="A442" t="s">
        <v>101</v>
      </c>
      <c r="B442" t="s">
        <v>1188</v>
      </c>
      <c r="C442" t="s">
        <v>1205</v>
      </c>
      <c r="G442" t="str">
        <f t="shared" si="15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6"/>
        <v>0</v>
      </c>
    </row>
    <row r="443" spans="1:10" x14ac:dyDescent="0.3">
      <c r="A443" t="s">
        <v>101</v>
      </c>
      <c r="B443" t="s">
        <v>1188</v>
      </c>
      <c r="C443" t="s">
        <v>1206</v>
      </c>
      <c r="G443" t="str">
        <f t="shared" ref="G443" si="17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6"/>
        <v>0</v>
      </c>
    </row>
    <row r="444" spans="1:10" x14ac:dyDescent="0.3">
      <c r="A444" t="s">
        <v>101</v>
      </c>
      <c r="B444" t="s">
        <v>1188</v>
      </c>
      <c r="C444" t="s">
        <v>1207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6"/>
        <v>0</v>
      </c>
    </row>
    <row r="445" spans="1:10" x14ac:dyDescent="0.3">
      <c r="A445" t="s">
        <v>101</v>
      </c>
      <c r="B445" t="s">
        <v>1188</v>
      </c>
      <c r="C445" t="s">
        <v>1386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1188</v>
      </c>
      <c r="C446" t="s">
        <v>1208</v>
      </c>
      <c r="G446" t="str">
        <f t="shared" si="15"/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1188</v>
      </c>
      <c r="C447" t="s">
        <v>1327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1188</v>
      </c>
      <c r="C448" t="s">
        <v>1209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1188</v>
      </c>
      <c r="C449" t="s">
        <v>1210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1188</v>
      </c>
      <c r="C450" t="s">
        <v>1211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1387</v>
      </c>
      <c r="C451" t="s">
        <v>1388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1387</v>
      </c>
      <c r="C452" t="s">
        <v>1389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1387</v>
      </c>
      <c r="C453" t="s">
        <v>1390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1387</v>
      </c>
      <c r="C454" t="s">
        <v>1391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1387</v>
      </c>
      <c r="C455" t="s">
        <v>1392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Transmission and Distribution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1509</v>
      </c>
      <c r="C456" t="s">
        <v>1510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Time Adjusted Capacity Factor Multiplier for Plants Built This Year.xlsx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1509</v>
      </c>
      <c r="C457" t="s">
        <v>1511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Time Adjusted Capacity Factor Multiplier for Plants Built This Year.xlsx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1393</v>
      </c>
      <c r="C458" t="s">
        <v>1394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Trans Const Cost per Unit New Electricity Capacity.xlsx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1393</v>
      </c>
      <c r="C459" t="s">
        <v>1395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Trans Const Cost per Unit New Electricity Capacity.xlsx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101</v>
      </c>
      <c r="B461" t="s">
        <v>159</v>
      </c>
      <c r="C461" t="s">
        <v>161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Water Use by Power Plant Type.xlsx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101</v>
      </c>
      <c r="B462" t="s">
        <v>159</v>
      </c>
      <c r="C462" t="s">
        <v>162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Water Use by Power Plant Type.xlsx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165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164</v>
      </c>
      <c r="C464" t="s">
        <v>166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CO2 Sequestered Globally.xlsx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164</v>
      </c>
      <c r="C465" t="s">
        <v>1396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CO2 Sequestered Globally.xlsx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168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167</v>
      </c>
      <c r="C467" t="s">
        <v>169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Battery Storage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167</v>
      </c>
      <c r="C468" t="s">
        <v>737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Battery Storage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171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170</v>
      </c>
      <c r="C470" t="s">
        <v>172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Global Solar and Wind Cap.xlsx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170</v>
      </c>
      <c r="C471" t="s">
        <v>1212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Global Solar and Wind Cap.xlsx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738</v>
      </c>
      <c r="C472" t="s">
        <v>739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Frac of Tech Outside Modeled Region Affecting Endo Learning.xlsx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738</v>
      </c>
      <c r="C473" t="s">
        <v>740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Frac of Tech Outside Modeled Region Affecting Endo Learning.xlsx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173</v>
      </c>
      <c r="C474" t="s">
        <v>174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Battery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173</v>
      </c>
      <c r="C475" t="s">
        <v>175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Battery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176</v>
      </c>
      <c r="C476" t="s">
        <v>177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Cap Cost per Doubling of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176</v>
      </c>
      <c r="C477" t="s">
        <v>178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Cap Cost per Doubling of Cap.xlsx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163</v>
      </c>
      <c r="B478" t="s">
        <v>179</v>
      </c>
      <c r="C478" t="s">
        <v>180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Perc Decline in CCS Eqpt Cost per Doubling of Capacity.xlsx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163</v>
      </c>
      <c r="B479" t="s">
        <v>179</v>
      </c>
      <c r="C479" t="s">
        <v>181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Perc Decline in CCS Eqpt Cost per Doubling of Capacity.xlsx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778</v>
      </c>
      <c r="C480" t="s">
        <v>779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Carbon Tax Rate.xlsx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778</v>
      </c>
      <c r="C481" t="s">
        <v>780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Carbon Tax Rate.xlsx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1453</v>
      </c>
      <c r="C482" t="s">
        <v>1454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Covered by Carbon Tax Border Adjustment.xlsx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1453</v>
      </c>
      <c r="C483" t="s">
        <v>1455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Covered by Carbon Tax Border Adjustment.xlsx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1456</v>
      </c>
      <c r="C484" t="s">
        <v>1457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Industry Category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1456</v>
      </c>
      <c r="C485" t="s">
        <v>1458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Industry Category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1459</v>
      </c>
      <c r="C486" t="s">
        <v>1460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Fraction of Vehicle Types Subject to Carbon Tax.xlsx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1459</v>
      </c>
      <c r="C487" t="s">
        <v>1461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Fraction of Vehicle Types Subject to Carbon Tax.xlsx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781</v>
      </c>
      <c r="C488" t="s">
        <v>782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781</v>
      </c>
      <c r="C489" t="s">
        <v>789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781</v>
      </c>
      <c r="C490" t="s">
        <v>790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791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792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793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794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795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796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797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798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799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800</v>
      </c>
      <c r="G500" t="str">
        <f t="shared" ref="G500:G559" si="18">RIGHT(C500,"4")</f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ref="J500:J559" si="19">IF(G500=".csv",1,0)*I500</f>
        <v>0</v>
      </c>
    </row>
    <row r="501" spans="1:10" x14ac:dyDescent="0.3">
      <c r="A501" t="s">
        <v>182</v>
      </c>
      <c r="B501" t="s">
        <v>781</v>
      </c>
      <c r="C501" t="s">
        <v>801</v>
      </c>
      <c r="G501" t="str">
        <f t="shared" si="18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9"/>
        <v>0</v>
      </c>
    </row>
    <row r="502" spans="1:10" x14ac:dyDescent="0.3">
      <c r="A502" t="s">
        <v>182</v>
      </c>
      <c r="B502" t="s">
        <v>781</v>
      </c>
      <c r="C502" t="s">
        <v>802</v>
      </c>
      <c r="G502" t="str">
        <f t="shared" si="18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9"/>
        <v>0</v>
      </c>
    </row>
    <row r="503" spans="1:10" x14ac:dyDescent="0.3">
      <c r="A503" t="s">
        <v>182</v>
      </c>
      <c r="B503" t="s">
        <v>781</v>
      </c>
      <c r="C503" t="s">
        <v>803</v>
      </c>
      <c r="G503" t="str">
        <f t="shared" si="18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9"/>
        <v>0</v>
      </c>
    </row>
    <row r="504" spans="1:10" x14ac:dyDescent="0.3">
      <c r="A504" t="s">
        <v>182</v>
      </c>
      <c r="B504" t="s">
        <v>781</v>
      </c>
      <c r="C504" t="s">
        <v>804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805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806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807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808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809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810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811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812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813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781</v>
      </c>
      <c r="C514" t="s">
        <v>814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781</v>
      </c>
      <c r="C515" t="s">
        <v>815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781</v>
      </c>
      <c r="C516" t="s">
        <v>816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781</v>
      </c>
      <c r="C517" t="s">
        <v>817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781</v>
      </c>
      <c r="C518" t="s">
        <v>818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781</v>
      </c>
      <c r="C519" t="s">
        <v>819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781</v>
      </c>
      <c r="C520" t="s">
        <v>820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781</v>
      </c>
      <c r="C521" t="s">
        <v>821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781</v>
      </c>
      <c r="C522" t="s">
        <v>822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781</v>
      </c>
      <c r="C523" t="s">
        <v>823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781</v>
      </c>
      <c r="C524" t="s">
        <v>824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781</v>
      </c>
      <c r="C525" t="s">
        <v>825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781</v>
      </c>
      <c r="C526" t="s">
        <v>826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781</v>
      </c>
      <c r="C527" t="s">
        <v>827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781</v>
      </c>
      <c r="C528" t="s">
        <v>828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781</v>
      </c>
      <c r="C529" t="s">
        <v>829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781</v>
      </c>
      <c r="C530" t="s">
        <v>830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184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185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183</v>
      </c>
      <c r="C533" t="s">
        <v>186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Production Imports and Exports.xlsx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183</v>
      </c>
      <c r="C534" t="s">
        <v>187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Production Imports and Exports.xlsx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1512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1513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1514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1515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1516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1517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1518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190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188</v>
      </c>
      <c r="C544" t="s">
        <v>1213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188</v>
      </c>
      <c r="C545" t="s">
        <v>1462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191</v>
      </c>
      <c r="C546" t="s">
        <v>192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Export Tax Rate by Fuel.xlsx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191</v>
      </c>
      <c r="C547" t="s">
        <v>193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Export Tax Rate by Fuel.xlsx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1352</v>
      </c>
      <c r="C548" t="s">
        <v>1353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Covered by Carbon Tax Border Adjustment.xlsx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1352</v>
      </c>
      <c r="C549" t="s">
        <v>1354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Covered by Carbon Tax Border Adjustment.xlsx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1111</v>
      </c>
      <c r="C550" t="s">
        <v>1112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 of Industry Category Subject to Carbon Tax.xlsx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1111</v>
      </c>
      <c r="C551" t="s">
        <v>1113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 of Industry Category Subject to Carbon Tax.xlsx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899</v>
      </c>
      <c r="C552" t="s">
        <v>900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Fractions of Products That are Fuels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899</v>
      </c>
      <c r="C553" t="s">
        <v>901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Fractions of Products That are Fuels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1463</v>
      </c>
      <c r="C554" t="s">
        <v>1464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Fraction of Vehicle Types Subject to Carbon Tax.xlsx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1463</v>
      </c>
      <c r="C555" t="s">
        <v>1355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Fraction of Vehicle Types Subject to Carbon Tax.xlsx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988</v>
      </c>
      <c r="C556" t="s">
        <v>989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Prod Imp Exp Balancing Priorities.xlsx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988</v>
      </c>
      <c r="C557" t="s">
        <v>990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Prod Imp Exp Balancing Priorities.xlsx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1214</v>
      </c>
      <c r="C558" t="s">
        <v>1215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Fuel Surcharge Perc by Power Plant Type.xlsx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1214</v>
      </c>
      <c r="C559" t="s">
        <v>1216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Fuel Surcharge Perc by Power Plant Type.xlsx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194</v>
      </c>
      <c r="C560" t="s">
        <v>195</v>
      </c>
      <c r="G560" t="str">
        <f t="shared" ref="G560:G618" si="20">RIGHT(C560,"4")</f>
        <v>.csv</v>
      </c>
      <c r="H560" s="5" t="str">
        <f>IFERROR(IF(B560="FoPITY",INDEX(Customizations!$C$2:$C$19,MATCH(Sheet1!C560,Customizations!$B$2:$B$19,0),1),INDEX(About!C:C,MATCH(Sheet1!B560,About!B:B,0),1)),"")</f>
        <v>GWP by Pollutant by Timeframe.xlsx</v>
      </c>
      <c r="I560" s="5">
        <f>IFERROR(INDEX(About!$D:$D,MATCH(Sheet1!H560,About!$C:$C,0),1),0)</f>
        <v>0</v>
      </c>
      <c r="J560" s="6">
        <f t="shared" ref="J560:J618" si="21">IF(G560=".csv",1,0)*I560</f>
        <v>0</v>
      </c>
    </row>
    <row r="561" spans="1:10" x14ac:dyDescent="0.3">
      <c r="A561" t="s">
        <v>182</v>
      </c>
      <c r="B561" t="s">
        <v>194</v>
      </c>
      <c r="C561" t="s">
        <v>196</v>
      </c>
      <c r="G561" t="str">
        <f t="shared" si="20"/>
        <v>xlsx</v>
      </c>
      <c r="H561" s="5" t="str">
        <f>IFERROR(IF(B561="FoPITY",INDEX(Customizations!$C$2:$C$19,MATCH(Sheet1!C561,Customizations!$B$2:$B$19,0),1),INDEX(About!C:C,MATCH(Sheet1!B561,About!B:B,0),1)),"")</f>
        <v>GWP by Pollutant by Timeframe.xlsx</v>
      </c>
      <c r="I561" s="5">
        <f>IFERROR(INDEX(About!$D:$D,MATCH(Sheet1!H561,About!$C:$C,0),1),0)</f>
        <v>0</v>
      </c>
      <c r="J561" s="6">
        <f t="shared" si="21"/>
        <v>0</v>
      </c>
    </row>
    <row r="562" spans="1:10" x14ac:dyDescent="0.3">
      <c r="A562" t="s">
        <v>182</v>
      </c>
      <c r="B562" t="s">
        <v>197</v>
      </c>
      <c r="C562" t="s">
        <v>198</v>
      </c>
      <c r="G562" t="str">
        <f t="shared" si="20"/>
        <v>.csv</v>
      </c>
      <c r="H562" s="5" t="str">
        <f>IFERROR(IF(B562="FoPITY",INDEX(Customizations!$C$2:$C$19,MATCH(Sheet1!C562,Customizations!$B$2:$B$19,0),1),INDEX(About!C:C,MATCH(Sheet1!B562,About!B:B,0),1)),"")</f>
        <v>Intnl Market Fuel Price by Fuel Type.xlsx</v>
      </c>
      <c r="I562" s="5">
        <f>IFERROR(INDEX(About!$D:$D,MATCH(Sheet1!H562,About!$C:$C,0),1),0)</f>
        <v>0</v>
      </c>
      <c r="J562" s="6">
        <f t="shared" si="21"/>
        <v>0</v>
      </c>
    </row>
    <row r="563" spans="1:10" x14ac:dyDescent="0.3">
      <c r="A563" t="s">
        <v>182</v>
      </c>
      <c r="B563" t="s">
        <v>197</v>
      </c>
      <c r="C563" t="s">
        <v>199</v>
      </c>
      <c r="G563" t="str">
        <f t="shared" si="20"/>
        <v>xlsx</v>
      </c>
      <c r="H563" s="5" t="str">
        <f>IFERROR(IF(B563="FoPITY",INDEX(Customizations!$C$2:$C$19,MATCH(Sheet1!C563,Customizations!$B$2:$B$19,0),1),INDEX(About!C:C,MATCH(Sheet1!B563,About!B:B,0),1)),"")</f>
        <v>Intnl Market Fuel Price by Fuel Type.xlsx</v>
      </c>
      <c r="I563" s="5">
        <f>IFERROR(INDEX(About!$D:$D,MATCH(Sheet1!H563,About!$C:$C,0),1),0)</f>
        <v>0</v>
      </c>
      <c r="J563" s="6">
        <f t="shared" si="21"/>
        <v>0</v>
      </c>
    </row>
    <row r="564" spans="1:10" x14ac:dyDescent="0.3">
      <c r="A564" t="s">
        <v>182</v>
      </c>
      <c r="B564" t="s">
        <v>200</v>
      </c>
      <c r="C564" t="s">
        <v>201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Exports.xlsx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200</v>
      </c>
      <c r="C565" t="s">
        <v>202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Exports.xlsx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203</v>
      </c>
      <c r="C566" t="s">
        <v>204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Imports.xlsx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203</v>
      </c>
      <c r="C567" t="s">
        <v>205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Imports.xlsx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206</v>
      </c>
      <c r="C568" t="s">
        <v>207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Max Perc Inc in Fuel Production.xlsx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206</v>
      </c>
      <c r="C569" t="s">
        <v>208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Max Perc Inc in Fuel Production.xlsx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209</v>
      </c>
      <c r="C570" t="s">
        <v>210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209</v>
      </c>
      <c r="C571" t="s">
        <v>211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209</v>
      </c>
      <c r="C572" t="s">
        <v>902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209</v>
      </c>
      <c r="C573" t="s">
        <v>212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209</v>
      </c>
      <c r="C574" t="s">
        <v>213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209</v>
      </c>
      <c r="C575" t="s">
        <v>214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209</v>
      </c>
      <c r="C576" t="s">
        <v>215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209</v>
      </c>
      <c r="C577" t="s">
        <v>216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209</v>
      </c>
      <c r="C578" t="s">
        <v>217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209</v>
      </c>
      <c r="C579" t="s">
        <v>218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Pollutant Emissions Intensities.xlsx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219</v>
      </c>
      <c r="C580" t="s">
        <v>220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219</v>
      </c>
      <c r="C581" t="s">
        <v>221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219</v>
      </c>
      <c r="C582" t="s">
        <v>903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219</v>
      </c>
      <c r="C583" t="s">
        <v>222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219</v>
      </c>
      <c r="C584" t="s">
        <v>223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219</v>
      </c>
      <c r="C585" t="s">
        <v>224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219</v>
      </c>
      <c r="C586" t="s">
        <v>225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219</v>
      </c>
      <c r="C587" t="s">
        <v>226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219</v>
      </c>
      <c r="C588" t="s">
        <v>227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Intensity Improvement Rate.xlsx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219</v>
      </c>
      <c r="C589" t="s">
        <v>228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Pollutant Emissions Intensity Improvement Rate.xlsx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229</v>
      </c>
      <c r="C590" t="s">
        <v>230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Perc of Fuel Demand Changes that Affect Exports.xlsx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229</v>
      </c>
      <c r="C591" t="s">
        <v>231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Perc of Fuel Demand Changes that Affect Exports.xlsx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182</v>
      </c>
      <c r="B592" t="s">
        <v>741</v>
      </c>
      <c r="C592" t="s">
        <v>742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Quantization Size for Energy.xlsx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182</v>
      </c>
      <c r="B593" t="s">
        <v>741</v>
      </c>
      <c r="C593" t="s">
        <v>743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Quantization Size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645</v>
      </c>
      <c r="B594" t="s">
        <v>646</v>
      </c>
      <c r="C594" t="s">
        <v>647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645</v>
      </c>
      <c r="B595" t="s">
        <v>646</v>
      </c>
      <c r="C595" t="s">
        <v>648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645</v>
      </c>
      <c r="B596" t="s">
        <v>646</v>
      </c>
      <c r="C596" t="s">
        <v>649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Direct Air Capture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645</v>
      </c>
      <c r="B597" t="s">
        <v>646</v>
      </c>
      <c r="C597" t="s">
        <v>650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Direct Air Capture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645</v>
      </c>
      <c r="B598" t="s">
        <v>1465</v>
      </c>
      <c r="C598" t="s">
        <v>1466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645</v>
      </c>
      <c r="B599" t="s">
        <v>1465</v>
      </c>
      <c r="C599" t="s">
        <v>1467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645</v>
      </c>
      <c r="B600" t="s">
        <v>1465</v>
      </c>
      <c r="C600" t="s">
        <v>1468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Enhanced Rock Weathering Data.xlsx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645</v>
      </c>
      <c r="B601" t="s">
        <v>1465</v>
      </c>
      <c r="C601" t="s">
        <v>1469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Enhanced Rock Weathering Data.xlsx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232</v>
      </c>
      <c r="B602" t="s">
        <v>233</v>
      </c>
      <c r="C602" t="s">
        <v>234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Hydrogen Production Shr by Pathway.xlsx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232</v>
      </c>
      <c r="B603" t="s">
        <v>233</v>
      </c>
      <c r="C603" t="s">
        <v>235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Hydrogen Production Shr by Pathway.xlsx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232</v>
      </c>
      <c r="B604" t="s">
        <v>1519</v>
      </c>
      <c r="C604" t="s">
        <v>1520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BAU Recipient Hydrogen Pathway Fractions.xlsx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232</v>
      </c>
      <c r="B605" t="s">
        <v>1519</v>
      </c>
      <c r="C605" t="s">
        <v>1521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Recipient Hydrogen Pathway Fractions.xlsx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232</v>
      </c>
      <c r="B606" t="s">
        <v>236</v>
      </c>
      <c r="C606" t="s">
        <v>237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Electrolyzer Hydrogen Production per Unit Capacity.xlsx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232</v>
      </c>
      <c r="B607" t="s">
        <v>236</v>
      </c>
      <c r="C607" t="s">
        <v>238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Electrolyzer Hydrogen Production per Unit Capacity.xlsx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232</v>
      </c>
      <c r="B608" t="s">
        <v>239</v>
      </c>
      <c r="C608" t="s">
        <v>240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Hydgn Production Eff by Pathway.xlsx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232</v>
      </c>
      <c r="B609" t="s">
        <v>239</v>
      </c>
      <c r="C609" t="s">
        <v>241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Hydgn Production Eff by Pathway.xlsx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232</v>
      </c>
      <c r="B610" t="s">
        <v>242</v>
      </c>
      <c r="C610" t="s">
        <v>243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232</v>
      </c>
      <c r="B611" t="s">
        <v>242</v>
      </c>
      <c r="C611" t="s">
        <v>244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Hydrogen Production Eqpt Costs.xlsx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232</v>
      </c>
      <c r="B612" t="s">
        <v>242</v>
      </c>
      <c r="C612" t="s">
        <v>245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Hydrogen Production Eqpt Costs.xlsx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232</v>
      </c>
      <c r="B613" t="s">
        <v>246</v>
      </c>
      <c r="C613" t="s">
        <v>247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Hydgn Prod Perc Excess Cap by Pathway.xlsx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232</v>
      </c>
      <c r="B614" t="s">
        <v>246</v>
      </c>
      <c r="C614" t="s">
        <v>248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Hydgn Prod Perc Excess Cap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232</v>
      </c>
      <c r="B615" t="s">
        <v>249</v>
      </c>
      <c r="C615" t="s">
        <v>250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Hydrogen Pathway to Fuel Mappings.xlsx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232</v>
      </c>
      <c r="B616" t="s">
        <v>249</v>
      </c>
      <c r="C616" t="s">
        <v>251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Hydrogen Pathway to Fuel Mappings.xlsx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232</v>
      </c>
      <c r="B617" t="s">
        <v>252</v>
      </c>
      <c r="C617" t="s">
        <v>253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Recipient Hydrogen Pathway Fractions.xlsx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232</v>
      </c>
      <c r="B618" t="s">
        <v>252</v>
      </c>
      <c r="C618" t="s">
        <v>254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Recipient Hydrogen Pathway Fractions.xlsx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232</v>
      </c>
      <c r="B619" t="s">
        <v>866</v>
      </c>
      <c r="C619" t="s">
        <v>867</v>
      </c>
      <c r="G619" t="str">
        <f t="shared" ref="G619:G658" si="22">RIGHT(C619,"4")</f>
        <v>xlsx</v>
      </c>
      <c r="H619" s="5" t="str">
        <f>IFERROR(IF(B619="FoPITY",INDEX(Customizations!$C$2:$C$19,MATCH(Sheet1!C619,Customizations!$B$2:$B$19,0),1),INDEX(About!C:C,MATCH(Sheet1!B619,About!B:B,0),1)),"")</f>
        <v>Share of Hydrogen Production Capital Costs by Recipient ISIC Code.xlsx</v>
      </c>
      <c r="I619" s="5">
        <f>IFERROR(INDEX(About!$D:$D,MATCH(Sheet1!H619,About!$C:$C,0),1),0)</f>
        <v>0</v>
      </c>
      <c r="J619" s="6">
        <f t="shared" ref="J619:J658" si="23">IF(G619=".csv",1,0)*I619</f>
        <v>0</v>
      </c>
    </row>
    <row r="620" spans="1:10" x14ac:dyDescent="0.3">
      <c r="A620" t="s">
        <v>232</v>
      </c>
      <c r="B620" t="s">
        <v>866</v>
      </c>
      <c r="C620" t="s">
        <v>868</v>
      </c>
      <c r="G620" t="str">
        <f t="shared" si="22"/>
        <v>.csv</v>
      </c>
      <c r="H620" s="5" t="str">
        <f>IFERROR(IF(B620="FoPITY",INDEX(Customizations!$C$2:$C$19,MATCH(Sheet1!C620,Customizations!$B$2:$B$19,0),1),INDEX(About!C:C,MATCH(Sheet1!B620,About!B:B,0),1)),"")</f>
        <v>Share of Hydrogen Production Capital Costs by Recipient ISIC Code.xlsx</v>
      </c>
      <c r="I620" s="5">
        <f>IFERROR(INDEX(About!$D:$D,MATCH(Sheet1!H620,About!$C:$C,0),1),0)</f>
        <v>0</v>
      </c>
      <c r="J620" s="6">
        <f t="shared" si="23"/>
        <v>0</v>
      </c>
    </row>
    <row r="621" spans="1:10" x14ac:dyDescent="0.3">
      <c r="A621" t="s">
        <v>255</v>
      </c>
      <c r="B621" t="s">
        <v>256</v>
      </c>
      <c r="C621" t="s">
        <v>257</v>
      </c>
      <c r="G621" t="str">
        <f t="shared" si="22"/>
        <v>xlsx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0</v>
      </c>
      <c r="J621" s="6">
        <f t="shared" si="23"/>
        <v>0</v>
      </c>
    </row>
    <row r="622" spans="1:10" x14ac:dyDescent="0.3">
      <c r="A622" t="s">
        <v>255</v>
      </c>
      <c r="B622" t="s">
        <v>256</v>
      </c>
      <c r="C622" t="s">
        <v>258</v>
      </c>
      <c r="G622" t="str">
        <f t="shared" si="22"/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0</v>
      </c>
      <c r="J622" s="6">
        <f t="shared" si="23"/>
        <v>0</v>
      </c>
    </row>
    <row r="623" spans="1:10" x14ac:dyDescent="0.3">
      <c r="A623" t="s">
        <v>255</v>
      </c>
      <c r="B623" t="s">
        <v>256</v>
      </c>
      <c r="C623" t="s">
        <v>259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0</v>
      </c>
      <c r="J623" s="6">
        <f t="shared" si="23"/>
        <v>0</v>
      </c>
    </row>
    <row r="624" spans="1:10" x14ac:dyDescent="0.3">
      <c r="A624" t="s">
        <v>255</v>
      </c>
      <c r="B624" t="s">
        <v>256</v>
      </c>
      <c r="C624" t="s">
        <v>260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0</v>
      </c>
      <c r="J624" s="6">
        <f t="shared" si="23"/>
        <v>0</v>
      </c>
    </row>
    <row r="625" spans="1:10" x14ac:dyDescent="0.3">
      <c r="A625" t="s">
        <v>255</v>
      </c>
      <c r="B625" t="s">
        <v>256</v>
      </c>
      <c r="C625" t="s">
        <v>261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0</v>
      </c>
      <c r="J625" s="6">
        <f t="shared" si="23"/>
        <v>0</v>
      </c>
    </row>
    <row r="626" spans="1:10" x14ac:dyDescent="0.3">
      <c r="A626" t="s">
        <v>255</v>
      </c>
      <c r="B626" t="s">
        <v>256</v>
      </c>
      <c r="C626" t="s">
        <v>262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0</v>
      </c>
      <c r="J626" s="6">
        <f t="shared" si="23"/>
        <v>0</v>
      </c>
    </row>
    <row r="627" spans="1:10" x14ac:dyDescent="0.3">
      <c r="A627" t="s">
        <v>255</v>
      </c>
      <c r="B627" t="s">
        <v>256</v>
      </c>
      <c r="C627" t="s">
        <v>263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0</v>
      </c>
      <c r="J627" s="6">
        <f t="shared" si="23"/>
        <v>0</v>
      </c>
    </row>
    <row r="628" spans="1:10" x14ac:dyDescent="0.3">
      <c r="A628" t="s">
        <v>255</v>
      </c>
      <c r="B628" t="s">
        <v>256</v>
      </c>
      <c r="C628" t="s">
        <v>264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0</v>
      </c>
      <c r="J628" s="6">
        <f t="shared" si="23"/>
        <v>0</v>
      </c>
    </row>
    <row r="629" spans="1:10" x14ac:dyDescent="0.3">
      <c r="A629" t="s">
        <v>255</v>
      </c>
      <c r="B629" t="s">
        <v>256</v>
      </c>
      <c r="C629" t="s">
        <v>265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3">
      <c r="A630" t="s">
        <v>255</v>
      </c>
      <c r="B630" t="s">
        <v>256</v>
      </c>
      <c r="C630" t="s">
        <v>266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Industrial Fuel Use before CCS.xlsx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255</v>
      </c>
      <c r="B631" t="s">
        <v>256</v>
      </c>
      <c r="C631" t="s">
        <v>267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Industrial Fuel Use before CCS.xlsx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255</v>
      </c>
      <c r="B632" t="s">
        <v>904</v>
      </c>
      <c r="C632" t="s">
        <v>905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255</v>
      </c>
      <c r="B633" t="s">
        <v>904</v>
      </c>
      <c r="C633" t="s">
        <v>906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255</v>
      </c>
      <c r="B634" t="s">
        <v>904</v>
      </c>
      <c r="C634" t="s">
        <v>907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255</v>
      </c>
      <c r="B635" t="s">
        <v>904</v>
      </c>
      <c r="C635" t="s">
        <v>908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255</v>
      </c>
      <c r="B636" t="s">
        <v>904</v>
      </c>
      <c r="C636" t="s">
        <v>909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255</v>
      </c>
      <c r="B637" t="s">
        <v>904</v>
      </c>
      <c r="C637" t="s">
        <v>910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255</v>
      </c>
      <c r="B638" t="s">
        <v>904</v>
      </c>
      <c r="C638" t="s">
        <v>911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255</v>
      </c>
      <c r="B639" t="s">
        <v>904</v>
      </c>
      <c r="C639" t="s">
        <v>912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255</v>
      </c>
      <c r="B640" t="s">
        <v>904</v>
      </c>
      <c r="C640" t="s">
        <v>913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255</v>
      </c>
      <c r="B641" t="s">
        <v>904</v>
      </c>
      <c r="C641" t="s">
        <v>914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255</v>
      </c>
      <c r="B642" t="s">
        <v>904</v>
      </c>
      <c r="C642" t="s">
        <v>915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255</v>
      </c>
      <c r="B643" t="s">
        <v>904</v>
      </c>
      <c r="C643" t="s">
        <v>916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255</v>
      </c>
      <c r="B644" t="s">
        <v>904</v>
      </c>
      <c r="C644" t="s">
        <v>917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255</v>
      </c>
      <c r="B645" t="s">
        <v>904</v>
      </c>
      <c r="C645" t="s">
        <v>918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255</v>
      </c>
      <c r="B646" t="s">
        <v>1217</v>
      </c>
      <c r="C646" t="s">
        <v>1218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255</v>
      </c>
      <c r="B647" t="s">
        <v>1217</v>
      </c>
      <c r="C647" t="s">
        <v>1397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Perc Fuel Use by Industrial Process.xlsx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255</v>
      </c>
      <c r="B648" t="s">
        <v>1217</v>
      </c>
      <c r="C648" t="s">
        <v>1398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Fuel Use by Industrial Process.xlsx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255</v>
      </c>
      <c r="B649" t="s">
        <v>268</v>
      </c>
      <c r="C649" t="s">
        <v>269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255</v>
      </c>
      <c r="B650" t="s">
        <v>268</v>
      </c>
      <c r="C650" t="s">
        <v>919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255</v>
      </c>
      <c r="B651" t="s">
        <v>268</v>
      </c>
      <c r="C651" t="s">
        <v>920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255</v>
      </c>
      <c r="B652" t="s">
        <v>268</v>
      </c>
      <c r="C652" t="s">
        <v>921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255</v>
      </c>
      <c r="B653" t="s">
        <v>268</v>
      </c>
      <c r="C653" t="s">
        <v>922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255</v>
      </c>
      <c r="B654" t="s">
        <v>268</v>
      </c>
      <c r="C654" t="s">
        <v>923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255</v>
      </c>
      <c r="B655" t="s">
        <v>268</v>
      </c>
      <c r="C655" t="s">
        <v>924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255</v>
      </c>
      <c r="B656" t="s">
        <v>268</v>
      </c>
      <c r="C656" t="s">
        <v>925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255</v>
      </c>
      <c r="B657" t="s">
        <v>268</v>
      </c>
      <c r="C657" t="s">
        <v>926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255</v>
      </c>
      <c r="B658" t="s">
        <v>268</v>
      </c>
      <c r="C658" t="s">
        <v>927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Proportion of Industrial Fuel Used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255</v>
      </c>
      <c r="B659" t="s">
        <v>268</v>
      </c>
      <c r="C659" t="s">
        <v>928</v>
      </c>
      <c r="G659" t="str">
        <f t="shared" ref="G659:G722" si="24">RIGHT(C659,"4")</f>
        <v>.csv</v>
      </c>
      <c r="H659" s="5" t="str">
        <f>IFERROR(IF(B659="FoPITY",INDEX(Customizations!$C$2:$C$19,MATCH(Sheet1!C659,Customizations!$B$2:$B$19,0),1),INDEX(About!C:C,MATCH(Sheet1!B659,About!B:B,0),1)),"")</f>
        <v>BAU Proportion of Industrial Fuel Used for Energy.xlsx</v>
      </c>
      <c r="I659" s="5">
        <f>IFERROR(INDEX(About!$D:$D,MATCH(Sheet1!H659,About!$C:$C,0),1),0)</f>
        <v>0</v>
      </c>
      <c r="J659" s="6">
        <f t="shared" ref="J659:J722" si="25">IF(G659=".csv",1,0)*I659</f>
        <v>0</v>
      </c>
    </row>
    <row r="660" spans="1:10" x14ac:dyDescent="0.3">
      <c r="A660" t="s">
        <v>255</v>
      </c>
      <c r="B660" t="s">
        <v>270</v>
      </c>
      <c r="C660" t="s">
        <v>271</v>
      </c>
      <c r="G660" t="str">
        <f t="shared" si="24"/>
        <v>xlsx</v>
      </c>
      <c r="H660" s="5" t="str">
        <f>IFERROR(IF(B660="FoPITY",INDEX(Customizations!$C$2:$C$19,MATCH(Sheet1!C660,Customizations!$B$2:$B$19,0),1),INDEX(About!C:C,MATCH(Sheet1!B660,About!B:B,0),1)),"")</f>
        <v>BAU Shr of Ag Indst Going to Anml Prdcts.xlsx</v>
      </c>
      <c r="I660" s="5">
        <f>IFERROR(INDEX(About!$D:$D,MATCH(Sheet1!H660,About!$C:$C,0),1),0)</f>
        <v>0</v>
      </c>
      <c r="J660" s="6">
        <f t="shared" si="25"/>
        <v>0</v>
      </c>
    </row>
    <row r="661" spans="1:10" x14ac:dyDescent="0.3">
      <c r="A661" t="s">
        <v>255</v>
      </c>
      <c r="B661" t="s">
        <v>270</v>
      </c>
      <c r="C661" t="s">
        <v>272</v>
      </c>
      <c r="G661" t="str">
        <f t="shared" si="24"/>
        <v>.csv</v>
      </c>
      <c r="H661" s="5" t="str">
        <f>IFERROR(IF(B661="FoPITY",INDEX(Customizations!$C$2:$C$19,MATCH(Sheet1!C661,Customizations!$B$2:$B$19,0),1),INDEX(About!C:C,MATCH(Sheet1!B661,About!B:B,0),1)),"")</f>
        <v>BAU Shr of Ag Indst Going to Anml Prdcts.xlsx</v>
      </c>
      <c r="I661" s="5">
        <f>IFERROR(INDEX(About!$D:$D,MATCH(Sheet1!H661,About!$C:$C,0),1),0)</f>
        <v>0</v>
      </c>
      <c r="J661" s="6">
        <f t="shared" si="25"/>
        <v>0</v>
      </c>
    </row>
    <row r="662" spans="1:10" x14ac:dyDescent="0.3">
      <c r="A662" t="s">
        <v>255</v>
      </c>
      <c r="B662" t="s">
        <v>273</v>
      </c>
      <c r="C662" t="s">
        <v>274</v>
      </c>
      <c r="G662" t="str">
        <f t="shared" si="24"/>
        <v>xlsx</v>
      </c>
      <c r="H662" s="5" t="str">
        <f>IFERROR(IF(B662="FoPITY",INDEX(Customizations!$C$2:$C$19,MATCH(Sheet1!C662,Customizations!$B$2:$B$19,0),1),INDEX(About!C:C,MATCH(Sheet1!B662,About!B:B,0),1)),"")</f>
        <v>Cost to Impl Eff Policy per Unit E Saved or Shifted.xlsx</v>
      </c>
      <c r="I662" s="5">
        <f>IFERROR(INDEX(About!$D:$D,MATCH(Sheet1!H662,About!$C:$C,0),1),0)</f>
        <v>0</v>
      </c>
      <c r="J662" s="6">
        <f t="shared" si="25"/>
        <v>0</v>
      </c>
    </row>
    <row r="663" spans="1:10" x14ac:dyDescent="0.3">
      <c r="A663" t="s">
        <v>255</v>
      </c>
      <c r="B663" t="s">
        <v>273</v>
      </c>
      <c r="C663" t="s">
        <v>275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Cost to Impl Eff Policy per Unit E Saved or Shifted.xlsx</v>
      </c>
      <c r="I663" s="5">
        <f>IFERROR(INDEX(About!$D:$D,MATCH(Sheet1!H663,About!$C:$C,0),1),0)</f>
        <v>0</v>
      </c>
      <c r="J663" s="6">
        <f t="shared" si="25"/>
        <v>0</v>
      </c>
    </row>
    <row r="664" spans="1:10" x14ac:dyDescent="0.3">
      <c r="A664" t="s">
        <v>255</v>
      </c>
      <c r="B664" t="s">
        <v>869</v>
      </c>
      <c r="C664" t="s">
        <v>870</v>
      </c>
      <c r="G664" t="str">
        <f t="shared" si="24"/>
        <v>xlsx</v>
      </c>
      <c r="H664" s="5" t="str">
        <f>IFERROR(IF(B664="FoPITY",INDEX(Customizations!$C$2:$C$19,MATCH(Sheet1!C664,Customizations!$B$2:$B$19,0),1),INDEX(About!C:C,MATCH(Sheet1!B664,About!B:B,0),1)),"")</f>
        <v>Elasticities of Demand for Industrial Products.xlsx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255</v>
      </c>
      <c r="B665" t="s">
        <v>869</v>
      </c>
      <c r="C665" t="s">
        <v>871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Elasticities of Demand for Industrial Products.xlsx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255</v>
      </c>
      <c r="B666" t="s">
        <v>276</v>
      </c>
      <c r="C666" t="s">
        <v>277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Foreign Leakage Rate by Industry.xlsx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255</v>
      </c>
      <c r="B667" t="s">
        <v>276</v>
      </c>
      <c r="C667" t="s">
        <v>278</v>
      </c>
      <c r="G667" t="str">
        <f t="shared" si="24"/>
        <v>xlsx</v>
      </c>
      <c r="H667" s="5" t="str">
        <f>IFERROR(IF(B667="FoPITY",INDEX(Customizations!$C$2:$C$19,MATCH(Sheet1!C667,Customizations!$B$2:$B$19,0),1),INDEX(About!C:C,MATCH(Sheet1!B667,About!B:B,0),1)),"")</f>
        <v>Foreign Leakage Rate by Industry.xlsx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255</v>
      </c>
      <c r="B668" t="s">
        <v>1023</v>
      </c>
      <c r="C668" t="s">
        <v>1024</v>
      </c>
      <c r="G668" t="str">
        <f t="shared" si="24"/>
        <v>xlsx</v>
      </c>
      <c r="H668" s="5" t="str">
        <f>IFERROR(IF(B668="FoPITY",INDEX(Customizations!$C$2:$C$19,MATCH(Sheet1!C668,Customizations!$B$2:$B$19,0),1),INDEX(About!C:C,MATCH(Sheet1!B668,About!B:B,0),1)),"")</f>
        <v>IESE Import Export Substitution Elasticities.xlsx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255</v>
      </c>
      <c r="B669" t="s">
        <v>1023</v>
      </c>
      <c r="C669" t="s">
        <v>1025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IESE Import Export Substitution Elasticities.xlsx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255</v>
      </c>
      <c r="B670" t="s">
        <v>1522</v>
      </c>
      <c r="C670" t="s">
        <v>1523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255</v>
      </c>
      <c r="B671" t="s">
        <v>1522</v>
      </c>
      <c r="C671" t="s">
        <v>1524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Fuel Shifting Ratio.xlsx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255</v>
      </c>
      <c r="B672" t="s">
        <v>1522</v>
      </c>
      <c r="C672" t="s">
        <v>1525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Fuel Shifting Ratio.xlsx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255</v>
      </c>
      <c r="B673" t="s">
        <v>1526</v>
      </c>
      <c r="C673" t="s">
        <v>1527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Industrial Feedstock Switching Recipient Fuel.xlsx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255</v>
      </c>
      <c r="B674" t="s">
        <v>1526</v>
      </c>
      <c r="C674" t="s">
        <v>1528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Industrial Feedstock Switching Recipient Fuel.xlsx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255</v>
      </c>
      <c r="B675" t="s">
        <v>929</v>
      </c>
      <c r="C675" t="s">
        <v>930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Indst Fuels Subject to Fuel Shifting.xlsx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255</v>
      </c>
      <c r="B676" t="s">
        <v>929</v>
      </c>
      <c r="C676" t="s">
        <v>931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Indst Fuels Subject to Fuel Shifting.xlsx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255</v>
      </c>
      <c r="B677" t="s">
        <v>279</v>
      </c>
      <c r="C677" t="s">
        <v>280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Methane Heating Value.xlsx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255</v>
      </c>
      <c r="B678" t="s">
        <v>279</v>
      </c>
      <c r="C678" t="s">
        <v>281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Methane Heating Value.xlsx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255</v>
      </c>
      <c r="B679" t="s">
        <v>1529</v>
      </c>
      <c r="C679" t="s">
        <v>1530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255</v>
      </c>
      <c r="B680" t="s">
        <v>1529</v>
      </c>
      <c r="C680" t="s">
        <v>1531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255</v>
      </c>
      <c r="B681" t="s">
        <v>1529</v>
      </c>
      <c r="C681" t="s">
        <v>1532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255</v>
      </c>
      <c r="B682" t="s">
        <v>1529</v>
      </c>
      <c r="C682" t="s">
        <v>1533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255</v>
      </c>
      <c r="B683" t="s">
        <v>1529</v>
      </c>
      <c r="C683" t="s">
        <v>1534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255</v>
      </c>
      <c r="B684" t="s">
        <v>1529</v>
      </c>
      <c r="C684" t="s">
        <v>1535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255</v>
      </c>
      <c r="B685" t="s">
        <v>1529</v>
      </c>
      <c r="C685" t="s">
        <v>1536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255</v>
      </c>
      <c r="B686" t="s">
        <v>1529</v>
      </c>
      <c r="C686" t="s">
        <v>1537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255</v>
      </c>
      <c r="B687" t="s">
        <v>1529</v>
      </c>
      <c r="C687" t="s">
        <v>1538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255</v>
      </c>
      <c r="B688" t="s">
        <v>1529</v>
      </c>
      <c r="C688" t="s">
        <v>1539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255</v>
      </c>
      <c r="B689" t="s">
        <v>1529</v>
      </c>
      <c r="C689" t="s">
        <v>1540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255</v>
      </c>
      <c r="B690" t="s">
        <v>1529</v>
      </c>
      <c r="C690" t="s">
        <v>1541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255</v>
      </c>
      <c r="B691" t="s">
        <v>1529</v>
      </c>
      <c r="C691" t="s">
        <v>1542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255</v>
      </c>
      <c r="B692" t="s">
        <v>1529</v>
      </c>
      <c r="C692" t="s">
        <v>1543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255</v>
      </c>
      <c r="B693" t="s">
        <v>1529</v>
      </c>
      <c r="C693" t="s">
        <v>1544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255</v>
      </c>
      <c r="B694" t="s">
        <v>1529</v>
      </c>
      <c r="C694" t="s">
        <v>1545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255</v>
      </c>
      <c r="B695" t="s">
        <v>1529</v>
      </c>
      <c r="C695" t="s">
        <v>1546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255</v>
      </c>
      <c r="B696" t="s">
        <v>1529</v>
      </c>
      <c r="C696" t="s">
        <v>1547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255</v>
      </c>
      <c r="B697" t="s">
        <v>1529</v>
      </c>
      <c r="C697" t="s">
        <v>1548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255</v>
      </c>
      <c r="B698" t="s">
        <v>282</v>
      </c>
      <c r="C698" t="s">
        <v>1026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255</v>
      </c>
      <c r="B699" t="s">
        <v>282</v>
      </c>
      <c r="C699" t="s">
        <v>651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255</v>
      </c>
      <c r="B700" t="s">
        <v>282</v>
      </c>
      <c r="C700" t="s">
        <v>1027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255</v>
      </c>
      <c r="B701" t="s">
        <v>282</v>
      </c>
      <c r="C701" t="s">
        <v>991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255</v>
      </c>
      <c r="B702" t="s">
        <v>282</v>
      </c>
      <c r="C702" t="s">
        <v>652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255</v>
      </c>
      <c r="B703" t="s">
        <v>282</v>
      </c>
      <c r="C703" t="s">
        <v>653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255</v>
      </c>
      <c r="B704" t="s">
        <v>282</v>
      </c>
      <c r="C704" t="s">
        <v>654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255</v>
      </c>
      <c r="B705" t="s">
        <v>282</v>
      </c>
      <c r="C705" t="s">
        <v>655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255</v>
      </c>
      <c r="B706" t="s">
        <v>282</v>
      </c>
      <c r="C706" t="s">
        <v>656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255</v>
      </c>
      <c r="B707" t="s">
        <v>282</v>
      </c>
      <c r="C707" t="s">
        <v>657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255</v>
      </c>
      <c r="B708" t="s">
        <v>282</v>
      </c>
      <c r="C708" t="s">
        <v>658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255</v>
      </c>
      <c r="B709" t="s">
        <v>282</v>
      </c>
      <c r="C709" t="s">
        <v>659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255</v>
      </c>
      <c r="B710" t="s">
        <v>282</v>
      </c>
      <c r="C710" t="s">
        <v>932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255</v>
      </c>
      <c r="B711" t="s">
        <v>282</v>
      </c>
      <c r="C711" t="s">
        <v>933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255</v>
      </c>
      <c r="B712" t="s">
        <v>282</v>
      </c>
      <c r="C712" t="s">
        <v>934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255</v>
      </c>
      <c r="B713" t="s">
        <v>282</v>
      </c>
      <c r="C713" t="s">
        <v>935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255</v>
      </c>
      <c r="B714" t="s">
        <v>282</v>
      </c>
      <c r="C714" t="s">
        <v>1028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255</v>
      </c>
      <c r="B715" t="s">
        <v>282</v>
      </c>
      <c r="C715" t="s">
        <v>660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255</v>
      </c>
      <c r="B716" t="s">
        <v>282</v>
      </c>
      <c r="C716" t="s">
        <v>661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255</v>
      </c>
      <c r="B717" t="s">
        <v>282</v>
      </c>
      <c r="C717" t="s">
        <v>662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255</v>
      </c>
      <c r="B718" t="s">
        <v>283</v>
      </c>
      <c r="C718" t="s">
        <v>284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Perc Indst Fuel Use Reduction for Elec.xlsx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255</v>
      </c>
      <c r="B719" t="s">
        <v>283</v>
      </c>
      <c r="C719" t="s">
        <v>285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Perc Indst Fuel Use Reduction for Elec.xlsx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255</v>
      </c>
      <c r="B720" t="s">
        <v>286</v>
      </c>
      <c r="C720" t="s">
        <v>287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Reduction in Fuel Use from Early Retirement.xlsx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255</v>
      </c>
      <c r="B721" t="s">
        <v>286</v>
      </c>
      <c r="C721" t="s">
        <v>288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Reduction in Fuel Use from Early Retirement.xlsx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255</v>
      </c>
      <c r="B722" t="s">
        <v>289</v>
      </c>
      <c r="C722" t="s">
        <v>290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Inc Cogen and WHR.xlsx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255</v>
      </c>
      <c r="B723" t="s">
        <v>289</v>
      </c>
      <c r="C723" t="s">
        <v>291</v>
      </c>
      <c r="G723" t="str">
        <f t="shared" ref="G723:G765" si="26">RIGHT(C723,"4")</f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Inc Cogen and WHR.xlsx</v>
      </c>
      <c r="I723" s="5">
        <f>IFERROR(INDEX(About!$D:$D,MATCH(Sheet1!H723,About!$C:$C,0),1),0)</f>
        <v>0</v>
      </c>
      <c r="J723" s="6">
        <f t="shared" ref="J723:J765" si="27">IF(G723=".csv",1,0)*I723</f>
        <v>0</v>
      </c>
    </row>
    <row r="724" spans="1:10" x14ac:dyDescent="0.3">
      <c r="A724" t="s">
        <v>255</v>
      </c>
      <c r="B724" t="s">
        <v>292</v>
      </c>
      <c r="C724" t="s">
        <v>293</v>
      </c>
      <c r="G724" t="str">
        <f t="shared" si="26"/>
        <v>xlsx</v>
      </c>
      <c r="H724" s="5" t="str">
        <f>IFERROR(IF(B724="FoPITY",INDEX(Customizations!$C$2:$C$19,MATCH(Sheet1!C724,Customizations!$B$2:$B$19,0),1),INDEX(About!C:C,MATCH(Sheet1!B724,About!B:B,0),1)),"")</f>
        <v>Pot Perc Red in Fuel Use fr Impr Inst and Integ of Eqpt.xlsx</v>
      </c>
      <c r="I724" s="5">
        <f>IFERROR(INDEX(About!$D:$D,MATCH(Sheet1!H724,About!$C:$C,0),1),0)</f>
        <v>0</v>
      </c>
      <c r="J724" s="6">
        <f t="shared" si="27"/>
        <v>0</v>
      </c>
    </row>
    <row r="725" spans="1:10" x14ac:dyDescent="0.3">
      <c r="A725" t="s">
        <v>255</v>
      </c>
      <c r="B725" t="s">
        <v>292</v>
      </c>
      <c r="C725" t="s">
        <v>294</v>
      </c>
      <c r="G725" t="str">
        <f t="shared" si="26"/>
        <v>.csv</v>
      </c>
      <c r="H725" s="5" t="str">
        <f>IFERROR(IF(B725="FoPITY",INDEX(Customizations!$C$2:$C$19,MATCH(Sheet1!C725,Customizations!$B$2:$B$19,0),1),INDEX(About!C:C,MATCH(Sheet1!B725,About!B:B,0),1)),"")</f>
        <v>Pot Perc Red in Fuel Use fr Impr Inst and Integ of Eqpt.xlsx</v>
      </c>
      <c r="I725" s="5">
        <f>IFERROR(INDEX(About!$D:$D,MATCH(Sheet1!H725,About!$C:$C,0),1),0)</f>
        <v>0</v>
      </c>
      <c r="J725" s="6">
        <f t="shared" si="27"/>
        <v>0</v>
      </c>
    </row>
    <row r="726" spans="1:10" x14ac:dyDescent="0.3">
      <c r="A726" t="s">
        <v>255</v>
      </c>
      <c r="B726" t="s">
        <v>1029</v>
      </c>
      <c r="C726" t="s">
        <v>1030</v>
      </c>
      <c r="G726" t="str">
        <f t="shared" si="26"/>
        <v>xlsx</v>
      </c>
      <c r="H726" s="5" t="str">
        <f>IFERROR(IF(B726="FoPITY",INDEX(Customizations!$C$2:$C$19,MATCH(Sheet1!C726,Customizations!$B$2:$B$19,0),1),INDEX(About!C:C,MATCH(Sheet1!B726,About!B:B,0),1)),"")</f>
        <v>Ratio of Nutr Eqiv Plant to Anim Products Prd per Unit Land Area.xlsx</v>
      </c>
      <c r="I726" s="5">
        <f>IFERROR(INDEX(About!$D:$D,MATCH(Sheet1!H726,About!$C:$C,0),1),0)</f>
        <v>0</v>
      </c>
      <c r="J726" s="6">
        <f t="shared" si="27"/>
        <v>0</v>
      </c>
    </row>
    <row r="727" spans="1:10" x14ac:dyDescent="0.3">
      <c r="A727" t="s">
        <v>255</v>
      </c>
      <c r="B727" t="s">
        <v>1029</v>
      </c>
      <c r="C727" t="s">
        <v>1031</v>
      </c>
      <c r="G727" t="str">
        <f t="shared" si="26"/>
        <v>.csv</v>
      </c>
      <c r="H727" s="5" t="str">
        <f>IFERROR(IF(B727="FoPITY",INDEX(Customizations!$C$2:$C$19,MATCH(Sheet1!C727,Customizations!$B$2:$B$19,0),1),INDEX(About!C:C,MATCH(Sheet1!B727,About!B:B,0),1)),"")</f>
        <v>Ratio of Nutr Eqiv Plant to Anim Products Prd per Unit Land Area.xlsx</v>
      </c>
      <c r="I727" s="5">
        <f>IFERROR(INDEX(About!$D:$D,MATCH(Sheet1!H727,About!$C:$C,0),1),0)</f>
        <v>0</v>
      </c>
      <c r="J727" s="6">
        <f t="shared" si="27"/>
        <v>0</v>
      </c>
    </row>
    <row r="728" spans="1:10" x14ac:dyDescent="0.3">
      <c r="A728" t="s">
        <v>255</v>
      </c>
      <c r="B728" t="s">
        <v>851</v>
      </c>
      <c r="C728" t="s">
        <v>852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Share of Capital and OM Spending by ISIC Code.xlsx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255</v>
      </c>
      <c r="B729" t="s">
        <v>851</v>
      </c>
      <c r="C729" t="s">
        <v>853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Share of Capital and OM Spending by ISIC Code.xlsx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255</v>
      </c>
      <c r="B730" t="s">
        <v>872</v>
      </c>
      <c r="C730" t="s">
        <v>873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Shr of Cng in Indst Expenses Passed Thr to Buyers.xlsx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255</v>
      </c>
      <c r="B731" t="s">
        <v>872</v>
      </c>
      <c r="C731" t="s">
        <v>874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Shr of Cng in Indst Expenses Passed Thr to Buyers.xlsx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255</v>
      </c>
      <c r="B732" t="s">
        <v>875</v>
      </c>
      <c r="C732" t="s">
        <v>876</v>
      </c>
      <c r="G732" t="str">
        <f t="shared" si="26"/>
        <v>xlsx</v>
      </c>
      <c r="H732" s="5" t="str">
        <f>IFERROR(IF(B732="FoPITY",INDEX(Customizations!$C$2:$C$19,MATCH(Sheet1!C732,Customizations!$B$2:$B$19,0),1),INDEX(About!C:C,MATCH(Sheet1!B732,About!B:B,0),1)),"")</f>
        <v>Share of Process Emis Abatement Spending by ISIC Code.xlsx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255</v>
      </c>
      <c r="B733" t="s">
        <v>875</v>
      </c>
      <c r="C733" t="s">
        <v>877</v>
      </c>
      <c r="G733" t="str">
        <f t="shared" si="26"/>
        <v>.csv</v>
      </c>
      <c r="H733" s="5" t="str">
        <f>IFERROR(IF(B733="FoPITY",INDEX(Customizations!$C$2:$C$19,MATCH(Sheet1!C733,Customizations!$B$2:$B$19,0),1),INDEX(About!C:C,MATCH(Sheet1!B733,About!B:B,0),1)),"")</f>
        <v>Share of Process Emis Abatement Spending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744</v>
      </c>
      <c r="B734" t="s">
        <v>1470</v>
      </c>
      <c r="C734" t="s">
        <v>1471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Avg Corp Tax Rate.xlsx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744</v>
      </c>
      <c r="B735" t="s">
        <v>1470</v>
      </c>
      <c r="C735" t="s">
        <v>1472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Avg Corp Tax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744</v>
      </c>
      <c r="B736" t="s">
        <v>1032</v>
      </c>
      <c r="C736" t="s">
        <v>1033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744</v>
      </c>
      <c r="B737" t="s">
        <v>1032</v>
      </c>
      <c r="C737" t="s">
        <v>992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Dmst Cnt Shr of Cnsmptn and Exp Shr of Prdtn by ISIC Code.xlsx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1032</v>
      </c>
      <c r="C738" t="s">
        <v>1034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Dmst Cnt Shr of Cnsmptn and Exp Shr of Prdtn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1399</v>
      </c>
      <c r="C739" t="s">
        <v>1400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1399</v>
      </c>
      <c r="C740" t="s">
        <v>1401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Employment and Compensation Projections.xlsx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1399</v>
      </c>
      <c r="C741" t="s">
        <v>1402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and Compensation Projections.xlsx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745</v>
      </c>
      <c r="C742" t="s">
        <v>746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Employment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745</v>
      </c>
      <c r="C743" t="s">
        <v>747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Employment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748</v>
      </c>
      <c r="C744" t="s">
        <v>749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Employee Compensation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748</v>
      </c>
      <c r="C745" t="s">
        <v>750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Employee Compensation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642</v>
      </c>
      <c r="C746" t="s">
        <v>643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GDP.xlsx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642</v>
      </c>
      <c r="C747" t="s">
        <v>644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GDP.xlsx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751</v>
      </c>
      <c r="C748" t="s">
        <v>752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Output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751</v>
      </c>
      <c r="C749" t="s">
        <v>753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Output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1219</v>
      </c>
      <c r="C750" t="s">
        <v>1220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1219</v>
      </c>
      <c r="C751" t="s">
        <v>1221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Cng in Output and Domestic Content Share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1219</v>
      </c>
      <c r="C752" t="s">
        <v>993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Cng in Output and Domestic Content Share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744</v>
      </c>
      <c r="B753" t="s">
        <v>754</v>
      </c>
      <c r="C753" t="s">
        <v>755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BAU Value Added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744</v>
      </c>
      <c r="B754" t="s">
        <v>754</v>
      </c>
      <c r="C754" t="s">
        <v>756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Value Added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744</v>
      </c>
      <c r="B755" t="s">
        <v>757</v>
      </c>
      <c r="C755" t="s">
        <v>758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Domestic Leontief Inverse Matrix.xlsx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744</v>
      </c>
      <c r="B756" t="s">
        <v>757</v>
      </c>
      <c r="C756" t="s">
        <v>759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Domestic Leontief Inverse Matrix.xlsx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744</v>
      </c>
      <c r="B757" t="s">
        <v>994</v>
      </c>
      <c r="C757" t="s">
        <v>995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744</v>
      </c>
      <c r="B758" t="s">
        <v>994</v>
      </c>
      <c r="C758" t="s">
        <v>996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744</v>
      </c>
      <c r="B759" t="s">
        <v>994</v>
      </c>
      <c r="C759" t="s">
        <v>997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744</v>
      </c>
      <c r="B760" t="s">
        <v>994</v>
      </c>
      <c r="C760" t="s">
        <v>998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744</v>
      </c>
      <c r="B761" t="s">
        <v>994</v>
      </c>
      <c r="C761" t="s">
        <v>999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744</v>
      </c>
      <c r="B762" t="s">
        <v>994</v>
      </c>
      <c r="C762" t="s">
        <v>1000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744</v>
      </c>
      <c r="B763" t="s">
        <v>994</v>
      </c>
      <c r="C763" t="s">
        <v>1001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744</v>
      </c>
      <c r="B764" t="s">
        <v>994</v>
      </c>
      <c r="C764" t="s">
        <v>1002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744</v>
      </c>
      <c r="B765" t="s">
        <v>994</v>
      </c>
      <c r="C765" t="s">
        <v>1003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744</v>
      </c>
      <c r="B766" t="s">
        <v>994</v>
      </c>
      <c r="C766" t="s">
        <v>1004</v>
      </c>
      <c r="G766" t="str">
        <f t="shared" ref="G766:G825" si="28">RIGHT(C766,"4")</f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ref="J766:J825" si="29">IF(G766=".csv",1,0)*I766</f>
        <v>0</v>
      </c>
    </row>
    <row r="767" spans="1:10" x14ac:dyDescent="0.3">
      <c r="A767" t="s">
        <v>744</v>
      </c>
      <c r="B767" t="s">
        <v>994</v>
      </c>
      <c r="C767" t="s">
        <v>1005</v>
      </c>
      <c r="G767" t="str">
        <f t="shared" si="28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9"/>
        <v>0</v>
      </c>
    </row>
    <row r="768" spans="1:10" x14ac:dyDescent="0.3">
      <c r="A768" t="s">
        <v>744</v>
      </c>
      <c r="B768" t="s">
        <v>994</v>
      </c>
      <c r="C768" t="s">
        <v>1006</v>
      </c>
      <c r="G768" t="str">
        <f t="shared" si="28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9"/>
        <v>0</v>
      </c>
    </row>
    <row r="769" spans="1:10" x14ac:dyDescent="0.3">
      <c r="A769" t="s">
        <v>744</v>
      </c>
      <c r="B769" t="s">
        <v>994</v>
      </c>
      <c r="C769" t="s">
        <v>1007</v>
      </c>
      <c r="G769" t="str">
        <f t="shared" si="28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9"/>
        <v>0</v>
      </c>
    </row>
    <row r="770" spans="1:10" x14ac:dyDescent="0.3">
      <c r="A770" t="s">
        <v>744</v>
      </c>
      <c r="B770" t="s">
        <v>994</v>
      </c>
      <c r="C770" t="s">
        <v>1008</v>
      </c>
      <c r="G770" t="str">
        <f t="shared" si="28"/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si="29"/>
        <v>0</v>
      </c>
    </row>
    <row r="771" spans="1:10" x14ac:dyDescent="0.3">
      <c r="A771" t="s">
        <v>744</v>
      </c>
      <c r="B771" t="s">
        <v>994</v>
      </c>
      <c r="C771" t="s">
        <v>1009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744</v>
      </c>
      <c r="B772" t="s">
        <v>994</v>
      </c>
      <c r="C772" t="s">
        <v>1010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744</v>
      </c>
      <c r="B773" t="s">
        <v>854</v>
      </c>
      <c r="C773" t="s">
        <v>855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744</v>
      </c>
      <c r="B774" t="s">
        <v>854</v>
      </c>
      <c r="C774" t="s">
        <v>856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Frac of Goods Purchased by Entity and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744</v>
      </c>
      <c r="B775" t="s">
        <v>854</v>
      </c>
      <c r="C775" t="s">
        <v>1586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Frac of Goods Purchased by Entity and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744</v>
      </c>
      <c r="B776" t="s">
        <v>854</v>
      </c>
      <c r="C776" t="s">
        <v>881</v>
      </c>
      <c r="G776" t="str">
        <f t="shared" si="28"/>
        <v>xlsx</v>
      </c>
      <c r="H776" s="5" t="str">
        <f>IFERROR(IF(B776="FoPITY",INDEX(Customizations!$C$2:$C$19,MATCH(Sheet1!C776,Customizations!$B$2:$B$19,0),1),INDEX(About!C:C,MATCH(Sheet1!B776,About!B:B,0),1)),"")</f>
        <v>Frac of Goods Purchased by Entity and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744</v>
      </c>
      <c r="B777" t="s">
        <v>936</v>
      </c>
      <c r="C777" t="s">
        <v>937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Fuel to Producing ISIC Code Map.xlsx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744</v>
      </c>
      <c r="B778" t="s">
        <v>936</v>
      </c>
      <c r="C778" t="s">
        <v>938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Fuel to Producing ISIC Code Map.xlsx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744</v>
      </c>
      <c r="B779" t="s">
        <v>882</v>
      </c>
      <c r="C779" t="s">
        <v>883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Govt and Hhld Expenditures by ISIC Code.xlsx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744</v>
      </c>
      <c r="B780" t="s">
        <v>882</v>
      </c>
      <c r="C780" t="s">
        <v>884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Govt and Hhld Expenditures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744</v>
      </c>
      <c r="B781" t="s">
        <v>882</v>
      </c>
      <c r="C781" t="s">
        <v>885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Govt and Hhld Expenditures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744</v>
      </c>
      <c r="B782" t="s">
        <v>878</v>
      </c>
      <c r="C782" t="s">
        <v>879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Household Savings Rate.xlsx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744</v>
      </c>
      <c r="B783" t="s">
        <v>878</v>
      </c>
      <c r="C783" t="s">
        <v>880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Household Savings Rate.xlsx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744</v>
      </c>
      <c r="B784" t="s">
        <v>783</v>
      </c>
      <c r="C784" t="s">
        <v>784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Interest Rate on National Debt.xlsx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744</v>
      </c>
      <c r="B785" t="s">
        <v>783</v>
      </c>
      <c r="C785" t="s">
        <v>785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Interest Rate on National Debt.xlsx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744</v>
      </c>
      <c r="B786" t="s">
        <v>760</v>
      </c>
      <c r="C786" t="s">
        <v>761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Labor Productivity Growth Rate by ISIC Code.xlsx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744</v>
      </c>
      <c r="B787" t="s">
        <v>760</v>
      </c>
      <c r="C787" t="s">
        <v>762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Labor Productivity Growth Rate by ISIC Code.xlsx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744</v>
      </c>
      <c r="B788" t="s">
        <v>786</v>
      </c>
      <c r="C788" t="s">
        <v>787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Perc of National Debt Held by Entity.xlsx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744</v>
      </c>
      <c r="B789" t="s">
        <v>786</v>
      </c>
      <c r="C789" t="s">
        <v>788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Perc of National Debt Held by Entity.xlsx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744</v>
      </c>
      <c r="B790" t="s">
        <v>1011</v>
      </c>
      <c r="C790" t="s">
        <v>1012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Total Leontief Inverse Matrix.xlsx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744</v>
      </c>
      <c r="B791" t="s">
        <v>1011</v>
      </c>
      <c r="C791" t="s">
        <v>1013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Total Leontief Inverse Matrix.xlsx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744</v>
      </c>
      <c r="B792" t="s">
        <v>763</v>
      </c>
      <c r="C792" t="s">
        <v>764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Union Representation Perc by ISIC Code.xlsx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744</v>
      </c>
      <c r="B793" t="s">
        <v>763</v>
      </c>
      <c r="C793" t="s">
        <v>765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Union Representation Perc by ISIC Code.xlsx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744</v>
      </c>
      <c r="B794" t="s">
        <v>1035</v>
      </c>
      <c r="C794" t="s">
        <v>1036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VAT or Sales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744</v>
      </c>
      <c r="B795" t="s">
        <v>1035</v>
      </c>
      <c r="C795" t="s">
        <v>1037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VAT or Sales Tax Rate.xlsx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744</v>
      </c>
      <c r="B796" t="s">
        <v>295</v>
      </c>
      <c r="C796" t="s">
        <v>296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Worker Marg Income Tax Rate.xlsx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744</v>
      </c>
      <c r="B797" t="s">
        <v>295</v>
      </c>
      <c r="C797" t="s">
        <v>297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Worker Marg Income Tax Rate.xlsx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298</v>
      </c>
      <c r="B798" t="s">
        <v>299</v>
      </c>
      <c r="C798" t="s">
        <v>300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Annual Ongoing Cost of Land Use Pol per Unit Area.xlsx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298</v>
      </c>
      <c r="B799" t="s">
        <v>299</v>
      </c>
      <c r="C799" t="s">
        <v>301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Annual Ongoing Cost of Land Use Pol per Unit Area.xlsx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298</v>
      </c>
      <c r="B800" t="s">
        <v>302</v>
      </c>
      <c r="C800" t="s">
        <v>303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BAU LULUCF Anthro Pollutant Emis.xlsx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298</v>
      </c>
      <c r="B801" t="s">
        <v>302</v>
      </c>
      <c r="C801" t="s">
        <v>304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LULUCF Anthro Pollutant Emis.xlsx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298</v>
      </c>
      <c r="B802" t="s">
        <v>305</v>
      </c>
      <c r="C802" t="s">
        <v>306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CO2 Abated per Unit Land Area by Impr For Mgmt.xlsx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298</v>
      </c>
      <c r="B803" t="s">
        <v>305</v>
      </c>
      <c r="C803" t="s">
        <v>307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Abated per Unit Land Area by Impr For Mgmt.xlsx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298</v>
      </c>
      <c r="B804" t="s">
        <v>308</v>
      </c>
      <c r="C804" t="s">
        <v>309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Chg in Land Val per Unit Area Affected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298</v>
      </c>
      <c r="B805" t="s">
        <v>308</v>
      </c>
      <c r="C805" t="s">
        <v>310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Chg in Land Val per Unit Area Affected by Pol.xlsx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298</v>
      </c>
      <c r="B806" t="s">
        <v>311</v>
      </c>
      <c r="C806" t="s">
        <v>312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CO2 Sequestered per Unit Land Area per Year by Pol.xlsx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298</v>
      </c>
      <c r="B807" t="s">
        <v>311</v>
      </c>
      <c r="C807" t="s">
        <v>313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CO2 Sequestered per Unit Land Area per Year by Pol.xlsx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298</v>
      </c>
      <c r="B808" t="s">
        <v>314</v>
      </c>
      <c r="C808" t="s">
        <v>315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Fraction of Forests Owned by Entity.xlsx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298</v>
      </c>
      <c r="B809" t="s">
        <v>314</v>
      </c>
      <c r="C809" t="s">
        <v>316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Fraction of Forests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298</v>
      </c>
      <c r="B810" t="s">
        <v>317</v>
      </c>
      <c r="C810" t="s">
        <v>318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Impl Cost of Land Use Policies per Unit Area.xlsx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298</v>
      </c>
      <c r="B811" t="s">
        <v>317</v>
      </c>
      <c r="C811" t="s">
        <v>319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Impl Cost of Land Use Policies per Unit Area.xlsx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298</v>
      </c>
      <c r="B812" t="s">
        <v>320</v>
      </c>
      <c r="C812" t="s">
        <v>321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Potential Land Area Newly Affected by Pol in a Single Yr.xlsx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298</v>
      </c>
      <c r="B813" t="s">
        <v>320</v>
      </c>
      <c r="C813" t="s">
        <v>322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Potential Land Area Newly Affected by Pol in a Single Yr.xlsx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298</v>
      </c>
      <c r="B814" t="s">
        <v>323</v>
      </c>
      <c r="C814" t="s">
        <v>324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Rebound Pol Emis per Unit Avoided CO2 Emis.xlsx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298</v>
      </c>
      <c r="B815" t="s">
        <v>323</v>
      </c>
      <c r="C815" t="s">
        <v>325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Rebound Pol Emis per Unit Avoided CO2 Emis.xlsx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339</v>
      </c>
      <c r="B816" t="s">
        <v>1065</v>
      </c>
      <c r="C816" t="s">
        <v>1222</v>
      </c>
      <c r="G816" t="str">
        <f t="shared" si="28"/>
        <v>l.py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339</v>
      </c>
      <c r="B817" t="s">
        <v>1065</v>
      </c>
      <c r="C817" t="s">
        <v>1066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339</v>
      </c>
      <c r="B818" t="s">
        <v>1065</v>
      </c>
      <c r="C818" t="s">
        <v>1067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339</v>
      </c>
      <c r="B819" t="s">
        <v>1065</v>
      </c>
      <c r="C819" t="s">
        <v>1068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1069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1070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1071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1072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1073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1075</v>
      </c>
      <c r="G826" t="str">
        <f t="shared" ref="G826:G828" si="30">RIGHT(C826,"4")</f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ref="J826:J828" si="31">IF(G826=".csv",1,0)*I826</f>
        <v>0</v>
      </c>
    </row>
    <row r="827" spans="1:10" x14ac:dyDescent="0.3">
      <c r="A827" t="s">
        <v>339</v>
      </c>
      <c r="B827" t="s">
        <v>1065</v>
      </c>
      <c r="C827" t="s">
        <v>1076</v>
      </c>
      <c r="G827" t="str">
        <f t="shared" si="30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31"/>
        <v>0</v>
      </c>
    </row>
    <row r="828" spans="1:10" x14ac:dyDescent="0.3">
      <c r="A828" t="s">
        <v>339</v>
      </c>
      <c r="B828" t="s">
        <v>1065</v>
      </c>
      <c r="C828" t="s">
        <v>1077</v>
      </c>
      <c r="G828" t="str">
        <f t="shared" si="30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31"/>
        <v>0</v>
      </c>
    </row>
    <row r="829" spans="1:10" x14ac:dyDescent="0.3">
      <c r="A829" t="s">
        <v>339</v>
      </c>
      <c r="B829" t="s">
        <v>1065</v>
      </c>
      <c r="C829" t="s">
        <v>1078</v>
      </c>
      <c r="G829" t="str">
        <f t="shared" ref="G829:G891" si="32">RIGHT(C829,"4")</f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ref="J829:J891" si="33">IF(G829=".csv",1,0)*I829</f>
        <v>0</v>
      </c>
    </row>
    <row r="830" spans="1:10" x14ac:dyDescent="0.3">
      <c r="A830" t="s">
        <v>339</v>
      </c>
      <c r="B830" t="s">
        <v>1065</v>
      </c>
      <c r="C830" t="s">
        <v>1079</v>
      </c>
      <c r="G830" t="str">
        <f t="shared" si="32"/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si="33"/>
        <v>0</v>
      </c>
    </row>
    <row r="831" spans="1:10" x14ac:dyDescent="0.3">
      <c r="A831" t="s">
        <v>339</v>
      </c>
      <c r="B831" t="s">
        <v>1065</v>
      </c>
      <c r="C831" t="s">
        <v>1080</v>
      </c>
      <c r="G831" t="str">
        <f t="shared" si="32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3"/>
        <v>0</v>
      </c>
    </row>
    <row r="832" spans="1:10" x14ac:dyDescent="0.3">
      <c r="A832" t="s">
        <v>339</v>
      </c>
      <c r="B832" t="s">
        <v>1065</v>
      </c>
      <c r="C832" t="s">
        <v>1081</v>
      </c>
      <c r="G832" t="str">
        <f t="shared" si="32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3"/>
        <v>0</v>
      </c>
    </row>
    <row r="833" spans="1:10" x14ac:dyDescent="0.3">
      <c r="A833" t="s">
        <v>339</v>
      </c>
      <c r="B833" t="s">
        <v>1065</v>
      </c>
      <c r="C833" t="s">
        <v>1082</v>
      </c>
      <c r="G833" t="str">
        <f t="shared" si="32"/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si="33"/>
        <v>0</v>
      </c>
    </row>
    <row r="834" spans="1:10" x14ac:dyDescent="0.3">
      <c r="A834" t="s">
        <v>339</v>
      </c>
      <c r="B834" t="s">
        <v>1065</v>
      </c>
      <c r="C834" t="s">
        <v>1083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1084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1065</v>
      </c>
      <c r="C836" t="s">
        <v>1549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339</v>
      </c>
      <c r="B837" t="s">
        <v>1065</v>
      </c>
      <c r="C837" t="s">
        <v>1085</v>
      </c>
      <c r="G837" t="str">
        <f t="shared" si="32"/>
        <v>r.py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339</v>
      </c>
      <c r="B838" t="s">
        <v>1065</v>
      </c>
      <c r="C838" t="s">
        <v>1587</v>
      </c>
      <c r="G838" t="str">
        <f t="shared" si="32"/>
        <v>d.py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339</v>
      </c>
      <c r="B839" t="s">
        <v>1065</v>
      </c>
      <c r="C839" t="s">
        <v>1086</v>
      </c>
      <c r="G839" t="str">
        <f t="shared" si="32"/>
        <v>xlsx</v>
      </c>
      <c r="H839" s="5" t="str">
        <f>IFERROR(IF(B839="FoPITY",INDEX(Customizations!$C$2:$C$19,MATCH(Sheet1!C839,Customizations!$B$2:$B$19,0),1),INDEX(About!C:C,MATCH(Sheet1!B839,About!B:B,0),1)),"")</f>
        <v/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339</v>
      </c>
      <c r="B840" t="s">
        <v>340</v>
      </c>
      <c r="C840" t="s">
        <v>341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Final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339</v>
      </c>
      <c r="B841" t="s">
        <v>340</v>
      </c>
      <c r="C841" t="s">
        <v>342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Final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339</v>
      </c>
      <c r="B842" t="s">
        <v>1403</v>
      </c>
      <c r="C842" t="s">
        <v>1404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FY Future Years.xlsx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339</v>
      </c>
      <c r="B843" t="s">
        <v>1403</v>
      </c>
      <c r="C843" t="s">
        <v>1405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FY Future Years.xlsx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339</v>
      </c>
      <c r="B844" t="s">
        <v>343</v>
      </c>
      <c r="C844" t="s">
        <v>344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Initial Time.xlsx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339</v>
      </c>
      <c r="B845" t="s">
        <v>343</v>
      </c>
      <c r="C845" t="s">
        <v>345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Initial Time.xlsx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346</v>
      </c>
      <c r="B846" t="s">
        <v>1223</v>
      </c>
      <c r="C846" t="s">
        <v>1224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346</v>
      </c>
      <c r="B847" t="s">
        <v>1223</v>
      </c>
      <c r="C847" t="s">
        <v>1225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Ann Impvmt in Bat Cap by Veh Type.xlsx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346</v>
      </c>
      <c r="B848" t="s">
        <v>1223</v>
      </c>
      <c r="C848" t="s">
        <v>1226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 Impvmt in Bat Cap by Veh Type.xlsx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346</v>
      </c>
      <c r="B849" t="s">
        <v>1223</v>
      </c>
      <c r="C849" t="s">
        <v>1227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Ann Impvmt in Bat Cap by Veh Type.xlsx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346</v>
      </c>
      <c r="B850" t="s">
        <v>1223</v>
      </c>
      <c r="C850" t="s">
        <v>1228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Ann Impvmt in Bat Cap by Veh Type.xlsx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346</v>
      </c>
      <c r="B851" t="s">
        <v>1038</v>
      </c>
      <c r="C851" t="s">
        <v>1039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Annual Vehicle Insurance Cost.xlsx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346</v>
      </c>
      <c r="B852" t="s">
        <v>1038</v>
      </c>
      <c r="C852" t="s">
        <v>1040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Annual Vehicle Insurance Cost.xlsx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346</v>
      </c>
      <c r="B853" t="s">
        <v>347</v>
      </c>
      <c r="C853" t="s">
        <v>348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Avg Vehicle Lifetime.xlsx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346</v>
      </c>
      <c r="B854" t="s">
        <v>347</v>
      </c>
      <c r="C854" t="s">
        <v>349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Lifetime.xlsx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346</v>
      </c>
      <c r="B855" t="s">
        <v>350</v>
      </c>
      <c r="C855" t="s">
        <v>351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346</v>
      </c>
      <c r="B856" t="s">
        <v>350</v>
      </c>
      <c r="C856" t="s">
        <v>352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Avg Vehicle Loading.xlsx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346</v>
      </c>
      <c r="B857" t="s">
        <v>350</v>
      </c>
      <c r="C857" t="s">
        <v>353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Avg Vehicle Loading.xlsx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346</v>
      </c>
      <c r="B858" t="s">
        <v>350</v>
      </c>
      <c r="C858" t="s">
        <v>1406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Avg Vehicle Loading.xlsx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346</v>
      </c>
      <c r="B859" t="s">
        <v>350</v>
      </c>
      <c r="C859" t="s">
        <v>1407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Avg Vehicle Loading.xlsx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346</v>
      </c>
      <c r="B860" t="s">
        <v>1041</v>
      </c>
      <c r="C860" t="s">
        <v>1042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Annual Vehicle Licensing Registration and Property Tax Costs.xlsx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346</v>
      </c>
      <c r="B861" t="s">
        <v>1041</v>
      </c>
      <c r="C861" t="s">
        <v>1043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Annual Vehicle Licensing Registration and Property Tax Costs.xlsx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346</v>
      </c>
      <c r="B862" t="s">
        <v>681</v>
      </c>
      <c r="C862" t="s">
        <v>682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Annual Vehicle Maint Cost.xlsx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346</v>
      </c>
      <c r="B863" t="s">
        <v>681</v>
      </c>
      <c r="C863" t="s">
        <v>683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Annual Vehicle Maint Cost.xlsx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346</v>
      </c>
      <c r="B864" t="s">
        <v>681</v>
      </c>
      <c r="C864" t="s">
        <v>684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Maint Cost.xlsx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346</v>
      </c>
      <c r="B865" t="s">
        <v>1328</v>
      </c>
      <c r="C865" t="s">
        <v>1329</v>
      </c>
      <c r="G865" t="str">
        <f t="shared" si="32"/>
        <v>xlsx</v>
      </c>
      <c r="H865" s="5" t="str">
        <f>IFERROR(IF(B865="FoPITY",INDEX(Customizations!$C$2:$C$19,MATCH(Sheet1!C865,Customizations!$B$2:$B$19,0),1),INDEX(About!C:C,MATCH(Sheet1!B865,About!B:B,0),1)),"")</f>
        <v>Avg Veh Ownership Period.xlsx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346</v>
      </c>
      <c r="B866" t="s">
        <v>1328</v>
      </c>
      <c r="C866" t="s">
        <v>1330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Avg Veh Ownership Period.xlsx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346</v>
      </c>
      <c r="B867" t="s">
        <v>1044</v>
      </c>
      <c r="C867" t="s">
        <v>1045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Annual Vehicle Parking Costs.xlsx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346</v>
      </c>
      <c r="B868" t="s">
        <v>1044</v>
      </c>
      <c r="C868" t="s">
        <v>1046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Annual Vehicle Parking Costs.xlsx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346</v>
      </c>
      <c r="B869" t="s">
        <v>354</v>
      </c>
      <c r="C869" t="s">
        <v>355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346</v>
      </c>
      <c r="B870" t="s">
        <v>354</v>
      </c>
      <c r="C870" t="s">
        <v>356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Avg Annual Dist Traveled by Veh Type.xlsx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346</v>
      </c>
      <c r="B871" t="s">
        <v>354</v>
      </c>
      <c r="C871" t="s">
        <v>357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BAU Avg Annual Dist Traveled by Veh Type.xlsx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346</v>
      </c>
      <c r="B872" t="s">
        <v>354</v>
      </c>
      <c r="C872" t="s">
        <v>1408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Avg Annual Dist Traveled by Veh Type.xlsx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346</v>
      </c>
      <c r="B873" t="s">
        <v>354</v>
      </c>
      <c r="C873" t="s">
        <v>1409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Avg Annual Dist Traveled by Veh Type.xlsx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346</v>
      </c>
      <c r="B874" t="s">
        <v>358</v>
      </c>
      <c r="C874" t="s">
        <v>359</v>
      </c>
      <c r="G874" t="str">
        <f t="shared" si="32"/>
        <v>xlsx</v>
      </c>
      <c r="H874" s="5" t="str">
        <f>IFERROR(IF(B874="FoPITY",INDEX(Customizations!$C$2:$C$19,MATCH(Sheet1!C874,Customizations!$B$2:$B$19,0),1),INDEX(About!C:C,MATCH(Sheet1!B874,About!B:B,0),1)),"")</f>
        <v>BAU Cargo Dist Transported Relative to Start Yr.xlsx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346</v>
      </c>
      <c r="B875" t="s">
        <v>358</v>
      </c>
      <c r="C875" t="s">
        <v>360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Cargo Dist Transported Relative to Start Yr.xlsx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346</v>
      </c>
      <c r="B876" t="s">
        <v>358</v>
      </c>
      <c r="C876" t="s">
        <v>361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Cargo Dist Transported Relative to Start Yr.xlsx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346</v>
      </c>
      <c r="B877" t="s">
        <v>362</v>
      </c>
      <c r="C877" t="s">
        <v>363</v>
      </c>
      <c r="G877" t="str">
        <f t="shared" si="32"/>
        <v>xlsx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346</v>
      </c>
      <c r="B878" t="s">
        <v>362</v>
      </c>
      <c r="C878" t="s">
        <v>364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346</v>
      </c>
      <c r="B879" t="s">
        <v>362</v>
      </c>
      <c r="C879" t="s">
        <v>365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346</v>
      </c>
      <c r="B880" t="s">
        <v>362</v>
      </c>
      <c r="C880" t="s">
        <v>366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346</v>
      </c>
      <c r="B881" t="s">
        <v>362</v>
      </c>
      <c r="C881" t="s">
        <v>367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346</v>
      </c>
      <c r="B882" t="s">
        <v>362</v>
      </c>
      <c r="C882" t="s">
        <v>368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346</v>
      </c>
      <c r="B883" t="s">
        <v>362</v>
      </c>
      <c r="C883" t="s">
        <v>369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346</v>
      </c>
      <c r="B884" t="s">
        <v>362</v>
      </c>
      <c r="C884" t="s">
        <v>370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346</v>
      </c>
      <c r="B885" t="s">
        <v>362</v>
      </c>
      <c r="C885" t="s">
        <v>371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346</v>
      </c>
      <c r="B886" t="s">
        <v>362</v>
      </c>
      <c r="C886" t="s">
        <v>372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346</v>
      </c>
      <c r="B887" t="s">
        <v>362</v>
      </c>
      <c r="C887" t="s">
        <v>373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346</v>
      </c>
      <c r="B888" t="s">
        <v>362</v>
      </c>
      <c r="C888" t="s">
        <v>374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346</v>
      </c>
      <c r="B889" t="s">
        <v>362</v>
      </c>
      <c r="C889" t="s">
        <v>375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346</v>
      </c>
      <c r="B890" t="s">
        <v>362</v>
      </c>
      <c r="C890" t="s">
        <v>585</v>
      </c>
      <c r="D890" t="s">
        <v>586</v>
      </c>
      <c r="G890" t="str">
        <f t="shared" si="32"/>
        <v>FAFE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346</v>
      </c>
      <c r="B891" t="s">
        <v>362</v>
      </c>
      <c r="C891" t="s">
        <v>585</v>
      </c>
      <c r="D891" t="s">
        <v>587</v>
      </c>
      <c r="G891" t="str">
        <f t="shared" si="32"/>
        <v>FAFE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346</v>
      </c>
      <c r="B892" t="s">
        <v>362</v>
      </c>
      <c r="C892" t="s">
        <v>585</v>
      </c>
      <c r="D892" t="s">
        <v>588</v>
      </c>
      <c r="G892" t="str">
        <f t="shared" ref="G892:G945" si="34">RIGHT(C892,"4")</f>
        <v>FAFE</v>
      </c>
      <c r="H892" s="5" t="str">
        <f>IFERROR(IF(B892="FoPITY",INDEX(Customizations!$C$2:$C$19,MATCH(Sheet1!C892,Customizations!$B$2:$B$19,0),1),INDEX(About!C:C,MATCH(Sheet1!B892,About!B:B,0),1)),"")</f>
        <v>BAU Historical New Veh Fuel Economy After Lifetime.xlsx</v>
      </c>
      <c r="I892" s="5">
        <f>IFERROR(INDEX(About!$D:$D,MATCH(Sheet1!H892,About!$C:$C,0),1),0)</f>
        <v>0</v>
      </c>
      <c r="J892" s="6">
        <f t="shared" ref="J892:J945" si="35">IF(G892=".csv",1,0)*I892</f>
        <v>0</v>
      </c>
    </row>
    <row r="893" spans="1:10" x14ac:dyDescent="0.3">
      <c r="A893" t="s">
        <v>346</v>
      </c>
      <c r="B893" t="s">
        <v>376</v>
      </c>
      <c r="C893" t="s">
        <v>377</v>
      </c>
      <c r="G893" t="str">
        <f t="shared" si="34"/>
        <v>xlsx</v>
      </c>
      <c r="H893" s="5" t="str">
        <f>IFERROR(IF(B893="FoPITY",INDEX(Customizations!$C$2:$C$19,MATCH(Sheet1!C893,Customizations!$B$2:$B$19,0),1),INDEX(About!C:C,MATCH(Sheet1!B893,About!B:B,0),1)),"")</f>
        <v>BAU LCFS Perc.xlsx</v>
      </c>
      <c r="I893" s="5">
        <f>IFERROR(INDEX(About!$D:$D,MATCH(Sheet1!H893,About!$C:$C,0),1),0)</f>
        <v>0</v>
      </c>
      <c r="J893" s="6">
        <f t="shared" si="35"/>
        <v>0</v>
      </c>
    </row>
    <row r="894" spans="1:10" x14ac:dyDescent="0.3">
      <c r="A894" t="s">
        <v>346</v>
      </c>
      <c r="B894" t="s">
        <v>376</v>
      </c>
      <c r="C894" t="s">
        <v>378</v>
      </c>
      <c r="G894" t="str">
        <f t="shared" si="34"/>
        <v>.csv</v>
      </c>
      <c r="H894" s="5" t="str">
        <f>IFERROR(IF(B894="FoPITY",INDEX(Customizations!$C$2:$C$19,MATCH(Sheet1!C894,Customizations!$B$2:$B$19,0),1),INDEX(About!C:C,MATCH(Sheet1!B894,About!B:B,0),1)),"")</f>
        <v>BAU LCFS Perc.xlsx</v>
      </c>
      <c r="I894" s="5">
        <f>IFERROR(INDEX(About!$D:$D,MATCH(Sheet1!H894,About!$C:$C,0),1),0)</f>
        <v>0</v>
      </c>
      <c r="J894" s="6">
        <f t="shared" si="35"/>
        <v>0</v>
      </c>
    </row>
    <row r="895" spans="1:10" x14ac:dyDescent="0.3">
      <c r="A895" t="s">
        <v>346</v>
      </c>
      <c r="B895" t="s">
        <v>1229</v>
      </c>
      <c r="C895" t="s">
        <v>1230</v>
      </c>
      <c r="G895" t="str">
        <f t="shared" si="34"/>
        <v>xlsx</v>
      </c>
      <c r="H895" s="5" t="str">
        <f>IFERROR(IF(B895="FoPITY",INDEX(Customizations!$C$2:$C$19,MATCH(Sheet1!C895,Customizations!$B$2:$B$19,0),1),INDEX(About!C:C,MATCH(Sheet1!B895,About!B:B,0),1)),"")</f>
        <v>BAU Number of EV Chargers.xlsx</v>
      </c>
      <c r="I895" s="5">
        <f>IFERROR(INDEX(About!$D:$D,MATCH(Sheet1!H895,About!$C:$C,0),1),0)</f>
        <v>0</v>
      </c>
      <c r="J895" s="6">
        <f t="shared" si="35"/>
        <v>0</v>
      </c>
    </row>
    <row r="896" spans="1:10" x14ac:dyDescent="0.3">
      <c r="A896" t="s">
        <v>346</v>
      </c>
      <c r="B896" t="s">
        <v>1229</v>
      </c>
      <c r="C896" t="s">
        <v>1231</v>
      </c>
      <c r="G896" t="str">
        <f t="shared" si="34"/>
        <v>.csv</v>
      </c>
      <c r="H896" s="5" t="str">
        <f>IFERROR(IF(B896="FoPITY",INDEX(Customizations!$C$2:$C$19,MATCH(Sheet1!C896,Customizations!$B$2:$B$19,0),1),INDEX(About!C:C,MATCH(Sheet1!B896,About!B:B,0),1)),"")</f>
        <v>BAU Number of EV Chargers.xlsx</v>
      </c>
      <c r="I896" s="5">
        <f>IFERROR(INDEX(About!$D:$D,MATCH(Sheet1!H896,About!$C:$C,0),1),0)</f>
        <v>0</v>
      </c>
      <c r="J896" s="6">
        <f t="shared" si="35"/>
        <v>0</v>
      </c>
    </row>
    <row r="897" spans="1:10" x14ac:dyDescent="0.3">
      <c r="A897" t="s">
        <v>346</v>
      </c>
      <c r="B897" t="s">
        <v>1232</v>
      </c>
      <c r="C897" t="s">
        <v>1233</v>
      </c>
      <c r="G897" t="str">
        <f t="shared" si="34"/>
        <v>xlsx</v>
      </c>
      <c r="H897" s="5" t="str">
        <f>IFERROR(IF(B897="FoPITY",INDEX(Customizations!$C$2:$C$19,MATCH(Sheet1!C897,Customizations!$B$2:$B$19,0),1),INDEX(About!C:C,MATCH(Sheet1!B897,About!B:B,0),1)),"")</f>
        <v>BAU Number of Gas Pumps.xlsx</v>
      </c>
      <c r="I897" s="5">
        <f>IFERROR(INDEX(About!$D:$D,MATCH(Sheet1!H897,About!$C:$C,0),1),0)</f>
        <v>0</v>
      </c>
      <c r="J897" s="6">
        <f t="shared" si="35"/>
        <v>0</v>
      </c>
    </row>
    <row r="898" spans="1:10" x14ac:dyDescent="0.3">
      <c r="A898" t="s">
        <v>346</v>
      </c>
      <c r="B898" t="s">
        <v>1232</v>
      </c>
      <c r="C898" t="s">
        <v>1234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Number of Gas Pumps.xlsx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346</v>
      </c>
      <c r="B899" t="s">
        <v>379</v>
      </c>
      <c r="C899" t="s">
        <v>380</v>
      </c>
      <c r="G899" t="str">
        <f t="shared" si="34"/>
        <v>xlsx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346</v>
      </c>
      <c r="B900" t="s">
        <v>379</v>
      </c>
      <c r="C900" t="s">
        <v>381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346</v>
      </c>
      <c r="B901" t="s">
        <v>379</v>
      </c>
      <c r="C901" t="s">
        <v>382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346</v>
      </c>
      <c r="B902" t="s">
        <v>379</v>
      </c>
      <c r="C902" t="s">
        <v>383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346</v>
      </c>
      <c r="B903" t="s">
        <v>379</v>
      </c>
      <c r="C903" t="s">
        <v>384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346</v>
      </c>
      <c r="B904" t="s">
        <v>379</v>
      </c>
      <c r="C904" t="s">
        <v>385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346</v>
      </c>
      <c r="B905" t="s">
        <v>379</v>
      </c>
      <c r="C905" t="s">
        <v>386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346</v>
      </c>
      <c r="B906" t="s">
        <v>379</v>
      </c>
      <c r="C906" t="s">
        <v>387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346</v>
      </c>
      <c r="B907" t="s">
        <v>379</v>
      </c>
      <c r="C907" t="s">
        <v>388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346</v>
      </c>
      <c r="B908" t="s">
        <v>379</v>
      </c>
      <c r="C908" t="s">
        <v>389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346</v>
      </c>
      <c r="B909" t="s">
        <v>379</v>
      </c>
      <c r="C909" t="s">
        <v>390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346</v>
      </c>
      <c r="B910" t="s">
        <v>379</v>
      </c>
      <c r="C910" t="s">
        <v>391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346</v>
      </c>
      <c r="B911" t="s">
        <v>379</v>
      </c>
      <c r="C911" t="s">
        <v>392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New Veh Fuel Economy.xlsx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346</v>
      </c>
      <c r="B912" t="s">
        <v>393</v>
      </c>
      <c r="C912" t="s">
        <v>394</v>
      </c>
      <c r="G912" t="str">
        <f t="shared" si="34"/>
        <v>xlsx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346</v>
      </c>
      <c r="B913" t="s">
        <v>393</v>
      </c>
      <c r="C913" t="s">
        <v>395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346</v>
      </c>
      <c r="B914" t="s">
        <v>393</v>
      </c>
      <c r="C914" t="s">
        <v>396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346</v>
      </c>
      <c r="B915" t="s">
        <v>393</v>
      </c>
      <c r="C915" t="s">
        <v>397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346</v>
      </c>
      <c r="B916" t="s">
        <v>393</v>
      </c>
      <c r="C916" t="s">
        <v>398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346</v>
      </c>
      <c r="B917" t="s">
        <v>393</v>
      </c>
      <c r="C917" t="s">
        <v>399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346</v>
      </c>
      <c r="B918" t="s">
        <v>393</v>
      </c>
      <c r="C918" t="s">
        <v>400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346</v>
      </c>
      <c r="B919" t="s">
        <v>393</v>
      </c>
      <c r="C919" t="s">
        <v>401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346</v>
      </c>
      <c r="B920" t="s">
        <v>393</v>
      </c>
      <c r="C920" t="s">
        <v>402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346</v>
      </c>
      <c r="B921" t="s">
        <v>393</v>
      </c>
      <c r="C921" t="s">
        <v>403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346</v>
      </c>
      <c r="B922" t="s">
        <v>393</v>
      </c>
      <c r="C922" t="s">
        <v>404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346</v>
      </c>
      <c r="B923" t="s">
        <v>393</v>
      </c>
      <c r="C923" t="s">
        <v>405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346</v>
      </c>
      <c r="B924" t="s">
        <v>393</v>
      </c>
      <c r="C924" t="s">
        <v>406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346</v>
      </c>
      <c r="B925" t="s">
        <v>393</v>
      </c>
      <c r="C925" t="s">
        <v>407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346</v>
      </c>
      <c r="B926" t="s">
        <v>393</v>
      </c>
      <c r="C926" t="s">
        <v>408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346</v>
      </c>
      <c r="B927" t="s">
        <v>393</v>
      </c>
      <c r="C927" t="s">
        <v>409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346</v>
      </c>
      <c r="B928" t="s">
        <v>393</v>
      </c>
      <c r="C928" t="s">
        <v>410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346</v>
      </c>
      <c r="B929" t="s">
        <v>393</v>
      </c>
      <c r="C929" t="s">
        <v>411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346</v>
      </c>
      <c r="B930" t="s">
        <v>393</v>
      </c>
      <c r="C930" t="s">
        <v>412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346</v>
      </c>
      <c r="B931" t="s">
        <v>393</v>
      </c>
      <c r="C931" t="s">
        <v>413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346</v>
      </c>
      <c r="B932" t="s">
        <v>393</v>
      </c>
      <c r="C932" t="s">
        <v>414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346</v>
      </c>
      <c r="B933" t="s">
        <v>393</v>
      </c>
      <c r="C933" t="s">
        <v>415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346</v>
      </c>
      <c r="B934" t="s">
        <v>393</v>
      </c>
      <c r="C934" t="s">
        <v>416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346</v>
      </c>
      <c r="B935" t="s">
        <v>393</v>
      </c>
      <c r="C935" t="s">
        <v>417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346</v>
      </c>
      <c r="B936" t="s">
        <v>393</v>
      </c>
      <c r="C936" t="s">
        <v>418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346</v>
      </c>
      <c r="B937" t="s">
        <v>393</v>
      </c>
      <c r="C937" t="s">
        <v>419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346</v>
      </c>
      <c r="B938" t="s">
        <v>393</v>
      </c>
      <c r="C938" t="s">
        <v>420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346</v>
      </c>
      <c r="B939" t="s">
        <v>393</v>
      </c>
      <c r="C939" t="s">
        <v>421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346</v>
      </c>
      <c r="B940" t="s">
        <v>393</v>
      </c>
      <c r="C940" t="s">
        <v>422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346</v>
      </c>
      <c r="B941" t="s">
        <v>393</v>
      </c>
      <c r="C941" t="s">
        <v>423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346</v>
      </c>
      <c r="B942" t="s">
        <v>393</v>
      </c>
      <c r="C942" t="s">
        <v>424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346</v>
      </c>
      <c r="B943" t="s">
        <v>393</v>
      </c>
      <c r="C943" t="s">
        <v>425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346</v>
      </c>
      <c r="B944" t="s">
        <v>393</v>
      </c>
      <c r="C944" t="s">
        <v>426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346</v>
      </c>
      <c r="B945" t="s">
        <v>393</v>
      </c>
      <c r="C945" t="s">
        <v>427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346</v>
      </c>
      <c r="B946" t="s">
        <v>393</v>
      </c>
      <c r="C946" t="s">
        <v>428</v>
      </c>
      <c r="G946" t="str">
        <f t="shared" ref="G946:G1009" si="36">RIGHT(C946,"4")</f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ref="J946:J1009" si="37">IF(G946=".csv",1,0)*I946</f>
        <v>0</v>
      </c>
    </row>
    <row r="947" spans="1:10" x14ac:dyDescent="0.3">
      <c r="A947" t="s">
        <v>346</v>
      </c>
      <c r="B947" t="s">
        <v>393</v>
      </c>
      <c r="C947" t="s">
        <v>429</v>
      </c>
      <c r="G947" t="str">
        <f t="shared" si="36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7"/>
        <v>0</v>
      </c>
    </row>
    <row r="948" spans="1:10" x14ac:dyDescent="0.3">
      <c r="A948" t="s">
        <v>346</v>
      </c>
      <c r="B948" t="s">
        <v>393</v>
      </c>
      <c r="C948" t="s">
        <v>430</v>
      </c>
      <c r="G948" t="str">
        <f t="shared" si="36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7"/>
        <v>0</v>
      </c>
    </row>
    <row r="949" spans="1:10" x14ac:dyDescent="0.3">
      <c r="A949" t="s">
        <v>346</v>
      </c>
      <c r="B949" t="s">
        <v>393</v>
      </c>
      <c r="C949" t="s">
        <v>431</v>
      </c>
      <c r="G949" t="str">
        <f t="shared" si="36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7"/>
        <v>0</v>
      </c>
    </row>
    <row r="950" spans="1:10" x14ac:dyDescent="0.3">
      <c r="A950" t="s">
        <v>346</v>
      </c>
      <c r="B950" t="s">
        <v>393</v>
      </c>
      <c r="C950" t="s">
        <v>432</v>
      </c>
      <c r="G950" t="str">
        <f t="shared" si="36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7"/>
        <v>0</v>
      </c>
    </row>
    <row r="951" spans="1:10" x14ac:dyDescent="0.3">
      <c r="A951" t="s">
        <v>346</v>
      </c>
      <c r="B951" t="s">
        <v>393</v>
      </c>
      <c r="C951" t="s">
        <v>433</v>
      </c>
      <c r="G951" t="str">
        <f t="shared" si="36"/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si="37"/>
        <v>0</v>
      </c>
    </row>
    <row r="952" spans="1:10" x14ac:dyDescent="0.3">
      <c r="A952" t="s">
        <v>346</v>
      </c>
      <c r="B952" t="s">
        <v>393</v>
      </c>
      <c r="C952" t="s">
        <v>434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346</v>
      </c>
      <c r="B953" t="s">
        <v>393</v>
      </c>
      <c r="C953" t="s">
        <v>435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346</v>
      </c>
      <c r="B954" t="s">
        <v>393</v>
      </c>
      <c r="C954" t="s">
        <v>436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346</v>
      </c>
      <c r="B955" t="s">
        <v>393</v>
      </c>
      <c r="C955" t="s">
        <v>437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346</v>
      </c>
      <c r="B956" t="s">
        <v>393</v>
      </c>
      <c r="C956" t="s">
        <v>438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346</v>
      </c>
      <c r="B957" t="s">
        <v>393</v>
      </c>
      <c r="C957" t="s">
        <v>439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346</v>
      </c>
      <c r="B958" t="s">
        <v>393</v>
      </c>
      <c r="C958" t="s">
        <v>440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346</v>
      </c>
      <c r="B959" t="s">
        <v>393</v>
      </c>
      <c r="C959" t="s">
        <v>441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346</v>
      </c>
      <c r="B960" t="s">
        <v>393</v>
      </c>
      <c r="C960" t="s">
        <v>442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346</v>
      </c>
      <c r="B961" t="s">
        <v>393</v>
      </c>
      <c r="C961" t="s">
        <v>443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346</v>
      </c>
      <c r="B962" t="s">
        <v>393</v>
      </c>
      <c r="C962" t="s">
        <v>444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346</v>
      </c>
      <c r="B963" t="s">
        <v>393</v>
      </c>
      <c r="C963" t="s">
        <v>445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346</v>
      </c>
      <c r="B964" t="s">
        <v>393</v>
      </c>
      <c r="C964" t="s">
        <v>446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346</v>
      </c>
      <c r="B965" t="s">
        <v>393</v>
      </c>
      <c r="C965" t="s">
        <v>447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346</v>
      </c>
      <c r="B966" t="s">
        <v>393</v>
      </c>
      <c r="C966" t="s">
        <v>448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346</v>
      </c>
      <c r="B967" t="s">
        <v>393</v>
      </c>
      <c r="C967" t="s">
        <v>449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346</v>
      </c>
      <c r="B968" t="s">
        <v>393</v>
      </c>
      <c r="C968" t="s">
        <v>450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346</v>
      </c>
      <c r="B969" t="s">
        <v>393</v>
      </c>
      <c r="C969" t="s">
        <v>451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346</v>
      </c>
      <c r="B970" t="s">
        <v>393</v>
      </c>
      <c r="C970" t="s">
        <v>452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346</v>
      </c>
      <c r="B971" t="s">
        <v>393</v>
      </c>
      <c r="C971" t="s">
        <v>453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346</v>
      </c>
      <c r="B972" t="s">
        <v>393</v>
      </c>
      <c r="C972" t="s">
        <v>454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346</v>
      </c>
      <c r="B973" t="s">
        <v>393</v>
      </c>
      <c r="C973" t="s">
        <v>455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346</v>
      </c>
      <c r="B974" t="s">
        <v>393</v>
      </c>
      <c r="C974" t="s">
        <v>456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346</v>
      </c>
      <c r="B975" t="s">
        <v>393</v>
      </c>
      <c r="C975" t="s">
        <v>457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346</v>
      </c>
      <c r="B976" t="s">
        <v>393</v>
      </c>
      <c r="C976" t="s">
        <v>458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346</v>
      </c>
      <c r="B977" t="s">
        <v>393</v>
      </c>
      <c r="C977" t="s">
        <v>459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346</v>
      </c>
      <c r="B978" t="s">
        <v>393</v>
      </c>
      <c r="C978" t="s">
        <v>460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346</v>
      </c>
      <c r="B979" t="s">
        <v>393</v>
      </c>
      <c r="C979" t="s">
        <v>461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346</v>
      </c>
      <c r="B980" t="s">
        <v>393</v>
      </c>
      <c r="C980" t="s">
        <v>462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346</v>
      </c>
      <c r="B981" t="s">
        <v>393</v>
      </c>
      <c r="C981" t="s">
        <v>463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346</v>
      </c>
      <c r="B982" t="s">
        <v>393</v>
      </c>
      <c r="C982" t="s">
        <v>464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346</v>
      </c>
      <c r="B983" t="s">
        <v>393</v>
      </c>
      <c r="C983" t="s">
        <v>465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346</v>
      </c>
      <c r="B984" t="s">
        <v>393</v>
      </c>
      <c r="C984" t="s">
        <v>466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346</v>
      </c>
      <c r="B985" t="s">
        <v>1235</v>
      </c>
      <c r="C985" t="s">
        <v>1236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Battery Pack Price.xlsx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346</v>
      </c>
      <c r="B986" t="s">
        <v>1235</v>
      </c>
      <c r="C986" t="s">
        <v>1237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Battery Pack Price.xlsx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346</v>
      </c>
      <c r="B987" t="s">
        <v>1235</v>
      </c>
      <c r="C987" t="s">
        <v>1238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Battery Pack Price.xlsx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346</v>
      </c>
      <c r="B988" t="s">
        <v>1239</v>
      </c>
      <c r="C988" t="s">
        <v>1240</v>
      </c>
      <c r="G988" t="str">
        <f t="shared" si="36"/>
        <v>xlsx</v>
      </c>
      <c r="H988" s="5" t="str">
        <f>IFERROR(IF(B988="FoPITY",INDEX(Customizations!$C$2:$C$19,MATCH(Sheet1!C988,Customizations!$B$2:$B$19,0),1),INDEX(About!C:C,MATCH(Sheet1!B988,About!B:B,0),1)),"")</f>
        <v>BAU Rng Anxiety Shadow Costs.xlsx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346</v>
      </c>
      <c r="B989" t="s">
        <v>1239</v>
      </c>
      <c r="C989" t="s">
        <v>1241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Rng Anxiety Shadow Costs.xlsx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346</v>
      </c>
      <c r="B990" t="s">
        <v>1550</v>
      </c>
      <c r="C990" t="s">
        <v>1551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BAU Required ZEV Sales Percentage by Model 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346</v>
      </c>
      <c r="B991" t="s">
        <v>1550</v>
      </c>
      <c r="C991" t="s">
        <v>1552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Percentage by Model 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346</v>
      </c>
      <c r="B992" t="s">
        <v>1550</v>
      </c>
      <c r="C992" t="s">
        <v>1553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Percentage by Model 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346</v>
      </c>
      <c r="B993" t="s">
        <v>1087</v>
      </c>
      <c r="C993" t="s">
        <v>1088</v>
      </c>
      <c r="G993" t="str">
        <f t="shared" si="36"/>
        <v>xlsx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346</v>
      </c>
      <c r="B994" t="s">
        <v>1087</v>
      </c>
      <c r="C994" t="s">
        <v>1410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346</v>
      </c>
      <c r="B995" t="s">
        <v>1087</v>
      </c>
      <c r="C995" t="s">
        <v>1089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346</v>
      </c>
      <c r="B996" t="s">
        <v>1087</v>
      </c>
      <c r="C996" t="s">
        <v>1090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346</v>
      </c>
      <c r="B997" t="s">
        <v>1087</v>
      </c>
      <c r="C997" t="s">
        <v>1091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346</v>
      </c>
      <c r="B998" t="s">
        <v>1087</v>
      </c>
      <c r="C998" t="s">
        <v>1411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346</v>
      </c>
      <c r="B999" t="s">
        <v>1087</v>
      </c>
      <c r="C999" t="s">
        <v>1412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346</v>
      </c>
      <c r="B1000" t="s">
        <v>1087</v>
      </c>
      <c r="C1000" t="s">
        <v>1413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346</v>
      </c>
      <c r="B1001" t="s">
        <v>1087</v>
      </c>
      <c r="C1001" t="s">
        <v>1092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346</v>
      </c>
      <c r="B1002" t="s">
        <v>1087</v>
      </c>
      <c r="C1002" t="s">
        <v>1093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346</v>
      </c>
      <c r="B1003" t="s">
        <v>1087</v>
      </c>
      <c r="C1003" t="s">
        <v>1094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346</v>
      </c>
      <c r="B1004" t="s">
        <v>1087</v>
      </c>
      <c r="C1004" t="s">
        <v>1414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346</v>
      </c>
      <c r="B1005" t="s">
        <v>1087</v>
      </c>
      <c r="C1005" t="s">
        <v>1415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Required ZEV Sales Perc by Subregion.xlsx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346</v>
      </c>
      <c r="B1006" t="s">
        <v>1242</v>
      </c>
      <c r="C1006" t="s">
        <v>1243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BAU Subsidy for Vehicle Battery Production.xlsx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346</v>
      </c>
      <c r="B1007" t="s">
        <v>1242</v>
      </c>
      <c r="C1007" t="s">
        <v>1244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Subsidy for Vehicle Battery Production.xlsx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346</v>
      </c>
      <c r="B1008" t="s">
        <v>1245</v>
      </c>
      <c r="C1008" t="s">
        <v>1246</v>
      </c>
      <c r="G1008" t="str">
        <f t="shared" si="36"/>
        <v>xlsx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346</v>
      </c>
      <c r="B1009" t="s">
        <v>1245</v>
      </c>
      <c r="C1009" t="s">
        <v>1247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346</v>
      </c>
      <c r="B1010" t="s">
        <v>1245</v>
      </c>
      <c r="C1010" t="s">
        <v>1248</v>
      </c>
      <c r="G1010" t="str">
        <f t="shared" ref="G1010:G1073" si="38">RIGHT(C1010,"4")</f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ref="J1010:J1073" si="39">IF(G1010=".csv",1,0)*I1010</f>
        <v>0</v>
      </c>
    </row>
    <row r="1011" spans="1:10" x14ac:dyDescent="0.3">
      <c r="A1011" t="s">
        <v>346</v>
      </c>
      <c r="B1011" t="s">
        <v>1245</v>
      </c>
      <c r="C1011" t="s">
        <v>1249</v>
      </c>
      <c r="G1011" t="str">
        <f t="shared" si="38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9"/>
        <v>0</v>
      </c>
    </row>
    <row r="1012" spans="1:10" x14ac:dyDescent="0.3">
      <c r="A1012" t="s">
        <v>346</v>
      </c>
      <c r="B1012" t="s">
        <v>1245</v>
      </c>
      <c r="C1012" t="s">
        <v>1250</v>
      </c>
      <c r="G1012" t="str">
        <f t="shared" si="38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9"/>
        <v>0</v>
      </c>
    </row>
    <row r="1013" spans="1:10" x14ac:dyDescent="0.3">
      <c r="A1013" t="s">
        <v>346</v>
      </c>
      <c r="B1013" t="s">
        <v>1245</v>
      </c>
      <c r="C1013" t="s">
        <v>1251</v>
      </c>
      <c r="G1013" t="str">
        <f t="shared" si="38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9"/>
        <v>0</v>
      </c>
    </row>
    <row r="1014" spans="1:10" x14ac:dyDescent="0.3">
      <c r="A1014" t="s">
        <v>346</v>
      </c>
      <c r="B1014" t="s">
        <v>1245</v>
      </c>
      <c r="C1014" t="s">
        <v>1252</v>
      </c>
      <c r="G1014" t="str">
        <f t="shared" si="38"/>
        <v>.csv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si="39"/>
        <v>0</v>
      </c>
    </row>
    <row r="1015" spans="1:10" x14ac:dyDescent="0.3">
      <c r="A1015" t="s">
        <v>346</v>
      </c>
      <c r="B1015" t="s">
        <v>1245</v>
      </c>
      <c r="C1015" t="s">
        <v>1253</v>
      </c>
      <c r="G1015" t="str">
        <f t="shared" si="38"/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si="39"/>
        <v>0</v>
      </c>
    </row>
    <row r="1016" spans="1:10" x14ac:dyDescent="0.3">
      <c r="A1016" t="s">
        <v>346</v>
      </c>
      <c r="B1016" t="s">
        <v>1245</v>
      </c>
      <c r="C1016" t="s">
        <v>1254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346</v>
      </c>
      <c r="B1017" t="s">
        <v>1245</v>
      </c>
      <c r="C1017" t="s">
        <v>1255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346</v>
      </c>
      <c r="B1018" t="s">
        <v>1245</v>
      </c>
      <c r="C1018" t="s">
        <v>1256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346</v>
      </c>
      <c r="B1019" t="s">
        <v>1245</v>
      </c>
      <c r="C1019" t="s">
        <v>1257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346</v>
      </c>
      <c r="B1020" t="s">
        <v>1245</v>
      </c>
      <c r="C1020" t="s">
        <v>1258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Vehicle Subsidy.xlsx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346</v>
      </c>
      <c r="B1021" t="s">
        <v>1095</v>
      </c>
      <c r="C1021" t="s">
        <v>1096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BAU Veh Techs Qualifying as ZEVs.xlsx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346</v>
      </c>
      <c r="B1022" t="s">
        <v>1095</v>
      </c>
      <c r="C1022" t="s">
        <v>1554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Veh Techs Qualifying as ZEVs.xlsx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346</v>
      </c>
      <c r="B1023" t="s">
        <v>1095</v>
      </c>
      <c r="C1023" t="s">
        <v>1555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Veh Techs Qualifying as ZEVs.xlsx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346</v>
      </c>
      <c r="B1024" t="s">
        <v>1095</v>
      </c>
      <c r="C1024" t="s">
        <v>1556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 Techs Qualifying as ZEVs.xlsx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346</v>
      </c>
      <c r="B1025" t="s">
        <v>1095</v>
      </c>
      <c r="C1025" t="s">
        <v>1557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 Techs Qualifying as ZEVs.xlsx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346</v>
      </c>
      <c r="B1026" t="s">
        <v>1095</v>
      </c>
      <c r="C1026" t="s">
        <v>1558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 Techs Qualifying as ZEVs.xlsx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346</v>
      </c>
      <c r="B1027" t="s">
        <v>1095</v>
      </c>
      <c r="C1027" t="s">
        <v>1559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Veh Techs Qualifying as ZEVs.xlsx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346</v>
      </c>
      <c r="B1028" t="s">
        <v>467</v>
      </c>
      <c r="C1028" t="s">
        <v>468</v>
      </c>
      <c r="G1028" t="str">
        <f t="shared" si="38"/>
        <v>xlsx</v>
      </c>
      <c r="H1028" s="5" t="str">
        <f>IFERROR(IF(B1028="FoPITY",INDEX(Customizations!$C$2:$C$19,MATCH(Sheet1!C1028,Customizations!$B$2:$B$19,0),1),INDEX(About!C:C,MATCH(Sheet1!B1028,About!B:B,0),1)),"")</f>
        <v>Boolean Veh Types Subject to LCFS.xlsx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346</v>
      </c>
      <c r="B1029" t="s">
        <v>467</v>
      </c>
      <c r="C1029" t="s">
        <v>469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Boolean Veh Types Subject to LCFS.xlsx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346</v>
      </c>
      <c r="B1030" t="s">
        <v>470</v>
      </c>
      <c r="C1030" t="s">
        <v>471</v>
      </c>
      <c r="G1030" t="str">
        <f t="shared" si="38"/>
        <v>xlsx</v>
      </c>
      <c r="H1030" s="5" t="str">
        <f>IFERROR(IF(B1030="FoPITY",INDEX(Customizations!$C$2:$C$19,MATCH(Sheet1!C1030,Customizations!$B$2:$B$19,0),1),INDEX(About!C:C,MATCH(Sheet1!B1030,About!B:B,0),1)),"")</f>
        <v>Carbon Intensity Ratios by Transport Fuel.xlsx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346</v>
      </c>
      <c r="B1031" t="s">
        <v>470</v>
      </c>
      <c r="C1031" t="s">
        <v>472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Carbon Intensity Ratios by Transport Fuel.xlsx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346</v>
      </c>
      <c r="B1032" t="s">
        <v>473</v>
      </c>
      <c r="C1032" t="s">
        <v>474</v>
      </c>
      <c r="G1032" t="str">
        <f t="shared" si="38"/>
        <v>xlsx</v>
      </c>
      <c r="H1032" s="5" t="str">
        <f>IFERROR(IF(B1032="FoPITY",INDEX(Customizations!$C$2:$C$19,MATCH(Sheet1!C1032,Customizations!$B$2:$B$19,0),1),INDEX(About!C:C,MATCH(Sheet1!B1032,About!B:B,0),1)),"")</f>
        <v>Elast of Demand for Veh Use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346</v>
      </c>
      <c r="B1033" t="s">
        <v>473</v>
      </c>
      <c r="C1033" t="s">
        <v>475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Demand for Veh Use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346</v>
      </c>
      <c r="B1034" t="s">
        <v>476</v>
      </c>
      <c r="C1034" t="s">
        <v>477</v>
      </c>
      <c r="G1034" t="str">
        <f t="shared" si="38"/>
        <v>xlsx</v>
      </c>
      <c r="H1034" s="5" t="str">
        <f>IFERROR(IF(B1034="FoPITY",INDEX(Customizations!$C$2:$C$19,MATCH(Sheet1!C1034,Customizations!$B$2:$B$19,0),1),INDEX(About!C:C,MATCH(Sheet1!B1034,About!B:B,0),1)),"")</f>
        <v>Effect of Feebate on New Veh Fuel Econ.xlsx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346</v>
      </c>
      <c r="B1035" t="s">
        <v>476</v>
      </c>
      <c r="C1035" t="s">
        <v>478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Effect of Feebate on New Veh Fuel Econ.xlsx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346</v>
      </c>
      <c r="B1036" t="s">
        <v>479</v>
      </c>
      <c r="C1036" t="s">
        <v>480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Elast of New Veh Fuel Econ wrt Fuel Cost.xlsx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346</v>
      </c>
      <c r="B1037" t="s">
        <v>479</v>
      </c>
      <c r="C1037" t="s">
        <v>481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 of New Veh Fuel Econ wrt Fuel Cost.xlsx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346</v>
      </c>
      <c r="B1038" t="s">
        <v>479</v>
      </c>
      <c r="C1038" t="s">
        <v>482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Elast of New Veh Fuel Econ wrt Fuel Cost.xlsx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346</v>
      </c>
      <c r="B1039" t="s">
        <v>479</v>
      </c>
      <c r="C1039" t="s">
        <v>483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Elast of New Veh Fuel Econ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346</v>
      </c>
      <c r="B1040" t="s">
        <v>479</v>
      </c>
      <c r="C1040" t="s">
        <v>484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Elast of New Veh Fuel Econ wrt Fuel Cost.xlsx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346</v>
      </c>
      <c r="B1041" t="s">
        <v>479</v>
      </c>
      <c r="C1041" t="s">
        <v>485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Elast of New Veh Fuel Econ wrt Fuel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346</v>
      </c>
      <c r="B1042" t="s">
        <v>479</v>
      </c>
      <c r="C1042" t="s">
        <v>486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Elast of New Veh Fuel Econ wrt Fuel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346</v>
      </c>
      <c r="B1043" t="s">
        <v>487</v>
      </c>
      <c r="C1043" t="s">
        <v>488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Elasticity of Veh Price wrt Fuel Econ.xlsx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346</v>
      </c>
      <c r="B1044" t="s">
        <v>487</v>
      </c>
      <c r="C1044" t="s">
        <v>489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Elasticity of Veh Price wrt Fuel Econ.xlsx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346</v>
      </c>
      <c r="B1045" t="s">
        <v>1259</v>
      </c>
      <c r="C1045" t="s">
        <v>1260</v>
      </c>
      <c r="G1045" t="str">
        <f t="shared" si="38"/>
        <v>xlsx</v>
      </c>
      <c r="H1045" s="5" t="str">
        <f>IFERROR(IF(B1045="FoPITY",INDEX(Customizations!$C$2:$C$19,MATCH(Sheet1!C1045,Customizations!$B$2:$B$19,0),1),INDEX(About!C:C,MATCH(Sheet1!B1045,About!B:B,0),1)),"")</f>
        <v>EV Charging Availability Parameters.xlsx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346</v>
      </c>
      <c r="B1046" t="s">
        <v>1259</v>
      </c>
      <c r="C1046" t="s">
        <v>1261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EV Charging Availability Parameters.xlsx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346</v>
      </c>
      <c r="B1047" t="s">
        <v>1259</v>
      </c>
      <c r="C1047" t="s">
        <v>1262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EV Charging Availability Parameters.xlsx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346</v>
      </c>
      <c r="B1048" t="s">
        <v>766</v>
      </c>
      <c r="C1048" t="s">
        <v>767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EV Charger Cost.xlsx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346</v>
      </c>
      <c r="B1049" t="s">
        <v>766</v>
      </c>
      <c r="C1049" t="s">
        <v>768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EV Charger Cost.xlsx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346</v>
      </c>
      <c r="B1050" t="s">
        <v>857</v>
      </c>
      <c r="C1050" t="s">
        <v>858</v>
      </c>
      <c r="G1050" t="str">
        <f t="shared" si="38"/>
        <v>xlsx</v>
      </c>
      <c r="H1050" s="5" t="str">
        <f>IFERROR(IF(B1050="FoPITY",INDEX(Customizations!$C$2:$C$19,MATCH(Sheet1!C1050,Customizations!$B$2:$B$19,0),1),INDEX(About!C:C,MATCH(Sheet1!B1050,About!B:B,0),1)),"")</f>
        <v>EV Charger Revenue Share by Recip ISIC Code.xlsx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346</v>
      </c>
      <c r="B1051" t="s">
        <v>857</v>
      </c>
      <c r="C1051" t="s">
        <v>859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EV Charger Revenue Share by Recip ISIC Code.xlsx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346</v>
      </c>
      <c r="B1052" t="s">
        <v>1263</v>
      </c>
      <c r="C1052" t="s">
        <v>1264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Fraction of Subsidy for Battery Production Passed Through to Consumers.xlsx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346</v>
      </c>
      <c r="B1053" t="s">
        <v>1263</v>
      </c>
      <c r="C1053" t="s">
        <v>1265</v>
      </c>
      <c r="G1053" t="str">
        <f t="shared" si="38"/>
        <v>xlsx</v>
      </c>
      <c r="H1053" s="5" t="str">
        <f>IFERROR(IF(B1053="FoPITY",INDEX(Customizations!$C$2:$C$19,MATCH(Sheet1!C1053,Customizations!$B$2:$B$19,0),1),INDEX(About!C:C,MATCH(Sheet1!B1053,About!B:B,0),1)),"")</f>
        <v>Fraction of Subsidy for Battery Production Passed Through to Consumers.xlsx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346</v>
      </c>
      <c r="B1054" t="s">
        <v>1266</v>
      </c>
      <c r="C1054" t="s">
        <v>1267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Fraction of Vehicle Batteries Produced Domestically.xlsx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346</v>
      </c>
      <c r="B1055" t="s">
        <v>1266</v>
      </c>
      <c r="C1055" t="s">
        <v>1268</v>
      </c>
      <c r="G1055" t="str">
        <f t="shared" si="38"/>
        <v>xlsx</v>
      </c>
      <c r="H1055" s="5" t="str">
        <f>IFERROR(IF(B1055="FoPITY",INDEX(Customizations!$C$2:$C$19,MATCH(Sheet1!C1055,Customizations!$B$2:$B$19,0),1),INDEX(About!C:C,MATCH(Sheet1!B1055,About!B:B,0),1)),"")</f>
        <v>Fraction of Vehicle Batteries Produced Domestically.xlsx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346</v>
      </c>
      <c r="B1056" t="s">
        <v>490</v>
      </c>
      <c r="C1056" t="s">
        <v>491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Fraction of Veh Owned by Entity.xlsx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346</v>
      </c>
      <c r="B1057" t="s">
        <v>490</v>
      </c>
      <c r="C1057" t="s">
        <v>492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Fraction of Veh Owned by Entity.xlsx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346</v>
      </c>
      <c r="B1058" t="s">
        <v>490</v>
      </c>
      <c r="C1058" t="s">
        <v>493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Fraction of Veh Owned by Entity.xlsx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346</v>
      </c>
      <c r="B1059" t="s">
        <v>1047</v>
      </c>
      <c r="C1059" t="s">
        <v>1048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Fare per Unit Cargo Dist.xlsx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346</v>
      </c>
      <c r="B1060" t="s">
        <v>1047</v>
      </c>
      <c r="C1060" t="s">
        <v>1049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Fare per Unit Cargo Dist.xlsx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346</v>
      </c>
      <c r="B1061" t="s">
        <v>1047</v>
      </c>
      <c r="C1061" t="s">
        <v>1050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Fare per Unit Cargo Dist.xlsx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346</v>
      </c>
      <c r="B1062" t="s">
        <v>494</v>
      </c>
      <c r="C1062" t="s">
        <v>495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Grams CO2e Avoided per LCFS Credit.xlsx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346</v>
      </c>
      <c r="B1063" t="s">
        <v>494</v>
      </c>
      <c r="C1063" t="s">
        <v>496</v>
      </c>
      <c r="G1063" t="str">
        <f t="shared" si="38"/>
        <v>xlsx</v>
      </c>
      <c r="H1063" s="5" t="str">
        <f>IFERROR(IF(B1063="FoPITY",INDEX(Customizations!$C$2:$C$19,MATCH(Sheet1!C1063,Customizations!$B$2:$B$19,0),1),INDEX(About!C:C,MATCH(Sheet1!B1063,About!B:B,0),1)),"")</f>
        <v>Grams CO2e Avoided per LCFS Credit.xlsx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346</v>
      </c>
      <c r="B1064" t="s">
        <v>497</v>
      </c>
      <c r="C1064" t="s">
        <v>498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Incremental Cost to Produce Substitute Fuel for LCFS.xlsx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346</v>
      </c>
      <c r="B1065" t="s">
        <v>497</v>
      </c>
      <c r="C1065" t="s">
        <v>499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Incremental Cost to Produce Substitute Fuel for LCFS.xlsx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346</v>
      </c>
      <c r="B1066" t="s">
        <v>500</v>
      </c>
      <c r="C1066" t="s">
        <v>501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LCFS Credit Price Cap.xlsx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346</v>
      </c>
      <c r="B1067" t="s">
        <v>500</v>
      </c>
      <c r="C1067" t="s">
        <v>502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LCFS Credit Price Cap.xlsx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346</v>
      </c>
      <c r="B1068" t="s">
        <v>503</v>
      </c>
      <c r="C1068" t="s">
        <v>504</v>
      </c>
      <c r="G1068" t="str">
        <f t="shared" si="38"/>
        <v>xlsx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346</v>
      </c>
      <c r="B1069" t="s">
        <v>503</v>
      </c>
      <c r="C1069" t="s">
        <v>505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346</v>
      </c>
      <c r="B1070" t="s">
        <v>503</v>
      </c>
      <c r="C1070" t="s">
        <v>506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346</v>
      </c>
      <c r="B1071" t="s">
        <v>503</v>
      </c>
      <c r="C1071" t="s">
        <v>507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346</v>
      </c>
      <c r="B1072" t="s">
        <v>503</v>
      </c>
      <c r="C1072" t="s">
        <v>508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346</v>
      </c>
      <c r="B1073" t="s">
        <v>503</v>
      </c>
      <c r="C1073" t="s">
        <v>509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346</v>
      </c>
      <c r="B1074" t="s">
        <v>503</v>
      </c>
      <c r="C1074" t="s">
        <v>510</v>
      </c>
      <c r="G1074" t="str">
        <f t="shared" ref="G1074:G1137" si="40">RIGHT(C1074,"4")</f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ref="J1074:J1137" si="41">IF(G1074=".csv",1,0)*I1074</f>
        <v>0</v>
      </c>
    </row>
    <row r="1075" spans="1:10" x14ac:dyDescent="0.3">
      <c r="A1075" t="s">
        <v>346</v>
      </c>
      <c r="B1075" t="s">
        <v>503</v>
      </c>
      <c r="C1075" t="s">
        <v>511</v>
      </c>
      <c r="G1075" t="str">
        <f t="shared" si="40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41"/>
        <v>0</v>
      </c>
    </row>
    <row r="1076" spans="1:10" x14ac:dyDescent="0.3">
      <c r="A1076" t="s">
        <v>346</v>
      </c>
      <c r="B1076" t="s">
        <v>503</v>
      </c>
      <c r="C1076" t="s">
        <v>512</v>
      </c>
      <c r="G1076" t="str">
        <f t="shared" si="40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41"/>
        <v>0</v>
      </c>
    </row>
    <row r="1077" spans="1:10" x14ac:dyDescent="0.3">
      <c r="A1077" t="s">
        <v>346</v>
      </c>
      <c r="B1077" t="s">
        <v>503</v>
      </c>
      <c r="C1077" t="s">
        <v>513</v>
      </c>
      <c r="G1077" t="str">
        <f t="shared" si="40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41"/>
        <v>0</v>
      </c>
    </row>
    <row r="1078" spans="1:10" x14ac:dyDescent="0.3">
      <c r="A1078" t="s">
        <v>346</v>
      </c>
      <c r="B1078" t="s">
        <v>503</v>
      </c>
      <c r="C1078" t="s">
        <v>514</v>
      </c>
      <c r="G1078" t="str">
        <f t="shared" si="40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41"/>
        <v>0</v>
      </c>
    </row>
    <row r="1079" spans="1:10" x14ac:dyDescent="0.3">
      <c r="A1079" t="s">
        <v>346</v>
      </c>
      <c r="B1079" t="s">
        <v>503</v>
      </c>
      <c r="C1079" t="s">
        <v>515</v>
      </c>
      <c r="G1079" t="str">
        <f t="shared" si="40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41"/>
        <v>0</v>
      </c>
    </row>
    <row r="1080" spans="1:10" x14ac:dyDescent="0.3">
      <c r="A1080" t="s">
        <v>346</v>
      </c>
      <c r="B1080" t="s">
        <v>503</v>
      </c>
      <c r="C1080" t="s">
        <v>516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346</v>
      </c>
      <c r="B1081" t="s">
        <v>503</v>
      </c>
      <c r="C1081" t="s">
        <v>517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346</v>
      </c>
      <c r="B1082" t="s">
        <v>503</v>
      </c>
      <c r="C1082" t="s">
        <v>518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346</v>
      </c>
      <c r="B1083" t="s">
        <v>503</v>
      </c>
      <c r="C1083" t="s">
        <v>519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346</v>
      </c>
      <c r="B1084" t="s">
        <v>503</v>
      </c>
      <c r="C1084" t="s">
        <v>520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346</v>
      </c>
      <c r="B1085" t="s">
        <v>503</v>
      </c>
      <c r="C1085" t="s">
        <v>521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346</v>
      </c>
      <c r="B1086" t="s">
        <v>503</v>
      </c>
      <c r="C1086" t="s">
        <v>522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346</v>
      </c>
      <c r="B1087" t="s">
        <v>503</v>
      </c>
      <c r="C1087" t="s">
        <v>523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346</v>
      </c>
      <c r="B1088" t="s">
        <v>503</v>
      </c>
      <c r="C1088" t="s">
        <v>524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346</v>
      </c>
      <c r="B1089" t="s">
        <v>503</v>
      </c>
      <c r="C1089" t="s">
        <v>525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346</v>
      </c>
      <c r="B1090" t="s">
        <v>503</v>
      </c>
      <c r="C1090" t="s">
        <v>526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346</v>
      </c>
      <c r="B1091" t="s">
        <v>503</v>
      </c>
      <c r="C1091" t="s">
        <v>527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346</v>
      </c>
      <c r="B1092" t="s">
        <v>503</v>
      </c>
      <c r="C1092" t="s">
        <v>528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346</v>
      </c>
      <c r="B1093" t="s">
        <v>503</v>
      </c>
      <c r="C1093" t="s">
        <v>529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346</v>
      </c>
      <c r="B1094" t="s">
        <v>503</v>
      </c>
      <c r="C1094" t="s">
        <v>530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346</v>
      </c>
      <c r="B1095" t="s">
        <v>503</v>
      </c>
      <c r="C1095" t="s">
        <v>531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346</v>
      </c>
      <c r="B1096" t="s">
        <v>503</v>
      </c>
      <c r="C1096" t="s">
        <v>532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346</v>
      </c>
      <c r="B1097" t="s">
        <v>503</v>
      </c>
      <c r="C1097" t="s">
        <v>533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346</v>
      </c>
      <c r="B1098" t="s">
        <v>503</v>
      </c>
      <c r="C1098" t="s">
        <v>534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346</v>
      </c>
      <c r="B1099" t="s">
        <v>503</v>
      </c>
      <c r="C1099" t="s">
        <v>535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346</v>
      </c>
      <c r="B1100" t="s">
        <v>503</v>
      </c>
      <c r="C1100" t="s">
        <v>536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346</v>
      </c>
      <c r="B1101" t="s">
        <v>503</v>
      </c>
      <c r="C1101" t="s">
        <v>537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346</v>
      </c>
      <c r="B1102" t="s">
        <v>503</v>
      </c>
      <c r="C1102" t="s">
        <v>538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346</v>
      </c>
      <c r="B1103" t="s">
        <v>503</v>
      </c>
      <c r="C1103" t="s">
        <v>539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346</v>
      </c>
      <c r="B1104" t="s">
        <v>503</v>
      </c>
      <c r="C1104" t="s">
        <v>540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346</v>
      </c>
      <c r="B1105" t="s">
        <v>503</v>
      </c>
      <c r="C1105" t="s">
        <v>541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346</v>
      </c>
      <c r="B1106" t="s">
        <v>503</v>
      </c>
      <c r="C1106" t="s">
        <v>542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346</v>
      </c>
      <c r="B1107" t="s">
        <v>503</v>
      </c>
      <c r="C1107" t="s">
        <v>543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346</v>
      </c>
      <c r="B1108" t="s">
        <v>503</v>
      </c>
      <c r="C1108" t="s">
        <v>544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346</v>
      </c>
      <c r="B1109" t="s">
        <v>503</v>
      </c>
      <c r="C1109" t="s">
        <v>545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346</v>
      </c>
      <c r="B1110" t="s">
        <v>503</v>
      </c>
      <c r="C1110" t="s">
        <v>546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346</v>
      </c>
      <c r="B1111" t="s">
        <v>503</v>
      </c>
      <c r="C1111" t="s">
        <v>547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346</v>
      </c>
      <c r="B1112" t="s">
        <v>503</v>
      </c>
      <c r="C1112" t="s">
        <v>548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346</v>
      </c>
      <c r="B1113" t="s">
        <v>503</v>
      </c>
      <c r="C1113" t="s">
        <v>549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346</v>
      </c>
      <c r="B1114" t="s">
        <v>503</v>
      </c>
      <c r="C1114" t="s">
        <v>550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346</v>
      </c>
      <c r="B1115" t="s">
        <v>503</v>
      </c>
      <c r="C1115" t="s">
        <v>551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346</v>
      </c>
      <c r="B1116" t="s">
        <v>503</v>
      </c>
      <c r="C1116" t="s">
        <v>552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346</v>
      </c>
      <c r="B1117" t="s">
        <v>503</v>
      </c>
      <c r="C1117" t="s">
        <v>553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346</v>
      </c>
      <c r="B1118" t="s">
        <v>503</v>
      </c>
      <c r="C1118" t="s">
        <v>554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346</v>
      </c>
      <c r="B1119" t="s">
        <v>503</v>
      </c>
      <c r="C1119" t="s">
        <v>555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346</v>
      </c>
      <c r="B1120" t="s">
        <v>503</v>
      </c>
      <c r="C1120" t="s">
        <v>556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346</v>
      </c>
      <c r="B1121" t="s">
        <v>503</v>
      </c>
      <c r="C1121" t="s">
        <v>557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346</v>
      </c>
      <c r="B1122" t="s">
        <v>503</v>
      </c>
      <c r="C1122" t="s">
        <v>558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346</v>
      </c>
      <c r="B1123" t="s">
        <v>503</v>
      </c>
      <c r="C1123" t="s">
        <v>559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346</v>
      </c>
      <c r="B1124" t="s">
        <v>503</v>
      </c>
      <c r="C1124" t="s">
        <v>560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346</v>
      </c>
      <c r="B1125" t="s">
        <v>503</v>
      </c>
      <c r="C1125" t="s">
        <v>561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346</v>
      </c>
      <c r="B1126" t="s">
        <v>503</v>
      </c>
      <c r="C1126" t="s">
        <v>562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346</v>
      </c>
      <c r="B1127" t="s">
        <v>503</v>
      </c>
      <c r="C1127" t="s">
        <v>563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346</v>
      </c>
      <c r="B1128" t="s">
        <v>503</v>
      </c>
      <c r="C1128" t="s">
        <v>564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346</v>
      </c>
      <c r="B1129" t="s">
        <v>503</v>
      </c>
      <c r="C1129" t="s">
        <v>565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346</v>
      </c>
      <c r="B1130" t="s">
        <v>503</v>
      </c>
      <c r="C1130" t="s">
        <v>566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346</v>
      </c>
      <c r="B1131" t="s">
        <v>503</v>
      </c>
      <c r="C1131" t="s">
        <v>567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346</v>
      </c>
      <c r="B1132" t="s">
        <v>503</v>
      </c>
      <c r="C1132" t="s">
        <v>568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346</v>
      </c>
      <c r="B1133" t="s">
        <v>503</v>
      </c>
      <c r="C1133" t="s">
        <v>569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346</v>
      </c>
      <c r="B1134" t="s">
        <v>503</v>
      </c>
      <c r="C1134" t="s">
        <v>570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346</v>
      </c>
      <c r="B1135" t="s">
        <v>503</v>
      </c>
      <c r="C1135" t="s">
        <v>571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346</v>
      </c>
      <c r="B1136" t="s">
        <v>503</v>
      </c>
      <c r="C1136" t="s">
        <v>572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346</v>
      </c>
      <c r="B1137" t="s">
        <v>503</v>
      </c>
      <c r="C1137" t="s">
        <v>573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346</v>
      </c>
      <c r="B1138" t="s">
        <v>503</v>
      </c>
      <c r="C1138" t="s">
        <v>574</v>
      </c>
      <c r="G1138" t="str">
        <f t="shared" ref="G1138:G1146" si="42">RIGHT(C1138,"4")</f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ref="J1138:J1146" si="43">IF(G1138=".csv",1,0)*I1138</f>
        <v>0</v>
      </c>
    </row>
    <row r="1139" spans="1:10" x14ac:dyDescent="0.3">
      <c r="A1139" t="s">
        <v>346</v>
      </c>
      <c r="B1139" t="s">
        <v>503</v>
      </c>
      <c r="C1139" t="s">
        <v>575</v>
      </c>
      <c r="G1139" t="str">
        <f t="shared" si="42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3"/>
        <v>0</v>
      </c>
    </row>
    <row r="1140" spans="1:10" x14ac:dyDescent="0.3">
      <c r="A1140" t="s">
        <v>346</v>
      </c>
      <c r="B1140" t="s">
        <v>503</v>
      </c>
      <c r="C1140" t="s">
        <v>576</v>
      </c>
      <c r="G1140" t="str">
        <f t="shared" si="42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3"/>
        <v>0</v>
      </c>
    </row>
    <row r="1141" spans="1:10" x14ac:dyDescent="0.3">
      <c r="A1141" t="s">
        <v>346</v>
      </c>
      <c r="B1141" t="s">
        <v>1416</v>
      </c>
      <c r="C1141" t="s">
        <v>1417</v>
      </c>
      <c r="G1141" t="str">
        <f t="shared" si="42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3"/>
        <v>0</v>
      </c>
    </row>
    <row r="1142" spans="1:10" x14ac:dyDescent="0.3">
      <c r="A1142" t="s">
        <v>346</v>
      </c>
      <c r="B1142" t="s">
        <v>1416</v>
      </c>
      <c r="C1142" t="s">
        <v>1418</v>
      </c>
      <c r="G1142" t="str">
        <f t="shared" si="42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3"/>
        <v>0</v>
      </c>
    </row>
    <row r="1143" spans="1:10" x14ac:dyDescent="0.3">
      <c r="A1143" t="s">
        <v>346</v>
      </c>
      <c r="B1143" t="s">
        <v>1416</v>
      </c>
      <c r="C1143" t="s">
        <v>1419</v>
      </c>
      <c r="G1143" t="str">
        <f t="shared" si="42"/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si="43"/>
        <v>0</v>
      </c>
    </row>
    <row r="1144" spans="1:10" x14ac:dyDescent="0.3">
      <c r="A1144" t="s">
        <v>346</v>
      </c>
      <c r="B1144" t="s">
        <v>1416</v>
      </c>
      <c r="C1144" t="s">
        <v>1420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346</v>
      </c>
      <c r="B1145" t="s">
        <v>1416</v>
      </c>
      <c r="C1145" t="s">
        <v>1421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346</v>
      </c>
      <c r="B1146" t="s">
        <v>1416</v>
      </c>
      <c r="C1146" t="s">
        <v>1422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346</v>
      </c>
      <c r="B1147" t="s">
        <v>1416</v>
      </c>
      <c r="C1147" t="s">
        <v>1423</v>
      </c>
      <c r="G1147" t="str">
        <f t="shared" ref="G1147:G1210" si="44">RIGHT(C1147,"4")</f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ref="J1147:J1210" si="45">IF(G1147=".csv",1,0)*I1147</f>
        <v>0</v>
      </c>
    </row>
    <row r="1148" spans="1:10" x14ac:dyDescent="0.3">
      <c r="A1148" t="s">
        <v>346</v>
      </c>
      <c r="B1148" t="s">
        <v>1416</v>
      </c>
      <c r="C1148" t="s">
        <v>1424</v>
      </c>
      <c r="G1148" t="str">
        <f t="shared" si="44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5"/>
        <v>0</v>
      </c>
    </row>
    <row r="1149" spans="1:10" x14ac:dyDescent="0.3">
      <c r="A1149" t="s">
        <v>346</v>
      </c>
      <c r="B1149" t="s">
        <v>1416</v>
      </c>
      <c r="C1149" t="s">
        <v>1425</v>
      </c>
      <c r="G1149" t="str">
        <f t="shared" si="44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5"/>
        <v>0</v>
      </c>
    </row>
    <row r="1150" spans="1:10" x14ac:dyDescent="0.3">
      <c r="A1150" t="s">
        <v>346</v>
      </c>
      <c r="B1150" t="s">
        <v>1416</v>
      </c>
      <c r="C1150" t="s">
        <v>1426</v>
      </c>
      <c r="G1150" t="str">
        <f t="shared" si="44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5"/>
        <v>0</v>
      </c>
    </row>
    <row r="1151" spans="1:10" x14ac:dyDescent="0.3">
      <c r="A1151" t="s">
        <v>346</v>
      </c>
      <c r="B1151" t="s">
        <v>1416</v>
      </c>
      <c r="C1151" t="s">
        <v>1427</v>
      </c>
      <c r="G1151" t="str">
        <f t="shared" si="44"/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si="45"/>
        <v>0</v>
      </c>
    </row>
    <row r="1152" spans="1:10" x14ac:dyDescent="0.3">
      <c r="A1152" t="s">
        <v>346</v>
      </c>
      <c r="B1152" t="s">
        <v>1416</v>
      </c>
      <c r="C1152" t="s">
        <v>1428</v>
      </c>
      <c r="G1152" t="str">
        <f t="shared" si="44"/>
        <v>.csv</v>
      </c>
      <c r="H1152" s="5" t="str">
        <f>IFERROR(IF(B1152="FoPITY",INDEX(Customizations!$C$2:$C$19,MATCH(Sheet1!C1152,Customizations!$B$2:$B$19,0),1),INDEX(About!C:C,MATCH(Sheet1!B1152,About!B:B,0),1)),"")</f>
        <v>Non-Battery Portion of New Vehicle Price.xlsx</v>
      </c>
      <c r="I1152" s="5">
        <f>IFERROR(INDEX(About!$D:$D,MATCH(Sheet1!H1152,About!$C:$C,0),1),0)</f>
        <v>0</v>
      </c>
      <c r="J1152" s="6">
        <f t="shared" si="45"/>
        <v>0</v>
      </c>
    </row>
    <row r="1153" spans="1:10" x14ac:dyDescent="0.3">
      <c r="A1153" t="s">
        <v>346</v>
      </c>
      <c r="B1153" t="s">
        <v>1416</v>
      </c>
      <c r="C1153" t="s">
        <v>1429</v>
      </c>
      <c r="G1153" t="str">
        <f t="shared" si="44"/>
        <v>xlsx</v>
      </c>
      <c r="H1153" s="5" t="str">
        <f>IFERROR(IF(B1153="FoPITY",INDEX(Customizations!$C$2:$C$19,MATCH(Sheet1!C1153,Customizations!$B$2:$B$19,0),1),INDEX(About!C:C,MATCH(Sheet1!B1153,About!B:B,0),1)),"")</f>
        <v>Non-Battery Portion of New Vehicle Price.xlsx</v>
      </c>
      <c r="I1153" s="5">
        <f>IFERROR(INDEX(About!$D:$D,MATCH(Sheet1!H1153,About!$C:$C,0),1),0)</f>
        <v>0</v>
      </c>
      <c r="J1153" s="6">
        <f t="shared" si="45"/>
        <v>0</v>
      </c>
    </row>
    <row r="1154" spans="1:10" x14ac:dyDescent="0.3">
      <c r="A1154" t="s">
        <v>346</v>
      </c>
      <c r="B1154" t="s">
        <v>577</v>
      </c>
      <c r="C1154" t="s">
        <v>578</v>
      </c>
      <c r="G1154" t="str">
        <f t="shared" si="44"/>
        <v>xlsx</v>
      </c>
      <c r="H1154" s="5" t="str">
        <f>IFERROR(IF(B1154="FoPITY",INDEX(Customizations!$C$2:$C$19,MATCH(Sheet1!C1154,Customizations!$B$2:$B$19,0),1),INDEX(About!C:C,MATCH(Sheet1!B1154,About!B:B,0),1)),"")</f>
        <v>Perc Trans Fuel Use Reduction for Elec.xlsx</v>
      </c>
      <c r="I1154" s="5">
        <f>IFERROR(INDEX(About!$D:$D,MATCH(Sheet1!H1154,About!$C:$C,0),1),0)</f>
        <v>0</v>
      </c>
      <c r="J1154" s="6">
        <f t="shared" si="45"/>
        <v>0</v>
      </c>
    </row>
    <row r="1155" spans="1:10" x14ac:dyDescent="0.3">
      <c r="A1155" t="s">
        <v>346</v>
      </c>
      <c r="B1155" t="s">
        <v>577</v>
      </c>
      <c r="C1155" t="s">
        <v>579</v>
      </c>
      <c r="G1155" t="str">
        <f t="shared" si="44"/>
        <v>.csv</v>
      </c>
      <c r="H1155" s="5" t="str">
        <f>IFERROR(IF(B1155="FoPITY",INDEX(Customizations!$C$2:$C$19,MATCH(Sheet1!C1155,Customizations!$B$2:$B$19,0),1),INDEX(About!C:C,MATCH(Sheet1!B1155,About!B:B,0),1)),"")</f>
        <v>Perc Trans Fuel Use Reduction for Elec.xlsx</v>
      </c>
      <c r="I1155" s="5">
        <f>IFERROR(INDEX(About!$D:$D,MATCH(Sheet1!H1155,About!$C:$C,0),1),0)</f>
        <v>0</v>
      </c>
      <c r="J1155" s="6">
        <f t="shared" si="45"/>
        <v>0</v>
      </c>
    </row>
    <row r="1156" spans="1:10" x14ac:dyDescent="0.3">
      <c r="A1156" t="s">
        <v>346</v>
      </c>
      <c r="B1156" t="s">
        <v>1430</v>
      </c>
      <c r="C1156" t="s">
        <v>1431</v>
      </c>
      <c r="G1156" t="str">
        <f t="shared" si="44"/>
        <v>xlsx</v>
      </c>
      <c r="H1156" s="5" t="str">
        <f>IFERROR(IF(B1156="FoPITY",INDEX(Customizations!$C$2:$C$19,MATCH(Sheet1!C1156,Customizations!$B$2:$B$19,0),1),INDEX(About!C:C,MATCH(Sheet1!B1156,About!B:B,0),1)),"")</f>
        <v>Policy Veh Types Subject to LCFS.xlsx</v>
      </c>
      <c r="I1156" s="5">
        <f>IFERROR(INDEX(About!$D:$D,MATCH(Sheet1!H1156,About!$C:$C,0),1),0)</f>
        <v>0</v>
      </c>
      <c r="J1156" s="6">
        <f t="shared" si="45"/>
        <v>0</v>
      </c>
    </row>
    <row r="1157" spans="1:10" x14ac:dyDescent="0.3">
      <c r="A1157" t="s">
        <v>346</v>
      </c>
      <c r="B1157" t="s">
        <v>1430</v>
      </c>
      <c r="C1157" t="s">
        <v>1432</v>
      </c>
      <c r="G1157" t="str">
        <f t="shared" si="44"/>
        <v>.csv</v>
      </c>
      <c r="H1157" s="5" t="str">
        <f>IFERROR(IF(B1157="FoPITY",INDEX(Customizations!$C$2:$C$19,MATCH(Sheet1!C1157,Customizations!$B$2:$B$19,0),1),INDEX(About!C:C,MATCH(Sheet1!B1157,About!B:B,0),1)),"")</f>
        <v>Policy Veh Types Subject to LCFS.xlsx</v>
      </c>
      <c r="I1157" s="5">
        <f>IFERROR(INDEX(About!$D:$D,MATCH(Sheet1!H1157,About!$C:$C,0),1),0)</f>
        <v>0</v>
      </c>
      <c r="J1157" s="6">
        <f t="shared" si="45"/>
        <v>0</v>
      </c>
    </row>
    <row r="1158" spans="1:10" x14ac:dyDescent="0.3">
      <c r="A1158" t="s">
        <v>346</v>
      </c>
      <c r="B1158" t="s">
        <v>769</v>
      </c>
      <c r="C1158" t="s">
        <v>770</v>
      </c>
      <c r="G1158" t="str">
        <f t="shared" si="44"/>
        <v>.csv</v>
      </c>
      <c r="H1158" s="5" t="str">
        <f>IFERROR(IF(B1158="FoPITY",INDEX(Customizations!$C$2:$C$19,MATCH(Sheet1!C1158,Customizations!$B$2:$B$19,0),1),INDEX(About!C:C,MATCH(Sheet1!B1158,About!B:B,0),1)),"")</f>
        <v>Quantization Size for Vehicles.xlsx</v>
      </c>
      <c r="I1158" s="5">
        <f>IFERROR(INDEX(About!$D:$D,MATCH(Sheet1!H1158,About!$C:$C,0),1),0)</f>
        <v>0</v>
      </c>
      <c r="J1158" s="6">
        <f t="shared" si="45"/>
        <v>0</v>
      </c>
    </row>
    <row r="1159" spans="1:10" x14ac:dyDescent="0.3">
      <c r="A1159" t="s">
        <v>346</v>
      </c>
      <c r="B1159" t="s">
        <v>769</v>
      </c>
      <c r="C1159" t="s">
        <v>771</v>
      </c>
      <c r="G1159" t="str">
        <f t="shared" si="44"/>
        <v>xlsx</v>
      </c>
      <c r="H1159" s="5" t="str">
        <f>IFERROR(IF(B1159="FoPITY",INDEX(Customizations!$C$2:$C$19,MATCH(Sheet1!C1159,Customizations!$B$2:$B$19,0),1),INDEX(About!C:C,MATCH(Sheet1!B1159,About!B:B,0),1)),"")</f>
        <v>Quantization Size for Vehicles.xlsx</v>
      </c>
      <c r="I1159" s="5">
        <f>IFERROR(INDEX(About!$D:$D,MATCH(Sheet1!H1159,About!$C:$C,0),1),0)</f>
        <v>0</v>
      </c>
      <c r="J1159" s="6">
        <f t="shared" si="45"/>
        <v>0</v>
      </c>
    </row>
    <row r="1160" spans="1:10" x14ac:dyDescent="0.3">
      <c r="A1160" t="s">
        <v>346</v>
      </c>
      <c r="B1160" t="s">
        <v>1269</v>
      </c>
      <c r="C1160" t="s">
        <v>1270</v>
      </c>
      <c r="G1160" t="str">
        <f t="shared" si="44"/>
        <v>xlsx</v>
      </c>
      <c r="H1160" s="5" t="str">
        <f>IFERROR(IF(B1160="FoPITY",INDEX(Customizations!$C$2:$C$19,MATCH(Sheet1!C1160,Customizations!$B$2:$B$19,0),1),INDEX(About!C:C,MATCH(Sheet1!B1160,About!B:B,0),1)),"")</f>
        <v>Retail Price Equivalent Factor.xlsx</v>
      </c>
      <c r="I1160" s="5">
        <f>IFERROR(INDEX(About!$D:$D,MATCH(Sheet1!H1160,About!$C:$C,0),1),0)</f>
        <v>0</v>
      </c>
      <c r="J1160" s="6">
        <f t="shared" si="45"/>
        <v>0</v>
      </c>
    </row>
    <row r="1161" spans="1:10" x14ac:dyDescent="0.3">
      <c r="A1161" t="s">
        <v>346</v>
      </c>
      <c r="B1161" t="s">
        <v>1269</v>
      </c>
      <c r="C1161" t="s">
        <v>1271</v>
      </c>
      <c r="G1161" t="str">
        <f t="shared" si="44"/>
        <v>.csv</v>
      </c>
      <c r="H1161" s="5" t="str">
        <f>IFERROR(IF(B1161="FoPITY",INDEX(Customizations!$C$2:$C$19,MATCH(Sheet1!C1161,Customizations!$B$2:$B$19,0),1),INDEX(About!C:C,MATCH(Sheet1!B1161,About!B:B,0),1)),"")</f>
        <v>Retail Price Equivalent Factor.xlsx</v>
      </c>
      <c r="I1161" s="5">
        <f>IFERROR(INDEX(About!$D:$D,MATCH(Sheet1!H1161,About!$C:$C,0),1),0)</f>
        <v>0</v>
      </c>
      <c r="J1161" s="6">
        <f t="shared" si="45"/>
        <v>0</v>
      </c>
    </row>
    <row r="1162" spans="1:10" x14ac:dyDescent="0.3">
      <c r="A1162" t="s">
        <v>346</v>
      </c>
      <c r="B1162" t="s">
        <v>895</v>
      </c>
      <c r="C1162" t="s">
        <v>896</v>
      </c>
      <c r="G1162" t="str">
        <f t="shared" si="44"/>
        <v>xlsx</v>
      </c>
      <c r="H1162" s="5" t="str">
        <f>IFERROR(IF(B1162="FoPITY",INDEX(Customizations!$C$2:$C$19,MATCH(Sheet1!C1162,Customizations!$B$2:$B$19,0),1),INDEX(About!C:C,MATCH(Sheet1!B1162,About!B:B,0),1)),"")</f>
        <v>Recipient Transportation Mode Fractions.xlsx</v>
      </c>
      <c r="I1162" s="5">
        <f>IFERROR(INDEX(About!$D:$D,MATCH(Sheet1!H1162,About!$C:$C,0),1),0)</f>
        <v>0</v>
      </c>
      <c r="J1162" s="6">
        <f t="shared" si="45"/>
        <v>0</v>
      </c>
    </row>
    <row r="1163" spans="1:10" x14ac:dyDescent="0.3">
      <c r="A1163" t="s">
        <v>346</v>
      </c>
      <c r="B1163" t="s">
        <v>895</v>
      </c>
      <c r="C1163" t="s">
        <v>897</v>
      </c>
      <c r="G1163" t="str">
        <f t="shared" si="44"/>
        <v>.csv</v>
      </c>
      <c r="H1163" s="5" t="str">
        <f>IFERROR(IF(B1163="FoPITY",INDEX(Customizations!$C$2:$C$19,MATCH(Sheet1!C1163,Customizations!$B$2:$B$19,0),1),INDEX(About!C:C,MATCH(Sheet1!B1163,About!B:B,0),1)),"")</f>
        <v>Recipient Transportation Mode Fractions.xlsx</v>
      </c>
      <c r="I1163" s="5">
        <f>IFERROR(INDEX(About!$D:$D,MATCH(Sheet1!H1163,About!$C:$C,0),1),0)</f>
        <v>0</v>
      </c>
      <c r="J1163" s="6">
        <f t="shared" si="45"/>
        <v>0</v>
      </c>
    </row>
    <row r="1164" spans="1:10" x14ac:dyDescent="0.3">
      <c r="A1164" t="s">
        <v>346</v>
      </c>
      <c r="B1164" t="s">
        <v>895</v>
      </c>
      <c r="C1164" t="s">
        <v>898</v>
      </c>
      <c r="G1164" t="str">
        <f t="shared" si="44"/>
        <v>.csv</v>
      </c>
      <c r="H1164" s="5" t="str">
        <f>IFERROR(IF(B1164="FoPITY",INDEX(Customizations!$C$2:$C$19,MATCH(Sheet1!C1164,Customizations!$B$2:$B$19,0),1),INDEX(About!C:C,MATCH(Sheet1!B1164,About!B:B,0),1)),"")</f>
        <v>Recipient Transportation Mode Fractions.xlsx</v>
      </c>
      <c r="I1164" s="5">
        <f>IFERROR(INDEX(About!$D:$D,MATCH(Sheet1!H1164,About!$C:$C,0),1),0)</f>
        <v>0</v>
      </c>
      <c r="J1164" s="6">
        <f t="shared" si="45"/>
        <v>0</v>
      </c>
    </row>
    <row r="1165" spans="1:10" x14ac:dyDescent="0.3">
      <c r="A1165" t="s">
        <v>346</v>
      </c>
      <c r="B1165" t="s">
        <v>1560</v>
      </c>
      <c r="C1165" t="s">
        <v>1561</v>
      </c>
      <c r="G1165" t="str">
        <f t="shared" si="44"/>
        <v>xlsx</v>
      </c>
      <c r="H1165" s="5" t="str">
        <f>IFERROR(IF(B1165="FoPITY",INDEX(Customizations!$C$2:$C$19,MATCH(Sheet1!C1165,Customizations!$B$2:$B$19,0),1),INDEX(About!C:C,MATCH(Sheet1!B1165,About!B:B,0),1)),"")</f>
        <v>Required ZEV Sales Perc by Subregion.xlsx</v>
      </c>
      <c r="I1165" s="5">
        <f>IFERROR(INDEX(About!$D:$D,MATCH(Sheet1!H1165,About!$C:$C,0),1),0)</f>
        <v>0</v>
      </c>
      <c r="J1165" s="6">
        <f t="shared" si="45"/>
        <v>0</v>
      </c>
    </row>
    <row r="1166" spans="1:10" x14ac:dyDescent="0.3">
      <c r="A1166" t="s">
        <v>346</v>
      </c>
      <c r="B1166" t="s">
        <v>1560</v>
      </c>
      <c r="C1166" t="s">
        <v>1562</v>
      </c>
      <c r="G1166" t="str">
        <f t="shared" si="44"/>
        <v>.csv</v>
      </c>
      <c r="H1166" s="5" t="str">
        <f>IFERROR(IF(B1166="FoPITY",INDEX(Customizations!$C$2:$C$19,MATCH(Sheet1!C1166,Customizations!$B$2:$B$19,0),1),INDEX(About!C:C,MATCH(Sheet1!B1166,About!B:B,0),1)),"")</f>
        <v>Required ZEV Sales Perc by Subregion.xlsx</v>
      </c>
      <c r="I1166" s="5">
        <f>IFERROR(INDEX(About!$D:$D,MATCH(Sheet1!H1166,About!$C:$C,0),1),0)</f>
        <v>0</v>
      </c>
      <c r="J1166" s="6">
        <f t="shared" si="45"/>
        <v>0</v>
      </c>
    </row>
    <row r="1167" spans="1:10" x14ac:dyDescent="0.3">
      <c r="A1167" t="s">
        <v>346</v>
      </c>
      <c r="B1167" t="s">
        <v>1560</v>
      </c>
      <c r="C1167" t="s">
        <v>1563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Required ZEV Sales Perc by Subregion.xlsx</v>
      </c>
      <c r="I1167" s="5">
        <f>IFERROR(INDEX(About!$D:$D,MATCH(Sheet1!H1167,About!$C:$C,0),1),0)</f>
        <v>0</v>
      </c>
      <c r="J1167" s="6">
        <f t="shared" si="45"/>
        <v>0</v>
      </c>
    </row>
    <row r="1168" spans="1:10" x14ac:dyDescent="0.3">
      <c r="A1168" t="s">
        <v>346</v>
      </c>
      <c r="B1168" t="s">
        <v>1560</v>
      </c>
      <c r="C1168" t="s">
        <v>1564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Required ZEV Sales Perc by Subregion.xlsx</v>
      </c>
      <c r="I1168" s="5">
        <f>IFERROR(INDEX(About!$D:$D,MATCH(Sheet1!H1168,About!$C:$C,0),1),0)</f>
        <v>0</v>
      </c>
      <c r="J1168" s="6">
        <f t="shared" si="45"/>
        <v>0</v>
      </c>
    </row>
    <row r="1169" spans="1:10" x14ac:dyDescent="0.3">
      <c r="A1169" t="s">
        <v>346</v>
      </c>
      <c r="B1169" t="s">
        <v>1560</v>
      </c>
      <c r="C1169" t="s">
        <v>1565</v>
      </c>
      <c r="G1169" t="str">
        <f t="shared" si="44"/>
        <v>.csv</v>
      </c>
      <c r="H1169" s="5" t="str">
        <f>IFERROR(IF(B1169="FoPITY",INDEX(Customizations!$C$2:$C$19,MATCH(Sheet1!C1169,Customizations!$B$2:$B$19,0),1),INDEX(About!C:C,MATCH(Sheet1!B1169,About!B:B,0),1)),"")</f>
        <v>Required ZEV Sales Perc by Subregion.xlsx</v>
      </c>
      <c r="I1169" s="5">
        <f>IFERROR(INDEX(About!$D:$D,MATCH(Sheet1!H1169,About!$C:$C,0),1),0)</f>
        <v>0</v>
      </c>
      <c r="J1169" s="6">
        <f t="shared" si="45"/>
        <v>0</v>
      </c>
    </row>
    <row r="1170" spans="1:10" x14ac:dyDescent="0.3">
      <c r="A1170" t="s">
        <v>346</v>
      </c>
      <c r="B1170" t="s">
        <v>1560</v>
      </c>
      <c r="C1170" t="s">
        <v>1566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Required ZEV Sales Perc by Subregion.xlsx</v>
      </c>
      <c r="I1170" s="5">
        <f>IFERROR(INDEX(About!$D:$D,MATCH(Sheet1!H1170,About!$C:$C,0),1),0)</f>
        <v>0</v>
      </c>
      <c r="J1170" s="6">
        <f t="shared" si="45"/>
        <v>0</v>
      </c>
    </row>
    <row r="1171" spans="1:10" x14ac:dyDescent="0.3">
      <c r="A1171" t="s">
        <v>346</v>
      </c>
      <c r="B1171" t="s">
        <v>1560</v>
      </c>
      <c r="C1171" t="s">
        <v>1567</v>
      </c>
      <c r="G1171" t="str">
        <f t="shared" si="44"/>
        <v>.csv</v>
      </c>
      <c r="H1171" s="5" t="str">
        <f>IFERROR(IF(B1171="FoPITY",INDEX(Customizations!$C$2:$C$19,MATCH(Sheet1!C1171,Customizations!$B$2:$B$19,0),1),INDEX(About!C:C,MATCH(Sheet1!B1171,About!B:B,0),1)),"")</f>
        <v>Required ZEV Sales Perc by Subregion.xlsx</v>
      </c>
      <c r="I1171" s="5">
        <f>IFERROR(INDEX(About!$D:$D,MATCH(Sheet1!H1171,About!$C:$C,0),1),0)</f>
        <v>0</v>
      </c>
      <c r="J1171" s="6">
        <f t="shared" si="45"/>
        <v>0</v>
      </c>
    </row>
    <row r="1172" spans="1:10" x14ac:dyDescent="0.3">
      <c r="A1172" t="s">
        <v>346</v>
      </c>
      <c r="B1172" t="s">
        <v>1560</v>
      </c>
      <c r="C1172" t="s">
        <v>1568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Required ZEV Sales Perc by Subregion.xlsx</v>
      </c>
      <c r="I1172" s="5">
        <f>IFERROR(INDEX(About!$D:$D,MATCH(Sheet1!H1172,About!$C:$C,0),1),0)</f>
        <v>0</v>
      </c>
      <c r="J1172" s="6">
        <f t="shared" si="45"/>
        <v>0</v>
      </c>
    </row>
    <row r="1173" spans="1:10" x14ac:dyDescent="0.3">
      <c r="A1173" t="s">
        <v>346</v>
      </c>
      <c r="B1173" t="s">
        <v>1560</v>
      </c>
      <c r="C1173" t="s">
        <v>1569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Required ZEV Sales Perc by Subregion.xlsx</v>
      </c>
      <c r="I1173" s="5">
        <f>IFERROR(INDEX(About!$D:$D,MATCH(Sheet1!H1173,About!$C:$C,0),1),0)</f>
        <v>0</v>
      </c>
      <c r="J1173" s="6">
        <f t="shared" si="45"/>
        <v>0</v>
      </c>
    </row>
    <row r="1174" spans="1:10" x14ac:dyDescent="0.3">
      <c r="A1174" t="s">
        <v>346</v>
      </c>
      <c r="B1174" t="s">
        <v>1560</v>
      </c>
      <c r="C1174" t="s">
        <v>1570</v>
      </c>
      <c r="G1174" t="str">
        <f t="shared" si="44"/>
        <v>.csv</v>
      </c>
      <c r="H1174" s="5" t="str">
        <f>IFERROR(IF(B1174="FoPITY",INDEX(Customizations!$C$2:$C$19,MATCH(Sheet1!C1174,Customizations!$B$2:$B$19,0),1),INDEX(About!C:C,MATCH(Sheet1!B1174,About!B:B,0),1)),"")</f>
        <v>Required ZEV Sales Perc by Subregion.xlsx</v>
      </c>
      <c r="I1174" s="5">
        <f>IFERROR(INDEX(About!$D:$D,MATCH(Sheet1!H1174,About!$C:$C,0),1),0)</f>
        <v>0</v>
      </c>
      <c r="J1174" s="6">
        <f t="shared" si="45"/>
        <v>0</v>
      </c>
    </row>
    <row r="1175" spans="1:10" x14ac:dyDescent="0.3">
      <c r="A1175" t="s">
        <v>346</v>
      </c>
      <c r="B1175" t="s">
        <v>1560</v>
      </c>
      <c r="C1175" t="s">
        <v>1571</v>
      </c>
      <c r="G1175" t="str">
        <f t="shared" si="44"/>
        <v>.csv</v>
      </c>
      <c r="H1175" s="5" t="str">
        <f>IFERROR(IF(B1175="FoPITY",INDEX(Customizations!$C$2:$C$19,MATCH(Sheet1!C1175,Customizations!$B$2:$B$19,0),1),INDEX(About!C:C,MATCH(Sheet1!B1175,About!B:B,0),1)),"")</f>
        <v>Required ZEV Sales Perc by Subregion.xlsx</v>
      </c>
      <c r="I1175" s="5">
        <f>IFERROR(INDEX(About!$D:$D,MATCH(Sheet1!H1175,About!$C:$C,0),1),0)</f>
        <v>0</v>
      </c>
      <c r="J1175" s="6">
        <f t="shared" si="45"/>
        <v>0</v>
      </c>
    </row>
    <row r="1176" spans="1:10" x14ac:dyDescent="0.3">
      <c r="A1176" t="s">
        <v>346</v>
      </c>
      <c r="B1176" t="s">
        <v>1560</v>
      </c>
      <c r="C1176" t="s">
        <v>1572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Required ZEV Sales Perc by Subregion.xlsx</v>
      </c>
      <c r="I1176" s="5">
        <f>IFERROR(INDEX(About!$D:$D,MATCH(Sheet1!H1176,About!$C:$C,0),1),0)</f>
        <v>0</v>
      </c>
      <c r="J1176" s="6">
        <f t="shared" si="45"/>
        <v>0</v>
      </c>
    </row>
    <row r="1177" spans="1:10" x14ac:dyDescent="0.3">
      <c r="A1177" t="s">
        <v>346</v>
      </c>
      <c r="B1177" t="s">
        <v>1560</v>
      </c>
      <c r="C1177" t="s">
        <v>1573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Required ZEV Sales Perc by Subregion.xlsx</v>
      </c>
      <c r="I1177" s="5">
        <f>IFERROR(INDEX(About!$D:$D,MATCH(Sheet1!H1177,About!$C:$C,0),1),0)</f>
        <v>0</v>
      </c>
      <c r="J1177" s="6">
        <f t="shared" si="45"/>
        <v>0</v>
      </c>
    </row>
    <row r="1178" spans="1:10" x14ac:dyDescent="0.3">
      <c r="A1178" t="s">
        <v>346</v>
      </c>
      <c r="B1178" t="s">
        <v>580</v>
      </c>
      <c r="C1178" t="s">
        <v>581</v>
      </c>
      <c r="G1178" t="str">
        <f t="shared" si="44"/>
        <v>xlsx</v>
      </c>
      <c r="H1178" s="5" t="str">
        <f>IFERROR(IF(B1178="FoPITY",INDEX(Customizations!$C$2:$C$19,MATCH(Sheet1!C1178,Customizations!$B$2:$B$19,0),1),INDEX(About!C:C,MATCH(Sheet1!B1178,About!B:B,0),1)),"")</f>
        <v>Share of Cargo Dist Transported that is New This Year.xlsx</v>
      </c>
      <c r="I1178" s="5">
        <f>IFERROR(INDEX(About!$D:$D,MATCH(Sheet1!H1178,About!$C:$C,0),1),0)</f>
        <v>0</v>
      </c>
      <c r="J1178" s="6">
        <f t="shared" si="45"/>
        <v>0</v>
      </c>
    </row>
    <row r="1179" spans="1:10" x14ac:dyDescent="0.3">
      <c r="A1179" t="s">
        <v>346</v>
      </c>
      <c r="B1179" t="s">
        <v>580</v>
      </c>
      <c r="C1179" t="s">
        <v>663</v>
      </c>
      <c r="G1179" t="str">
        <f t="shared" si="44"/>
        <v>.csv</v>
      </c>
      <c r="H1179" s="5" t="str">
        <f>IFERROR(IF(B1179="FoPITY",INDEX(Customizations!$C$2:$C$19,MATCH(Sheet1!C1179,Customizations!$B$2:$B$19,0),1),INDEX(About!C:C,MATCH(Sheet1!B1179,About!B:B,0),1)),"")</f>
        <v>Share of Cargo Dist Transported that is New This Year.xlsx</v>
      </c>
      <c r="I1179" s="5">
        <f>IFERROR(INDEX(About!$D:$D,MATCH(Sheet1!H1179,About!$C:$C,0),1),0)</f>
        <v>0</v>
      </c>
      <c r="J1179" s="6">
        <f t="shared" si="45"/>
        <v>0</v>
      </c>
    </row>
    <row r="1180" spans="1:10" x14ac:dyDescent="0.3">
      <c r="A1180" t="s">
        <v>346</v>
      </c>
      <c r="B1180" t="s">
        <v>580</v>
      </c>
      <c r="C1180" t="s">
        <v>664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Share of Cargo Dist Transported that is New This Year.xlsx</v>
      </c>
      <c r="I1180" s="5">
        <f>IFERROR(INDEX(About!$D:$D,MATCH(Sheet1!H1180,About!$C:$C,0),1),0)</f>
        <v>0</v>
      </c>
      <c r="J1180" s="6">
        <f t="shared" si="45"/>
        <v>0</v>
      </c>
    </row>
    <row r="1181" spans="1:10" x14ac:dyDescent="0.3">
      <c r="A1181" t="s">
        <v>346</v>
      </c>
      <c r="B1181" t="s">
        <v>582</v>
      </c>
      <c r="C1181" t="s">
        <v>583</v>
      </c>
      <c r="G1181" t="str">
        <f t="shared" si="44"/>
        <v>xlsx</v>
      </c>
      <c r="H1181" s="5" t="str">
        <f>IFERROR(IF(B1181="FoPITY",INDEX(Customizations!$C$2:$C$19,MATCH(Sheet1!C1181,Customizations!$B$2:$B$19,0),1),INDEX(About!C:C,MATCH(Sheet1!B1181,About!B:B,0),1)),"")</f>
        <v>Separately Regulated Pollutants by Vehicle Type.xlsx</v>
      </c>
      <c r="I1181" s="5">
        <f>IFERROR(INDEX(About!$D:$D,MATCH(Sheet1!H1181,About!$C:$C,0),1),0)</f>
        <v>0</v>
      </c>
      <c r="J1181" s="6">
        <f t="shared" si="45"/>
        <v>0</v>
      </c>
    </row>
    <row r="1182" spans="1:10" x14ac:dyDescent="0.3">
      <c r="A1182" t="s">
        <v>346</v>
      </c>
      <c r="B1182" t="s">
        <v>582</v>
      </c>
      <c r="C1182" t="s">
        <v>584</v>
      </c>
      <c r="G1182" t="str">
        <f t="shared" si="44"/>
        <v>.csv</v>
      </c>
      <c r="H1182" s="5" t="str">
        <f>IFERROR(IF(B1182="FoPITY",INDEX(Customizations!$C$2:$C$19,MATCH(Sheet1!C1182,Customizations!$B$2:$B$19,0),1),INDEX(About!C:C,MATCH(Sheet1!B1182,About!B:B,0),1)),"")</f>
        <v>Separately Regulated Pollutants by Vehicle Type.xlsx</v>
      </c>
      <c r="I1182" s="5">
        <f>IFERROR(INDEX(About!$D:$D,MATCH(Sheet1!H1182,About!$C:$C,0),1),0)</f>
        <v>0</v>
      </c>
      <c r="J1182" s="6">
        <f t="shared" si="45"/>
        <v>0</v>
      </c>
    </row>
    <row r="1183" spans="1:10" x14ac:dyDescent="0.3">
      <c r="A1183" t="s">
        <v>346</v>
      </c>
      <c r="B1183" t="s">
        <v>1272</v>
      </c>
      <c r="C1183" t="s">
        <v>1273</v>
      </c>
      <c r="G1183" t="str">
        <f t="shared" si="44"/>
        <v>xlsx</v>
      </c>
      <c r="H1183" s="5" t="str">
        <f>IFERROR(IF(B1183="FoPITY",INDEX(Customizations!$C$2:$C$19,MATCH(Sheet1!C1183,Customizations!$B$2:$B$19,0),1),INDEX(About!C:C,MATCH(Sheet1!B1183,About!B:B,0),1)),"")</f>
        <v>Start Year Battery Cap by Veh Type.xlsx</v>
      </c>
      <c r="I1183" s="5">
        <f>IFERROR(INDEX(About!$D:$D,MATCH(Sheet1!H1183,About!$C:$C,0),1),0)</f>
        <v>0</v>
      </c>
      <c r="J1183" s="6">
        <f t="shared" si="45"/>
        <v>0</v>
      </c>
    </row>
    <row r="1184" spans="1:10" x14ac:dyDescent="0.3">
      <c r="A1184" t="s">
        <v>346</v>
      </c>
      <c r="B1184" t="s">
        <v>1272</v>
      </c>
      <c r="C1184" t="s">
        <v>1274</v>
      </c>
      <c r="G1184" t="str">
        <f t="shared" si="44"/>
        <v>.csv</v>
      </c>
      <c r="H1184" s="5" t="str">
        <f>IFERROR(IF(B1184="FoPITY",INDEX(Customizations!$C$2:$C$19,MATCH(Sheet1!C1184,Customizations!$B$2:$B$19,0),1),INDEX(About!C:C,MATCH(Sheet1!B1184,About!B:B,0),1)),"")</f>
        <v>Start Year Battery Cap by Veh Type.xlsx</v>
      </c>
      <c r="I1184" s="5">
        <f>IFERROR(INDEX(About!$D:$D,MATCH(Sheet1!H1184,About!$C:$C,0),1),0)</f>
        <v>0</v>
      </c>
      <c r="J1184" s="6">
        <f t="shared" si="45"/>
        <v>0</v>
      </c>
    </row>
    <row r="1185" spans="1:10" x14ac:dyDescent="0.3">
      <c r="A1185" t="s">
        <v>346</v>
      </c>
      <c r="B1185" t="s">
        <v>1272</v>
      </c>
      <c r="C1185" t="s">
        <v>1275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Start Year Battery Cap by Veh Type.xlsx</v>
      </c>
      <c r="I1185" s="5">
        <f>IFERROR(INDEX(About!$D:$D,MATCH(Sheet1!H1185,About!$C:$C,0),1),0)</f>
        <v>0</v>
      </c>
      <c r="J1185" s="6">
        <f t="shared" si="45"/>
        <v>0</v>
      </c>
    </row>
    <row r="1186" spans="1:10" x14ac:dyDescent="0.3">
      <c r="A1186" t="s">
        <v>346</v>
      </c>
      <c r="B1186" t="s">
        <v>585</v>
      </c>
      <c r="C1186" t="s">
        <v>586</v>
      </c>
      <c r="G1186" t="str">
        <f t="shared" si="44"/>
        <v>xlsx</v>
      </c>
      <c r="H1186" s="5" t="str">
        <f>IFERROR(IF(B1186="FoPITY",INDEX(Customizations!$C$2:$C$19,MATCH(Sheet1!C1186,Customizations!$B$2:$B$19,0),1),INDEX(About!C:C,MATCH(Sheet1!B1186,About!B:B,0),1)),"")</f>
        <v>Start Year Fleet Avg Fuel Economy.xlsx</v>
      </c>
      <c r="I1186" s="5">
        <f>IFERROR(INDEX(About!$D:$D,MATCH(Sheet1!H1186,About!$C:$C,0),1),0)</f>
        <v>0</v>
      </c>
      <c r="J1186" s="6">
        <f t="shared" si="45"/>
        <v>0</v>
      </c>
    </row>
    <row r="1187" spans="1:10" x14ac:dyDescent="0.3">
      <c r="A1187" t="s">
        <v>346</v>
      </c>
      <c r="B1187" t="s">
        <v>585</v>
      </c>
      <c r="C1187" t="s">
        <v>587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Start Year Fleet Avg Fuel Economy.xlsx</v>
      </c>
      <c r="I1187" s="5">
        <f>IFERROR(INDEX(About!$D:$D,MATCH(Sheet1!H1187,About!$C:$C,0),1),0)</f>
        <v>0</v>
      </c>
      <c r="J1187" s="6">
        <f t="shared" si="45"/>
        <v>0</v>
      </c>
    </row>
    <row r="1188" spans="1:10" x14ac:dyDescent="0.3">
      <c r="A1188" t="s">
        <v>346</v>
      </c>
      <c r="B1188" t="s">
        <v>585</v>
      </c>
      <c r="C1188" t="s">
        <v>588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Start Year Fleet Avg Fuel Economy.xlsx</v>
      </c>
      <c r="I1188" s="5">
        <f>IFERROR(INDEX(About!$D:$D,MATCH(Sheet1!H1188,About!$C:$C,0),1),0)</f>
        <v>0</v>
      </c>
      <c r="J1188" s="6">
        <f t="shared" si="45"/>
        <v>0</v>
      </c>
    </row>
    <row r="1189" spans="1:10" x14ac:dyDescent="0.3">
      <c r="A1189" t="s">
        <v>346</v>
      </c>
      <c r="B1189" t="s">
        <v>1276</v>
      </c>
      <c r="C1189" t="s">
        <v>1277</v>
      </c>
      <c r="G1189" t="str">
        <f t="shared" si="44"/>
        <v>xlsx</v>
      </c>
      <c r="H1189" s="5" t="str">
        <f>IFERROR(IF(B1189="FoPITY",INDEX(Customizations!$C$2:$C$19,MATCH(Sheet1!C1189,Customizations!$B$2:$B$19,0),1),INDEX(About!C:C,MATCH(Sheet1!B1189,About!B:B,0),1)),"")</f>
        <v>Start Year Number of EV Chargers.xlsx</v>
      </c>
      <c r="I1189" s="5">
        <f>IFERROR(INDEX(About!$D:$D,MATCH(Sheet1!H1189,About!$C:$C,0),1),0)</f>
        <v>0</v>
      </c>
      <c r="J1189" s="6">
        <f t="shared" si="45"/>
        <v>0</v>
      </c>
    </row>
    <row r="1190" spans="1:10" x14ac:dyDescent="0.3">
      <c r="A1190" t="s">
        <v>346</v>
      </c>
      <c r="B1190" t="s">
        <v>1276</v>
      </c>
      <c r="C1190" t="s">
        <v>1278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Start Year Number of EV Chargers.xlsx</v>
      </c>
      <c r="I1190" s="5">
        <f>IFERROR(INDEX(About!$D:$D,MATCH(Sheet1!H1190,About!$C:$C,0),1),0)</f>
        <v>0</v>
      </c>
      <c r="J1190" s="6">
        <f t="shared" si="45"/>
        <v>0</v>
      </c>
    </row>
    <row r="1191" spans="1:10" x14ac:dyDescent="0.3">
      <c r="A1191" t="s">
        <v>346</v>
      </c>
      <c r="B1191" t="s">
        <v>589</v>
      </c>
      <c r="C1191" t="s">
        <v>590</v>
      </c>
      <c r="G1191" t="str">
        <f t="shared" si="44"/>
        <v>xlsx</v>
      </c>
      <c r="H1191" s="5" t="str">
        <f>IFERROR(IF(B1191="FoPITY",INDEX(Customizations!$C$2:$C$19,MATCH(Sheet1!C1191,Customizations!$B$2:$B$19,0),1),INDEX(About!C:C,MATCH(Sheet1!B1191,About!B:B,0),1)),"")</f>
        <v>Start Year Vehicles by Technology.xlsx</v>
      </c>
      <c r="I1191" s="5">
        <f>IFERROR(INDEX(About!$D:$D,MATCH(Sheet1!H1191,About!$C:$C,0),1),0)</f>
        <v>0</v>
      </c>
      <c r="J1191" s="6">
        <f t="shared" si="45"/>
        <v>0</v>
      </c>
    </row>
    <row r="1192" spans="1:10" x14ac:dyDescent="0.3">
      <c r="A1192" t="s">
        <v>346</v>
      </c>
      <c r="B1192" t="s">
        <v>589</v>
      </c>
      <c r="C1192" t="s">
        <v>591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Start Year Vehicles by Technology.xlsx</v>
      </c>
      <c r="I1192" s="5">
        <f>IFERROR(INDEX(About!$D:$D,MATCH(Sheet1!H1192,About!$C:$C,0),1),0)</f>
        <v>0</v>
      </c>
      <c r="J1192" s="6">
        <f t="shared" si="45"/>
        <v>0</v>
      </c>
    </row>
    <row r="1193" spans="1:10" x14ac:dyDescent="0.3">
      <c r="A1193" t="s">
        <v>346</v>
      </c>
      <c r="B1193" t="s">
        <v>589</v>
      </c>
      <c r="C1193" t="s">
        <v>592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Start Year Vehicles by Technology.xlsx</v>
      </c>
      <c r="I1193" s="5">
        <f>IFERROR(INDEX(About!$D:$D,MATCH(Sheet1!H1193,About!$C:$C,0),1),0)</f>
        <v>0</v>
      </c>
      <c r="J1193" s="6">
        <f t="shared" si="45"/>
        <v>0</v>
      </c>
    </row>
    <row r="1194" spans="1:10" x14ac:dyDescent="0.3">
      <c r="A1194" t="s">
        <v>346</v>
      </c>
      <c r="B1194" t="s">
        <v>939</v>
      </c>
      <c r="C1194" t="s">
        <v>940</v>
      </c>
      <c r="G1194" t="str">
        <f t="shared" si="44"/>
        <v>xlsx</v>
      </c>
      <c r="H1194" s="5" t="str">
        <f>IFERROR(IF(B1194="FoPITY",INDEX(Customizations!$C$2:$C$19,MATCH(Sheet1!C1194,Customizations!$B$2:$B$19,0),1),INDEX(About!C:C,MATCH(Sheet1!B1194,About!B:B,0),1)),"")</f>
        <v>Transportation Technology Logit Exponents.xlsx</v>
      </c>
      <c r="I1194" s="5">
        <f>IFERROR(INDEX(About!$D:$D,MATCH(Sheet1!H1194,About!$C:$C,0),1),0)</f>
        <v>0</v>
      </c>
      <c r="J1194" s="6">
        <f t="shared" si="45"/>
        <v>0</v>
      </c>
    </row>
    <row r="1195" spans="1:10" x14ac:dyDescent="0.3">
      <c r="A1195" t="s">
        <v>346</v>
      </c>
      <c r="B1195" t="s">
        <v>939</v>
      </c>
      <c r="C1195" t="s">
        <v>941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Transportation Technology Logit Exponents.xlsx</v>
      </c>
      <c r="I1195" s="5">
        <f>IFERROR(INDEX(About!$D:$D,MATCH(Sheet1!H1195,About!$C:$C,0),1),0)</f>
        <v>0</v>
      </c>
      <c r="J1195" s="6">
        <f t="shared" si="45"/>
        <v>0</v>
      </c>
    </row>
    <row r="1196" spans="1:10" x14ac:dyDescent="0.3">
      <c r="A1196" t="s">
        <v>346</v>
      </c>
      <c r="B1196" t="s">
        <v>942</v>
      </c>
      <c r="C1196" t="s">
        <v>943</v>
      </c>
      <c r="G1196" t="str">
        <f t="shared" si="44"/>
        <v>xlsx</v>
      </c>
      <c r="H1196" s="5" t="str">
        <f>IFERROR(IF(B1196="FoPITY",INDEX(Customizations!$C$2:$C$19,MATCH(Sheet1!C1196,Customizations!$B$2:$B$19,0),1),INDEX(About!C:C,MATCH(Sheet1!B1196,About!B:B,0),1)),"")</f>
        <v>Transportation Technology Shareweights.xlsx</v>
      </c>
      <c r="I1196" s="5">
        <f>IFERROR(INDEX(About!$D:$D,MATCH(Sheet1!H1196,About!$C:$C,0),1),0)</f>
        <v>0</v>
      </c>
      <c r="J1196" s="6">
        <f t="shared" si="45"/>
        <v>0</v>
      </c>
    </row>
    <row r="1197" spans="1:10" x14ac:dyDescent="0.3">
      <c r="A1197" t="s">
        <v>346</v>
      </c>
      <c r="B1197" t="s">
        <v>942</v>
      </c>
      <c r="C1197" t="s">
        <v>944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Transportation Technology Shareweights.xlsx</v>
      </c>
      <c r="I1197" s="5">
        <f>IFERROR(INDEX(About!$D:$D,MATCH(Sheet1!H1197,About!$C:$C,0),1),0)</f>
        <v>0</v>
      </c>
      <c r="J1197" s="6">
        <f t="shared" si="45"/>
        <v>0</v>
      </c>
    </row>
    <row r="1198" spans="1:10" x14ac:dyDescent="0.3">
      <c r="A1198" t="s">
        <v>346</v>
      </c>
      <c r="B1198" t="s">
        <v>942</v>
      </c>
      <c r="C1198" t="s">
        <v>945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Transportation Technology Shareweights.xlsx</v>
      </c>
      <c r="I1198" s="5">
        <f>IFERROR(INDEX(About!$D:$D,MATCH(Sheet1!H1198,About!$C:$C,0),1),0)</f>
        <v>0</v>
      </c>
      <c r="J1198" s="6">
        <f t="shared" si="45"/>
        <v>0</v>
      </c>
    </row>
    <row r="1199" spans="1:10" x14ac:dyDescent="0.3">
      <c r="A1199" t="s">
        <v>346</v>
      </c>
      <c r="B1199" t="s">
        <v>942</v>
      </c>
      <c r="C1199" t="s">
        <v>946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Transportation Technology Shareweights.xlsx</v>
      </c>
      <c r="I1199" s="5">
        <f>IFERROR(INDEX(About!$D:$D,MATCH(Sheet1!H1199,About!$C:$C,0),1),0)</f>
        <v>0</v>
      </c>
      <c r="J1199" s="6">
        <f t="shared" si="45"/>
        <v>0</v>
      </c>
    </row>
    <row r="1200" spans="1:10" x14ac:dyDescent="0.3">
      <c r="A1200" t="s">
        <v>346</v>
      </c>
      <c r="B1200" t="s">
        <v>942</v>
      </c>
      <c r="C1200" t="s">
        <v>947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Transportation Technology Shareweights.xlsx</v>
      </c>
      <c r="I1200" s="5">
        <f>IFERROR(INDEX(About!$D:$D,MATCH(Sheet1!H1200,About!$C:$C,0),1),0)</f>
        <v>0</v>
      </c>
      <c r="J1200" s="6">
        <f t="shared" si="45"/>
        <v>0</v>
      </c>
    </row>
    <row r="1201" spans="1:10" x14ac:dyDescent="0.3">
      <c r="A1201" t="s">
        <v>346</v>
      </c>
      <c r="B1201" t="s">
        <v>942</v>
      </c>
      <c r="C1201" t="s">
        <v>948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Transportation Technology Shareweights.xlsx</v>
      </c>
      <c r="I1201" s="5">
        <f>IFERROR(INDEX(About!$D:$D,MATCH(Sheet1!H1201,About!$C:$C,0),1),0)</f>
        <v>0</v>
      </c>
      <c r="J1201" s="6">
        <f t="shared" si="45"/>
        <v>0</v>
      </c>
    </row>
    <row r="1202" spans="1:10" x14ac:dyDescent="0.3">
      <c r="A1202" t="s">
        <v>346</v>
      </c>
      <c r="B1202" t="s">
        <v>942</v>
      </c>
      <c r="C1202" t="s">
        <v>949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Transportation Technology Shareweights.xlsx</v>
      </c>
      <c r="I1202" s="5">
        <f>IFERROR(INDEX(About!$D:$D,MATCH(Sheet1!H1202,About!$C:$C,0),1),0)</f>
        <v>0</v>
      </c>
      <c r="J1202" s="6">
        <f t="shared" si="45"/>
        <v>0</v>
      </c>
    </row>
    <row r="1203" spans="1:10" x14ac:dyDescent="0.3">
      <c r="A1203" t="s">
        <v>346</v>
      </c>
      <c r="B1203" t="s">
        <v>942</v>
      </c>
      <c r="C1203" t="s">
        <v>950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Transportation Technology Shareweights.xlsx</v>
      </c>
      <c r="I1203" s="5">
        <f>IFERROR(INDEX(About!$D:$D,MATCH(Sheet1!H1203,About!$C:$C,0),1),0)</f>
        <v>0</v>
      </c>
      <c r="J1203" s="6">
        <f t="shared" si="45"/>
        <v>0</v>
      </c>
    </row>
    <row r="1204" spans="1:10" x14ac:dyDescent="0.3">
      <c r="A1204" t="s">
        <v>346</v>
      </c>
      <c r="B1204" t="s">
        <v>942</v>
      </c>
      <c r="C1204" t="s">
        <v>951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Transportation Technology Shareweights.xlsx</v>
      </c>
      <c r="I1204" s="5">
        <f>IFERROR(INDEX(About!$D:$D,MATCH(Sheet1!H1204,About!$C:$C,0),1),0)</f>
        <v>0</v>
      </c>
      <c r="J1204" s="6">
        <f t="shared" si="45"/>
        <v>0</v>
      </c>
    </row>
    <row r="1205" spans="1:10" x14ac:dyDescent="0.3">
      <c r="A1205" t="s">
        <v>346</v>
      </c>
      <c r="B1205" t="s">
        <v>942</v>
      </c>
      <c r="C1205" t="s">
        <v>952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Transportation Technology Shareweights.xlsx</v>
      </c>
      <c r="I1205" s="5">
        <f>IFERROR(INDEX(About!$D:$D,MATCH(Sheet1!H1205,About!$C:$C,0),1),0)</f>
        <v>0</v>
      </c>
      <c r="J1205" s="6">
        <f t="shared" si="45"/>
        <v>0</v>
      </c>
    </row>
    <row r="1206" spans="1:10" x14ac:dyDescent="0.3">
      <c r="A1206" t="s">
        <v>346</v>
      </c>
      <c r="B1206" t="s">
        <v>942</v>
      </c>
      <c r="C1206" t="s">
        <v>953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Transportation Technology Shareweights.xlsx</v>
      </c>
      <c r="I1206" s="5">
        <f>IFERROR(INDEX(About!$D:$D,MATCH(Sheet1!H1206,About!$C:$C,0),1),0)</f>
        <v>0</v>
      </c>
      <c r="J1206" s="6">
        <f t="shared" si="45"/>
        <v>0</v>
      </c>
    </row>
    <row r="1207" spans="1:10" x14ac:dyDescent="0.3">
      <c r="A1207" t="s">
        <v>346</v>
      </c>
      <c r="B1207" t="s">
        <v>942</v>
      </c>
      <c r="C1207" t="s">
        <v>954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Transportation Technology Shareweights.xlsx</v>
      </c>
      <c r="I1207" s="5">
        <f>IFERROR(INDEX(About!$D:$D,MATCH(Sheet1!H1207,About!$C:$C,0),1),0)</f>
        <v>0</v>
      </c>
      <c r="J1207" s="6">
        <f t="shared" si="45"/>
        <v>0</v>
      </c>
    </row>
    <row r="1208" spans="1:10" x14ac:dyDescent="0.3">
      <c r="A1208" t="s">
        <v>346</v>
      </c>
      <c r="B1208" t="s">
        <v>942</v>
      </c>
      <c r="C1208" t="s">
        <v>955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Transportation Technology Shareweights.xlsx</v>
      </c>
      <c r="I1208" s="5">
        <f>IFERROR(INDEX(About!$D:$D,MATCH(Sheet1!H1208,About!$C:$C,0),1),0)</f>
        <v>0</v>
      </c>
      <c r="J1208" s="6">
        <f t="shared" si="45"/>
        <v>0</v>
      </c>
    </row>
    <row r="1209" spans="1:10" x14ac:dyDescent="0.3">
      <c r="A1209" t="s">
        <v>346</v>
      </c>
      <c r="B1209" t="s">
        <v>593</v>
      </c>
      <c r="C1209" t="s">
        <v>594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Veh Buyer Discount Rate.xlsx</v>
      </c>
      <c r="I1209" s="5">
        <f>IFERROR(INDEX(About!$D:$D,MATCH(Sheet1!H1209,About!$C:$C,0),1),0)</f>
        <v>0</v>
      </c>
      <c r="J1209" s="6">
        <f t="shared" si="45"/>
        <v>0</v>
      </c>
    </row>
    <row r="1210" spans="1:10" x14ac:dyDescent="0.3">
      <c r="A1210" t="s">
        <v>346</v>
      </c>
      <c r="B1210" t="s">
        <v>593</v>
      </c>
      <c r="C1210" t="s">
        <v>595</v>
      </c>
      <c r="G1210" t="str">
        <f t="shared" si="44"/>
        <v>xlsx</v>
      </c>
      <c r="H1210" s="5" t="str">
        <f>IFERROR(IF(B1210="FoPITY",INDEX(Customizations!$C$2:$C$19,MATCH(Sheet1!C1210,Customizations!$B$2:$B$19,0),1),INDEX(About!C:C,MATCH(Sheet1!B1210,About!B:B,0),1)),"")</f>
        <v>Veh Buyer Discount Rate.xlsx</v>
      </c>
      <c r="I1210" s="5">
        <f>IFERROR(INDEX(About!$D:$D,MATCH(Sheet1!H1210,About!$C:$C,0),1),0)</f>
        <v>0</v>
      </c>
      <c r="J1210" s="6">
        <f t="shared" si="45"/>
        <v>0</v>
      </c>
    </row>
    <row r="1211" spans="1:10" x14ac:dyDescent="0.3">
      <c r="A1211" t="s">
        <v>346</v>
      </c>
      <c r="B1211" t="s">
        <v>1279</v>
      </c>
      <c r="C1211" t="s">
        <v>1280</v>
      </c>
      <c r="G1211" t="str">
        <f t="shared" ref="G1211:G1246" si="46">RIGHT(C1211,"4")</f>
        <v>xlsx</v>
      </c>
      <c r="H1211" s="5" t="str">
        <f>IFERROR(IF(B1211="FoPITY",INDEX(Customizations!$C$2:$C$19,MATCH(Sheet1!C1211,Customizations!$B$2:$B$19,0),1),INDEX(About!C:C,MATCH(Sheet1!B1211,About!B:B,0),1)),"")</f>
        <v>Veh Revenue Share by Recipient ISIC Code.xlsx</v>
      </c>
      <c r="I1211" s="5">
        <f>IFERROR(INDEX(About!$D:$D,MATCH(Sheet1!H1211,About!$C:$C,0),1),0)</f>
        <v>0</v>
      </c>
      <c r="J1211" s="6">
        <f t="shared" ref="J1211:J1246" si="47">IF(G1211=".csv",1,0)*I1211</f>
        <v>0</v>
      </c>
    </row>
    <row r="1212" spans="1:10" x14ac:dyDescent="0.3">
      <c r="A1212" t="s">
        <v>346</v>
      </c>
      <c r="B1212" t="s">
        <v>1279</v>
      </c>
      <c r="C1212" t="s">
        <v>1281</v>
      </c>
      <c r="G1212" t="str">
        <f t="shared" si="46"/>
        <v>.csv</v>
      </c>
      <c r="H1212" s="5" t="str">
        <f>IFERROR(IF(B1212="FoPITY",INDEX(Customizations!$C$2:$C$19,MATCH(Sheet1!C1212,Customizations!$B$2:$B$19,0),1),INDEX(About!C:C,MATCH(Sheet1!B1212,About!B:B,0),1)),"")</f>
        <v>Veh Revenue Share by Recipient ISIC Code.xlsx</v>
      </c>
      <c r="I1212" s="5">
        <f>IFERROR(INDEX(About!$D:$D,MATCH(Sheet1!H1212,About!$C:$C,0),1),0)</f>
        <v>0</v>
      </c>
      <c r="J1212" s="6">
        <f t="shared" si="47"/>
        <v>0</v>
      </c>
    </row>
    <row r="1213" spans="1:10" x14ac:dyDescent="0.3">
      <c r="A1213" t="s">
        <v>346</v>
      </c>
      <c r="B1213" t="s">
        <v>1097</v>
      </c>
      <c r="C1213" t="s">
        <v>1098</v>
      </c>
      <c r="G1213" t="str">
        <f t="shared" si="46"/>
        <v>xlsx</v>
      </c>
      <c r="H1213" s="5" t="str">
        <f>IFERROR(IF(B1213="FoPITY",INDEX(Customizations!$C$2:$C$19,MATCH(Sheet1!C1213,Customizations!$B$2:$B$19,0),1),INDEX(About!C:C,MATCH(Sheet1!B1213,About!B:B,0),1)),"")</f>
        <v>Vehicle Shares by Subregion.xlsx</v>
      </c>
      <c r="I1213" s="5">
        <f>IFERROR(INDEX(About!$D:$D,MATCH(Sheet1!H1213,About!$C:$C,0),1),0)</f>
        <v>0</v>
      </c>
      <c r="J1213" s="6">
        <f t="shared" si="47"/>
        <v>0</v>
      </c>
    </row>
    <row r="1214" spans="1:10" x14ac:dyDescent="0.3">
      <c r="A1214" t="s">
        <v>346</v>
      </c>
      <c r="B1214" t="s">
        <v>1097</v>
      </c>
      <c r="C1214" t="s">
        <v>1099</v>
      </c>
      <c r="G1214" t="str">
        <f t="shared" si="46"/>
        <v>.csv</v>
      </c>
      <c r="H1214" s="5" t="str">
        <f>IFERROR(IF(B1214="FoPITY",INDEX(Customizations!$C$2:$C$19,MATCH(Sheet1!C1214,Customizations!$B$2:$B$19,0),1),INDEX(About!C:C,MATCH(Sheet1!B1214,About!B:B,0),1)),"")</f>
        <v>Vehicle Shares by Subregion.xlsx</v>
      </c>
      <c r="I1214" s="5">
        <f>IFERROR(INDEX(About!$D:$D,MATCH(Sheet1!H1214,About!$C:$C,0),1),0)</f>
        <v>0</v>
      </c>
      <c r="J1214" s="6">
        <f t="shared" si="47"/>
        <v>0</v>
      </c>
    </row>
    <row r="1215" spans="1:10" x14ac:dyDescent="0.3">
      <c r="A1215" t="s">
        <v>346</v>
      </c>
      <c r="B1215" t="s">
        <v>1097</v>
      </c>
      <c r="C1215" t="s">
        <v>1100</v>
      </c>
      <c r="G1215" t="str">
        <f t="shared" si="46"/>
        <v>.csv</v>
      </c>
      <c r="H1215" s="5" t="str">
        <f>IFERROR(IF(B1215="FoPITY",INDEX(Customizations!$C$2:$C$19,MATCH(Sheet1!C1215,Customizations!$B$2:$B$19,0),1),INDEX(About!C:C,MATCH(Sheet1!B1215,About!B:B,0),1)),"")</f>
        <v>Vehicle Shares by Subregion.xlsx</v>
      </c>
      <c r="I1215" s="5">
        <f>IFERROR(INDEX(About!$D:$D,MATCH(Sheet1!H1215,About!$C:$C,0),1),0)</f>
        <v>0</v>
      </c>
      <c r="J1215" s="6">
        <f t="shared" si="47"/>
        <v>0</v>
      </c>
    </row>
    <row r="1216" spans="1:10" x14ac:dyDescent="0.3">
      <c r="A1216" t="s">
        <v>346</v>
      </c>
      <c r="B1216" t="s">
        <v>1101</v>
      </c>
      <c r="C1216" t="s">
        <v>1102</v>
      </c>
      <c r="G1216" t="str">
        <f t="shared" si="46"/>
        <v>xlsx</v>
      </c>
      <c r="H1216" s="5" t="str">
        <f>IFERROR(IF(B1216="FoPITY",INDEX(Customizations!$C$2:$C$19,MATCH(Sheet1!C1216,Customizations!$B$2:$B$19,0),1),INDEX(About!C:C,MATCH(Sheet1!B1216,About!B:B,0),1)),"")</f>
        <v>Veh Techs Qualifying as ZEVs.xlsx</v>
      </c>
      <c r="I1216" s="5">
        <f>IFERROR(INDEX(About!$D:$D,MATCH(Sheet1!H1216,About!$C:$C,0),1),0)</f>
        <v>0</v>
      </c>
      <c r="J1216" s="6">
        <f t="shared" si="47"/>
        <v>0</v>
      </c>
    </row>
    <row r="1217" spans="1:10" x14ac:dyDescent="0.3">
      <c r="A1217" t="s">
        <v>346</v>
      </c>
      <c r="B1217" t="s">
        <v>1101</v>
      </c>
      <c r="C1217" t="s">
        <v>1574</v>
      </c>
      <c r="G1217" t="str">
        <f t="shared" si="46"/>
        <v>.csv</v>
      </c>
      <c r="H1217" s="5" t="str">
        <f>IFERROR(IF(B1217="FoPITY",INDEX(Customizations!$C$2:$C$19,MATCH(Sheet1!C1217,Customizations!$B$2:$B$19,0),1),INDEX(About!C:C,MATCH(Sheet1!B1217,About!B:B,0),1)),"")</f>
        <v>Veh Techs Qualifying as ZEVs.xlsx</v>
      </c>
      <c r="I1217" s="5">
        <f>IFERROR(INDEX(About!$D:$D,MATCH(Sheet1!H1217,About!$C:$C,0),1),0)</f>
        <v>0</v>
      </c>
      <c r="J1217" s="6">
        <f t="shared" si="47"/>
        <v>0</v>
      </c>
    </row>
    <row r="1218" spans="1:10" x14ac:dyDescent="0.3">
      <c r="A1218" t="s">
        <v>346</v>
      </c>
      <c r="B1218" t="s">
        <v>1101</v>
      </c>
      <c r="C1218" t="s">
        <v>1575</v>
      </c>
      <c r="G1218" t="str">
        <f t="shared" si="46"/>
        <v>.csv</v>
      </c>
      <c r="H1218" s="5" t="str">
        <f>IFERROR(IF(B1218="FoPITY",INDEX(Customizations!$C$2:$C$19,MATCH(Sheet1!C1218,Customizations!$B$2:$B$19,0),1),INDEX(About!C:C,MATCH(Sheet1!B1218,About!B:B,0),1)),"")</f>
        <v>Veh Techs Qualifying as ZEVs.xlsx</v>
      </c>
      <c r="I1218" s="5">
        <f>IFERROR(INDEX(About!$D:$D,MATCH(Sheet1!H1218,About!$C:$C,0),1),0)</f>
        <v>0</v>
      </c>
      <c r="J1218" s="6">
        <f t="shared" si="47"/>
        <v>0</v>
      </c>
    </row>
    <row r="1219" spans="1:10" x14ac:dyDescent="0.3">
      <c r="A1219" t="s">
        <v>346</v>
      </c>
      <c r="B1219" t="s">
        <v>1101</v>
      </c>
      <c r="C1219" t="s">
        <v>1576</v>
      </c>
      <c r="G1219" t="str">
        <f t="shared" si="46"/>
        <v>.csv</v>
      </c>
      <c r="H1219" s="5" t="str">
        <f>IFERROR(IF(B1219="FoPITY",INDEX(Customizations!$C$2:$C$19,MATCH(Sheet1!C1219,Customizations!$B$2:$B$19,0),1),INDEX(About!C:C,MATCH(Sheet1!B1219,About!B:B,0),1)),"")</f>
        <v>Veh Techs Qualifying as ZEVs.xlsx</v>
      </c>
      <c r="I1219" s="5">
        <f>IFERROR(INDEX(About!$D:$D,MATCH(Sheet1!H1219,About!$C:$C,0),1),0)</f>
        <v>0</v>
      </c>
      <c r="J1219" s="6">
        <f t="shared" si="47"/>
        <v>0</v>
      </c>
    </row>
    <row r="1220" spans="1:10" x14ac:dyDescent="0.3">
      <c r="A1220" t="s">
        <v>346</v>
      </c>
      <c r="B1220" t="s">
        <v>1101</v>
      </c>
      <c r="C1220" t="s">
        <v>1577</v>
      </c>
      <c r="G1220" t="str">
        <f t="shared" si="46"/>
        <v>.csv</v>
      </c>
      <c r="H1220" s="5" t="str">
        <f>IFERROR(IF(B1220="FoPITY",INDEX(Customizations!$C$2:$C$19,MATCH(Sheet1!C1220,Customizations!$B$2:$B$19,0),1),INDEX(About!C:C,MATCH(Sheet1!B1220,About!B:B,0),1)),"")</f>
        <v>Veh Techs Qualifying as ZEVs.xlsx</v>
      </c>
      <c r="I1220" s="5">
        <f>IFERROR(INDEX(About!$D:$D,MATCH(Sheet1!H1220,About!$C:$C,0),1),0)</f>
        <v>0</v>
      </c>
      <c r="J1220" s="6">
        <f t="shared" si="47"/>
        <v>0</v>
      </c>
    </row>
    <row r="1221" spans="1:10" x14ac:dyDescent="0.3">
      <c r="A1221" t="s">
        <v>346</v>
      </c>
      <c r="B1221" t="s">
        <v>1101</v>
      </c>
      <c r="C1221" t="s">
        <v>1578</v>
      </c>
      <c r="G1221" t="str">
        <f t="shared" si="46"/>
        <v>.csv</v>
      </c>
      <c r="H1221" s="5" t="str">
        <f>IFERROR(IF(B1221="FoPITY",INDEX(Customizations!$C$2:$C$19,MATCH(Sheet1!C1221,Customizations!$B$2:$B$19,0),1),INDEX(About!C:C,MATCH(Sheet1!B1221,About!B:B,0),1)),"")</f>
        <v>Veh Techs Qualifying as ZEVs.xlsx</v>
      </c>
      <c r="I1221" s="5">
        <f>IFERROR(INDEX(About!$D:$D,MATCH(Sheet1!H1221,About!$C:$C,0),1),0)</f>
        <v>0</v>
      </c>
      <c r="J1221" s="6">
        <f t="shared" si="47"/>
        <v>0</v>
      </c>
    </row>
    <row r="1222" spans="1:10" x14ac:dyDescent="0.3">
      <c r="A1222" t="s">
        <v>346</v>
      </c>
      <c r="B1222" t="s">
        <v>1101</v>
      </c>
      <c r="C1222" t="s">
        <v>1579</v>
      </c>
      <c r="G1222" t="str">
        <f t="shared" si="46"/>
        <v>.csv</v>
      </c>
      <c r="H1222" s="5" t="str">
        <f>IFERROR(IF(B1222="FoPITY",INDEX(Customizations!$C$2:$C$19,MATCH(Sheet1!C1222,Customizations!$B$2:$B$19,0),1),INDEX(About!C:C,MATCH(Sheet1!B1222,About!B:B,0),1)),"")</f>
        <v>Veh Techs Qualifying as ZEVs.xlsx</v>
      </c>
      <c r="I1222" s="5">
        <f>IFERROR(INDEX(About!$D:$D,MATCH(Sheet1!H1222,About!$C:$C,0),1),0)</f>
        <v>0</v>
      </c>
      <c r="J1222" s="6">
        <f t="shared" si="47"/>
        <v>0</v>
      </c>
    </row>
    <row r="1223" spans="1:10" x14ac:dyDescent="0.3">
      <c r="A1223" t="s">
        <v>346</v>
      </c>
      <c r="B1223" t="s">
        <v>596</v>
      </c>
      <c r="C1223" t="s">
        <v>597</v>
      </c>
      <c r="G1223" t="str">
        <f t="shared" si="46"/>
        <v>xlsx</v>
      </c>
      <c r="H1223" s="5" t="str">
        <f>IFERROR(IF(B1223="FoPITY",INDEX(Customizations!$C$2:$C$19,MATCH(Sheet1!C1223,Customizations!$B$2:$B$19,0),1),INDEX(About!C:C,MATCH(Sheet1!B1223,About!B:B,0),1)),"")</f>
        <v>Veh Techs Subject to Fuel Econ Std.xlsx</v>
      </c>
      <c r="I1223" s="5">
        <f>IFERROR(INDEX(About!$D:$D,MATCH(Sheet1!H1223,About!$C:$C,0),1),0)</f>
        <v>0</v>
      </c>
      <c r="J1223" s="6">
        <f t="shared" si="47"/>
        <v>0</v>
      </c>
    </row>
    <row r="1224" spans="1:10" x14ac:dyDescent="0.3">
      <c r="A1224" t="s">
        <v>346</v>
      </c>
      <c r="B1224" t="s">
        <v>596</v>
      </c>
      <c r="C1224" t="s">
        <v>598</v>
      </c>
      <c r="G1224" t="str">
        <f t="shared" si="46"/>
        <v>.csv</v>
      </c>
      <c r="H1224" s="5" t="str">
        <f>IFERROR(IF(B1224="FoPITY",INDEX(Customizations!$C$2:$C$19,MATCH(Sheet1!C1224,Customizations!$B$2:$B$19,0),1),INDEX(About!C:C,MATCH(Sheet1!B1224,About!B:B,0),1)),"")</f>
        <v>Veh Techs Subject to Fuel Econ Std.xlsx</v>
      </c>
      <c r="I1224" s="5">
        <f>IFERROR(INDEX(About!$D:$D,MATCH(Sheet1!H1224,About!$C:$C,0),1),0)</f>
        <v>0</v>
      </c>
      <c r="J1224" s="6">
        <f t="shared" si="47"/>
        <v>0</v>
      </c>
    </row>
    <row r="1225" spans="1:10" x14ac:dyDescent="0.3">
      <c r="A1225" t="s">
        <v>599</v>
      </c>
      <c r="B1225" t="s">
        <v>600</v>
      </c>
      <c r="C1225" t="s">
        <v>601</v>
      </c>
      <c r="G1225" t="str">
        <f t="shared" si="46"/>
        <v>.csv</v>
      </c>
      <c r="H1225" s="5" t="str">
        <f>IFERROR(IF(B1225="FoPITY",INDEX(Customizations!$C$2:$C$19,MATCH(Sheet1!C1225,Customizations!$B$2:$B$19,0),1),INDEX(About!C:C,MATCH(Sheet1!B1225,About!B:B,0),1)),"")</f>
        <v>BTU Conversion Factors.xlsx</v>
      </c>
      <c r="I1225" s="5">
        <f>IFERROR(INDEX(About!$D:$D,MATCH(Sheet1!H1225,About!$C:$C,0),1),0)</f>
        <v>0</v>
      </c>
      <c r="J1225" s="6">
        <f t="shared" si="47"/>
        <v>0</v>
      </c>
    </row>
    <row r="1226" spans="1:10" x14ac:dyDescent="0.3">
      <c r="A1226" t="s">
        <v>599</v>
      </c>
      <c r="B1226" t="s">
        <v>600</v>
      </c>
      <c r="C1226" t="s">
        <v>602</v>
      </c>
      <c r="G1226" t="str">
        <f t="shared" si="46"/>
        <v>.csv</v>
      </c>
      <c r="H1226" s="5" t="str">
        <f>IFERROR(IF(B1226="FoPITY",INDEX(Customizations!$C$2:$C$19,MATCH(Sheet1!C1226,Customizations!$B$2:$B$19,0),1),INDEX(About!C:C,MATCH(Sheet1!B1226,About!B:B,0),1)),"")</f>
        <v>BTU Conversion Factors.xlsx</v>
      </c>
      <c r="I1226" s="5">
        <f>IFERROR(INDEX(About!$D:$D,MATCH(Sheet1!H1226,About!$C:$C,0),1),0)</f>
        <v>0</v>
      </c>
      <c r="J1226" s="6">
        <f t="shared" si="47"/>
        <v>0</v>
      </c>
    </row>
    <row r="1227" spans="1:10" x14ac:dyDescent="0.3">
      <c r="A1227" t="s">
        <v>599</v>
      </c>
      <c r="B1227" t="s">
        <v>600</v>
      </c>
      <c r="C1227" t="s">
        <v>1433</v>
      </c>
      <c r="G1227" t="str">
        <f t="shared" si="46"/>
        <v>.csv</v>
      </c>
      <c r="H1227" s="5" t="str">
        <f>IFERROR(IF(B1227="FoPITY",INDEX(Customizations!$C$2:$C$19,MATCH(Sheet1!C1227,Customizations!$B$2:$B$19,0),1),INDEX(About!C:C,MATCH(Sheet1!B1227,About!B:B,0),1)),"")</f>
        <v>BTU Conversion Factors.xlsx</v>
      </c>
      <c r="I1227" s="5">
        <f>IFERROR(INDEX(About!$D:$D,MATCH(Sheet1!H1227,About!$C:$C,0),1),0)</f>
        <v>0</v>
      </c>
      <c r="J1227" s="6">
        <f t="shared" si="47"/>
        <v>0</v>
      </c>
    </row>
    <row r="1228" spans="1:10" x14ac:dyDescent="0.3">
      <c r="A1228" t="s">
        <v>599</v>
      </c>
      <c r="B1228" t="s">
        <v>600</v>
      </c>
      <c r="C1228" t="s">
        <v>603</v>
      </c>
      <c r="G1228" t="str">
        <f t="shared" si="46"/>
        <v>.csv</v>
      </c>
      <c r="H1228" s="5" t="str">
        <f>IFERROR(IF(B1228="FoPITY",INDEX(Customizations!$C$2:$C$19,MATCH(Sheet1!C1228,Customizations!$B$2:$B$19,0),1),INDEX(About!C:C,MATCH(Sheet1!B1228,About!B:B,0),1)),"")</f>
        <v>BTU Conversion Factors.xlsx</v>
      </c>
      <c r="I1228" s="5">
        <f>IFERROR(INDEX(About!$D:$D,MATCH(Sheet1!H1228,About!$C:$C,0),1),0)</f>
        <v>0</v>
      </c>
      <c r="J1228" s="6">
        <f t="shared" si="47"/>
        <v>0</v>
      </c>
    </row>
    <row r="1229" spans="1:10" x14ac:dyDescent="0.3">
      <c r="A1229" t="s">
        <v>599</v>
      </c>
      <c r="B1229" t="s">
        <v>600</v>
      </c>
      <c r="C1229" t="s">
        <v>604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BTU Conversion Factors.xlsx</v>
      </c>
      <c r="I1229" s="5">
        <f>IFERROR(INDEX(About!$D:$D,MATCH(Sheet1!H1229,About!$C:$C,0),1),0)</f>
        <v>0</v>
      </c>
      <c r="J1229" s="6">
        <f t="shared" si="47"/>
        <v>0</v>
      </c>
    </row>
    <row r="1230" spans="1:10" x14ac:dyDescent="0.3">
      <c r="A1230" t="s">
        <v>599</v>
      </c>
      <c r="B1230" t="s">
        <v>600</v>
      </c>
      <c r="C1230" t="s">
        <v>605</v>
      </c>
      <c r="G1230" t="str">
        <f t="shared" si="46"/>
        <v>xlsx</v>
      </c>
      <c r="H1230" s="5" t="str">
        <f>IFERROR(IF(B1230="FoPITY",INDEX(Customizations!$C$2:$C$19,MATCH(Sheet1!C1230,Customizations!$B$2:$B$19,0),1),INDEX(About!C:C,MATCH(Sheet1!B1230,About!B:B,0),1)),"")</f>
        <v>BTU Conversion Factors.xlsx</v>
      </c>
      <c r="I1230" s="5">
        <f>IFERROR(INDEX(About!$D:$D,MATCH(Sheet1!H1230,About!$C:$C,0),1),0)</f>
        <v>0</v>
      </c>
      <c r="J1230" s="6">
        <f t="shared" si="47"/>
        <v>0</v>
      </c>
    </row>
    <row r="1231" spans="1:10" x14ac:dyDescent="0.3">
      <c r="A1231" t="s">
        <v>599</v>
      </c>
      <c r="B1231" t="s">
        <v>606</v>
      </c>
      <c r="C1231" t="s">
        <v>665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BTU per Total Primary Energy Unit.xlsx</v>
      </c>
      <c r="I1231" s="5">
        <f>IFERROR(INDEX(About!$D:$D,MATCH(Sheet1!H1231,About!$C:$C,0),1),0)</f>
        <v>0</v>
      </c>
      <c r="J1231" s="6">
        <f t="shared" si="47"/>
        <v>0</v>
      </c>
    </row>
    <row r="1232" spans="1:10" x14ac:dyDescent="0.3">
      <c r="A1232" t="s">
        <v>599</v>
      </c>
      <c r="B1232" t="s">
        <v>606</v>
      </c>
      <c r="C1232" t="s">
        <v>666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BTU per Total Primary Energy Unit.xlsx</v>
      </c>
      <c r="I1232" s="5">
        <f>IFERROR(INDEX(About!$D:$D,MATCH(Sheet1!H1232,About!$C:$C,0),1),0)</f>
        <v>0</v>
      </c>
      <c r="J1232" s="6">
        <f t="shared" si="47"/>
        <v>0</v>
      </c>
    </row>
    <row r="1233" spans="1:10" x14ac:dyDescent="0.3">
      <c r="A1233" t="s">
        <v>599</v>
      </c>
      <c r="B1233" t="s">
        <v>606</v>
      </c>
      <c r="C1233" t="s">
        <v>607</v>
      </c>
      <c r="G1233" t="str">
        <f t="shared" si="46"/>
        <v>xlsx</v>
      </c>
      <c r="H1233" s="5" t="str">
        <f>IFERROR(IF(B1233="FoPITY",INDEX(Customizations!$C$2:$C$19,MATCH(Sheet1!C1233,Customizations!$B$2:$B$19,0),1),INDEX(About!C:C,MATCH(Sheet1!B1233,About!B:B,0),1)),"")</f>
        <v>BTU per Total Primary Energy Unit.xlsx</v>
      </c>
      <c r="I1233" s="5">
        <f>IFERROR(INDEX(About!$D:$D,MATCH(Sheet1!H1233,About!$C:$C,0),1),0)</f>
        <v>0</v>
      </c>
      <c r="J1233" s="6">
        <f t="shared" si="47"/>
        <v>0</v>
      </c>
    </row>
    <row r="1234" spans="1:10" x14ac:dyDescent="0.3">
      <c r="A1234" t="s">
        <v>599</v>
      </c>
      <c r="B1234" t="s">
        <v>608</v>
      </c>
      <c r="C1234" t="s">
        <v>609</v>
      </c>
      <c r="G1234" t="str">
        <f t="shared" si="46"/>
        <v>xlsx</v>
      </c>
      <c r="H1234" s="5" t="str">
        <f>IFERROR(IF(B1234="FoPITY",INDEX(Customizations!$C$2:$C$19,MATCH(Sheet1!C1234,Customizations!$B$2:$B$19,0),1),INDEX(About!C:C,MATCH(Sheet1!B1234,About!B:B,0),1)),"")</f>
        <v>Cargo Dist Conversion Factors.xlsx</v>
      </c>
      <c r="I1234" s="5">
        <f>IFERROR(INDEX(About!$D:$D,MATCH(Sheet1!H1234,About!$C:$C,0),1),0)</f>
        <v>0</v>
      </c>
      <c r="J1234" s="6">
        <f t="shared" si="47"/>
        <v>0</v>
      </c>
    </row>
    <row r="1235" spans="1:10" x14ac:dyDescent="0.3">
      <c r="A1235" t="s">
        <v>599</v>
      </c>
      <c r="B1235" t="s">
        <v>608</v>
      </c>
      <c r="C1235" t="s">
        <v>610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Cargo Dist Conversion Factors.xlsx</v>
      </c>
      <c r="I1235" s="5">
        <f>IFERROR(INDEX(About!$D:$D,MATCH(Sheet1!H1235,About!$C:$C,0),1),0)</f>
        <v>0</v>
      </c>
      <c r="J1235" s="6">
        <f t="shared" si="47"/>
        <v>0</v>
      </c>
    </row>
    <row r="1236" spans="1:10" x14ac:dyDescent="0.3">
      <c r="A1236" t="s">
        <v>599</v>
      </c>
      <c r="B1236" t="s">
        <v>608</v>
      </c>
      <c r="C1236" t="s">
        <v>611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Cargo Dist Conversion Factors.xlsx</v>
      </c>
      <c r="I1236" s="5">
        <f>IFERROR(INDEX(About!$D:$D,MATCH(Sheet1!H1236,About!$C:$C,0),1),0)</f>
        <v>0</v>
      </c>
      <c r="J1236" s="6">
        <f t="shared" si="47"/>
        <v>0</v>
      </c>
    </row>
    <row r="1237" spans="1:10" x14ac:dyDescent="0.3">
      <c r="A1237" t="s">
        <v>599</v>
      </c>
      <c r="B1237" t="s">
        <v>1473</v>
      </c>
      <c r="C1237" t="s">
        <v>1474</v>
      </c>
      <c r="G1237" t="str">
        <f t="shared" si="46"/>
        <v>xlsx</v>
      </c>
      <c r="H1237" s="5" t="str">
        <f>IFERROR(IF(B1237="FoPITY",INDEX(Customizations!$C$2:$C$19,MATCH(Sheet1!C1237,Customizations!$B$2:$B$19,0),1),INDEX(About!C:C,MATCH(Sheet1!B1237,About!B:B,0),1)),"")</f>
        <v>Check Input Data.xlsx</v>
      </c>
      <c r="I1237" s="5">
        <f>IFERROR(INDEX(About!$D:$D,MATCH(Sheet1!H1237,About!$C:$C,0),1),0)</f>
        <v>0</v>
      </c>
      <c r="J1237" s="6">
        <f t="shared" si="47"/>
        <v>0</v>
      </c>
    </row>
    <row r="1238" spans="1:10" x14ac:dyDescent="0.3">
      <c r="A1238" t="s">
        <v>599</v>
      </c>
      <c r="B1238" t="s">
        <v>612</v>
      </c>
      <c r="C1238" t="s">
        <v>613</v>
      </c>
      <c r="G1238" t="str">
        <f t="shared" si="46"/>
        <v>xlsx</v>
      </c>
      <c r="H1238" s="5" t="str">
        <f>IFERROR(IF(B1238="FoPITY",INDEX(Customizations!$C$2:$C$19,MATCH(Sheet1!C1238,Customizations!$B$2:$B$19,0),1),INDEX(About!C:C,MATCH(Sheet1!B1238,About!B:B,0),1)),"")</f>
        <v>Liters per Water Output Unit.xlsx</v>
      </c>
      <c r="I1238" s="5">
        <f>IFERROR(INDEX(About!$D:$D,MATCH(Sheet1!H1238,About!$C:$C,0),1),0)</f>
        <v>0</v>
      </c>
      <c r="J1238" s="6">
        <f t="shared" si="47"/>
        <v>0</v>
      </c>
    </row>
    <row r="1239" spans="1:10" x14ac:dyDescent="0.3">
      <c r="A1239" t="s">
        <v>599</v>
      </c>
      <c r="B1239" t="s">
        <v>612</v>
      </c>
      <c r="C1239" t="s">
        <v>614</v>
      </c>
      <c r="G1239" t="str">
        <f t="shared" si="46"/>
        <v>.csv</v>
      </c>
      <c r="H1239" s="5" t="str">
        <f>IFERROR(IF(B1239="FoPITY",INDEX(Customizations!$C$2:$C$19,MATCH(Sheet1!C1239,Customizations!$B$2:$B$19,0),1),INDEX(About!C:C,MATCH(Sheet1!B1239,About!B:B,0),1)),"")</f>
        <v>Liters per Water Output Unit.xlsx</v>
      </c>
      <c r="I1239" s="5">
        <f>IFERROR(INDEX(About!$D:$D,MATCH(Sheet1!H1239,About!$C:$C,0),1),0)</f>
        <v>0</v>
      </c>
      <c r="J1239" s="6">
        <f t="shared" si="47"/>
        <v>0</v>
      </c>
    </row>
    <row r="1240" spans="1:10" x14ac:dyDescent="0.3">
      <c r="A1240" t="s">
        <v>599</v>
      </c>
      <c r="B1240" t="s">
        <v>1051</v>
      </c>
      <c r="C1240" t="s">
        <v>1052</v>
      </c>
      <c r="G1240" t="str">
        <f t="shared" si="46"/>
        <v>xlsx</v>
      </c>
      <c r="H1240" s="5" t="str">
        <f>IFERROR(IF(B1240="FoPITY",INDEX(Customizations!$C$2:$C$19,MATCH(Sheet1!C1240,Customizations!$B$2:$B$19,0),1),INDEX(About!C:C,MATCH(Sheet1!B1240,About!B:B,0),1)),"")</f>
        <v>Mass Output Units.xlsx</v>
      </c>
      <c r="I1240" s="5">
        <f>IFERROR(INDEX(About!$D:$D,MATCH(Sheet1!H1240,About!$C:$C,0),1),0)</f>
        <v>0</v>
      </c>
      <c r="J1240" s="6">
        <f t="shared" si="47"/>
        <v>0</v>
      </c>
    </row>
    <row r="1241" spans="1:10" x14ac:dyDescent="0.3">
      <c r="A1241" t="s">
        <v>599</v>
      </c>
      <c r="B1241" t="s">
        <v>1051</v>
      </c>
      <c r="C1241" t="s">
        <v>1053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Mass Output Units.xlsx</v>
      </c>
      <c r="I1241" s="5">
        <f>IFERROR(INDEX(About!$D:$D,MATCH(Sheet1!H1241,About!$C:$C,0),1),0)</f>
        <v>0</v>
      </c>
      <c r="J1241" s="6">
        <f t="shared" si="47"/>
        <v>0</v>
      </c>
    </row>
    <row r="1242" spans="1:10" x14ac:dyDescent="0.3">
      <c r="A1242" t="s">
        <v>599</v>
      </c>
      <c r="B1242" t="s">
        <v>1051</v>
      </c>
      <c r="C1242" t="s">
        <v>1054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Mass Output Units.xlsx</v>
      </c>
      <c r="I1242" s="5">
        <f>IFERROR(INDEX(About!$D:$D,MATCH(Sheet1!H1242,About!$C:$C,0),1),0)</f>
        <v>0</v>
      </c>
      <c r="J1242" s="6">
        <f t="shared" si="47"/>
        <v>0</v>
      </c>
    </row>
    <row r="1243" spans="1:10" x14ac:dyDescent="0.3">
      <c r="A1243" t="s">
        <v>599</v>
      </c>
      <c r="B1243" t="s">
        <v>615</v>
      </c>
      <c r="C1243" t="s">
        <v>616</v>
      </c>
      <c r="G1243" t="str">
        <f t="shared" si="46"/>
        <v>.csv</v>
      </c>
      <c r="H1243" s="5" t="str">
        <f>IFERROR(IF(B1243="FoPITY",INDEX(Customizations!$C$2:$C$19,MATCH(Sheet1!C1243,Customizations!$B$2:$B$19,0),1),INDEX(About!C:C,MATCH(Sheet1!B1243,About!B:B,0),1)),"")</f>
        <v>Output Currency Conversion Factors.xlsx</v>
      </c>
      <c r="I1243" s="5">
        <f>IFERROR(INDEX(About!$D:$D,MATCH(Sheet1!H1243,About!$C:$C,0),1),0)</f>
        <v>0</v>
      </c>
      <c r="J1243" s="6">
        <f t="shared" si="47"/>
        <v>0</v>
      </c>
    </row>
    <row r="1244" spans="1:10" x14ac:dyDescent="0.3">
      <c r="A1244" t="s">
        <v>599</v>
      </c>
      <c r="B1244" t="s">
        <v>615</v>
      </c>
      <c r="C1244" t="s">
        <v>617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Output Currency Conversion Factors.xlsx</v>
      </c>
      <c r="I1244" s="5">
        <f>IFERROR(INDEX(About!$D:$D,MATCH(Sheet1!H1244,About!$C:$C,0),1),0)</f>
        <v>0</v>
      </c>
      <c r="J1244" s="6">
        <f t="shared" si="47"/>
        <v>0</v>
      </c>
    </row>
    <row r="1245" spans="1:10" x14ac:dyDescent="0.3">
      <c r="A1245" t="s">
        <v>599</v>
      </c>
      <c r="B1245" t="s">
        <v>615</v>
      </c>
      <c r="C1245" t="s">
        <v>618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Output Currency Conversion Factors.xlsx</v>
      </c>
      <c r="I1245" s="5">
        <f>IFERROR(INDEX(About!$D:$D,MATCH(Sheet1!H1245,About!$C:$C,0),1),0)</f>
        <v>0</v>
      </c>
      <c r="J1245" s="6">
        <f t="shared" si="47"/>
        <v>0</v>
      </c>
    </row>
    <row r="1246" spans="1:10" x14ac:dyDescent="0.3">
      <c r="A1246" t="s">
        <v>599</v>
      </c>
      <c r="B1246" t="s">
        <v>615</v>
      </c>
      <c r="C1246" t="s">
        <v>619</v>
      </c>
      <c r="G1246" t="str">
        <f t="shared" si="46"/>
        <v>xlsx</v>
      </c>
      <c r="H1246" s="5" t="str">
        <f>IFERROR(IF(B1246="FoPITY",INDEX(Customizations!$C$2:$C$19,MATCH(Sheet1!C1246,Customizations!$B$2:$B$19,0),1),INDEX(About!C:C,MATCH(Sheet1!B1246,About!B:B,0),1)),"")</f>
        <v>Output Currency Conversion Factors.xlsx</v>
      </c>
      <c r="I1246" s="5">
        <f>IFERROR(INDEX(About!$D:$D,MATCH(Sheet1!H1246,About!$C:$C,0),1),0)</f>
        <v>0</v>
      </c>
      <c r="J1246" s="6">
        <f t="shared" si="4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2025-10-21T05:43:13Z</dcterms:modified>
</cp:coreProperties>
</file>