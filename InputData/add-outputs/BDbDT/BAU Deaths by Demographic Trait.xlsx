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add-outputs\BDbDT\"/>
    </mc:Choice>
  </mc:AlternateContent>
  <xr:revisionPtr revIDLastSave="0" documentId="13_ncr:1_{B2C608F0-B009-4BF0-A722-5FE2853B3548}" xr6:coauthVersionLast="47" xr6:coauthVersionMax="47" xr10:uidLastSave="{00000000-0000-0000-0000-000000000000}"/>
  <bookViews>
    <workbookView xWindow="-38520" yWindow="-4770" windowWidth="38640" windowHeight="21120" activeTab="4" xr2:uid="{07D21EFD-220B-4C60-85BD-FCD4C246A818}"/>
  </bookViews>
  <sheets>
    <sheet name="About" sheetId="1" r:id="rId1"/>
    <sheet name="Census T3" sheetId="2" r:id="rId2"/>
    <sheet name="Death Rate" sheetId="6" r:id="rId3"/>
    <sheet name="Medium Prodection" sheetId="7" r:id="rId4"/>
    <sheet name="BDbDT-other" sheetId="3" r:id="rId5"/>
    <sheet name="BDbDT-infan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B6" i="3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9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6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G3" i="4"/>
  <c r="G2" i="4"/>
  <c r="F3" i="4"/>
  <c r="E3" i="4"/>
  <c r="D3" i="4"/>
  <c r="C3" i="4"/>
  <c r="B3" i="4"/>
  <c r="F2" i="4"/>
  <c r="E2" i="4"/>
  <c r="D2" i="4"/>
  <c r="C2" i="4"/>
  <c r="B2" i="4"/>
  <c r="K53" i="7"/>
  <c r="J53" i="7"/>
  <c r="I53" i="7"/>
  <c r="K52" i="7"/>
  <c r="J52" i="7"/>
  <c r="I52" i="7"/>
  <c r="K51" i="7"/>
  <c r="J51" i="7"/>
  <c r="I51" i="7"/>
  <c r="K50" i="7"/>
  <c r="J50" i="7"/>
  <c r="I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K42" i="7"/>
  <c r="J42" i="7"/>
  <c r="I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I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I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I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K10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D4" i="2"/>
  <c r="D2" i="2"/>
  <c r="D63" i="2" l="1"/>
  <c r="D62" i="2"/>
  <c r="D61" i="2"/>
  <c r="D60" i="2"/>
  <c r="D59" i="2"/>
  <c r="D58" i="2"/>
  <c r="AA2" i="3" s="1"/>
  <c r="D57" i="2"/>
  <c r="Z2" i="3" s="1"/>
  <c r="D56" i="2"/>
  <c r="Y2" i="3" s="1"/>
  <c r="D55" i="2"/>
  <c r="X2" i="3" s="1"/>
  <c r="D54" i="2"/>
  <c r="W2" i="3" s="1"/>
  <c r="D53" i="2"/>
  <c r="V2" i="3" s="1"/>
  <c r="D52" i="2"/>
  <c r="U2" i="3" s="1"/>
  <c r="D51" i="2"/>
  <c r="T2" i="3" s="1"/>
  <c r="D50" i="2"/>
  <c r="S2" i="3" s="1"/>
  <c r="D49" i="2"/>
  <c r="R2" i="3" s="1"/>
  <c r="D48" i="2"/>
  <c r="Q2" i="3" s="1"/>
  <c r="D47" i="2"/>
  <c r="P2" i="3" s="1"/>
  <c r="D46" i="2"/>
  <c r="O2" i="3" s="1"/>
  <c r="D45" i="2"/>
  <c r="D44" i="2"/>
  <c r="D43" i="2"/>
  <c r="D42" i="2"/>
  <c r="D41" i="2"/>
  <c r="D40" i="2"/>
  <c r="I2" i="3" s="1"/>
  <c r="D39" i="2"/>
  <c r="H2" i="3" s="1"/>
  <c r="D38" i="2"/>
  <c r="G2" i="3" s="1"/>
  <c r="D37" i="2"/>
  <c r="F2" i="3" s="1"/>
  <c r="D36" i="2"/>
  <c r="E2" i="3" s="1"/>
  <c r="D35" i="2"/>
  <c r="D2" i="3" s="1"/>
  <c r="D34" i="2"/>
  <c r="C2" i="3" s="1"/>
  <c r="D33" i="2"/>
  <c r="D64" i="2" s="1"/>
  <c r="B3" i="3" s="1"/>
  <c r="D32" i="2"/>
  <c r="D94" i="2" s="1"/>
  <c r="AF3" i="3" s="1"/>
  <c r="D31" i="2"/>
  <c r="D93" i="2" s="1"/>
  <c r="AE3" i="3" s="1"/>
  <c r="D30" i="2"/>
  <c r="D92" i="2" s="1"/>
  <c r="AD3" i="3" s="1"/>
  <c r="D29" i="2"/>
  <c r="D91" i="2" s="1"/>
  <c r="AC3" i="3" s="1"/>
  <c r="D28" i="2"/>
  <c r="D90" i="2" s="1"/>
  <c r="AB3" i="3" s="1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76" i="2" s="1"/>
  <c r="N3" i="3" s="1"/>
  <c r="D13" i="2"/>
  <c r="D75" i="2" s="1"/>
  <c r="M3" i="3" s="1"/>
  <c r="D12" i="2"/>
  <c r="D74" i="2" s="1"/>
  <c r="L3" i="3" s="1"/>
  <c r="D11" i="2"/>
  <c r="D73" i="2" s="1"/>
  <c r="K3" i="3" s="1"/>
  <c r="D10" i="2"/>
  <c r="D72" i="2" s="1"/>
  <c r="J3" i="3" s="1"/>
  <c r="D9" i="2"/>
  <c r="D8" i="2"/>
  <c r="D7" i="2"/>
  <c r="D6" i="2"/>
  <c r="D5" i="2"/>
  <c r="D3" i="2"/>
  <c r="D65" i="2" s="1"/>
  <c r="C3" i="3" s="1"/>
  <c r="AD2" i="3"/>
  <c r="AC2" i="3"/>
  <c r="AB2" i="3"/>
  <c r="E65" i="2"/>
  <c r="E64" i="2"/>
  <c r="AE2" i="3"/>
  <c r="AF2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J2" i="3"/>
  <c r="K2" i="3"/>
  <c r="L2" i="3"/>
  <c r="M2" i="3"/>
  <c r="N2" i="3"/>
  <c r="C4" i="3"/>
  <c r="D4" i="3"/>
  <c r="E4" i="3"/>
  <c r="F4" i="3"/>
  <c r="G4" i="3"/>
  <c r="H4" i="3"/>
  <c r="I4" i="3"/>
  <c r="J4" i="3"/>
  <c r="K4" i="3"/>
  <c r="L4" i="3"/>
  <c r="M4" i="3"/>
  <c r="N4" i="3"/>
  <c r="O4" i="3"/>
  <c r="C5" i="3"/>
  <c r="D5" i="3"/>
  <c r="E5" i="3"/>
  <c r="F5" i="3"/>
  <c r="G5" i="3"/>
  <c r="H5" i="3"/>
  <c r="I5" i="3"/>
  <c r="J5" i="3"/>
  <c r="K5" i="3"/>
  <c r="L5" i="3"/>
  <c r="M5" i="3"/>
  <c r="N5" i="3"/>
  <c r="O5" i="3"/>
  <c r="C8" i="3"/>
  <c r="C9" i="3" s="1"/>
  <c r="D8" i="3"/>
  <c r="E8" i="3"/>
  <c r="E9" i="3" s="1"/>
  <c r="F8" i="3"/>
  <c r="G8" i="3"/>
  <c r="H8" i="3"/>
  <c r="I8" i="3"/>
  <c r="I9" i="3" s="1"/>
  <c r="J8" i="3"/>
  <c r="J9" i="3" s="1"/>
  <c r="K8" i="3"/>
  <c r="L8" i="3"/>
  <c r="M8" i="3"/>
  <c r="N8" i="3"/>
  <c r="O8" i="3"/>
  <c r="B8" i="3"/>
  <c r="B9" i="3" s="1"/>
  <c r="B5" i="3"/>
  <c r="B4" i="3"/>
  <c r="AC9" i="3" l="1"/>
  <c r="D68" i="2"/>
  <c r="F3" i="3" s="1"/>
  <c r="D69" i="2"/>
  <c r="G3" i="3" s="1"/>
  <c r="D70" i="2"/>
  <c r="H3" i="3" s="1"/>
  <c r="D88" i="2"/>
  <c r="Z3" i="3" s="1"/>
  <c r="B2" i="3"/>
  <c r="D71" i="2"/>
  <c r="D89" i="2"/>
  <c r="AA3" i="3" s="1"/>
  <c r="D77" i="2"/>
  <c r="O3" i="3" s="1"/>
  <c r="D79" i="2"/>
  <c r="Q3" i="3" s="1"/>
  <c r="D83" i="2"/>
  <c r="U3" i="3" s="1"/>
  <c r="D84" i="2"/>
  <c r="V3" i="3" s="1"/>
  <c r="D85" i="2"/>
  <c r="W3" i="3" s="1"/>
  <c r="D80" i="2"/>
  <c r="R3" i="3" s="1"/>
  <c r="D81" i="2"/>
  <c r="S3" i="3" s="1"/>
  <c r="D82" i="2"/>
  <c r="T3" i="3" s="1"/>
  <c r="D66" i="2"/>
  <c r="D3" i="3" s="1"/>
  <c r="D86" i="2"/>
  <c r="X3" i="3" s="1"/>
  <c r="D78" i="2"/>
  <c r="P3" i="3" s="1"/>
  <c r="D67" i="2"/>
  <c r="E3" i="3" s="1"/>
  <c r="D87" i="2"/>
  <c r="Y3" i="3" s="1"/>
  <c r="G9" i="3"/>
  <c r="F9" i="3"/>
  <c r="AA9" i="3"/>
  <c r="Q9" i="3"/>
  <c r="O9" i="3"/>
  <c r="L9" i="3"/>
  <c r="AE9" i="3"/>
  <c r="H9" i="3"/>
  <c r="N9" i="3"/>
  <c r="M9" i="3"/>
  <c r="AF9" i="3"/>
  <c r="K9" i="3"/>
  <c r="AD9" i="3"/>
  <c r="T9" i="3"/>
  <c r="D9" i="3"/>
  <c r="W9" i="3"/>
  <c r="S9" i="3"/>
  <c r="V9" i="3"/>
  <c r="R9" i="3"/>
  <c r="U9" i="3"/>
  <c r="I3" i="3"/>
  <c r="AB9" i="3"/>
  <c r="P9" i="3"/>
  <c r="Z9" i="3"/>
  <c r="Y9" i="3"/>
  <c r="X9" i="3"/>
</calcChain>
</file>

<file path=xl/sharedStrings.xml><?xml version="1.0" encoding="utf-8"?>
<sst xmlns="http://schemas.openxmlformats.org/spreadsheetml/2006/main" count="283" uniqueCount="125">
  <si>
    <t>BDbDT BAU Deaths by Demographic Trait</t>
  </si>
  <si>
    <t>Source:</t>
  </si>
  <si>
    <t>RACE_HISP</t>
  </si>
  <si>
    <t>SEX</t>
  </si>
  <si>
    <t>YEAR</t>
  </si>
  <si>
    <t>Notes</t>
  </si>
  <si>
    <t>Key information for the U.S. census file is:</t>
  </si>
  <si>
    <t>RACE_HISP column</t>
  </si>
  <si>
    <t>white alone</t>
  </si>
  <si>
    <t>black alone</t>
  </si>
  <si>
    <t>Asian alone</t>
  </si>
  <si>
    <t>Native Hawaiian and Pacific Islander alone</t>
  </si>
  <si>
    <t>Two or more races</t>
  </si>
  <si>
    <t>Not Hispanic</t>
  </si>
  <si>
    <t>Hispanic</t>
  </si>
  <si>
    <t>Non-Hispanic White Alone</t>
  </si>
  <si>
    <t>SEX column</t>
  </si>
  <si>
    <t>both sexes</t>
  </si>
  <si>
    <t>male</t>
  </si>
  <si>
    <t>female</t>
  </si>
  <si>
    <t>American Indian and Alaska Native alone</t>
  </si>
  <si>
    <t>white</t>
  </si>
  <si>
    <t>black</t>
  </si>
  <si>
    <t>asian</t>
  </si>
  <si>
    <t>other race</t>
  </si>
  <si>
    <t>hispanic</t>
  </si>
  <si>
    <t>nonhispanic</t>
  </si>
  <si>
    <t>Death / 1000</t>
    <phoneticPr fontId="3" type="noConversion"/>
  </si>
  <si>
    <t>Population (est)</t>
    <phoneticPr fontId="3" type="noConversion"/>
  </si>
  <si>
    <t>Death</t>
    <phoneticPr fontId="3" type="noConversion"/>
  </si>
  <si>
    <t>`</t>
    <phoneticPr fontId="3" type="noConversion"/>
  </si>
  <si>
    <t>KOSIS(KOrean Statistical Information Service )</t>
    <phoneticPr fontId="3" type="noConversion"/>
  </si>
  <si>
    <t>total population</t>
    <phoneticPr fontId="3" type="noConversion"/>
  </si>
  <si>
    <t>연령(5세)별</t>
  </si>
  <si>
    <t>시점</t>
  </si>
  <si>
    <t>계</t>
  </si>
  <si>
    <t>남자</t>
  </si>
  <si>
    <t>여자</t>
  </si>
  <si>
    <t>사망 (명)</t>
  </si>
  <si>
    <t>사망률 (십만명당)</t>
  </si>
  <si>
    <t>0세</t>
  </si>
  <si>
    <t>2005</t>
  </si>
  <si>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</si>
  <si>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</si>
  <si>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</si>
  <si>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</si>
  <si>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</si>
  <si>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</si>
  <si>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</si>
  <si>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</si>
  <si>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</si>
  <si>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</si>
  <si>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</si>
  <si>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</si>
  <si>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</si>
  <si>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</si>
  <si>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</si>
  <si>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</si>
  <si>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</si>
  <si>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</si>
  <si>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</si>
  <si>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</si>
  <si>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가정별</t>
  </si>
  <si>
    <t>0세 인구수</t>
    <phoneticPr fontId="3" type="noConversion"/>
  </si>
  <si>
    <t>0세 사망률</t>
    <phoneticPr fontId="3" type="noConversion"/>
  </si>
  <si>
    <t>전체</t>
  </si>
  <si>
    <t>중위 추계(기본 추계: 출산율-중위 / 기대수명-중위 / 국제순이동-중위)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</si>
  <si>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</si>
  <si>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</si>
  <si>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</si>
  <si>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</si>
  <si>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</si>
  <si>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</si>
  <si>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</si>
  <si>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</si>
  <si>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</si>
  <si>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</si>
  <si>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</si>
  <si>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</si>
  <si>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</si>
  <si>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</si>
  <si>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</si>
  <si>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</si>
  <si>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</si>
  <si>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</si>
  <si>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</si>
  <si>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</si>
  <si>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</si>
  <si>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</si>
  <si>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</si>
  <si>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</si>
  <si>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</si>
  <si>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</si>
  <si>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</si>
  <si>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</si>
  <si>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</si>
  <si>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</si>
  <si>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</si>
  <si>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</si>
  <si>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</si>
  <si>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</si>
  <si>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</si>
  <si>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</si>
  <si>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</si>
  <si>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</si>
  <si>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</si>
  <si>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</si>
  <si>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</si>
  <si>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</si>
  <si>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</si>
  <si>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</si>
  <si>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</si>
  <si>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</si>
  <si>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</si>
  <si>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</si>
  <si>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KOSIS (Korean Statistical Information Service)</t>
  </si>
  <si>
    <t>Medium Projection (Base Projection), 2022–2072</t>
  </si>
  <si>
    <t>https://kosis.kr/statHtml/statHtml.do?orgId=101&amp;tblId=DT_1BPA001&amp;conn_path=I2</t>
  </si>
  <si>
    <t>[Annual] 2005–2024</t>
  </si>
  <si>
    <t>「Vital Statistics Survey」, National Data Center</t>
  </si>
  <si>
    <t>Number of Deaths and Death Rate by Sex/Age (5-Year Groups)</t>
  </si>
  <si>
    <t>"1.1. Total Population, Sex Ratio, and Population Growth Rate",</t>
    <phoneticPr fontId="3" type="noConversion"/>
  </si>
  <si>
    <t xml:space="preserve"> "1.2. Births, Deaths, and Net International Migration"</t>
  </si>
  <si>
    <t>https://kosis.kr/statHtml/statHtml.do?orgId=101&amp;tblId=DT_1BPA203&amp;conn_path=I2</t>
  </si>
  <si>
    <t>https://kosis.kr/statHtml/statHtml.do?orgId=101&amp;tblId=DT_1B80A13&amp;conn_path=I2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</si>
</sst>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#,##0.0"/>
    <numFmt numFmtId="166" formatCode="#,##0.0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u/>
      <sz val="11"/>
      <color rgb="FFFF0000"/>
      <name val="Calibri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7" fillId="0" borderId="0"/>
    <xf numFmtId="0" fontId="7" fillId="0" borderId="0"/>
    <xf numFmtId="0" fontId="8" fillId="0" borderId="0">
      <alignment vertical="center"/>
    </xf>
    <xf numFmtId="164" fontId="8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1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1" applyFont="1"/>
    <xf numFmtId="1" fontId="4" fillId="0" borderId="0" xfId="0" applyNumberFormat="1" applyFont="1"/>
    <xf numFmtId="0" fontId="5" fillId="0" borderId="0" xfId="0" applyFont="1"/>
    <xf numFmtId="0" fontId="2" fillId="0" borderId="0" xfId="1"/>
    <xf numFmtId="0" fontId="0" fillId="2" borderId="0" xfId="0" applyFill="1"/>
    <xf numFmtId="0" fontId="0" fillId="3" borderId="0" xfId="0" applyFill="1"/>
    <xf numFmtId="0" fontId="8" fillId="5" borderId="1" xfId="4" applyFill="1" applyBorder="1" applyAlignment="1"/>
    <xf numFmtId="0" fontId="8" fillId="0" borderId="0" xfId="4">
      <alignment vertical="center"/>
    </xf>
    <xf numFmtId="0" fontId="8" fillId="6" borderId="2" xfId="4" applyFill="1" applyBorder="1" applyAlignment="1"/>
    <xf numFmtId="3" fontId="8" fillId="0" borderId="1" xfId="4" applyNumberFormat="1" applyBorder="1" applyAlignment="1">
      <alignment horizontal="right"/>
    </xf>
    <xf numFmtId="165" fontId="8" fillId="0" borderId="1" xfId="4" applyNumberFormat="1" applyBorder="1" applyAlignment="1">
      <alignment horizontal="right"/>
    </xf>
    <xf numFmtId="0" fontId="8" fillId="6" borderId="3" xfId="4" applyFill="1" applyBorder="1" applyAlignment="1"/>
    <xf numFmtId="0" fontId="8" fillId="6" borderId="4" xfId="4" applyFill="1" applyBorder="1" applyAlignment="1"/>
    <xf numFmtId="0" fontId="8" fillId="6" borderId="1" xfId="4" applyFill="1" applyBorder="1" applyAlignment="1"/>
    <xf numFmtId="0" fontId="4" fillId="7" borderId="0" xfId="0" applyFont="1" applyFill="1"/>
    <xf numFmtId="0" fontId="0" fillId="0" borderId="0" xfId="0" applyAlignment="1">
      <alignment horizontal="left"/>
    </xf>
    <xf numFmtId="0" fontId="4" fillId="6" borderId="3" xfId="4" applyFont="1" applyFill="1" applyBorder="1" applyAlignment="1"/>
    <xf numFmtId="0" fontId="5" fillId="6" borderId="2" xfId="4" applyFont="1" applyFill="1" applyBorder="1" applyAlignment="1"/>
    <xf numFmtId="3" fontId="5" fillId="0" borderId="1" xfId="4" applyNumberFormat="1" applyFont="1" applyBorder="1" applyAlignment="1">
      <alignment horizontal="right"/>
    </xf>
    <xf numFmtId="165" fontId="5" fillId="0" borderId="1" xfId="4" applyNumberFormat="1" applyFont="1" applyBorder="1" applyAlignment="1">
      <alignment horizontal="right"/>
    </xf>
    <xf numFmtId="0" fontId="5" fillId="0" borderId="0" xfId="4" applyFont="1">
      <alignment vertical="center"/>
    </xf>
    <xf numFmtId="0" fontId="5" fillId="6" borderId="4" xfId="4" applyFont="1" applyFill="1" applyBorder="1" applyAlignment="1"/>
    <xf numFmtId="0" fontId="5" fillId="6" borderId="1" xfId="4" applyFont="1" applyFill="1" applyBorder="1" applyAlignment="1"/>
    <xf numFmtId="164" fontId="0" fillId="0" borderId="0" xfId="5" applyFont="1">
      <alignment vertical="center"/>
    </xf>
    <xf numFmtId="164" fontId="0" fillId="5" borderId="1" xfId="5" applyFont="1" applyFill="1" applyBorder="1" applyAlignment="1"/>
    <xf numFmtId="166" fontId="8" fillId="0" borderId="1" xfId="4" applyNumberFormat="1" applyBorder="1" applyAlignment="1">
      <alignment horizontal="right"/>
    </xf>
    <xf numFmtId="3" fontId="0" fillId="0" borderId="0" xfId="0" applyNumberFormat="1"/>
    <xf numFmtId="164" fontId="0" fillId="0" borderId="0" xfId="0" applyNumberFormat="1"/>
    <xf numFmtId="0" fontId="8" fillId="4" borderId="1" xfId="4" applyFill="1" applyBorder="1">
      <alignment vertical="center"/>
    </xf>
    <xf numFmtId="0" fontId="8" fillId="5" borderId="1" xfId="4" applyFill="1" applyBorder="1" applyAlignment="1"/>
  </cellXfs>
  <cellStyles count="6">
    <cellStyle name="Hyperlink" xfId="1" builtinId="8"/>
    <cellStyle name="Normal" xfId="0" builtinId="0"/>
    <cellStyle name="쉼표 [0] 2" xfId="5" xr:uid="{975763DC-8EC0-4701-809C-64FAD4D1C531}"/>
    <cellStyle name="표준 2" xfId="3" xr:uid="{2A77EAB5-C04D-431D-96D5-740776433E2E}"/>
    <cellStyle name="표준 3" xfId="2" xr:uid="{00000000-0005-0000-0000-000031000000}"/>
    <cellStyle name="표준 4" xfId="4" xr:uid="{1B1C95C4-4CC4-422E-9987-19A1E7398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124216-666C-40F1-AFD4-E47F066A6E16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6CFD-0A84-4062-AAF5-5F189C33D342}">
  <dimension ref="A1:J35"/>
  <sheetViews>
    <sheetView workbookViewId="0">
      <selection activeCell="A37" sqref="A37:A41"/>
    </sheetView>
  </sheetViews>
  <sheetFormatPr defaultRowHeight="14.5"/>
  <cols>
    <col min="2" max="2" width="75.81640625" customWidth="1"/>
  </cols>
  <sheetData>
    <row r="1" spans="1:10">
      <c r="A1" s="1" t="s">
        <v>0</v>
      </c>
    </row>
    <row r="3" spans="1:10">
      <c r="A3" t="s">
        <v>1</v>
      </c>
      <c r="B3" s="19" t="s">
        <v>115</v>
      </c>
      <c r="C3" s="3"/>
      <c r="D3" s="3"/>
      <c r="E3" s="3"/>
      <c r="F3" s="3"/>
      <c r="G3" s="3"/>
      <c r="H3" s="3"/>
      <c r="I3" s="3"/>
      <c r="J3" s="3"/>
    </row>
    <row r="4" spans="1:10">
      <c r="B4" s="4">
        <v>2023</v>
      </c>
      <c r="C4" s="3"/>
      <c r="D4" s="3"/>
      <c r="E4" s="3"/>
      <c r="F4" s="3"/>
      <c r="G4" s="3"/>
      <c r="H4" s="3"/>
      <c r="I4" s="3"/>
      <c r="J4" s="3"/>
    </row>
    <row r="5" spans="1:10">
      <c r="B5" s="3" t="s">
        <v>116</v>
      </c>
      <c r="D5" s="3"/>
      <c r="E5" s="3"/>
      <c r="F5" s="3"/>
      <c r="G5" s="3"/>
      <c r="H5" s="3"/>
      <c r="I5" s="3"/>
      <c r="J5" s="3"/>
    </row>
    <row r="6" spans="1:10">
      <c r="B6" s="7" t="s">
        <v>121</v>
      </c>
      <c r="C6" s="5"/>
      <c r="D6" s="3"/>
      <c r="E6" s="3"/>
      <c r="F6" s="3"/>
      <c r="G6" s="3"/>
      <c r="H6" s="3"/>
      <c r="I6" s="3"/>
      <c r="J6" s="3"/>
    </row>
    <row r="7" spans="1:10">
      <c r="B7" s="8" t="s">
        <v>117</v>
      </c>
      <c r="C7" s="5"/>
      <c r="D7" s="3"/>
      <c r="E7" s="3"/>
      <c r="F7" s="3"/>
      <c r="G7" s="3"/>
      <c r="H7" s="3"/>
      <c r="I7" s="3"/>
      <c r="J7" s="3"/>
    </row>
    <row r="8" spans="1:10">
      <c r="B8" t="s">
        <v>122</v>
      </c>
      <c r="C8" s="3"/>
      <c r="D8" s="3"/>
      <c r="E8" s="3"/>
      <c r="F8" s="3"/>
      <c r="G8" s="3"/>
      <c r="H8" s="3"/>
      <c r="I8" s="3"/>
      <c r="J8" s="3"/>
    </row>
    <row r="9" spans="1:10">
      <c r="B9" t="s">
        <v>123</v>
      </c>
      <c r="C9" s="3"/>
      <c r="D9" s="3"/>
      <c r="E9" s="3"/>
      <c r="F9" s="3"/>
      <c r="G9" s="3"/>
      <c r="H9" s="3"/>
      <c r="I9" s="3"/>
      <c r="J9" s="3"/>
    </row>
    <row r="10" spans="1:10">
      <c r="B10" s="7"/>
      <c r="C10" s="3"/>
      <c r="D10" s="3"/>
      <c r="E10" s="3"/>
      <c r="F10" s="3"/>
      <c r="G10" s="3"/>
      <c r="H10" s="3"/>
      <c r="I10" s="3"/>
      <c r="J10" s="3"/>
    </row>
    <row r="11" spans="1:10">
      <c r="B11" s="19" t="s">
        <v>31</v>
      </c>
      <c r="C11" s="3"/>
      <c r="D11" s="3"/>
      <c r="E11" s="3"/>
      <c r="F11" s="3"/>
      <c r="G11" s="3"/>
      <c r="H11" s="3"/>
      <c r="I11" s="3"/>
      <c r="J11" s="3"/>
    </row>
    <row r="12" spans="1:10">
      <c r="B12" s="20" t="s">
        <v>115</v>
      </c>
      <c r="C12" s="3"/>
      <c r="D12" s="3"/>
      <c r="E12" s="3"/>
      <c r="F12" s="3"/>
      <c r="G12" s="3"/>
      <c r="H12" s="3"/>
      <c r="I12" s="3"/>
      <c r="J12" s="3"/>
    </row>
    <row r="13" spans="1:10">
      <c r="B13" s="20" t="s">
        <v>118</v>
      </c>
      <c r="C13" s="3"/>
      <c r="D13" s="3"/>
      <c r="E13" s="3"/>
      <c r="F13" s="3"/>
      <c r="G13" s="3"/>
      <c r="H13" s="3"/>
      <c r="I13" s="3"/>
      <c r="J13" s="3"/>
    </row>
    <row r="14" spans="1:10">
      <c r="B14" s="20" t="s">
        <v>119</v>
      </c>
    </row>
    <row r="15" spans="1:10">
      <c r="B15" s="20" t="s">
        <v>120</v>
      </c>
    </row>
    <row r="16" spans="1:10">
      <c r="B16" s="20" t="s">
        <v>124</v>
      </c>
    </row>
    <row r="17" spans="1:2">
      <c r="B17" s="20"/>
    </row>
    <row r="18" spans="1:2">
      <c r="A18" s="1" t="s">
        <v>5</v>
      </c>
    </row>
    <row r="19" spans="1:2">
      <c r="A19" t="s">
        <v>6</v>
      </c>
    </row>
    <row r="20" spans="1:2">
      <c r="A20" t="s">
        <v>7</v>
      </c>
    </row>
    <row r="21" spans="1:2">
      <c r="A21">
        <v>0</v>
      </c>
      <c r="B21" t="s">
        <v>32</v>
      </c>
    </row>
    <row r="22" spans="1:2">
      <c r="A22">
        <v>1</v>
      </c>
      <c r="B22" t="s">
        <v>8</v>
      </c>
    </row>
    <row r="23" spans="1:2">
      <c r="A23">
        <v>2</v>
      </c>
      <c r="B23" t="s">
        <v>9</v>
      </c>
    </row>
    <row r="24" spans="1:2">
      <c r="A24">
        <v>3</v>
      </c>
      <c r="B24" t="s">
        <v>20</v>
      </c>
    </row>
    <row r="25" spans="1:2">
      <c r="A25">
        <v>4</v>
      </c>
      <c r="B25" t="s">
        <v>10</v>
      </c>
    </row>
    <row r="26" spans="1:2">
      <c r="A26">
        <v>5</v>
      </c>
      <c r="B26" t="s">
        <v>11</v>
      </c>
    </row>
    <row r="27" spans="1:2">
      <c r="A27">
        <v>6</v>
      </c>
      <c r="B27" t="s">
        <v>12</v>
      </c>
    </row>
    <row r="28" spans="1:2">
      <c r="A28">
        <v>7</v>
      </c>
      <c r="B28" t="s">
        <v>13</v>
      </c>
    </row>
    <row r="29" spans="1:2">
      <c r="A29">
        <v>8</v>
      </c>
      <c r="B29" t="s">
        <v>14</v>
      </c>
    </row>
    <row r="30" spans="1:2">
      <c r="A30">
        <v>9</v>
      </c>
      <c r="B30" t="s">
        <v>15</v>
      </c>
    </row>
    <row r="32" spans="1:2">
      <c r="A32" t="s">
        <v>16</v>
      </c>
    </row>
    <row r="33" spans="1:2">
      <c r="A33">
        <v>0</v>
      </c>
      <c r="B33" t="s">
        <v>17</v>
      </c>
    </row>
    <row r="34" spans="1:2">
      <c r="A34">
        <v>1</v>
      </c>
      <c r="B34" t="s">
        <v>18</v>
      </c>
    </row>
    <row r="35" spans="1:2">
      <c r="A35">
        <v>2</v>
      </c>
      <c r="B35" t="s">
        <v>19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19F3-6D9E-4385-A829-E23EE2202C4D}">
  <dimension ref="A1:F94"/>
  <sheetViews>
    <sheetView workbookViewId="0">
      <selection activeCell="D2" sqref="D2"/>
    </sheetView>
  </sheetViews>
  <sheetFormatPr defaultRowHeight="14.5"/>
  <cols>
    <col min="1" max="1" width="11.7265625" customWidth="1"/>
    <col min="4" max="5" width="12.36328125" bestFit="1" customWidth="1"/>
    <col min="6" max="6" width="14.7265625" bestFit="1" customWidth="1"/>
  </cols>
  <sheetData>
    <row r="1" spans="1:6">
      <c r="A1" s="2" t="s">
        <v>2</v>
      </c>
      <c r="B1" s="2" t="s">
        <v>3</v>
      </c>
      <c r="C1" s="2" t="s">
        <v>4</v>
      </c>
      <c r="D1" s="2" t="s">
        <v>29</v>
      </c>
      <c r="E1" s="2" t="s">
        <v>27</v>
      </c>
      <c r="F1" s="2" t="s">
        <v>28</v>
      </c>
    </row>
    <row r="2" spans="1:6">
      <c r="A2" s="2">
        <v>0</v>
      </c>
      <c r="B2" s="2">
        <v>0</v>
      </c>
      <c r="C2" s="2">
        <v>2020</v>
      </c>
      <c r="D2" s="2">
        <f>(E2/1000) * F2</f>
        <v>16725263</v>
      </c>
      <c r="E2" s="2">
        <v>323</v>
      </c>
      <c r="F2" s="2">
        <v>51781000</v>
      </c>
    </row>
    <row r="3" spans="1:6">
      <c r="A3" s="2">
        <v>0</v>
      </c>
      <c r="B3" s="2">
        <v>0</v>
      </c>
      <c r="C3" s="2">
        <v>2021</v>
      </c>
      <c r="D3" s="2">
        <f t="shared" ref="D3:D63" si="0">(E3/1000) * F3</f>
        <v>17256726</v>
      </c>
      <c r="E3" s="2">
        <v>333</v>
      </c>
      <c r="F3" s="2">
        <v>51822000</v>
      </c>
    </row>
    <row r="4" spans="1:6">
      <c r="A4" s="2">
        <v>0</v>
      </c>
      <c r="B4" s="2">
        <v>0</v>
      </c>
      <c r="C4" s="2">
        <v>2022</v>
      </c>
      <c r="D4" s="2">
        <f>(E4/1000) * F4</f>
        <v>18664560</v>
      </c>
      <c r="E4" s="6">
        <v>360</v>
      </c>
      <c r="F4" s="2">
        <v>51846000</v>
      </c>
    </row>
    <row r="5" spans="1:6">
      <c r="A5" s="2">
        <v>0</v>
      </c>
      <c r="B5" s="2">
        <v>0</v>
      </c>
      <c r="C5" s="2">
        <v>2023</v>
      </c>
      <c r="D5" s="2">
        <f t="shared" si="0"/>
        <v>17998196</v>
      </c>
      <c r="E5" s="6">
        <v>347</v>
      </c>
      <c r="F5" s="2">
        <v>51868000</v>
      </c>
    </row>
    <row r="6" spans="1:6">
      <c r="A6" s="2">
        <v>0</v>
      </c>
      <c r="B6" s="2">
        <v>0</v>
      </c>
      <c r="C6" s="2">
        <v>2024</v>
      </c>
      <c r="D6" s="2">
        <f t="shared" si="0"/>
        <v>18057024</v>
      </c>
      <c r="E6" s="6">
        <v>348</v>
      </c>
      <c r="F6" s="2">
        <v>51888000</v>
      </c>
    </row>
    <row r="7" spans="1:6">
      <c r="A7" s="2">
        <v>0</v>
      </c>
      <c r="B7" s="2">
        <v>0</v>
      </c>
      <c r="C7" s="2">
        <v>2025</v>
      </c>
      <c r="D7" s="2">
        <f t="shared" si="0"/>
        <v>18581990</v>
      </c>
      <c r="E7" s="6">
        <v>358</v>
      </c>
      <c r="F7" s="2">
        <v>51905000</v>
      </c>
    </row>
    <row r="8" spans="1:6">
      <c r="A8" s="2">
        <v>0</v>
      </c>
      <c r="B8" s="2">
        <v>0</v>
      </c>
      <c r="C8" s="2">
        <v>2026</v>
      </c>
      <c r="D8" s="2">
        <f t="shared" si="0"/>
        <v>19158480</v>
      </c>
      <c r="E8" s="6">
        <v>369</v>
      </c>
      <c r="F8" s="2">
        <v>51920000</v>
      </c>
    </row>
    <row r="9" spans="1:6">
      <c r="A9" s="2">
        <v>0</v>
      </c>
      <c r="B9" s="2">
        <v>0</v>
      </c>
      <c r="C9" s="2">
        <v>2027</v>
      </c>
      <c r="D9" s="2">
        <f t="shared" si="0"/>
        <v>19682607</v>
      </c>
      <c r="E9" s="6">
        <v>379</v>
      </c>
      <c r="F9" s="2">
        <v>51933000</v>
      </c>
    </row>
    <row r="10" spans="1:6">
      <c r="A10" s="2">
        <v>0</v>
      </c>
      <c r="B10" s="2">
        <v>0</v>
      </c>
      <c r="C10" s="2">
        <v>2028</v>
      </c>
      <c r="D10" s="2">
        <f t="shared" si="0"/>
        <v>20257380</v>
      </c>
      <c r="E10" s="6">
        <v>390</v>
      </c>
      <c r="F10" s="2">
        <v>51942000</v>
      </c>
    </row>
    <row r="11" spans="1:6">
      <c r="A11" s="2">
        <v>0</v>
      </c>
      <c r="B11" s="2">
        <v>0</v>
      </c>
      <c r="C11" s="2">
        <v>2029</v>
      </c>
      <c r="D11" s="2">
        <f t="shared" si="0"/>
        <v>20776400</v>
      </c>
      <c r="E11" s="6">
        <v>400</v>
      </c>
      <c r="F11" s="2">
        <v>51941000</v>
      </c>
    </row>
    <row r="12" spans="1:6">
      <c r="A12" s="2">
        <v>0</v>
      </c>
      <c r="B12" s="2">
        <v>0</v>
      </c>
      <c r="C12" s="2">
        <v>2030</v>
      </c>
      <c r="D12" s="2">
        <f t="shared" si="0"/>
        <v>21341997</v>
      </c>
      <c r="E12" s="6">
        <v>411</v>
      </c>
      <c r="F12" s="2">
        <v>51927000</v>
      </c>
    </row>
    <row r="13" spans="1:6">
      <c r="A13" s="2">
        <v>0</v>
      </c>
      <c r="B13" s="2">
        <v>0</v>
      </c>
      <c r="C13" s="2">
        <v>2031</v>
      </c>
      <c r="D13" s="2">
        <f t="shared" si="0"/>
        <v>21901800</v>
      </c>
      <c r="E13" s="6">
        <v>422</v>
      </c>
      <c r="F13" s="2">
        <v>51900000</v>
      </c>
    </row>
    <row r="14" spans="1:6">
      <c r="A14" s="2">
        <v>0</v>
      </c>
      <c r="B14" s="2">
        <v>0</v>
      </c>
      <c r="C14" s="2">
        <v>2032</v>
      </c>
      <c r="D14" s="2">
        <f t="shared" si="0"/>
        <v>22454514</v>
      </c>
      <c r="E14" s="6">
        <v>433</v>
      </c>
      <c r="F14" s="2">
        <v>51858000</v>
      </c>
    </row>
    <row r="15" spans="1:6">
      <c r="A15" s="2">
        <v>0</v>
      </c>
      <c r="B15" s="2">
        <v>0</v>
      </c>
      <c r="C15" s="2">
        <v>2033</v>
      </c>
      <c r="D15" s="2">
        <f t="shared" si="0"/>
        <v>22999200</v>
      </c>
      <c r="E15" s="6">
        <v>444</v>
      </c>
      <c r="F15" s="2">
        <v>51800000</v>
      </c>
    </row>
    <row r="16" spans="1:6">
      <c r="A16" s="2">
        <v>0</v>
      </c>
      <c r="B16" s="2">
        <v>0</v>
      </c>
      <c r="C16" s="2">
        <v>2034</v>
      </c>
      <c r="D16" s="2">
        <f t="shared" si="0"/>
        <v>23586144</v>
      </c>
      <c r="E16" s="6">
        <v>456</v>
      </c>
      <c r="F16" s="2">
        <v>51724000</v>
      </c>
    </row>
    <row r="17" spans="1:6">
      <c r="A17" s="2">
        <v>0</v>
      </c>
      <c r="B17" s="2">
        <v>0</v>
      </c>
      <c r="C17" s="2">
        <v>2035</v>
      </c>
      <c r="D17" s="2">
        <f t="shared" si="0"/>
        <v>24162840</v>
      </c>
      <c r="E17" s="6">
        <v>468</v>
      </c>
      <c r="F17" s="2">
        <v>51630000</v>
      </c>
    </row>
    <row r="18" spans="1:6">
      <c r="A18" s="2">
        <v>0</v>
      </c>
      <c r="B18" s="2">
        <v>0</v>
      </c>
      <c r="C18" s="2">
        <v>2036</v>
      </c>
      <c r="D18" s="2">
        <f t="shared" si="0"/>
        <v>24708000</v>
      </c>
      <c r="E18" s="6">
        <v>480</v>
      </c>
      <c r="F18" s="2">
        <v>51475000</v>
      </c>
    </row>
    <row r="19" spans="1:6">
      <c r="A19" s="2">
        <v>0</v>
      </c>
      <c r="B19" s="2">
        <v>0</v>
      </c>
      <c r="C19" s="2">
        <v>2037</v>
      </c>
      <c r="D19" s="2">
        <f t="shared" si="0"/>
        <v>25300760</v>
      </c>
      <c r="E19" s="6">
        <v>493</v>
      </c>
      <c r="F19" s="2">
        <v>51320000</v>
      </c>
    </row>
    <row r="20" spans="1:6">
      <c r="A20" s="2">
        <v>0</v>
      </c>
      <c r="B20" s="2">
        <v>0</v>
      </c>
      <c r="C20" s="2">
        <v>2038</v>
      </c>
      <c r="D20" s="2">
        <f t="shared" si="0"/>
        <v>25838325</v>
      </c>
      <c r="E20" s="6">
        <v>505</v>
      </c>
      <c r="F20" s="2">
        <v>51165000</v>
      </c>
    </row>
    <row r="21" spans="1:6">
      <c r="A21" s="2">
        <v>0</v>
      </c>
      <c r="B21" s="2">
        <v>0</v>
      </c>
      <c r="C21" s="2">
        <v>2039</v>
      </c>
      <c r="D21" s="2">
        <f t="shared" si="0"/>
        <v>26474190</v>
      </c>
      <c r="E21" s="6">
        <v>519</v>
      </c>
      <c r="F21" s="2">
        <v>51010000</v>
      </c>
    </row>
    <row r="22" spans="1:6">
      <c r="A22" s="2">
        <v>0</v>
      </c>
      <c r="B22" s="2">
        <v>0</v>
      </c>
      <c r="C22" s="2">
        <v>2040</v>
      </c>
      <c r="D22" s="2">
        <f t="shared" si="0"/>
        <v>27105715</v>
      </c>
      <c r="E22" s="6">
        <v>533</v>
      </c>
      <c r="F22" s="2">
        <v>50855000</v>
      </c>
    </row>
    <row r="23" spans="1:6">
      <c r="A23" s="2">
        <v>0</v>
      </c>
      <c r="B23" s="2">
        <v>0</v>
      </c>
      <c r="C23" s="2">
        <v>2041</v>
      </c>
      <c r="D23" s="2">
        <f t="shared" si="0"/>
        <v>27728142.400000002</v>
      </c>
      <c r="E23" s="6">
        <v>548</v>
      </c>
      <c r="F23" s="2">
        <v>50598800</v>
      </c>
    </row>
    <row r="24" spans="1:6">
      <c r="A24" s="2">
        <v>0</v>
      </c>
      <c r="B24" s="2">
        <v>0</v>
      </c>
      <c r="C24" s="2">
        <v>2042</v>
      </c>
      <c r="D24" s="2">
        <f t="shared" si="0"/>
        <v>28342883.799999997</v>
      </c>
      <c r="E24" s="6">
        <v>563</v>
      </c>
      <c r="F24" s="2">
        <v>50342600</v>
      </c>
    </row>
    <row r="25" spans="1:6">
      <c r="A25" s="2">
        <v>0</v>
      </c>
      <c r="B25" s="2">
        <v>0</v>
      </c>
      <c r="C25" s="2">
        <v>2043</v>
      </c>
      <c r="D25" s="2">
        <f t="shared" si="0"/>
        <v>29000025.599999998</v>
      </c>
      <c r="E25" s="6">
        <v>579</v>
      </c>
      <c r="F25" s="2">
        <v>50086400</v>
      </c>
    </row>
    <row r="26" spans="1:6">
      <c r="A26" s="2">
        <v>0</v>
      </c>
      <c r="B26" s="2">
        <v>0</v>
      </c>
      <c r="C26" s="2">
        <v>2044</v>
      </c>
      <c r="D26" s="2">
        <f t="shared" si="0"/>
        <v>29599138.799999997</v>
      </c>
      <c r="E26" s="6">
        <v>594</v>
      </c>
      <c r="F26" s="2">
        <v>49830200</v>
      </c>
    </row>
    <row r="27" spans="1:6">
      <c r="A27" s="2">
        <v>0</v>
      </c>
      <c r="B27" s="2">
        <v>0</v>
      </c>
      <c r="C27" s="2">
        <v>2045</v>
      </c>
      <c r="D27" s="2">
        <f t="shared" si="0"/>
        <v>30289714</v>
      </c>
      <c r="E27" s="6">
        <v>611</v>
      </c>
      <c r="F27" s="2">
        <v>49574000</v>
      </c>
    </row>
    <row r="28" spans="1:6">
      <c r="A28" s="2">
        <v>0</v>
      </c>
      <c r="B28" s="2">
        <v>0</v>
      </c>
      <c r="C28" s="2">
        <v>2046</v>
      </c>
      <c r="D28" s="2">
        <f t="shared" si="0"/>
        <v>30853541.399999999</v>
      </c>
      <c r="E28" s="6">
        <v>627</v>
      </c>
      <c r="F28" s="2">
        <v>49208200</v>
      </c>
    </row>
    <row r="29" spans="1:6">
      <c r="A29" s="2">
        <v>0</v>
      </c>
      <c r="B29" s="2">
        <v>0</v>
      </c>
      <c r="C29" s="2">
        <v>2047</v>
      </c>
      <c r="D29" s="2">
        <f t="shared" si="0"/>
        <v>31405663.199999999</v>
      </c>
      <c r="E29" s="6">
        <v>643</v>
      </c>
      <c r="F29" s="2">
        <v>48842400</v>
      </c>
    </row>
    <row r="30" spans="1:6">
      <c r="A30" s="2">
        <v>0</v>
      </c>
      <c r="B30" s="2">
        <v>0</v>
      </c>
      <c r="C30" s="2">
        <v>2048</v>
      </c>
      <c r="D30" s="2">
        <f t="shared" si="0"/>
        <v>31946079.400000002</v>
      </c>
      <c r="E30" s="6">
        <v>659</v>
      </c>
      <c r="F30" s="2">
        <v>48476600</v>
      </c>
    </row>
    <row r="31" spans="1:6">
      <c r="A31" s="2">
        <v>0</v>
      </c>
      <c r="B31" s="2">
        <v>0</v>
      </c>
      <c r="C31" s="2">
        <v>2049</v>
      </c>
      <c r="D31" s="2">
        <f t="shared" si="0"/>
        <v>32378568.400000002</v>
      </c>
      <c r="E31" s="6">
        <v>673</v>
      </c>
      <c r="F31" s="2">
        <v>48110800</v>
      </c>
    </row>
    <row r="32" spans="1:6">
      <c r="A32" s="2">
        <v>0</v>
      </c>
      <c r="B32" s="2">
        <v>0</v>
      </c>
      <c r="C32" s="2">
        <v>2050</v>
      </c>
      <c r="D32" s="2">
        <f t="shared" si="0"/>
        <v>32705325.000000004</v>
      </c>
      <c r="E32" s="6">
        <v>685</v>
      </c>
      <c r="F32" s="2">
        <v>47745000</v>
      </c>
    </row>
    <row r="33" spans="1:6">
      <c r="A33" s="2">
        <v>0</v>
      </c>
      <c r="B33" s="2">
        <v>1</v>
      </c>
      <c r="C33" s="2">
        <v>2020</v>
      </c>
      <c r="D33" s="2">
        <f>(E33/1000) * F33</f>
        <v>8958113</v>
      </c>
      <c r="E33" s="2">
        <v>173</v>
      </c>
      <c r="F33" s="2">
        <v>51781000</v>
      </c>
    </row>
    <row r="34" spans="1:6">
      <c r="A34" s="2">
        <v>0</v>
      </c>
      <c r="B34" s="2">
        <v>1</v>
      </c>
      <c r="C34" s="2">
        <v>2021</v>
      </c>
      <c r="D34" s="2">
        <f t="shared" si="0"/>
        <v>9224316</v>
      </c>
      <c r="E34" s="2">
        <v>178</v>
      </c>
      <c r="F34" s="2">
        <v>51822000</v>
      </c>
    </row>
    <row r="35" spans="1:6">
      <c r="A35" s="2">
        <v>0</v>
      </c>
      <c r="B35" s="2">
        <v>1</v>
      </c>
      <c r="C35" s="2">
        <v>2022</v>
      </c>
      <c r="D35" s="2">
        <f t="shared" si="0"/>
        <v>10006278</v>
      </c>
      <c r="E35" s="6">
        <v>193</v>
      </c>
      <c r="F35" s="2">
        <v>51846000</v>
      </c>
    </row>
    <row r="36" spans="1:6">
      <c r="A36" s="2">
        <v>0</v>
      </c>
      <c r="B36" s="2">
        <v>1</v>
      </c>
      <c r="C36" s="2">
        <v>2023</v>
      </c>
      <c r="D36" s="2">
        <f t="shared" si="0"/>
        <v>9699316</v>
      </c>
      <c r="E36" s="6">
        <v>187</v>
      </c>
      <c r="F36" s="2">
        <v>51868000</v>
      </c>
    </row>
    <row r="37" spans="1:6">
      <c r="A37" s="2">
        <v>0</v>
      </c>
      <c r="B37" s="2">
        <v>1</v>
      </c>
      <c r="C37" s="2">
        <v>2024</v>
      </c>
      <c r="D37" s="2">
        <f t="shared" si="0"/>
        <v>9703056</v>
      </c>
      <c r="E37" s="6">
        <v>187</v>
      </c>
      <c r="F37" s="2">
        <v>51888000</v>
      </c>
    </row>
    <row r="38" spans="1:6">
      <c r="A38" s="2">
        <v>0</v>
      </c>
      <c r="B38" s="2">
        <v>1</v>
      </c>
      <c r="C38" s="2">
        <v>2025</v>
      </c>
      <c r="D38" s="2">
        <f t="shared" si="0"/>
        <v>9965760</v>
      </c>
      <c r="E38" s="6">
        <v>192</v>
      </c>
      <c r="F38" s="2">
        <v>51905000</v>
      </c>
    </row>
    <row r="39" spans="1:6">
      <c r="A39" s="2">
        <v>0</v>
      </c>
      <c r="B39" s="2">
        <v>1</v>
      </c>
      <c r="C39" s="2">
        <v>2026</v>
      </c>
      <c r="D39" s="2">
        <f t="shared" si="0"/>
        <v>10228240</v>
      </c>
      <c r="E39" s="6">
        <v>197</v>
      </c>
      <c r="F39" s="2">
        <v>51920000</v>
      </c>
    </row>
    <row r="40" spans="1:6">
      <c r="A40" s="2">
        <v>0</v>
      </c>
      <c r="B40" s="2">
        <v>1</v>
      </c>
      <c r="C40" s="2">
        <v>2027</v>
      </c>
      <c r="D40" s="2">
        <f t="shared" si="0"/>
        <v>10490466</v>
      </c>
      <c r="E40" s="6">
        <v>202</v>
      </c>
      <c r="F40" s="2">
        <v>51933000</v>
      </c>
    </row>
    <row r="41" spans="1:6">
      <c r="A41" s="2">
        <v>0</v>
      </c>
      <c r="B41" s="2">
        <v>1</v>
      </c>
      <c r="C41" s="2">
        <v>2028</v>
      </c>
      <c r="D41" s="2">
        <f t="shared" si="0"/>
        <v>10751994</v>
      </c>
      <c r="E41" s="6">
        <v>207</v>
      </c>
      <c r="F41" s="2">
        <v>51942000</v>
      </c>
    </row>
    <row r="42" spans="1:6">
      <c r="A42" s="2">
        <v>0</v>
      </c>
      <c r="B42" s="2">
        <v>1</v>
      </c>
      <c r="C42" s="2">
        <v>2029</v>
      </c>
      <c r="D42" s="2">
        <f t="shared" si="0"/>
        <v>11011492</v>
      </c>
      <c r="E42" s="6">
        <v>212</v>
      </c>
      <c r="F42" s="2">
        <v>51941000</v>
      </c>
    </row>
    <row r="43" spans="1:6">
      <c r="A43" s="2">
        <v>0</v>
      </c>
      <c r="B43" s="2">
        <v>1</v>
      </c>
      <c r="C43" s="2">
        <v>2030</v>
      </c>
      <c r="D43" s="2">
        <f t="shared" si="0"/>
        <v>11320086</v>
      </c>
      <c r="E43" s="6">
        <v>218</v>
      </c>
      <c r="F43" s="2">
        <v>51927000</v>
      </c>
    </row>
    <row r="44" spans="1:6">
      <c r="A44" s="2">
        <v>0</v>
      </c>
      <c r="B44" s="2">
        <v>1</v>
      </c>
      <c r="C44" s="2">
        <v>2031</v>
      </c>
      <c r="D44" s="2">
        <f t="shared" si="0"/>
        <v>11573700</v>
      </c>
      <c r="E44" s="6">
        <v>223</v>
      </c>
      <c r="F44" s="2">
        <v>51900000</v>
      </c>
    </row>
    <row r="45" spans="1:6">
      <c r="A45" s="2">
        <v>0</v>
      </c>
      <c r="B45" s="2">
        <v>1</v>
      </c>
      <c r="C45" s="2">
        <v>2032</v>
      </c>
      <c r="D45" s="2">
        <f t="shared" si="0"/>
        <v>11875482</v>
      </c>
      <c r="E45" s="6">
        <v>229</v>
      </c>
      <c r="F45" s="2">
        <v>51858000</v>
      </c>
    </row>
    <row r="46" spans="1:6">
      <c r="A46" s="2">
        <v>0</v>
      </c>
      <c r="B46" s="2">
        <v>1</v>
      </c>
      <c r="C46" s="2">
        <v>2033</v>
      </c>
      <c r="D46" s="2">
        <f t="shared" si="0"/>
        <v>12121200</v>
      </c>
      <c r="E46" s="6">
        <v>234</v>
      </c>
      <c r="F46" s="2">
        <v>51800000</v>
      </c>
    </row>
    <row r="47" spans="1:6">
      <c r="A47" s="2">
        <v>0</v>
      </c>
      <c r="B47" s="2">
        <v>1</v>
      </c>
      <c r="C47" s="2">
        <v>2034</v>
      </c>
      <c r="D47" s="2">
        <f t="shared" si="0"/>
        <v>12413760</v>
      </c>
      <c r="E47" s="6">
        <v>240</v>
      </c>
      <c r="F47" s="2">
        <v>51724000</v>
      </c>
    </row>
    <row r="48" spans="1:6">
      <c r="A48" s="2">
        <v>0</v>
      </c>
      <c r="B48" s="2">
        <v>1</v>
      </c>
      <c r="C48" s="2">
        <v>2035</v>
      </c>
      <c r="D48" s="2">
        <f t="shared" si="0"/>
        <v>12700980</v>
      </c>
      <c r="E48" s="6">
        <v>246</v>
      </c>
      <c r="F48" s="2">
        <v>51630000</v>
      </c>
    </row>
    <row r="49" spans="1:6">
      <c r="A49" s="2">
        <v>0</v>
      </c>
      <c r="B49" s="2">
        <v>1</v>
      </c>
      <c r="C49" s="2">
        <v>2036</v>
      </c>
      <c r="D49" s="2">
        <f t="shared" si="0"/>
        <v>13023175</v>
      </c>
      <c r="E49" s="6">
        <v>253</v>
      </c>
      <c r="F49" s="2">
        <v>51475000</v>
      </c>
    </row>
    <row r="50" spans="1:6">
      <c r="A50" s="2">
        <v>0</v>
      </c>
      <c r="B50" s="2">
        <v>1</v>
      </c>
      <c r="C50" s="2">
        <v>2037</v>
      </c>
      <c r="D50" s="2">
        <f t="shared" si="0"/>
        <v>13291880</v>
      </c>
      <c r="E50" s="6">
        <v>259</v>
      </c>
      <c r="F50" s="2">
        <v>51320000</v>
      </c>
    </row>
    <row r="51" spans="1:6">
      <c r="A51" s="2">
        <v>0</v>
      </c>
      <c r="B51" s="2">
        <v>1</v>
      </c>
      <c r="C51" s="2">
        <v>2038</v>
      </c>
      <c r="D51" s="2">
        <f t="shared" si="0"/>
        <v>13609890</v>
      </c>
      <c r="E51" s="6">
        <v>266</v>
      </c>
      <c r="F51" s="2">
        <v>51165000</v>
      </c>
    </row>
    <row r="52" spans="1:6">
      <c r="A52" s="2">
        <v>0</v>
      </c>
      <c r="B52" s="2">
        <v>1</v>
      </c>
      <c r="C52" s="2">
        <v>2039</v>
      </c>
      <c r="D52" s="2">
        <f t="shared" si="0"/>
        <v>13925730.000000002</v>
      </c>
      <c r="E52" s="6">
        <v>273</v>
      </c>
      <c r="F52" s="2">
        <v>51010000</v>
      </c>
    </row>
    <row r="53" spans="1:6">
      <c r="A53" s="2">
        <v>0</v>
      </c>
      <c r="B53" s="2">
        <v>1</v>
      </c>
      <c r="C53" s="2">
        <v>2040</v>
      </c>
      <c r="D53" s="2">
        <f t="shared" si="0"/>
        <v>14239400.000000002</v>
      </c>
      <c r="E53" s="6">
        <v>280</v>
      </c>
      <c r="F53" s="2">
        <v>50855000</v>
      </c>
    </row>
    <row r="54" spans="1:6">
      <c r="A54" s="2">
        <v>0</v>
      </c>
      <c r="B54" s="2">
        <v>1</v>
      </c>
      <c r="C54" s="2">
        <v>2041</v>
      </c>
      <c r="D54" s="2">
        <f t="shared" si="0"/>
        <v>14521855.6</v>
      </c>
      <c r="E54" s="6">
        <v>287</v>
      </c>
      <c r="F54" s="2">
        <v>50598800</v>
      </c>
    </row>
    <row r="55" spans="1:6">
      <c r="A55" s="2">
        <v>0</v>
      </c>
      <c r="B55" s="2">
        <v>1</v>
      </c>
      <c r="C55" s="2">
        <v>2042</v>
      </c>
      <c r="D55" s="2">
        <f t="shared" si="0"/>
        <v>14851067</v>
      </c>
      <c r="E55" s="6">
        <v>295</v>
      </c>
      <c r="F55" s="2">
        <v>50342600</v>
      </c>
    </row>
    <row r="56" spans="1:6">
      <c r="A56" s="2">
        <v>0</v>
      </c>
      <c r="B56" s="2">
        <v>1</v>
      </c>
      <c r="C56" s="2">
        <v>2043</v>
      </c>
      <c r="D56" s="2">
        <f t="shared" si="0"/>
        <v>15126092.799999999</v>
      </c>
      <c r="E56" s="6">
        <v>302</v>
      </c>
      <c r="F56" s="2">
        <v>50086400</v>
      </c>
    </row>
    <row r="57" spans="1:6">
      <c r="A57" s="2">
        <v>0</v>
      </c>
      <c r="B57" s="2">
        <v>1</v>
      </c>
      <c r="C57" s="2">
        <v>2044</v>
      </c>
      <c r="D57" s="2">
        <f t="shared" si="0"/>
        <v>15397531.800000001</v>
      </c>
      <c r="E57" s="6">
        <v>309</v>
      </c>
      <c r="F57" s="2">
        <v>49830200</v>
      </c>
    </row>
    <row r="58" spans="1:6">
      <c r="A58" s="2">
        <v>0</v>
      </c>
      <c r="B58" s="2">
        <v>1</v>
      </c>
      <c r="C58" s="2">
        <v>2045</v>
      </c>
      <c r="D58" s="2">
        <f t="shared" si="0"/>
        <v>15665384</v>
      </c>
      <c r="E58" s="6">
        <v>316</v>
      </c>
      <c r="F58" s="2">
        <v>49574000</v>
      </c>
    </row>
    <row r="59" spans="1:6">
      <c r="A59" s="2">
        <v>0</v>
      </c>
      <c r="B59" s="2">
        <v>1</v>
      </c>
      <c r="C59" s="2">
        <v>2046</v>
      </c>
      <c r="D59" s="2">
        <f t="shared" si="0"/>
        <v>15894248.6</v>
      </c>
      <c r="E59" s="6">
        <v>323</v>
      </c>
      <c r="F59" s="2">
        <v>49208200</v>
      </c>
    </row>
    <row r="60" spans="1:6">
      <c r="A60" s="2">
        <v>0</v>
      </c>
      <c r="B60" s="2">
        <v>1</v>
      </c>
      <c r="C60" s="2">
        <v>2047</v>
      </c>
      <c r="D60" s="2">
        <f t="shared" si="0"/>
        <v>16117992</v>
      </c>
      <c r="E60" s="6">
        <v>330</v>
      </c>
      <c r="F60" s="2">
        <v>48842400</v>
      </c>
    </row>
    <row r="61" spans="1:6">
      <c r="A61" s="2">
        <v>0</v>
      </c>
      <c r="B61" s="2">
        <v>1</v>
      </c>
      <c r="C61" s="2">
        <v>2048</v>
      </c>
      <c r="D61" s="2">
        <f t="shared" si="0"/>
        <v>16288137.600000001</v>
      </c>
      <c r="E61" s="6">
        <v>336</v>
      </c>
      <c r="F61" s="2">
        <v>48476600</v>
      </c>
    </row>
    <row r="62" spans="1:6">
      <c r="A62" s="2">
        <v>0</v>
      </c>
      <c r="B62" s="2">
        <v>1</v>
      </c>
      <c r="C62" s="2">
        <v>2049</v>
      </c>
      <c r="D62" s="2">
        <f t="shared" si="0"/>
        <v>16453893.600000001</v>
      </c>
      <c r="E62" s="6">
        <v>342</v>
      </c>
      <c r="F62" s="2">
        <v>48110800</v>
      </c>
    </row>
    <row r="63" spans="1:6">
      <c r="A63" s="2">
        <v>0</v>
      </c>
      <c r="B63" s="2">
        <v>1</v>
      </c>
      <c r="C63" s="2">
        <v>2050</v>
      </c>
      <c r="D63" s="2">
        <f t="shared" si="0"/>
        <v>16567514.999999998</v>
      </c>
      <c r="E63" s="6">
        <v>347</v>
      </c>
      <c r="F63" s="2">
        <v>47745000</v>
      </c>
    </row>
    <row r="64" spans="1:6">
      <c r="A64" s="2">
        <v>0</v>
      </c>
      <c r="B64" s="2">
        <v>2</v>
      </c>
      <c r="C64" s="2">
        <v>2020</v>
      </c>
      <c r="D64" s="2">
        <f>D2-D33</f>
        <v>7767150</v>
      </c>
      <c r="E64" s="2">
        <f>E2-E33</f>
        <v>150</v>
      </c>
      <c r="F64" s="2">
        <v>51781000</v>
      </c>
    </row>
    <row r="65" spans="1:6">
      <c r="A65" s="2">
        <v>0</v>
      </c>
      <c r="B65" s="2">
        <v>2</v>
      </c>
      <c r="C65" s="2">
        <v>2021</v>
      </c>
      <c r="D65" s="2">
        <f t="shared" ref="D65" si="1">D3-D34</f>
        <v>8032410</v>
      </c>
      <c r="E65" s="2">
        <f t="shared" ref="E65" si="2">E3-E34</f>
        <v>155</v>
      </c>
      <c r="F65" s="2">
        <v>51822000</v>
      </c>
    </row>
    <row r="66" spans="1:6">
      <c r="A66" s="2">
        <v>0</v>
      </c>
      <c r="B66" s="2">
        <v>2</v>
      </c>
      <c r="C66" s="2">
        <v>2022</v>
      </c>
      <c r="D66" s="2">
        <f t="shared" ref="D66" si="3">D4-D35</f>
        <v>8658282</v>
      </c>
      <c r="E66" s="6">
        <v>167</v>
      </c>
      <c r="F66" s="2">
        <v>51846000</v>
      </c>
    </row>
    <row r="67" spans="1:6">
      <c r="A67" s="2">
        <v>0</v>
      </c>
      <c r="B67" s="2">
        <v>2</v>
      </c>
      <c r="C67" s="2">
        <v>2023</v>
      </c>
      <c r="D67" s="2">
        <f t="shared" ref="D67" si="4">D5-D36</f>
        <v>8298880</v>
      </c>
      <c r="E67" s="6">
        <v>160</v>
      </c>
      <c r="F67" s="2">
        <v>51868000</v>
      </c>
    </row>
    <row r="68" spans="1:6">
      <c r="A68" s="2">
        <v>0</v>
      </c>
      <c r="B68" s="2">
        <v>2</v>
      </c>
      <c r="C68" s="2">
        <v>2024</v>
      </c>
      <c r="D68" s="2">
        <f t="shared" ref="D68" si="5">D6-D37</f>
        <v>8353968</v>
      </c>
      <c r="E68" s="6">
        <v>161</v>
      </c>
      <c r="F68" s="2">
        <v>51888000</v>
      </c>
    </row>
    <row r="69" spans="1:6">
      <c r="A69" s="2">
        <v>0</v>
      </c>
      <c r="B69" s="2">
        <v>2</v>
      </c>
      <c r="C69" s="2">
        <v>2025</v>
      </c>
      <c r="D69" s="2">
        <f t="shared" ref="D69" si="6">D7-D38</f>
        <v>8616230</v>
      </c>
      <c r="E69" s="6">
        <v>166</v>
      </c>
      <c r="F69" s="2">
        <v>51905000</v>
      </c>
    </row>
    <row r="70" spans="1:6">
      <c r="A70" s="2">
        <v>0</v>
      </c>
      <c r="B70" s="2">
        <v>2</v>
      </c>
      <c r="C70" s="2">
        <v>2026</v>
      </c>
      <c r="D70" s="2">
        <f t="shared" ref="D70" si="7">D8-D39</f>
        <v>8930240</v>
      </c>
      <c r="E70" s="6">
        <v>172</v>
      </c>
      <c r="F70" s="2">
        <v>51920000</v>
      </c>
    </row>
    <row r="71" spans="1:6">
      <c r="A71" s="2">
        <v>0</v>
      </c>
      <c r="B71" s="2">
        <v>2</v>
      </c>
      <c r="C71" s="2">
        <v>2027</v>
      </c>
      <c r="D71" s="2">
        <f t="shared" ref="D71" si="8">D9-D40</f>
        <v>9192141</v>
      </c>
      <c r="E71" s="6">
        <v>178</v>
      </c>
      <c r="F71" s="2">
        <v>51933000</v>
      </c>
    </row>
    <row r="72" spans="1:6">
      <c r="A72" s="2">
        <v>0</v>
      </c>
      <c r="B72" s="2">
        <v>2</v>
      </c>
      <c r="C72" s="2">
        <v>2028</v>
      </c>
      <c r="D72" s="2">
        <f t="shared" ref="D72" si="9">D10-D41</f>
        <v>9505386</v>
      </c>
      <c r="E72" s="6">
        <v>183</v>
      </c>
      <c r="F72" s="2">
        <v>51942000</v>
      </c>
    </row>
    <row r="73" spans="1:6">
      <c r="A73" s="2">
        <v>0</v>
      </c>
      <c r="B73" s="2">
        <v>2</v>
      </c>
      <c r="C73" s="2">
        <v>2029</v>
      </c>
      <c r="D73" s="2">
        <f t="shared" ref="D73" si="10">D11-D42</f>
        <v>9764908</v>
      </c>
      <c r="E73" s="6">
        <v>188</v>
      </c>
      <c r="F73" s="2">
        <v>51941000</v>
      </c>
    </row>
    <row r="74" spans="1:6">
      <c r="A74" s="2">
        <v>0</v>
      </c>
      <c r="B74" s="2">
        <v>2</v>
      </c>
      <c r="C74" s="2">
        <v>2030</v>
      </c>
      <c r="D74" s="2">
        <f t="shared" ref="D74" si="11">D12-D43</f>
        <v>10021911</v>
      </c>
      <c r="E74" s="6">
        <v>194</v>
      </c>
      <c r="F74" s="2">
        <v>51927000</v>
      </c>
    </row>
    <row r="75" spans="1:6">
      <c r="A75" s="2">
        <v>0</v>
      </c>
      <c r="B75" s="2">
        <v>2</v>
      </c>
      <c r="C75" s="2">
        <v>2031</v>
      </c>
      <c r="D75" s="2">
        <f t="shared" ref="D75" si="12">D13-D44</f>
        <v>10328100</v>
      </c>
      <c r="E75" s="6">
        <v>199</v>
      </c>
      <c r="F75" s="2">
        <v>51900000</v>
      </c>
    </row>
    <row r="76" spans="1:6">
      <c r="A76" s="2">
        <v>0</v>
      </c>
      <c r="B76" s="2">
        <v>2</v>
      </c>
      <c r="C76" s="2">
        <v>2032</v>
      </c>
      <c r="D76" s="2">
        <f t="shared" ref="D76" si="13">D14-D45</f>
        <v>10579032</v>
      </c>
      <c r="E76" s="6">
        <v>204</v>
      </c>
      <c r="F76" s="2">
        <v>51858000</v>
      </c>
    </row>
    <row r="77" spans="1:6">
      <c r="A77" s="2">
        <v>0</v>
      </c>
      <c r="B77" s="2">
        <v>2</v>
      </c>
      <c r="C77" s="2">
        <v>2033</v>
      </c>
      <c r="D77" s="2">
        <f t="shared" ref="D77" si="14">D15-D46</f>
        <v>10878000</v>
      </c>
      <c r="E77" s="6">
        <v>210</v>
      </c>
      <c r="F77" s="2">
        <v>51800000</v>
      </c>
    </row>
    <row r="78" spans="1:6">
      <c r="A78" s="2">
        <v>0</v>
      </c>
      <c r="B78" s="2">
        <v>2</v>
      </c>
      <c r="C78" s="2">
        <v>2034</v>
      </c>
      <c r="D78" s="2">
        <f t="shared" ref="D78" si="15">D16-D47</f>
        <v>11172384</v>
      </c>
      <c r="E78" s="6">
        <v>216</v>
      </c>
      <c r="F78" s="2">
        <v>51724000</v>
      </c>
    </row>
    <row r="79" spans="1:6">
      <c r="A79" s="2">
        <v>0</v>
      </c>
      <c r="B79" s="2">
        <v>2</v>
      </c>
      <c r="C79" s="2">
        <v>2035</v>
      </c>
      <c r="D79" s="2">
        <f t="shared" ref="D79" si="16">D17-D48</f>
        <v>11461860</v>
      </c>
      <c r="E79" s="6">
        <v>222</v>
      </c>
      <c r="F79" s="2">
        <v>51630000</v>
      </c>
    </row>
    <row r="80" spans="1:6">
      <c r="A80" s="2">
        <v>0</v>
      </c>
      <c r="B80" s="2">
        <v>2</v>
      </c>
      <c r="C80" s="2">
        <v>2036</v>
      </c>
      <c r="D80" s="2">
        <f t="shared" ref="D80" si="17">D18-D49</f>
        <v>11684825</v>
      </c>
      <c r="E80" s="6">
        <v>227</v>
      </c>
      <c r="F80" s="2">
        <v>51475000</v>
      </c>
    </row>
    <row r="81" spans="1:6">
      <c r="A81" s="2">
        <v>0</v>
      </c>
      <c r="B81" s="2">
        <v>2</v>
      </c>
      <c r="C81" s="2">
        <v>2037</v>
      </c>
      <c r="D81" s="2">
        <f t="shared" ref="D81" si="18">D19-D50</f>
        <v>12008880</v>
      </c>
      <c r="E81" s="6">
        <v>233</v>
      </c>
      <c r="F81" s="2">
        <v>51320000</v>
      </c>
    </row>
    <row r="82" spans="1:6">
      <c r="A82" s="2">
        <v>0</v>
      </c>
      <c r="B82" s="2">
        <v>2</v>
      </c>
      <c r="C82" s="2">
        <v>2038</v>
      </c>
      <c r="D82" s="2">
        <f t="shared" ref="D82" si="19">D20-D51</f>
        <v>12228435</v>
      </c>
      <c r="E82" s="6">
        <v>240</v>
      </c>
      <c r="F82" s="2">
        <v>51165000</v>
      </c>
    </row>
    <row r="83" spans="1:6">
      <c r="A83" s="2">
        <v>0</v>
      </c>
      <c r="B83" s="2">
        <v>2</v>
      </c>
      <c r="C83" s="2">
        <v>2039</v>
      </c>
      <c r="D83" s="2">
        <f t="shared" ref="D83" si="20">D21-D52</f>
        <v>12548459.999999998</v>
      </c>
      <c r="E83" s="6">
        <v>246</v>
      </c>
      <c r="F83" s="2">
        <v>51010000</v>
      </c>
    </row>
    <row r="84" spans="1:6">
      <c r="A84" s="2">
        <v>0</v>
      </c>
      <c r="B84" s="2">
        <v>2</v>
      </c>
      <c r="C84" s="2">
        <v>2040</v>
      </c>
      <c r="D84" s="2">
        <f t="shared" ref="D84" si="21">D22-D53</f>
        <v>12866314.999999998</v>
      </c>
      <c r="E84" s="6">
        <v>253</v>
      </c>
      <c r="F84" s="2">
        <v>50855000</v>
      </c>
    </row>
    <row r="85" spans="1:6">
      <c r="A85" s="2">
        <v>0</v>
      </c>
      <c r="B85" s="2">
        <v>2</v>
      </c>
      <c r="C85" s="2">
        <v>2041</v>
      </c>
      <c r="D85" s="2">
        <f t="shared" ref="D85" si="22">D23-D54</f>
        <v>13206286.800000003</v>
      </c>
      <c r="E85" s="6">
        <v>261</v>
      </c>
      <c r="F85" s="2">
        <v>50598800</v>
      </c>
    </row>
    <row r="86" spans="1:6">
      <c r="A86" s="2">
        <v>0</v>
      </c>
      <c r="B86" s="2">
        <v>2</v>
      </c>
      <c r="C86" s="2">
        <v>2042</v>
      </c>
      <c r="D86" s="2">
        <f t="shared" ref="D86" si="23">D24-D55</f>
        <v>13491816.799999997</v>
      </c>
      <c r="E86" s="6">
        <v>269</v>
      </c>
      <c r="F86" s="2">
        <v>50342600</v>
      </c>
    </row>
    <row r="87" spans="1:6">
      <c r="A87" s="2">
        <v>0</v>
      </c>
      <c r="B87" s="2">
        <v>2</v>
      </c>
      <c r="C87" s="2">
        <v>2043</v>
      </c>
      <c r="D87" s="2">
        <f t="shared" ref="D87" si="24">D25-D56</f>
        <v>13873932.799999999</v>
      </c>
      <c r="E87" s="6">
        <v>277</v>
      </c>
      <c r="F87" s="2">
        <v>50086400</v>
      </c>
    </row>
    <row r="88" spans="1:6">
      <c r="A88" s="2">
        <v>0</v>
      </c>
      <c r="B88" s="2">
        <v>2</v>
      </c>
      <c r="C88" s="2">
        <v>2044</v>
      </c>
      <c r="D88" s="2">
        <f t="shared" ref="D88" si="25">D26-D57</f>
        <v>14201606.999999996</v>
      </c>
      <c r="E88" s="6">
        <v>286</v>
      </c>
      <c r="F88" s="2">
        <v>49830200</v>
      </c>
    </row>
    <row r="89" spans="1:6">
      <c r="A89" s="2">
        <v>0</v>
      </c>
      <c r="B89" s="2">
        <v>2</v>
      </c>
      <c r="C89" s="2">
        <v>2045</v>
      </c>
      <c r="D89" s="2">
        <f t="shared" ref="D89" si="26">D27-D58</f>
        <v>14624330</v>
      </c>
      <c r="E89" s="6">
        <v>295</v>
      </c>
      <c r="F89" s="2">
        <v>49574000</v>
      </c>
    </row>
    <row r="90" spans="1:6">
      <c r="A90" s="2">
        <v>0</v>
      </c>
      <c r="B90" s="2">
        <v>2</v>
      </c>
      <c r="C90" s="2">
        <v>2046</v>
      </c>
      <c r="D90" s="2">
        <f t="shared" ref="D90" si="27">D28-D59</f>
        <v>14959292.799999999</v>
      </c>
      <c r="E90" s="6">
        <v>304</v>
      </c>
      <c r="F90" s="2">
        <v>49208200</v>
      </c>
    </row>
    <row r="91" spans="1:6">
      <c r="A91" s="2">
        <v>0</v>
      </c>
      <c r="B91" s="2">
        <v>2</v>
      </c>
      <c r="C91" s="2">
        <v>2047</v>
      </c>
      <c r="D91" s="2">
        <f t="shared" ref="D91" si="28">D29-D60</f>
        <v>15287671.199999999</v>
      </c>
      <c r="E91" s="6">
        <v>314</v>
      </c>
      <c r="F91" s="2">
        <v>48842400</v>
      </c>
    </row>
    <row r="92" spans="1:6">
      <c r="A92" s="2">
        <v>0</v>
      </c>
      <c r="B92" s="2">
        <v>2</v>
      </c>
      <c r="C92" s="2">
        <v>2048</v>
      </c>
      <c r="D92" s="2">
        <f t="shared" ref="D92" si="29">D30-D61</f>
        <v>15657941.800000001</v>
      </c>
      <c r="E92" s="6">
        <v>322</v>
      </c>
      <c r="F92" s="2">
        <v>48476600</v>
      </c>
    </row>
    <row r="93" spans="1:6">
      <c r="A93" s="2">
        <v>0</v>
      </c>
      <c r="B93" s="2">
        <v>2</v>
      </c>
      <c r="C93" s="2">
        <v>2049</v>
      </c>
      <c r="D93" s="2">
        <f t="shared" ref="D93" si="30">D31-D62</f>
        <v>15924674.800000001</v>
      </c>
      <c r="E93" s="6">
        <v>331</v>
      </c>
      <c r="F93" s="2">
        <v>48110800</v>
      </c>
    </row>
    <row r="94" spans="1:6">
      <c r="A94" s="2">
        <v>0</v>
      </c>
      <c r="B94" s="2">
        <v>2</v>
      </c>
      <c r="C94" s="2">
        <v>2050</v>
      </c>
      <c r="D94" s="2">
        <f t="shared" ref="D94" si="31">D32-D63</f>
        <v>16137810.000000006</v>
      </c>
      <c r="E94" s="6">
        <v>338</v>
      </c>
      <c r="F94" s="2">
        <v>47745000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AD9C-F86F-4C07-BD2D-075A8A8C154F}">
  <dimension ref="A1:H24"/>
  <sheetViews>
    <sheetView workbookViewId="0">
      <selection activeCell="A24" sqref="A24"/>
    </sheetView>
  </sheetViews>
  <sheetFormatPr defaultColWidth="20.6328125" defaultRowHeight="14.5"/>
  <cols>
    <col min="1" max="16384" width="20.6328125" style="12"/>
  </cols>
  <sheetData>
    <row r="1" spans="1:8" ht="20" customHeight="1">
      <c r="A1" s="33" t="s">
        <v>33</v>
      </c>
      <c r="B1" s="33" t="s">
        <v>34</v>
      </c>
      <c r="C1" s="34" t="s">
        <v>35</v>
      </c>
      <c r="D1" s="34" t="s">
        <v>35</v>
      </c>
      <c r="E1" s="34" t="s">
        <v>36</v>
      </c>
      <c r="F1" s="34" t="s">
        <v>36</v>
      </c>
      <c r="G1" s="34" t="s">
        <v>37</v>
      </c>
      <c r="H1" s="34" t="s">
        <v>37</v>
      </c>
    </row>
    <row r="2" spans="1:8" ht="20" customHeight="1">
      <c r="A2" s="34" t="s">
        <v>33</v>
      </c>
      <c r="B2" s="34" t="s">
        <v>34</v>
      </c>
      <c r="C2" s="11" t="s">
        <v>38</v>
      </c>
      <c r="D2" s="11" t="s">
        <v>39</v>
      </c>
      <c r="E2" s="11" t="s">
        <v>38</v>
      </c>
      <c r="F2" s="11" t="s">
        <v>39</v>
      </c>
      <c r="G2" s="11" t="s">
        <v>38</v>
      </c>
      <c r="H2" s="11" t="s">
        <v>39</v>
      </c>
    </row>
    <row r="3" spans="1:8" ht="20" customHeight="1">
      <c r="A3" s="13" t="s">
        <v>40</v>
      </c>
      <c r="B3" s="13" t="s">
        <v>41</v>
      </c>
      <c r="C3" s="14">
        <v>1833</v>
      </c>
      <c r="D3" s="15">
        <v>423.8</v>
      </c>
      <c r="E3" s="14">
        <v>980</v>
      </c>
      <c r="F3" s="15">
        <v>436.6</v>
      </c>
      <c r="G3" s="14">
        <v>853</v>
      </c>
      <c r="H3" s="15">
        <v>409.9</v>
      </c>
    </row>
    <row r="4" spans="1:8" ht="20" customHeight="1">
      <c r="A4" s="16" t="s">
        <v>42</v>
      </c>
      <c r="B4" s="13" t="s">
        <v>43</v>
      </c>
      <c r="C4" s="14">
        <v>1710</v>
      </c>
      <c r="D4" s="15">
        <v>407.8</v>
      </c>
      <c r="E4" s="14">
        <v>958</v>
      </c>
      <c r="F4" s="15">
        <v>441.1</v>
      </c>
      <c r="G4" s="14">
        <v>752</v>
      </c>
      <c r="H4" s="15">
        <v>372.1</v>
      </c>
    </row>
    <row r="5" spans="1:8" ht="20" customHeight="1">
      <c r="A5" s="16" t="s">
        <v>42</v>
      </c>
      <c r="B5" s="13" t="s">
        <v>44</v>
      </c>
      <c r="C5" s="14">
        <v>1707</v>
      </c>
      <c r="D5" s="15">
        <v>381.5</v>
      </c>
      <c r="E5" s="14">
        <v>936</v>
      </c>
      <c r="F5" s="15">
        <v>405.2</v>
      </c>
      <c r="G5" s="14">
        <v>771</v>
      </c>
      <c r="H5" s="15">
        <v>356.1</v>
      </c>
    </row>
    <row r="6" spans="1:8" ht="20" customHeight="1">
      <c r="A6" s="16" t="s">
        <v>42</v>
      </c>
      <c r="B6" s="13" t="s">
        <v>45</v>
      </c>
      <c r="C6" s="14">
        <v>1580</v>
      </c>
      <c r="D6" s="15">
        <v>345.5</v>
      </c>
      <c r="E6" s="14">
        <v>842</v>
      </c>
      <c r="F6" s="15">
        <v>357.5</v>
      </c>
      <c r="G6" s="14">
        <v>738</v>
      </c>
      <c r="H6" s="15">
        <v>332.7</v>
      </c>
    </row>
    <row r="7" spans="1:8" ht="20" customHeight="1">
      <c r="A7" s="16" t="s">
        <v>42</v>
      </c>
      <c r="B7" s="13" t="s">
        <v>46</v>
      </c>
      <c r="C7" s="14">
        <v>1415</v>
      </c>
      <c r="D7" s="15">
        <v>325.7</v>
      </c>
      <c r="E7" s="14">
        <v>756</v>
      </c>
      <c r="F7" s="15">
        <v>337.7</v>
      </c>
      <c r="G7" s="14">
        <v>659</v>
      </c>
      <c r="H7" s="15">
        <v>312.89999999999998</v>
      </c>
    </row>
    <row r="8" spans="1:8" ht="20" customHeight="1">
      <c r="A8" s="16" t="s">
        <v>42</v>
      </c>
      <c r="B8" s="13" t="s">
        <v>47</v>
      </c>
      <c r="C8" s="14">
        <v>1508</v>
      </c>
      <c r="D8" s="15">
        <v>345.5</v>
      </c>
      <c r="E8" s="14">
        <v>888</v>
      </c>
      <c r="F8" s="15">
        <v>394.4</v>
      </c>
      <c r="G8" s="14">
        <v>620</v>
      </c>
      <c r="H8" s="15">
        <v>293.3</v>
      </c>
    </row>
    <row r="9" spans="1:8" ht="20" customHeight="1">
      <c r="A9" s="16" t="s">
        <v>42</v>
      </c>
      <c r="B9" s="13" t="s">
        <v>48</v>
      </c>
      <c r="C9" s="14">
        <v>1435</v>
      </c>
      <c r="D9" s="15">
        <v>318.89999999999998</v>
      </c>
      <c r="E9" s="14">
        <v>818</v>
      </c>
      <c r="F9" s="15">
        <v>353</v>
      </c>
      <c r="G9" s="14">
        <v>617</v>
      </c>
      <c r="H9" s="15">
        <v>282.60000000000002</v>
      </c>
    </row>
    <row r="10" spans="1:8" ht="20" customHeight="1">
      <c r="A10" s="16" t="s">
        <v>42</v>
      </c>
      <c r="B10" s="13" t="s">
        <v>49</v>
      </c>
      <c r="C10" s="14">
        <v>1405</v>
      </c>
      <c r="D10" s="15">
        <v>306.8</v>
      </c>
      <c r="E10" s="14">
        <v>779</v>
      </c>
      <c r="F10" s="15">
        <v>331.1</v>
      </c>
      <c r="G10" s="14">
        <v>626</v>
      </c>
      <c r="H10" s="15">
        <v>281.10000000000002</v>
      </c>
    </row>
    <row r="11" spans="1:8" ht="20" customHeight="1">
      <c r="A11" s="16" t="s">
        <v>42</v>
      </c>
      <c r="B11" s="13" t="s">
        <v>50</v>
      </c>
      <c r="C11" s="14">
        <v>1305</v>
      </c>
      <c r="D11" s="15">
        <v>294.60000000000002</v>
      </c>
      <c r="E11" s="14">
        <v>698</v>
      </c>
      <c r="F11" s="15">
        <v>306.89999999999998</v>
      </c>
      <c r="G11" s="14">
        <v>607</v>
      </c>
      <c r="H11" s="15">
        <v>281.7</v>
      </c>
    </row>
    <row r="12" spans="1:8" ht="20" customHeight="1">
      <c r="A12" s="16" t="s">
        <v>42</v>
      </c>
      <c r="B12" s="13" t="s">
        <v>51</v>
      </c>
      <c r="C12" s="14">
        <v>1305</v>
      </c>
      <c r="D12" s="15">
        <v>310.2</v>
      </c>
      <c r="E12" s="14">
        <v>715</v>
      </c>
      <c r="F12" s="15">
        <v>331.4</v>
      </c>
      <c r="G12" s="14">
        <v>590</v>
      </c>
      <c r="H12" s="15">
        <v>287.89999999999998</v>
      </c>
    </row>
    <row r="13" spans="1:8" ht="20" customHeight="1">
      <c r="A13" s="16" t="s">
        <v>42</v>
      </c>
      <c r="B13" s="13" t="s">
        <v>52</v>
      </c>
      <c r="C13" s="14">
        <v>1190</v>
      </c>
      <c r="D13" s="15">
        <v>281.89999999999998</v>
      </c>
      <c r="E13" s="14">
        <v>655</v>
      </c>
      <c r="F13" s="15">
        <v>302.5</v>
      </c>
      <c r="G13" s="14">
        <v>535</v>
      </c>
      <c r="H13" s="15">
        <v>260.10000000000002</v>
      </c>
    </row>
    <row r="14" spans="1:8" ht="20" customHeight="1">
      <c r="A14" s="16" t="s">
        <v>42</v>
      </c>
      <c r="B14" s="13" t="s">
        <v>53</v>
      </c>
      <c r="C14" s="14">
        <v>1154</v>
      </c>
      <c r="D14" s="15">
        <v>282.10000000000002</v>
      </c>
      <c r="E14" s="14">
        <v>642</v>
      </c>
      <c r="F14" s="15">
        <v>306.2</v>
      </c>
      <c r="G14" s="14">
        <v>512</v>
      </c>
      <c r="H14" s="15">
        <v>256.7</v>
      </c>
    </row>
    <row r="15" spans="1:8" ht="20" customHeight="1">
      <c r="A15" s="16" t="s">
        <v>42</v>
      </c>
      <c r="B15" s="13" t="s">
        <v>54</v>
      </c>
      <c r="C15" s="14">
        <v>1000</v>
      </c>
      <c r="D15" s="15">
        <v>270.5</v>
      </c>
      <c r="E15" s="14">
        <v>569</v>
      </c>
      <c r="F15" s="15">
        <v>299.7</v>
      </c>
      <c r="G15" s="14">
        <v>431</v>
      </c>
      <c r="H15" s="15">
        <v>239.6</v>
      </c>
    </row>
    <row r="16" spans="1:8" ht="20" customHeight="1">
      <c r="A16" s="16" t="s">
        <v>42</v>
      </c>
      <c r="B16" s="13" t="s">
        <v>55</v>
      </c>
      <c r="C16" s="14">
        <v>931</v>
      </c>
      <c r="D16" s="15">
        <v>280.7</v>
      </c>
      <c r="E16" s="14">
        <v>534</v>
      </c>
      <c r="F16" s="15">
        <v>313.10000000000002</v>
      </c>
      <c r="G16" s="14">
        <v>397</v>
      </c>
      <c r="H16" s="15">
        <v>246.3</v>
      </c>
    </row>
    <row r="17" spans="1:8" ht="20" customHeight="1">
      <c r="A17" s="16" t="s">
        <v>42</v>
      </c>
      <c r="B17" s="13" t="s">
        <v>56</v>
      </c>
      <c r="C17" s="14">
        <v>822</v>
      </c>
      <c r="D17" s="15">
        <v>268.3</v>
      </c>
      <c r="E17" s="14">
        <v>465</v>
      </c>
      <c r="F17" s="15">
        <v>295.8</v>
      </c>
      <c r="G17" s="14">
        <v>357</v>
      </c>
      <c r="H17" s="15">
        <v>239.3</v>
      </c>
    </row>
    <row r="18" spans="1:8" ht="20" customHeight="1">
      <c r="A18" s="16" t="s">
        <v>42</v>
      </c>
      <c r="B18" s="13" t="s">
        <v>57</v>
      </c>
      <c r="C18" s="14">
        <v>674</v>
      </c>
      <c r="D18" s="15">
        <v>240.6</v>
      </c>
      <c r="E18" s="14">
        <v>387</v>
      </c>
      <c r="F18" s="15">
        <v>269.60000000000002</v>
      </c>
      <c r="G18" s="14">
        <v>287</v>
      </c>
      <c r="H18" s="15">
        <v>210.2</v>
      </c>
    </row>
    <row r="19" spans="1:8" s="25" customFormat="1" ht="20" customHeight="1">
      <c r="A19" s="21" t="s">
        <v>42</v>
      </c>
      <c r="B19" s="22" t="s">
        <v>58</v>
      </c>
      <c r="C19" s="23">
        <v>626</v>
      </c>
      <c r="D19" s="24">
        <v>241.2</v>
      </c>
      <c r="E19" s="23">
        <v>347</v>
      </c>
      <c r="F19" s="24">
        <v>261.10000000000002</v>
      </c>
      <c r="G19" s="23">
        <v>279</v>
      </c>
      <c r="H19" s="24">
        <v>220.4</v>
      </c>
    </row>
    <row r="20" spans="1:8" s="25" customFormat="1" ht="20" customHeight="1">
      <c r="A20" s="21" t="s">
        <v>42</v>
      </c>
      <c r="B20" s="22" t="s">
        <v>59</v>
      </c>
      <c r="C20" s="23">
        <v>565</v>
      </c>
      <c r="D20" s="24">
        <v>226.8</v>
      </c>
      <c r="E20" s="23">
        <v>322</v>
      </c>
      <c r="F20" s="24">
        <v>252.5</v>
      </c>
      <c r="G20" s="23">
        <v>243</v>
      </c>
      <c r="H20" s="24">
        <v>199.9</v>
      </c>
    </row>
    <row r="21" spans="1:8" s="25" customFormat="1" ht="20" customHeight="1">
      <c r="A21" s="21" t="s">
        <v>42</v>
      </c>
      <c r="B21" s="22" t="s">
        <v>60</v>
      </c>
      <c r="C21" s="23">
        <v>564</v>
      </c>
      <c r="D21" s="24">
        <v>239.9</v>
      </c>
      <c r="E21" s="23">
        <v>320</v>
      </c>
      <c r="F21" s="24">
        <v>266.10000000000002</v>
      </c>
      <c r="G21" s="23">
        <v>244</v>
      </c>
      <c r="H21" s="24">
        <v>212.5</v>
      </c>
    </row>
    <row r="22" spans="1:8" s="25" customFormat="1" ht="20" customHeight="1">
      <c r="A22" s="26" t="s">
        <v>42</v>
      </c>
      <c r="B22" s="27" t="s">
        <v>61</v>
      </c>
      <c r="C22" s="23">
        <v>564</v>
      </c>
      <c r="D22" s="24">
        <v>244.5</v>
      </c>
      <c r="E22" s="23">
        <v>317</v>
      </c>
      <c r="F22" s="24">
        <v>268.5</v>
      </c>
      <c r="G22" s="23">
        <v>247</v>
      </c>
      <c r="H22" s="24">
        <v>219.4</v>
      </c>
    </row>
    <row r="24" spans="1:8">
      <c r="A24" s="20" t="s">
        <v>124</v>
      </c>
      <c r="B24" s="20"/>
    </row>
  </sheetData>
  <mergeCells count="5">
    <mergeCell ref="A1:A2"/>
    <mergeCell ref="B1:B2"/>
    <mergeCell ref="C1:D1"/>
    <mergeCell ref="E1:F1"/>
    <mergeCell ref="G1:H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4611-F174-4A7D-81F9-8D04BE9CD411}">
  <dimension ref="A1:K53"/>
  <sheetViews>
    <sheetView workbookViewId="0">
      <selection activeCell="L9" sqref="L9"/>
    </sheetView>
  </sheetViews>
  <sheetFormatPr defaultColWidth="20.6328125" defaultRowHeight="14.5"/>
  <cols>
    <col min="1" max="1" width="7.36328125" style="12" customWidth="1"/>
    <col min="2" max="2" width="5.1796875" style="12" bestFit="1" customWidth="1"/>
    <col min="3" max="5" width="7.54296875" style="12" bestFit="1" customWidth="1"/>
    <col min="6" max="6" width="5.1796875" style="12" bestFit="1" customWidth="1"/>
    <col min="7" max="8" width="7.54296875" style="12" bestFit="1" customWidth="1"/>
    <col min="9" max="9" width="20.6328125" style="28"/>
    <col min="10" max="16384" width="20.6328125" style="12"/>
  </cols>
  <sheetData>
    <row r="1" spans="1:11" ht="20" customHeight="1">
      <c r="A1" s="33" t="s">
        <v>62</v>
      </c>
      <c r="B1" s="33" t="s">
        <v>34</v>
      </c>
      <c r="C1" s="34" t="s">
        <v>63</v>
      </c>
      <c r="D1" s="34" t="s">
        <v>40</v>
      </c>
      <c r="E1" s="34" t="s">
        <v>40</v>
      </c>
      <c r="F1" s="33" t="s">
        <v>34</v>
      </c>
      <c r="G1" s="34" t="s">
        <v>64</v>
      </c>
      <c r="H1" s="34" t="s">
        <v>40</v>
      </c>
    </row>
    <row r="2" spans="1:11" ht="20" customHeight="1">
      <c r="A2" s="34" t="s">
        <v>62</v>
      </c>
      <c r="B2" s="34" t="s">
        <v>34</v>
      </c>
      <c r="C2" s="11" t="s">
        <v>65</v>
      </c>
      <c r="D2" s="11" t="s">
        <v>36</v>
      </c>
      <c r="E2" s="11" t="s">
        <v>37</v>
      </c>
      <c r="F2" s="34" t="s">
        <v>34</v>
      </c>
      <c r="G2" s="11" t="s">
        <v>36</v>
      </c>
      <c r="H2" s="11" t="s">
        <v>37</v>
      </c>
      <c r="I2" s="29" t="s">
        <v>65</v>
      </c>
      <c r="J2" s="11" t="s">
        <v>36</v>
      </c>
      <c r="K2" s="11" t="s">
        <v>37</v>
      </c>
    </row>
    <row r="3" spans="1:11" ht="20" customHeight="1">
      <c r="A3" s="13" t="s">
        <v>66</v>
      </c>
      <c r="B3" s="13" t="s">
        <v>59</v>
      </c>
      <c r="C3" s="14">
        <v>259796</v>
      </c>
      <c r="D3" s="14">
        <v>132827</v>
      </c>
      <c r="E3" s="14">
        <v>126969</v>
      </c>
      <c r="F3" s="13" t="s">
        <v>59</v>
      </c>
      <c r="G3" s="30">
        <v>2.5100000000000001E-3</v>
      </c>
      <c r="H3" s="30">
        <v>1.99E-3</v>
      </c>
      <c r="I3" s="28">
        <f>C3*SUM(G3:H3)</f>
        <v>1169.0820000000001</v>
      </c>
      <c r="J3" s="28">
        <f>D3*G3</f>
        <v>333.39577000000003</v>
      </c>
      <c r="K3" s="28">
        <f>E3*H3</f>
        <v>252.66830999999999</v>
      </c>
    </row>
    <row r="4" spans="1:11" ht="20" customHeight="1">
      <c r="A4" s="16" t="s">
        <v>42</v>
      </c>
      <c r="B4" s="13" t="s">
        <v>60</v>
      </c>
      <c r="C4" s="14">
        <v>244080</v>
      </c>
      <c r="D4" s="14">
        <v>124881</v>
      </c>
      <c r="E4" s="14">
        <v>119199</v>
      </c>
      <c r="F4" s="13" t="s">
        <v>60</v>
      </c>
      <c r="G4" s="30">
        <v>2.6800000000000001E-3</v>
      </c>
      <c r="H4" s="30">
        <v>2.3900000000000002E-3</v>
      </c>
      <c r="I4" s="28">
        <f t="shared" ref="I4:I53" si="0">C4*SUM(G4:H4)</f>
        <v>1237.4856</v>
      </c>
      <c r="J4" s="28">
        <f t="shared" ref="J4:K53" si="1">D4*G4</f>
        <v>334.68108000000001</v>
      </c>
      <c r="K4" s="28">
        <f t="shared" si="1"/>
        <v>284.88561000000004</v>
      </c>
    </row>
    <row r="5" spans="1:11" ht="20" customHeight="1">
      <c r="A5" s="16" t="s">
        <v>42</v>
      </c>
      <c r="B5" s="13" t="s">
        <v>61</v>
      </c>
      <c r="C5" s="14">
        <v>229030</v>
      </c>
      <c r="D5" s="14">
        <v>117225</v>
      </c>
      <c r="E5" s="14">
        <v>111805</v>
      </c>
      <c r="F5" s="13" t="s">
        <v>61</v>
      </c>
      <c r="G5" s="30">
        <v>2.2100000000000002E-3</v>
      </c>
      <c r="H5" s="30">
        <v>1.8600000000000001E-3</v>
      </c>
      <c r="I5" s="28">
        <f t="shared" si="0"/>
        <v>932.15210000000013</v>
      </c>
      <c r="J5" s="28">
        <f t="shared" si="1"/>
        <v>259.06725</v>
      </c>
      <c r="K5" s="28">
        <f t="shared" si="1"/>
        <v>207.9573</v>
      </c>
    </row>
    <row r="6" spans="1:11" ht="20" customHeight="1">
      <c r="A6" s="16" t="s">
        <v>42</v>
      </c>
      <c r="B6" s="13" t="s">
        <v>67</v>
      </c>
      <c r="C6" s="14">
        <v>217226</v>
      </c>
      <c r="D6" s="14">
        <v>111163</v>
      </c>
      <c r="E6" s="14">
        <v>106063</v>
      </c>
      <c r="F6" s="13" t="s">
        <v>67</v>
      </c>
      <c r="G6" s="30">
        <v>2.0999999999999999E-3</v>
      </c>
      <c r="H6" s="30">
        <v>1.75E-3</v>
      </c>
      <c r="I6" s="28">
        <f t="shared" si="0"/>
        <v>836.32010000000002</v>
      </c>
      <c r="J6" s="28">
        <f t="shared" si="1"/>
        <v>233.44229999999999</v>
      </c>
      <c r="K6" s="28">
        <f t="shared" si="1"/>
        <v>185.61025000000001</v>
      </c>
    </row>
    <row r="7" spans="1:11" ht="20" customHeight="1">
      <c r="A7" s="16" t="s">
        <v>42</v>
      </c>
      <c r="B7" s="13" t="s">
        <v>68</v>
      </c>
      <c r="C7" s="14">
        <v>217079</v>
      </c>
      <c r="D7" s="14">
        <v>111089</v>
      </c>
      <c r="E7" s="14">
        <v>105990</v>
      </c>
      <c r="F7" s="13" t="s">
        <v>68</v>
      </c>
      <c r="G7" s="30">
        <v>1.99E-3</v>
      </c>
      <c r="H7" s="30">
        <v>1.67E-3</v>
      </c>
      <c r="I7" s="28">
        <f t="shared" si="0"/>
        <v>794.50914</v>
      </c>
      <c r="J7" s="28">
        <f t="shared" si="1"/>
        <v>221.06711000000001</v>
      </c>
      <c r="K7" s="28">
        <f t="shared" si="1"/>
        <v>177.0033</v>
      </c>
    </row>
    <row r="8" spans="1:11" ht="20" customHeight="1">
      <c r="A8" s="16" t="s">
        <v>42</v>
      </c>
      <c r="B8" s="13" t="s">
        <v>69</v>
      </c>
      <c r="C8" s="14">
        <v>227833</v>
      </c>
      <c r="D8" s="14">
        <v>116593</v>
      </c>
      <c r="E8" s="14">
        <v>111240</v>
      </c>
      <c r="F8" s="13" t="s">
        <v>69</v>
      </c>
      <c r="G8" s="30">
        <v>1.89E-3</v>
      </c>
      <c r="H8" s="30">
        <v>1.58E-3</v>
      </c>
      <c r="I8" s="28">
        <f t="shared" si="0"/>
        <v>790.58051</v>
      </c>
      <c r="J8" s="28">
        <f t="shared" si="1"/>
        <v>220.36077</v>
      </c>
      <c r="K8" s="28">
        <f t="shared" si="1"/>
        <v>175.75919999999999</v>
      </c>
    </row>
    <row r="9" spans="1:11" ht="20" customHeight="1">
      <c r="A9" s="16" t="s">
        <v>42</v>
      </c>
      <c r="B9" s="13" t="s">
        <v>70</v>
      </c>
      <c r="C9" s="14">
        <v>237996</v>
      </c>
      <c r="D9" s="14">
        <v>121795</v>
      </c>
      <c r="E9" s="14">
        <v>116201</v>
      </c>
      <c r="F9" s="13" t="s">
        <v>70</v>
      </c>
      <c r="G9" s="30">
        <v>1.8E-3</v>
      </c>
      <c r="H9" s="30">
        <v>1.5E-3</v>
      </c>
      <c r="I9" s="28">
        <f t="shared" si="0"/>
        <v>785.38679999999999</v>
      </c>
      <c r="J9" s="28">
        <f t="shared" si="1"/>
        <v>219.23099999999999</v>
      </c>
      <c r="K9" s="28">
        <f t="shared" si="1"/>
        <v>174.3015</v>
      </c>
    </row>
    <row r="10" spans="1:11" ht="20" customHeight="1">
      <c r="A10" s="16" t="s">
        <v>42</v>
      </c>
      <c r="B10" s="13" t="s">
        <v>71</v>
      </c>
      <c r="C10" s="14">
        <v>247279</v>
      </c>
      <c r="D10" s="14">
        <v>126547</v>
      </c>
      <c r="E10" s="14">
        <v>120732</v>
      </c>
      <c r="F10" s="13" t="s">
        <v>71</v>
      </c>
      <c r="G10" s="30">
        <v>1.72E-3</v>
      </c>
      <c r="H10" s="30">
        <v>1.4300000000000001E-3</v>
      </c>
      <c r="I10" s="28">
        <f t="shared" si="0"/>
        <v>778.92885000000001</v>
      </c>
      <c r="J10" s="28">
        <f t="shared" si="1"/>
        <v>217.66084000000001</v>
      </c>
      <c r="K10" s="28">
        <f t="shared" si="1"/>
        <v>172.64676</v>
      </c>
    </row>
    <row r="11" spans="1:11" ht="20" customHeight="1">
      <c r="A11" s="16" t="s">
        <v>42</v>
      </c>
      <c r="B11" s="13" t="s">
        <v>72</v>
      </c>
      <c r="C11" s="14">
        <v>255406</v>
      </c>
      <c r="D11" s="14">
        <v>130707</v>
      </c>
      <c r="E11" s="14">
        <v>124699</v>
      </c>
      <c r="F11" s="13" t="s">
        <v>72</v>
      </c>
      <c r="G11" s="30">
        <v>1.65E-3</v>
      </c>
      <c r="H11" s="30">
        <v>1.3600000000000001E-3</v>
      </c>
      <c r="I11" s="28">
        <f t="shared" si="0"/>
        <v>768.77206000000001</v>
      </c>
      <c r="J11" s="28">
        <f t="shared" si="1"/>
        <v>215.66655</v>
      </c>
      <c r="K11" s="28">
        <f t="shared" si="1"/>
        <v>169.59064000000001</v>
      </c>
    </row>
    <row r="12" spans="1:11" ht="20" customHeight="1">
      <c r="A12" s="16" t="s">
        <v>42</v>
      </c>
      <c r="B12" s="13" t="s">
        <v>73</v>
      </c>
      <c r="C12" s="14">
        <v>262201</v>
      </c>
      <c r="D12" s="14">
        <v>134186</v>
      </c>
      <c r="E12" s="14">
        <v>128015</v>
      </c>
      <c r="F12" s="13" t="s">
        <v>73</v>
      </c>
      <c r="G12" s="30">
        <v>1.58E-3</v>
      </c>
      <c r="H12" s="30">
        <v>1.31E-3</v>
      </c>
      <c r="I12" s="28">
        <f t="shared" si="0"/>
        <v>757.76089000000002</v>
      </c>
      <c r="J12" s="28">
        <f t="shared" si="1"/>
        <v>212.01388</v>
      </c>
      <c r="K12" s="28">
        <f t="shared" si="1"/>
        <v>167.69964999999999</v>
      </c>
    </row>
    <row r="13" spans="1:11" ht="20" customHeight="1">
      <c r="A13" s="16" t="s">
        <v>42</v>
      </c>
      <c r="B13" s="13" t="s">
        <v>74</v>
      </c>
      <c r="C13" s="14">
        <v>267610</v>
      </c>
      <c r="D13" s="14">
        <v>136955</v>
      </c>
      <c r="E13" s="14">
        <v>130655</v>
      </c>
      <c r="F13" s="13" t="s">
        <v>74</v>
      </c>
      <c r="G13" s="30">
        <v>1.5100000000000001E-3</v>
      </c>
      <c r="H13" s="30">
        <v>1.25E-3</v>
      </c>
      <c r="I13" s="28">
        <f t="shared" si="0"/>
        <v>738.60360000000003</v>
      </c>
      <c r="J13" s="28">
        <f t="shared" si="1"/>
        <v>206.80205000000001</v>
      </c>
      <c r="K13" s="28">
        <f t="shared" si="1"/>
        <v>163.31874999999999</v>
      </c>
    </row>
    <row r="14" spans="1:11" ht="20" customHeight="1">
      <c r="A14" s="16" t="s">
        <v>42</v>
      </c>
      <c r="B14" s="13" t="s">
        <v>75</v>
      </c>
      <c r="C14" s="14">
        <v>271691</v>
      </c>
      <c r="D14" s="14">
        <v>139045</v>
      </c>
      <c r="E14" s="14">
        <v>132646</v>
      </c>
      <c r="F14" s="13" t="s">
        <v>75</v>
      </c>
      <c r="G14" s="30">
        <v>1.4400000000000001E-3</v>
      </c>
      <c r="H14" s="30">
        <v>1.1999999999999999E-3</v>
      </c>
      <c r="I14" s="28">
        <f t="shared" si="0"/>
        <v>717.26423999999997</v>
      </c>
      <c r="J14" s="28">
        <f t="shared" si="1"/>
        <v>200.22480000000002</v>
      </c>
      <c r="K14" s="28">
        <f t="shared" si="1"/>
        <v>159.17519999999999</v>
      </c>
    </row>
    <row r="15" spans="1:11" ht="20" customHeight="1">
      <c r="A15" s="16" t="s">
        <v>42</v>
      </c>
      <c r="B15" s="13" t="s">
        <v>76</v>
      </c>
      <c r="C15" s="14">
        <v>274610</v>
      </c>
      <c r="D15" s="14">
        <v>140540</v>
      </c>
      <c r="E15" s="14">
        <v>134070</v>
      </c>
      <c r="F15" s="13" t="s">
        <v>76</v>
      </c>
      <c r="G15" s="30">
        <v>1.3799999999999999E-3</v>
      </c>
      <c r="H15" s="30">
        <v>1.15E-3</v>
      </c>
      <c r="I15" s="28">
        <f t="shared" si="0"/>
        <v>694.76330000000007</v>
      </c>
      <c r="J15" s="28">
        <f t="shared" si="1"/>
        <v>193.9452</v>
      </c>
      <c r="K15" s="28">
        <f t="shared" si="1"/>
        <v>154.18049999999999</v>
      </c>
    </row>
    <row r="16" spans="1:11" ht="20" customHeight="1">
      <c r="A16" s="16" t="s">
        <v>42</v>
      </c>
      <c r="B16" s="13" t="s">
        <v>77</v>
      </c>
      <c r="C16" s="14">
        <v>276621</v>
      </c>
      <c r="D16" s="14">
        <v>141571</v>
      </c>
      <c r="E16" s="14">
        <v>135050</v>
      </c>
      <c r="F16" s="13" t="s">
        <v>77</v>
      </c>
      <c r="G16" s="30">
        <v>1.32E-3</v>
      </c>
      <c r="H16" s="30">
        <v>1.1100000000000001E-3</v>
      </c>
      <c r="I16" s="28">
        <f t="shared" si="0"/>
        <v>672.18903</v>
      </c>
      <c r="J16" s="28">
        <f t="shared" si="1"/>
        <v>186.87371999999999</v>
      </c>
      <c r="K16" s="28">
        <f t="shared" si="1"/>
        <v>149.90550000000002</v>
      </c>
    </row>
    <row r="17" spans="1:11" ht="20" customHeight="1">
      <c r="A17" s="16" t="s">
        <v>42</v>
      </c>
      <c r="B17" s="13" t="s">
        <v>78</v>
      </c>
      <c r="C17" s="14">
        <v>278037</v>
      </c>
      <c r="D17" s="14">
        <v>142296</v>
      </c>
      <c r="E17" s="14">
        <v>135741</v>
      </c>
      <c r="F17" s="13" t="s">
        <v>78</v>
      </c>
      <c r="G17" s="30">
        <v>1.2600000000000001E-3</v>
      </c>
      <c r="H17" s="30">
        <v>1.06E-3</v>
      </c>
      <c r="I17" s="28">
        <f t="shared" si="0"/>
        <v>645.04584</v>
      </c>
      <c r="J17" s="28">
        <f t="shared" si="1"/>
        <v>179.29295999999999</v>
      </c>
      <c r="K17" s="28">
        <f t="shared" si="1"/>
        <v>143.88545999999999</v>
      </c>
    </row>
    <row r="18" spans="1:11" ht="20" customHeight="1">
      <c r="A18" s="16" t="s">
        <v>42</v>
      </c>
      <c r="B18" s="13" t="s">
        <v>79</v>
      </c>
      <c r="C18" s="14">
        <v>279182</v>
      </c>
      <c r="D18" s="14">
        <v>142883</v>
      </c>
      <c r="E18" s="14">
        <v>136299</v>
      </c>
      <c r="F18" s="13" t="s">
        <v>79</v>
      </c>
      <c r="G18" s="30">
        <v>1.2099999999999999E-3</v>
      </c>
      <c r="H18" s="30">
        <v>1.0300000000000001E-3</v>
      </c>
      <c r="I18" s="28">
        <f t="shared" si="0"/>
        <v>625.36767999999995</v>
      </c>
      <c r="J18" s="28">
        <f t="shared" si="1"/>
        <v>172.88843</v>
      </c>
      <c r="K18" s="28">
        <f t="shared" si="1"/>
        <v>140.38797000000002</v>
      </c>
    </row>
    <row r="19" spans="1:11" ht="20" customHeight="1">
      <c r="A19" s="16" t="s">
        <v>42</v>
      </c>
      <c r="B19" s="13" t="s">
        <v>80</v>
      </c>
      <c r="C19" s="14">
        <v>275912</v>
      </c>
      <c r="D19" s="14">
        <v>141210</v>
      </c>
      <c r="E19" s="14">
        <v>134702</v>
      </c>
      <c r="F19" s="13" t="s">
        <v>80</v>
      </c>
      <c r="G19" s="30">
        <v>1.16E-3</v>
      </c>
      <c r="H19" s="30">
        <v>9.7999999999999997E-4</v>
      </c>
      <c r="I19" s="28">
        <f t="shared" si="0"/>
        <v>590.45168000000001</v>
      </c>
      <c r="J19" s="28">
        <f t="shared" si="1"/>
        <v>163.80359999999999</v>
      </c>
      <c r="K19" s="28">
        <f t="shared" si="1"/>
        <v>132.00796</v>
      </c>
    </row>
    <row r="20" spans="1:11" ht="20" customHeight="1">
      <c r="A20" s="16" t="s">
        <v>42</v>
      </c>
      <c r="B20" s="13" t="s">
        <v>81</v>
      </c>
      <c r="C20" s="14">
        <v>268868</v>
      </c>
      <c r="D20" s="14">
        <v>137605</v>
      </c>
      <c r="E20" s="14">
        <v>131263</v>
      </c>
      <c r="F20" s="13" t="s">
        <v>81</v>
      </c>
      <c r="G20" s="30">
        <v>1.1100000000000001E-3</v>
      </c>
      <c r="H20" s="30">
        <v>9.3000000000000005E-4</v>
      </c>
      <c r="I20" s="28">
        <f t="shared" si="0"/>
        <v>548.49072000000001</v>
      </c>
      <c r="J20" s="28">
        <f t="shared" si="1"/>
        <v>152.74155000000002</v>
      </c>
      <c r="K20" s="28">
        <f t="shared" si="1"/>
        <v>122.07459</v>
      </c>
    </row>
    <row r="21" spans="1:11" ht="20" customHeight="1">
      <c r="A21" s="16" t="s">
        <v>42</v>
      </c>
      <c r="B21" s="13" t="s">
        <v>82</v>
      </c>
      <c r="C21" s="14">
        <v>262983</v>
      </c>
      <c r="D21" s="14">
        <v>134593</v>
      </c>
      <c r="E21" s="14">
        <v>128390</v>
      </c>
      <c r="F21" s="13" t="s">
        <v>82</v>
      </c>
      <c r="G21" s="30">
        <v>1.07E-3</v>
      </c>
      <c r="H21" s="30">
        <v>8.9999999999999998E-4</v>
      </c>
      <c r="I21" s="28">
        <f t="shared" si="0"/>
        <v>518.07650999999998</v>
      </c>
      <c r="J21" s="28">
        <f t="shared" si="1"/>
        <v>144.01451</v>
      </c>
      <c r="K21" s="28">
        <f t="shared" si="1"/>
        <v>115.551</v>
      </c>
    </row>
    <row r="22" spans="1:11" ht="20" customHeight="1">
      <c r="A22" s="16" t="s">
        <v>42</v>
      </c>
      <c r="B22" s="13" t="s">
        <v>83</v>
      </c>
      <c r="C22" s="14">
        <v>258177</v>
      </c>
      <c r="D22" s="14">
        <v>132133</v>
      </c>
      <c r="E22" s="14">
        <v>126044</v>
      </c>
      <c r="F22" s="13" t="s">
        <v>83</v>
      </c>
      <c r="G22" s="30">
        <v>1.0300000000000001E-3</v>
      </c>
      <c r="H22" s="30">
        <v>8.5999999999999998E-4</v>
      </c>
      <c r="I22" s="28">
        <f t="shared" si="0"/>
        <v>487.95453000000003</v>
      </c>
      <c r="J22" s="28">
        <f t="shared" si="1"/>
        <v>136.09699000000001</v>
      </c>
      <c r="K22" s="28">
        <f t="shared" si="1"/>
        <v>108.39784</v>
      </c>
    </row>
    <row r="23" spans="1:11" ht="20" customHeight="1">
      <c r="A23" s="16" t="s">
        <v>42</v>
      </c>
      <c r="B23" s="13" t="s">
        <v>84</v>
      </c>
      <c r="C23" s="14">
        <v>254280</v>
      </c>
      <c r="D23" s="14">
        <v>130138</v>
      </c>
      <c r="E23" s="14">
        <v>124142</v>
      </c>
      <c r="F23" s="13" t="s">
        <v>84</v>
      </c>
      <c r="G23" s="30">
        <v>9.8999999999999999E-4</v>
      </c>
      <c r="H23" s="30">
        <v>8.0999999999999996E-4</v>
      </c>
      <c r="I23" s="28">
        <f t="shared" si="0"/>
        <v>457.70400000000001</v>
      </c>
      <c r="J23" s="28">
        <f t="shared" si="1"/>
        <v>128.83662000000001</v>
      </c>
      <c r="K23" s="28">
        <f t="shared" si="1"/>
        <v>100.55502</v>
      </c>
    </row>
    <row r="24" spans="1:11" ht="20" customHeight="1">
      <c r="A24" s="16" t="s">
        <v>42</v>
      </c>
      <c r="B24" s="13" t="s">
        <v>85</v>
      </c>
      <c r="C24" s="14">
        <v>251018</v>
      </c>
      <c r="D24" s="14">
        <v>128469</v>
      </c>
      <c r="E24" s="14">
        <v>122549</v>
      </c>
      <c r="F24" s="13" t="s">
        <v>85</v>
      </c>
      <c r="G24" s="30">
        <v>9.3999999999999997E-4</v>
      </c>
      <c r="H24" s="30">
        <v>7.7999999999999999E-4</v>
      </c>
      <c r="I24" s="28">
        <f t="shared" si="0"/>
        <v>431.75095999999996</v>
      </c>
      <c r="J24" s="28">
        <f t="shared" si="1"/>
        <v>120.76085999999999</v>
      </c>
      <c r="K24" s="28">
        <f t="shared" si="1"/>
        <v>95.588219999999993</v>
      </c>
    </row>
    <row r="25" spans="1:11" ht="20" customHeight="1">
      <c r="A25" s="16" t="s">
        <v>42</v>
      </c>
      <c r="B25" s="13" t="s">
        <v>86</v>
      </c>
      <c r="C25" s="14">
        <v>248038</v>
      </c>
      <c r="D25" s="14">
        <v>126944</v>
      </c>
      <c r="E25" s="14">
        <v>121094</v>
      </c>
      <c r="F25" s="13" t="s">
        <v>86</v>
      </c>
      <c r="G25" s="30">
        <v>8.9999999999999998E-4</v>
      </c>
      <c r="H25" s="30">
        <v>7.5000000000000002E-4</v>
      </c>
      <c r="I25" s="28">
        <f t="shared" si="0"/>
        <v>409.2627</v>
      </c>
      <c r="J25" s="28">
        <f t="shared" si="1"/>
        <v>114.2496</v>
      </c>
      <c r="K25" s="28">
        <f t="shared" si="1"/>
        <v>90.820499999999996</v>
      </c>
    </row>
    <row r="26" spans="1:11" ht="20" customHeight="1">
      <c r="A26" s="16" t="s">
        <v>42</v>
      </c>
      <c r="B26" s="13" t="s">
        <v>87</v>
      </c>
      <c r="C26" s="14">
        <v>244967</v>
      </c>
      <c r="D26" s="14">
        <v>125373</v>
      </c>
      <c r="E26" s="14">
        <v>119594</v>
      </c>
      <c r="F26" s="13" t="s">
        <v>87</v>
      </c>
      <c r="G26" s="30">
        <v>8.7000000000000001E-4</v>
      </c>
      <c r="H26" s="30">
        <v>7.2999999999999996E-4</v>
      </c>
      <c r="I26" s="28">
        <f t="shared" si="0"/>
        <v>391.94719999999995</v>
      </c>
      <c r="J26" s="28">
        <f t="shared" si="1"/>
        <v>109.07451</v>
      </c>
      <c r="K26" s="28">
        <f t="shared" si="1"/>
        <v>87.303619999999995</v>
      </c>
    </row>
    <row r="27" spans="1:11" ht="20" customHeight="1">
      <c r="A27" s="16" t="s">
        <v>42</v>
      </c>
      <c r="B27" s="13" t="s">
        <v>88</v>
      </c>
      <c r="C27" s="14">
        <v>241452</v>
      </c>
      <c r="D27" s="14">
        <v>123575</v>
      </c>
      <c r="E27" s="14">
        <v>117877</v>
      </c>
      <c r="F27" s="13" t="s">
        <v>88</v>
      </c>
      <c r="G27" s="30">
        <v>8.3000000000000001E-4</v>
      </c>
      <c r="H27" s="30">
        <v>7.1000000000000002E-4</v>
      </c>
      <c r="I27" s="28">
        <f t="shared" si="0"/>
        <v>371.83608000000004</v>
      </c>
      <c r="J27" s="28">
        <f t="shared" si="1"/>
        <v>102.56725</v>
      </c>
      <c r="K27" s="28">
        <f t="shared" si="1"/>
        <v>83.692670000000007</v>
      </c>
    </row>
    <row r="28" spans="1:11" ht="20" customHeight="1">
      <c r="A28" s="16" t="s">
        <v>42</v>
      </c>
      <c r="B28" s="13" t="s">
        <v>89</v>
      </c>
      <c r="C28" s="14">
        <v>237212</v>
      </c>
      <c r="D28" s="14">
        <v>121405</v>
      </c>
      <c r="E28" s="14">
        <v>115807</v>
      </c>
      <c r="F28" s="13" t="s">
        <v>89</v>
      </c>
      <c r="G28" s="30">
        <v>8.0999999999999996E-4</v>
      </c>
      <c r="H28" s="30">
        <v>6.7000000000000002E-4</v>
      </c>
      <c r="I28" s="28">
        <f t="shared" si="0"/>
        <v>351.07375999999999</v>
      </c>
      <c r="J28" s="28">
        <f t="shared" si="1"/>
        <v>98.338049999999996</v>
      </c>
      <c r="K28" s="28">
        <f t="shared" si="1"/>
        <v>77.590690000000009</v>
      </c>
    </row>
    <row r="29" spans="1:11" ht="20" customHeight="1">
      <c r="A29" s="16" t="s">
        <v>42</v>
      </c>
      <c r="B29" s="13" t="s">
        <v>90</v>
      </c>
      <c r="C29" s="14">
        <v>232070</v>
      </c>
      <c r="D29" s="14">
        <v>118773</v>
      </c>
      <c r="E29" s="14">
        <v>113297</v>
      </c>
      <c r="F29" s="13" t="s">
        <v>90</v>
      </c>
      <c r="G29" s="30">
        <v>7.6999999999999996E-4</v>
      </c>
      <c r="H29" s="30">
        <v>6.4999999999999997E-4</v>
      </c>
      <c r="I29" s="28">
        <f t="shared" si="0"/>
        <v>329.53939999999994</v>
      </c>
      <c r="J29" s="28">
        <f t="shared" si="1"/>
        <v>91.455209999999994</v>
      </c>
      <c r="K29" s="28">
        <f t="shared" si="1"/>
        <v>73.643050000000002</v>
      </c>
    </row>
    <row r="30" spans="1:11" ht="20" customHeight="1">
      <c r="A30" s="16" t="s">
        <v>42</v>
      </c>
      <c r="B30" s="13" t="s">
        <v>91</v>
      </c>
      <c r="C30" s="14">
        <v>225972</v>
      </c>
      <c r="D30" s="14">
        <v>115652</v>
      </c>
      <c r="E30" s="14">
        <v>110320</v>
      </c>
      <c r="F30" s="13" t="s">
        <v>91</v>
      </c>
      <c r="G30" s="30">
        <v>7.3999999999999999E-4</v>
      </c>
      <c r="H30" s="30">
        <v>6.2E-4</v>
      </c>
      <c r="I30" s="28">
        <f t="shared" si="0"/>
        <v>307.32192000000003</v>
      </c>
      <c r="J30" s="28">
        <f t="shared" si="1"/>
        <v>85.582480000000004</v>
      </c>
      <c r="K30" s="28">
        <f t="shared" si="1"/>
        <v>68.398399999999995</v>
      </c>
    </row>
    <row r="31" spans="1:11" ht="20" customHeight="1">
      <c r="A31" s="16" t="s">
        <v>42</v>
      </c>
      <c r="B31" s="13" t="s">
        <v>92</v>
      </c>
      <c r="C31" s="14">
        <v>218982</v>
      </c>
      <c r="D31" s="14">
        <v>112074</v>
      </c>
      <c r="E31" s="14">
        <v>106908</v>
      </c>
      <c r="F31" s="13" t="s">
        <v>92</v>
      </c>
      <c r="G31" s="30">
        <v>7.2000000000000005E-4</v>
      </c>
      <c r="H31" s="30">
        <v>5.9999999999999995E-4</v>
      </c>
      <c r="I31" s="28">
        <f t="shared" si="0"/>
        <v>289.05624</v>
      </c>
      <c r="J31" s="28">
        <f t="shared" si="1"/>
        <v>80.693280000000001</v>
      </c>
      <c r="K31" s="28">
        <f t="shared" si="1"/>
        <v>64.144799999999989</v>
      </c>
    </row>
    <row r="32" spans="1:11" ht="20" customHeight="1">
      <c r="A32" s="16" t="s">
        <v>42</v>
      </c>
      <c r="B32" s="13" t="s">
        <v>93</v>
      </c>
      <c r="C32" s="14">
        <v>211279</v>
      </c>
      <c r="D32" s="14">
        <v>108132</v>
      </c>
      <c r="E32" s="14">
        <v>103147</v>
      </c>
      <c r="F32" s="13" t="s">
        <v>93</v>
      </c>
      <c r="G32" s="30">
        <v>6.8999999999999997E-4</v>
      </c>
      <c r="H32" s="30">
        <v>5.9000000000000003E-4</v>
      </c>
      <c r="I32" s="28">
        <f t="shared" si="0"/>
        <v>270.43711999999999</v>
      </c>
      <c r="J32" s="28">
        <f t="shared" si="1"/>
        <v>74.611080000000001</v>
      </c>
      <c r="K32" s="28">
        <f t="shared" si="1"/>
        <v>60.856730000000006</v>
      </c>
    </row>
    <row r="33" spans="1:11" ht="20" customHeight="1">
      <c r="A33" s="16" t="s">
        <v>42</v>
      </c>
      <c r="B33" s="13" t="s">
        <v>94</v>
      </c>
      <c r="C33" s="14">
        <v>203129</v>
      </c>
      <c r="D33" s="14">
        <v>103961</v>
      </c>
      <c r="E33" s="14">
        <v>99168</v>
      </c>
      <c r="F33" s="13" t="s">
        <v>94</v>
      </c>
      <c r="G33" s="30">
        <v>6.6E-4</v>
      </c>
      <c r="H33" s="30">
        <v>5.6999999999999998E-4</v>
      </c>
      <c r="I33" s="28">
        <f t="shared" si="0"/>
        <v>249.84867</v>
      </c>
      <c r="J33" s="28">
        <f t="shared" si="1"/>
        <v>68.614260000000002</v>
      </c>
      <c r="K33" s="28">
        <f t="shared" si="1"/>
        <v>56.525759999999998</v>
      </c>
    </row>
    <row r="34" spans="1:11" ht="20" customHeight="1">
      <c r="A34" s="16" t="s">
        <v>42</v>
      </c>
      <c r="B34" s="13" t="s">
        <v>95</v>
      </c>
      <c r="C34" s="14">
        <v>194845</v>
      </c>
      <c r="D34" s="14">
        <v>99721</v>
      </c>
      <c r="E34" s="14">
        <v>95124</v>
      </c>
      <c r="F34" s="13" t="s">
        <v>95</v>
      </c>
      <c r="G34" s="30">
        <v>6.4999999999999997E-4</v>
      </c>
      <c r="H34" s="30">
        <v>5.5999999999999995E-4</v>
      </c>
      <c r="I34" s="28">
        <f t="shared" si="0"/>
        <v>235.76244999999997</v>
      </c>
      <c r="J34" s="28">
        <f t="shared" si="1"/>
        <v>64.818649999999991</v>
      </c>
      <c r="K34" s="28">
        <f t="shared" si="1"/>
        <v>53.269439999999996</v>
      </c>
    </row>
    <row r="35" spans="1:11" ht="20" customHeight="1">
      <c r="A35" s="16" t="s">
        <v>42</v>
      </c>
      <c r="B35" s="13" t="s">
        <v>96</v>
      </c>
      <c r="C35" s="14">
        <v>186762</v>
      </c>
      <c r="D35" s="14">
        <v>95583</v>
      </c>
      <c r="E35" s="14">
        <v>91179</v>
      </c>
      <c r="F35" s="13" t="s">
        <v>96</v>
      </c>
      <c r="G35" s="30">
        <v>6.2E-4</v>
      </c>
      <c r="H35" s="30">
        <v>5.2999999999999998E-4</v>
      </c>
      <c r="I35" s="28">
        <f t="shared" si="0"/>
        <v>214.77629999999999</v>
      </c>
      <c r="J35" s="28">
        <f t="shared" si="1"/>
        <v>59.26146</v>
      </c>
      <c r="K35" s="28">
        <f t="shared" si="1"/>
        <v>48.324869999999997</v>
      </c>
    </row>
    <row r="36" spans="1:11" ht="20" customHeight="1">
      <c r="A36" s="16" t="s">
        <v>42</v>
      </c>
      <c r="B36" s="13" t="s">
        <v>97</v>
      </c>
      <c r="C36" s="14">
        <v>179197</v>
      </c>
      <c r="D36" s="14">
        <v>91711</v>
      </c>
      <c r="E36" s="14">
        <v>87486</v>
      </c>
      <c r="F36" s="13" t="s">
        <v>97</v>
      </c>
      <c r="G36" s="30">
        <v>6.0999999999999997E-4</v>
      </c>
      <c r="H36" s="30">
        <v>5.0000000000000001E-4</v>
      </c>
      <c r="I36" s="28">
        <f t="shared" si="0"/>
        <v>198.90866999999997</v>
      </c>
      <c r="J36" s="28">
        <f t="shared" si="1"/>
        <v>55.943709999999996</v>
      </c>
      <c r="K36" s="28">
        <f t="shared" si="1"/>
        <v>43.743000000000002</v>
      </c>
    </row>
    <row r="37" spans="1:11" ht="20" customHeight="1">
      <c r="A37" s="16" t="s">
        <v>42</v>
      </c>
      <c r="B37" s="13" t="s">
        <v>98</v>
      </c>
      <c r="C37" s="14">
        <v>172426</v>
      </c>
      <c r="D37" s="14">
        <v>88245</v>
      </c>
      <c r="E37" s="14">
        <v>84181</v>
      </c>
      <c r="F37" s="13" t="s">
        <v>98</v>
      </c>
      <c r="G37" s="30">
        <v>5.8E-4</v>
      </c>
      <c r="H37" s="30">
        <v>4.8999999999999998E-4</v>
      </c>
      <c r="I37" s="28">
        <f t="shared" si="0"/>
        <v>184.49582000000001</v>
      </c>
      <c r="J37" s="28">
        <f t="shared" si="1"/>
        <v>51.182099999999998</v>
      </c>
      <c r="K37" s="28">
        <f t="shared" si="1"/>
        <v>41.248689999999996</v>
      </c>
    </row>
    <row r="38" spans="1:11" ht="20" customHeight="1">
      <c r="A38" s="16" t="s">
        <v>42</v>
      </c>
      <c r="B38" s="13" t="s">
        <v>99</v>
      </c>
      <c r="C38" s="14">
        <v>166659</v>
      </c>
      <c r="D38" s="14">
        <v>85293</v>
      </c>
      <c r="E38" s="14">
        <v>81366</v>
      </c>
      <c r="F38" s="13" t="s">
        <v>99</v>
      </c>
      <c r="G38" s="30">
        <v>5.5999999999999995E-4</v>
      </c>
      <c r="H38" s="30">
        <v>4.6000000000000001E-4</v>
      </c>
      <c r="I38" s="28">
        <f t="shared" si="0"/>
        <v>169.99218000000002</v>
      </c>
      <c r="J38" s="28">
        <f t="shared" si="1"/>
        <v>47.764079999999993</v>
      </c>
      <c r="K38" s="28">
        <f t="shared" si="1"/>
        <v>37.428359999999998</v>
      </c>
    </row>
    <row r="39" spans="1:11" ht="20" customHeight="1">
      <c r="A39" s="16" t="s">
        <v>42</v>
      </c>
      <c r="B39" s="13" t="s">
        <v>100</v>
      </c>
      <c r="C39" s="14">
        <v>162028</v>
      </c>
      <c r="D39" s="14">
        <v>82922</v>
      </c>
      <c r="E39" s="14">
        <v>79106</v>
      </c>
      <c r="F39" s="13" t="s">
        <v>100</v>
      </c>
      <c r="G39" s="30">
        <v>5.4000000000000001E-4</v>
      </c>
      <c r="H39" s="30">
        <v>4.4000000000000002E-4</v>
      </c>
      <c r="I39" s="28">
        <f t="shared" si="0"/>
        <v>158.78744</v>
      </c>
      <c r="J39" s="28">
        <f t="shared" si="1"/>
        <v>44.777880000000003</v>
      </c>
      <c r="K39" s="28">
        <f t="shared" si="1"/>
        <v>34.806640000000002</v>
      </c>
    </row>
    <row r="40" spans="1:11" ht="20" customHeight="1">
      <c r="A40" s="16" t="s">
        <v>42</v>
      </c>
      <c r="B40" s="13" t="s">
        <v>101</v>
      </c>
      <c r="C40" s="14">
        <v>158587</v>
      </c>
      <c r="D40" s="14">
        <v>81161</v>
      </c>
      <c r="E40" s="14">
        <v>77426</v>
      </c>
      <c r="F40" s="13" t="s">
        <v>101</v>
      </c>
      <c r="G40" s="30">
        <v>5.1999999999999995E-4</v>
      </c>
      <c r="H40" s="30">
        <v>4.2999999999999999E-4</v>
      </c>
      <c r="I40" s="28">
        <f t="shared" si="0"/>
        <v>150.65764999999999</v>
      </c>
      <c r="J40" s="28">
        <f t="shared" si="1"/>
        <v>42.203719999999997</v>
      </c>
      <c r="K40" s="28">
        <f t="shared" si="1"/>
        <v>33.29318</v>
      </c>
    </row>
    <row r="41" spans="1:11" ht="20" customHeight="1">
      <c r="A41" s="16" t="s">
        <v>42</v>
      </c>
      <c r="B41" s="13" t="s">
        <v>102</v>
      </c>
      <c r="C41" s="14">
        <v>156307</v>
      </c>
      <c r="D41" s="14">
        <v>79994</v>
      </c>
      <c r="E41" s="14">
        <v>76313</v>
      </c>
      <c r="F41" s="13" t="s">
        <v>102</v>
      </c>
      <c r="G41" s="30">
        <v>5.0000000000000001E-4</v>
      </c>
      <c r="H41" s="30">
        <v>4.0999999999999999E-4</v>
      </c>
      <c r="I41" s="28">
        <f t="shared" si="0"/>
        <v>142.23937000000001</v>
      </c>
      <c r="J41" s="28">
        <f t="shared" si="1"/>
        <v>39.997</v>
      </c>
      <c r="K41" s="28">
        <f t="shared" si="1"/>
        <v>31.288329999999998</v>
      </c>
    </row>
    <row r="42" spans="1:11" ht="20" customHeight="1">
      <c r="A42" s="16" t="s">
        <v>42</v>
      </c>
      <c r="B42" s="13" t="s">
        <v>103</v>
      </c>
      <c r="C42" s="14">
        <v>155083</v>
      </c>
      <c r="D42" s="14">
        <v>79368</v>
      </c>
      <c r="E42" s="14">
        <v>75715</v>
      </c>
      <c r="F42" s="13" t="s">
        <v>103</v>
      </c>
      <c r="G42" s="30">
        <v>4.8999999999999998E-4</v>
      </c>
      <c r="H42" s="30">
        <v>4.0000000000000002E-4</v>
      </c>
      <c r="I42" s="28">
        <f t="shared" si="0"/>
        <v>138.02386999999999</v>
      </c>
      <c r="J42" s="28">
        <f t="shared" si="1"/>
        <v>38.890319999999996</v>
      </c>
      <c r="K42" s="28">
        <f t="shared" si="1"/>
        <v>30.286000000000001</v>
      </c>
    </row>
    <row r="43" spans="1:11" ht="20" customHeight="1">
      <c r="A43" s="16" t="s">
        <v>42</v>
      </c>
      <c r="B43" s="13" t="s">
        <v>104</v>
      </c>
      <c r="C43" s="14">
        <v>154761</v>
      </c>
      <c r="D43" s="14">
        <v>79203</v>
      </c>
      <c r="E43" s="14">
        <v>75558</v>
      </c>
      <c r="F43" s="13" t="s">
        <v>104</v>
      </c>
      <c r="G43" s="30">
        <v>4.6999999999999999E-4</v>
      </c>
      <c r="H43" s="30">
        <v>3.8999999999999999E-4</v>
      </c>
      <c r="I43" s="28">
        <f t="shared" si="0"/>
        <v>133.09446</v>
      </c>
      <c r="J43" s="28">
        <f t="shared" si="1"/>
        <v>37.225409999999997</v>
      </c>
      <c r="K43" s="28">
        <f t="shared" si="1"/>
        <v>29.46762</v>
      </c>
    </row>
    <row r="44" spans="1:11" ht="20" customHeight="1">
      <c r="A44" s="16" t="s">
        <v>42</v>
      </c>
      <c r="B44" s="13" t="s">
        <v>105</v>
      </c>
      <c r="C44" s="14">
        <v>155145</v>
      </c>
      <c r="D44" s="14">
        <v>79400</v>
      </c>
      <c r="E44" s="14">
        <v>75745</v>
      </c>
      <c r="F44" s="13" t="s">
        <v>105</v>
      </c>
      <c r="G44" s="30">
        <v>4.4999999999999999E-4</v>
      </c>
      <c r="H44" s="30">
        <v>3.8000000000000002E-4</v>
      </c>
      <c r="I44" s="28">
        <f t="shared" si="0"/>
        <v>128.77035000000001</v>
      </c>
      <c r="J44" s="28">
        <f t="shared" si="1"/>
        <v>35.729999999999997</v>
      </c>
      <c r="K44" s="28">
        <f t="shared" si="1"/>
        <v>28.783100000000001</v>
      </c>
    </row>
    <row r="45" spans="1:11" ht="20" customHeight="1">
      <c r="A45" s="16" t="s">
        <v>42</v>
      </c>
      <c r="B45" s="13" t="s">
        <v>106</v>
      </c>
      <c r="C45" s="14">
        <v>156024</v>
      </c>
      <c r="D45" s="14">
        <v>79850</v>
      </c>
      <c r="E45" s="14">
        <v>76174</v>
      </c>
      <c r="F45" s="13" t="s">
        <v>106</v>
      </c>
      <c r="G45" s="30">
        <v>4.4000000000000002E-4</v>
      </c>
      <c r="H45" s="30">
        <v>3.6000000000000002E-4</v>
      </c>
      <c r="I45" s="28">
        <f t="shared" si="0"/>
        <v>124.81920000000001</v>
      </c>
      <c r="J45" s="28">
        <f t="shared" si="1"/>
        <v>35.134</v>
      </c>
      <c r="K45" s="28">
        <f t="shared" si="1"/>
        <v>27.422640000000001</v>
      </c>
    </row>
    <row r="46" spans="1:11" ht="20" customHeight="1">
      <c r="A46" s="16" t="s">
        <v>42</v>
      </c>
      <c r="B46" s="13" t="s">
        <v>107</v>
      </c>
      <c r="C46" s="14">
        <v>157179</v>
      </c>
      <c r="D46" s="14">
        <v>80441</v>
      </c>
      <c r="E46" s="14">
        <v>76738</v>
      </c>
      <c r="F46" s="13" t="s">
        <v>107</v>
      </c>
      <c r="G46" s="30">
        <v>4.2999999999999999E-4</v>
      </c>
      <c r="H46" s="30">
        <v>3.5E-4</v>
      </c>
      <c r="I46" s="28">
        <f t="shared" si="0"/>
        <v>122.59962</v>
      </c>
      <c r="J46" s="28">
        <f t="shared" si="1"/>
        <v>34.58963</v>
      </c>
      <c r="K46" s="28">
        <f t="shared" si="1"/>
        <v>26.8583</v>
      </c>
    </row>
    <row r="47" spans="1:11" ht="20" customHeight="1">
      <c r="A47" s="16" t="s">
        <v>42</v>
      </c>
      <c r="B47" s="13" t="s">
        <v>108</v>
      </c>
      <c r="C47" s="14">
        <v>158411</v>
      </c>
      <c r="D47" s="14">
        <v>81072</v>
      </c>
      <c r="E47" s="14">
        <v>77339</v>
      </c>
      <c r="F47" s="13" t="s">
        <v>108</v>
      </c>
      <c r="G47" s="30">
        <v>4.0999999999999999E-4</v>
      </c>
      <c r="H47" s="30">
        <v>3.4000000000000002E-4</v>
      </c>
      <c r="I47" s="28">
        <f t="shared" si="0"/>
        <v>118.80825</v>
      </c>
      <c r="J47" s="28">
        <f t="shared" si="1"/>
        <v>33.239519999999999</v>
      </c>
      <c r="K47" s="28">
        <f t="shared" si="1"/>
        <v>26.295260000000003</v>
      </c>
    </row>
    <row r="48" spans="1:11" ht="20" customHeight="1">
      <c r="A48" s="16" t="s">
        <v>42</v>
      </c>
      <c r="B48" s="13" t="s">
        <v>109</v>
      </c>
      <c r="C48" s="14">
        <v>159550</v>
      </c>
      <c r="D48" s="14">
        <v>81655</v>
      </c>
      <c r="E48" s="14">
        <v>77895</v>
      </c>
      <c r="F48" s="13" t="s">
        <v>109</v>
      </c>
      <c r="G48" s="30">
        <v>3.8999999999999999E-4</v>
      </c>
      <c r="H48" s="30">
        <v>3.3E-4</v>
      </c>
      <c r="I48" s="28">
        <f t="shared" si="0"/>
        <v>114.87599999999999</v>
      </c>
      <c r="J48" s="28">
        <f t="shared" si="1"/>
        <v>31.84545</v>
      </c>
      <c r="K48" s="28">
        <f t="shared" si="1"/>
        <v>25.705349999999999</v>
      </c>
    </row>
    <row r="49" spans="1:11" ht="20" customHeight="1">
      <c r="A49" s="16" t="s">
        <v>42</v>
      </c>
      <c r="B49" s="13" t="s">
        <v>110</v>
      </c>
      <c r="C49" s="14">
        <v>160463</v>
      </c>
      <c r="D49" s="14">
        <v>82123</v>
      </c>
      <c r="E49" s="14">
        <v>78340</v>
      </c>
      <c r="F49" s="13" t="s">
        <v>110</v>
      </c>
      <c r="G49" s="30">
        <v>3.8000000000000002E-4</v>
      </c>
      <c r="H49" s="30">
        <v>3.2000000000000003E-4</v>
      </c>
      <c r="I49" s="28">
        <f t="shared" si="0"/>
        <v>112.32410000000002</v>
      </c>
      <c r="J49" s="28">
        <f t="shared" si="1"/>
        <v>31.206740000000003</v>
      </c>
      <c r="K49" s="28">
        <f t="shared" si="1"/>
        <v>25.068800000000003</v>
      </c>
    </row>
    <row r="50" spans="1:11" ht="20" customHeight="1">
      <c r="A50" s="16" t="s">
        <v>42</v>
      </c>
      <c r="B50" s="13" t="s">
        <v>111</v>
      </c>
      <c r="C50" s="14">
        <v>161053</v>
      </c>
      <c r="D50" s="14">
        <v>82425</v>
      </c>
      <c r="E50" s="14">
        <v>78628</v>
      </c>
      <c r="F50" s="13" t="s">
        <v>111</v>
      </c>
      <c r="G50" s="30">
        <v>3.6000000000000002E-4</v>
      </c>
      <c r="H50" s="30">
        <v>3.1E-4</v>
      </c>
      <c r="I50" s="28">
        <f t="shared" si="0"/>
        <v>107.90551000000001</v>
      </c>
      <c r="J50" s="28">
        <f t="shared" si="1"/>
        <v>29.673000000000002</v>
      </c>
      <c r="K50" s="28">
        <f t="shared" si="1"/>
        <v>24.374680000000001</v>
      </c>
    </row>
    <row r="51" spans="1:11" ht="20" customHeight="1">
      <c r="A51" s="16" t="s">
        <v>42</v>
      </c>
      <c r="B51" s="13" t="s">
        <v>112</v>
      </c>
      <c r="C51" s="14">
        <v>161265</v>
      </c>
      <c r="D51" s="14">
        <v>82534</v>
      </c>
      <c r="E51" s="14">
        <v>78731</v>
      </c>
      <c r="F51" s="13" t="s">
        <v>112</v>
      </c>
      <c r="G51" s="30">
        <v>3.5E-4</v>
      </c>
      <c r="H51" s="30">
        <v>2.9999999999999997E-4</v>
      </c>
      <c r="I51" s="28">
        <f t="shared" si="0"/>
        <v>104.82225</v>
      </c>
      <c r="J51" s="28">
        <f t="shared" si="1"/>
        <v>28.886900000000001</v>
      </c>
      <c r="K51" s="28">
        <f t="shared" si="1"/>
        <v>23.619299999999999</v>
      </c>
    </row>
    <row r="52" spans="1:11" ht="20" customHeight="1">
      <c r="A52" s="16" t="s">
        <v>42</v>
      </c>
      <c r="B52" s="13" t="s">
        <v>113</v>
      </c>
      <c r="C52" s="14">
        <v>161079</v>
      </c>
      <c r="D52" s="14">
        <v>82438</v>
      </c>
      <c r="E52" s="14">
        <v>78641</v>
      </c>
      <c r="F52" s="13" t="s">
        <v>113</v>
      </c>
      <c r="G52" s="30">
        <v>3.4000000000000002E-4</v>
      </c>
      <c r="H52" s="30">
        <v>2.9E-4</v>
      </c>
      <c r="I52" s="28">
        <f t="shared" si="0"/>
        <v>101.47977</v>
      </c>
      <c r="J52" s="28">
        <f t="shared" si="1"/>
        <v>28.028920000000003</v>
      </c>
      <c r="K52" s="28">
        <f t="shared" si="1"/>
        <v>22.805890000000002</v>
      </c>
    </row>
    <row r="53" spans="1:11" ht="20" customHeight="1">
      <c r="A53" s="17" t="s">
        <v>42</v>
      </c>
      <c r="B53" s="18" t="s">
        <v>114</v>
      </c>
      <c r="C53" s="14">
        <v>160502</v>
      </c>
      <c r="D53" s="14">
        <v>82143</v>
      </c>
      <c r="E53" s="14">
        <v>78359</v>
      </c>
      <c r="F53" s="18" t="s">
        <v>114</v>
      </c>
      <c r="G53" s="30">
        <v>3.3E-4</v>
      </c>
      <c r="H53" s="30">
        <v>2.7999999999999998E-4</v>
      </c>
      <c r="I53" s="28">
        <f t="shared" si="0"/>
        <v>97.90621999999999</v>
      </c>
      <c r="J53" s="28">
        <f t="shared" si="1"/>
        <v>27.107189999999999</v>
      </c>
      <c r="K53" s="28">
        <f t="shared" si="1"/>
        <v>21.940519999999999</v>
      </c>
    </row>
  </sheetData>
  <mergeCells count="5">
    <mergeCell ref="A1:A2"/>
    <mergeCell ref="B1:B2"/>
    <mergeCell ref="C1:E1"/>
    <mergeCell ref="F1:F2"/>
    <mergeCell ref="G1:H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56660-20DC-40C5-8BD6-2DEE1CCC10D5}">
  <sheetPr>
    <tabColor theme="4" tint="-0.249977111117893"/>
  </sheetPr>
  <dimension ref="A1:AF16"/>
  <sheetViews>
    <sheetView tabSelected="1" workbookViewId="0">
      <selection activeCell="Q34" sqref="Q34"/>
    </sheetView>
  </sheetViews>
  <sheetFormatPr defaultRowHeight="14.5"/>
  <cols>
    <col min="1" max="1" width="14.36328125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18</v>
      </c>
      <c r="B2">
        <f>SUMIFS('Census T3'!$D:$D,'Census T3'!$A:$A,0,'Census T3'!$B:$B,1,'Census T3'!$C:$C,B$1)</f>
        <v>8958113</v>
      </c>
      <c r="C2">
        <f>SUMIFS('Census T3'!$D:$D,'Census T3'!$A:$A,0,'Census T3'!$B:$B,1,'Census T3'!$C:$C,C$1)</f>
        <v>9224316</v>
      </c>
      <c r="D2">
        <f>SUMIFS('Census T3'!$D:$D,'Census T3'!$A:$A,0,'Census T3'!$B:$B,1,'Census T3'!$C:$C,D$1)</f>
        <v>10006278</v>
      </c>
      <c r="E2">
        <f>SUMIFS('Census T3'!$D:$D,'Census T3'!$A:$A,0,'Census T3'!$B:$B,1,'Census T3'!$C:$C,E$1)</f>
        <v>9699316</v>
      </c>
      <c r="F2">
        <f>SUMIFS('Census T3'!$D:$D,'Census T3'!$A:$A,0,'Census T3'!$B:$B,1,'Census T3'!$C:$C,F$1)</f>
        <v>9703056</v>
      </c>
      <c r="G2">
        <f>SUMIFS('Census T3'!$D:$D,'Census T3'!$A:$A,0,'Census T3'!$B:$B,1,'Census T3'!$C:$C,G$1)</f>
        <v>9965760</v>
      </c>
      <c r="H2">
        <f>SUMIFS('Census T3'!$D:$D,'Census T3'!$A:$A,0,'Census T3'!$B:$B,1,'Census T3'!$C:$C,H$1)</f>
        <v>10228240</v>
      </c>
      <c r="I2">
        <f>SUMIFS('Census T3'!$D:$D,'Census T3'!$A:$A,0,'Census T3'!$B:$B,1,'Census T3'!$C:$C,I$1)</f>
        <v>10490466</v>
      </c>
      <c r="J2">
        <f>SUMIFS('Census T3'!$D:$D,'Census T3'!$A:$A,0,'Census T3'!$B:$B,1,'Census T3'!$C:$C,J$1)</f>
        <v>10751994</v>
      </c>
      <c r="K2">
        <f>SUMIFS('Census T3'!$D:$D,'Census T3'!$A:$A,0,'Census T3'!$B:$B,1,'Census T3'!$C:$C,K$1)</f>
        <v>11011492</v>
      </c>
      <c r="L2">
        <f>SUMIFS('Census T3'!$D:$D,'Census T3'!$A:$A,0,'Census T3'!$B:$B,1,'Census T3'!$C:$C,L$1)</f>
        <v>11320086</v>
      </c>
      <c r="M2">
        <f>SUMIFS('Census T3'!$D:$D,'Census T3'!$A:$A,0,'Census T3'!$B:$B,1,'Census T3'!$C:$C,M$1)</f>
        <v>11573700</v>
      </c>
      <c r="N2">
        <f>SUMIFS('Census T3'!$D:$D,'Census T3'!$A:$A,0,'Census T3'!$B:$B,1,'Census T3'!$C:$C,N$1)</f>
        <v>11875482</v>
      </c>
      <c r="O2">
        <f>SUMIFS('Census T3'!$D:$D,'Census T3'!$A:$A,0,'Census T3'!$B:$B,1,'Census T3'!$C:$C,O$1)</f>
        <v>12121200</v>
      </c>
      <c r="P2">
        <f>SUMIFS('Census T3'!$D:$D,'Census T3'!$A:$A,0,'Census T3'!$B:$B,1,'Census T3'!$C:$C,P$1)</f>
        <v>12413760</v>
      </c>
      <c r="Q2">
        <f>SUMIFS('Census T3'!$D:$D,'Census T3'!$A:$A,0,'Census T3'!$B:$B,1,'Census T3'!$C:$C,Q$1)</f>
        <v>12700980</v>
      </c>
      <c r="R2">
        <f>SUMIFS('Census T3'!$D:$D,'Census T3'!$A:$A,0,'Census T3'!$B:$B,1,'Census T3'!$C:$C,R$1)</f>
        <v>13023175</v>
      </c>
      <c r="S2">
        <f>SUMIFS('Census T3'!$D:$D,'Census T3'!$A:$A,0,'Census T3'!$B:$B,1,'Census T3'!$C:$C,S$1)</f>
        <v>13291880</v>
      </c>
      <c r="T2">
        <f>SUMIFS('Census T3'!$D:$D,'Census T3'!$A:$A,0,'Census T3'!$B:$B,1,'Census T3'!$C:$C,T$1)</f>
        <v>13609890</v>
      </c>
      <c r="U2">
        <f>SUMIFS('Census T3'!$D:$D,'Census T3'!$A:$A,0,'Census T3'!$B:$B,1,'Census T3'!$C:$C,U$1)</f>
        <v>13925730.000000002</v>
      </c>
      <c r="V2">
        <f>SUMIFS('Census T3'!$D:$D,'Census T3'!$A:$A,0,'Census T3'!$B:$B,1,'Census T3'!$C:$C,V$1)</f>
        <v>14239400.000000002</v>
      </c>
      <c r="W2">
        <f>SUMIFS('Census T3'!$D:$D,'Census T3'!$A:$A,0,'Census T3'!$B:$B,1,'Census T3'!$C:$C,W$1)</f>
        <v>14521855.6</v>
      </c>
      <c r="X2">
        <f>SUMIFS('Census T3'!$D:$D,'Census T3'!$A:$A,0,'Census T3'!$B:$B,1,'Census T3'!$C:$C,X$1)</f>
        <v>14851067</v>
      </c>
      <c r="Y2">
        <f>SUMIFS('Census T3'!$D:$D,'Census T3'!$A:$A,0,'Census T3'!$B:$B,1,'Census T3'!$C:$C,Y$1)</f>
        <v>15126092.799999999</v>
      </c>
      <c r="Z2">
        <f>SUMIFS('Census T3'!$D:$D,'Census T3'!$A:$A,0,'Census T3'!$B:$B,1,'Census T3'!$C:$C,Z$1)</f>
        <v>15397531.800000001</v>
      </c>
      <c r="AA2">
        <f>SUMIFS('Census T3'!$D:$D,'Census T3'!$A:$A,0,'Census T3'!$B:$B,1,'Census T3'!$C:$C,AA$1)</f>
        <v>15665384</v>
      </c>
      <c r="AB2">
        <f>SUMIFS('Census T3'!$D:$D,'Census T3'!$A:$A,0,'Census T3'!$B:$B,1,'Census T3'!$C:$C,AB$1)</f>
        <v>15894248.6</v>
      </c>
      <c r="AC2">
        <f>SUMIFS('Census T3'!$D:$D,'Census T3'!$A:$A,0,'Census T3'!$B:$B,1,'Census T3'!$C:$C,AC$1)</f>
        <v>16117992</v>
      </c>
      <c r="AD2">
        <f>SUMIFS('Census T3'!$D:$D,'Census T3'!$A:$A,0,'Census T3'!$B:$B,1,'Census T3'!$C:$C,AD$1)</f>
        <v>16288137.600000001</v>
      </c>
      <c r="AE2">
        <f>SUMIFS('Census T3'!$D:$D,'Census T3'!$A:$A,0,'Census T3'!$B:$B,1,'Census T3'!$C:$C,AE$1)</f>
        <v>16453893.600000001</v>
      </c>
      <c r="AF2">
        <f>SUMIFS('Census T3'!$D:$D,'Census T3'!$A:$A,0,'Census T3'!$B:$B,1,'Census T3'!$C:$C,AF$1)</f>
        <v>16567514.999999998</v>
      </c>
    </row>
    <row r="3" spans="1:32">
      <c r="A3" t="s">
        <v>19</v>
      </c>
      <c r="B3">
        <f>SUMIFS('Census T3'!$D:$D,'Census T3'!$A:$A,0,'Census T3'!$B:$B,2,'Census T3'!$C:$C,B$1)</f>
        <v>7767150</v>
      </c>
      <c r="C3">
        <f>SUMIFS('Census T3'!$D:$D,'Census T3'!$A:$A,0,'Census T3'!$B:$B,2,'Census T3'!$C:$C,C$1)</f>
        <v>8032410</v>
      </c>
      <c r="D3">
        <f>SUMIFS('Census T3'!$D:$D,'Census T3'!$A:$A,0,'Census T3'!$B:$B,2,'Census T3'!$C:$C,D$1)</f>
        <v>8658282</v>
      </c>
      <c r="E3">
        <f>SUMIFS('Census T3'!$D:$D,'Census T3'!$A:$A,0,'Census T3'!$B:$B,2,'Census T3'!$C:$C,E$1)</f>
        <v>8298880</v>
      </c>
      <c r="F3">
        <f>SUMIFS('Census T3'!$D:$D,'Census T3'!$A:$A,0,'Census T3'!$B:$B,2,'Census T3'!$C:$C,F$1)</f>
        <v>8353968</v>
      </c>
      <c r="G3">
        <f>SUMIFS('Census T3'!$D:$D,'Census T3'!$A:$A,0,'Census T3'!$B:$B,2,'Census T3'!$C:$C,G$1)</f>
        <v>8616230</v>
      </c>
      <c r="H3">
        <f>SUMIFS('Census T3'!$D:$D,'Census T3'!$A:$A,0,'Census T3'!$B:$B,2,'Census T3'!$C:$C,H$1)</f>
        <v>8930240</v>
      </c>
      <c r="I3">
        <f>SUMIFS('Census T3'!$D:$D,'Census T3'!$A:$A,0,'Census T3'!$B:$B,2,'Census T3'!$C:$C,I$1)</f>
        <v>9192141</v>
      </c>
      <c r="J3">
        <f>SUMIFS('Census T3'!$D:$D,'Census T3'!$A:$A,0,'Census T3'!$B:$B,2,'Census T3'!$C:$C,J$1)</f>
        <v>9505386</v>
      </c>
      <c r="K3">
        <f>SUMIFS('Census T3'!$D:$D,'Census T3'!$A:$A,0,'Census T3'!$B:$B,2,'Census T3'!$C:$C,K$1)</f>
        <v>9764908</v>
      </c>
      <c r="L3">
        <f>SUMIFS('Census T3'!$D:$D,'Census T3'!$A:$A,0,'Census T3'!$B:$B,2,'Census T3'!$C:$C,L$1)</f>
        <v>10021911</v>
      </c>
      <c r="M3">
        <f>SUMIFS('Census T3'!$D:$D,'Census T3'!$A:$A,0,'Census T3'!$B:$B,2,'Census T3'!$C:$C,M$1)</f>
        <v>10328100</v>
      </c>
      <c r="N3">
        <f>SUMIFS('Census T3'!$D:$D,'Census T3'!$A:$A,0,'Census T3'!$B:$B,2,'Census T3'!$C:$C,N$1)</f>
        <v>10579032</v>
      </c>
      <c r="O3">
        <f>SUMIFS('Census T3'!$D:$D,'Census T3'!$A:$A,0,'Census T3'!$B:$B,2,'Census T3'!$C:$C,O$1)</f>
        <v>10878000</v>
      </c>
      <c r="P3">
        <f>SUMIFS('Census T3'!$D:$D,'Census T3'!$A:$A,0,'Census T3'!$B:$B,2,'Census T3'!$C:$C,P$1)</f>
        <v>11172384</v>
      </c>
      <c r="Q3">
        <f>SUMIFS('Census T3'!$D:$D,'Census T3'!$A:$A,0,'Census T3'!$B:$B,2,'Census T3'!$C:$C,Q$1)</f>
        <v>11461860</v>
      </c>
      <c r="R3">
        <f>SUMIFS('Census T3'!$D:$D,'Census T3'!$A:$A,0,'Census T3'!$B:$B,2,'Census T3'!$C:$C,R$1)</f>
        <v>11684825</v>
      </c>
      <c r="S3">
        <f>SUMIFS('Census T3'!$D:$D,'Census T3'!$A:$A,0,'Census T3'!$B:$B,2,'Census T3'!$C:$C,S$1)</f>
        <v>12008880</v>
      </c>
      <c r="T3">
        <f>SUMIFS('Census T3'!$D:$D,'Census T3'!$A:$A,0,'Census T3'!$B:$B,2,'Census T3'!$C:$C,T$1)</f>
        <v>12228435</v>
      </c>
      <c r="U3">
        <f>SUMIFS('Census T3'!$D:$D,'Census T3'!$A:$A,0,'Census T3'!$B:$B,2,'Census T3'!$C:$C,U$1)</f>
        <v>12548459.999999998</v>
      </c>
      <c r="V3">
        <f>SUMIFS('Census T3'!$D:$D,'Census T3'!$A:$A,0,'Census T3'!$B:$B,2,'Census T3'!$C:$C,V$1)</f>
        <v>12866314.999999998</v>
      </c>
      <c r="W3">
        <f>SUMIFS('Census T3'!$D:$D,'Census T3'!$A:$A,0,'Census T3'!$B:$B,2,'Census T3'!$C:$C,W$1)</f>
        <v>13206286.800000003</v>
      </c>
      <c r="X3">
        <f>SUMIFS('Census T3'!$D:$D,'Census T3'!$A:$A,0,'Census T3'!$B:$B,2,'Census T3'!$C:$C,X$1)</f>
        <v>13491816.799999997</v>
      </c>
      <c r="Y3">
        <f>SUMIFS('Census T3'!$D:$D,'Census T3'!$A:$A,0,'Census T3'!$B:$B,2,'Census T3'!$C:$C,Y$1)</f>
        <v>13873932.799999999</v>
      </c>
      <c r="Z3">
        <f>SUMIFS('Census T3'!$D:$D,'Census T3'!$A:$A,0,'Census T3'!$B:$B,2,'Census T3'!$C:$C,Z$1)</f>
        <v>14201606.999999996</v>
      </c>
      <c r="AA3">
        <f>SUMIFS('Census T3'!$D:$D,'Census T3'!$A:$A,0,'Census T3'!$B:$B,2,'Census T3'!$C:$C,AA$1)</f>
        <v>14624330</v>
      </c>
      <c r="AB3">
        <f>SUMIFS('Census T3'!$D:$D,'Census T3'!$A:$A,0,'Census T3'!$B:$B,2,'Census T3'!$C:$C,AB$1)</f>
        <v>14959292.799999999</v>
      </c>
      <c r="AC3">
        <f>SUMIFS('Census T3'!$D:$D,'Census T3'!$A:$A,0,'Census T3'!$B:$B,2,'Census T3'!$C:$C,AC$1)</f>
        <v>15287671.199999999</v>
      </c>
      <c r="AD3">
        <f>SUMIFS('Census T3'!$D:$D,'Census T3'!$A:$A,0,'Census T3'!$B:$B,2,'Census T3'!$C:$C,AD$1)</f>
        <v>15657941.800000001</v>
      </c>
      <c r="AE3">
        <f>SUMIFS('Census T3'!$D:$D,'Census T3'!$A:$A,0,'Census T3'!$B:$B,2,'Census T3'!$C:$C,AE$1)</f>
        <v>15924674.800000001</v>
      </c>
      <c r="AF3">
        <f>SUMIFS('Census T3'!$D:$D,'Census T3'!$A:$A,0,'Census T3'!$B:$B,2,'Census T3'!$C:$C,AF$1)</f>
        <v>16137810.000000006</v>
      </c>
    </row>
    <row r="4" spans="1:32">
      <c r="A4" t="s">
        <v>21</v>
      </c>
      <c r="B4">
        <f>SUMIFS('Census T3'!$D:$D,'Census T3'!$A:$A,1,'Census T3'!$B:$B,0,'Census T3'!$C:$C,B$1)</f>
        <v>0</v>
      </c>
      <c r="C4">
        <f>SUMIFS('Census T3'!$D:$D,'Census T3'!$A:$A,1,'Census T3'!$B:$B,0,'Census T3'!$C:$C,C$1)</f>
        <v>0</v>
      </c>
      <c r="D4">
        <f>SUMIFS('Census T3'!$D:$D,'Census T3'!$A:$A,1,'Census T3'!$B:$B,0,'Census T3'!$C:$C,D$1)</f>
        <v>0</v>
      </c>
      <c r="E4">
        <f>SUMIFS('Census T3'!$D:$D,'Census T3'!$A:$A,1,'Census T3'!$B:$B,0,'Census T3'!$C:$C,E$1)</f>
        <v>0</v>
      </c>
      <c r="F4">
        <f>SUMIFS('Census T3'!$D:$D,'Census T3'!$A:$A,1,'Census T3'!$B:$B,0,'Census T3'!$C:$C,F$1)</f>
        <v>0</v>
      </c>
      <c r="G4">
        <f>SUMIFS('Census T3'!$D:$D,'Census T3'!$A:$A,1,'Census T3'!$B:$B,0,'Census T3'!$C:$C,G$1)</f>
        <v>0</v>
      </c>
      <c r="H4">
        <f>SUMIFS('Census T3'!$D:$D,'Census T3'!$A:$A,1,'Census T3'!$B:$B,0,'Census T3'!$C:$C,H$1)</f>
        <v>0</v>
      </c>
      <c r="I4">
        <f>SUMIFS('Census T3'!$D:$D,'Census T3'!$A:$A,1,'Census T3'!$B:$B,0,'Census T3'!$C:$C,I$1)</f>
        <v>0</v>
      </c>
      <c r="J4">
        <f>SUMIFS('Census T3'!$D:$D,'Census T3'!$A:$A,1,'Census T3'!$B:$B,0,'Census T3'!$C:$C,J$1)</f>
        <v>0</v>
      </c>
      <c r="K4">
        <f>SUMIFS('Census T3'!$D:$D,'Census T3'!$A:$A,1,'Census T3'!$B:$B,0,'Census T3'!$C:$C,K$1)</f>
        <v>0</v>
      </c>
      <c r="L4">
        <f>SUMIFS('Census T3'!$D:$D,'Census T3'!$A:$A,1,'Census T3'!$B:$B,0,'Census T3'!$C:$C,L$1)</f>
        <v>0</v>
      </c>
      <c r="M4">
        <f>SUMIFS('Census T3'!$D:$D,'Census T3'!$A:$A,1,'Census T3'!$B:$B,0,'Census T3'!$C:$C,M$1)</f>
        <v>0</v>
      </c>
      <c r="N4">
        <f>SUMIFS('Census T3'!$D:$D,'Census T3'!$A:$A,1,'Census T3'!$B:$B,0,'Census T3'!$C:$C,N$1)</f>
        <v>0</v>
      </c>
      <c r="O4">
        <f>SUMIFS('Census T3'!$D:$D,'Census T3'!$A:$A,1,'Census T3'!$B:$B,0,'Census T3'!$C:$C,O$1)</f>
        <v>0</v>
      </c>
      <c r="P4">
        <f>SUMIFS('Census T3'!$D:$D,'Census T3'!$A:$A,1,'Census T3'!$B:$B,0,'Census T3'!$C:$C,P$1)</f>
        <v>0</v>
      </c>
      <c r="Q4">
        <f>SUMIFS('Census T3'!$D:$D,'Census T3'!$A:$A,1,'Census T3'!$B:$B,0,'Census T3'!$C:$C,Q$1)</f>
        <v>0</v>
      </c>
      <c r="R4">
        <f>SUMIFS('Census T3'!$D:$D,'Census T3'!$A:$A,1,'Census T3'!$B:$B,0,'Census T3'!$C:$C,R$1)</f>
        <v>0</v>
      </c>
      <c r="S4">
        <f>SUMIFS('Census T3'!$D:$D,'Census T3'!$A:$A,1,'Census T3'!$B:$B,0,'Census T3'!$C:$C,S$1)</f>
        <v>0</v>
      </c>
      <c r="T4">
        <f>SUMIFS('Census T3'!$D:$D,'Census T3'!$A:$A,1,'Census T3'!$B:$B,0,'Census T3'!$C:$C,T$1)</f>
        <v>0</v>
      </c>
      <c r="U4">
        <f>SUMIFS('Census T3'!$D:$D,'Census T3'!$A:$A,1,'Census T3'!$B:$B,0,'Census T3'!$C:$C,U$1)</f>
        <v>0</v>
      </c>
      <c r="V4">
        <f>SUMIFS('Census T3'!$D:$D,'Census T3'!$A:$A,1,'Census T3'!$B:$B,0,'Census T3'!$C:$C,V$1)</f>
        <v>0</v>
      </c>
      <c r="W4">
        <f>SUMIFS('Census T3'!$D:$D,'Census T3'!$A:$A,1,'Census T3'!$B:$B,0,'Census T3'!$C:$C,W$1)</f>
        <v>0</v>
      </c>
      <c r="X4">
        <f>SUMIFS('Census T3'!$D:$D,'Census T3'!$A:$A,1,'Census T3'!$B:$B,0,'Census T3'!$C:$C,X$1)</f>
        <v>0</v>
      </c>
      <c r="Y4">
        <f>SUMIFS('Census T3'!$D:$D,'Census T3'!$A:$A,1,'Census T3'!$B:$B,0,'Census T3'!$C:$C,Y$1)</f>
        <v>0</v>
      </c>
      <c r="Z4">
        <f>SUMIFS('Census T3'!$D:$D,'Census T3'!$A:$A,1,'Census T3'!$B:$B,0,'Census T3'!$C:$C,Z$1)</f>
        <v>0</v>
      </c>
      <c r="AA4">
        <f>SUMIFS('Census T3'!$D:$D,'Census T3'!$A:$A,1,'Census T3'!$B:$B,0,'Census T3'!$C:$C,AA$1)</f>
        <v>0</v>
      </c>
      <c r="AB4">
        <f>SUMIFS('Census T3'!$D:$D,'Census T3'!$A:$A,1,'Census T3'!$B:$B,0,'Census T3'!$C:$C,AB$1)</f>
        <v>0</v>
      </c>
      <c r="AC4">
        <f>SUMIFS('Census T3'!$D:$D,'Census T3'!$A:$A,1,'Census T3'!$B:$B,0,'Census T3'!$C:$C,AC$1)</f>
        <v>0</v>
      </c>
      <c r="AD4">
        <f>SUMIFS('Census T3'!$D:$D,'Census T3'!$A:$A,1,'Census T3'!$B:$B,0,'Census T3'!$C:$C,AD$1)</f>
        <v>0</v>
      </c>
      <c r="AE4">
        <f>SUMIFS('Census T3'!$D:$D,'Census T3'!$A:$A,1,'Census T3'!$B:$B,0,'Census T3'!$C:$C,AE$1)</f>
        <v>0</v>
      </c>
      <c r="AF4">
        <f>SUMIFS('Census T3'!$D:$D,'Census T3'!$A:$A,1,'Census T3'!$B:$B,0,'Census T3'!$C:$C,AF$1)</f>
        <v>0</v>
      </c>
    </row>
    <row r="5" spans="1:32">
      <c r="A5" t="s">
        <v>22</v>
      </c>
      <c r="B5">
        <f>SUMIFS('Census T3'!$D:$D,'Census T3'!$A:$A,2,'Census T3'!$B:$B,0,'Census T3'!$C:$C,B$1)</f>
        <v>0</v>
      </c>
      <c r="C5">
        <f>SUMIFS('Census T3'!$D:$D,'Census T3'!$A:$A,2,'Census T3'!$B:$B,0,'Census T3'!$C:$C,C$1)</f>
        <v>0</v>
      </c>
      <c r="D5">
        <f>SUMIFS('Census T3'!$D:$D,'Census T3'!$A:$A,2,'Census T3'!$B:$B,0,'Census T3'!$C:$C,D$1)</f>
        <v>0</v>
      </c>
      <c r="E5">
        <f>SUMIFS('Census T3'!$D:$D,'Census T3'!$A:$A,2,'Census T3'!$B:$B,0,'Census T3'!$C:$C,E$1)</f>
        <v>0</v>
      </c>
      <c r="F5">
        <f>SUMIFS('Census T3'!$D:$D,'Census T3'!$A:$A,2,'Census T3'!$B:$B,0,'Census T3'!$C:$C,F$1)</f>
        <v>0</v>
      </c>
      <c r="G5">
        <f>SUMIFS('Census T3'!$D:$D,'Census T3'!$A:$A,2,'Census T3'!$B:$B,0,'Census T3'!$C:$C,G$1)</f>
        <v>0</v>
      </c>
      <c r="H5">
        <f>SUMIFS('Census T3'!$D:$D,'Census T3'!$A:$A,2,'Census T3'!$B:$B,0,'Census T3'!$C:$C,H$1)</f>
        <v>0</v>
      </c>
      <c r="I5">
        <f>SUMIFS('Census T3'!$D:$D,'Census T3'!$A:$A,2,'Census T3'!$B:$B,0,'Census T3'!$C:$C,I$1)</f>
        <v>0</v>
      </c>
      <c r="J5">
        <f>SUMIFS('Census T3'!$D:$D,'Census T3'!$A:$A,2,'Census T3'!$B:$B,0,'Census T3'!$C:$C,J$1)</f>
        <v>0</v>
      </c>
      <c r="K5">
        <f>SUMIFS('Census T3'!$D:$D,'Census T3'!$A:$A,2,'Census T3'!$B:$B,0,'Census T3'!$C:$C,K$1)</f>
        <v>0</v>
      </c>
      <c r="L5">
        <f>SUMIFS('Census T3'!$D:$D,'Census T3'!$A:$A,2,'Census T3'!$B:$B,0,'Census T3'!$C:$C,L$1)</f>
        <v>0</v>
      </c>
      <c r="M5">
        <f>SUMIFS('Census T3'!$D:$D,'Census T3'!$A:$A,2,'Census T3'!$B:$B,0,'Census T3'!$C:$C,M$1)</f>
        <v>0</v>
      </c>
      <c r="N5">
        <f>SUMIFS('Census T3'!$D:$D,'Census T3'!$A:$A,2,'Census T3'!$B:$B,0,'Census T3'!$C:$C,N$1)</f>
        <v>0</v>
      </c>
      <c r="O5">
        <f>SUMIFS('Census T3'!$D:$D,'Census T3'!$A:$A,2,'Census T3'!$B:$B,0,'Census T3'!$C:$C,O$1)</f>
        <v>0</v>
      </c>
      <c r="P5">
        <f>SUMIFS('Census T3'!$D:$D,'Census T3'!$A:$A,2,'Census T3'!$B:$B,0,'Census T3'!$C:$C,P$1)</f>
        <v>0</v>
      </c>
      <c r="Q5">
        <f>SUMIFS('Census T3'!$D:$D,'Census T3'!$A:$A,2,'Census T3'!$B:$B,0,'Census T3'!$C:$C,Q$1)</f>
        <v>0</v>
      </c>
      <c r="R5">
        <f>SUMIFS('Census T3'!$D:$D,'Census T3'!$A:$A,2,'Census T3'!$B:$B,0,'Census T3'!$C:$C,R$1)</f>
        <v>0</v>
      </c>
      <c r="S5">
        <f>SUMIFS('Census T3'!$D:$D,'Census T3'!$A:$A,2,'Census T3'!$B:$B,0,'Census T3'!$C:$C,S$1)</f>
        <v>0</v>
      </c>
      <c r="T5">
        <f>SUMIFS('Census T3'!$D:$D,'Census T3'!$A:$A,2,'Census T3'!$B:$B,0,'Census T3'!$C:$C,T$1)</f>
        <v>0</v>
      </c>
      <c r="U5">
        <f>SUMIFS('Census T3'!$D:$D,'Census T3'!$A:$A,2,'Census T3'!$B:$B,0,'Census T3'!$C:$C,U$1)</f>
        <v>0</v>
      </c>
      <c r="V5">
        <f>SUMIFS('Census T3'!$D:$D,'Census T3'!$A:$A,2,'Census T3'!$B:$B,0,'Census T3'!$C:$C,V$1)</f>
        <v>0</v>
      </c>
      <c r="W5">
        <f>SUMIFS('Census T3'!$D:$D,'Census T3'!$A:$A,2,'Census T3'!$B:$B,0,'Census T3'!$C:$C,W$1)</f>
        <v>0</v>
      </c>
      <c r="X5">
        <f>SUMIFS('Census T3'!$D:$D,'Census T3'!$A:$A,2,'Census T3'!$B:$B,0,'Census T3'!$C:$C,X$1)</f>
        <v>0</v>
      </c>
      <c r="Y5">
        <f>SUMIFS('Census T3'!$D:$D,'Census T3'!$A:$A,2,'Census T3'!$B:$B,0,'Census T3'!$C:$C,Y$1)</f>
        <v>0</v>
      </c>
      <c r="Z5">
        <f>SUMIFS('Census T3'!$D:$D,'Census T3'!$A:$A,2,'Census T3'!$B:$B,0,'Census T3'!$C:$C,Z$1)</f>
        <v>0</v>
      </c>
      <c r="AA5">
        <f>SUMIFS('Census T3'!$D:$D,'Census T3'!$A:$A,2,'Census T3'!$B:$B,0,'Census T3'!$C:$C,AA$1)</f>
        <v>0</v>
      </c>
      <c r="AB5">
        <f>SUMIFS('Census T3'!$D:$D,'Census T3'!$A:$A,2,'Census T3'!$B:$B,0,'Census T3'!$C:$C,AB$1)</f>
        <v>0</v>
      </c>
      <c r="AC5">
        <f>SUMIFS('Census T3'!$D:$D,'Census T3'!$A:$A,2,'Census T3'!$B:$B,0,'Census T3'!$C:$C,AC$1)</f>
        <v>0</v>
      </c>
      <c r="AD5">
        <f>SUMIFS('Census T3'!$D:$D,'Census T3'!$A:$A,2,'Census T3'!$B:$B,0,'Census T3'!$C:$C,AD$1)</f>
        <v>0</v>
      </c>
      <c r="AE5">
        <f>SUMIFS('Census T3'!$D:$D,'Census T3'!$A:$A,2,'Census T3'!$B:$B,0,'Census T3'!$C:$C,AE$1)</f>
        <v>0</v>
      </c>
      <c r="AF5">
        <f>SUMIFS('Census T3'!$D:$D,'Census T3'!$A:$A,2,'Census T3'!$B:$B,0,'Census T3'!$C:$C,AF$1)</f>
        <v>0</v>
      </c>
    </row>
    <row r="6" spans="1:32">
      <c r="A6" t="s">
        <v>23</v>
      </c>
      <c r="B6" s="2">
        <f>SUMIFS('Census T3'!$D:$D,'Census T3'!$A:$A,0,'Census T3'!$B:$B,0,'Census T3'!$C:$C,B$1)-SUM(B4:B5)</f>
        <v>16725263</v>
      </c>
      <c r="C6" s="2">
        <f>SUMIFS('Census T3'!$D:$D,'Census T3'!$A:$A,0,'Census T3'!$B:$B,0,'Census T3'!$C:$C,C$1)-SUM(C4:C5)</f>
        <v>17256726</v>
      </c>
      <c r="D6" s="2">
        <f>SUMIFS('Census T3'!$D:$D,'Census T3'!$A:$A,0,'Census T3'!$B:$B,0,'Census T3'!$C:$C,D$1)-SUM(D4:D5)</f>
        <v>18664560</v>
      </c>
      <c r="E6" s="2">
        <f>SUMIFS('Census T3'!$D:$D,'Census T3'!$A:$A,0,'Census T3'!$B:$B,0,'Census T3'!$C:$C,E$1)-SUM(E4:E5)</f>
        <v>17998196</v>
      </c>
      <c r="F6" s="2">
        <f>SUMIFS('Census T3'!$D:$D,'Census T3'!$A:$A,0,'Census T3'!$B:$B,0,'Census T3'!$C:$C,F$1)-SUM(F4:F5)</f>
        <v>18057024</v>
      </c>
      <c r="G6" s="2">
        <f>SUMIFS('Census T3'!$D:$D,'Census T3'!$A:$A,0,'Census T3'!$B:$B,0,'Census T3'!$C:$C,G$1)-SUM(G4:G5)</f>
        <v>18581990</v>
      </c>
      <c r="H6" s="2">
        <f>SUMIFS('Census T3'!$D:$D,'Census T3'!$A:$A,0,'Census T3'!$B:$B,0,'Census T3'!$C:$C,H$1)-SUM(H4:H5)</f>
        <v>19158480</v>
      </c>
      <c r="I6" s="2">
        <f>SUMIFS('Census T3'!$D:$D,'Census T3'!$A:$A,0,'Census T3'!$B:$B,0,'Census T3'!$C:$C,I$1)-SUM(I4:I5)</f>
        <v>19682607</v>
      </c>
      <c r="J6" s="2">
        <f>SUMIFS('Census T3'!$D:$D,'Census T3'!$A:$A,0,'Census T3'!$B:$B,0,'Census T3'!$C:$C,J$1)-SUM(J4:J5)</f>
        <v>20257380</v>
      </c>
      <c r="K6" s="2">
        <f>SUMIFS('Census T3'!$D:$D,'Census T3'!$A:$A,0,'Census T3'!$B:$B,0,'Census T3'!$C:$C,K$1)-SUM(K4:K5)</f>
        <v>20776400</v>
      </c>
      <c r="L6" s="2">
        <f>SUMIFS('Census T3'!$D:$D,'Census T3'!$A:$A,0,'Census T3'!$B:$B,0,'Census T3'!$C:$C,L$1)-SUM(L4:L5)</f>
        <v>21341997</v>
      </c>
      <c r="M6" s="2">
        <f>SUMIFS('Census T3'!$D:$D,'Census T3'!$A:$A,0,'Census T3'!$B:$B,0,'Census T3'!$C:$C,M$1)-SUM(M4:M5)</f>
        <v>21901800</v>
      </c>
      <c r="N6" s="2">
        <f>SUMIFS('Census T3'!$D:$D,'Census T3'!$A:$A,0,'Census T3'!$B:$B,0,'Census T3'!$C:$C,N$1)-SUM(N4:N5)</f>
        <v>22454514</v>
      </c>
      <c r="O6" s="2">
        <f>SUMIFS('Census T3'!$D:$D,'Census T3'!$A:$A,0,'Census T3'!$B:$B,0,'Census T3'!$C:$C,O$1)-SUM(O4:O5)</f>
        <v>22999200</v>
      </c>
      <c r="P6" s="2">
        <f>SUMIFS('Census T3'!$D:$D,'Census T3'!$A:$A,0,'Census T3'!$B:$B,0,'Census T3'!$C:$C,P$1)-SUM(P4:P5)</f>
        <v>23586144</v>
      </c>
      <c r="Q6" s="2">
        <f>SUMIFS('Census T3'!$D:$D,'Census T3'!$A:$A,0,'Census T3'!$B:$B,0,'Census T3'!$C:$C,Q$1)-SUM(Q4:Q5)</f>
        <v>24162840</v>
      </c>
      <c r="R6" s="2">
        <f>SUMIFS('Census T3'!$D:$D,'Census T3'!$A:$A,0,'Census T3'!$B:$B,0,'Census T3'!$C:$C,R$1)-SUM(R4:R5)</f>
        <v>24708000</v>
      </c>
      <c r="S6" s="2">
        <f>SUMIFS('Census T3'!$D:$D,'Census T3'!$A:$A,0,'Census T3'!$B:$B,0,'Census T3'!$C:$C,S$1)-SUM(S4:S5)</f>
        <v>25300760</v>
      </c>
      <c r="T6" s="2">
        <f>SUMIFS('Census T3'!$D:$D,'Census T3'!$A:$A,0,'Census T3'!$B:$B,0,'Census T3'!$C:$C,T$1)-SUM(T4:T5)</f>
        <v>25838325</v>
      </c>
      <c r="U6" s="2">
        <f>SUMIFS('Census T3'!$D:$D,'Census T3'!$A:$A,0,'Census T3'!$B:$B,0,'Census T3'!$C:$C,U$1)-SUM(U4:U5)</f>
        <v>26474190</v>
      </c>
      <c r="V6" s="2">
        <f>SUMIFS('Census T3'!$D:$D,'Census T3'!$A:$A,0,'Census T3'!$B:$B,0,'Census T3'!$C:$C,V$1)-SUM(V4:V5)</f>
        <v>27105715</v>
      </c>
      <c r="W6" s="2">
        <f>SUMIFS('Census T3'!$D:$D,'Census T3'!$A:$A,0,'Census T3'!$B:$B,0,'Census T3'!$C:$C,W$1)-SUM(W4:W5)</f>
        <v>27728142.400000002</v>
      </c>
      <c r="X6" s="2">
        <f>SUMIFS('Census T3'!$D:$D,'Census T3'!$A:$A,0,'Census T3'!$B:$B,0,'Census T3'!$C:$C,X$1)-SUM(X4:X5)</f>
        <v>28342883.799999997</v>
      </c>
      <c r="Y6" s="2">
        <f>SUMIFS('Census T3'!$D:$D,'Census T3'!$A:$A,0,'Census T3'!$B:$B,0,'Census T3'!$C:$C,Y$1)-SUM(Y4:Y5)</f>
        <v>29000025.599999998</v>
      </c>
      <c r="Z6" s="2">
        <f>SUMIFS('Census T3'!$D:$D,'Census T3'!$A:$A,0,'Census T3'!$B:$B,0,'Census T3'!$C:$C,Z$1)-SUM(Z4:Z5)</f>
        <v>29599138.799999997</v>
      </c>
      <c r="AA6" s="2">
        <f>SUMIFS('Census T3'!$D:$D,'Census T3'!$A:$A,0,'Census T3'!$B:$B,0,'Census T3'!$C:$C,AA$1)-SUM(AA4:AA5)</f>
        <v>30289714</v>
      </c>
      <c r="AB6" s="2">
        <f>SUMIFS('Census T3'!$D:$D,'Census T3'!$A:$A,0,'Census T3'!$B:$B,0,'Census T3'!$C:$C,AB$1)-SUM(AB4:AB5)</f>
        <v>30853541.399999999</v>
      </c>
      <c r="AC6" s="2">
        <f>SUMIFS('Census T3'!$D:$D,'Census T3'!$A:$A,0,'Census T3'!$B:$B,0,'Census T3'!$C:$C,AC$1)-SUM(AC4:AC5)</f>
        <v>31405663.199999999</v>
      </c>
      <c r="AD6" s="2">
        <f>SUMIFS('Census T3'!$D:$D,'Census T3'!$A:$A,0,'Census T3'!$B:$B,0,'Census T3'!$C:$C,AD$1)-SUM(AD4:AD5)</f>
        <v>31946079.400000002</v>
      </c>
      <c r="AE6" s="2">
        <f>SUMIFS('Census T3'!$D:$D,'Census T3'!$A:$A,0,'Census T3'!$B:$B,0,'Census T3'!$C:$C,AE$1)-SUM(AE4:AE5)</f>
        <v>32378568.400000002</v>
      </c>
      <c r="AF6" s="2">
        <f>SUMIFS('Census T3'!$D:$D,'Census T3'!$A:$A,0,'Census T3'!$B:$B,0,'Census T3'!$C:$C,AF$1)-SUM(AF4:AF5)</f>
        <v>32705325.000000004</v>
      </c>
    </row>
    <row r="7" spans="1:32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25</v>
      </c>
      <c r="B8">
        <f>SUMIFS('Census T3'!$D:$D,'Census T3'!$A:$A,8,'Census T3'!$B:$B,0,'Census T3'!$C:$C,B$1)</f>
        <v>0</v>
      </c>
      <c r="C8">
        <f>SUMIFS('Census T3'!$D:$D,'Census T3'!$A:$A,8,'Census T3'!$B:$B,0,'Census T3'!$C:$C,C$1)</f>
        <v>0</v>
      </c>
      <c r="D8">
        <f>SUMIFS('Census T3'!$D:$D,'Census T3'!$A:$A,8,'Census T3'!$B:$B,0,'Census T3'!$C:$C,D$1)</f>
        <v>0</v>
      </c>
      <c r="E8">
        <f>SUMIFS('Census T3'!$D:$D,'Census T3'!$A:$A,8,'Census T3'!$B:$B,0,'Census T3'!$C:$C,E$1)</f>
        <v>0</v>
      </c>
      <c r="F8">
        <f>SUMIFS('Census T3'!$D:$D,'Census T3'!$A:$A,8,'Census T3'!$B:$B,0,'Census T3'!$C:$C,F$1)</f>
        <v>0</v>
      </c>
      <c r="G8">
        <f>SUMIFS('Census T3'!$D:$D,'Census T3'!$A:$A,8,'Census T3'!$B:$B,0,'Census T3'!$C:$C,G$1)</f>
        <v>0</v>
      </c>
      <c r="H8">
        <f>SUMIFS('Census T3'!$D:$D,'Census T3'!$A:$A,8,'Census T3'!$B:$B,0,'Census T3'!$C:$C,H$1)</f>
        <v>0</v>
      </c>
      <c r="I8">
        <f>SUMIFS('Census T3'!$D:$D,'Census T3'!$A:$A,8,'Census T3'!$B:$B,0,'Census T3'!$C:$C,I$1)</f>
        <v>0</v>
      </c>
      <c r="J8">
        <f>SUMIFS('Census T3'!$D:$D,'Census T3'!$A:$A,8,'Census T3'!$B:$B,0,'Census T3'!$C:$C,J$1)</f>
        <v>0</v>
      </c>
      <c r="K8">
        <f>SUMIFS('Census T3'!$D:$D,'Census T3'!$A:$A,8,'Census T3'!$B:$B,0,'Census T3'!$C:$C,K$1)</f>
        <v>0</v>
      </c>
      <c r="L8">
        <f>SUMIFS('Census T3'!$D:$D,'Census T3'!$A:$A,8,'Census T3'!$B:$B,0,'Census T3'!$C:$C,L$1)</f>
        <v>0</v>
      </c>
      <c r="M8">
        <f>SUMIFS('Census T3'!$D:$D,'Census T3'!$A:$A,8,'Census T3'!$B:$B,0,'Census T3'!$C:$C,M$1)</f>
        <v>0</v>
      </c>
      <c r="N8">
        <f>SUMIFS('Census T3'!$D:$D,'Census T3'!$A:$A,8,'Census T3'!$B:$B,0,'Census T3'!$C:$C,N$1)</f>
        <v>0</v>
      </c>
      <c r="O8">
        <f>SUMIFS('Census T3'!$D:$D,'Census T3'!$A:$A,8,'Census T3'!$B:$B,0,'Census T3'!$C:$C,O$1)</f>
        <v>0</v>
      </c>
      <c r="P8">
        <f>SUMIFS('Census T3'!$D:$D,'Census T3'!$A:$A,8,'Census T3'!$B:$B,0,'Census T3'!$C:$C,P$1)</f>
        <v>0</v>
      </c>
      <c r="Q8">
        <f>SUMIFS('Census T3'!$D:$D,'Census T3'!$A:$A,8,'Census T3'!$B:$B,0,'Census T3'!$C:$C,Q$1)</f>
        <v>0</v>
      </c>
      <c r="R8">
        <f>SUMIFS('Census T3'!$D:$D,'Census T3'!$A:$A,8,'Census T3'!$B:$B,0,'Census T3'!$C:$C,R$1)</f>
        <v>0</v>
      </c>
      <c r="S8">
        <f>SUMIFS('Census T3'!$D:$D,'Census T3'!$A:$A,8,'Census T3'!$B:$B,0,'Census T3'!$C:$C,S$1)</f>
        <v>0</v>
      </c>
      <c r="T8">
        <f>SUMIFS('Census T3'!$D:$D,'Census T3'!$A:$A,8,'Census T3'!$B:$B,0,'Census T3'!$C:$C,T$1)</f>
        <v>0</v>
      </c>
      <c r="U8">
        <f>SUMIFS('Census T3'!$D:$D,'Census T3'!$A:$A,8,'Census T3'!$B:$B,0,'Census T3'!$C:$C,U$1)</f>
        <v>0</v>
      </c>
      <c r="V8">
        <f>SUMIFS('Census T3'!$D:$D,'Census T3'!$A:$A,8,'Census T3'!$B:$B,0,'Census T3'!$C:$C,V$1)</f>
        <v>0</v>
      </c>
      <c r="W8">
        <f>SUMIFS('Census T3'!$D:$D,'Census T3'!$A:$A,8,'Census T3'!$B:$B,0,'Census T3'!$C:$C,W$1)</f>
        <v>0</v>
      </c>
      <c r="X8">
        <f>SUMIFS('Census T3'!$D:$D,'Census T3'!$A:$A,8,'Census T3'!$B:$B,0,'Census T3'!$C:$C,X$1)</f>
        <v>0</v>
      </c>
      <c r="Y8">
        <f>SUMIFS('Census T3'!$D:$D,'Census T3'!$A:$A,8,'Census T3'!$B:$B,0,'Census T3'!$C:$C,Y$1)</f>
        <v>0</v>
      </c>
      <c r="Z8">
        <f>SUMIFS('Census T3'!$D:$D,'Census T3'!$A:$A,8,'Census T3'!$B:$B,0,'Census T3'!$C:$C,Z$1)</f>
        <v>0</v>
      </c>
      <c r="AA8">
        <f>SUMIFS('Census T3'!$D:$D,'Census T3'!$A:$A,8,'Census T3'!$B:$B,0,'Census T3'!$C:$C,AA$1)</f>
        <v>0</v>
      </c>
      <c r="AB8">
        <f>SUMIFS('Census T3'!$D:$D,'Census T3'!$A:$A,8,'Census T3'!$B:$B,0,'Census T3'!$C:$C,AB$1)</f>
        <v>0</v>
      </c>
      <c r="AC8">
        <f>SUMIFS('Census T3'!$D:$D,'Census T3'!$A:$A,8,'Census T3'!$B:$B,0,'Census T3'!$C:$C,AC$1)</f>
        <v>0</v>
      </c>
      <c r="AD8">
        <f>SUMIFS('Census T3'!$D:$D,'Census T3'!$A:$A,8,'Census T3'!$B:$B,0,'Census T3'!$C:$C,AD$1)</f>
        <v>0</v>
      </c>
      <c r="AE8">
        <f>SUMIFS('Census T3'!$D:$D,'Census T3'!$A:$A,8,'Census T3'!$B:$B,0,'Census T3'!$C:$C,AE$1)</f>
        <v>0</v>
      </c>
      <c r="AF8">
        <f>SUMIFS('Census T3'!$D:$D,'Census T3'!$A:$A,8,'Census T3'!$B:$B,0,'Census T3'!$C:$C,AF$1)</f>
        <v>0</v>
      </c>
    </row>
    <row r="9" spans="1:32">
      <c r="A9" t="s">
        <v>26</v>
      </c>
      <c r="B9">
        <f>SUMIFS('Census T3'!$D:$D,'Census T3'!$A:$A,0,'Census T3'!$B:$B,0,'Census T3'!$C:$C,B$1)-B8</f>
        <v>16725263</v>
      </c>
      <c r="C9">
        <f>SUMIFS('Census T3'!$D:$D,'Census T3'!$A:$A,0,'Census T3'!$B:$B,0,'Census T3'!$C:$C,C$1)-C8</f>
        <v>17256726</v>
      </c>
      <c r="D9">
        <f>SUMIFS('Census T3'!$D:$D,'Census T3'!$A:$A,0,'Census T3'!$B:$B,0,'Census T3'!$C:$C,D$1)-D8</f>
        <v>18664560</v>
      </c>
      <c r="E9">
        <f>SUMIFS('Census T3'!$D:$D,'Census T3'!$A:$A,0,'Census T3'!$B:$B,0,'Census T3'!$C:$C,E$1)-E8</f>
        <v>17998196</v>
      </c>
      <c r="F9">
        <f>SUMIFS('Census T3'!$D:$D,'Census T3'!$A:$A,0,'Census T3'!$B:$B,0,'Census T3'!$C:$C,F$1)-F8</f>
        <v>18057024</v>
      </c>
      <c r="G9">
        <f>SUMIFS('Census T3'!$D:$D,'Census T3'!$A:$A,0,'Census T3'!$B:$B,0,'Census T3'!$C:$C,G$1)-G8</f>
        <v>18581990</v>
      </c>
      <c r="H9">
        <f>SUMIFS('Census T3'!$D:$D,'Census T3'!$A:$A,0,'Census T3'!$B:$B,0,'Census T3'!$C:$C,H$1)-H8</f>
        <v>19158480</v>
      </c>
      <c r="I9">
        <f>SUMIFS('Census T3'!$D:$D,'Census T3'!$A:$A,0,'Census T3'!$B:$B,0,'Census T3'!$C:$C,I$1)-I8</f>
        <v>19682607</v>
      </c>
      <c r="J9">
        <f>SUMIFS('Census T3'!$D:$D,'Census T3'!$A:$A,0,'Census T3'!$B:$B,0,'Census T3'!$C:$C,J$1)-J8</f>
        <v>20257380</v>
      </c>
      <c r="K9">
        <f>SUMIFS('Census T3'!$D:$D,'Census T3'!$A:$A,0,'Census T3'!$B:$B,0,'Census T3'!$C:$C,K$1)-K8</f>
        <v>20776400</v>
      </c>
      <c r="L9">
        <f>SUMIFS('Census T3'!$D:$D,'Census T3'!$A:$A,0,'Census T3'!$B:$B,0,'Census T3'!$C:$C,L$1)-L8</f>
        <v>21341997</v>
      </c>
      <c r="M9">
        <f>SUMIFS('Census T3'!$D:$D,'Census T3'!$A:$A,0,'Census T3'!$B:$B,0,'Census T3'!$C:$C,M$1)-M8</f>
        <v>21901800</v>
      </c>
      <c r="N9">
        <f>SUMIFS('Census T3'!$D:$D,'Census T3'!$A:$A,0,'Census T3'!$B:$B,0,'Census T3'!$C:$C,N$1)-N8</f>
        <v>22454514</v>
      </c>
      <c r="O9">
        <f>SUMIFS('Census T3'!$D:$D,'Census T3'!$A:$A,0,'Census T3'!$B:$B,0,'Census T3'!$C:$C,O$1)-O8</f>
        <v>22999200</v>
      </c>
      <c r="P9">
        <f>SUMIFS('Census T3'!$D:$D,'Census T3'!$A:$A,0,'Census T3'!$B:$B,0,'Census T3'!$C:$C,P$1)-P8</f>
        <v>23586144</v>
      </c>
      <c r="Q9">
        <f>SUMIFS('Census T3'!$D:$D,'Census T3'!$A:$A,0,'Census T3'!$B:$B,0,'Census T3'!$C:$C,Q$1)-Q8</f>
        <v>24162840</v>
      </c>
      <c r="R9">
        <f>SUMIFS('Census T3'!$D:$D,'Census T3'!$A:$A,0,'Census T3'!$B:$B,0,'Census T3'!$C:$C,R$1)-R8</f>
        <v>24708000</v>
      </c>
      <c r="S9">
        <f>SUMIFS('Census T3'!$D:$D,'Census T3'!$A:$A,0,'Census T3'!$B:$B,0,'Census T3'!$C:$C,S$1)-S8</f>
        <v>25300760</v>
      </c>
      <c r="T9">
        <f>SUMIFS('Census T3'!$D:$D,'Census T3'!$A:$A,0,'Census T3'!$B:$B,0,'Census T3'!$C:$C,T$1)-T8</f>
        <v>25838325</v>
      </c>
      <c r="U9">
        <f>SUMIFS('Census T3'!$D:$D,'Census T3'!$A:$A,0,'Census T3'!$B:$B,0,'Census T3'!$C:$C,U$1)-U8</f>
        <v>26474190</v>
      </c>
      <c r="V9">
        <f>SUMIFS('Census T3'!$D:$D,'Census T3'!$A:$A,0,'Census T3'!$B:$B,0,'Census T3'!$C:$C,V$1)-V8</f>
        <v>27105715</v>
      </c>
      <c r="W9">
        <f>SUMIFS('Census T3'!$D:$D,'Census T3'!$A:$A,0,'Census T3'!$B:$B,0,'Census T3'!$C:$C,W$1)-W8</f>
        <v>27728142.400000002</v>
      </c>
      <c r="X9">
        <f>SUMIFS('Census T3'!$D:$D,'Census T3'!$A:$A,0,'Census T3'!$B:$B,0,'Census T3'!$C:$C,X$1)-X8</f>
        <v>28342883.799999997</v>
      </c>
      <c r="Y9">
        <f>SUMIFS('Census T3'!$D:$D,'Census T3'!$A:$A,0,'Census T3'!$B:$B,0,'Census T3'!$C:$C,Y$1)-Y8</f>
        <v>29000025.599999998</v>
      </c>
      <c r="Z9">
        <f>SUMIFS('Census T3'!$D:$D,'Census T3'!$A:$A,0,'Census T3'!$B:$B,0,'Census T3'!$C:$C,Z$1)-Z8</f>
        <v>29599138.799999997</v>
      </c>
      <c r="AA9">
        <f>SUMIFS('Census T3'!$D:$D,'Census T3'!$A:$A,0,'Census T3'!$B:$B,0,'Census T3'!$C:$C,AA$1)-AA8</f>
        <v>30289714</v>
      </c>
      <c r="AB9">
        <f>SUMIFS('Census T3'!$D:$D,'Census T3'!$A:$A,0,'Census T3'!$B:$B,0,'Census T3'!$C:$C,AB$1)-AB8</f>
        <v>30853541.399999999</v>
      </c>
      <c r="AC9">
        <f>SUMIFS('Census T3'!$D:$D,'Census T3'!$A:$A,0,'Census T3'!$B:$B,0,'Census T3'!$C:$C,AC$1)-AC8</f>
        <v>31405663.199999999</v>
      </c>
      <c r="AD9">
        <f>SUMIFS('Census T3'!$D:$D,'Census T3'!$A:$A,0,'Census T3'!$B:$B,0,'Census T3'!$C:$C,AD$1)-AD8</f>
        <v>31946079.400000002</v>
      </c>
      <c r="AE9">
        <f>SUMIFS('Census T3'!$D:$D,'Census T3'!$A:$A,0,'Census T3'!$B:$B,0,'Census T3'!$C:$C,AE$1)-AE8</f>
        <v>32378568.400000002</v>
      </c>
      <c r="AF9">
        <f>SUMIFS('Census T3'!$D:$D,'Census T3'!$A:$A,0,'Census T3'!$B:$B,0,'Census T3'!$C:$C,AF$1)-AF8</f>
        <v>32705325.000000004</v>
      </c>
    </row>
    <row r="16" spans="1:32">
      <c r="G16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2A57-0D86-4838-8A25-5C9CE3732E53}">
  <sheetPr>
    <tabColor theme="4" tint="-0.249977111117893"/>
  </sheetPr>
  <dimension ref="A1:AF9"/>
  <sheetViews>
    <sheetView workbookViewId="0">
      <selection activeCell="B7" sqref="B7"/>
    </sheetView>
  </sheetViews>
  <sheetFormatPr defaultRowHeight="14.5"/>
  <cols>
    <col min="1" max="1" width="14.453125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9" t="s">
        <v>18</v>
      </c>
      <c r="B2" s="31">
        <f>'Death Rate'!E18</f>
        <v>387</v>
      </c>
      <c r="C2" s="31">
        <f>'Death Rate'!E19</f>
        <v>347</v>
      </c>
      <c r="D2" s="31">
        <f>'Death Rate'!E20</f>
        <v>322</v>
      </c>
      <c r="E2" s="31">
        <f>'Death Rate'!E21</f>
        <v>320</v>
      </c>
      <c r="F2" s="31">
        <f>'Death Rate'!E22</f>
        <v>317</v>
      </c>
      <c r="G2" s="32">
        <f>'Medium Prodection'!J6</f>
        <v>233.44229999999999</v>
      </c>
      <c r="H2" s="32">
        <f>'Medium Prodection'!J7</f>
        <v>221.06711000000001</v>
      </c>
      <c r="I2" s="32">
        <f>'Medium Prodection'!J8</f>
        <v>220.36077</v>
      </c>
      <c r="J2" s="32">
        <f>'Medium Prodection'!J9</f>
        <v>219.23099999999999</v>
      </c>
      <c r="K2" s="32">
        <f>'Medium Prodection'!J10</f>
        <v>217.66084000000001</v>
      </c>
      <c r="L2" s="32">
        <f>'Medium Prodection'!J11</f>
        <v>215.66655</v>
      </c>
      <c r="M2" s="32">
        <f>'Medium Prodection'!J12</f>
        <v>212.01388</v>
      </c>
      <c r="N2" s="32">
        <f>'Medium Prodection'!J13</f>
        <v>206.80205000000001</v>
      </c>
      <c r="O2" s="32">
        <f>'Medium Prodection'!J14</f>
        <v>200.22480000000002</v>
      </c>
      <c r="P2" s="32">
        <f>'Medium Prodection'!J15</f>
        <v>193.9452</v>
      </c>
      <c r="Q2" s="32">
        <f>'Medium Prodection'!J16</f>
        <v>186.87371999999999</v>
      </c>
      <c r="R2" s="32">
        <f>'Medium Prodection'!J17</f>
        <v>179.29295999999999</v>
      </c>
      <c r="S2" s="32">
        <f>'Medium Prodection'!J18</f>
        <v>172.88843</v>
      </c>
      <c r="T2" s="32">
        <f>'Medium Prodection'!J19</f>
        <v>163.80359999999999</v>
      </c>
      <c r="U2" s="32">
        <f>'Medium Prodection'!J20</f>
        <v>152.74155000000002</v>
      </c>
      <c r="V2" s="32">
        <f>'Medium Prodection'!J21</f>
        <v>144.01451</v>
      </c>
      <c r="W2" s="32">
        <f>'Medium Prodection'!J22</f>
        <v>136.09699000000001</v>
      </c>
      <c r="X2" s="32">
        <f>'Medium Prodection'!J23</f>
        <v>128.83662000000001</v>
      </c>
      <c r="Y2" s="32">
        <f>'Medium Prodection'!J24</f>
        <v>120.76085999999999</v>
      </c>
      <c r="Z2" s="32">
        <f>'Medium Prodection'!J25</f>
        <v>114.2496</v>
      </c>
      <c r="AA2" s="32">
        <f>'Medium Prodection'!J26</f>
        <v>109.07451</v>
      </c>
      <c r="AB2" s="32">
        <f>'Medium Prodection'!J27</f>
        <v>102.56725</v>
      </c>
      <c r="AC2" s="32">
        <f>'Medium Prodection'!J28</f>
        <v>98.338049999999996</v>
      </c>
      <c r="AD2" s="32">
        <f>'Medium Prodection'!J29</f>
        <v>91.455209999999994</v>
      </c>
      <c r="AE2" s="32">
        <f>'Medium Prodection'!J30</f>
        <v>85.582480000000004</v>
      </c>
      <c r="AF2" s="32">
        <f>'Medium Prodection'!J31</f>
        <v>80.693280000000001</v>
      </c>
    </row>
    <row r="3" spans="1:32">
      <c r="A3" s="9" t="s">
        <v>19</v>
      </c>
      <c r="B3" s="31">
        <f>'Death Rate'!G18</f>
        <v>287</v>
      </c>
      <c r="C3" s="31">
        <f>'Death Rate'!G19</f>
        <v>279</v>
      </c>
      <c r="D3" s="31">
        <f>'Death Rate'!G20</f>
        <v>243</v>
      </c>
      <c r="E3" s="31">
        <f>'Death Rate'!G21</f>
        <v>244</v>
      </c>
      <c r="F3" s="31">
        <f>'Death Rate'!G22</f>
        <v>247</v>
      </c>
      <c r="G3" s="32">
        <f>'Medium Prodection'!K6</f>
        <v>185.61025000000001</v>
      </c>
      <c r="H3" s="32">
        <f>'Medium Prodection'!K7</f>
        <v>177.0033</v>
      </c>
      <c r="I3" s="32">
        <f>'Medium Prodection'!K8</f>
        <v>175.75919999999999</v>
      </c>
      <c r="J3" s="32">
        <f>'Medium Prodection'!K9</f>
        <v>174.3015</v>
      </c>
      <c r="K3" s="32">
        <f>'Medium Prodection'!K10</f>
        <v>172.64676</v>
      </c>
      <c r="L3" s="32">
        <f>'Medium Prodection'!K11</f>
        <v>169.59064000000001</v>
      </c>
      <c r="M3" s="32">
        <f>'Medium Prodection'!K12</f>
        <v>167.69964999999999</v>
      </c>
      <c r="N3" s="32">
        <f>'Medium Prodection'!K13</f>
        <v>163.31874999999999</v>
      </c>
      <c r="O3" s="32">
        <f>'Medium Prodection'!K14</f>
        <v>159.17519999999999</v>
      </c>
      <c r="P3" s="32">
        <f>'Medium Prodection'!K15</f>
        <v>154.18049999999999</v>
      </c>
      <c r="Q3" s="32">
        <f>'Medium Prodection'!K16</f>
        <v>149.90550000000002</v>
      </c>
      <c r="R3" s="32">
        <f>'Medium Prodection'!K17</f>
        <v>143.88545999999999</v>
      </c>
      <c r="S3" s="32">
        <f>'Medium Prodection'!K18</f>
        <v>140.38797000000002</v>
      </c>
      <c r="T3" s="32">
        <f>'Medium Prodection'!K19</f>
        <v>132.00796</v>
      </c>
      <c r="U3" s="32">
        <f>'Medium Prodection'!K20</f>
        <v>122.07459</v>
      </c>
      <c r="V3" s="32">
        <f>'Medium Prodection'!K21</f>
        <v>115.551</v>
      </c>
      <c r="W3" s="32">
        <f>'Medium Prodection'!K22</f>
        <v>108.39784</v>
      </c>
      <c r="X3" s="32">
        <f>'Medium Prodection'!K23</f>
        <v>100.55502</v>
      </c>
      <c r="Y3" s="32">
        <f>'Medium Prodection'!K24</f>
        <v>95.588219999999993</v>
      </c>
      <c r="Z3" s="32">
        <f>'Medium Prodection'!K25</f>
        <v>90.820499999999996</v>
      </c>
      <c r="AA3" s="32">
        <f>'Medium Prodection'!K26</f>
        <v>87.303619999999995</v>
      </c>
      <c r="AB3" s="32">
        <f>'Medium Prodection'!K27</f>
        <v>83.692670000000007</v>
      </c>
      <c r="AC3" s="32">
        <f>'Medium Prodection'!K28</f>
        <v>77.590690000000009</v>
      </c>
      <c r="AD3" s="32">
        <f>'Medium Prodection'!K29</f>
        <v>73.643050000000002</v>
      </c>
      <c r="AE3" s="32">
        <f>'Medium Prodection'!K30</f>
        <v>68.398399999999995</v>
      </c>
      <c r="AF3" s="32">
        <f>'Medium Prodection'!K31</f>
        <v>64.144799999999989</v>
      </c>
    </row>
    <row r="4" spans="1:32">
      <c r="A4" s="10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0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0" t="s">
        <v>23</v>
      </c>
      <c r="B6" s="31">
        <f>SUM(B2:B3)</f>
        <v>674</v>
      </c>
      <c r="C6" s="31">
        <f t="shared" ref="C6:AF6" si="0">SUM(C2:C3)</f>
        <v>626</v>
      </c>
      <c r="D6" s="31">
        <f t="shared" si="0"/>
        <v>565</v>
      </c>
      <c r="E6" s="31">
        <f t="shared" si="0"/>
        <v>564</v>
      </c>
      <c r="F6" s="31">
        <f t="shared" si="0"/>
        <v>564</v>
      </c>
      <c r="G6" s="31">
        <f t="shared" si="0"/>
        <v>419.05255</v>
      </c>
      <c r="H6" s="31">
        <f t="shared" si="0"/>
        <v>398.07041000000004</v>
      </c>
      <c r="I6" s="31">
        <f t="shared" si="0"/>
        <v>396.11996999999997</v>
      </c>
      <c r="J6" s="31">
        <f t="shared" si="0"/>
        <v>393.53250000000003</v>
      </c>
      <c r="K6" s="31">
        <f t="shared" si="0"/>
        <v>390.30759999999998</v>
      </c>
      <c r="L6" s="31">
        <f t="shared" si="0"/>
        <v>385.25719000000004</v>
      </c>
      <c r="M6" s="31">
        <f t="shared" si="0"/>
        <v>379.71352999999999</v>
      </c>
      <c r="N6" s="31">
        <f t="shared" si="0"/>
        <v>370.12080000000003</v>
      </c>
      <c r="O6" s="31">
        <f t="shared" si="0"/>
        <v>359.4</v>
      </c>
      <c r="P6" s="31">
        <f t="shared" si="0"/>
        <v>348.12569999999999</v>
      </c>
      <c r="Q6" s="31">
        <f t="shared" si="0"/>
        <v>336.77922000000001</v>
      </c>
      <c r="R6" s="31">
        <f t="shared" si="0"/>
        <v>323.17841999999996</v>
      </c>
      <c r="S6" s="31">
        <f t="shared" si="0"/>
        <v>313.27640000000002</v>
      </c>
      <c r="T6" s="31">
        <f t="shared" si="0"/>
        <v>295.81155999999999</v>
      </c>
      <c r="U6" s="31">
        <f t="shared" si="0"/>
        <v>274.81614000000002</v>
      </c>
      <c r="V6" s="31">
        <f t="shared" si="0"/>
        <v>259.56551000000002</v>
      </c>
      <c r="W6" s="31">
        <f t="shared" si="0"/>
        <v>244.49483000000001</v>
      </c>
      <c r="X6" s="31">
        <f t="shared" si="0"/>
        <v>229.39164</v>
      </c>
      <c r="Y6" s="31">
        <f t="shared" si="0"/>
        <v>216.34907999999999</v>
      </c>
      <c r="Z6" s="31">
        <f t="shared" si="0"/>
        <v>205.0701</v>
      </c>
      <c r="AA6" s="31">
        <f t="shared" si="0"/>
        <v>196.37813</v>
      </c>
      <c r="AB6" s="31">
        <f t="shared" si="0"/>
        <v>186.25992000000002</v>
      </c>
      <c r="AC6" s="31">
        <f t="shared" si="0"/>
        <v>175.92874</v>
      </c>
      <c r="AD6" s="31">
        <f t="shared" si="0"/>
        <v>165.09825999999998</v>
      </c>
      <c r="AE6" s="31">
        <f t="shared" si="0"/>
        <v>153.98088000000001</v>
      </c>
      <c r="AF6" s="31">
        <f t="shared" si="0"/>
        <v>144.83807999999999</v>
      </c>
    </row>
    <row r="7" spans="1:32">
      <c r="A7" s="10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t="s">
        <v>26</v>
      </c>
      <c r="B9" s="31">
        <f>B6</f>
        <v>674</v>
      </c>
      <c r="C9" s="31">
        <f t="shared" ref="C9:AF9" si="1">C6</f>
        <v>626</v>
      </c>
      <c r="D9" s="31">
        <f t="shared" si="1"/>
        <v>565</v>
      </c>
      <c r="E9" s="31">
        <f t="shared" si="1"/>
        <v>564</v>
      </c>
      <c r="F9" s="31">
        <f t="shared" si="1"/>
        <v>564</v>
      </c>
      <c r="G9" s="31">
        <f t="shared" si="1"/>
        <v>419.05255</v>
      </c>
      <c r="H9" s="31">
        <f t="shared" si="1"/>
        <v>398.07041000000004</v>
      </c>
      <c r="I9" s="31">
        <f t="shared" si="1"/>
        <v>396.11996999999997</v>
      </c>
      <c r="J9" s="31">
        <f t="shared" si="1"/>
        <v>393.53250000000003</v>
      </c>
      <c r="K9" s="31">
        <f t="shared" si="1"/>
        <v>390.30759999999998</v>
      </c>
      <c r="L9" s="31">
        <f t="shared" si="1"/>
        <v>385.25719000000004</v>
      </c>
      <c r="M9" s="31">
        <f t="shared" si="1"/>
        <v>379.71352999999999</v>
      </c>
      <c r="N9" s="31">
        <f t="shared" si="1"/>
        <v>370.12080000000003</v>
      </c>
      <c r="O9" s="31">
        <f t="shared" si="1"/>
        <v>359.4</v>
      </c>
      <c r="P9" s="31">
        <f t="shared" si="1"/>
        <v>348.12569999999999</v>
      </c>
      <c r="Q9" s="31">
        <f t="shared" si="1"/>
        <v>336.77922000000001</v>
      </c>
      <c r="R9" s="31">
        <f t="shared" si="1"/>
        <v>323.17841999999996</v>
      </c>
      <c r="S9" s="31">
        <f t="shared" si="1"/>
        <v>313.27640000000002</v>
      </c>
      <c r="T9" s="31">
        <f t="shared" si="1"/>
        <v>295.81155999999999</v>
      </c>
      <c r="U9" s="31">
        <f t="shared" si="1"/>
        <v>274.81614000000002</v>
      </c>
      <c r="V9" s="31">
        <f t="shared" si="1"/>
        <v>259.56551000000002</v>
      </c>
      <c r="W9" s="31">
        <f t="shared" si="1"/>
        <v>244.49483000000001</v>
      </c>
      <c r="X9" s="31">
        <f t="shared" si="1"/>
        <v>229.39164</v>
      </c>
      <c r="Y9" s="31">
        <f t="shared" si="1"/>
        <v>216.34907999999999</v>
      </c>
      <c r="Z9" s="31">
        <f t="shared" si="1"/>
        <v>205.0701</v>
      </c>
      <c r="AA9" s="31">
        <f t="shared" si="1"/>
        <v>196.37813</v>
      </c>
      <c r="AB9" s="31">
        <f t="shared" si="1"/>
        <v>186.25992000000002</v>
      </c>
      <c r="AC9" s="31">
        <f t="shared" si="1"/>
        <v>175.92874</v>
      </c>
      <c r="AD9" s="31">
        <f t="shared" si="1"/>
        <v>165.09825999999998</v>
      </c>
      <c r="AE9" s="31">
        <f t="shared" si="1"/>
        <v>153.98088000000001</v>
      </c>
      <c r="AF9" s="31">
        <f t="shared" si="1"/>
        <v>144.83807999999999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9F3059-9B5F-429A-A76E-70A5519C28A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F53F1C1-FB86-4042-AF16-9E6BAFDF5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8FCCEB-1192-473F-BDD3-63E63B9B0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Census T3</vt:lpstr>
      <vt:lpstr>Death Rate</vt:lpstr>
      <vt:lpstr>Medium Prodection</vt:lpstr>
      <vt:lpstr>BDbDT-other</vt:lpstr>
      <vt:lpstr>BDbDT-infant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2021-04-27T04:15:55Z</dcterms:created>
  <dcterms:modified xsi:type="dcterms:W3CDTF">2026-04-13T15:20:31Z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