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1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85.xml" ContentType="application/vnd.openxmlformats-officedocument.spreadsheetml.worksheet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add-outputs\HOIpTP\"/>
    </mc:Choice>
  </mc:AlternateContent>
  <xr:revisionPtr revIDLastSave="0" documentId="13_ncr:1_{DFC156A8-FA75-4A47-ABD5-FD9A05AE12CC}" xr6:coauthVersionLast="45" xr6:coauthVersionMax="45" xr10:uidLastSave="{00000000-0000-0000-0000-000000000000}"/>
  <bookViews>
    <workbookView xWindow="2490" yWindow="210" windowWidth="24765" windowHeight="16080" xr2:uid="{86292C8D-3CA1-4858-AA87-6B74F5B88277}"/>
  </bookViews>
  <sheets>
    <sheet name="About" sheetId="1" r:id="rId1"/>
    <sheet name="Mappings" sheetId="70" r:id="rId2"/>
    <sheet name="HOIpTP-transport-NOx" sheetId="73" r:id="rId3"/>
    <sheet name="HOIpTP-transport-PM25" sheetId="71" r:id="rId4"/>
    <sheet name="HOIpTP-transport-SO2" sheetId="74" r:id="rId5"/>
    <sheet name="HOIpTP-electricity-NOx" sheetId="76" r:id="rId6"/>
    <sheet name="HOIpTP-electricity-PM25" sheetId="75" r:id="rId7"/>
    <sheet name="HOIpTP-electricity-SO2" sheetId="77" r:id="rId8"/>
    <sheet name="HOIpTP-buildings-NOx" sheetId="78" r:id="rId9"/>
    <sheet name="HOIpTP-buildings-PM25" sheetId="79" r:id="rId10"/>
    <sheet name="HOIpTP-buildings-SO2" sheetId="80" r:id="rId11"/>
    <sheet name="HOIpTP-industry-NOx" sheetId="81" r:id="rId12"/>
    <sheet name="HOIpTP-industry-PM25" sheetId="82" r:id="rId13"/>
    <sheet name="HOIpTP-industry-SO2" sheetId="83" r:id="rId14"/>
    <sheet name="HOIpTP-LULUCF-NOx" sheetId="84" r:id="rId15"/>
    <sheet name="HOIpTP-LULUCF-PM25" sheetId="85" r:id="rId16"/>
    <sheet name="HOIpTP-LULUCF-SO2" sheetId="86" r:id="rId17"/>
    <sheet name="Table 1" sheetId="2" r:id="rId18"/>
    <sheet name="Table 2" sheetId="3" r:id="rId19"/>
    <sheet name="Table 3" sheetId="4" r:id="rId20"/>
    <sheet name="Table 4" sheetId="5" r:id="rId21"/>
    <sheet name="Table 5" sheetId="6" r:id="rId22"/>
    <sheet name="Table 6" sheetId="7" r:id="rId23"/>
    <sheet name="Table 7" sheetId="8" r:id="rId24"/>
    <sheet name="Table 8" sheetId="9" r:id="rId25"/>
    <sheet name="Table 9" sheetId="10" r:id="rId26"/>
    <sheet name="Table 10" sheetId="11" r:id="rId27"/>
    <sheet name="Table 11" sheetId="12" r:id="rId28"/>
    <sheet name="Table 12" sheetId="13" r:id="rId29"/>
    <sheet name="Table 13" sheetId="14" r:id="rId30"/>
    <sheet name="Table 14" sheetId="15" r:id="rId31"/>
    <sheet name="Table 15" sheetId="16" r:id="rId32"/>
    <sheet name="Table 16" sheetId="17" r:id="rId33"/>
    <sheet name="Table 17" sheetId="18" r:id="rId34"/>
    <sheet name="Table 18" sheetId="19" r:id="rId35"/>
    <sheet name="Table 19" sheetId="20" r:id="rId36"/>
    <sheet name="Table 20" sheetId="21" r:id="rId37"/>
    <sheet name="Table 21" sheetId="22" r:id="rId38"/>
    <sheet name="Table 22" sheetId="23" r:id="rId39"/>
    <sheet name="Table 23" sheetId="24" r:id="rId40"/>
    <sheet name="Table 24" sheetId="25" r:id="rId41"/>
    <sheet name="Table 25" sheetId="26" r:id="rId42"/>
    <sheet name="Table 26" sheetId="27" r:id="rId43"/>
    <sheet name="Table 27" sheetId="28" r:id="rId44"/>
    <sheet name="Table 28" sheetId="29" r:id="rId45"/>
    <sheet name="Table 29" sheetId="30" r:id="rId46"/>
    <sheet name="Table 30" sheetId="31" r:id="rId47"/>
    <sheet name="Table 31" sheetId="32" r:id="rId48"/>
    <sheet name="Table 32" sheetId="33" r:id="rId49"/>
    <sheet name="Table 33" sheetId="34" r:id="rId50"/>
    <sheet name="Table 34" sheetId="35" r:id="rId51"/>
    <sheet name="Table 35" sheetId="36" r:id="rId52"/>
    <sheet name="Table 36" sheetId="37" r:id="rId53"/>
    <sheet name="Table 37" sheetId="38" r:id="rId54"/>
    <sheet name="Table 38" sheetId="39" r:id="rId55"/>
    <sheet name="Table 39" sheetId="40" r:id="rId56"/>
    <sheet name="Table 40" sheetId="41" r:id="rId57"/>
    <sheet name="Table 41" sheetId="42" r:id="rId58"/>
    <sheet name="Table 42" sheetId="43" r:id="rId59"/>
    <sheet name="Table 43" sheetId="44" r:id="rId60"/>
    <sheet name="Table 44" sheetId="45" r:id="rId61"/>
    <sheet name="Table 45" sheetId="46" r:id="rId62"/>
    <sheet name="Table 46" sheetId="47" r:id="rId63"/>
    <sheet name="Table 47" sheetId="48" r:id="rId64"/>
    <sheet name="Table 48" sheetId="49" r:id="rId65"/>
    <sheet name="Table 49" sheetId="50" r:id="rId66"/>
    <sheet name="Table 50" sheetId="51" r:id="rId67"/>
    <sheet name="Table 51" sheetId="52" r:id="rId68"/>
    <sheet name="Table 52" sheetId="53" r:id="rId69"/>
    <sheet name="Table 53" sheetId="54" r:id="rId70"/>
    <sheet name="Table 54" sheetId="55" r:id="rId71"/>
    <sheet name="Table 55" sheetId="56" r:id="rId72"/>
    <sheet name="Table 56" sheetId="57" r:id="rId73"/>
    <sheet name="Table 57" sheetId="58" r:id="rId74"/>
    <sheet name="Table 58" sheetId="59" r:id="rId75"/>
    <sheet name="Table 59" sheetId="60" r:id="rId76"/>
    <sheet name="Table 60" sheetId="61" r:id="rId77"/>
    <sheet name="Table 61" sheetId="62" r:id="rId78"/>
    <sheet name="Table 62" sheetId="63" r:id="rId79"/>
    <sheet name="Table 63" sheetId="64" r:id="rId80"/>
    <sheet name="Table 64" sheetId="65" r:id="rId81"/>
    <sheet name="Table 65" sheetId="66" r:id="rId82"/>
    <sheet name="Table 66" sheetId="67" r:id="rId83"/>
    <sheet name="Table 67" sheetId="68" r:id="rId84"/>
    <sheet name="Table 68" sheetId="69" r:id="rId8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86" l="1" a="1"/>
  <c r="B17" i="86" s="1"/>
  <c r="B18" i="86" s="1"/>
  <c r="B17" i="85" a="1"/>
  <c r="B17" i="85" s="1"/>
  <c r="B18" i="85" s="1"/>
  <c r="B17" i="84" a="1"/>
  <c r="B17" i="84" s="1"/>
  <c r="B18" i="84" s="1"/>
  <c r="B17" i="83" a="1"/>
  <c r="B17" i="83" s="1"/>
  <c r="B18" i="83" s="1"/>
  <c r="B17" i="82" a="1"/>
  <c r="B17" i="82" s="1"/>
  <c r="B18" i="82" s="1"/>
  <c r="B17" i="81" a="1"/>
  <c r="B17" i="81" s="1"/>
  <c r="B18" i="81" s="1"/>
  <c r="B17" i="80" a="1"/>
  <c r="B17" i="80" s="1"/>
  <c r="B18" i="80" s="1"/>
  <c r="B24" i="80" s="1"/>
  <c r="B25" i="80" s="1"/>
  <c r="B17" i="79" a="1"/>
  <c r="B17" i="79" s="1"/>
  <c r="B18" i="79" s="1"/>
  <c r="B17" i="78" a="1"/>
  <c r="B17" i="78" s="1"/>
  <c r="B18" i="78" s="1"/>
  <c r="B17" i="77" a="1"/>
  <c r="B17" i="77" s="1"/>
  <c r="B18" i="77" s="1"/>
  <c r="B17" i="76" a="1"/>
  <c r="B17" i="76" s="1"/>
  <c r="B18" i="76" s="1"/>
  <c r="B24" i="76" s="1"/>
  <c r="B25" i="76" s="1"/>
  <c r="B17" i="75" a="1"/>
  <c r="B17" i="75" s="1"/>
  <c r="B18" i="75" s="1"/>
  <c r="B17" i="74" a="1"/>
  <c r="B17" i="74" s="1"/>
  <c r="B18" i="74" s="1"/>
  <c r="B17" i="73" a="1"/>
  <c r="B17" i="73" s="1"/>
  <c r="B18" i="73" s="1"/>
  <c r="B26" i="70"/>
  <c r="B25" i="70"/>
  <c r="B24" i="70"/>
  <c r="B23" i="70"/>
  <c r="B22" i="70"/>
  <c r="B17" i="71" a="1"/>
  <c r="B17" i="71" s="1"/>
  <c r="B18" i="71" s="1"/>
  <c r="B19" i="71" s="1"/>
  <c r="B20" i="71" s="1"/>
  <c r="B19" i="84" l="1"/>
  <c r="B20" i="84" s="1"/>
  <c r="B24" i="84"/>
  <c r="B25" i="84" s="1"/>
  <c r="B19" i="85"/>
  <c r="B20" i="85" s="1"/>
  <c r="B24" i="85"/>
  <c r="B25" i="85" s="1"/>
  <c r="B24" i="86"/>
  <c r="B25" i="86" s="1"/>
  <c r="B19" i="86"/>
  <c r="B20" i="86" s="1"/>
  <c r="B24" i="81"/>
  <c r="B25" i="81" s="1"/>
  <c r="B19" i="81"/>
  <c r="B20" i="81" s="1"/>
  <c r="B24" i="82"/>
  <c r="B25" i="82" s="1"/>
  <c r="B19" i="82"/>
  <c r="B20" i="82" s="1"/>
  <c r="B24" i="83"/>
  <c r="B25" i="83" s="1"/>
  <c r="B19" i="83"/>
  <c r="B20" i="83" s="1"/>
  <c r="B19" i="78"/>
  <c r="B20" i="78" s="1"/>
  <c r="B24" i="78"/>
  <c r="B25" i="78" s="1"/>
  <c r="B19" i="79"/>
  <c r="B20" i="79" s="1"/>
  <c r="B24" i="79"/>
  <c r="B25" i="79" s="1"/>
  <c r="B19" i="80"/>
  <c r="B20" i="80" s="1"/>
  <c r="B24" i="77"/>
  <c r="B25" i="77" s="1"/>
  <c r="B19" i="77"/>
  <c r="B20" i="77" s="1"/>
  <c r="B19" i="76"/>
  <c r="B20" i="76" s="1"/>
  <c r="B24" i="75"/>
  <c r="B25" i="75" s="1"/>
  <c r="B19" i="75"/>
  <c r="B20" i="75" s="1"/>
  <c r="B24" i="74"/>
  <c r="B25" i="74" s="1"/>
  <c r="B19" i="74"/>
  <c r="B20" i="74" s="1"/>
  <c r="B24" i="73"/>
  <c r="B25" i="73" s="1"/>
  <c r="B19" i="73"/>
  <c r="B20" i="73" s="1"/>
  <c r="B24" i="71"/>
  <c r="B25" i="71" s="1"/>
  <c r="D22" i="85" l="1"/>
  <c r="D23" i="85" s="1"/>
  <c r="C22" i="85"/>
  <c r="C23" i="85" s="1"/>
  <c r="B22" i="85"/>
  <c r="B23" i="85" s="1"/>
  <c r="E22" i="85"/>
  <c r="E23" i="85" s="1"/>
  <c r="C22" i="86"/>
  <c r="C23" i="86" s="1"/>
  <c r="B22" i="86"/>
  <c r="B23" i="86" s="1"/>
  <c r="E22" i="86"/>
  <c r="E23" i="86" s="1"/>
  <c r="D22" i="86"/>
  <c r="D23" i="86" s="1"/>
  <c r="D22" i="84"/>
  <c r="D23" i="84" s="1"/>
  <c r="C22" i="84"/>
  <c r="C23" i="84" s="1"/>
  <c r="B22" i="84"/>
  <c r="B23" i="84" s="1"/>
  <c r="E22" i="84"/>
  <c r="E23" i="84" s="1"/>
  <c r="B22" i="82"/>
  <c r="B23" i="82" s="1"/>
  <c r="E22" i="82"/>
  <c r="E23" i="82" s="1"/>
  <c r="D22" i="82"/>
  <c r="D23" i="82" s="1"/>
  <c r="C22" i="82"/>
  <c r="C23" i="82" s="1"/>
  <c r="C22" i="83"/>
  <c r="C23" i="83" s="1"/>
  <c r="B22" i="83"/>
  <c r="B23" i="83" s="1"/>
  <c r="E22" i="83"/>
  <c r="E23" i="83" s="1"/>
  <c r="D22" i="83"/>
  <c r="D23" i="83" s="1"/>
  <c r="B22" i="81"/>
  <c r="B23" i="81" s="1"/>
  <c r="E22" i="81"/>
  <c r="E23" i="81" s="1"/>
  <c r="D22" i="81"/>
  <c r="D23" i="81" s="1"/>
  <c r="C22" i="81"/>
  <c r="C23" i="81" s="1"/>
  <c r="C22" i="80"/>
  <c r="C23" i="80" s="1"/>
  <c r="B22" i="80"/>
  <c r="B23" i="80" s="1"/>
  <c r="E22" i="80"/>
  <c r="E23" i="80" s="1"/>
  <c r="D22" i="80"/>
  <c r="D23" i="80" s="1"/>
  <c r="D22" i="79"/>
  <c r="D23" i="79" s="1"/>
  <c r="C22" i="79"/>
  <c r="C23" i="79" s="1"/>
  <c r="B22" i="79"/>
  <c r="B23" i="79" s="1"/>
  <c r="E22" i="79"/>
  <c r="E23" i="79" s="1"/>
  <c r="D22" i="78"/>
  <c r="D23" i="78" s="1"/>
  <c r="C22" i="78"/>
  <c r="C23" i="78" s="1"/>
  <c r="B22" i="78"/>
  <c r="B23" i="78" s="1"/>
  <c r="E22" i="78"/>
  <c r="E23" i="78" s="1"/>
  <c r="C22" i="77"/>
  <c r="C23" i="77" s="1"/>
  <c r="B22" i="77"/>
  <c r="B23" i="77" s="1"/>
  <c r="E22" i="77"/>
  <c r="E23" i="77" s="1"/>
  <c r="D22" i="77"/>
  <c r="D23" i="77" s="1"/>
  <c r="C22" i="76"/>
  <c r="C23" i="76" s="1"/>
  <c r="B22" i="76"/>
  <c r="B23" i="76" s="1"/>
  <c r="E22" i="76"/>
  <c r="E23" i="76" s="1"/>
  <c r="D22" i="76"/>
  <c r="D23" i="76" s="1"/>
  <c r="C22" i="75"/>
  <c r="C23" i="75" s="1"/>
  <c r="B22" i="75"/>
  <c r="B23" i="75" s="1"/>
  <c r="E22" i="75"/>
  <c r="E23" i="75" s="1"/>
  <c r="D22" i="75"/>
  <c r="D23" i="75" s="1"/>
  <c r="C22" i="74"/>
  <c r="C23" i="74" s="1"/>
  <c r="B22" i="74"/>
  <c r="B23" i="74" s="1"/>
  <c r="D22" i="74"/>
  <c r="D23" i="74" s="1"/>
  <c r="E22" i="74"/>
  <c r="E23" i="74" s="1"/>
  <c r="C22" i="73"/>
  <c r="C23" i="73" s="1"/>
  <c r="B22" i="73"/>
  <c r="B23" i="73" s="1"/>
  <c r="E22" i="73"/>
  <c r="E23" i="73" s="1"/>
  <c r="D22" i="73"/>
  <c r="D23" i="73" s="1"/>
  <c r="D22" i="71"/>
  <c r="D23" i="71" s="1"/>
  <c r="E22" i="71"/>
  <c r="E23" i="71" s="1"/>
  <c r="B22" i="71"/>
  <c r="B23" i="71" s="1"/>
  <c r="C22" i="71"/>
  <c r="C23" i="71" s="1"/>
  <c r="B12" i="86"/>
  <c r="F12" i="78"/>
  <c r="B12" i="85"/>
  <c r="B12" i="82"/>
  <c r="F12" i="84"/>
  <c r="B12" i="84"/>
  <c r="K12" i="84"/>
  <c r="B12" i="79"/>
  <c r="B12" i="73"/>
  <c r="B3" i="73" a="1"/>
  <c r="K12" i="85"/>
  <c r="F12" i="85"/>
  <c r="F12" i="77"/>
  <c r="K12" i="79"/>
  <c r="B12" i="77"/>
  <c r="F12" i="83"/>
  <c r="K12" i="78"/>
  <c r="F12" i="79"/>
  <c r="B2" i="73" a="1"/>
  <c r="B12" i="78"/>
  <c r="B12" i="83"/>
  <c r="F12" i="74"/>
  <c r="F12" i="75"/>
  <c r="B12" i="75"/>
  <c r="K12" i="71"/>
  <c r="B12" i="74"/>
  <c r="B12" i="71"/>
  <c r="B12" i="81"/>
  <c r="F12" i="86"/>
  <c r="K12" i="83"/>
  <c r="F12" i="71"/>
  <c r="D12" i="86" l="1"/>
  <c r="C12" i="86"/>
  <c r="E12" i="86"/>
  <c r="H12" i="85"/>
  <c r="G12" i="85"/>
  <c r="J12" i="85"/>
  <c r="I12" i="85"/>
  <c r="D12" i="85"/>
  <c r="C12" i="85"/>
  <c r="E12" i="85"/>
  <c r="D12" i="84"/>
  <c r="C12" i="84"/>
  <c r="E12" i="84"/>
  <c r="H12" i="84"/>
  <c r="G12" i="84"/>
  <c r="J12" i="84"/>
  <c r="I12" i="84"/>
  <c r="H12" i="83"/>
  <c r="G12" i="83"/>
  <c r="J12" i="83"/>
  <c r="I12" i="83"/>
  <c r="D12" i="83"/>
  <c r="C12" i="83"/>
  <c r="E12" i="83"/>
  <c r="H12" i="79"/>
  <c r="G12" i="79"/>
  <c r="J12" i="79"/>
  <c r="I12" i="79"/>
  <c r="D12" i="79"/>
  <c r="C12" i="79"/>
  <c r="E12" i="79"/>
  <c r="D12" i="78"/>
  <c r="C12" i="78"/>
  <c r="E12" i="78"/>
  <c r="H12" i="78"/>
  <c r="G12" i="78"/>
  <c r="J12" i="78"/>
  <c r="I12" i="78"/>
  <c r="D12" i="77"/>
  <c r="C12" i="77"/>
  <c r="E12" i="77"/>
  <c r="D12" i="75"/>
  <c r="C12" i="75"/>
  <c r="E12" i="75"/>
  <c r="D12" i="74"/>
  <c r="C12" i="74"/>
  <c r="E12" i="74"/>
  <c r="H12" i="71"/>
  <c r="G12" i="71"/>
  <c r="I12" i="71"/>
  <c r="J12" i="71"/>
  <c r="D12" i="71"/>
  <c r="C12" i="71"/>
  <c r="E12" i="71"/>
  <c r="B3" i="73"/>
  <c r="B2" i="73"/>
  <c r="P7" i="86" a="1"/>
  <c r="B2" i="86" a="1"/>
  <c r="P8" i="86" a="1"/>
  <c r="F10" i="85" a="1"/>
  <c r="K2" i="85" a="1"/>
  <c r="P3" i="85" a="1"/>
  <c r="P4" i="84" a="1"/>
  <c r="K8" i="84" a="1"/>
  <c r="B4" i="83" a="1"/>
  <c r="F11" i="83" a="1"/>
  <c r="P8" i="83" a="1"/>
  <c r="F3" i="82" a="1"/>
  <c r="P3" i="82" a="1"/>
  <c r="F7" i="81" a="1"/>
  <c r="P7" i="81" a="1"/>
  <c r="F11" i="81" a="1"/>
  <c r="K8" i="80" a="1"/>
  <c r="B11" i="80" a="1"/>
  <c r="F10" i="80" a="1"/>
  <c r="K7" i="79" a="1"/>
  <c r="B11" i="79" a="1"/>
  <c r="P7" i="78" a="1"/>
  <c r="F2" i="78" a="1"/>
  <c r="B5" i="78" a="1"/>
  <c r="B5" i="77" a="1"/>
  <c r="F5" i="77" a="1"/>
  <c r="B10" i="77" a="1"/>
  <c r="B9" i="75" a="1"/>
  <c r="K5" i="75" a="1"/>
  <c r="P7" i="76" a="1"/>
  <c r="K8" i="76" a="1"/>
  <c r="F7" i="76" a="1"/>
  <c r="B6" i="86" a="1"/>
  <c r="P6" i="86" a="1"/>
  <c r="B11" i="86" a="1"/>
  <c r="P2" i="85" a="1"/>
  <c r="B5" i="85" a="1"/>
  <c r="F2" i="84" a="1"/>
  <c r="K6" i="84" a="1"/>
  <c r="P2" i="84" a="1"/>
  <c r="F10" i="83" a="1"/>
  <c r="P5" i="83" a="1"/>
  <c r="F7" i="82" a="1"/>
  <c r="P7" i="82" a="1"/>
  <c r="F11" i="82" a="1"/>
  <c r="P11" i="81" a="1"/>
  <c r="P12" i="81"/>
  <c r="F12" i="81"/>
  <c r="F2" i="80" a="1"/>
  <c r="K2" i="80" a="1"/>
  <c r="B3" i="80" a="1"/>
  <c r="B8" i="79" a="1"/>
  <c r="P8" i="79" a="1"/>
  <c r="F7" i="78" a="1"/>
  <c r="P4" i="78" a="1"/>
  <c r="K4" i="78" a="1"/>
  <c r="B7" i="77" a="1"/>
  <c r="K5" i="77" a="1"/>
  <c r="P10" i="75" a="1"/>
  <c r="K6" i="75" a="1"/>
  <c r="F11" i="75" a="1"/>
  <c r="B12" i="76"/>
  <c r="B8" i="76" a="1"/>
  <c r="B6" i="76" a="1"/>
  <c r="P12" i="86"/>
  <c r="B5" i="86" a="1"/>
  <c r="B6" i="85" a="1"/>
  <c r="P11" i="85" a="1"/>
  <c r="F8" i="85" a="1"/>
  <c r="B4" i="84" a="1"/>
  <c r="P6" i="84" a="1"/>
  <c r="F7" i="85" a="1"/>
  <c r="K2" i="84" a="1"/>
  <c r="K2" i="83" a="1"/>
  <c r="B5" i="82" a="1"/>
  <c r="B9" i="82" a="1"/>
  <c r="B4" i="81" a="1"/>
  <c r="K12" i="80"/>
  <c r="K6" i="79" a="1"/>
  <c r="K10" i="79" a="1"/>
  <c r="B4" i="78" a="1"/>
  <c r="F8" i="77" a="1"/>
  <c r="B10" i="75" a="1"/>
  <c r="K4" i="76" a="1"/>
  <c r="B5" i="76" a="1"/>
  <c r="K4" i="74" a="1"/>
  <c r="P2" i="74" a="1"/>
  <c r="F10" i="71" a="1"/>
  <c r="K2" i="71" a="1"/>
  <c r="B9" i="71" a="1"/>
  <c r="P7" i="73" a="1"/>
  <c r="F8" i="73" a="1"/>
  <c r="B7" i="75" a="1"/>
  <c r="F6" i="74" a="1"/>
  <c r="B10" i="71" a="1"/>
  <c r="K11" i="73" a="1"/>
  <c r="K11" i="82" a="1"/>
  <c r="P11" i="79" a="1"/>
  <c r="F4" i="75" a="1"/>
  <c r="K8" i="74" a="1"/>
  <c r="K2" i="73" a="1"/>
  <c r="K7" i="86" a="1"/>
  <c r="B9" i="84" a="1"/>
  <c r="P9" i="83" a="1"/>
  <c r="P11" i="82" a="1"/>
  <c r="F12" i="82"/>
  <c r="K4" i="81" a="1"/>
  <c r="P7" i="80" a="1"/>
  <c r="F8" i="79" a="1"/>
  <c r="B10" i="79" a="1"/>
  <c r="K10" i="78" a="1"/>
  <c r="K2" i="77" a="1"/>
  <c r="B5" i="75" a="1"/>
  <c r="K11" i="75" a="1"/>
  <c r="K7" i="76" a="1"/>
  <c r="F9" i="74" a="1"/>
  <c r="P10" i="74" a="1"/>
  <c r="F7" i="74" a="1"/>
  <c r="P3" i="71" a="1"/>
  <c r="F2" i="71" a="1"/>
  <c r="P9" i="73" a="1"/>
  <c r="F10" i="73" a="1"/>
  <c r="B8" i="73" a="1"/>
  <c r="P12" i="74"/>
  <c r="F7" i="71" a="1"/>
  <c r="P11" i="73" a="1"/>
  <c r="B9" i="73" a="1"/>
  <c r="K3" i="86" a="1"/>
  <c r="F5" i="86" a="1"/>
  <c r="B10" i="86" a="1"/>
  <c r="B11" i="85" a="1"/>
  <c r="P12" i="85"/>
  <c r="F10" i="84" a="1"/>
  <c r="K9" i="84" a="1"/>
  <c r="P3" i="84" a="1"/>
  <c r="F8" i="83" a="1"/>
  <c r="F5" i="83" a="1"/>
  <c r="P12" i="83"/>
  <c r="K8" i="82" a="1"/>
  <c r="B4" i="82" a="1"/>
  <c r="K3" i="81" a="1"/>
  <c r="B8" i="81" a="1"/>
  <c r="K7" i="81" a="1"/>
  <c r="F8" i="80" a="1"/>
  <c r="F9" i="80" a="1"/>
  <c r="K3" i="80" a="1"/>
  <c r="B2" i="79" a="1"/>
  <c r="F2" i="79" a="1"/>
  <c r="B3" i="78" a="1"/>
  <c r="P11" i="78" a="1"/>
  <c r="K2" i="78" a="1"/>
  <c r="P5" i="77" a="1"/>
  <c r="P9" i="77" a="1"/>
  <c r="P4" i="75" a="1"/>
  <c r="K9" i="75" a="1"/>
  <c r="B4" i="75" a="1"/>
  <c r="B3" i="76" a="1"/>
  <c r="B4" i="76" a="1"/>
  <c r="P2" i="76" a="1"/>
  <c r="F9" i="86" a="1"/>
  <c r="K4" i="86" a="1"/>
  <c r="F6" i="86" a="1"/>
  <c r="B3" i="85" a="1"/>
  <c r="P10" i="85" a="1"/>
  <c r="B3" i="84" a="1"/>
  <c r="P7" i="84" a="1"/>
  <c r="K4" i="84" a="1"/>
  <c r="P3" i="83" a="1"/>
  <c r="B9" i="83" a="1"/>
  <c r="K3" i="82" a="1"/>
  <c r="B8" i="82" a="1"/>
  <c r="K7" i="82" a="1"/>
  <c r="B3" i="81" a="1"/>
  <c r="K11" i="81" a="1"/>
  <c r="B7" i="81" a="1"/>
  <c r="F12" i="80"/>
  <c r="P12" i="80"/>
  <c r="B5" i="79" a="1"/>
  <c r="P3" i="79" a="1"/>
  <c r="K8" i="79" a="1"/>
  <c r="K3" i="78" a="1"/>
  <c r="F6" i="78" a="1"/>
  <c r="P7" i="77" a="1"/>
  <c r="K9" i="77" a="1"/>
  <c r="B8" i="77" a="1"/>
  <c r="B3" i="75" a="1"/>
  <c r="K12" i="75"/>
  <c r="P8" i="75" a="1"/>
  <c r="F9" i="76" a="1"/>
  <c r="K10" i="76" a="1"/>
  <c r="P7" i="74" a="1"/>
  <c r="K2" i="86" a="1"/>
  <c r="F10" i="86" a="1"/>
  <c r="P9" i="85" a="1"/>
  <c r="F9" i="85" a="1"/>
  <c r="K3" i="85" a="1"/>
  <c r="F9" i="84" a="1"/>
  <c r="K5" i="84" a="1"/>
  <c r="K9" i="85" a="1"/>
  <c r="B7" i="84" a="1"/>
  <c r="B6" i="83" a="1"/>
  <c r="P2" i="82" a="1"/>
  <c r="P6" i="81" a="1"/>
  <c r="P10" i="81" a="1"/>
  <c r="P3" i="80" a="1"/>
  <c r="F4" i="79" a="1"/>
  <c r="F10" i="78" a="1"/>
  <c r="F4" i="78" a="1"/>
  <c r="K8" i="77" a="1"/>
  <c r="B2" i="75" a="1"/>
  <c r="F6" i="76" a="1"/>
  <c r="F5" i="76" a="1"/>
  <c r="P9" i="74" a="1"/>
  <c r="K3" i="74" a="1"/>
  <c r="P9" i="71" a="1"/>
  <c r="B6" i="71" a="1"/>
  <c r="K10" i="71" a="1"/>
  <c r="K5" i="73" a="1"/>
  <c r="F9" i="73" a="1"/>
  <c r="P8" i="76" a="1"/>
  <c r="K12" i="74"/>
  <c r="F6" i="71" a="1"/>
  <c r="F3" i="73" a="1"/>
  <c r="F8" i="81" a="1"/>
  <c r="B9" i="78" a="1"/>
  <c r="K5" i="76" a="1"/>
  <c r="F8" i="71" a="1"/>
  <c r="F6" i="73" a="1"/>
  <c r="K11" i="85" a="1"/>
  <c r="F4" i="84" a="1"/>
  <c r="F6" i="83" a="1"/>
  <c r="K9" i="82" a="1"/>
  <c r="F2" i="81" a="1"/>
  <c r="F6" i="81" a="1"/>
  <c r="F11" i="80" a="1"/>
  <c r="P6" i="79" a="1"/>
  <c r="P2" i="78" a="1"/>
  <c r="F5" i="78" a="1"/>
  <c r="F7" i="77" a="1"/>
  <c r="P3" i="75" a="1"/>
  <c r="P6" i="76" a="1"/>
  <c r="K3" i="76" a="1"/>
  <c r="B11" i="74" a="1"/>
  <c r="P5" i="74" a="1"/>
  <c r="B11" i="71" a="1"/>
  <c r="K3" i="71" a="1"/>
  <c r="P11" i="71" a="1"/>
  <c r="P5" i="73" a="1"/>
  <c r="F11" i="73" a="1"/>
  <c r="B2" i="76" a="1"/>
  <c r="K2" i="74" a="1"/>
  <c r="P5" i="71" a="1"/>
  <c r="K10" i="73" a="1"/>
  <c r="F2" i="83" a="1"/>
  <c r="F3" i="86" a="1"/>
  <c r="K11" i="86" a="1"/>
  <c r="F4" i="86" a="1"/>
  <c r="B2" i="85" a="1"/>
  <c r="P6" i="85" a="1"/>
  <c r="B6" i="84" a="1"/>
  <c r="F5" i="84" a="1"/>
  <c r="B8" i="84" a="1"/>
  <c r="F3" i="83" a="1"/>
  <c r="B3" i="83" a="1"/>
  <c r="K6" i="82" a="1"/>
  <c r="B2" i="82" a="1"/>
  <c r="K10" i="82" a="1"/>
  <c r="B6" i="81" a="1"/>
  <c r="K5" i="81" a="1"/>
  <c r="B10" i="81" a="1"/>
  <c r="B5" i="80" a="1"/>
  <c r="P5" i="80" a="1"/>
  <c r="B3" i="79" a="1"/>
  <c r="F6" i="79" a="1"/>
  <c r="K4" i="79" a="1"/>
  <c r="K6" i="78" a="1"/>
  <c r="F11" i="78" a="1"/>
  <c r="K7" i="78" a="1"/>
  <c r="P4" i="77" a="1"/>
  <c r="B11" i="77" a="1"/>
  <c r="B6" i="75" a="1"/>
  <c r="B8" i="75" a="1"/>
  <c r="P11" i="75" a="1"/>
  <c r="P10" i="76" a="1"/>
  <c r="F10" i="76" a="1"/>
  <c r="F12" i="76"/>
  <c r="K9" i="86" a="1"/>
  <c r="F8" i="86" a="1"/>
  <c r="P8" i="85" a="1"/>
  <c r="F3" i="85" a="1"/>
  <c r="K8" i="85" a="1"/>
  <c r="F3" i="84" a="1"/>
  <c r="B5" i="84" a="1"/>
  <c r="P4" i="83" a="1"/>
  <c r="B5" i="83" a="1"/>
  <c r="F9" i="83" a="1"/>
  <c r="B6" i="82" a="1"/>
  <c r="K5" i="82" a="1"/>
  <c r="B10" i="82" a="1"/>
  <c r="K9" i="81" a="1"/>
  <c r="K12" i="81"/>
  <c r="P6" i="80" a="1"/>
  <c r="K10" i="80" a="1"/>
  <c r="B7" i="80" a="1"/>
  <c r="P9" i="79" a="1"/>
  <c r="K3" i="79" a="1"/>
  <c r="F5" i="79" a="1"/>
  <c r="B11" i="78" a="1"/>
  <c r="P5" i="78" a="1"/>
  <c r="K7" i="77" a="1"/>
  <c r="B9" i="77" a="1"/>
  <c r="P11" i="77" a="1"/>
  <c r="P12" i="75"/>
  <c r="F9" i="75" a="1"/>
  <c r="K9" i="76" a="1"/>
  <c r="F3" i="76" a="1"/>
  <c r="B10" i="76" a="1"/>
  <c r="P2" i="86" a="1"/>
  <c r="K12" i="86"/>
  <c r="K10" i="86" a="1"/>
  <c r="K6" i="85" a="1"/>
  <c r="B4" i="85" a="1"/>
  <c r="K10" i="85" a="1"/>
  <c r="B2" i="84" a="1"/>
  <c r="K8" i="86" a="1"/>
  <c r="B10" i="85" a="1"/>
  <c r="B11" i="83" a="1"/>
  <c r="P11" i="83" a="1"/>
  <c r="K4" i="82" a="1"/>
  <c r="K8" i="81" a="1"/>
  <c r="K4" i="80" a="1"/>
  <c r="F7" i="80" a="1"/>
  <c r="P12" i="79"/>
  <c r="F8" i="78" a="1"/>
  <c r="B3" i="77" a="1"/>
  <c r="K11" i="77" a="1"/>
  <c r="P9" i="75" a="1"/>
  <c r="K11" i="76" a="1"/>
  <c r="K11" i="74" a="1"/>
  <c r="B2" i="74" a="1"/>
  <c r="F4" i="74" a="1"/>
  <c r="F3" i="71" a="1"/>
  <c r="P10" i="71" a="1"/>
  <c r="P2" i="73" a="1"/>
  <c r="K6" i="73" a="1"/>
  <c r="B4" i="73" a="1"/>
  <c r="K12" i="76"/>
  <c r="P5" i="85" a="1"/>
  <c r="P7" i="83" a="1"/>
  <c r="F10" i="82" a="1"/>
  <c r="P4" i="80" a="1"/>
  <c r="K2" i="79" a="1"/>
  <c r="K6" i="77" a="1"/>
  <c r="K4" i="75" a="1"/>
  <c r="P4" i="86" a="1"/>
  <c r="K7" i="85" a="1"/>
  <c r="K5" i="83" a="1"/>
  <c r="P5" i="82" a="1"/>
  <c r="B2" i="80" a="1"/>
  <c r="B4" i="79" a="1"/>
  <c r="F3" i="77" a="1"/>
  <c r="K2" i="75" a="1"/>
  <c r="B7" i="86" a="1"/>
  <c r="B8" i="85" a="1"/>
  <c r="P11" i="84" a="1"/>
  <c r="F10" i="81" a="1"/>
  <c r="B7" i="78" a="1"/>
  <c r="F4" i="76" a="1"/>
  <c r="B4" i="71" a="1"/>
  <c r="B7" i="73" a="1"/>
  <c r="P4" i="71" a="1"/>
  <c r="K9" i="80" a="1"/>
  <c r="K6" i="74" a="1"/>
  <c r="K6" i="86" a="1"/>
  <c r="K11" i="84" a="1"/>
  <c r="P12" i="82"/>
  <c r="B9" i="81" a="1"/>
  <c r="P5" i="79" a="1"/>
  <c r="P8" i="77" a="1"/>
  <c r="F8" i="75" a="1"/>
  <c r="P4" i="74" a="1"/>
  <c r="B5" i="74" a="1"/>
  <c r="B3" i="71" a="1"/>
  <c r="K8" i="73" a="1"/>
  <c r="P12" i="76"/>
  <c r="B5" i="71" a="1"/>
  <c r="F4" i="82" a="1"/>
  <c r="P10" i="79" a="1"/>
  <c r="P6" i="75" a="1"/>
  <c r="K10" i="74" a="1"/>
  <c r="P4" i="73" a="1"/>
  <c r="K5" i="86" a="1"/>
  <c r="P9" i="84" a="1"/>
  <c r="K4" i="83" a="1"/>
  <c r="K8" i="83" a="1"/>
  <c r="B11" i="82" a="1"/>
  <c r="B2" i="81" a="1"/>
  <c r="B12" i="80"/>
  <c r="P10" i="80" a="1"/>
  <c r="F9" i="79" a="1"/>
  <c r="K8" i="78" a="1"/>
  <c r="P12" i="77"/>
  <c r="P7" i="75" a="1"/>
  <c r="B11" i="75" a="1"/>
  <c r="K4" i="71" a="1"/>
  <c r="P4" i="81" a="1"/>
  <c r="P4" i="79" a="1"/>
  <c r="K2" i="76" a="1"/>
  <c r="B7" i="71" a="1"/>
  <c r="F7" i="73" a="1"/>
  <c r="P4" i="85" a="1"/>
  <c r="B10" i="84" a="1"/>
  <c r="B3" i="82" a="1"/>
  <c r="K11" i="80" a="1"/>
  <c r="K12" i="77"/>
  <c r="P8" i="74" a="1"/>
  <c r="P3" i="73" a="1"/>
  <c r="F3" i="80" a="1"/>
  <c r="P3" i="74" a="1"/>
  <c r="B8" i="86" a="1"/>
  <c r="F9" i="78" a="1"/>
  <c r="P7" i="71" a="1"/>
  <c r="B11" i="84" a="1"/>
  <c r="P6" i="82" a="1"/>
  <c r="F5" i="75" a="1"/>
  <c r="P5" i="76" a="1"/>
  <c r="F4" i="81" a="1"/>
  <c r="F3" i="78" a="1"/>
  <c r="F6" i="85" a="1"/>
  <c r="F6" i="82" a="1"/>
  <c r="B10" i="74" a="1"/>
  <c r="B8" i="71" a="1"/>
  <c r="P2" i="77" a="1"/>
  <c r="P2" i="81" a="1"/>
  <c r="K11" i="78" a="1"/>
  <c r="P9" i="76" a="1"/>
  <c r="P8" i="73" a="1"/>
  <c r="F4" i="73" a="1"/>
  <c r="K10" i="75" a="1"/>
  <c r="B9" i="86" a="1"/>
  <c r="F8" i="82" a="1"/>
  <c r="P11" i="80" a="1"/>
  <c r="K9" i="79" a="1"/>
  <c r="P10" i="77" a="1"/>
  <c r="P10" i="83" a="1"/>
  <c r="P5" i="75" a="1"/>
  <c r="B7" i="85" a="1"/>
  <c r="B11" i="81" a="1"/>
  <c r="B9" i="76" a="1"/>
  <c r="P9" i="86" a="1"/>
  <c r="K5" i="85" a="1"/>
  <c r="B7" i="83" a="1"/>
  <c r="P10" i="82" a="1"/>
  <c r="P2" i="80" a="1"/>
  <c r="B9" i="79" a="1"/>
  <c r="B2" i="77" a="1"/>
  <c r="F7" i="75" a="1"/>
  <c r="B3" i="86" a="1"/>
  <c r="F11" i="85" a="1"/>
  <c r="F4" i="83" a="1"/>
  <c r="F9" i="81" a="1"/>
  <c r="B8" i="80" a="1"/>
  <c r="P9" i="78" a="1"/>
  <c r="K10" i="77" a="1"/>
  <c r="P4" i="76" a="1"/>
  <c r="P5" i="86" a="1"/>
  <c r="P8" i="84" a="1"/>
  <c r="K10" i="83" a="1"/>
  <c r="B6" i="80" a="1"/>
  <c r="P3" i="77" a="1"/>
  <c r="F3" i="74" a="1"/>
  <c r="F11" i="71" a="1"/>
  <c r="B7" i="74" a="1"/>
  <c r="P12" i="73"/>
  <c r="F6" i="80" a="1"/>
  <c r="K7" i="74" a="1"/>
  <c r="F2" i="86" a="1"/>
  <c r="K6" i="83" a="1"/>
  <c r="K12" i="82"/>
  <c r="B9" i="80" a="1"/>
  <c r="F7" i="79" a="1"/>
  <c r="F9" i="77" a="1"/>
  <c r="K8" i="75" a="1"/>
  <c r="B6" i="74" a="1"/>
  <c r="F10" i="74" a="1"/>
  <c r="K5" i="71" a="1"/>
  <c r="K9" i="73" a="1"/>
  <c r="P11" i="76" a="1"/>
  <c r="F5" i="71" a="1"/>
  <c r="K2" i="81" a="1"/>
  <c r="B2" i="78" a="1"/>
  <c r="F11" i="76" a="1"/>
  <c r="K7" i="71" a="1"/>
  <c r="F5" i="73" a="1"/>
  <c r="F7" i="86" a="1"/>
  <c r="F8" i="84" a="1"/>
  <c r="B10" i="83" a="1"/>
  <c r="P4" i="82" a="1"/>
  <c r="P8" i="82" a="1"/>
  <c r="P3" i="81" a="1"/>
  <c r="P9" i="80" a="1"/>
  <c r="F10" i="79" a="1"/>
  <c r="B7" i="79" a="1"/>
  <c r="P12" i="78"/>
  <c r="K3" i="77" a="1"/>
  <c r="F3" i="75" a="1"/>
  <c r="P6" i="74" a="1"/>
  <c r="P12" i="71"/>
  <c r="P8" i="81" a="1"/>
  <c r="B10" i="78" a="1"/>
  <c r="B11" i="76" a="1"/>
  <c r="K8" i="71" a="1"/>
  <c r="P3" i="86" a="1"/>
  <c r="F5" i="85" a="1"/>
  <c r="P2" i="83" a="1"/>
  <c r="P9" i="82" a="1"/>
  <c r="F11" i="79" a="1"/>
  <c r="K3" i="75" a="1"/>
  <c r="F2" i="74" a="1"/>
  <c r="K4" i="73" a="1"/>
  <c r="F6" i="84" a="1"/>
  <c r="K2" i="82" a="1"/>
  <c r="K10" i="81" a="1"/>
  <c r="F4" i="80" a="1"/>
  <c r="B8" i="78" a="1"/>
  <c r="K9" i="78" a="1"/>
  <c r="P2" i="75" a="1"/>
  <c r="K5" i="74" a="1"/>
  <c r="K4" i="77" a="1"/>
  <c r="P10" i="73" a="1"/>
  <c r="K10" i="84" a="1"/>
  <c r="B7" i="82" a="1"/>
  <c r="F8" i="76" a="1"/>
  <c r="B9" i="85" a="1"/>
  <c r="P5" i="81" a="1"/>
  <c r="P3" i="78" a="1"/>
  <c r="F2" i="85" a="1"/>
  <c r="F5" i="82" a="1"/>
  <c r="F3" i="79" a="1"/>
  <c r="F2" i="76" a="1"/>
  <c r="P11" i="86" a="1"/>
  <c r="F6" i="75" a="1"/>
  <c r="K7" i="83" a="1"/>
  <c r="P6" i="71" a="1"/>
  <c r="K9" i="83" a="1"/>
  <c r="P8" i="80" a="1"/>
  <c r="B3" i="74" a="1"/>
  <c r="B5" i="73" a="1"/>
  <c r="B8" i="74" a="1"/>
  <c r="F8" i="74" a="1"/>
  <c r="P7" i="85" a="1"/>
  <c r="K11" i="83" a="1"/>
  <c r="F3" i="81" a="1"/>
  <c r="K7" i="80" a="1"/>
  <c r="F4" i="77" a="1"/>
  <c r="K6" i="71" a="1"/>
  <c r="P2" i="79" a="1"/>
  <c r="K3" i="73" a="1"/>
  <c r="F9" i="82" a="1"/>
  <c r="P8" i="71" a="1"/>
  <c r="F11" i="86" a="1"/>
  <c r="K7" i="84" a="1"/>
  <c r="F7" i="83" a="1"/>
  <c r="F5" i="81" a="1"/>
  <c r="B10" i="80" a="1"/>
  <c r="B6" i="78" a="1"/>
  <c r="F10" i="77" a="1"/>
  <c r="B7" i="76" a="1"/>
  <c r="P10" i="86" a="1"/>
  <c r="P5" i="84" a="1"/>
  <c r="P6" i="83" a="1"/>
  <c r="P9" i="81" a="1"/>
  <c r="F5" i="80" a="1"/>
  <c r="K5" i="78" a="1"/>
  <c r="B4" i="77" a="1"/>
  <c r="P3" i="76" a="1"/>
  <c r="B4" i="86" a="1"/>
  <c r="K3" i="84" a="1"/>
  <c r="F2" i="82" a="1"/>
  <c r="B6" i="79" a="1"/>
  <c r="K7" i="75" a="1"/>
  <c r="F5" i="74" a="1"/>
  <c r="P6" i="73" a="1"/>
  <c r="P11" i="74" a="1"/>
  <c r="B11" i="73" a="1"/>
  <c r="B6" i="77" a="1"/>
  <c r="K9" i="71" a="1"/>
  <c r="F4" i="85" a="1"/>
  <c r="K3" i="83" a="1"/>
  <c r="B5" i="81" a="1"/>
  <c r="K6" i="80" a="1"/>
  <c r="P8" i="78" a="1"/>
  <c r="F11" i="77" a="1"/>
  <c r="K6" i="76" a="1"/>
  <c r="K9" i="74" a="1"/>
  <c r="P2" i="71" a="1"/>
  <c r="K11" i="71" a="1"/>
  <c r="F12" i="73"/>
  <c r="B4" i="74" a="1"/>
  <c r="F2" i="73" a="1"/>
  <c r="K5" i="80" a="1"/>
  <c r="F6" i="77" a="1"/>
  <c r="B9" i="74" a="1"/>
  <c r="F9" i="71" a="1"/>
  <c r="B10" i="73" a="1"/>
  <c r="K4" i="85" a="1"/>
  <c r="B8" i="83" a="1"/>
  <c r="K6" i="81" a="1"/>
  <c r="K11" i="79" a="1"/>
  <c r="P6" i="77" a="1"/>
  <c r="K12" i="73"/>
  <c r="B2" i="83" a="1"/>
  <c r="B6" i="73" a="1"/>
  <c r="P7" i="79" a="1"/>
  <c r="F11" i="84" a="1"/>
  <c r="F2" i="75" a="1"/>
  <c r="K5" i="79" a="1"/>
  <c r="K7" i="73" a="1"/>
  <c r="F7" i="84" a="1"/>
  <c r="F2" i="77" a="1"/>
  <c r="F4" i="71" a="1"/>
  <c r="B4" i="80" a="1"/>
  <c r="B2" i="71" a="1"/>
  <c r="P12" i="84"/>
  <c r="P10" i="78" a="1"/>
  <c r="F10" i="75" a="1"/>
  <c r="F11" i="74" a="1"/>
  <c r="P10" i="84" a="1"/>
  <c r="P6" i="78" a="1"/>
  <c r="F6" i="86" l="1"/>
  <c r="F4" i="86"/>
  <c r="F7" i="86"/>
  <c r="B4" i="86"/>
  <c r="B11" i="86"/>
  <c r="B10" i="86"/>
  <c r="K7" i="86"/>
  <c r="K10" i="86"/>
  <c r="P10" i="86"/>
  <c r="P8" i="86"/>
  <c r="P11" i="86"/>
  <c r="F10" i="86"/>
  <c r="F8" i="86"/>
  <c r="F11" i="86"/>
  <c r="B8" i="86"/>
  <c r="B5" i="86"/>
  <c r="K4" i="86"/>
  <c r="K11" i="86"/>
  <c r="K5" i="86"/>
  <c r="P5" i="86"/>
  <c r="P6" i="86"/>
  <c r="F5" i="86"/>
  <c r="F2" i="86"/>
  <c r="L12" i="86"/>
  <c r="O12" i="86"/>
  <c r="N12" i="86"/>
  <c r="M12" i="86"/>
  <c r="H12" i="86"/>
  <c r="G12" i="86"/>
  <c r="J12" i="86"/>
  <c r="I12" i="86"/>
  <c r="B3" i="86"/>
  <c r="B2" i="86"/>
  <c r="K8" i="86"/>
  <c r="K2" i="86"/>
  <c r="K9" i="86"/>
  <c r="P9" i="86"/>
  <c r="P3" i="86"/>
  <c r="F9" i="86"/>
  <c r="F3" i="86"/>
  <c r="B9" i="86"/>
  <c r="B7" i="86"/>
  <c r="B6" i="86"/>
  <c r="K3" i="86"/>
  <c r="K6" i="86"/>
  <c r="P2" i="86"/>
  <c r="P4" i="86"/>
  <c r="P7" i="86"/>
  <c r="K10" i="85"/>
  <c r="F11" i="85"/>
  <c r="P3" i="85"/>
  <c r="B10" i="85"/>
  <c r="K3" i="85"/>
  <c r="K8" i="85"/>
  <c r="K5" i="85"/>
  <c r="F5" i="85"/>
  <c r="F8" i="85"/>
  <c r="P10" i="85"/>
  <c r="P6" i="85"/>
  <c r="P7" i="85"/>
  <c r="B8" i="85"/>
  <c r="B5" i="85"/>
  <c r="L12" i="85"/>
  <c r="O12" i="85"/>
  <c r="M12" i="85"/>
  <c r="N12" i="85"/>
  <c r="F4" i="85"/>
  <c r="B4" i="85"/>
  <c r="K7" i="85"/>
  <c r="K2" i="85"/>
  <c r="K9" i="85"/>
  <c r="F9" i="85"/>
  <c r="F3" i="85"/>
  <c r="P5" i="85"/>
  <c r="P4" i="85"/>
  <c r="P11" i="85"/>
  <c r="B3" i="85"/>
  <c r="B2" i="85"/>
  <c r="K4" i="85"/>
  <c r="F6" i="85"/>
  <c r="P2" i="85"/>
  <c r="B11" i="85"/>
  <c r="K11" i="85"/>
  <c r="K6" i="85"/>
  <c r="F2" i="85"/>
  <c r="F10" i="85"/>
  <c r="F7" i="85"/>
  <c r="P9" i="85"/>
  <c r="P8" i="85"/>
  <c r="B9" i="85"/>
  <c r="B7" i="85"/>
  <c r="B6" i="85"/>
  <c r="L12" i="84"/>
  <c r="M12" i="84"/>
  <c r="N12" i="84"/>
  <c r="O12" i="84"/>
  <c r="K11" i="84"/>
  <c r="K4" i="84"/>
  <c r="B8" i="84"/>
  <c r="B7" i="84"/>
  <c r="B10" i="84"/>
  <c r="P2" i="84"/>
  <c r="P3" i="84"/>
  <c r="F6" i="84"/>
  <c r="F4" i="84"/>
  <c r="F11" i="84"/>
  <c r="K8" i="84"/>
  <c r="K2" i="84"/>
  <c r="K5" i="84"/>
  <c r="B5" i="84"/>
  <c r="B11" i="84"/>
  <c r="P10" i="84"/>
  <c r="P6" i="84"/>
  <c r="P7" i="84"/>
  <c r="F5" i="84"/>
  <c r="F8" i="84"/>
  <c r="K3" i="84"/>
  <c r="K6" i="84"/>
  <c r="K9" i="84"/>
  <c r="B9" i="84"/>
  <c r="B2" i="84"/>
  <c r="P5" i="84"/>
  <c r="P4" i="84"/>
  <c r="P11" i="84"/>
  <c r="F9" i="84"/>
  <c r="F3" i="84"/>
  <c r="K7" i="84"/>
  <c r="K10" i="84"/>
  <c r="B4" i="84"/>
  <c r="B3" i="84"/>
  <c r="B6" i="84"/>
  <c r="P9" i="84"/>
  <c r="P8" i="84"/>
  <c r="F2" i="84"/>
  <c r="F10" i="84"/>
  <c r="F7" i="84"/>
  <c r="L12" i="83"/>
  <c r="O12" i="83"/>
  <c r="N12" i="83"/>
  <c r="M12" i="83"/>
  <c r="AG12" i="83" s="1" a="1"/>
  <c r="AG12" i="83" s="1"/>
  <c r="K8" i="83"/>
  <c r="K9" i="83"/>
  <c r="P6" i="83"/>
  <c r="P8" i="83"/>
  <c r="P11" i="83"/>
  <c r="F2" i="83"/>
  <c r="F9" i="83"/>
  <c r="F7" i="83"/>
  <c r="K11" i="83"/>
  <c r="K3" i="83"/>
  <c r="B9" i="83"/>
  <c r="B3" i="83"/>
  <c r="B6" i="83"/>
  <c r="P10" i="83"/>
  <c r="P5" i="83"/>
  <c r="F5" i="83"/>
  <c r="B8" i="83"/>
  <c r="F6" i="83"/>
  <c r="F4" i="83"/>
  <c r="F11" i="83"/>
  <c r="K2" i="83"/>
  <c r="K7" i="83"/>
  <c r="B5" i="83"/>
  <c r="B7" i="83"/>
  <c r="B10" i="83"/>
  <c r="P9" i="83"/>
  <c r="P3" i="83"/>
  <c r="F3" i="83"/>
  <c r="K10" i="83"/>
  <c r="B2" i="83"/>
  <c r="F10" i="83"/>
  <c r="F8" i="83"/>
  <c r="K4" i="83"/>
  <c r="K6" i="83"/>
  <c r="K5" i="83"/>
  <c r="B4" i="83"/>
  <c r="B11" i="83"/>
  <c r="P2" i="83"/>
  <c r="P4" i="83"/>
  <c r="P7" i="83"/>
  <c r="B9" i="82"/>
  <c r="B7" i="82"/>
  <c r="B10" i="82"/>
  <c r="P10" i="82"/>
  <c r="P8" i="82"/>
  <c r="H12" i="82"/>
  <c r="G12" i="82"/>
  <c r="J12" i="82"/>
  <c r="I12" i="82"/>
  <c r="D12" i="82"/>
  <c r="C12" i="82"/>
  <c r="E12" i="82"/>
  <c r="K7" i="82"/>
  <c r="K10" i="82"/>
  <c r="F6" i="82"/>
  <c r="F4" i="82"/>
  <c r="F11" i="82"/>
  <c r="B4" i="82"/>
  <c r="B11" i="82"/>
  <c r="L12" i="82"/>
  <c r="AG12" i="82" s="1" a="1"/>
  <c r="AG12" i="82" s="1"/>
  <c r="O12" i="82"/>
  <c r="N12" i="82"/>
  <c r="M12" i="82"/>
  <c r="P5" i="82"/>
  <c r="P3" i="82"/>
  <c r="K4" i="82"/>
  <c r="K11" i="82"/>
  <c r="K5" i="82"/>
  <c r="F10" i="82"/>
  <c r="F8" i="82"/>
  <c r="B8" i="82"/>
  <c r="B2" i="82"/>
  <c r="P2" i="82"/>
  <c r="P9" i="82"/>
  <c r="P7" i="82"/>
  <c r="K8" i="82"/>
  <c r="K2" i="82"/>
  <c r="K9" i="82"/>
  <c r="F5" i="82"/>
  <c r="F3" i="82"/>
  <c r="B5" i="82"/>
  <c r="B3" i="82"/>
  <c r="B6" i="82"/>
  <c r="P6" i="82"/>
  <c r="P4" i="82"/>
  <c r="P11" i="82"/>
  <c r="K3" i="82"/>
  <c r="K6" i="82"/>
  <c r="F2" i="82"/>
  <c r="F9" i="82"/>
  <c r="F7" i="82"/>
  <c r="B9" i="81"/>
  <c r="B7" i="81"/>
  <c r="B10" i="81"/>
  <c r="P10" i="81"/>
  <c r="P8" i="81"/>
  <c r="H12" i="81"/>
  <c r="G12" i="81"/>
  <c r="J12" i="81"/>
  <c r="I12" i="81"/>
  <c r="D12" i="81"/>
  <c r="C12" i="81"/>
  <c r="E12" i="81"/>
  <c r="K7" i="81"/>
  <c r="K10" i="81"/>
  <c r="F6" i="81"/>
  <c r="F4" i="81"/>
  <c r="F11" i="81"/>
  <c r="B4" i="81"/>
  <c r="B11" i="81"/>
  <c r="L12" i="81"/>
  <c r="O12" i="81"/>
  <c r="AD12" i="81" s="1" a="1"/>
  <c r="AD12" i="81" s="1"/>
  <c r="N12" i="81"/>
  <c r="M12" i="81"/>
  <c r="P5" i="81"/>
  <c r="P3" i="81"/>
  <c r="K4" i="81"/>
  <c r="K11" i="81"/>
  <c r="K5" i="81"/>
  <c r="F10" i="81"/>
  <c r="F8" i="81"/>
  <c r="B8" i="81"/>
  <c r="B2" i="81"/>
  <c r="P2" i="81"/>
  <c r="P9" i="81"/>
  <c r="P7" i="81"/>
  <c r="K8" i="81"/>
  <c r="K2" i="81"/>
  <c r="K9" i="81"/>
  <c r="F5" i="81"/>
  <c r="F3" i="81"/>
  <c r="B5" i="81"/>
  <c r="B3" i="81"/>
  <c r="B6" i="81"/>
  <c r="P6" i="81"/>
  <c r="P4" i="81"/>
  <c r="P11" i="81"/>
  <c r="K3" i="81"/>
  <c r="K6" i="81"/>
  <c r="F2" i="81"/>
  <c r="F9" i="81"/>
  <c r="F7" i="81"/>
  <c r="F6" i="80"/>
  <c r="B3" i="80"/>
  <c r="K3" i="80"/>
  <c r="P10" i="80"/>
  <c r="P8" i="80"/>
  <c r="F5" i="80"/>
  <c r="F10" i="80"/>
  <c r="F7" i="80"/>
  <c r="B4" i="80"/>
  <c r="B7" i="80"/>
  <c r="B10" i="80"/>
  <c r="K7" i="80"/>
  <c r="K6" i="80"/>
  <c r="P5" i="80"/>
  <c r="P3" i="80"/>
  <c r="F3" i="80"/>
  <c r="K2" i="80"/>
  <c r="F9" i="80"/>
  <c r="F4" i="80"/>
  <c r="F11" i="80"/>
  <c r="B8" i="80"/>
  <c r="B11" i="80"/>
  <c r="L12" i="80"/>
  <c r="O12" i="80"/>
  <c r="M12" i="80"/>
  <c r="N12" i="80"/>
  <c r="K11" i="80"/>
  <c r="K10" i="80"/>
  <c r="P2" i="80"/>
  <c r="P9" i="80"/>
  <c r="P7" i="80"/>
  <c r="H12" i="80"/>
  <c r="G12" i="80"/>
  <c r="J12" i="80"/>
  <c r="I12" i="80"/>
  <c r="B5" i="80"/>
  <c r="B6" i="80"/>
  <c r="K9" i="80"/>
  <c r="F2" i="80"/>
  <c r="F8" i="80"/>
  <c r="D12" i="80"/>
  <c r="C12" i="80"/>
  <c r="E12" i="80"/>
  <c r="B9" i="80"/>
  <c r="B2" i="80"/>
  <c r="K8" i="80"/>
  <c r="K4" i="80"/>
  <c r="K5" i="80"/>
  <c r="P6" i="80"/>
  <c r="P4" i="80"/>
  <c r="P11" i="80"/>
  <c r="K10" i="79"/>
  <c r="P4" i="79"/>
  <c r="F5" i="79"/>
  <c r="B9" i="79"/>
  <c r="B7" i="79"/>
  <c r="B10" i="79"/>
  <c r="K8" i="79"/>
  <c r="K4" i="79"/>
  <c r="K5" i="79"/>
  <c r="P10" i="79"/>
  <c r="P8" i="79"/>
  <c r="F2" i="79"/>
  <c r="F9" i="79"/>
  <c r="F7" i="79"/>
  <c r="B4" i="79"/>
  <c r="B11" i="79"/>
  <c r="L12" i="79"/>
  <c r="O12" i="79"/>
  <c r="N12" i="79"/>
  <c r="M12" i="79"/>
  <c r="P11" i="79"/>
  <c r="K3" i="79"/>
  <c r="K2" i="79"/>
  <c r="K9" i="79"/>
  <c r="P5" i="79"/>
  <c r="P3" i="79"/>
  <c r="F6" i="79"/>
  <c r="F4" i="79"/>
  <c r="F11" i="79"/>
  <c r="B8" i="79"/>
  <c r="B2" i="79"/>
  <c r="K11" i="79"/>
  <c r="P6" i="79"/>
  <c r="F3" i="79"/>
  <c r="K7" i="79"/>
  <c r="K6" i="79"/>
  <c r="P2" i="79"/>
  <c r="P9" i="79"/>
  <c r="P7" i="79"/>
  <c r="F10" i="79"/>
  <c r="F8" i="79"/>
  <c r="B5" i="79"/>
  <c r="B3" i="79"/>
  <c r="B6" i="79"/>
  <c r="K7" i="78"/>
  <c r="F4" i="78"/>
  <c r="P6" i="78"/>
  <c r="K4" i="78"/>
  <c r="K2" i="78"/>
  <c r="K9" i="78"/>
  <c r="F5" i="78"/>
  <c r="F3" i="78"/>
  <c r="B5" i="78"/>
  <c r="B4" i="78"/>
  <c r="B10" i="78"/>
  <c r="P5" i="78"/>
  <c r="P3" i="78"/>
  <c r="L12" i="78"/>
  <c r="N12" i="78"/>
  <c r="M12" i="78"/>
  <c r="O12" i="78"/>
  <c r="K10" i="78"/>
  <c r="F6" i="78"/>
  <c r="F11" i="78"/>
  <c r="B7" i="78"/>
  <c r="B2" i="78"/>
  <c r="P4" i="78"/>
  <c r="P11" i="78"/>
  <c r="K8" i="78"/>
  <c r="K11" i="78"/>
  <c r="K5" i="78"/>
  <c r="F2" i="78"/>
  <c r="F8" i="78"/>
  <c r="B9" i="78"/>
  <c r="B11" i="78"/>
  <c r="B6" i="78"/>
  <c r="P10" i="78"/>
  <c r="P8" i="78"/>
  <c r="K3" i="78"/>
  <c r="K6" i="78"/>
  <c r="F10" i="78"/>
  <c r="F9" i="78"/>
  <c r="F7" i="78"/>
  <c r="B3" i="78"/>
  <c r="B8" i="78"/>
  <c r="P2" i="78"/>
  <c r="P9" i="78"/>
  <c r="P7" i="78"/>
  <c r="F2" i="77"/>
  <c r="B4" i="77"/>
  <c r="B10" i="77"/>
  <c r="K11" i="77"/>
  <c r="P2" i="77"/>
  <c r="P11" i="77"/>
  <c r="F10" i="77"/>
  <c r="F4" i="77"/>
  <c r="F11" i="77"/>
  <c r="B8" i="77"/>
  <c r="B11" i="77"/>
  <c r="K8" i="77"/>
  <c r="K4" i="77"/>
  <c r="K5" i="77"/>
  <c r="P9" i="77"/>
  <c r="P6" i="77"/>
  <c r="F7" i="77"/>
  <c r="K10" i="77"/>
  <c r="F5" i="77"/>
  <c r="F8" i="77"/>
  <c r="L12" i="77"/>
  <c r="O12" i="77"/>
  <c r="N12" i="77"/>
  <c r="M12" i="77"/>
  <c r="H12" i="77"/>
  <c r="G12" i="77"/>
  <c r="J12" i="77"/>
  <c r="I12" i="77"/>
  <c r="B9" i="77"/>
  <c r="B2" i="77"/>
  <c r="K3" i="77"/>
  <c r="K2" i="77"/>
  <c r="K9" i="77"/>
  <c r="P4" i="77"/>
  <c r="P3" i="77"/>
  <c r="F6" i="77"/>
  <c r="B7" i="77"/>
  <c r="P5" i="77"/>
  <c r="F9" i="77"/>
  <c r="F3" i="77"/>
  <c r="B5" i="77"/>
  <c r="B3" i="77"/>
  <c r="B6" i="77"/>
  <c r="K7" i="77"/>
  <c r="K6" i="77"/>
  <c r="P10" i="77"/>
  <c r="P8" i="77"/>
  <c r="P7" i="77"/>
  <c r="F7" i="75"/>
  <c r="B7" i="75"/>
  <c r="K11" i="75"/>
  <c r="P8" i="75"/>
  <c r="P11" i="75"/>
  <c r="F6" i="75"/>
  <c r="F4" i="75"/>
  <c r="F11" i="75"/>
  <c r="B4" i="75"/>
  <c r="B11" i="75"/>
  <c r="K8" i="75"/>
  <c r="K2" i="75"/>
  <c r="K5" i="75"/>
  <c r="P9" i="75"/>
  <c r="P6" i="75"/>
  <c r="F9" i="75"/>
  <c r="K4" i="75"/>
  <c r="F10" i="75"/>
  <c r="F8" i="75"/>
  <c r="L12" i="75"/>
  <c r="O12" i="75"/>
  <c r="N12" i="75"/>
  <c r="M12" i="75"/>
  <c r="AG12" i="75" s="1" a="1"/>
  <c r="AG12" i="75" s="1"/>
  <c r="H12" i="75"/>
  <c r="G12" i="75"/>
  <c r="J12" i="75"/>
  <c r="I12" i="75"/>
  <c r="B8" i="75"/>
  <c r="B2" i="75"/>
  <c r="K3" i="75"/>
  <c r="K6" i="75"/>
  <c r="K9" i="75"/>
  <c r="P2" i="75"/>
  <c r="P3" i="75"/>
  <c r="F2" i="75"/>
  <c r="B9" i="75"/>
  <c r="B10" i="75"/>
  <c r="P5" i="75"/>
  <c r="F5" i="75"/>
  <c r="F3" i="75"/>
  <c r="B5" i="75"/>
  <c r="B3" i="75"/>
  <c r="B6" i="75"/>
  <c r="K7" i="75"/>
  <c r="K10" i="75"/>
  <c r="P10" i="75"/>
  <c r="P4" i="75"/>
  <c r="P7" i="75"/>
  <c r="H12" i="76"/>
  <c r="G12" i="76"/>
  <c r="J12" i="76"/>
  <c r="I12" i="76"/>
  <c r="F5" i="76"/>
  <c r="B9" i="76"/>
  <c r="B6" i="76"/>
  <c r="P2" i="76"/>
  <c r="P11" i="76"/>
  <c r="K3" i="76"/>
  <c r="F2" i="76"/>
  <c r="F7" i="76"/>
  <c r="B5" i="76"/>
  <c r="B11" i="76"/>
  <c r="B10" i="76"/>
  <c r="P5" i="76"/>
  <c r="L12" i="76"/>
  <c r="O12" i="76"/>
  <c r="N12" i="76"/>
  <c r="M12" i="76"/>
  <c r="K7" i="76"/>
  <c r="K10" i="76"/>
  <c r="F10" i="76"/>
  <c r="F4" i="76"/>
  <c r="F11" i="76"/>
  <c r="B8" i="76"/>
  <c r="B4" i="76"/>
  <c r="P9" i="76"/>
  <c r="P3" i="76"/>
  <c r="K8" i="76"/>
  <c r="K11" i="76"/>
  <c r="K5" i="76"/>
  <c r="F3" i="76"/>
  <c r="B7" i="76"/>
  <c r="P8" i="76"/>
  <c r="K6" i="76"/>
  <c r="F9" i="76"/>
  <c r="P10" i="76"/>
  <c r="F6" i="76"/>
  <c r="F8" i="76"/>
  <c r="D12" i="76"/>
  <c r="C12" i="76"/>
  <c r="E12" i="76"/>
  <c r="B3" i="76"/>
  <c r="B2" i="76"/>
  <c r="P6" i="76"/>
  <c r="P4" i="76"/>
  <c r="P7" i="76"/>
  <c r="K4" i="76"/>
  <c r="K2" i="76"/>
  <c r="K9" i="76"/>
  <c r="F7" i="74"/>
  <c r="B10" i="74"/>
  <c r="K10" i="74"/>
  <c r="P11" i="74"/>
  <c r="F10" i="74"/>
  <c r="F4" i="74"/>
  <c r="F11" i="74"/>
  <c r="B8" i="74"/>
  <c r="B5" i="74"/>
  <c r="K3" i="74"/>
  <c r="K8" i="74"/>
  <c r="K5" i="74"/>
  <c r="P5" i="74"/>
  <c r="P2" i="74"/>
  <c r="F2" i="74"/>
  <c r="B4" i="74"/>
  <c r="P10" i="74"/>
  <c r="F5" i="74"/>
  <c r="F8" i="74"/>
  <c r="L12" i="74"/>
  <c r="O12" i="74"/>
  <c r="N12" i="74"/>
  <c r="M12" i="74"/>
  <c r="H12" i="74"/>
  <c r="G12" i="74"/>
  <c r="J12" i="74"/>
  <c r="I12" i="74"/>
  <c r="B3" i="74"/>
  <c r="B2" i="74"/>
  <c r="K7" i="74"/>
  <c r="K2" i="74"/>
  <c r="K9" i="74"/>
  <c r="P9" i="74"/>
  <c r="P3" i="74"/>
  <c r="F6" i="74"/>
  <c r="B11" i="74"/>
  <c r="K4" i="74"/>
  <c r="P8" i="74"/>
  <c r="F9" i="74"/>
  <c r="F3" i="74"/>
  <c r="B9" i="74"/>
  <c r="B7" i="74"/>
  <c r="B6" i="74"/>
  <c r="K11" i="74"/>
  <c r="K6" i="74"/>
  <c r="P6" i="74"/>
  <c r="P4" i="74"/>
  <c r="P7" i="74"/>
  <c r="L12" i="71"/>
  <c r="O12" i="71"/>
  <c r="N12" i="71"/>
  <c r="M12" i="71"/>
  <c r="K11" i="71"/>
  <c r="K10" i="71"/>
  <c r="P6" i="71"/>
  <c r="P4" i="71"/>
  <c r="P11" i="71"/>
  <c r="B9" i="71"/>
  <c r="B2" i="71"/>
  <c r="F5" i="71"/>
  <c r="F2" i="71"/>
  <c r="F11" i="71"/>
  <c r="K8" i="71"/>
  <c r="K4" i="71"/>
  <c r="K5" i="71"/>
  <c r="P10" i="71"/>
  <c r="P8" i="71"/>
  <c r="B5" i="71"/>
  <c r="B3" i="71"/>
  <c r="B6" i="71"/>
  <c r="F9" i="71"/>
  <c r="F6" i="71"/>
  <c r="K3" i="71"/>
  <c r="K2" i="71"/>
  <c r="K9" i="71"/>
  <c r="P5" i="71"/>
  <c r="P3" i="71"/>
  <c r="B4" i="71"/>
  <c r="B7" i="71"/>
  <c r="B10" i="71"/>
  <c r="F4" i="71"/>
  <c r="F3" i="71"/>
  <c r="K7" i="71"/>
  <c r="K6" i="71"/>
  <c r="P2" i="71"/>
  <c r="P9" i="71"/>
  <c r="P7" i="71"/>
  <c r="B8" i="71"/>
  <c r="B11" i="71"/>
  <c r="F10" i="71"/>
  <c r="F8" i="71"/>
  <c r="F7" i="71"/>
  <c r="P5" i="73"/>
  <c r="P7" i="73"/>
  <c r="P4" i="73"/>
  <c r="P9" i="73"/>
  <c r="P6" i="73"/>
  <c r="P3" i="73"/>
  <c r="P11" i="73"/>
  <c r="P8" i="73"/>
  <c r="P2" i="73"/>
  <c r="P10" i="73"/>
  <c r="K7" i="73"/>
  <c r="K4" i="73"/>
  <c r="K9" i="73"/>
  <c r="K6" i="73"/>
  <c r="K3" i="73"/>
  <c r="K11" i="73"/>
  <c r="K8" i="73"/>
  <c r="K5" i="73"/>
  <c r="K2" i="73"/>
  <c r="K10" i="73"/>
  <c r="F7" i="73"/>
  <c r="F4" i="73"/>
  <c r="D12" i="73"/>
  <c r="E12" i="73"/>
  <c r="C12" i="73"/>
  <c r="F9" i="73"/>
  <c r="F6" i="73"/>
  <c r="F3" i="73"/>
  <c r="F11" i="73"/>
  <c r="F8" i="73"/>
  <c r="F5" i="73"/>
  <c r="F2" i="73"/>
  <c r="F10" i="73"/>
  <c r="B10" i="73"/>
  <c r="B9" i="73"/>
  <c r="B8" i="73"/>
  <c r="B7" i="73"/>
  <c r="B6" i="73"/>
  <c r="B11" i="73"/>
  <c r="B5" i="73"/>
  <c r="B4" i="73"/>
  <c r="O12" i="73"/>
  <c r="N12" i="73"/>
  <c r="M12" i="73"/>
  <c r="L12" i="73"/>
  <c r="J12" i="73"/>
  <c r="G12" i="73"/>
  <c r="I12" i="73"/>
  <c r="H12" i="73"/>
  <c r="I3" i="86" l="1"/>
  <c r="J3" i="86"/>
  <c r="H3" i="86"/>
  <c r="G3" i="86"/>
  <c r="N9" i="86"/>
  <c r="M9" i="86"/>
  <c r="L9" i="86"/>
  <c r="O9" i="86"/>
  <c r="C4" i="86"/>
  <c r="D4" i="86"/>
  <c r="E4" i="86"/>
  <c r="E6" i="86"/>
  <c r="D6" i="86"/>
  <c r="C6" i="86"/>
  <c r="G9" i="86"/>
  <c r="J9" i="86"/>
  <c r="I9" i="86"/>
  <c r="H9" i="86"/>
  <c r="O2" i="86"/>
  <c r="N2" i="86"/>
  <c r="L2" i="86"/>
  <c r="M2" i="86"/>
  <c r="H2" i="86"/>
  <c r="I2" i="86"/>
  <c r="G2" i="86"/>
  <c r="J2" i="86"/>
  <c r="N5" i="86"/>
  <c r="O5" i="86"/>
  <c r="M5" i="86"/>
  <c r="L5" i="86"/>
  <c r="C8" i="86"/>
  <c r="D8" i="86"/>
  <c r="E8" i="86"/>
  <c r="L7" i="86"/>
  <c r="M7" i="86"/>
  <c r="O7" i="86"/>
  <c r="N7" i="86"/>
  <c r="I7" i="86"/>
  <c r="H7" i="86"/>
  <c r="G7" i="86"/>
  <c r="J7" i="86"/>
  <c r="D5" i="86"/>
  <c r="C5" i="86"/>
  <c r="E5" i="86"/>
  <c r="H10" i="86"/>
  <c r="G10" i="86"/>
  <c r="J10" i="86"/>
  <c r="I10" i="86"/>
  <c r="E7" i="86"/>
  <c r="D7" i="86"/>
  <c r="C7" i="86"/>
  <c r="M8" i="86"/>
  <c r="N8" i="86"/>
  <c r="L8" i="86"/>
  <c r="O8" i="86"/>
  <c r="G5" i="86"/>
  <c r="H5" i="86"/>
  <c r="J5" i="86"/>
  <c r="I5" i="86"/>
  <c r="L11" i="86"/>
  <c r="O11" i="86"/>
  <c r="N11" i="86"/>
  <c r="M11" i="86"/>
  <c r="I11" i="86"/>
  <c r="H11" i="86"/>
  <c r="G11" i="86"/>
  <c r="J11" i="86"/>
  <c r="E10" i="86"/>
  <c r="D10" i="86"/>
  <c r="C10" i="86"/>
  <c r="J4" i="86"/>
  <c r="I4" i="86"/>
  <c r="G4" i="86"/>
  <c r="H4" i="86"/>
  <c r="L3" i="86"/>
  <c r="O3" i="86"/>
  <c r="N3" i="86"/>
  <c r="M3" i="86"/>
  <c r="C3" i="86"/>
  <c r="E3" i="86"/>
  <c r="D3" i="86"/>
  <c r="O10" i="86"/>
  <c r="N10" i="86"/>
  <c r="M10" i="86"/>
  <c r="L10" i="86"/>
  <c r="O6" i="86"/>
  <c r="N6" i="86"/>
  <c r="M6" i="86"/>
  <c r="L6" i="86"/>
  <c r="D9" i="86"/>
  <c r="C9" i="86"/>
  <c r="E9" i="86"/>
  <c r="E2" i="86"/>
  <c r="D2" i="86"/>
  <c r="C2" i="86"/>
  <c r="M4" i="86"/>
  <c r="L4" i="86"/>
  <c r="O4" i="86"/>
  <c r="N4" i="86"/>
  <c r="J8" i="86"/>
  <c r="G8" i="86"/>
  <c r="I8" i="86"/>
  <c r="H8" i="86"/>
  <c r="E11" i="86"/>
  <c r="D11" i="86"/>
  <c r="C11" i="86"/>
  <c r="H6" i="86"/>
  <c r="G6" i="86"/>
  <c r="J6" i="86"/>
  <c r="I6" i="86"/>
  <c r="E10" i="85"/>
  <c r="D10" i="85"/>
  <c r="C10" i="85"/>
  <c r="E7" i="85"/>
  <c r="D7" i="85"/>
  <c r="C7" i="85"/>
  <c r="I7" i="85"/>
  <c r="H7" i="85"/>
  <c r="G7" i="85"/>
  <c r="J7" i="85"/>
  <c r="L11" i="85"/>
  <c r="O11" i="85"/>
  <c r="N11" i="85"/>
  <c r="M11" i="85"/>
  <c r="M4" i="85"/>
  <c r="L4" i="85"/>
  <c r="O4" i="85"/>
  <c r="N4" i="85"/>
  <c r="N9" i="85"/>
  <c r="M9" i="85"/>
  <c r="O9" i="85"/>
  <c r="L9" i="85"/>
  <c r="J4" i="85"/>
  <c r="I4" i="85"/>
  <c r="H4" i="85"/>
  <c r="G4" i="85"/>
  <c r="N5" i="85"/>
  <c r="O5" i="85"/>
  <c r="M5" i="85"/>
  <c r="L5" i="85"/>
  <c r="D9" i="85"/>
  <c r="C9" i="85"/>
  <c r="E9" i="85"/>
  <c r="H10" i="85"/>
  <c r="G10" i="85"/>
  <c r="I10" i="85"/>
  <c r="J10" i="85"/>
  <c r="E11" i="85"/>
  <c r="C11" i="85"/>
  <c r="D11" i="85"/>
  <c r="E2" i="85"/>
  <c r="D2" i="85"/>
  <c r="C2" i="85"/>
  <c r="O2" i="85"/>
  <c r="N2" i="85"/>
  <c r="M2" i="85"/>
  <c r="L2" i="85"/>
  <c r="D5" i="85"/>
  <c r="E5" i="85"/>
  <c r="C5" i="85"/>
  <c r="M8" i="85"/>
  <c r="L8" i="85"/>
  <c r="N8" i="85"/>
  <c r="O8" i="85"/>
  <c r="I11" i="85"/>
  <c r="H11" i="85"/>
  <c r="J11" i="85"/>
  <c r="G11" i="85"/>
  <c r="E6" i="85"/>
  <c r="D6" i="85"/>
  <c r="C6" i="85"/>
  <c r="O6" i="85"/>
  <c r="L6" i="85"/>
  <c r="N6" i="85"/>
  <c r="M6" i="85"/>
  <c r="H6" i="85"/>
  <c r="G6" i="85"/>
  <c r="J6" i="85"/>
  <c r="I6" i="85"/>
  <c r="G9" i="85"/>
  <c r="J9" i="85"/>
  <c r="I9" i="85"/>
  <c r="H9" i="85"/>
  <c r="C4" i="85"/>
  <c r="E4" i="85"/>
  <c r="D4" i="85"/>
  <c r="G5" i="85"/>
  <c r="J5" i="85"/>
  <c r="H5" i="85"/>
  <c r="I5" i="85"/>
  <c r="H2" i="85"/>
  <c r="I2" i="85"/>
  <c r="G2" i="85"/>
  <c r="J2" i="85"/>
  <c r="E3" i="85"/>
  <c r="D3" i="85"/>
  <c r="C3" i="85"/>
  <c r="I3" i="85"/>
  <c r="H3" i="85"/>
  <c r="G3" i="85"/>
  <c r="J3" i="85"/>
  <c r="L7" i="85"/>
  <c r="O7" i="85"/>
  <c r="M7" i="85"/>
  <c r="N7" i="85"/>
  <c r="C8" i="85"/>
  <c r="D8" i="85"/>
  <c r="E8" i="85"/>
  <c r="J8" i="85"/>
  <c r="I8" i="85"/>
  <c r="H8" i="85"/>
  <c r="G8" i="85"/>
  <c r="L3" i="85"/>
  <c r="O3" i="85"/>
  <c r="N3" i="85"/>
  <c r="M3" i="85"/>
  <c r="O10" i="85"/>
  <c r="N10" i="85"/>
  <c r="L10" i="85"/>
  <c r="M10" i="85"/>
  <c r="R12" i="81" a="1"/>
  <c r="R12" i="81" s="1"/>
  <c r="H10" i="84"/>
  <c r="G10" i="84"/>
  <c r="I10" i="84"/>
  <c r="J10" i="84"/>
  <c r="E6" i="84"/>
  <c r="D6" i="84"/>
  <c r="C6" i="84"/>
  <c r="L7" i="84"/>
  <c r="M7" i="84"/>
  <c r="O7" i="84"/>
  <c r="N7" i="84"/>
  <c r="N9" i="84"/>
  <c r="M9" i="84"/>
  <c r="L9" i="84"/>
  <c r="O9" i="84"/>
  <c r="G5" i="84"/>
  <c r="H5" i="84"/>
  <c r="J5" i="84"/>
  <c r="I5" i="84"/>
  <c r="E11" i="84"/>
  <c r="C11" i="84"/>
  <c r="D11" i="84"/>
  <c r="M8" i="84"/>
  <c r="L8" i="84"/>
  <c r="O8" i="84"/>
  <c r="N8" i="84"/>
  <c r="C8" i="84"/>
  <c r="E8" i="84"/>
  <c r="D8" i="84"/>
  <c r="H6" i="84"/>
  <c r="G6" i="84"/>
  <c r="J6" i="84"/>
  <c r="I6" i="84"/>
  <c r="H2" i="84"/>
  <c r="I2" i="84"/>
  <c r="G2" i="84"/>
  <c r="J2" i="84"/>
  <c r="E3" i="84"/>
  <c r="D3" i="84"/>
  <c r="C3" i="84"/>
  <c r="I3" i="84"/>
  <c r="H3" i="84"/>
  <c r="J3" i="84"/>
  <c r="G3" i="84"/>
  <c r="O6" i="84"/>
  <c r="N6" i="84"/>
  <c r="M6" i="84"/>
  <c r="L6" i="84"/>
  <c r="D5" i="84"/>
  <c r="C5" i="84"/>
  <c r="E5" i="84"/>
  <c r="I11" i="84"/>
  <c r="H11" i="84"/>
  <c r="J11" i="84"/>
  <c r="G11" i="84"/>
  <c r="M4" i="84"/>
  <c r="L4" i="84"/>
  <c r="O4" i="84"/>
  <c r="N4" i="84"/>
  <c r="I7" i="84"/>
  <c r="H7" i="84"/>
  <c r="J7" i="84"/>
  <c r="G7" i="84"/>
  <c r="O10" i="84"/>
  <c r="N10" i="84"/>
  <c r="L10" i="84"/>
  <c r="M10" i="84"/>
  <c r="D9" i="84"/>
  <c r="C9" i="84"/>
  <c r="E9" i="84"/>
  <c r="J8" i="84"/>
  <c r="I8" i="84"/>
  <c r="G8" i="84"/>
  <c r="H8" i="84"/>
  <c r="O2" i="84"/>
  <c r="N2" i="84"/>
  <c r="M2" i="84"/>
  <c r="L2" i="84"/>
  <c r="E7" i="84"/>
  <c r="D7" i="84"/>
  <c r="C7" i="84"/>
  <c r="V12" i="82" a="1"/>
  <c r="V12" i="82" s="1"/>
  <c r="C4" i="84"/>
  <c r="D4" i="84"/>
  <c r="E4" i="84"/>
  <c r="G9" i="84"/>
  <c r="J9" i="84"/>
  <c r="H9" i="84"/>
  <c r="I9" i="84"/>
  <c r="E2" i="84"/>
  <c r="D2" i="84"/>
  <c r="C2" i="84"/>
  <c r="L3" i="84"/>
  <c r="O3" i="84"/>
  <c r="N3" i="84"/>
  <c r="M3" i="84"/>
  <c r="N5" i="84"/>
  <c r="M5" i="84"/>
  <c r="O5" i="84"/>
  <c r="L5" i="84"/>
  <c r="J4" i="84"/>
  <c r="I4" i="84"/>
  <c r="H4" i="84"/>
  <c r="G4" i="84"/>
  <c r="E10" i="84"/>
  <c r="D10" i="84"/>
  <c r="C10" i="84"/>
  <c r="L11" i="84"/>
  <c r="O11" i="84"/>
  <c r="N11" i="84"/>
  <c r="M11" i="84"/>
  <c r="S12" i="82" a="1"/>
  <c r="S12" i="82" s="1"/>
  <c r="AA12" i="83" a="1"/>
  <c r="AA12" i="83" s="1"/>
  <c r="AD12" i="83" a="1"/>
  <c r="AD12" i="83" s="1"/>
  <c r="Q12" i="83" a="1"/>
  <c r="Q12" i="83" s="1"/>
  <c r="AJ12" i="82" a="1"/>
  <c r="AJ12" i="82" s="1"/>
  <c r="C4" i="83"/>
  <c r="E4" i="83"/>
  <c r="D4" i="83"/>
  <c r="J8" i="83"/>
  <c r="H8" i="83"/>
  <c r="I8" i="83"/>
  <c r="G8" i="83"/>
  <c r="I3" i="83"/>
  <c r="H3" i="83"/>
  <c r="G3" i="83"/>
  <c r="J3" i="83"/>
  <c r="E7" i="83"/>
  <c r="D7" i="83"/>
  <c r="C7" i="83"/>
  <c r="I11" i="83"/>
  <c r="H11" i="83"/>
  <c r="G11" i="83"/>
  <c r="J11" i="83"/>
  <c r="G5" i="83"/>
  <c r="J5" i="83"/>
  <c r="I5" i="83"/>
  <c r="H5" i="83"/>
  <c r="D3" i="83"/>
  <c r="E3" i="83"/>
  <c r="C3" i="83"/>
  <c r="V12" i="81" a="1"/>
  <c r="V12" i="81" s="1"/>
  <c r="Y12" i="82" a="1"/>
  <c r="Y12" i="82" s="1"/>
  <c r="X12" i="83" a="1"/>
  <c r="X12" i="83" s="1"/>
  <c r="V12" i="83" a="1"/>
  <c r="V12" i="83" s="1"/>
  <c r="Z12" i="83" a="1"/>
  <c r="Z12" i="83" s="1"/>
  <c r="AI12" i="83" a="1"/>
  <c r="AI12" i="83" s="1"/>
  <c r="T12" i="83" a="1"/>
  <c r="T12" i="83" s="1"/>
  <c r="AJ12" i="83" a="1"/>
  <c r="AJ12" i="83" s="1"/>
  <c r="AF12" i="81" a="1"/>
  <c r="AF12" i="81" s="1"/>
  <c r="N5" i="83"/>
  <c r="M5" i="83"/>
  <c r="L5" i="83"/>
  <c r="O5" i="83"/>
  <c r="H10" i="83"/>
  <c r="G10" i="83"/>
  <c r="J10" i="83"/>
  <c r="I10" i="83"/>
  <c r="D5" i="83"/>
  <c r="C5" i="83"/>
  <c r="E5" i="83"/>
  <c r="J4" i="83"/>
  <c r="I4" i="83"/>
  <c r="H4" i="83"/>
  <c r="G4" i="83"/>
  <c r="D9" i="83"/>
  <c r="C9" i="83"/>
  <c r="E9" i="83"/>
  <c r="G9" i="83"/>
  <c r="J9" i="83"/>
  <c r="I9" i="83"/>
  <c r="H9" i="83"/>
  <c r="I7" i="83"/>
  <c r="H7" i="83"/>
  <c r="G7" i="83"/>
  <c r="J7" i="83"/>
  <c r="AJ12" i="81" a="1"/>
  <c r="AJ12" i="81" s="1"/>
  <c r="AE12" i="83" a="1"/>
  <c r="AE12" i="83" s="1"/>
  <c r="S12" i="83" a="1"/>
  <c r="S12" i="83" s="1"/>
  <c r="AH12" i="83" a="1"/>
  <c r="AH12" i="83" s="1"/>
  <c r="O6" i="83"/>
  <c r="N6" i="83"/>
  <c r="M6" i="83"/>
  <c r="L6" i="83"/>
  <c r="E2" i="83"/>
  <c r="D2" i="83"/>
  <c r="C2" i="83"/>
  <c r="L7" i="83"/>
  <c r="N7" i="83"/>
  <c r="O7" i="83"/>
  <c r="M7" i="83"/>
  <c r="H6" i="83"/>
  <c r="G6" i="83"/>
  <c r="J6" i="83"/>
  <c r="I6" i="83"/>
  <c r="L3" i="83"/>
  <c r="N3" i="83"/>
  <c r="O3" i="83"/>
  <c r="M3" i="83"/>
  <c r="H2" i="83"/>
  <c r="J2" i="83"/>
  <c r="G2" i="83"/>
  <c r="I2" i="83"/>
  <c r="N9" i="83"/>
  <c r="L9" i="83"/>
  <c r="M9" i="83"/>
  <c r="O9" i="83"/>
  <c r="R12" i="82" a="1"/>
  <c r="R12" i="82" s="1"/>
  <c r="AC12" i="83" a="1"/>
  <c r="AC12" i="83" s="1"/>
  <c r="Y12" i="83" a="1"/>
  <c r="Y12" i="83" s="1"/>
  <c r="R12" i="83" a="1"/>
  <c r="R12" i="83" s="1"/>
  <c r="Y12" i="81" a="1"/>
  <c r="Y12" i="81" s="1"/>
  <c r="AE12" i="82" a="1"/>
  <c r="AE12" i="82" s="1"/>
  <c r="W12" i="83" a="1"/>
  <c r="W12" i="83" s="1"/>
  <c r="U12" i="83" a="1"/>
  <c r="U12" i="83" s="1"/>
  <c r="AF12" i="83" a="1"/>
  <c r="AF12" i="83" s="1"/>
  <c r="AB12" i="83" a="1"/>
  <c r="AB12" i="83" s="1"/>
  <c r="E11" i="83"/>
  <c r="D11" i="83"/>
  <c r="C11" i="83"/>
  <c r="M4" i="83"/>
  <c r="O4" i="83"/>
  <c r="L4" i="83"/>
  <c r="N4" i="83"/>
  <c r="O10" i="83"/>
  <c r="N10" i="83"/>
  <c r="M10" i="83"/>
  <c r="L10" i="83"/>
  <c r="E10" i="83"/>
  <c r="D10" i="83"/>
  <c r="C10" i="83"/>
  <c r="O2" i="83"/>
  <c r="N2" i="83"/>
  <c r="M2" i="83"/>
  <c r="L2" i="83"/>
  <c r="C8" i="83"/>
  <c r="E8" i="83"/>
  <c r="D8" i="83"/>
  <c r="E6" i="83"/>
  <c r="D6" i="83"/>
  <c r="C6" i="83"/>
  <c r="L11" i="83"/>
  <c r="O11" i="83"/>
  <c r="N11" i="83"/>
  <c r="M11" i="83"/>
  <c r="M8" i="83"/>
  <c r="O8" i="83"/>
  <c r="L8" i="83"/>
  <c r="N8" i="83"/>
  <c r="E6" i="82"/>
  <c r="D6" i="82"/>
  <c r="C6" i="82"/>
  <c r="E11" i="82"/>
  <c r="D11" i="82"/>
  <c r="C11" i="82"/>
  <c r="H6" i="82"/>
  <c r="G6" i="82"/>
  <c r="J6" i="82"/>
  <c r="I6" i="82"/>
  <c r="O6" i="82"/>
  <c r="N6" i="82"/>
  <c r="M6" i="82"/>
  <c r="L6" i="82"/>
  <c r="I3" i="82"/>
  <c r="H3" i="82"/>
  <c r="G3" i="82"/>
  <c r="J3" i="82"/>
  <c r="M8" i="82"/>
  <c r="L8" i="82"/>
  <c r="O8" i="82"/>
  <c r="N8" i="82"/>
  <c r="E2" i="82"/>
  <c r="D2" i="82"/>
  <c r="C2" i="82"/>
  <c r="N5" i="82"/>
  <c r="M5" i="82"/>
  <c r="L5" i="82"/>
  <c r="O5" i="82"/>
  <c r="J4" i="82"/>
  <c r="I4" i="82"/>
  <c r="H4" i="82"/>
  <c r="G4" i="82"/>
  <c r="AB12" i="81" a="1"/>
  <c r="AB12" i="81" s="1"/>
  <c r="AE12" i="81" a="1"/>
  <c r="AE12" i="81" s="1"/>
  <c r="W12" i="82" a="1"/>
  <c r="W12" i="82" s="1"/>
  <c r="AB12" i="82" a="1"/>
  <c r="AB12" i="82" s="1"/>
  <c r="I7" i="82"/>
  <c r="H7" i="82"/>
  <c r="G7" i="82"/>
  <c r="J7" i="82"/>
  <c r="L3" i="82"/>
  <c r="O3" i="82"/>
  <c r="N3" i="82"/>
  <c r="M3" i="82"/>
  <c r="G5" i="82"/>
  <c r="J5" i="82"/>
  <c r="I5" i="82"/>
  <c r="H5" i="82"/>
  <c r="C8" i="82"/>
  <c r="E8" i="82"/>
  <c r="D8" i="82"/>
  <c r="L11" i="82"/>
  <c r="O11" i="82"/>
  <c r="N11" i="82"/>
  <c r="M11" i="82"/>
  <c r="E10" i="82"/>
  <c r="D10" i="82"/>
  <c r="C10" i="82"/>
  <c r="AA12" i="81" a="1"/>
  <c r="AA12" i="81" s="1"/>
  <c r="T12" i="81" a="1"/>
  <c r="T12" i="81" s="1"/>
  <c r="AH12" i="81" a="1"/>
  <c r="AH12" i="81" s="1"/>
  <c r="W12" i="81" a="1"/>
  <c r="W12" i="81" s="1"/>
  <c r="AH12" i="82" a="1"/>
  <c r="AH12" i="82" s="1"/>
  <c r="U12" i="82" a="1"/>
  <c r="U12" i="82" s="1"/>
  <c r="AF12" i="82" a="1"/>
  <c r="AF12" i="82" s="1"/>
  <c r="AI12" i="82" a="1"/>
  <c r="AI12" i="82" s="1"/>
  <c r="AC12" i="81" a="1"/>
  <c r="AC12" i="81" s="1"/>
  <c r="G9" i="82"/>
  <c r="J9" i="82"/>
  <c r="I9" i="82"/>
  <c r="H9" i="82"/>
  <c r="E3" i="82"/>
  <c r="D3" i="82"/>
  <c r="C3" i="82"/>
  <c r="N9" i="82"/>
  <c r="M9" i="82"/>
  <c r="L9" i="82"/>
  <c r="O9" i="82"/>
  <c r="J8" i="82"/>
  <c r="I8" i="82"/>
  <c r="H8" i="82"/>
  <c r="G8" i="82"/>
  <c r="M4" i="82"/>
  <c r="L4" i="82"/>
  <c r="O4" i="82"/>
  <c r="N4" i="82"/>
  <c r="C4" i="82"/>
  <c r="E4" i="82"/>
  <c r="D4" i="82"/>
  <c r="O10" i="82"/>
  <c r="N10" i="82"/>
  <c r="M10" i="82"/>
  <c r="L10" i="82"/>
  <c r="E7" i="82"/>
  <c r="D7" i="82"/>
  <c r="C7" i="82"/>
  <c r="AI12" i="81" a="1"/>
  <c r="AI12" i="81" s="1"/>
  <c r="Q12" i="81" a="1"/>
  <c r="Q12" i="81" s="1"/>
  <c r="Q12" i="82" a="1"/>
  <c r="Q12" i="82" s="1"/>
  <c r="AC12" i="82" a="1"/>
  <c r="AC12" i="82" s="1"/>
  <c r="AD12" i="82" a="1"/>
  <c r="AD12" i="82" s="1"/>
  <c r="U12" i="81" a="1"/>
  <c r="U12" i="81" s="1"/>
  <c r="S12" i="81" a="1"/>
  <c r="S12" i="81" s="1"/>
  <c r="AG12" i="81" a="1"/>
  <c r="AG12" i="81" s="1"/>
  <c r="Z12" i="81" a="1"/>
  <c r="Z12" i="81" s="1"/>
  <c r="X12" i="81" a="1"/>
  <c r="X12" i="81" s="1"/>
  <c r="Z12" i="82" a="1"/>
  <c r="Z12" i="82" s="1"/>
  <c r="X12" i="82" a="1"/>
  <c r="X12" i="82" s="1"/>
  <c r="AA12" i="82" a="1"/>
  <c r="AA12" i="82" s="1"/>
  <c r="T12" i="82" a="1"/>
  <c r="T12" i="82" s="1"/>
  <c r="H2" i="82"/>
  <c r="G2" i="82"/>
  <c r="J2" i="82"/>
  <c r="I2" i="82"/>
  <c r="D5" i="82"/>
  <c r="C5" i="82"/>
  <c r="E5" i="82"/>
  <c r="O2" i="82"/>
  <c r="N2" i="82"/>
  <c r="M2" i="82"/>
  <c r="L2" i="82"/>
  <c r="H10" i="82"/>
  <c r="G10" i="82"/>
  <c r="J10" i="82"/>
  <c r="I10" i="82"/>
  <c r="I11" i="82"/>
  <c r="H11" i="82"/>
  <c r="G11" i="82"/>
  <c r="J11" i="82"/>
  <c r="L7" i="82"/>
  <c r="O7" i="82"/>
  <c r="N7" i="82"/>
  <c r="M7" i="82"/>
  <c r="D9" i="82"/>
  <c r="C9" i="82"/>
  <c r="E9" i="82"/>
  <c r="O6" i="81"/>
  <c r="N6" i="81"/>
  <c r="M6" i="81"/>
  <c r="L6" i="81"/>
  <c r="I3" i="81"/>
  <c r="H3" i="81"/>
  <c r="G3" i="81"/>
  <c r="J3" i="81"/>
  <c r="M8" i="81"/>
  <c r="L8" i="81"/>
  <c r="O8" i="81"/>
  <c r="N8" i="81"/>
  <c r="E2" i="81"/>
  <c r="D2" i="81"/>
  <c r="C2" i="81"/>
  <c r="N5" i="81"/>
  <c r="M5" i="81"/>
  <c r="L5" i="81"/>
  <c r="O5" i="81"/>
  <c r="J4" i="81"/>
  <c r="I4" i="81"/>
  <c r="H4" i="81"/>
  <c r="G4" i="81"/>
  <c r="I7" i="81"/>
  <c r="H7" i="81"/>
  <c r="G7" i="81"/>
  <c r="J7" i="81"/>
  <c r="L3" i="81"/>
  <c r="O3" i="81"/>
  <c r="N3" i="81"/>
  <c r="M3" i="81"/>
  <c r="E6" i="81"/>
  <c r="D6" i="81"/>
  <c r="C6" i="81"/>
  <c r="G5" i="81"/>
  <c r="J5" i="81"/>
  <c r="I5" i="81"/>
  <c r="H5" i="81"/>
  <c r="C8" i="81"/>
  <c r="E8" i="81"/>
  <c r="D8" i="81"/>
  <c r="L11" i="81"/>
  <c r="O11" i="81"/>
  <c r="N11" i="81"/>
  <c r="M11" i="81"/>
  <c r="E11" i="81"/>
  <c r="D11" i="81"/>
  <c r="C11" i="81"/>
  <c r="H6" i="81"/>
  <c r="G6" i="81"/>
  <c r="J6" i="81"/>
  <c r="I6" i="81"/>
  <c r="E10" i="81"/>
  <c r="D10" i="81"/>
  <c r="C10" i="81"/>
  <c r="G9" i="81"/>
  <c r="J9" i="81"/>
  <c r="I9" i="81"/>
  <c r="H9" i="81"/>
  <c r="E3" i="81"/>
  <c r="D3" i="81"/>
  <c r="C3" i="81"/>
  <c r="N9" i="81"/>
  <c r="M9" i="81"/>
  <c r="L9" i="81"/>
  <c r="O9" i="81"/>
  <c r="J8" i="81"/>
  <c r="I8" i="81"/>
  <c r="H8" i="81"/>
  <c r="G8" i="81"/>
  <c r="M4" i="81"/>
  <c r="L4" i="81"/>
  <c r="O4" i="81"/>
  <c r="N4" i="81"/>
  <c r="C4" i="81"/>
  <c r="E4" i="81"/>
  <c r="D4" i="81"/>
  <c r="O10" i="81"/>
  <c r="N10" i="81"/>
  <c r="M10" i="81"/>
  <c r="L10" i="81"/>
  <c r="E7" i="81"/>
  <c r="D7" i="81"/>
  <c r="C7" i="81"/>
  <c r="H2" i="81"/>
  <c r="G2" i="81"/>
  <c r="J2" i="81"/>
  <c r="I2" i="81"/>
  <c r="D5" i="81"/>
  <c r="C5" i="81"/>
  <c r="E5" i="81"/>
  <c r="O2" i="81"/>
  <c r="N2" i="81"/>
  <c r="M2" i="81"/>
  <c r="L2" i="81"/>
  <c r="H10" i="81"/>
  <c r="G10" i="81"/>
  <c r="J10" i="81"/>
  <c r="I10" i="81"/>
  <c r="I11" i="81"/>
  <c r="H11" i="81"/>
  <c r="G11" i="81"/>
  <c r="J11" i="81"/>
  <c r="L7" i="81"/>
  <c r="O7" i="81"/>
  <c r="N7" i="81"/>
  <c r="M7" i="81"/>
  <c r="D9" i="81"/>
  <c r="C9" i="81"/>
  <c r="E9" i="81"/>
  <c r="AH12" i="75" a="1"/>
  <c r="AH12" i="75" s="1"/>
  <c r="M4" i="80"/>
  <c r="L4" i="80"/>
  <c r="N4" i="80"/>
  <c r="O4" i="80"/>
  <c r="H2" i="80"/>
  <c r="G2" i="80"/>
  <c r="I2" i="80"/>
  <c r="J2" i="80"/>
  <c r="L11" i="80"/>
  <c r="O11" i="80"/>
  <c r="N11" i="80"/>
  <c r="M11" i="80"/>
  <c r="J4" i="80"/>
  <c r="I4" i="80"/>
  <c r="H4" i="80"/>
  <c r="G4" i="80"/>
  <c r="E10" i="80"/>
  <c r="D10" i="80"/>
  <c r="C10" i="80"/>
  <c r="H10" i="80"/>
  <c r="G10" i="80"/>
  <c r="I10" i="80"/>
  <c r="J10" i="80"/>
  <c r="L3" i="80"/>
  <c r="O3" i="80"/>
  <c r="N3" i="80"/>
  <c r="M3" i="80"/>
  <c r="D9" i="80"/>
  <c r="C9" i="80"/>
  <c r="E9" i="80"/>
  <c r="J8" i="80"/>
  <c r="I8" i="80"/>
  <c r="G8" i="80"/>
  <c r="H8" i="80"/>
  <c r="O10" i="80"/>
  <c r="N10" i="80"/>
  <c r="L10" i="80"/>
  <c r="M10" i="80"/>
  <c r="I3" i="80"/>
  <c r="H3" i="80"/>
  <c r="J3" i="80"/>
  <c r="G3" i="80"/>
  <c r="I7" i="80"/>
  <c r="H7" i="80"/>
  <c r="J7" i="80"/>
  <c r="G7" i="80"/>
  <c r="M8" i="80"/>
  <c r="L8" i="80"/>
  <c r="O8" i="80"/>
  <c r="N8" i="80"/>
  <c r="N9" i="80"/>
  <c r="M9" i="80"/>
  <c r="O9" i="80"/>
  <c r="L9" i="80"/>
  <c r="E11" i="80"/>
  <c r="C11" i="80"/>
  <c r="D11" i="80"/>
  <c r="G9" i="80"/>
  <c r="J9" i="80"/>
  <c r="H9" i="80"/>
  <c r="I9" i="80"/>
  <c r="E7" i="80"/>
  <c r="C7" i="80"/>
  <c r="D7" i="80"/>
  <c r="G5" i="80"/>
  <c r="J5" i="80"/>
  <c r="I5" i="80"/>
  <c r="H5" i="80"/>
  <c r="E3" i="80"/>
  <c r="C3" i="80"/>
  <c r="D3" i="80"/>
  <c r="N5" i="80"/>
  <c r="M5" i="80"/>
  <c r="L5" i="80"/>
  <c r="O5" i="80"/>
  <c r="D5" i="80"/>
  <c r="C5" i="80"/>
  <c r="E5" i="80"/>
  <c r="I11" i="80"/>
  <c r="H11" i="80"/>
  <c r="J11" i="80"/>
  <c r="G11" i="80"/>
  <c r="L7" i="80"/>
  <c r="O7" i="80"/>
  <c r="N7" i="80"/>
  <c r="M7" i="80"/>
  <c r="E2" i="80"/>
  <c r="D2" i="80"/>
  <c r="C2" i="80"/>
  <c r="E6" i="80"/>
  <c r="D6" i="80"/>
  <c r="C6" i="80"/>
  <c r="C8" i="80"/>
  <c r="D8" i="80"/>
  <c r="E8" i="80"/>
  <c r="O2" i="80"/>
  <c r="N2" i="80"/>
  <c r="L2" i="80"/>
  <c r="M2" i="80"/>
  <c r="O6" i="80"/>
  <c r="N6" i="80"/>
  <c r="L6" i="80"/>
  <c r="M6" i="80"/>
  <c r="C4" i="80"/>
  <c r="D4" i="80"/>
  <c r="E4" i="80"/>
  <c r="H6" i="80"/>
  <c r="G6" i="80"/>
  <c r="I6" i="80"/>
  <c r="J6" i="80"/>
  <c r="E6" i="79"/>
  <c r="D6" i="79"/>
  <c r="C6" i="79"/>
  <c r="H10" i="79"/>
  <c r="G10" i="79"/>
  <c r="J10" i="79"/>
  <c r="I10" i="79"/>
  <c r="O6" i="79"/>
  <c r="N6" i="79"/>
  <c r="M6" i="79"/>
  <c r="L6" i="79"/>
  <c r="L11" i="79"/>
  <c r="O11" i="79"/>
  <c r="N11" i="79"/>
  <c r="M11" i="79"/>
  <c r="J4" i="79"/>
  <c r="G4" i="79"/>
  <c r="I4" i="79"/>
  <c r="H4" i="79"/>
  <c r="E11" i="79"/>
  <c r="D11" i="79"/>
  <c r="C11" i="79"/>
  <c r="H2" i="79"/>
  <c r="G2" i="79"/>
  <c r="J2" i="79"/>
  <c r="I2" i="79"/>
  <c r="D9" i="79"/>
  <c r="C9" i="79"/>
  <c r="E9" i="79"/>
  <c r="E3" i="79"/>
  <c r="D3" i="79"/>
  <c r="C3" i="79"/>
  <c r="L7" i="79"/>
  <c r="O7" i="79"/>
  <c r="N7" i="79"/>
  <c r="M7" i="79"/>
  <c r="E2" i="79"/>
  <c r="D2" i="79"/>
  <c r="C2" i="79"/>
  <c r="H6" i="79"/>
  <c r="G6" i="79"/>
  <c r="I6" i="79"/>
  <c r="J6" i="79"/>
  <c r="O2" i="79"/>
  <c r="N2" i="79"/>
  <c r="M2" i="79"/>
  <c r="L2" i="79"/>
  <c r="C4" i="79"/>
  <c r="D4" i="79"/>
  <c r="E4" i="79"/>
  <c r="M8" i="79"/>
  <c r="L8" i="79"/>
  <c r="O8" i="79"/>
  <c r="N8" i="79"/>
  <c r="G5" i="79"/>
  <c r="H5" i="79"/>
  <c r="J5" i="79"/>
  <c r="I5" i="79"/>
  <c r="N9" i="79"/>
  <c r="M9" i="79"/>
  <c r="L9" i="79"/>
  <c r="O9" i="79"/>
  <c r="D5" i="79"/>
  <c r="C5" i="79"/>
  <c r="E5" i="79"/>
  <c r="I3" i="79"/>
  <c r="H3" i="79"/>
  <c r="G3" i="79"/>
  <c r="J3" i="79"/>
  <c r="C8" i="79"/>
  <c r="E8" i="79"/>
  <c r="D8" i="79"/>
  <c r="L3" i="79"/>
  <c r="M3" i="79"/>
  <c r="O3" i="79"/>
  <c r="N3" i="79"/>
  <c r="I7" i="79"/>
  <c r="H7" i="79"/>
  <c r="G7" i="79"/>
  <c r="J7" i="79"/>
  <c r="E10" i="79"/>
  <c r="D10" i="79"/>
  <c r="C10" i="79"/>
  <c r="M4" i="79"/>
  <c r="N4" i="79"/>
  <c r="L4" i="79"/>
  <c r="O4" i="79"/>
  <c r="J8" i="79"/>
  <c r="I8" i="79"/>
  <c r="H8" i="79"/>
  <c r="G8" i="79"/>
  <c r="I11" i="79"/>
  <c r="H11" i="79"/>
  <c r="G11" i="79"/>
  <c r="J11" i="79"/>
  <c r="G9" i="79"/>
  <c r="J9" i="79"/>
  <c r="I9" i="79"/>
  <c r="H9" i="79"/>
  <c r="N5" i="79"/>
  <c r="M5" i="79"/>
  <c r="L5" i="79"/>
  <c r="O5" i="79"/>
  <c r="E7" i="79"/>
  <c r="D7" i="79"/>
  <c r="C7" i="79"/>
  <c r="O10" i="79"/>
  <c r="N10" i="79"/>
  <c r="M10" i="79"/>
  <c r="L10" i="79"/>
  <c r="I7" i="78"/>
  <c r="H7" i="78"/>
  <c r="G7" i="78"/>
  <c r="J7" i="78"/>
  <c r="L3" i="78"/>
  <c r="O3" i="78"/>
  <c r="N3" i="78"/>
  <c r="M3" i="78"/>
  <c r="E11" i="78"/>
  <c r="D11" i="78"/>
  <c r="C11" i="78"/>
  <c r="N5" i="78"/>
  <c r="M5" i="78"/>
  <c r="L5" i="78"/>
  <c r="O5" i="78"/>
  <c r="H6" i="78"/>
  <c r="G6" i="78"/>
  <c r="J6" i="78"/>
  <c r="I6" i="78"/>
  <c r="E10" i="78"/>
  <c r="D10" i="78"/>
  <c r="C10" i="78"/>
  <c r="G5" i="78"/>
  <c r="J5" i="78"/>
  <c r="I5" i="78"/>
  <c r="H5" i="78"/>
  <c r="E3" i="78"/>
  <c r="D3" i="78"/>
  <c r="C3" i="78"/>
  <c r="O6" i="78"/>
  <c r="N6" i="78"/>
  <c r="M6" i="78"/>
  <c r="L6" i="78"/>
  <c r="E6" i="78"/>
  <c r="D6" i="78"/>
  <c r="C6" i="78"/>
  <c r="H2" i="78"/>
  <c r="G2" i="78"/>
  <c r="J2" i="78"/>
  <c r="I2" i="78"/>
  <c r="I11" i="78"/>
  <c r="G11" i="78"/>
  <c r="H11" i="78"/>
  <c r="J11" i="78"/>
  <c r="I3" i="78"/>
  <c r="H3" i="78"/>
  <c r="J3" i="78"/>
  <c r="G3" i="78"/>
  <c r="G9" i="78"/>
  <c r="J9" i="78"/>
  <c r="I9" i="78"/>
  <c r="H9" i="78"/>
  <c r="D9" i="78"/>
  <c r="C9" i="78"/>
  <c r="E9" i="78"/>
  <c r="L11" i="78"/>
  <c r="O11" i="78"/>
  <c r="N11" i="78"/>
  <c r="M11" i="78"/>
  <c r="E2" i="78"/>
  <c r="D2" i="78"/>
  <c r="C2" i="78"/>
  <c r="O10" i="78"/>
  <c r="N10" i="78"/>
  <c r="M10" i="78"/>
  <c r="L10" i="78"/>
  <c r="C4" i="78"/>
  <c r="E4" i="78"/>
  <c r="D4" i="78"/>
  <c r="N9" i="78"/>
  <c r="M9" i="78"/>
  <c r="L9" i="78"/>
  <c r="O9" i="78"/>
  <c r="J4" i="78"/>
  <c r="H4" i="78"/>
  <c r="I4" i="78"/>
  <c r="G4" i="78"/>
  <c r="M4" i="78"/>
  <c r="L4" i="78"/>
  <c r="O4" i="78"/>
  <c r="N4" i="78"/>
  <c r="AF12" i="75" a="1"/>
  <c r="AF12" i="75" s="1"/>
  <c r="C8" i="78"/>
  <c r="E8" i="78"/>
  <c r="D8" i="78"/>
  <c r="H10" i="78"/>
  <c r="G10" i="78"/>
  <c r="J10" i="78"/>
  <c r="I10" i="78"/>
  <c r="J8" i="78"/>
  <c r="H8" i="78"/>
  <c r="I8" i="78"/>
  <c r="G8" i="78"/>
  <c r="M8" i="78"/>
  <c r="O8" i="78"/>
  <c r="L8" i="78"/>
  <c r="N8" i="78"/>
  <c r="E7" i="78"/>
  <c r="D7" i="78"/>
  <c r="C7" i="78"/>
  <c r="D5" i="78"/>
  <c r="C5" i="78"/>
  <c r="E5" i="78"/>
  <c r="O2" i="78"/>
  <c r="N2" i="78"/>
  <c r="M2" i="78"/>
  <c r="L2" i="78"/>
  <c r="L7" i="78"/>
  <c r="O7" i="78"/>
  <c r="N7" i="78"/>
  <c r="M7" i="78"/>
  <c r="M8" i="77"/>
  <c r="L8" i="77"/>
  <c r="O8" i="77"/>
  <c r="N8" i="77"/>
  <c r="E6" i="77"/>
  <c r="D6" i="77"/>
  <c r="C6" i="77"/>
  <c r="G9" i="77"/>
  <c r="J9" i="77"/>
  <c r="H9" i="77"/>
  <c r="I9" i="77"/>
  <c r="L3" i="77"/>
  <c r="M3" i="77"/>
  <c r="O3" i="77"/>
  <c r="N3" i="77"/>
  <c r="G5" i="77"/>
  <c r="J5" i="77"/>
  <c r="I5" i="77"/>
  <c r="H5" i="77"/>
  <c r="E11" i="77"/>
  <c r="D11" i="77"/>
  <c r="C11" i="77"/>
  <c r="H10" i="77"/>
  <c r="G10" i="77"/>
  <c r="I10" i="77"/>
  <c r="J10" i="77"/>
  <c r="E10" i="77"/>
  <c r="D10" i="77"/>
  <c r="C10" i="77"/>
  <c r="I3" i="77"/>
  <c r="H3" i="77"/>
  <c r="G3" i="77"/>
  <c r="J3" i="77"/>
  <c r="O2" i="77"/>
  <c r="N2" i="77"/>
  <c r="L2" i="77"/>
  <c r="M2" i="77"/>
  <c r="J8" i="77"/>
  <c r="G8" i="77"/>
  <c r="I8" i="77"/>
  <c r="H8" i="77"/>
  <c r="L11" i="77"/>
  <c r="O11" i="77"/>
  <c r="N11" i="77"/>
  <c r="M11" i="77"/>
  <c r="AI12" i="75" a="1"/>
  <c r="AI12" i="75" s="1"/>
  <c r="E3" i="77"/>
  <c r="D3" i="77"/>
  <c r="C3" i="77"/>
  <c r="E2" i="77"/>
  <c r="D2" i="77"/>
  <c r="C2" i="77"/>
  <c r="O10" i="77"/>
  <c r="N10" i="77"/>
  <c r="L10" i="77"/>
  <c r="M10" i="77"/>
  <c r="N5" i="77"/>
  <c r="M5" i="77"/>
  <c r="L5" i="77"/>
  <c r="O5" i="77"/>
  <c r="C8" i="77"/>
  <c r="E8" i="77"/>
  <c r="D8" i="77"/>
  <c r="C4" i="77"/>
  <c r="D4" i="77"/>
  <c r="E4" i="77"/>
  <c r="L7" i="77"/>
  <c r="O7" i="77"/>
  <c r="N7" i="77"/>
  <c r="M7" i="77"/>
  <c r="H6" i="77"/>
  <c r="G6" i="77"/>
  <c r="J6" i="77"/>
  <c r="I6" i="77"/>
  <c r="J4" i="77"/>
  <c r="G4" i="77"/>
  <c r="I4" i="77"/>
  <c r="H4" i="77"/>
  <c r="V12" i="75" a="1"/>
  <c r="V12" i="75" s="1"/>
  <c r="Y12" i="75" a="1"/>
  <c r="Y12" i="75" s="1"/>
  <c r="O6" i="77"/>
  <c r="N6" i="77"/>
  <c r="L6" i="77"/>
  <c r="M6" i="77"/>
  <c r="D5" i="77"/>
  <c r="E5" i="77"/>
  <c r="C5" i="77"/>
  <c r="E7" i="77"/>
  <c r="D7" i="77"/>
  <c r="C7" i="77"/>
  <c r="N9" i="77"/>
  <c r="M9" i="77"/>
  <c r="O9" i="77"/>
  <c r="L9" i="77"/>
  <c r="D9" i="77"/>
  <c r="C9" i="77"/>
  <c r="E9" i="77"/>
  <c r="I7" i="77"/>
  <c r="H7" i="77"/>
  <c r="G7" i="77"/>
  <c r="J7" i="77"/>
  <c r="M4" i="77"/>
  <c r="N4" i="77"/>
  <c r="L4" i="77"/>
  <c r="O4" i="77"/>
  <c r="I11" i="77"/>
  <c r="H11" i="77"/>
  <c r="G11" i="77"/>
  <c r="J11" i="77"/>
  <c r="H2" i="77"/>
  <c r="G2" i="77"/>
  <c r="J2" i="77"/>
  <c r="I2" i="77"/>
  <c r="I3" i="75"/>
  <c r="H3" i="75"/>
  <c r="G3" i="75"/>
  <c r="J3" i="75"/>
  <c r="D9" i="75"/>
  <c r="C9" i="75"/>
  <c r="E9" i="75"/>
  <c r="N9" i="75"/>
  <c r="M9" i="75"/>
  <c r="L9" i="75"/>
  <c r="O9" i="75"/>
  <c r="C8" i="75"/>
  <c r="D8" i="75"/>
  <c r="E8" i="75"/>
  <c r="G9" i="75"/>
  <c r="J9" i="75"/>
  <c r="I9" i="75"/>
  <c r="H9" i="75"/>
  <c r="Z12" i="75" a="1"/>
  <c r="Z12" i="75" s="1"/>
  <c r="X12" i="75" a="1"/>
  <c r="X12" i="75" s="1"/>
  <c r="W12" i="75" a="1"/>
  <c r="W12" i="75" s="1"/>
  <c r="U12" i="75" a="1"/>
  <c r="U12" i="75" s="1"/>
  <c r="Q12" i="75" a="1"/>
  <c r="Q12" i="75" s="1"/>
  <c r="E6" i="75"/>
  <c r="D6" i="75"/>
  <c r="C6" i="75"/>
  <c r="G5" i="75"/>
  <c r="J5" i="75"/>
  <c r="H5" i="75"/>
  <c r="I5" i="75"/>
  <c r="H2" i="75"/>
  <c r="I2" i="75"/>
  <c r="G2" i="75"/>
  <c r="J2" i="75"/>
  <c r="O6" i="75"/>
  <c r="N6" i="75"/>
  <c r="M6" i="75"/>
  <c r="L6" i="75"/>
  <c r="J8" i="75"/>
  <c r="I8" i="75"/>
  <c r="G8" i="75"/>
  <c r="H8" i="75"/>
  <c r="M8" i="75"/>
  <c r="L8" i="75"/>
  <c r="O8" i="75"/>
  <c r="N8" i="75"/>
  <c r="J4" i="75"/>
  <c r="I4" i="75"/>
  <c r="G4" i="75"/>
  <c r="H4" i="75"/>
  <c r="L11" i="75"/>
  <c r="O11" i="75"/>
  <c r="N11" i="75"/>
  <c r="M11" i="75"/>
  <c r="O2" i="75"/>
  <c r="N2" i="75"/>
  <c r="M2" i="75"/>
  <c r="L2" i="75"/>
  <c r="T12" i="75" a="1"/>
  <c r="T12" i="75" s="1"/>
  <c r="C3" i="75"/>
  <c r="E3" i="75"/>
  <c r="D3" i="75"/>
  <c r="L3" i="75"/>
  <c r="O3" i="75"/>
  <c r="M3" i="75"/>
  <c r="N3" i="75"/>
  <c r="H10" i="75"/>
  <c r="G10" i="75"/>
  <c r="J10" i="75"/>
  <c r="I10" i="75"/>
  <c r="E11" i="75"/>
  <c r="D11" i="75"/>
  <c r="C11" i="75"/>
  <c r="H6" i="75"/>
  <c r="G6" i="75"/>
  <c r="I6" i="75"/>
  <c r="J6" i="75"/>
  <c r="E7" i="75"/>
  <c r="D7" i="75"/>
  <c r="C7" i="75"/>
  <c r="L7" i="75"/>
  <c r="O7" i="75"/>
  <c r="N7" i="75"/>
  <c r="M7" i="75"/>
  <c r="I11" i="75"/>
  <c r="H11" i="75"/>
  <c r="G11" i="75"/>
  <c r="J11" i="75"/>
  <c r="R12" i="75" a="1"/>
  <c r="R12" i="75" s="1"/>
  <c r="AA12" i="75" a="1"/>
  <c r="AA12" i="75" s="1"/>
  <c r="AC12" i="75" a="1"/>
  <c r="AC12" i="75" s="1"/>
  <c r="AJ12" i="75" a="1"/>
  <c r="AJ12" i="75" s="1"/>
  <c r="AE12" i="75" a="1"/>
  <c r="AE12" i="75" s="1"/>
  <c r="AD12" i="75" a="1"/>
  <c r="AD12" i="75" s="1"/>
  <c r="AB12" i="75" a="1"/>
  <c r="AB12" i="75" s="1"/>
  <c r="S12" i="75" a="1"/>
  <c r="S12" i="75" s="1"/>
  <c r="O10" i="75"/>
  <c r="N10" i="75"/>
  <c r="M10" i="75"/>
  <c r="L10" i="75"/>
  <c r="D5" i="75"/>
  <c r="E5" i="75"/>
  <c r="C5" i="75"/>
  <c r="E10" i="75"/>
  <c r="D10" i="75"/>
  <c r="C10" i="75"/>
  <c r="E2" i="75"/>
  <c r="D2" i="75"/>
  <c r="C2" i="75"/>
  <c r="M4" i="75"/>
  <c r="L4" i="75"/>
  <c r="N4" i="75"/>
  <c r="O4" i="75"/>
  <c r="N5" i="75"/>
  <c r="M5" i="75"/>
  <c r="O5" i="75"/>
  <c r="L5" i="75"/>
  <c r="C4" i="75"/>
  <c r="D4" i="75"/>
  <c r="E4" i="75"/>
  <c r="I7" i="75"/>
  <c r="H7" i="75"/>
  <c r="G7" i="75"/>
  <c r="J7" i="75"/>
  <c r="D3" i="76"/>
  <c r="E3" i="76"/>
  <c r="C3" i="76"/>
  <c r="J8" i="76"/>
  <c r="I8" i="76"/>
  <c r="H8" i="76"/>
  <c r="G8" i="76"/>
  <c r="O6" i="76"/>
  <c r="M6" i="76"/>
  <c r="N6" i="76"/>
  <c r="L6" i="76"/>
  <c r="N5" i="76"/>
  <c r="M5" i="76"/>
  <c r="L5" i="76"/>
  <c r="O5" i="76"/>
  <c r="J4" i="76"/>
  <c r="H4" i="76"/>
  <c r="I4" i="76"/>
  <c r="G4" i="76"/>
  <c r="I7" i="76"/>
  <c r="G7" i="76"/>
  <c r="H7" i="76"/>
  <c r="J7" i="76"/>
  <c r="N9" i="76"/>
  <c r="M9" i="76"/>
  <c r="L9" i="76"/>
  <c r="O9" i="76"/>
  <c r="H6" i="76"/>
  <c r="G6" i="76"/>
  <c r="J6" i="76"/>
  <c r="I6" i="76"/>
  <c r="L11" i="76"/>
  <c r="O11" i="76"/>
  <c r="N11" i="76"/>
  <c r="M11" i="76"/>
  <c r="C4" i="76"/>
  <c r="E4" i="76"/>
  <c r="D4" i="76"/>
  <c r="H10" i="76"/>
  <c r="G10" i="76"/>
  <c r="J10" i="76"/>
  <c r="I10" i="76"/>
  <c r="E10" i="76"/>
  <c r="D10" i="76"/>
  <c r="C10" i="76"/>
  <c r="H2" i="76"/>
  <c r="G2" i="76"/>
  <c r="J2" i="76"/>
  <c r="I2" i="76"/>
  <c r="E6" i="76"/>
  <c r="D6" i="76"/>
  <c r="C6" i="76"/>
  <c r="O2" i="76"/>
  <c r="M2" i="76"/>
  <c r="N2" i="76"/>
  <c r="L2" i="76"/>
  <c r="D7" i="76"/>
  <c r="E7" i="76"/>
  <c r="C7" i="76"/>
  <c r="M8" i="76"/>
  <c r="L8" i="76"/>
  <c r="O8" i="76"/>
  <c r="N8" i="76"/>
  <c r="C8" i="76"/>
  <c r="E8" i="76"/>
  <c r="D8" i="76"/>
  <c r="O10" i="76"/>
  <c r="N10" i="76"/>
  <c r="M10" i="76"/>
  <c r="L10" i="76"/>
  <c r="E11" i="76"/>
  <c r="D11" i="76"/>
  <c r="C11" i="76"/>
  <c r="L3" i="76"/>
  <c r="O3" i="76"/>
  <c r="N3" i="76"/>
  <c r="M3" i="76"/>
  <c r="D9" i="76"/>
  <c r="C9" i="76"/>
  <c r="E9" i="76"/>
  <c r="M4" i="76"/>
  <c r="O4" i="76"/>
  <c r="L4" i="76"/>
  <c r="N4" i="76"/>
  <c r="E2" i="76"/>
  <c r="D2" i="76"/>
  <c r="C2" i="76"/>
  <c r="G9" i="76"/>
  <c r="J9" i="76"/>
  <c r="I9" i="76"/>
  <c r="H9" i="76"/>
  <c r="I3" i="76"/>
  <c r="G3" i="76"/>
  <c r="H3" i="76"/>
  <c r="J3" i="76"/>
  <c r="I11" i="76"/>
  <c r="H11" i="76"/>
  <c r="G11" i="76"/>
  <c r="J11" i="76"/>
  <c r="L7" i="76"/>
  <c r="N7" i="76"/>
  <c r="O7" i="76"/>
  <c r="M7" i="76"/>
  <c r="D5" i="76"/>
  <c r="C5" i="76"/>
  <c r="E5" i="76"/>
  <c r="G5" i="76"/>
  <c r="J5" i="76"/>
  <c r="I5" i="76"/>
  <c r="H5" i="76"/>
  <c r="N5" i="74"/>
  <c r="M5" i="74"/>
  <c r="L5" i="74"/>
  <c r="O5" i="74"/>
  <c r="E6" i="74"/>
  <c r="D6" i="74"/>
  <c r="C6" i="74"/>
  <c r="G9" i="74"/>
  <c r="J9" i="74"/>
  <c r="I9" i="74"/>
  <c r="H9" i="74"/>
  <c r="H6" i="74"/>
  <c r="I6" i="74"/>
  <c r="G6" i="74"/>
  <c r="J6" i="74"/>
  <c r="O2" i="74"/>
  <c r="N2" i="74"/>
  <c r="L2" i="74"/>
  <c r="M2" i="74"/>
  <c r="J8" i="74"/>
  <c r="I8" i="74"/>
  <c r="H8" i="74"/>
  <c r="G8" i="74"/>
  <c r="H2" i="74"/>
  <c r="G2" i="74"/>
  <c r="J2" i="74"/>
  <c r="I2" i="74"/>
  <c r="M8" i="74"/>
  <c r="L8" i="74"/>
  <c r="N8" i="74"/>
  <c r="O8" i="74"/>
  <c r="I11" i="74"/>
  <c r="H11" i="74"/>
  <c r="G11" i="74"/>
  <c r="J11" i="74"/>
  <c r="O10" i="74"/>
  <c r="N10" i="74"/>
  <c r="L10" i="74"/>
  <c r="M10" i="74"/>
  <c r="I3" i="74"/>
  <c r="J3" i="74"/>
  <c r="H3" i="74"/>
  <c r="G3" i="74"/>
  <c r="N9" i="74"/>
  <c r="M9" i="74"/>
  <c r="L9" i="74"/>
  <c r="O9" i="74"/>
  <c r="C8" i="74"/>
  <c r="E8" i="74"/>
  <c r="D8" i="74"/>
  <c r="E7" i="74"/>
  <c r="D7" i="74"/>
  <c r="C7" i="74"/>
  <c r="L7" i="74"/>
  <c r="M7" i="74"/>
  <c r="O7" i="74"/>
  <c r="N7" i="74"/>
  <c r="G5" i="74"/>
  <c r="H5" i="74"/>
  <c r="J5" i="74"/>
  <c r="I5" i="74"/>
  <c r="L3" i="74"/>
  <c r="O3" i="74"/>
  <c r="N3" i="74"/>
  <c r="M3" i="74"/>
  <c r="J4" i="74"/>
  <c r="I4" i="74"/>
  <c r="H4" i="74"/>
  <c r="G4" i="74"/>
  <c r="E10" i="74"/>
  <c r="D10" i="74"/>
  <c r="C10" i="74"/>
  <c r="L11" i="74"/>
  <c r="O11" i="74"/>
  <c r="N11" i="74"/>
  <c r="M11" i="74"/>
  <c r="E11" i="74"/>
  <c r="D11" i="74"/>
  <c r="C11" i="74"/>
  <c r="E3" i="74"/>
  <c r="D3" i="74"/>
  <c r="C3" i="74"/>
  <c r="C4" i="74"/>
  <c r="E4" i="74"/>
  <c r="D4" i="74"/>
  <c r="O6" i="74"/>
  <c r="N6" i="74"/>
  <c r="L6" i="74"/>
  <c r="M6" i="74"/>
  <c r="D9" i="74"/>
  <c r="C9" i="74"/>
  <c r="E9" i="74"/>
  <c r="M4" i="74"/>
  <c r="L4" i="74"/>
  <c r="O4" i="74"/>
  <c r="N4" i="74"/>
  <c r="E2" i="74"/>
  <c r="D2" i="74"/>
  <c r="C2" i="74"/>
  <c r="D5" i="74"/>
  <c r="C5" i="74"/>
  <c r="E5" i="74"/>
  <c r="H10" i="74"/>
  <c r="G10" i="74"/>
  <c r="J10" i="74"/>
  <c r="I10" i="74"/>
  <c r="I7" i="74"/>
  <c r="H7" i="74"/>
  <c r="G7" i="74"/>
  <c r="J7" i="74"/>
  <c r="I7" i="71"/>
  <c r="H7" i="71"/>
  <c r="J7" i="71"/>
  <c r="G7" i="71"/>
  <c r="C8" i="71"/>
  <c r="E8" i="71"/>
  <c r="D8" i="71"/>
  <c r="O6" i="71"/>
  <c r="L6" i="71"/>
  <c r="N6" i="71"/>
  <c r="M6" i="71"/>
  <c r="E10" i="71"/>
  <c r="D10" i="71"/>
  <c r="C10" i="71"/>
  <c r="H6" i="71"/>
  <c r="G6" i="71"/>
  <c r="I6" i="71"/>
  <c r="J6" i="71"/>
  <c r="D5" i="71"/>
  <c r="C5" i="71"/>
  <c r="E5" i="71"/>
  <c r="M4" i="71"/>
  <c r="L4" i="71"/>
  <c r="N4" i="71"/>
  <c r="O4" i="71"/>
  <c r="G5" i="71"/>
  <c r="J5" i="71"/>
  <c r="I5" i="71"/>
  <c r="H5" i="71"/>
  <c r="J8" i="71"/>
  <c r="G8" i="71"/>
  <c r="I8" i="71"/>
  <c r="H8" i="71"/>
  <c r="L7" i="71"/>
  <c r="O7" i="71"/>
  <c r="N7" i="71"/>
  <c r="M7" i="71"/>
  <c r="C7" i="71"/>
  <c r="E7" i="71"/>
  <c r="D7" i="71"/>
  <c r="N9" i="71"/>
  <c r="M9" i="71"/>
  <c r="O9" i="71"/>
  <c r="L9" i="71"/>
  <c r="G9" i="71"/>
  <c r="J9" i="71"/>
  <c r="H9" i="71"/>
  <c r="I9" i="71"/>
  <c r="M8" i="71"/>
  <c r="L8" i="71"/>
  <c r="O8" i="71"/>
  <c r="N8" i="71"/>
  <c r="E2" i="71"/>
  <c r="D2" i="71"/>
  <c r="C2" i="71"/>
  <c r="H10" i="71"/>
  <c r="G10" i="71"/>
  <c r="I10" i="71"/>
  <c r="J10" i="71"/>
  <c r="I3" i="71"/>
  <c r="J3" i="71"/>
  <c r="H3" i="71"/>
  <c r="G3" i="71"/>
  <c r="C4" i="71"/>
  <c r="E4" i="71"/>
  <c r="D4" i="71"/>
  <c r="O2" i="71"/>
  <c r="N2" i="71"/>
  <c r="L2" i="71"/>
  <c r="M2" i="71"/>
  <c r="E6" i="71"/>
  <c r="D6" i="71"/>
  <c r="C6" i="71"/>
  <c r="I11" i="71"/>
  <c r="H11" i="71"/>
  <c r="G11" i="71"/>
  <c r="J11" i="71"/>
  <c r="D9" i="71"/>
  <c r="C9" i="71"/>
  <c r="E9" i="71"/>
  <c r="O10" i="71"/>
  <c r="N10" i="71"/>
  <c r="M10" i="71"/>
  <c r="L10" i="71"/>
  <c r="E11" i="71"/>
  <c r="D11" i="71"/>
  <c r="C11" i="71"/>
  <c r="J4" i="71"/>
  <c r="G4" i="71"/>
  <c r="I4" i="71"/>
  <c r="H4" i="71"/>
  <c r="L3" i="71"/>
  <c r="O3" i="71"/>
  <c r="N3" i="71"/>
  <c r="M3" i="71"/>
  <c r="C3" i="71"/>
  <c r="E3" i="71"/>
  <c r="D3" i="71"/>
  <c r="N5" i="71"/>
  <c r="M5" i="71"/>
  <c r="L5" i="71"/>
  <c r="O5" i="71"/>
  <c r="H2" i="71"/>
  <c r="I2" i="71"/>
  <c r="G2" i="71"/>
  <c r="J2" i="71"/>
  <c r="L11" i="71"/>
  <c r="O11" i="71"/>
  <c r="N11" i="71"/>
  <c r="M11" i="71"/>
  <c r="AD12" i="86" a="1"/>
  <c r="AD12" i="86" s="1"/>
  <c r="AF12" i="86" a="1"/>
  <c r="AF12" i="86" s="1"/>
  <c r="W12" i="86" a="1"/>
  <c r="W12" i="86" s="1"/>
  <c r="X12" i="86" a="1"/>
  <c r="X12" i="86" s="1"/>
  <c r="Q12" i="86" a="1"/>
  <c r="Q12" i="86" s="1"/>
  <c r="Y12" i="86" a="1"/>
  <c r="Y12" i="86" s="1"/>
  <c r="AG12" i="86" a="1"/>
  <c r="AG12" i="86" s="1"/>
  <c r="R12" i="86" a="1"/>
  <c r="R12" i="86" s="1"/>
  <c r="Z12" i="86" a="1"/>
  <c r="Z12" i="86" s="1"/>
  <c r="AH12" i="86" a="1"/>
  <c r="AH12" i="86" s="1"/>
  <c r="AE12" i="86" a="1"/>
  <c r="AE12" i="86" s="1"/>
  <c r="S12" i="86" a="1"/>
  <c r="S12" i="86" s="1"/>
  <c r="AA12" i="86" a="1"/>
  <c r="AA12" i="86" s="1"/>
  <c r="AI12" i="86" a="1"/>
  <c r="AI12" i="86" s="1"/>
  <c r="T12" i="86" a="1"/>
  <c r="T12" i="86" s="1"/>
  <c r="AB12" i="86" a="1"/>
  <c r="AB12" i="86" s="1"/>
  <c r="AJ12" i="86" a="1"/>
  <c r="AJ12" i="86" s="1"/>
  <c r="U12" i="86" a="1"/>
  <c r="U12" i="86" s="1"/>
  <c r="AC12" i="86" a="1"/>
  <c r="AC12" i="86" s="1"/>
  <c r="V12" i="86" a="1"/>
  <c r="V12" i="86" s="1"/>
  <c r="AJ12" i="85" a="1"/>
  <c r="AJ12" i="85" s="1"/>
  <c r="AB12" i="85" a="1"/>
  <c r="AB12" i="85" s="1"/>
  <c r="T12" i="85" a="1"/>
  <c r="T12" i="85" s="1"/>
  <c r="AE12" i="85" a="1"/>
  <c r="AE12" i="85" s="1"/>
  <c r="W12" i="85" a="1"/>
  <c r="W12" i="85" s="1"/>
  <c r="AG12" i="85" a="1"/>
  <c r="AG12" i="85" s="1"/>
  <c r="Q12" i="85" a="1"/>
  <c r="Q12" i="85" s="1"/>
  <c r="AH12" i="85" a="1"/>
  <c r="AH12" i="85" s="1"/>
  <c r="Z12" i="85" a="1"/>
  <c r="Z12" i="85" s="1"/>
  <c r="R12" i="85" a="1"/>
  <c r="R12" i="85" s="1"/>
  <c r="AC12" i="85" a="1"/>
  <c r="AC12" i="85" s="1"/>
  <c r="U12" i="85" a="1"/>
  <c r="U12" i="85" s="1"/>
  <c r="V12" i="85" a="1"/>
  <c r="V12" i="85" s="1"/>
  <c r="AF12" i="85" a="1"/>
  <c r="AF12" i="85" s="1"/>
  <c r="X12" i="85" a="1"/>
  <c r="X12" i="85" s="1"/>
  <c r="AI12" i="85" a="1"/>
  <c r="AI12" i="85" s="1"/>
  <c r="AA12" i="85" a="1"/>
  <c r="AA12" i="85" s="1"/>
  <c r="S12" i="85" a="1"/>
  <c r="S12" i="85" s="1"/>
  <c r="AD12" i="85" a="1"/>
  <c r="AD12" i="85" s="1"/>
  <c r="Y12" i="85" a="1"/>
  <c r="Y12" i="85" s="1"/>
  <c r="AJ12" i="84" a="1"/>
  <c r="AJ12" i="84" s="1"/>
  <c r="AB12" i="84" a="1"/>
  <c r="AB12" i="84" s="1"/>
  <c r="T12" i="84" a="1"/>
  <c r="T12" i="84" s="1"/>
  <c r="AE12" i="84" a="1"/>
  <c r="AE12" i="84" s="1"/>
  <c r="W12" i="84" a="1"/>
  <c r="W12" i="84" s="1"/>
  <c r="AH12" i="84" a="1"/>
  <c r="AH12" i="84" s="1"/>
  <c r="Z12" i="84" a="1"/>
  <c r="Z12" i="84" s="1"/>
  <c r="R12" i="84" a="1"/>
  <c r="R12" i="84" s="1"/>
  <c r="AC12" i="84" a="1"/>
  <c r="AC12" i="84" s="1"/>
  <c r="U12" i="84" a="1"/>
  <c r="U12" i="84" s="1"/>
  <c r="AD12" i="84" a="1"/>
  <c r="AD12" i="84" s="1"/>
  <c r="AG12" i="84" a="1"/>
  <c r="AG12" i="84" s="1"/>
  <c r="Q12" i="84" a="1"/>
  <c r="Q12" i="84" s="1"/>
  <c r="AF12" i="84" a="1"/>
  <c r="AF12" i="84" s="1"/>
  <c r="X12" i="84" a="1"/>
  <c r="X12" i="84" s="1"/>
  <c r="AI12" i="84" a="1"/>
  <c r="AI12" i="84" s="1"/>
  <c r="AA12" i="84" a="1"/>
  <c r="AA12" i="84" s="1"/>
  <c r="S12" i="84" a="1"/>
  <c r="S12" i="84" s="1"/>
  <c r="V12" i="84" a="1"/>
  <c r="V12" i="84" s="1"/>
  <c r="Y12" i="84" a="1"/>
  <c r="Y12" i="84" s="1"/>
  <c r="Y12" i="77" a="1"/>
  <c r="Y12" i="77" s="1"/>
  <c r="AJ12" i="80" a="1"/>
  <c r="AJ12" i="80" s="1"/>
  <c r="AC12" i="80" a="1"/>
  <c r="AC12" i="80" s="1"/>
  <c r="V12" i="80" a="1"/>
  <c r="V12" i="80" s="1"/>
  <c r="W12" i="80" a="1"/>
  <c r="W12" i="80" s="1"/>
  <c r="AE12" i="80" a="1"/>
  <c r="AE12" i="80" s="1"/>
  <c r="X12" i="80" a="1"/>
  <c r="X12" i="80" s="1"/>
  <c r="AF12" i="80" a="1"/>
  <c r="AF12" i="80" s="1"/>
  <c r="Q12" i="80" a="1"/>
  <c r="Q12" i="80" s="1"/>
  <c r="Y12" i="80" a="1"/>
  <c r="Y12" i="80" s="1"/>
  <c r="AG12" i="80" a="1"/>
  <c r="AG12" i="80" s="1"/>
  <c r="R12" i="80" a="1"/>
  <c r="R12" i="80" s="1"/>
  <c r="Z12" i="80" a="1"/>
  <c r="Z12" i="80" s="1"/>
  <c r="AH12" i="80" a="1"/>
  <c r="AH12" i="80" s="1"/>
  <c r="U12" i="80" a="1"/>
  <c r="U12" i="80" s="1"/>
  <c r="AD12" i="80" a="1"/>
  <c r="AD12" i="80" s="1"/>
  <c r="S12" i="80" a="1"/>
  <c r="S12" i="80" s="1"/>
  <c r="AA12" i="80" a="1"/>
  <c r="AA12" i="80" s="1"/>
  <c r="AI12" i="80" a="1"/>
  <c r="AI12" i="80" s="1"/>
  <c r="T12" i="80" a="1"/>
  <c r="T12" i="80" s="1"/>
  <c r="AB12" i="80" a="1"/>
  <c r="AB12" i="80" s="1"/>
  <c r="AF12" i="79" a="1"/>
  <c r="AF12" i="79" s="1"/>
  <c r="X12" i="79" a="1"/>
  <c r="X12" i="79" s="1"/>
  <c r="AI12" i="79" a="1"/>
  <c r="AI12" i="79" s="1"/>
  <c r="AA12" i="79" a="1"/>
  <c r="AA12" i="79" s="1"/>
  <c r="Q12" i="79" a="1"/>
  <c r="Q12" i="79" s="1"/>
  <c r="U12" i="79" a="1"/>
  <c r="U12" i="79" s="1"/>
  <c r="AD12" i="79" a="1"/>
  <c r="AD12" i="79" s="1"/>
  <c r="V12" i="79" a="1"/>
  <c r="V12" i="79" s="1"/>
  <c r="AG12" i="79" a="1"/>
  <c r="AG12" i="79" s="1"/>
  <c r="Y12" i="79" a="1"/>
  <c r="Y12" i="79" s="1"/>
  <c r="S12" i="79" a="1"/>
  <c r="S12" i="79" s="1"/>
  <c r="Z12" i="79" a="1"/>
  <c r="Z12" i="79" s="1"/>
  <c r="AC12" i="79" a="1"/>
  <c r="AC12" i="79" s="1"/>
  <c r="AJ12" i="79" a="1"/>
  <c r="AJ12" i="79" s="1"/>
  <c r="AB12" i="79" a="1"/>
  <c r="AB12" i="79" s="1"/>
  <c r="T12" i="79" a="1"/>
  <c r="T12" i="79" s="1"/>
  <c r="AE12" i="79" a="1"/>
  <c r="AE12" i="79" s="1"/>
  <c r="W12" i="79" a="1"/>
  <c r="W12" i="79" s="1"/>
  <c r="AH12" i="79" a="1"/>
  <c r="AH12" i="79" s="1"/>
  <c r="R12" i="79" a="1"/>
  <c r="R12" i="79" s="1"/>
  <c r="AJ12" i="78" a="1"/>
  <c r="AJ12" i="78" s="1"/>
  <c r="AB12" i="78" a="1"/>
  <c r="AB12" i="78" s="1"/>
  <c r="T12" i="78" a="1"/>
  <c r="T12" i="78" s="1"/>
  <c r="AE12" i="78" a="1"/>
  <c r="AE12" i="78" s="1"/>
  <c r="W12" i="78" a="1"/>
  <c r="W12" i="78" s="1"/>
  <c r="AH12" i="78" a="1"/>
  <c r="AH12" i="78" s="1"/>
  <c r="Z12" i="78" a="1"/>
  <c r="Z12" i="78" s="1"/>
  <c r="R12" i="78" a="1"/>
  <c r="R12" i="78" s="1"/>
  <c r="AC12" i="78" a="1"/>
  <c r="AC12" i="78" s="1"/>
  <c r="U12" i="78" a="1"/>
  <c r="U12" i="78" s="1"/>
  <c r="V12" i="78" a="1"/>
  <c r="V12" i="78" s="1"/>
  <c r="AG12" i="78" a="1"/>
  <c r="AG12" i="78" s="1"/>
  <c r="Q12" i="78" a="1"/>
  <c r="Q12" i="78" s="1"/>
  <c r="AF12" i="78" a="1"/>
  <c r="AF12" i="78" s="1"/>
  <c r="X12" i="78" a="1"/>
  <c r="X12" i="78" s="1"/>
  <c r="AI12" i="78" a="1"/>
  <c r="AI12" i="78" s="1"/>
  <c r="AA12" i="78" a="1"/>
  <c r="AA12" i="78" s="1"/>
  <c r="S12" i="78" a="1"/>
  <c r="S12" i="78" s="1"/>
  <c r="AD12" i="78" a="1"/>
  <c r="AD12" i="78" s="1"/>
  <c r="Y12" i="78" a="1"/>
  <c r="Y12" i="78" s="1"/>
  <c r="Q12" i="77" a="1"/>
  <c r="Q12" i="77" s="1"/>
  <c r="U12" i="77" a="1"/>
  <c r="U12" i="77" s="1"/>
  <c r="AG12" i="77" a="1"/>
  <c r="AG12" i="77" s="1"/>
  <c r="AC12" i="77" a="1"/>
  <c r="AC12" i="77" s="1"/>
  <c r="AF12" i="77" a="1"/>
  <c r="AF12" i="77" s="1"/>
  <c r="AJ12" i="76" a="1"/>
  <c r="AJ12" i="76" s="1"/>
  <c r="AE12" i="77" a="1"/>
  <c r="AE12" i="77" s="1"/>
  <c r="R12" i="77" a="1"/>
  <c r="R12" i="77" s="1"/>
  <c r="Z12" i="77" a="1"/>
  <c r="Z12" i="77" s="1"/>
  <c r="AH12" i="77" a="1"/>
  <c r="AH12" i="77" s="1"/>
  <c r="S12" i="77" a="1"/>
  <c r="S12" i="77" s="1"/>
  <c r="AI12" i="77" a="1"/>
  <c r="AI12" i="77" s="1"/>
  <c r="T12" i="77" a="1"/>
  <c r="T12" i="77" s="1"/>
  <c r="AB12" i="77" a="1"/>
  <c r="AB12" i="77" s="1"/>
  <c r="AJ12" i="77" a="1"/>
  <c r="AJ12" i="77" s="1"/>
  <c r="W12" i="77" a="1"/>
  <c r="W12" i="77" s="1"/>
  <c r="V12" i="77" a="1"/>
  <c r="V12" i="77" s="1"/>
  <c r="AD12" i="77" a="1"/>
  <c r="AD12" i="77" s="1"/>
  <c r="AA12" i="77" a="1"/>
  <c r="AA12" i="77" s="1"/>
  <c r="X12" i="77" a="1"/>
  <c r="X12" i="77" s="1"/>
  <c r="AC12" i="76" a="1"/>
  <c r="AC12" i="76" s="1"/>
  <c r="U12" i="76" a="1"/>
  <c r="U12" i="76" s="1"/>
  <c r="AF12" i="76" a="1"/>
  <c r="AF12" i="76" s="1"/>
  <c r="Q12" i="76" a="1"/>
  <c r="Q12" i="76" s="1"/>
  <c r="AG12" i="76" a="1"/>
  <c r="AG12" i="76" s="1"/>
  <c r="W12" i="76" a="1"/>
  <c r="W12" i="76" s="1"/>
  <c r="V12" i="76" a="1"/>
  <c r="V12" i="76" s="1"/>
  <c r="AD12" i="76" a="1"/>
  <c r="AD12" i="76" s="1"/>
  <c r="Y12" i="76" a="1"/>
  <c r="Y12" i="76" s="1"/>
  <c r="AA12" i="76" a="1"/>
  <c r="AA12" i="76" s="1"/>
  <c r="X12" i="76" a="1"/>
  <c r="X12" i="76" s="1"/>
  <c r="AE12" i="76" a="1"/>
  <c r="AE12" i="76" s="1"/>
  <c r="R12" i="76" a="1"/>
  <c r="R12" i="76" s="1"/>
  <c r="Z12" i="76" a="1"/>
  <c r="Z12" i="76" s="1"/>
  <c r="AH12" i="76" a="1"/>
  <c r="AH12" i="76" s="1"/>
  <c r="S12" i="76" a="1"/>
  <c r="S12" i="76" s="1"/>
  <c r="AI12" i="76" a="1"/>
  <c r="AI12" i="76" s="1"/>
  <c r="T12" i="76" a="1"/>
  <c r="T12" i="76" s="1"/>
  <c r="AB12" i="76" a="1"/>
  <c r="AB12" i="76" s="1"/>
  <c r="U12" i="74" a="1"/>
  <c r="U12" i="74" s="1"/>
  <c r="AF12" i="74" a="1"/>
  <c r="AF12" i="74" s="1"/>
  <c r="AJ12" i="74" a="1"/>
  <c r="AJ12" i="74" s="1"/>
  <c r="Q12" i="74" a="1"/>
  <c r="Q12" i="74" s="1"/>
  <c r="AE12" i="73" a="1"/>
  <c r="AE12" i="73" s="1"/>
  <c r="AC12" i="74" a="1"/>
  <c r="AC12" i="74" s="1"/>
  <c r="Y12" i="74" a="1"/>
  <c r="Y12" i="74" s="1"/>
  <c r="W12" i="74" a="1"/>
  <c r="W12" i="74" s="1"/>
  <c r="V12" i="74" a="1"/>
  <c r="V12" i="74" s="1"/>
  <c r="AD12" i="74" a="1"/>
  <c r="AD12" i="74" s="1"/>
  <c r="S12" i="74" a="1"/>
  <c r="S12" i="74" s="1"/>
  <c r="AG12" i="74" a="1"/>
  <c r="AG12" i="74" s="1"/>
  <c r="AA12" i="74" a="1"/>
  <c r="AA12" i="74" s="1"/>
  <c r="X12" i="74" a="1"/>
  <c r="X12" i="74" s="1"/>
  <c r="AE12" i="74" a="1"/>
  <c r="AE12" i="74" s="1"/>
  <c r="R12" i="74" a="1"/>
  <c r="R12" i="74" s="1"/>
  <c r="Z12" i="74" a="1"/>
  <c r="Z12" i="74" s="1"/>
  <c r="AH12" i="74" a="1"/>
  <c r="AH12" i="74" s="1"/>
  <c r="AI12" i="74" a="1"/>
  <c r="AI12" i="74" s="1"/>
  <c r="T12" i="74" a="1"/>
  <c r="T12" i="74" s="1"/>
  <c r="AB12" i="74" a="1"/>
  <c r="AB12" i="74" s="1"/>
  <c r="Q12" i="73" a="1"/>
  <c r="Q12" i="73" s="1"/>
  <c r="AF12" i="73" a="1"/>
  <c r="AF12" i="73" s="1"/>
  <c r="AC12" i="73" a="1"/>
  <c r="AC12" i="73" s="1"/>
  <c r="R12" i="73" a="1"/>
  <c r="R12" i="73" s="1"/>
  <c r="Y12" i="73" a="1"/>
  <c r="Y12" i="73" s="1"/>
  <c r="S12" i="73" a="1"/>
  <c r="S12" i="73" s="1"/>
  <c r="AI12" i="73" a="1"/>
  <c r="AI12" i="73" s="1"/>
  <c r="T12" i="73" a="1"/>
  <c r="T12" i="73" s="1"/>
  <c r="AB12" i="73" a="1"/>
  <c r="AB12" i="73" s="1"/>
  <c r="AJ12" i="73" a="1"/>
  <c r="AJ12" i="73" s="1"/>
  <c r="AH12" i="73" a="1"/>
  <c r="AH12" i="73" s="1"/>
  <c r="U12" i="73" a="1"/>
  <c r="U12" i="73" s="1"/>
  <c r="AG12" i="73" a="1"/>
  <c r="AG12" i="73" s="1"/>
  <c r="W12" i="73" a="1"/>
  <c r="W12" i="73" s="1"/>
  <c r="V12" i="73" a="1"/>
  <c r="V12" i="73" s="1"/>
  <c r="AD12" i="73" a="1"/>
  <c r="AD12" i="73" s="1"/>
  <c r="Z12" i="73" a="1"/>
  <c r="Z12" i="73" s="1"/>
  <c r="AA12" i="73" a="1"/>
  <c r="AA12" i="73" s="1"/>
  <c r="X12" i="73" a="1"/>
  <c r="X12" i="73" s="1"/>
  <c r="E5" i="73"/>
  <c r="C5" i="73"/>
  <c r="D5" i="73"/>
  <c r="L6" i="73"/>
  <c r="O6" i="73"/>
  <c r="N6" i="73"/>
  <c r="M6" i="73"/>
  <c r="J7" i="73"/>
  <c r="I7" i="73"/>
  <c r="H7" i="73"/>
  <c r="G7" i="73"/>
  <c r="D10" i="73"/>
  <c r="E10" i="73"/>
  <c r="C10" i="73"/>
  <c r="I8" i="73"/>
  <c r="J8" i="73"/>
  <c r="H8" i="73"/>
  <c r="G8" i="73"/>
  <c r="N3" i="73"/>
  <c r="L3" i="73"/>
  <c r="M3" i="73"/>
  <c r="O3" i="73"/>
  <c r="G10" i="73"/>
  <c r="I10" i="73"/>
  <c r="H10" i="73"/>
  <c r="J10" i="73"/>
  <c r="D3" i="73"/>
  <c r="C3" i="73"/>
  <c r="E3" i="73"/>
  <c r="E8" i="73"/>
  <c r="D8" i="73"/>
  <c r="C8" i="73"/>
  <c r="C2" i="73"/>
  <c r="E2" i="73"/>
  <c r="D2" i="73"/>
  <c r="H11" i="73"/>
  <c r="I11" i="73"/>
  <c r="G11" i="73"/>
  <c r="J11" i="73"/>
  <c r="O5" i="73"/>
  <c r="L5" i="73"/>
  <c r="N5" i="73"/>
  <c r="M5" i="73"/>
  <c r="H5" i="73"/>
  <c r="G5" i="73"/>
  <c r="J5" i="73"/>
  <c r="I5" i="73"/>
  <c r="M2" i="73"/>
  <c r="L2" i="73"/>
  <c r="O2" i="73"/>
  <c r="N2" i="73"/>
  <c r="E11" i="73"/>
  <c r="D11" i="73"/>
  <c r="C11" i="73"/>
  <c r="I6" i="73"/>
  <c r="H6" i="73"/>
  <c r="G6" i="73"/>
  <c r="J6" i="73"/>
  <c r="E4" i="73"/>
  <c r="D4" i="73"/>
  <c r="C4" i="73"/>
  <c r="O11" i="73"/>
  <c r="M11" i="73"/>
  <c r="L11" i="73"/>
  <c r="N11" i="73"/>
  <c r="C9" i="73"/>
  <c r="E9" i="73"/>
  <c r="D9" i="73"/>
  <c r="J9" i="73"/>
  <c r="I9" i="73"/>
  <c r="H9" i="73"/>
  <c r="G9" i="73"/>
  <c r="G3" i="73"/>
  <c r="I3" i="73"/>
  <c r="J3" i="73"/>
  <c r="H3" i="73"/>
  <c r="N10" i="73"/>
  <c r="M10" i="73"/>
  <c r="L10" i="73"/>
  <c r="O10" i="73"/>
  <c r="M7" i="73"/>
  <c r="L7" i="73"/>
  <c r="N7" i="73"/>
  <c r="O7" i="73"/>
  <c r="O4" i="73"/>
  <c r="N4" i="73"/>
  <c r="M4" i="73"/>
  <c r="L4" i="73"/>
  <c r="L8" i="73"/>
  <c r="N8" i="73"/>
  <c r="M8" i="73"/>
  <c r="O8" i="73"/>
  <c r="E6" i="73"/>
  <c r="D6" i="73"/>
  <c r="C6" i="73"/>
  <c r="M9" i="73"/>
  <c r="N9" i="73"/>
  <c r="L9" i="73"/>
  <c r="O9" i="73"/>
  <c r="J2" i="73"/>
  <c r="H2" i="73"/>
  <c r="I2" i="73"/>
  <c r="G2" i="73"/>
  <c r="C7" i="73"/>
  <c r="E7" i="73"/>
  <c r="D7" i="73"/>
  <c r="H4" i="73"/>
  <c r="J4" i="73"/>
  <c r="G4" i="73"/>
  <c r="I4" i="73"/>
  <c r="Q12" i="71" a="1"/>
  <c r="Q12" i="71" s="1"/>
  <c r="AD12" i="71" a="1"/>
  <c r="AD12" i="71" s="1"/>
  <c r="Y12" i="71" a="1"/>
  <c r="Y12" i="71" s="1"/>
  <c r="AJ12" i="71" a="1"/>
  <c r="AJ12" i="71" s="1"/>
  <c r="AE12" i="71" a="1"/>
  <c r="AE12" i="71" s="1"/>
  <c r="X12" i="71" a="1"/>
  <c r="X12" i="71" s="1"/>
  <c r="V12" i="71" a="1"/>
  <c r="V12" i="71" s="1"/>
  <c r="T12" i="71" a="1"/>
  <c r="T12" i="71" s="1"/>
  <c r="AF12" i="71" a="1"/>
  <c r="AF12" i="71" s="1"/>
  <c r="AB12" i="71" a="1"/>
  <c r="AB12" i="71" s="1"/>
  <c r="AA12" i="71" a="1"/>
  <c r="AA12" i="71" s="1"/>
  <c r="AH12" i="71" a="1"/>
  <c r="AH12" i="71" s="1"/>
  <c r="AG12" i="71" a="1"/>
  <c r="AG12" i="71" s="1"/>
  <c r="U12" i="71" a="1"/>
  <c r="U12" i="71" s="1"/>
  <c r="AI12" i="71" a="1"/>
  <c r="AI12" i="71" s="1"/>
  <c r="R12" i="71" a="1"/>
  <c r="R12" i="71" s="1"/>
  <c r="W12" i="71" a="1"/>
  <c r="W12" i="71" s="1"/>
  <c r="Z12" i="71" a="1"/>
  <c r="Z12" i="71" s="1"/>
  <c r="AC12" i="71" a="1"/>
  <c r="AC12" i="71" s="1"/>
  <c r="S12" i="71" a="1"/>
  <c r="S12" i="71" s="1"/>
  <c r="U8" i="86" l="1" a="1"/>
  <c r="U8" i="86" s="1"/>
  <c r="Z5" i="85" a="1"/>
  <c r="Z5" i="85" s="1"/>
  <c r="AE6" i="85" a="1"/>
  <c r="AE6" i="85" s="1"/>
  <c r="AB8" i="85" a="1"/>
  <c r="AB8" i="85" s="1"/>
  <c r="S2" i="86" a="1"/>
  <c r="S2" i="86" s="1"/>
  <c r="Q2" i="86" a="1"/>
  <c r="Q2" i="86" s="1"/>
  <c r="Y9" i="86" a="1"/>
  <c r="Y9" i="86" s="1"/>
  <c r="T2" i="86" a="1"/>
  <c r="T2" i="86" s="1"/>
  <c r="V2" i="86" a="1"/>
  <c r="V2" i="86" s="1"/>
  <c r="AB2" i="86" a="1"/>
  <c r="AB2" i="86" s="1"/>
  <c r="S2" i="82" a="1"/>
  <c r="S2" i="82" s="1"/>
  <c r="AB9" i="86" a="1"/>
  <c r="AB9" i="86" s="1"/>
  <c r="AG11" i="84" a="1"/>
  <c r="AG11" i="84" s="1"/>
  <c r="Q8" i="85" a="1"/>
  <c r="Q8" i="85" s="1"/>
  <c r="AH10" i="86" a="1"/>
  <c r="AH10" i="86" s="1"/>
  <c r="X9" i="84" a="1"/>
  <c r="X9" i="84" s="1"/>
  <c r="Q9" i="86" a="1"/>
  <c r="Q9" i="86" s="1"/>
  <c r="T9" i="86" a="1"/>
  <c r="T9" i="86" s="1"/>
  <c r="Y2" i="86" a="1"/>
  <c r="Y2" i="86" s="1"/>
  <c r="AE2" i="86" a="1"/>
  <c r="AE2" i="86" s="1"/>
  <c r="T11" i="84" a="1"/>
  <c r="T11" i="84" s="1"/>
  <c r="X10" i="82" a="1"/>
  <c r="X10" i="82" s="1"/>
  <c r="AH3" i="84" a="1"/>
  <c r="AH3" i="84" s="1"/>
  <c r="Q11" i="84" a="1"/>
  <c r="Q11" i="84" s="1"/>
  <c r="R11" i="84" a="1"/>
  <c r="R11" i="84" s="1"/>
  <c r="AE3" i="86" a="1"/>
  <c r="AE3" i="86" s="1"/>
  <c r="AG8" i="85" a="1"/>
  <c r="AG8" i="85" s="1"/>
  <c r="AH2" i="86" a="1"/>
  <c r="AH2" i="86" s="1"/>
  <c r="AJ7" i="84" a="1"/>
  <c r="AJ7" i="84" s="1"/>
  <c r="AJ5" i="86" a="1"/>
  <c r="AJ5" i="86" s="1"/>
  <c r="AG4" i="86" a="1"/>
  <c r="AG4" i="86" s="1"/>
  <c r="AJ9" i="86" a="1"/>
  <c r="AJ9" i="86" s="1"/>
  <c r="Y7" i="85" a="1"/>
  <c r="Y7" i="85" s="1"/>
  <c r="Y5" i="85" a="1"/>
  <c r="Y5" i="85" s="1"/>
  <c r="R2" i="86" a="1"/>
  <c r="R2" i="86" s="1"/>
  <c r="Z2" i="86" a="1"/>
  <c r="Z2" i="86" s="1"/>
  <c r="AH9" i="86" a="1"/>
  <c r="AH9" i="86" s="1"/>
  <c r="AI7" i="85" a="1"/>
  <c r="AI7" i="85" s="1"/>
  <c r="V4" i="86" a="1"/>
  <c r="V4" i="86" s="1"/>
  <c r="AE4" i="85" a="1"/>
  <c r="AE4" i="85" s="1"/>
  <c r="AE7" i="86" a="1"/>
  <c r="AE7" i="86" s="1"/>
  <c r="AF8" i="86" a="1"/>
  <c r="AF8" i="86" s="1"/>
  <c r="AA3" i="84" a="1"/>
  <c r="AA3" i="84" s="1"/>
  <c r="AD6" i="86" a="1"/>
  <c r="AD6" i="86" s="1"/>
  <c r="AJ5" i="85" a="1"/>
  <c r="AJ5" i="85" s="1"/>
  <c r="AE9" i="85" a="1"/>
  <c r="AE9" i="85" s="1"/>
  <c r="AD10" i="84" a="1"/>
  <c r="AD10" i="84" s="1"/>
  <c r="R3" i="86" a="1"/>
  <c r="R3" i="86" s="1"/>
  <c r="AF11" i="85" a="1"/>
  <c r="AF11" i="85" s="1"/>
  <c r="AG3" i="86" a="1"/>
  <c r="AG3" i="86" s="1"/>
  <c r="R6" i="82" a="1"/>
  <c r="R6" i="82" s="1"/>
  <c r="AE2" i="81" a="1"/>
  <c r="AE2" i="81" s="1"/>
  <c r="AC8" i="81" a="1"/>
  <c r="AC8" i="81" s="1"/>
  <c r="AC3" i="83" a="1"/>
  <c r="AC3" i="83" s="1"/>
  <c r="AI11" i="83" a="1"/>
  <c r="AI11" i="83" s="1"/>
  <c r="X8" i="83" a="1"/>
  <c r="X8" i="83" s="1"/>
  <c r="Y9" i="83" a="1"/>
  <c r="Y9" i="83" s="1"/>
  <c r="AF2" i="86" a="1"/>
  <c r="AF2" i="86" s="1"/>
  <c r="AG2" i="86" a="1"/>
  <c r="AG2" i="86" s="1"/>
  <c r="AJ2" i="86" a="1"/>
  <c r="AJ2" i="86" s="1"/>
  <c r="Z10" i="86" a="1"/>
  <c r="Z10" i="86" s="1"/>
  <c r="AD4" i="86" a="1"/>
  <c r="AD4" i="86" s="1"/>
  <c r="AG9" i="86" a="1"/>
  <c r="AG9" i="86" s="1"/>
  <c r="R7" i="86" a="1"/>
  <c r="R7" i="86" s="1"/>
  <c r="AE8" i="86" a="1"/>
  <c r="AE8" i="86" s="1"/>
  <c r="AE11" i="86" a="1"/>
  <c r="AE11" i="86" s="1"/>
  <c r="Q3" i="84" a="1"/>
  <c r="Q3" i="84" s="1"/>
  <c r="R3" i="84" a="1"/>
  <c r="R3" i="84" s="1"/>
  <c r="Z3" i="86" a="1"/>
  <c r="Z3" i="86" s="1"/>
  <c r="Q3" i="86" a="1"/>
  <c r="Q3" i="86" s="1"/>
  <c r="Q11" i="85" a="1"/>
  <c r="Q11" i="85" s="1"/>
  <c r="R11" i="85" a="1"/>
  <c r="R11" i="85" s="1"/>
  <c r="V8" i="84" a="1"/>
  <c r="V8" i="84" s="1"/>
  <c r="W2" i="86" a="1"/>
  <c r="W2" i="86" s="1"/>
  <c r="AF5" i="86" a="1"/>
  <c r="AF5" i="86" s="1"/>
  <c r="AF2" i="84" a="1"/>
  <c r="AF2" i="84" s="1"/>
  <c r="AI4" i="86" a="1"/>
  <c r="AI4" i="86" s="1"/>
  <c r="AF9" i="86" a="1"/>
  <c r="AF9" i="86" s="1"/>
  <c r="AG7" i="86" a="1"/>
  <c r="AG7" i="86" s="1"/>
  <c r="AH8" i="86" a="1"/>
  <c r="AH8" i="86" s="1"/>
  <c r="AI11" i="86" a="1"/>
  <c r="AI11" i="86" s="1"/>
  <c r="Z7" i="85" a="1"/>
  <c r="Z7" i="85" s="1"/>
  <c r="AG3" i="84" a="1"/>
  <c r="AG3" i="84" s="1"/>
  <c r="W6" i="86" a="1"/>
  <c r="W6" i="86" s="1"/>
  <c r="AH3" i="86" a="1"/>
  <c r="AH3" i="86" s="1"/>
  <c r="Y3" i="86" a="1"/>
  <c r="Y3" i="86" s="1"/>
  <c r="Y11" i="85" a="1"/>
  <c r="Y11" i="85" s="1"/>
  <c r="U8" i="84" a="1"/>
  <c r="U8" i="84" s="1"/>
  <c r="AE10" i="86" a="1"/>
  <c r="AE10" i="86" s="1"/>
  <c r="W10" i="86" a="1"/>
  <c r="W10" i="86" s="1"/>
  <c r="AF10" i="86" a="1"/>
  <c r="AF10" i="86" s="1"/>
  <c r="X10" i="86" a="1"/>
  <c r="X10" i="86" s="1"/>
  <c r="T10" i="86" a="1"/>
  <c r="T10" i="86" s="1"/>
  <c r="AG10" i="86" a="1"/>
  <c r="AG10" i="86" s="1"/>
  <c r="Q10" i="86" a="1"/>
  <c r="Q10" i="86" s="1"/>
  <c r="AC10" i="86" a="1"/>
  <c r="AC10" i="86" s="1"/>
  <c r="U10" i="86" a="1"/>
  <c r="U10" i="86" s="1"/>
  <c r="AD10" i="86" a="1"/>
  <c r="AD10" i="86" s="1"/>
  <c r="V10" i="86" a="1"/>
  <c r="V10" i="86" s="1"/>
  <c r="R10" i="86" a="1"/>
  <c r="R10" i="86" s="1"/>
  <c r="Y10" i="86" a="1"/>
  <c r="Y10" i="86" s="1"/>
  <c r="AI10" i="86" a="1"/>
  <c r="AI10" i="86" s="1"/>
  <c r="AA10" i="86" a="1"/>
  <c r="AA10" i="86" s="1"/>
  <c r="S10" i="86" a="1"/>
  <c r="S10" i="86" s="1"/>
  <c r="AJ10" i="86" a="1"/>
  <c r="AJ10" i="86" s="1"/>
  <c r="AB10" i="86" a="1"/>
  <c r="AB10" i="86" s="1"/>
  <c r="AC5" i="86" a="1"/>
  <c r="AC5" i="86" s="1"/>
  <c r="AD5" i="86" a="1"/>
  <c r="AD5" i="86" s="1"/>
  <c r="U4" i="86" a="1"/>
  <c r="U4" i="86" s="1"/>
  <c r="T8" i="86" a="1"/>
  <c r="T8" i="86" s="1"/>
  <c r="V11" i="86" a="1"/>
  <c r="V11" i="86" s="1"/>
  <c r="AC11" i="86" a="1"/>
  <c r="AC11" i="86" s="1"/>
  <c r="AE6" i="86" a="1"/>
  <c r="AE6" i="86" s="1"/>
  <c r="X6" i="86" a="1"/>
  <c r="X6" i="86" s="1"/>
  <c r="AI8" i="85" a="1"/>
  <c r="AI8" i="85" s="1"/>
  <c r="AJ8" i="85" a="1"/>
  <c r="AJ8" i="85" s="1"/>
  <c r="U2" i="86" a="1"/>
  <c r="U2" i="86" s="1"/>
  <c r="AA2" i="86" a="1"/>
  <c r="AA2" i="86" s="1"/>
  <c r="AI2" i="86" a="1"/>
  <c r="AI2" i="86" s="1"/>
  <c r="AD2" i="86" a="1"/>
  <c r="AD2" i="86" s="1"/>
  <c r="W5" i="86" a="1"/>
  <c r="W5" i="86" s="1"/>
  <c r="AE5" i="86" a="1"/>
  <c r="AE5" i="86" s="1"/>
  <c r="X5" i="86" a="1"/>
  <c r="X5" i="86" s="1"/>
  <c r="X4" i="86" a="1"/>
  <c r="X4" i="86" s="1"/>
  <c r="AF4" i="86" a="1"/>
  <c r="AF4" i="86" s="1"/>
  <c r="W4" i="86" a="1"/>
  <c r="W4" i="86" s="1"/>
  <c r="AE4" i="86" a="1"/>
  <c r="AE4" i="86" s="1"/>
  <c r="AA4" i="85" a="1"/>
  <c r="AA4" i="85" s="1"/>
  <c r="AF4" i="85" a="1"/>
  <c r="AF4" i="85" s="1"/>
  <c r="AB4" i="85" a="1"/>
  <c r="AB4" i="85" s="1"/>
  <c r="S9" i="86" a="1"/>
  <c r="S9" i="86" s="1"/>
  <c r="AA9" i="86" a="1"/>
  <c r="AA9" i="86" s="1"/>
  <c r="AI9" i="86" a="1"/>
  <c r="AI9" i="86" s="1"/>
  <c r="V9" i="86" a="1"/>
  <c r="V9" i="86" s="1"/>
  <c r="AD9" i="86" a="1"/>
  <c r="AD9" i="86" s="1"/>
  <c r="T7" i="86" a="1"/>
  <c r="T7" i="86" s="1"/>
  <c r="Z7" i="86" a="1"/>
  <c r="Z7" i="86" s="1"/>
  <c r="AJ7" i="86" a="1"/>
  <c r="AJ7" i="86" s="1"/>
  <c r="AA7" i="86" a="1"/>
  <c r="AA7" i="86" s="1"/>
  <c r="AI7" i="86" a="1"/>
  <c r="AI7" i="86" s="1"/>
  <c r="S8" i="86" a="1"/>
  <c r="S8" i="86" s="1"/>
  <c r="AC8" i="86" a="1"/>
  <c r="AC8" i="86" s="1"/>
  <c r="Q8" i="86" a="1"/>
  <c r="Q8" i="86" s="1"/>
  <c r="V8" i="86" a="1"/>
  <c r="V8" i="86" s="1"/>
  <c r="AD8" i="86" a="1"/>
  <c r="AD8" i="86" s="1"/>
  <c r="X11" i="86" a="1"/>
  <c r="X11" i="86" s="1"/>
  <c r="AF11" i="86" a="1"/>
  <c r="AF11" i="86" s="1"/>
  <c r="W11" i="86" a="1"/>
  <c r="W11" i="86" s="1"/>
  <c r="AE7" i="85" a="1"/>
  <c r="AE7" i="85" s="1"/>
  <c r="AB7" i="85" a="1"/>
  <c r="AB7" i="85" s="1"/>
  <c r="AA7" i="85" a="1"/>
  <c r="AA7" i="85" s="1"/>
  <c r="Q6" i="86" a="1"/>
  <c r="Q6" i="86" s="1"/>
  <c r="Y6" i="86" a="1"/>
  <c r="Y6" i="86" s="1"/>
  <c r="AG6" i="86" a="1"/>
  <c r="AG6" i="86" s="1"/>
  <c r="R6" i="86" a="1"/>
  <c r="R6" i="86" s="1"/>
  <c r="Z6" i="86" a="1"/>
  <c r="Z6" i="86" s="1"/>
  <c r="AH6" i="86" a="1"/>
  <c r="AH6" i="86" s="1"/>
  <c r="AE5" i="85" a="1"/>
  <c r="AE5" i="85" s="1"/>
  <c r="AA5" i="85" a="1"/>
  <c r="AA5" i="85" s="1"/>
  <c r="AF5" i="85" a="1"/>
  <c r="AF5" i="85" s="1"/>
  <c r="AB5" i="85" a="1"/>
  <c r="AB5" i="85" s="1"/>
  <c r="R9" i="85" a="1"/>
  <c r="R9" i="85" s="1"/>
  <c r="T3" i="86" a="1"/>
  <c r="T3" i="86" s="1"/>
  <c r="AB3" i="86" a="1"/>
  <c r="AB3" i="86" s="1"/>
  <c r="AJ3" i="86" a="1"/>
  <c r="AJ3" i="86" s="1"/>
  <c r="S3" i="86" a="1"/>
  <c r="S3" i="86" s="1"/>
  <c r="AA3" i="86" a="1"/>
  <c r="AA3" i="86" s="1"/>
  <c r="AI3" i="86" a="1"/>
  <c r="AI3" i="86" s="1"/>
  <c r="AG11" i="85" a="1"/>
  <c r="AG11" i="85" s="1"/>
  <c r="Z11" i="85" a="1"/>
  <c r="Z11" i="85" s="1"/>
  <c r="R6" i="85" a="1"/>
  <c r="R6" i="85" s="1"/>
  <c r="U5" i="86" a="1"/>
  <c r="U5" i="86" s="1"/>
  <c r="V5" i="86" a="1"/>
  <c r="V5" i="86" s="1"/>
  <c r="Z4" i="85" a="1"/>
  <c r="Z4" i="85" s="1"/>
  <c r="AJ8" i="86" a="1"/>
  <c r="AJ8" i="86" s="1"/>
  <c r="AD11" i="86" a="1"/>
  <c r="AD11" i="86" s="1"/>
  <c r="U11" i="86" a="1"/>
  <c r="U11" i="86" s="1"/>
  <c r="AF6" i="86" a="1"/>
  <c r="AF6" i="86" s="1"/>
  <c r="AG9" i="85" a="1"/>
  <c r="AG9" i="85" s="1"/>
  <c r="AG6" i="85" a="1"/>
  <c r="AG6" i="85" s="1"/>
  <c r="V8" i="85" a="1"/>
  <c r="V8" i="85" s="1"/>
  <c r="AC2" i="86" a="1"/>
  <c r="AC2" i="86" s="1"/>
  <c r="X2" i="86" a="1"/>
  <c r="X2" i="86" s="1"/>
  <c r="Q5" i="86" a="1"/>
  <c r="Q5" i="86" s="1"/>
  <c r="Y5" i="86" a="1"/>
  <c r="Y5" i="86" s="1"/>
  <c r="AG5" i="86" a="1"/>
  <c r="AG5" i="86" s="1"/>
  <c r="R5" i="86" a="1"/>
  <c r="R5" i="86" s="1"/>
  <c r="Z5" i="86" a="1"/>
  <c r="Z5" i="86" s="1"/>
  <c r="AH5" i="86" a="1"/>
  <c r="AH5" i="86" s="1"/>
  <c r="AE10" i="85" a="1"/>
  <c r="AE10" i="85" s="1"/>
  <c r="R4" i="86" a="1"/>
  <c r="R4" i="86" s="1"/>
  <c r="Z4" i="86" a="1"/>
  <c r="Z4" i="86" s="1"/>
  <c r="AH4" i="86" a="1"/>
  <c r="AH4" i="86" s="1"/>
  <c r="Q4" i="86" a="1"/>
  <c r="Q4" i="86" s="1"/>
  <c r="Y4" i="86" a="1"/>
  <c r="Y4" i="86" s="1"/>
  <c r="Q4" i="85" a="1"/>
  <c r="Q4" i="85" s="1"/>
  <c r="AG4" i="85" a="1"/>
  <c r="AG4" i="85" s="1"/>
  <c r="R4" i="85" a="1"/>
  <c r="R4" i="85" s="1"/>
  <c r="AH4" i="85" a="1"/>
  <c r="AH4" i="85" s="1"/>
  <c r="AC9" i="84" a="1"/>
  <c r="AC9" i="84" s="1"/>
  <c r="U9" i="86" a="1"/>
  <c r="U9" i="86" s="1"/>
  <c r="AC9" i="86" a="1"/>
  <c r="AC9" i="86" s="1"/>
  <c r="X9" i="86" a="1"/>
  <c r="X9" i="86" s="1"/>
  <c r="X7" i="86" a="1"/>
  <c r="X7" i="86" s="1"/>
  <c r="Q7" i="86" a="1"/>
  <c r="Q7" i="86" s="1"/>
  <c r="AD7" i="86" a="1"/>
  <c r="AD7" i="86" s="1"/>
  <c r="U7" i="86" a="1"/>
  <c r="U7" i="86" s="1"/>
  <c r="AC7" i="86" a="1"/>
  <c r="AC7" i="86" s="1"/>
  <c r="AA8" i="86" a="1"/>
  <c r="AA8" i="86" s="1"/>
  <c r="Y8" i="86" a="1"/>
  <c r="Y8" i="86" s="1"/>
  <c r="X8" i="86" a="1"/>
  <c r="X8" i="86" s="1"/>
  <c r="R11" i="86" a="1"/>
  <c r="R11" i="86" s="1"/>
  <c r="Z11" i="86" a="1"/>
  <c r="Z11" i="86" s="1"/>
  <c r="AH11" i="86" a="1"/>
  <c r="AH11" i="86" s="1"/>
  <c r="Q11" i="86" a="1"/>
  <c r="Q11" i="86" s="1"/>
  <c r="Y11" i="86" a="1"/>
  <c r="Y11" i="86" s="1"/>
  <c r="AG11" i="86" a="1"/>
  <c r="AG11" i="86" s="1"/>
  <c r="R7" i="85" a="1"/>
  <c r="R7" i="85" s="1"/>
  <c r="AH7" i="85" a="1"/>
  <c r="AH7" i="85" s="1"/>
  <c r="Q7" i="85" a="1"/>
  <c r="Q7" i="85" s="1"/>
  <c r="AG7" i="85" a="1"/>
  <c r="AG7" i="85" s="1"/>
  <c r="Z3" i="84" a="1"/>
  <c r="Z3" i="84" s="1"/>
  <c r="S6" i="86" a="1"/>
  <c r="S6" i="86" s="1"/>
  <c r="AA6" i="86" a="1"/>
  <c r="AA6" i="86" s="1"/>
  <c r="AI6" i="86" a="1"/>
  <c r="AI6" i="86" s="1"/>
  <c r="T6" i="86" a="1"/>
  <c r="T6" i="86" s="1"/>
  <c r="AB6" i="86" a="1"/>
  <c r="AB6" i="86" s="1"/>
  <c r="AJ6" i="86" a="1"/>
  <c r="AJ6" i="86" s="1"/>
  <c r="Q5" i="85" a="1"/>
  <c r="Q5" i="85" s="1"/>
  <c r="AG5" i="85" a="1"/>
  <c r="AG5" i="85" s="1"/>
  <c r="R5" i="85" a="1"/>
  <c r="R5" i="85" s="1"/>
  <c r="AH5" i="85" a="1"/>
  <c r="AH5" i="85" s="1"/>
  <c r="AH11" i="84" a="1"/>
  <c r="AH11" i="84" s="1"/>
  <c r="Z9" i="85" a="1"/>
  <c r="Z9" i="85" s="1"/>
  <c r="Q9" i="85" a="1"/>
  <c r="Q9" i="85" s="1"/>
  <c r="V10" i="84" a="1"/>
  <c r="V10" i="84" s="1"/>
  <c r="V3" i="86" a="1"/>
  <c r="V3" i="86" s="1"/>
  <c r="AD3" i="86" a="1"/>
  <c r="AD3" i="86" s="1"/>
  <c r="U3" i="86" a="1"/>
  <c r="U3" i="86" s="1"/>
  <c r="AC3" i="86" a="1"/>
  <c r="AC3" i="86" s="1"/>
  <c r="AE11" i="85" a="1"/>
  <c r="AE11" i="85" s="1"/>
  <c r="AH11" i="85" a="1"/>
  <c r="AH11" i="85" s="1"/>
  <c r="Z6" i="85" a="1"/>
  <c r="Z6" i="85" s="1"/>
  <c r="Q6" i="85" a="1"/>
  <c r="Q6" i="85" s="1"/>
  <c r="Y4" i="84" a="1"/>
  <c r="Y4" i="84" s="1"/>
  <c r="AC4" i="86" a="1"/>
  <c r="AC4" i="86" s="1"/>
  <c r="Y4" i="85" a="1"/>
  <c r="Y4" i="85" s="1"/>
  <c r="V7" i="86" a="1"/>
  <c r="V7" i="86" s="1"/>
  <c r="AH7" i="86" a="1"/>
  <c r="AH7" i="86" s="1"/>
  <c r="Y7" i="86" a="1"/>
  <c r="Y7" i="86" s="1"/>
  <c r="AB8" i="86" a="1"/>
  <c r="AB8" i="86" s="1"/>
  <c r="AA8" i="85" a="1"/>
  <c r="AA8" i="85" s="1"/>
  <c r="AC8" i="84" a="1"/>
  <c r="AC8" i="84" s="1"/>
  <c r="S5" i="86" a="1"/>
  <c r="S5" i="86" s="1"/>
  <c r="AA5" i="86" a="1"/>
  <c r="AA5" i="86" s="1"/>
  <c r="AI5" i="86" a="1"/>
  <c r="AI5" i="86" s="1"/>
  <c r="T5" i="86" a="1"/>
  <c r="T5" i="86" s="1"/>
  <c r="AB5" i="86" a="1"/>
  <c r="AB5" i="86" s="1"/>
  <c r="AC2" i="84" a="1"/>
  <c r="AC2" i="84" s="1"/>
  <c r="T4" i="86" a="1"/>
  <c r="T4" i="86" s="1"/>
  <c r="AB4" i="86" a="1"/>
  <c r="AB4" i="86" s="1"/>
  <c r="AJ4" i="86" a="1"/>
  <c r="AJ4" i="86" s="1"/>
  <c r="S4" i="86" a="1"/>
  <c r="S4" i="86" s="1"/>
  <c r="AA4" i="86" a="1"/>
  <c r="AA4" i="86" s="1"/>
  <c r="S4" i="85" a="1"/>
  <c r="S4" i="85" s="1"/>
  <c r="AI4" i="85" a="1"/>
  <c r="AI4" i="85" s="1"/>
  <c r="T4" i="85" a="1"/>
  <c r="T4" i="85" s="1"/>
  <c r="AJ4" i="85" a="1"/>
  <c r="AJ4" i="85" s="1"/>
  <c r="AI2" i="85" a="1"/>
  <c r="AI2" i="85" s="1"/>
  <c r="W9" i="86" a="1"/>
  <c r="W9" i="86" s="1"/>
  <c r="AE9" i="86" a="1"/>
  <c r="AE9" i="86" s="1"/>
  <c r="R9" i="86" a="1"/>
  <c r="R9" i="86" s="1"/>
  <c r="Z9" i="86" a="1"/>
  <c r="Z9" i="86" s="1"/>
  <c r="AC5" i="84" a="1"/>
  <c r="AC5" i="84" s="1"/>
  <c r="AB7" i="86" a="1"/>
  <c r="AB7" i="86" s="1"/>
  <c r="S7" i="86" a="1"/>
  <c r="S7" i="86" s="1"/>
  <c r="AF7" i="86" a="1"/>
  <c r="AF7" i="86" s="1"/>
  <c r="W7" i="86" a="1"/>
  <c r="W7" i="86" s="1"/>
  <c r="AI8" i="86" a="1"/>
  <c r="AI8" i="86" s="1"/>
  <c r="W8" i="86" a="1"/>
  <c r="W8" i="86" s="1"/>
  <c r="AG8" i="86" a="1"/>
  <c r="AG8" i="86" s="1"/>
  <c r="R8" i="86" a="1"/>
  <c r="R8" i="86" s="1"/>
  <c r="Z8" i="86" a="1"/>
  <c r="Z8" i="86" s="1"/>
  <c r="T11" i="86" a="1"/>
  <c r="T11" i="86" s="1"/>
  <c r="AB11" i="86" a="1"/>
  <c r="AB11" i="86" s="1"/>
  <c r="AJ11" i="86" a="1"/>
  <c r="AJ11" i="86" s="1"/>
  <c r="S11" i="86" a="1"/>
  <c r="S11" i="86" s="1"/>
  <c r="AA11" i="86" a="1"/>
  <c r="AA11" i="86" s="1"/>
  <c r="T7" i="85" a="1"/>
  <c r="T7" i="85" s="1"/>
  <c r="AJ7" i="85" a="1"/>
  <c r="AJ7" i="85" s="1"/>
  <c r="S7" i="85" a="1"/>
  <c r="S7" i="85" s="1"/>
  <c r="U6" i="86" a="1"/>
  <c r="U6" i="86" s="1"/>
  <c r="AC6" i="86" a="1"/>
  <c r="AC6" i="86" s="1"/>
  <c r="V6" i="86" a="1"/>
  <c r="V6" i="86" s="1"/>
  <c r="S5" i="85" a="1"/>
  <c r="S5" i="85" s="1"/>
  <c r="AI5" i="85" a="1"/>
  <c r="AI5" i="85" s="1"/>
  <c r="T5" i="85" a="1"/>
  <c r="T5" i="85" s="1"/>
  <c r="AC3" i="85" a="1"/>
  <c r="AC3" i="85" s="1"/>
  <c r="AH9" i="85" a="1"/>
  <c r="AH9" i="85" s="1"/>
  <c r="Y9" i="85" a="1"/>
  <c r="Y9" i="85" s="1"/>
  <c r="X3" i="86" a="1"/>
  <c r="X3" i="86" s="1"/>
  <c r="AF3" i="86" a="1"/>
  <c r="AF3" i="86" s="1"/>
  <c r="W3" i="86" a="1"/>
  <c r="W3" i="86" s="1"/>
  <c r="AH6" i="85" a="1"/>
  <c r="AH6" i="85" s="1"/>
  <c r="Y6" i="85" a="1"/>
  <c r="Y6" i="85" s="1"/>
  <c r="AH10" i="85" a="1"/>
  <c r="AH10" i="85" s="1"/>
  <c r="AG10" i="85" a="1"/>
  <c r="AG10" i="85" s="1"/>
  <c r="X2" i="85" a="1"/>
  <c r="X2" i="85" s="1"/>
  <c r="AF3" i="85" a="1"/>
  <c r="AF3" i="85" s="1"/>
  <c r="W3" i="85" a="1"/>
  <c r="W3" i="85" s="1"/>
  <c r="AH4" i="83" a="1"/>
  <c r="AH4" i="83" s="1"/>
  <c r="T8" i="85" a="1"/>
  <c r="T8" i="85" s="1"/>
  <c r="AE8" i="85" a="1"/>
  <c r="AE8" i="85" s="1"/>
  <c r="AF8" i="85" a="1"/>
  <c r="AF8" i="85" s="1"/>
  <c r="Y8" i="85" a="1"/>
  <c r="Y8" i="85" s="1"/>
  <c r="AH8" i="85" a="1"/>
  <c r="AH8" i="85" s="1"/>
  <c r="AE8" i="84" a="1"/>
  <c r="AE8" i="84" s="1"/>
  <c r="V7" i="84" a="1"/>
  <c r="V7" i="84" s="1"/>
  <c r="T2" i="84" a="1"/>
  <c r="T2" i="84" s="1"/>
  <c r="T10" i="85" a="1"/>
  <c r="T10" i="85" s="1"/>
  <c r="AB10" i="85" a="1"/>
  <c r="AB10" i="85" s="1"/>
  <c r="AJ10" i="85" a="1"/>
  <c r="AJ10" i="85" s="1"/>
  <c r="S10" i="85" a="1"/>
  <c r="S10" i="85" s="1"/>
  <c r="AA10" i="85" a="1"/>
  <c r="AA10" i="85" s="1"/>
  <c r="AI10" i="85" a="1"/>
  <c r="AI10" i="85" s="1"/>
  <c r="U4" i="85" a="1"/>
  <c r="U4" i="85" s="1"/>
  <c r="AC4" i="85" a="1"/>
  <c r="AC4" i="85" s="1"/>
  <c r="V4" i="85" a="1"/>
  <c r="V4" i="85" s="1"/>
  <c r="AD4" i="85" a="1"/>
  <c r="AD4" i="85" s="1"/>
  <c r="R2" i="85" a="1"/>
  <c r="R2" i="85" s="1"/>
  <c r="Z2" i="85" a="1"/>
  <c r="Z2" i="85" s="1"/>
  <c r="AH2" i="85" a="1"/>
  <c r="AH2" i="85" s="1"/>
  <c r="W2" i="85" a="1"/>
  <c r="W2" i="85" s="1"/>
  <c r="AE2" i="85" a="1"/>
  <c r="AE2" i="85" s="1"/>
  <c r="V7" i="85" a="1"/>
  <c r="V7" i="85" s="1"/>
  <c r="AD7" i="85" a="1"/>
  <c r="AD7" i="85" s="1"/>
  <c r="U7" i="85" a="1"/>
  <c r="U7" i="85" s="1"/>
  <c r="AC7" i="85" a="1"/>
  <c r="AC7" i="85" s="1"/>
  <c r="S3" i="84" a="1"/>
  <c r="S3" i="84" s="1"/>
  <c r="AI3" i="84" a="1"/>
  <c r="AI3" i="84" s="1"/>
  <c r="T3" i="84" a="1"/>
  <c r="T3" i="84" s="1"/>
  <c r="AJ3" i="84" a="1"/>
  <c r="AJ3" i="84" s="1"/>
  <c r="U5" i="85" a="1"/>
  <c r="U5" i="85" s="1"/>
  <c r="AC5" i="85" a="1"/>
  <c r="AC5" i="85" s="1"/>
  <c r="V5" i="85" a="1"/>
  <c r="V5" i="85" s="1"/>
  <c r="AD5" i="85" a="1"/>
  <c r="AD5" i="85" s="1"/>
  <c r="R3" i="85" a="1"/>
  <c r="R3" i="85" s="1"/>
  <c r="Z3" i="85" a="1"/>
  <c r="Z3" i="85" s="1"/>
  <c r="AH3" i="85" a="1"/>
  <c r="AH3" i="85" s="1"/>
  <c r="Q3" i="85" a="1"/>
  <c r="Q3" i="85" s="1"/>
  <c r="Y3" i="85" a="1"/>
  <c r="Y3" i="85" s="1"/>
  <c r="AG3" i="85" a="1"/>
  <c r="AG3" i="85" s="1"/>
  <c r="S11" i="84" a="1"/>
  <c r="S11" i="84" s="1"/>
  <c r="AI11" i="84" a="1"/>
  <c r="AI11" i="84" s="1"/>
  <c r="Z11" i="84" a="1"/>
  <c r="Z11" i="84" s="1"/>
  <c r="T9" i="85" a="1"/>
  <c r="T9" i="85" s="1"/>
  <c r="AB9" i="85" a="1"/>
  <c r="AB9" i="85" s="1"/>
  <c r="AJ9" i="85" a="1"/>
  <c r="AJ9" i="85" s="1"/>
  <c r="S9" i="85" a="1"/>
  <c r="S9" i="85" s="1"/>
  <c r="AA9" i="85" a="1"/>
  <c r="AA9" i="85" s="1"/>
  <c r="AI9" i="85" a="1"/>
  <c r="AI9" i="85" s="1"/>
  <c r="U10" i="84" a="1"/>
  <c r="U10" i="84" s="1"/>
  <c r="S11" i="85" a="1"/>
  <c r="S11" i="85" s="1"/>
  <c r="AA11" i="85" a="1"/>
  <c r="AA11" i="85" s="1"/>
  <c r="AI11" i="85" a="1"/>
  <c r="AI11" i="85" s="1"/>
  <c r="T11" i="85" a="1"/>
  <c r="T11" i="85" s="1"/>
  <c r="AB11" i="85" a="1"/>
  <c r="AB11" i="85" s="1"/>
  <c r="AJ11" i="85" a="1"/>
  <c r="AJ11" i="85" s="1"/>
  <c r="T6" i="85" a="1"/>
  <c r="T6" i="85" s="1"/>
  <c r="AB6" i="85" a="1"/>
  <c r="AB6" i="85" s="1"/>
  <c r="AJ6" i="85" a="1"/>
  <c r="AJ6" i="85" s="1"/>
  <c r="S6" i="85" a="1"/>
  <c r="S6" i="85" s="1"/>
  <c r="AA6" i="85" a="1"/>
  <c r="AA6" i="85" s="1"/>
  <c r="AI6" i="85" a="1"/>
  <c r="AI6" i="85" s="1"/>
  <c r="AF4" i="84" a="1"/>
  <c r="AF4" i="84" s="1"/>
  <c r="Z10" i="85" a="1"/>
  <c r="Z10" i="85" s="1"/>
  <c r="Y10" i="85" a="1"/>
  <c r="Y10" i="85" s="1"/>
  <c r="AF2" i="85" a="1"/>
  <c r="AF2" i="85" s="1"/>
  <c r="U2" i="85" a="1"/>
  <c r="U2" i="85" s="1"/>
  <c r="AC2" i="85" a="1"/>
  <c r="AC2" i="85" s="1"/>
  <c r="X3" i="85" a="1"/>
  <c r="X3" i="85" s="1"/>
  <c r="AE3" i="85" a="1"/>
  <c r="AE3" i="85" s="1"/>
  <c r="T2" i="83" a="1"/>
  <c r="T2" i="83" s="1"/>
  <c r="Z8" i="85" a="1"/>
  <c r="Z8" i="85" s="1"/>
  <c r="R8" i="85" a="1"/>
  <c r="R8" i="85" s="1"/>
  <c r="U8" i="85" a="1"/>
  <c r="U8" i="85" s="1"/>
  <c r="AC8" i="85" a="1"/>
  <c r="AC8" i="85" s="1"/>
  <c r="AD8" i="84" a="1"/>
  <c r="AD8" i="84" s="1"/>
  <c r="W2" i="84" a="1"/>
  <c r="W2" i="84" s="1"/>
  <c r="AI2" i="84" a="1"/>
  <c r="AI2" i="84" s="1"/>
  <c r="S2" i="84" a="1"/>
  <c r="S2" i="84" s="1"/>
  <c r="V10" i="85" a="1"/>
  <c r="V10" i="85" s="1"/>
  <c r="AD10" i="85" a="1"/>
  <c r="AD10" i="85" s="1"/>
  <c r="U10" i="85" a="1"/>
  <c r="U10" i="85" s="1"/>
  <c r="AC10" i="85" a="1"/>
  <c r="AC10" i="85" s="1"/>
  <c r="W4" i="85" a="1"/>
  <c r="W4" i="85" s="1"/>
  <c r="X4" i="85" a="1"/>
  <c r="X4" i="85" s="1"/>
  <c r="T2" i="85" a="1"/>
  <c r="T2" i="85" s="1"/>
  <c r="AB2" i="85" a="1"/>
  <c r="AB2" i="85" s="1"/>
  <c r="AJ2" i="85" a="1"/>
  <c r="AJ2" i="85" s="1"/>
  <c r="Y2" i="85" a="1"/>
  <c r="Y2" i="85" s="1"/>
  <c r="AG2" i="85" a="1"/>
  <c r="AG2" i="85" s="1"/>
  <c r="X7" i="85" a="1"/>
  <c r="X7" i="85" s="1"/>
  <c r="AF7" i="85" a="1"/>
  <c r="AF7" i="85" s="1"/>
  <c r="W7" i="85" a="1"/>
  <c r="W7" i="85" s="1"/>
  <c r="AE3" i="84" a="1"/>
  <c r="AE3" i="84" s="1"/>
  <c r="Y3" i="84" a="1"/>
  <c r="Y3" i="84" s="1"/>
  <c r="W5" i="85" a="1"/>
  <c r="W5" i="85" s="1"/>
  <c r="X5" i="85" a="1"/>
  <c r="X5" i="85" s="1"/>
  <c r="T3" i="85" a="1"/>
  <c r="T3" i="85" s="1"/>
  <c r="AB3" i="85" a="1"/>
  <c r="AB3" i="85" s="1"/>
  <c r="AJ3" i="85" a="1"/>
  <c r="AJ3" i="85" s="1"/>
  <c r="S3" i="85" a="1"/>
  <c r="S3" i="85" s="1"/>
  <c r="AA3" i="85" a="1"/>
  <c r="AA3" i="85" s="1"/>
  <c r="AI3" i="85" a="1"/>
  <c r="AI3" i="85" s="1"/>
  <c r="AE11" i="84" a="1"/>
  <c r="AE11" i="84" s="1"/>
  <c r="Y11" i="84" a="1"/>
  <c r="Y11" i="84" s="1"/>
  <c r="V9" i="85" a="1"/>
  <c r="V9" i="85" s="1"/>
  <c r="AD9" i="85" a="1"/>
  <c r="AD9" i="85" s="1"/>
  <c r="U9" i="85" a="1"/>
  <c r="U9" i="85" s="1"/>
  <c r="AC9" i="85" a="1"/>
  <c r="AC9" i="85" s="1"/>
  <c r="AI10" i="84" a="1"/>
  <c r="AI10" i="84" s="1"/>
  <c r="U11" i="85" a="1"/>
  <c r="U11" i="85" s="1"/>
  <c r="AC11" i="85" a="1"/>
  <c r="AC11" i="85" s="1"/>
  <c r="V11" i="85" a="1"/>
  <c r="V11" i="85" s="1"/>
  <c r="AD11" i="85" a="1"/>
  <c r="AD11" i="85" s="1"/>
  <c r="V6" i="85" a="1"/>
  <c r="V6" i="85" s="1"/>
  <c r="AD6" i="85" a="1"/>
  <c r="AD6" i="85" s="1"/>
  <c r="U6" i="85" a="1"/>
  <c r="U6" i="85" s="1"/>
  <c r="AC6" i="85" a="1"/>
  <c r="AC6" i="85" s="1"/>
  <c r="AE4" i="84" a="1"/>
  <c r="AE4" i="84" s="1"/>
  <c r="Q10" i="85" a="1"/>
  <c r="Q10" i="85" s="1"/>
  <c r="AD8" i="85" a="1"/>
  <c r="AD8" i="85" s="1"/>
  <c r="W8" i="85" a="1"/>
  <c r="W8" i="85" s="1"/>
  <c r="X8" i="85" a="1"/>
  <c r="X8" i="85" s="1"/>
  <c r="S8" i="85" a="1"/>
  <c r="S8" i="85" s="1"/>
  <c r="AJ8" i="84" a="1"/>
  <c r="AJ8" i="84" s="1"/>
  <c r="AD2" i="84" a="1"/>
  <c r="AD2" i="84" s="1"/>
  <c r="R2" i="84" a="1"/>
  <c r="R2" i="84" s="1"/>
  <c r="AG2" i="84" a="1"/>
  <c r="AG2" i="84" s="1"/>
  <c r="R10" i="85" a="1"/>
  <c r="R10" i="85" s="1"/>
  <c r="X10" i="85" a="1"/>
  <c r="X10" i="85" s="1"/>
  <c r="AF10" i="85" a="1"/>
  <c r="AF10" i="85" s="1"/>
  <c r="W10" i="85" a="1"/>
  <c r="W10" i="85" s="1"/>
  <c r="AC6" i="84" a="1"/>
  <c r="AC6" i="84" s="1"/>
  <c r="Q2" i="85" a="1"/>
  <c r="Q2" i="85" s="1"/>
  <c r="V2" i="85" a="1"/>
  <c r="V2" i="85" s="1"/>
  <c r="AD2" i="85" a="1"/>
  <c r="AD2" i="85" s="1"/>
  <c r="S2" i="85" a="1"/>
  <c r="S2" i="85" s="1"/>
  <c r="AA2" i="85" a="1"/>
  <c r="AA2" i="85" s="1"/>
  <c r="AF3" i="84" a="1"/>
  <c r="AF3" i="84" s="1"/>
  <c r="AB3" i="84" a="1"/>
  <c r="AB3" i="84" s="1"/>
  <c r="V3" i="85" a="1"/>
  <c r="V3" i="85" s="1"/>
  <c r="AD3" i="85" a="1"/>
  <c r="AD3" i="85" s="1"/>
  <c r="U3" i="85" a="1"/>
  <c r="U3" i="85" s="1"/>
  <c r="AA11" i="84" a="1"/>
  <c r="AA11" i="84" s="1"/>
  <c r="AF11" i="84" a="1"/>
  <c r="AF11" i="84" s="1"/>
  <c r="X9" i="85" a="1"/>
  <c r="X9" i="85" s="1"/>
  <c r="AF9" i="85" a="1"/>
  <c r="AF9" i="85" s="1"/>
  <c r="W9" i="85" a="1"/>
  <c r="W9" i="85" s="1"/>
  <c r="W11" i="85" a="1"/>
  <c r="W11" i="85" s="1"/>
  <c r="X11" i="85" a="1"/>
  <c r="X11" i="85" s="1"/>
  <c r="X6" i="85" a="1"/>
  <c r="X6" i="85" s="1"/>
  <c r="AF6" i="85" a="1"/>
  <c r="AF6" i="85" s="1"/>
  <c r="W6" i="85" a="1"/>
  <c r="W6" i="85" s="1"/>
  <c r="AC7" i="84" a="1"/>
  <c r="AC7" i="84" s="1"/>
  <c r="AD7" i="84" a="1"/>
  <c r="AD7" i="84" s="1"/>
  <c r="W6" i="84" a="1"/>
  <c r="W6" i="84" s="1"/>
  <c r="W5" i="84" a="1"/>
  <c r="W5" i="84" s="1"/>
  <c r="AC10" i="84" a="1"/>
  <c r="AC10" i="84" s="1"/>
  <c r="R4" i="84" a="1"/>
  <c r="R4" i="84" s="1"/>
  <c r="Y4" i="82" a="1"/>
  <c r="Y4" i="82" s="1"/>
  <c r="AG5" i="82" a="1"/>
  <c r="AG5" i="82" s="1"/>
  <c r="AG6" i="83" a="1"/>
  <c r="AG6" i="83" s="1"/>
  <c r="AH6" i="82" a="1"/>
  <c r="AH6" i="82" s="1"/>
  <c r="Y4" i="83" a="1"/>
  <c r="Y4" i="83" s="1"/>
  <c r="W8" i="84" a="1"/>
  <c r="W8" i="84" s="1"/>
  <c r="X8" i="84" a="1"/>
  <c r="X8" i="84" s="1"/>
  <c r="AF8" i="84" a="1"/>
  <c r="AF8" i="84" s="1"/>
  <c r="W7" i="84" a="1"/>
  <c r="W7" i="84" s="1"/>
  <c r="AE7" i="84" a="1"/>
  <c r="AE7" i="84" s="1"/>
  <c r="X7" i="84" a="1"/>
  <c r="X7" i="84" s="1"/>
  <c r="AF7" i="84" a="1"/>
  <c r="AF7" i="84" s="1"/>
  <c r="AH2" i="84" a="1"/>
  <c r="AH2" i="84" s="1"/>
  <c r="AJ2" i="84" a="1"/>
  <c r="AJ2" i="84" s="1"/>
  <c r="U2" i="84" a="1"/>
  <c r="U2" i="84" s="1"/>
  <c r="R6" i="84" a="1"/>
  <c r="R6" i="84" s="1"/>
  <c r="Z6" i="84" a="1"/>
  <c r="Z6" i="84" s="1"/>
  <c r="AH6" i="84" a="1"/>
  <c r="AH6" i="84" s="1"/>
  <c r="Q6" i="84" a="1"/>
  <c r="Q6" i="84" s="1"/>
  <c r="Y6" i="84" a="1"/>
  <c r="Y6" i="84" s="1"/>
  <c r="AG6" i="84" a="1"/>
  <c r="AG6" i="84" s="1"/>
  <c r="R9" i="84" a="1"/>
  <c r="R9" i="84" s="1"/>
  <c r="Z9" i="84" a="1"/>
  <c r="Z9" i="84" s="1"/>
  <c r="AH9" i="84" a="1"/>
  <c r="AH9" i="84" s="1"/>
  <c r="Q9" i="84" a="1"/>
  <c r="Q9" i="84" s="1"/>
  <c r="Y9" i="84" a="1"/>
  <c r="Y9" i="84" s="1"/>
  <c r="AG9" i="84" a="1"/>
  <c r="AG9" i="84" s="1"/>
  <c r="R5" i="84" a="1"/>
  <c r="R5" i="84" s="1"/>
  <c r="Z5" i="84" a="1"/>
  <c r="Z5" i="84" s="1"/>
  <c r="AH5" i="84" a="1"/>
  <c r="AH5" i="84" s="1"/>
  <c r="Q5" i="84" a="1"/>
  <c r="Q5" i="84" s="1"/>
  <c r="Y5" i="84" a="1"/>
  <c r="Y5" i="84" s="1"/>
  <c r="AG5" i="84" a="1"/>
  <c r="AG5" i="84" s="1"/>
  <c r="AB11" i="84" a="1"/>
  <c r="AB11" i="84" s="1"/>
  <c r="AJ11" i="84" a="1"/>
  <c r="AJ11" i="84" s="1"/>
  <c r="X10" i="84" a="1"/>
  <c r="X10" i="84" s="1"/>
  <c r="AF10" i="84" a="1"/>
  <c r="AF10" i="84" s="1"/>
  <c r="W10" i="84" a="1"/>
  <c r="W10" i="84" s="1"/>
  <c r="AE10" i="84" a="1"/>
  <c r="AE10" i="84" s="1"/>
  <c r="Q4" i="84" a="1"/>
  <c r="Q4" i="84" s="1"/>
  <c r="AA4" i="84" a="1"/>
  <c r="AA4" i="84" s="1"/>
  <c r="AI4" i="84" a="1"/>
  <c r="AI4" i="84" s="1"/>
  <c r="T4" i="84" a="1"/>
  <c r="T4" i="84" s="1"/>
  <c r="AB4" i="84" a="1"/>
  <c r="AB4" i="84" s="1"/>
  <c r="AJ4" i="84" a="1"/>
  <c r="AJ4" i="84" s="1"/>
  <c r="U7" i="84" a="1"/>
  <c r="U7" i="84" s="1"/>
  <c r="AF6" i="84" a="1"/>
  <c r="AF6" i="84" s="1"/>
  <c r="AE6" i="84" a="1"/>
  <c r="AE6" i="84" s="1"/>
  <c r="W9" i="84" a="1"/>
  <c r="W9" i="84" s="1"/>
  <c r="AF5" i="84" a="1"/>
  <c r="AF5" i="84" s="1"/>
  <c r="AE5" i="84" a="1"/>
  <c r="AE5" i="84" s="1"/>
  <c r="Y6" i="82" a="1"/>
  <c r="Y6" i="82" s="1"/>
  <c r="V4" i="83" a="1"/>
  <c r="V4" i="83" s="1"/>
  <c r="AE9" i="83" a="1"/>
  <c r="AE9" i="83" s="1"/>
  <c r="R9" i="83" a="1"/>
  <c r="R9" i="83" s="1"/>
  <c r="Q8" i="84" a="1"/>
  <c r="Q8" i="84" s="1"/>
  <c r="Y8" i="84" a="1"/>
  <c r="Y8" i="84" s="1"/>
  <c r="AG8" i="84" a="1"/>
  <c r="AG8" i="84" s="1"/>
  <c r="R8" i="84" a="1"/>
  <c r="R8" i="84" s="1"/>
  <c r="Z8" i="84" a="1"/>
  <c r="Z8" i="84" s="1"/>
  <c r="AH8" i="84" a="1"/>
  <c r="AH8" i="84" s="1"/>
  <c r="Q7" i="84" a="1"/>
  <c r="Q7" i="84" s="1"/>
  <c r="Y7" i="84" a="1"/>
  <c r="Y7" i="84" s="1"/>
  <c r="AG7" i="84" a="1"/>
  <c r="AG7" i="84" s="1"/>
  <c r="R7" i="84" a="1"/>
  <c r="R7" i="84" s="1"/>
  <c r="Z7" i="84" a="1"/>
  <c r="Z7" i="84" s="1"/>
  <c r="AH7" i="84" a="1"/>
  <c r="AH7" i="84" s="1"/>
  <c r="V2" i="84" a="1"/>
  <c r="V2" i="84" s="1"/>
  <c r="AA2" i="84" a="1"/>
  <c r="AA2" i="84" s="1"/>
  <c r="X2" i="84" a="1"/>
  <c r="X2" i="84" s="1"/>
  <c r="Y2" i="84" a="1"/>
  <c r="Y2" i="84" s="1"/>
  <c r="T6" i="84" a="1"/>
  <c r="T6" i="84" s="1"/>
  <c r="AB6" i="84" a="1"/>
  <c r="AB6" i="84" s="1"/>
  <c r="AJ6" i="84" a="1"/>
  <c r="AJ6" i="84" s="1"/>
  <c r="S6" i="84" a="1"/>
  <c r="S6" i="84" s="1"/>
  <c r="AA6" i="84" a="1"/>
  <c r="AA6" i="84" s="1"/>
  <c r="AI6" i="84" a="1"/>
  <c r="AI6" i="84" s="1"/>
  <c r="T9" i="84" a="1"/>
  <c r="T9" i="84" s="1"/>
  <c r="AB9" i="84" a="1"/>
  <c r="AB9" i="84" s="1"/>
  <c r="AJ9" i="84" a="1"/>
  <c r="AJ9" i="84" s="1"/>
  <c r="S9" i="84" a="1"/>
  <c r="S9" i="84" s="1"/>
  <c r="AA9" i="84" a="1"/>
  <c r="AA9" i="84" s="1"/>
  <c r="AI9" i="84" a="1"/>
  <c r="AI9" i="84" s="1"/>
  <c r="T5" i="84" a="1"/>
  <c r="T5" i="84" s="1"/>
  <c r="AB5" i="84" a="1"/>
  <c r="AB5" i="84" s="1"/>
  <c r="AJ5" i="84" a="1"/>
  <c r="AJ5" i="84" s="1"/>
  <c r="S5" i="84" a="1"/>
  <c r="S5" i="84" s="1"/>
  <c r="AA5" i="84" a="1"/>
  <c r="AA5" i="84" s="1"/>
  <c r="AI5" i="84" a="1"/>
  <c r="AI5" i="84" s="1"/>
  <c r="U3" i="84" a="1"/>
  <c r="U3" i="84" s="1"/>
  <c r="AC3" i="84" a="1"/>
  <c r="AC3" i="84" s="1"/>
  <c r="V3" i="84" a="1"/>
  <c r="V3" i="84" s="1"/>
  <c r="AD3" i="84" a="1"/>
  <c r="AD3" i="84" s="1"/>
  <c r="U11" i="84" a="1"/>
  <c r="U11" i="84" s="1"/>
  <c r="AC11" i="84" a="1"/>
  <c r="AC11" i="84" s="1"/>
  <c r="V11" i="84" a="1"/>
  <c r="V11" i="84" s="1"/>
  <c r="AD11" i="84" a="1"/>
  <c r="AD11" i="84" s="1"/>
  <c r="R10" i="84" a="1"/>
  <c r="R10" i="84" s="1"/>
  <c r="Z10" i="84" a="1"/>
  <c r="Z10" i="84" s="1"/>
  <c r="AH10" i="84" a="1"/>
  <c r="AH10" i="84" s="1"/>
  <c r="Q10" i="84" a="1"/>
  <c r="Q10" i="84" s="1"/>
  <c r="Y10" i="84" a="1"/>
  <c r="Y10" i="84" s="1"/>
  <c r="AG10" i="84" a="1"/>
  <c r="AG10" i="84" s="1"/>
  <c r="U4" i="84" a="1"/>
  <c r="U4" i="84" s="1"/>
  <c r="AC4" i="84" a="1"/>
  <c r="AC4" i="84" s="1"/>
  <c r="V4" i="84" a="1"/>
  <c r="V4" i="84" s="1"/>
  <c r="AD4" i="84" a="1"/>
  <c r="AD4" i="84" s="1"/>
  <c r="X6" i="84" a="1"/>
  <c r="X6" i="84" s="1"/>
  <c r="AF9" i="84" a="1"/>
  <c r="AF9" i="84" s="1"/>
  <c r="AE9" i="84" a="1"/>
  <c r="AE9" i="84" s="1"/>
  <c r="X5" i="84" a="1"/>
  <c r="X5" i="84" s="1"/>
  <c r="AG4" i="84" a="1"/>
  <c r="AG4" i="84" s="1"/>
  <c r="Z4" i="84" a="1"/>
  <c r="Z4" i="84" s="1"/>
  <c r="AH4" i="84" a="1"/>
  <c r="AH4" i="84" s="1"/>
  <c r="AG10" i="83" a="1"/>
  <c r="AG10" i="83" s="1"/>
  <c r="AG4" i="83" a="1"/>
  <c r="AG4" i="83" s="1"/>
  <c r="AI5" i="83" a="1"/>
  <c r="AI5" i="83" s="1"/>
  <c r="Y8" i="83" a="1"/>
  <c r="Y8" i="83" s="1"/>
  <c r="S8" i="84" a="1"/>
  <c r="S8" i="84" s="1"/>
  <c r="AA8" i="84" a="1"/>
  <c r="AA8" i="84" s="1"/>
  <c r="AI8" i="84" a="1"/>
  <c r="AI8" i="84" s="1"/>
  <c r="T8" i="84" a="1"/>
  <c r="T8" i="84" s="1"/>
  <c r="AB8" i="84" a="1"/>
  <c r="AB8" i="84" s="1"/>
  <c r="S7" i="84" a="1"/>
  <c r="S7" i="84" s="1"/>
  <c r="AA7" i="84" a="1"/>
  <c r="AA7" i="84" s="1"/>
  <c r="AI7" i="84" a="1"/>
  <c r="AI7" i="84" s="1"/>
  <c r="T7" i="84" a="1"/>
  <c r="T7" i="84" s="1"/>
  <c r="AB7" i="84" a="1"/>
  <c r="AB7" i="84" s="1"/>
  <c r="Z2" i="84" a="1"/>
  <c r="Z2" i="84" s="1"/>
  <c r="AE2" i="84" a="1"/>
  <c r="AE2" i="84" s="1"/>
  <c r="AB2" i="84" a="1"/>
  <c r="AB2" i="84" s="1"/>
  <c r="Q2" i="84" a="1"/>
  <c r="Q2" i="84" s="1"/>
  <c r="V6" i="84" a="1"/>
  <c r="V6" i="84" s="1"/>
  <c r="AD6" i="84" a="1"/>
  <c r="AD6" i="84" s="1"/>
  <c r="U6" i="84" a="1"/>
  <c r="U6" i="84" s="1"/>
  <c r="V9" i="84" a="1"/>
  <c r="V9" i="84" s="1"/>
  <c r="AD9" i="84" a="1"/>
  <c r="AD9" i="84" s="1"/>
  <c r="U9" i="84" a="1"/>
  <c r="U9" i="84" s="1"/>
  <c r="V5" i="84" a="1"/>
  <c r="V5" i="84" s="1"/>
  <c r="AD5" i="84" a="1"/>
  <c r="AD5" i="84" s="1"/>
  <c r="U5" i="84" a="1"/>
  <c r="U5" i="84" s="1"/>
  <c r="W3" i="84" a="1"/>
  <c r="W3" i="84" s="1"/>
  <c r="X3" i="84" a="1"/>
  <c r="X3" i="84" s="1"/>
  <c r="W11" i="84" a="1"/>
  <c r="W11" i="84" s="1"/>
  <c r="X11" i="84" a="1"/>
  <c r="X11" i="84" s="1"/>
  <c r="T10" i="84" a="1"/>
  <c r="T10" i="84" s="1"/>
  <c r="AB10" i="84" a="1"/>
  <c r="AB10" i="84" s="1"/>
  <c r="AJ10" i="84" a="1"/>
  <c r="AJ10" i="84" s="1"/>
  <c r="S10" i="84" a="1"/>
  <c r="S10" i="84" s="1"/>
  <c r="AA10" i="84" a="1"/>
  <c r="AA10" i="84" s="1"/>
  <c r="S4" i="84" a="1"/>
  <c r="S4" i="84" s="1"/>
  <c r="W4" i="84" a="1"/>
  <c r="W4" i="84" s="1"/>
  <c r="X4" i="84" a="1"/>
  <c r="X4" i="84" s="1"/>
  <c r="AI10" i="83" a="1"/>
  <c r="AI10" i="83" s="1"/>
  <c r="AI6" i="83" a="1"/>
  <c r="AI6" i="83" s="1"/>
  <c r="AA9" i="80" a="1"/>
  <c r="AA9" i="80" s="1"/>
  <c r="AF4" i="82" a="1"/>
  <c r="AF4" i="82" s="1"/>
  <c r="T10" i="83" a="1"/>
  <c r="T10" i="83" s="1"/>
  <c r="T6" i="83" a="1"/>
  <c r="T6" i="83" s="1"/>
  <c r="Z6" i="82" a="1"/>
  <c r="Z6" i="82" s="1"/>
  <c r="AG10" i="82" a="1"/>
  <c r="AG10" i="82" s="1"/>
  <c r="AE10" i="81" a="1"/>
  <c r="AE10" i="81" s="1"/>
  <c r="V11" i="83" a="1"/>
  <c r="V11" i="83" s="1"/>
  <c r="AC5" i="83" a="1"/>
  <c r="AC5" i="83" s="1"/>
  <c r="AI7" i="83" a="1"/>
  <c r="AI7" i="83" s="1"/>
  <c r="AB7" i="82" a="1"/>
  <c r="AB7" i="82" s="1"/>
  <c r="AF8" i="83" a="1"/>
  <c r="AF8" i="83" s="1"/>
  <c r="AH8" i="82" a="1"/>
  <c r="AH8" i="82" s="1"/>
  <c r="AG9" i="83" a="1"/>
  <c r="AG9" i="83" s="1"/>
  <c r="Z9" i="83" a="1"/>
  <c r="Z9" i="83" s="1"/>
  <c r="AC9" i="82" a="1"/>
  <c r="AC9" i="82" s="1"/>
  <c r="T6" i="78" a="1"/>
  <c r="T6" i="78" s="1"/>
  <c r="AE5" i="79" a="1"/>
  <c r="AE5" i="79" s="1"/>
  <c r="AB10" i="83" a="1"/>
  <c r="AB10" i="83" s="1"/>
  <c r="S10" i="83" a="1"/>
  <c r="S10" i="83" s="1"/>
  <c r="AF3" i="82" a="1"/>
  <c r="AF3" i="82" s="1"/>
  <c r="AB6" i="83" a="1"/>
  <c r="AB6" i="83" s="1"/>
  <c r="S6" i="83" a="1"/>
  <c r="S6" i="83" s="1"/>
  <c r="AD11" i="83" a="1"/>
  <c r="AD11" i="83" s="1"/>
  <c r="T3" i="81" a="1"/>
  <c r="T3" i="81" s="1"/>
  <c r="AC7" i="83" a="1"/>
  <c r="AC7" i="83" s="1"/>
  <c r="AE7" i="82" a="1"/>
  <c r="AE7" i="82" s="1"/>
  <c r="R8" i="83" a="1"/>
  <c r="R8" i="83" s="1"/>
  <c r="AD8" i="83" a="1"/>
  <c r="AD8" i="83" s="1"/>
  <c r="AH9" i="83" a="1"/>
  <c r="AH9" i="83" s="1"/>
  <c r="AJ2" i="83" a="1"/>
  <c r="AJ2" i="83" s="1"/>
  <c r="AJ10" i="83" a="1"/>
  <c r="AJ10" i="83" s="1"/>
  <c r="AA10" i="83" a="1"/>
  <c r="AA10" i="83" s="1"/>
  <c r="AJ6" i="83" a="1"/>
  <c r="AJ6" i="83" s="1"/>
  <c r="AA6" i="83" a="1"/>
  <c r="AA6" i="83" s="1"/>
  <c r="AE6" i="82" a="1"/>
  <c r="AE6" i="82" s="1"/>
  <c r="U2" i="82" a="1"/>
  <c r="U2" i="82" s="1"/>
  <c r="AC11" i="83" a="1"/>
  <c r="AC11" i="83" s="1"/>
  <c r="AF4" i="83" a="1"/>
  <c r="AF4" i="83" s="1"/>
  <c r="Q4" i="83" a="1"/>
  <c r="Q4" i="83" s="1"/>
  <c r="Z4" i="83" a="1"/>
  <c r="Z4" i="83" s="1"/>
  <c r="AD5" i="83" a="1"/>
  <c r="AD5" i="83" s="1"/>
  <c r="AE4" i="81" a="1"/>
  <c r="AE4" i="81" s="1"/>
  <c r="S8" i="83" a="1"/>
  <c r="S8" i="83" s="1"/>
  <c r="V8" i="83" a="1"/>
  <c r="V8" i="83" s="1"/>
  <c r="R8" i="82" a="1"/>
  <c r="R8" i="82" s="1"/>
  <c r="Q9" i="83" a="1"/>
  <c r="Q9" i="83" s="1"/>
  <c r="AF9" i="83" a="1"/>
  <c r="AF9" i="83" s="1"/>
  <c r="AI2" i="83" a="1"/>
  <c r="AI2" i="83" s="1"/>
  <c r="AJ5" i="79" a="1"/>
  <c r="AJ5" i="79" s="1"/>
  <c r="AC4" i="82" a="1"/>
  <c r="AC4" i="82" s="1"/>
  <c r="R4" i="82" a="1"/>
  <c r="R4" i="82" s="1"/>
  <c r="V10" i="83" a="1"/>
  <c r="V10" i="83" s="1"/>
  <c r="AD10" i="83" a="1"/>
  <c r="AD10" i="83" s="1"/>
  <c r="U10" i="83" a="1"/>
  <c r="U10" i="83" s="1"/>
  <c r="AC10" i="83" a="1"/>
  <c r="AC10" i="83" s="1"/>
  <c r="T5" i="82" a="1"/>
  <c r="T5" i="82" s="1"/>
  <c r="V6" i="83" a="1"/>
  <c r="V6" i="83" s="1"/>
  <c r="AD6" i="83" a="1"/>
  <c r="AD6" i="83" s="1"/>
  <c r="U6" i="83" a="1"/>
  <c r="U6" i="83" s="1"/>
  <c r="AC6" i="83" a="1"/>
  <c r="AC6" i="83" s="1"/>
  <c r="V6" i="82" a="1"/>
  <c r="V6" i="82" s="1"/>
  <c r="AC6" i="82" a="1"/>
  <c r="AC6" i="82" s="1"/>
  <c r="AG6" i="82" a="1"/>
  <c r="AG6" i="82" s="1"/>
  <c r="R3" i="83" a="1"/>
  <c r="R3" i="83" s="1"/>
  <c r="AH3" i="83" a="1"/>
  <c r="AH3" i="83" s="1"/>
  <c r="AB3" i="83" a="1"/>
  <c r="AB3" i="83" s="1"/>
  <c r="W3" i="83" a="1"/>
  <c r="W3" i="83" s="1"/>
  <c r="AE3" i="83" a="1"/>
  <c r="AE3" i="83" s="1"/>
  <c r="R10" i="82" a="1"/>
  <c r="R10" i="82" s="1"/>
  <c r="V10" i="82" a="1"/>
  <c r="V10" i="82" s="1"/>
  <c r="AI10" i="82" a="1"/>
  <c r="AI10" i="82" s="1"/>
  <c r="AH2" i="82" a="1"/>
  <c r="AH2" i="82" s="1"/>
  <c r="X11" i="83" a="1"/>
  <c r="X11" i="83" s="1"/>
  <c r="AF11" i="83" a="1"/>
  <c r="AF11" i="83" s="1"/>
  <c r="W11" i="83" a="1"/>
  <c r="W11" i="83" s="1"/>
  <c r="AE11" i="83" a="1"/>
  <c r="AE11" i="83" s="1"/>
  <c r="S4" i="83" a="1"/>
  <c r="S4" i="83" s="1"/>
  <c r="AA4" i="83" a="1"/>
  <c r="AA4" i="83" s="1"/>
  <c r="AI4" i="83" a="1"/>
  <c r="AI4" i="83" s="1"/>
  <c r="AB4" i="83" a="1"/>
  <c r="AB4" i="83" s="1"/>
  <c r="AJ4" i="83" a="1"/>
  <c r="AJ4" i="83" s="1"/>
  <c r="X5" i="83" a="1"/>
  <c r="X5" i="83" s="1"/>
  <c r="AF5" i="83" a="1"/>
  <c r="AF5" i="83" s="1"/>
  <c r="W5" i="83" a="1"/>
  <c r="W5" i="83" s="1"/>
  <c r="AE5" i="83" a="1"/>
  <c r="AE5" i="83" s="1"/>
  <c r="U7" i="83" a="1"/>
  <c r="U7" i="83" s="1"/>
  <c r="V7" i="83" a="1"/>
  <c r="V7" i="83" s="1"/>
  <c r="AD7" i="83" a="1"/>
  <c r="AD7" i="83" s="1"/>
  <c r="W7" i="83" a="1"/>
  <c r="W7" i="83" s="1"/>
  <c r="AE7" i="83" a="1"/>
  <c r="AE7" i="83" s="1"/>
  <c r="S7" i="82" a="1"/>
  <c r="S7" i="82" s="1"/>
  <c r="AH7" i="82" a="1"/>
  <c r="AH7" i="82" s="1"/>
  <c r="S11" i="81" a="1"/>
  <c r="S11" i="81" s="1"/>
  <c r="W8" i="83" a="1"/>
  <c r="W8" i="83" s="1"/>
  <c r="AE8" i="83" a="1"/>
  <c r="AE8" i="83" s="1"/>
  <c r="AG8" i="83" a="1"/>
  <c r="AG8" i="83" s="1"/>
  <c r="AA8" i="83" a="1"/>
  <c r="AA8" i="83" s="1"/>
  <c r="Z8" i="83" a="1"/>
  <c r="Z8" i="83" s="1"/>
  <c r="AH8" i="83" a="1"/>
  <c r="AH8" i="83" s="1"/>
  <c r="Q8" i="82" a="1"/>
  <c r="Q8" i="82" s="1"/>
  <c r="AG8" i="82" a="1"/>
  <c r="AG8" i="82" s="1"/>
  <c r="Z8" i="82" a="1"/>
  <c r="Z8" i="82" s="1"/>
  <c r="S9" i="83" a="1"/>
  <c r="S9" i="83" s="1"/>
  <c r="AA9" i="83" a="1"/>
  <c r="AA9" i="83" s="1"/>
  <c r="AI9" i="83" a="1"/>
  <c r="AI9" i="83" s="1"/>
  <c r="T9" i="83" a="1"/>
  <c r="T9" i="83" s="1"/>
  <c r="AB9" i="83" a="1"/>
  <c r="AB9" i="83" s="1"/>
  <c r="AJ9" i="83" a="1"/>
  <c r="AJ9" i="83" s="1"/>
  <c r="AD9" i="82" a="1"/>
  <c r="AD9" i="82" s="1"/>
  <c r="S2" i="83" a="1"/>
  <c r="S2" i="83" s="1"/>
  <c r="AG2" i="83" a="1"/>
  <c r="AG2" i="83" s="1"/>
  <c r="W2" i="83" a="1"/>
  <c r="W2" i="83" s="1"/>
  <c r="U2" i="83" a="1"/>
  <c r="U2" i="83" s="1"/>
  <c r="AH2" i="83" a="1"/>
  <c r="AH2" i="83" s="1"/>
  <c r="AF6" i="80" a="1"/>
  <c r="AF6" i="80" s="1"/>
  <c r="AE10" i="80" a="1"/>
  <c r="AE10" i="80" s="1"/>
  <c r="AE2" i="79" a="1"/>
  <c r="AE2" i="79" s="1"/>
  <c r="AI2" i="79" a="1"/>
  <c r="AI2" i="79" s="1"/>
  <c r="AC2" i="80" a="1"/>
  <c r="AC2" i="80" s="1"/>
  <c r="Q4" i="82" a="1"/>
  <c r="Q4" i="82" s="1"/>
  <c r="AG4" i="82" a="1"/>
  <c r="AG4" i="82" s="1"/>
  <c r="Z4" i="82" a="1"/>
  <c r="Z4" i="82" s="1"/>
  <c r="X10" i="83" a="1"/>
  <c r="X10" i="83" s="1"/>
  <c r="AF10" i="83" a="1"/>
  <c r="AF10" i="83" s="1"/>
  <c r="W10" i="83" a="1"/>
  <c r="W10" i="83" s="1"/>
  <c r="AE10" i="83" a="1"/>
  <c r="AE10" i="83" s="1"/>
  <c r="AB5" i="82" a="1"/>
  <c r="AB5" i="82" s="1"/>
  <c r="S5" i="82" a="1"/>
  <c r="S5" i="82" s="1"/>
  <c r="AD6" i="81" a="1"/>
  <c r="AD6" i="81" s="1"/>
  <c r="Z3" i="82" a="1"/>
  <c r="Z3" i="82" s="1"/>
  <c r="R7" i="81" a="1"/>
  <c r="R7" i="81" s="1"/>
  <c r="X6" i="83" a="1"/>
  <c r="X6" i="83" s="1"/>
  <c r="AF6" i="83" a="1"/>
  <c r="AF6" i="83" s="1"/>
  <c r="W6" i="83" a="1"/>
  <c r="W6" i="83" s="1"/>
  <c r="AE6" i="83" a="1"/>
  <c r="AE6" i="83" s="1"/>
  <c r="V3" i="83" a="1"/>
  <c r="V3" i="83" s="1"/>
  <c r="AF3" i="83" a="1"/>
  <c r="AF3" i="83" s="1"/>
  <c r="Q3" i="83" a="1"/>
  <c r="Q3" i="83" s="1"/>
  <c r="Y3" i="83" a="1"/>
  <c r="Y3" i="83" s="1"/>
  <c r="AG3" i="83" a="1"/>
  <c r="AG3" i="83" s="1"/>
  <c r="AH10" i="82" a="1"/>
  <c r="AH10" i="82" s="1"/>
  <c r="Z10" i="82" a="1"/>
  <c r="Z10" i="82" s="1"/>
  <c r="V2" i="82" a="1"/>
  <c r="V2" i="82" s="1"/>
  <c r="R11" i="83" a="1"/>
  <c r="R11" i="83" s="1"/>
  <c r="Z11" i="83" a="1"/>
  <c r="Z11" i="83" s="1"/>
  <c r="AH11" i="83" a="1"/>
  <c r="AH11" i="83" s="1"/>
  <c r="Q11" i="83" a="1"/>
  <c r="Q11" i="83" s="1"/>
  <c r="Y11" i="83" a="1"/>
  <c r="Y11" i="83" s="1"/>
  <c r="AG11" i="83" a="1"/>
  <c r="AG11" i="83" s="1"/>
  <c r="T4" i="83" a="1"/>
  <c r="T4" i="83" s="1"/>
  <c r="U4" i="83" a="1"/>
  <c r="U4" i="83" s="1"/>
  <c r="AC4" i="83" a="1"/>
  <c r="AC4" i="83" s="1"/>
  <c r="AD4" i="83" a="1"/>
  <c r="AD4" i="83" s="1"/>
  <c r="R5" i="83" a="1"/>
  <c r="R5" i="83" s="1"/>
  <c r="Z5" i="83" a="1"/>
  <c r="Z5" i="83" s="1"/>
  <c r="AH5" i="83" a="1"/>
  <c r="AH5" i="83" s="1"/>
  <c r="Q5" i="83" a="1"/>
  <c r="Q5" i="83" s="1"/>
  <c r="Y5" i="83" a="1"/>
  <c r="Y5" i="83" s="1"/>
  <c r="AG5" i="83" a="1"/>
  <c r="AG5" i="83" s="1"/>
  <c r="AC3" i="81" a="1"/>
  <c r="AC3" i="81" s="1"/>
  <c r="X7" i="83" a="1"/>
  <c r="X7" i="83" s="1"/>
  <c r="AF7" i="83" a="1"/>
  <c r="AF7" i="83" s="1"/>
  <c r="Y7" i="83" a="1"/>
  <c r="Y7" i="83" s="1"/>
  <c r="AG7" i="83" a="1"/>
  <c r="AG7" i="83" s="1"/>
  <c r="AA7" i="82" a="1"/>
  <c r="AA7" i="82" s="1"/>
  <c r="T7" i="82" a="1"/>
  <c r="T7" i="82" s="1"/>
  <c r="AC8" i="83" a="1"/>
  <c r="AC8" i="83" s="1"/>
  <c r="Q8" i="83" a="1"/>
  <c r="Q8" i="83" s="1"/>
  <c r="AI8" i="83" a="1"/>
  <c r="AI8" i="83" s="1"/>
  <c r="AB8" i="83" a="1"/>
  <c r="AB8" i="83" s="1"/>
  <c r="AJ8" i="83" a="1"/>
  <c r="AJ8" i="83" s="1"/>
  <c r="U8" i="82" a="1"/>
  <c r="U8" i="82" s="1"/>
  <c r="AD8" i="82" a="1"/>
  <c r="AD8" i="82" s="1"/>
  <c r="U9" i="83" a="1"/>
  <c r="U9" i="83" s="1"/>
  <c r="AC9" i="83" a="1"/>
  <c r="AC9" i="83" s="1"/>
  <c r="V9" i="83" a="1"/>
  <c r="V9" i="83" s="1"/>
  <c r="AD9" i="83" a="1"/>
  <c r="AD9" i="83" s="1"/>
  <c r="AF9" i="82" a="1"/>
  <c r="AF9" i="82" s="1"/>
  <c r="X2" i="83" a="1"/>
  <c r="X2" i="83" s="1"/>
  <c r="V2" i="83" a="1"/>
  <c r="V2" i="83" s="1"/>
  <c r="AB2" i="83" a="1"/>
  <c r="AB2" i="83" s="1"/>
  <c r="Z2" i="83" a="1"/>
  <c r="Z2" i="83" s="1"/>
  <c r="AJ2" i="79" a="1"/>
  <c r="AJ2" i="79" s="1"/>
  <c r="U4" i="82" a="1"/>
  <c r="U4" i="82" s="1"/>
  <c r="AD4" i="82" a="1"/>
  <c r="AD4" i="82" s="1"/>
  <c r="AH4" i="82" a="1"/>
  <c r="AH4" i="82" s="1"/>
  <c r="R10" i="83" a="1"/>
  <c r="R10" i="83" s="1"/>
  <c r="Z10" i="83" a="1"/>
  <c r="Z10" i="83" s="1"/>
  <c r="AH10" i="83" a="1"/>
  <c r="AH10" i="83" s="1"/>
  <c r="Q10" i="83" a="1"/>
  <c r="Q10" i="83" s="1"/>
  <c r="Y10" i="83" a="1"/>
  <c r="Y10" i="83" s="1"/>
  <c r="AJ5" i="82" a="1"/>
  <c r="AJ5" i="82" s="1"/>
  <c r="AA5" i="82" a="1"/>
  <c r="AA5" i="82" s="1"/>
  <c r="R6" i="83" a="1"/>
  <c r="R6" i="83" s="1"/>
  <c r="Z6" i="83" a="1"/>
  <c r="Z6" i="83" s="1"/>
  <c r="AH6" i="83" a="1"/>
  <c r="AH6" i="83" s="1"/>
  <c r="Q6" i="83" a="1"/>
  <c r="Q6" i="83" s="1"/>
  <c r="Y6" i="83" a="1"/>
  <c r="Y6" i="83" s="1"/>
  <c r="AD6" i="82" a="1"/>
  <c r="AD6" i="82" s="1"/>
  <c r="Q6" i="82" a="1"/>
  <c r="Q6" i="82" s="1"/>
  <c r="Z3" i="83" a="1"/>
  <c r="Z3" i="83" s="1"/>
  <c r="T3" i="83" a="1"/>
  <c r="T3" i="83" s="1"/>
  <c r="AJ3" i="83" a="1"/>
  <c r="AJ3" i="83" s="1"/>
  <c r="S3" i="83" a="1"/>
  <c r="S3" i="83" s="1"/>
  <c r="AA3" i="83" a="1"/>
  <c r="AA3" i="83" s="1"/>
  <c r="AI3" i="83" a="1"/>
  <c r="AI3" i="83" s="1"/>
  <c r="AB10" i="82" a="1"/>
  <c r="AB10" i="82" s="1"/>
  <c r="S10" i="82" a="1"/>
  <c r="S10" i="82" s="1"/>
  <c r="AE2" i="82" a="1"/>
  <c r="AE2" i="82" s="1"/>
  <c r="T11" i="83" a="1"/>
  <c r="T11" i="83" s="1"/>
  <c r="AB11" i="83" a="1"/>
  <c r="AB11" i="83" s="1"/>
  <c r="AJ11" i="83" a="1"/>
  <c r="AJ11" i="83" s="1"/>
  <c r="S11" i="83" a="1"/>
  <c r="S11" i="83" s="1"/>
  <c r="AA11" i="83" a="1"/>
  <c r="AA11" i="83" s="1"/>
  <c r="AC11" i="82" a="1"/>
  <c r="AC11" i="82" s="1"/>
  <c r="AE9" i="81" a="1"/>
  <c r="AE9" i="81" s="1"/>
  <c r="R4" i="83" a="1"/>
  <c r="R4" i="83" s="1"/>
  <c r="W4" i="83" a="1"/>
  <c r="W4" i="83" s="1"/>
  <c r="AE4" i="83" a="1"/>
  <c r="AE4" i="83" s="1"/>
  <c r="X4" i="83" a="1"/>
  <c r="X4" i="83" s="1"/>
  <c r="T5" i="83" a="1"/>
  <c r="T5" i="83" s="1"/>
  <c r="AB5" i="83" a="1"/>
  <c r="AB5" i="83" s="1"/>
  <c r="AJ5" i="83" a="1"/>
  <c r="AJ5" i="83" s="1"/>
  <c r="S5" i="83" a="1"/>
  <c r="S5" i="83" s="1"/>
  <c r="AA5" i="83" a="1"/>
  <c r="AA5" i="83" s="1"/>
  <c r="Q7" i="83" a="1"/>
  <c r="Q7" i="83" s="1"/>
  <c r="R7" i="83" a="1"/>
  <c r="R7" i="83" s="1"/>
  <c r="Z7" i="83" a="1"/>
  <c r="Z7" i="83" s="1"/>
  <c r="AH7" i="83" a="1"/>
  <c r="AH7" i="83" s="1"/>
  <c r="AA7" i="83" a="1"/>
  <c r="AA7" i="83" s="1"/>
  <c r="AI7" i="82" a="1"/>
  <c r="AI7" i="82" s="1"/>
  <c r="AF4" i="81" a="1"/>
  <c r="AF4" i="81" s="1"/>
  <c r="T8" i="83" a="1"/>
  <c r="T8" i="83" s="1"/>
  <c r="U8" i="83" a="1"/>
  <c r="U8" i="83" s="1"/>
  <c r="Y8" i="82" a="1"/>
  <c r="Y8" i="82" s="1"/>
  <c r="AF8" i="82" a="1"/>
  <c r="AF8" i="82" s="1"/>
  <c r="AE8" i="82" a="1"/>
  <c r="AE8" i="82" s="1"/>
  <c r="W9" i="83" a="1"/>
  <c r="W9" i="83" s="1"/>
  <c r="X9" i="83" a="1"/>
  <c r="X9" i="83" s="1"/>
  <c r="AA2" i="83" a="1"/>
  <c r="AA2" i="83" s="1"/>
  <c r="Y2" i="83" a="1"/>
  <c r="Y2" i="83" s="1"/>
  <c r="R2" i="83" a="1"/>
  <c r="R2" i="83" s="1"/>
  <c r="AE2" i="83" a="1"/>
  <c r="AE2" i="83" s="1"/>
  <c r="AC2" i="83" a="1"/>
  <c r="AC2" i="83" s="1"/>
  <c r="AI5" i="79" a="1"/>
  <c r="AI5" i="79" s="1"/>
  <c r="AE4" i="82" a="1"/>
  <c r="AE4" i="82" s="1"/>
  <c r="AI5" i="82" a="1"/>
  <c r="AI5" i="82" s="1"/>
  <c r="AD3" i="83" a="1"/>
  <c r="AD3" i="83" s="1"/>
  <c r="X3" i="83" a="1"/>
  <c r="X3" i="83" s="1"/>
  <c r="U3" i="83" a="1"/>
  <c r="U3" i="83" s="1"/>
  <c r="AA10" i="82" a="1"/>
  <c r="AA10" i="82" s="1"/>
  <c r="U11" i="83" a="1"/>
  <c r="U11" i="83" s="1"/>
  <c r="V5" i="83" a="1"/>
  <c r="V5" i="83" s="1"/>
  <c r="U5" i="83" a="1"/>
  <c r="U5" i="83" s="1"/>
  <c r="S7" i="83" a="1"/>
  <c r="S7" i="83" s="1"/>
  <c r="T7" i="83" a="1"/>
  <c r="T7" i="83" s="1"/>
  <c r="AB7" i="83" a="1"/>
  <c r="AB7" i="83" s="1"/>
  <c r="AJ7" i="83" a="1"/>
  <c r="AJ7" i="83" s="1"/>
  <c r="AJ7" i="82" a="1"/>
  <c r="AJ7" i="82" s="1"/>
  <c r="AC8" i="82" a="1"/>
  <c r="AC8" i="82" s="1"/>
  <c r="Q2" i="83" a="1"/>
  <c r="Q2" i="83" s="1"/>
  <c r="AF2" i="83" a="1"/>
  <c r="AF2" i="83" s="1"/>
  <c r="AD2" i="83" a="1"/>
  <c r="AD2" i="83" s="1"/>
  <c r="AC3" i="82" a="1"/>
  <c r="AC3" i="82" s="1"/>
  <c r="AH3" i="82" a="1"/>
  <c r="AH3" i="82" s="1"/>
  <c r="Y7" i="81" a="1"/>
  <c r="Y7" i="81" s="1"/>
  <c r="AB2" i="82" a="1"/>
  <c r="AB2" i="82" s="1"/>
  <c r="AB4" i="81" a="1"/>
  <c r="AB4" i="81" s="1"/>
  <c r="W9" i="82" a="1"/>
  <c r="W9" i="82" s="1"/>
  <c r="AE9" i="82" a="1"/>
  <c r="AE9" i="82" s="1"/>
  <c r="R9" i="82" a="1"/>
  <c r="R9" i="82" s="1"/>
  <c r="Z9" i="82" a="1"/>
  <c r="Z9" i="82" s="1"/>
  <c r="AH9" i="82" a="1"/>
  <c r="AH9" i="82" s="1"/>
  <c r="S4" i="82" a="1"/>
  <c r="S4" i="82" s="1"/>
  <c r="AA4" i="82" a="1"/>
  <c r="AA4" i="82" s="1"/>
  <c r="AI4" i="82" a="1"/>
  <c r="AI4" i="82" s="1"/>
  <c r="T4" i="82" a="1"/>
  <c r="T4" i="82" s="1"/>
  <c r="AB4" i="82" a="1"/>
  <c r="AB4" i="82" s="1"/>
  <c r="AJ4" i="82" a="1"/>
  <c r="AJ4" i="82" s="1"/>
  <c r="V5" i="82" a="1"/>
  <c r="V5" i="82" s="1"/>
  <c r="AD5" i="82" a="1"/>
  <c r="AD5" i="82" s="1"/>
  <c r="U5" i="82" a="1"/>
  <c r="U5" i="82" s="1"/>
  <c r="AC5" i="82" a="1"/>
  <c r="AC5" i="82" s="1"/>
  <c r="AH6" i="81" a="1"/>
  <c r="AH6" i="81" s="1"/>
  <c r="W3" i="82" a="1"/>
  <c r="W3" i="82" s="1"/>
  <c r="AE3" i="82" a="1"/>
  <c r="AE3" i="82" s="1"/>
  <c r="T3" i="82" a="1"/>
  <c r="T3" i="82" s="1"/>
  <c r="AB3" i="82" a="1"/>
  <c r="AB3" i="82" s="1"/>
  <c r="AJ3" i="82" a="1"/>
  <c r="AJ3" i="82" s="1"/>
  <c r="AE7" i="81" a="1"/>
  <c r="AE7" i="81" s="1"/>
  <c r="AG7" i="81" a="1"/>
  <c r="AG7" i="81" s="1"/>
  <c r="T6" i="82" a="1"/>
  <c r="T6" i="82" s="1"/>
  <c r="AB6" i="82" a="1"/>
  <c r="AB6" i="82" s="1"/>
  <c r="AJ6" i="82" a="1"/>
  <c r="AJ6" i="82" s="1"/>
  <c r="S6" i="82" a="1"/>
  <c r="S6" i="82" s="1"/>
  <c r="AA6" i="82" a="1"/>
  <c r="AA6" i="82" s="1"/>
  <c r="AI6" i="82" a="1"/>
  <c r="AI6" i="82" s="1"/>
  <c r="AF10" i="82" a="1"/>
  <c r="AF10" i="82" s="1"/>
  <c r="T10" i="82" a="1"/>
  <c r="T10" i="82" s="1"/>
  <c r="AD10" i="82" a="1"/>
  <c r="AD10" i="82" s="1"/>
  <c r="U10" i="82" a="1"/>
  <c r="U10" i="82" s="1"/>
  <c r="AC10" i="82" a="1"/>
  <c r="AC10" i="82" s="1"/>
  <c r="AA2" i="82" a="1"/>
  <c r="AA2" i="82" s="1"/>
  <c r="X2" i="82" a="1"/>
  <c r="X2" i="82" s="1"/>
  <c r="Y2" i="82" a="1"/>
  <c r="Y2" i="82" s="1"/>
  <c r="T2" i="82" a="1"/>
  <c r="T2" i="82" s="1"/>
  <c r="AD2" i="82" a="1"/>
  <c r="AD2" i="82" s="1"/>
  <c r="R11" i="82" a="1"/>
  <c r="R11" i="82" s="1"/>
  <c r="Z11" i="82" a="1"/>
  <c r="Z11" i="82" s="1"/>
  <c r="AH11" i="82" a="1"/>
  <c r="AH11" i="82" s="1"/>
  <c r="Q11" i="82" a="1"/>
  <c r="Q11" i="82" s="1"/>
  <c r="Y11" i="82" a="1"/>
  <c r="Y11" i="82" s="1"/>
  <c r="AG11" i="82" a="1"/>
  <c r="AG11" i="82" s="1"/>
  <c r="AI3" i="81" a="1"/>
  <c r="AI3" i="81" s="1"/>
  <c r="U7" i="82" a="1"/>
  <c r="U7" i="82" s="1"/>
  <c r="AC7" i="82" a="1"/>
  <c r="AC7" i="82" s="1"/>
  <c r="V7" i="82" a="1"/>
  <c r="V7" i="82" s="1"/>
  <c r="AD7" i="82" a="1"/>
  <c r="AD7" i="82" s="1"/>
  <c r="U4" i="81" a="1"/>
  <c r="U4" i="81" s="1"/>
  <c r="Q4" i="81" a="1"/>
  <c r="Q4" i="81" s="1"/>
  <c r="R4" i="81" a="1"/>
  <c r="R4" i="81" s="1"/>
  <c r="AH4" i="81" a="1"/>
  <c r="AH4" i="81" s="1"/>
  <c r="S8" i="82" a="1"/>
  <c r="S8" i="82" s="1"/>
  <c r="AA8" i="82" a="1"/>
  <c r="AA8" i="82" s="1"/>
  <c r="AI8" i="82" a="1"/>
  <c r="AI8" i="82" s="1"/>
  <c r="T8" i="82" a="1"/>
  <c r="T8" i="82" s="1"/>
  <c r="AB8" i="82" a="1"/>
  <c r="AB8" i="82" s="1"/>
  <c r="AJ8" i="82" a="1"/>
  <c r="AJ8" i="82" s="1"/>
  <c r="Q9" i="82" a="1"/>
  <c r="Q9" i="82" s="1"/>
  <c r="Y9" i="82" a="1"/>
  <c r="Y9" i="82" s="1"/>
  <c r="AG9" i="82" a="1"/>
  <c r="AG9" i="82" s="1"/>
  <c r="T9" i="82" a="1"/>
  <c r="T9" i="82" s="1"/>
  <c r="AB9" i="82" a="1"/>
  <c r="AB9" i="82" s="1"/>
  <c r="AJ9" i="82" a="1"/>
  <c r="AJ9" i="82" s="1"/>
  <c r="AJ5" i="81" a="1"/>
  <c r="AJ5" i="81" s="1"/>
  <c r="R3" i="82" a="1"/>
  <c r="R3" i="82" s="1"/>
  <c r="AH7" i="81" a="1"/>
  <c r="AH7" i="81" s="1"/>
  <c r="AJ2" i="82" a="1"/>
  <c r="AJ2" i="82" s="1"/>
  <c r="X11" i="82" a="1"/>
  <c r="X11" i="82" s="1"/>
  <c r="W11" i="82" a="1"/>
  <c r="W11" i="82" s="1"/>
  <c r="V4" i="82" a="1"/>
  <c r="V4" i="82" s="1"/>
  <c r="X5" i="82" a="1"/>
  <c r="X5" i="82" s="1"/>
  <c r="AF5" i="82" a="1"/>
  <c r="AF5" i="82" s="1"/>
  <c r="W5" i="82" a="1"/>
  <c r="W5" i="82" s="1"/>
  <c r="AE5" i="82" a="1"/>
  <c r="AE5" i="82" s="1"/>
  <c r="U6" i="81" a="1"/>
  <c r="U6" i="81" s="1"/>
  <c r="AJ6" i="81" a="1"/>
  <c r="AJ6" i="81" s="1"/>
  <c r="Q3" i="82" a="1"/>
  <c r="Q3" i="82" s="1"/>
  <c r="Y3" i="82" a="1"/>
  <c r="Y3" i="82" s="1"/>
  <c r="AG3" i="82" a="1"/>
  <c r="AG3" i="82" s="1"/>
  <c r="V3" i="82" a="1"/>
  <c r="V3" i="82" s="1"/>
  <c r="AD3" i="82" a="1"/>
  <c r="AD3" i="82" s="1"/>
  <c r="U6" i="82" a="1"/>
  <c r="U6" i="82" s="1"/>
  <c r="AI2" i="81" a="1"/>
  <c r="AI2" i="81" s="1"/>
  <c r="W10" i="82" a="1"/>
  <c r="W10" i="82" s="1"/>
  <c r="AE10" i="82" a="1"/>
  <c r="AE10" i="82" s="1"/>
  <c r="AJ10" i="82" a="1"/>
  <c r="AJ10" i="82" s="1"/>
  <c r="AD10" i="81" a="1"/>
  <c r="AD10" i="81" s="1"/>
  <c r="AC2" i="82" a="1"/>
  <c r="AC2" i="82" s="1"/>
  <c r="W2" i="82" a="1"/>
  <c r="W2" i="82" s="1"/>
  <c r="AF2" i="82" a="1"/>
  <c r="AF2" i="82" s="1"/>
  <c r="T11" i="82" a="1"/>
  <c r="T11" i="82" s="1"/>
  <c r="AB11" i="82" a="1"/>
  <c r="AB11" i="82" s="1"/>
  <c r="AJ11" i="82" a="1"/>
  <c r="AJ11" i="82" s="1"/>
  <c r="S11" i="82" a="1"/>
  <c r="S11" i="82" s="1"/>
  <c r="AA11" i="82" a="1"/>
  <c r="AA11" i="82" s="1"/>
  <c r="AI11" i="82" a="1"/>
  <c r="AI11" i="82" s="1"/>
  <c r="AD9" i="81" a="1"/>
  <c r="AD9" i="81" s="1"/>
  <c r="R3" i="81" a="1"/>
  <c r="R3" i="81" s="1"/>
  <c r="W7" i="82" a="1"/>
  <c r="W7" i="82" s="1"/>
  <c r="X7" i="82" a="1"/>
  <c r="X7" i="82" s="1"/>
  <c r="AF7" i="82" a="1"/>
  <c r="AF7" i="82" s="1"/>
  <c r="AC4" i="81" a="1"/>
  <c r="AC4" i="81" s="1"/>
  <c r="S4" i="81" a="1"/>
  <c r="S4" i="81" s="1"/>
  <c r="T4" i="81" a="1"/>
  <c r="T4" i="81" s="1"/>
  <c r="AJ4" i="81" a="1"/>
  <c r="AJ4" i="81" s="1"/>
  <c r="AD11" i="81" a="1"/>
  <c r="AD11" i="81" s="1"/>
  <c r="V8" i="82" a="1"/>
  <c r="V8" i="82" s="1"/>
  <c r="S9" i="82" a="1"/>
  <c r="S9" i="82" s="1"/>
  <c r="AA9" i="82" a="1"/>
  <c r="AA9" i="82" s="1"/>
  <c r="AI9" i="82" a="1"/>
  <c r="AI9" i="82" s="1"/>
  <c r="V9" i="82" a="1"/>
  <c r="V9" i="82" s="1"/>
  <c r="Q5" i="81" a="1"/>
  <c r="Q5" i="81" s="1"/>
  <c r="U3" i="82" a="1"/>
  <c r="U3" i="82" s="1"/>
  <c r="AF11" i="82" a="1"/>
  <c r="AF11" i="82" s="1"/>
  <c r="AE11" i="82" a="1"/>
  <c r="AE11" i="82" s="1"/>
  <c r="T5" i="79" a="1"/>
  <c r="T5" i="79" s="1"/>
  <c r="S5" i="79" a="1"/>
  <c r="S5" i="79" s="1"/>
  <c r="T2" i="79" a="1"/>
  <c r="T2" i="79" s="1"/>
  <c r="S2" i="79" a="1"/>
  <c r="S2" i="79" s="1"/>
  <c r="W4" i="82" a="1"/>
  <c r="W4" i="82" s="1"/>
  <c r="X4" i="82" a="1"/>
  <c r="X4" i="82" s="1"/>
  <c r="R5" i="82" a="1"/>
  <c r="R5" i="82" s="1"/>
  <c r="Z5" i="82" a="1"/>
  <c r="Z5" i="82" s="1"/>
  <c r="AH5" i="82" a="1"/>
  <c r="AH5" i="82" s="1"/>
  <c r="Q5" i="82" a="1"/>
  <c r="Q5" i="82" s="1"/>
  <c r="Y5" i="82" a="1"/>
  <c r="Y5" i="82" s="1"/>
  <c r="AC6" i="81" a="1"/>
  <c r="AC6" i="81" s="1"/>
  <c r="S3" i="82" a="1"/>
  <c r="S3" i="82" s="1"/>
  <c r="AA3" i="82" a="1"/>
  <c r="AA3" i="82" s="1"/>
  <c r="AI3" i="82" a="1"/>
  <c r="AI3" i="82" s="1"/>
  <c r="X3" i="82" a="1"/>
  <c r="X3" i="82" s="1"/>
  <c r="Z7" i="81" a="1"/>
  <c r="Z7" i="81" s="1"/>
  <c r="Q7" i="81" a="1"/>
  <c r="Q7" i="81" s="1"/>
  <c r="X6" i="82" a="1"/>
  <c r="X6" i="82" s="1"/>
  <c r="AF6" i="82" a="1"/>
  <c r="AF6" i="82" s="1"/>
  <c r="W6" i="82" a="1"/>
  <c r="W6" i="82" s="1"/>
  <c r="AC2" i="81" a="1"/>
  <c r="AC2" i="81" s="1"/>
  <c r="Q10" i="82" a="1"/>
  <c r="Q10" i="82" s="1"/>
  <c r="Y10" i="82" a="1"/>
  <c r="Y10" i="82" s="1"/>
  <c r="R2" i="82" a="1"/>
  <c r="R2" i="82" s="1"/>
  <c r="AI2" i="82" a="1"/>
  <c r="AI2" i="82" s="1"/>
  <c r="Q2" i="82" a="1"/>
  <c r="Q2" i="82" s="1"/>
  <c r="AG2" i="82" a="1"/>
  <c r="AG2" i="82" s="1"/>
  <c r="Z2" i="82" a="1"/>
  <c r="Z2" i="82" s="1"/>
  <c r="V11" i="82" a="1"/>
  <c r="V11" i="82" s="1"/>
  <c r="AD11" i="82" a="1"/>
  <c r="AD11" i="82" s="1"/>
  <c r="U11" i="82" a="1"/>
  <c r="U11" i="82" s="1"/>
  <c r="Q7" i="82" a="1"/>
  <c r="Q7" i="82" s="1"/>
  <c r="Y7" i="82" a="1"/>
  <c r="Y7" i="82" s="1"/>
  <c r="AG7" i="82" a="1"/>
  <c r="AG7" i="82" s="1"/>
  <c r="R7" i="82" a="1"/>
  <c r="R7" i="82" s="1"/>
  <c r="Z7" i="82" a="1"/>
  <c r="Z7" i="82" s="1"/>
  <c r="AG4" i="81" a="1"/>
  <c r="AG4" i="81" s="1"/>
  <c r="AA4" i="81" a="1"/>
  <c r="AA4" i="81" s="1"/>
  <c r="Z4" i="81" a="1"/>
  <c r="Z4" i="81" s="1"/>
  <c r="AI11" i="81" a="1"/>
  <c r="AI11" i="81" s="1"/>
  <c r="W8" i="82" a="1"/>
  <c r="W8" i="82" s="1"/>
  <c r="X8" i="82" a="1"/>
  <c r="X8" i="82" s="1"/>
  <c r="U9" i="82" a="1"/>
  <c r="U9" i="82" s="1"/>
  <c r="X9" i="82" a="1"/>
  <c r="X9" i="82" s="1"/>
  <c r="AG5" i="81" a="1"/>
  <c r="AG5" i="81" s="1"/>
  <c r="V6" i="81" a="1"/>
  <c r="V6" i="81" s="1"/>
  <c r="W2" i="81" a="1"/>
  <c r="W2" i="81" s="1"/>
  <c r="T2" i="81" a="1"/>
  <c r="T2" i="81" s="1"/>
  <c r="AF2" i="81" a="1"/>
  <c r="AF2" i="81" s="1"/>
  <c r="X8" i="81" a="1"/>
  <c r="X8" i="81" s="1"/>
  <c r="AF8" i="81" a="1"/>
  <c r="AF8" i="81" s="1"/>
  <c r="W8" i="81" a="1"/>
  <c r="W8" i="81" s="1"/>
  <c r="AE8" i="81" a="1"/>
  <c r="AE8" i="81" s="1"/>
  <c r="W10" i="81" a="1"/>
  <c r="W10" i="81" s="1"/>
  <c r="X10" i="81" a="1"/>
  <c r="X10" i="81" s="1"/>
  <c r="AF10" i="81" a="1"/>
  <c r="AF10" i="81" s="1"/>
  <c r="W9" i="81" a="1"/>
  <c r="W9" i="81" s="1"/>
  <c r="X9" i="81" a="1"/>
  <c r="X9" i="81" s="1"/>
  <c r="AF9" i="81" a="1"/>
  <c r="AF9" i="81" s="1"/>
  <c r="AJ3" i="81" a="1"/>
  <c r="AJ3" i="81" s="1"/>
  <c r="U3" i="81" a="1"/>
  <c r="U3" i="81" s="1"/>
  <c r="V11" i="81" a="1"/>
  <c r="V11" i="81" s="1"/>
  <c r="U11" i="81" a="1"/>
  <c r="U11" i="81" s="1"/>
  <c r="AC11" i="81" a="1"/>
  <c r="AC11" i="81" s="1"/>
  <c r="S5" i="81" a="1"/>
  <c r="S5" i="81" s="1"/>
  <c r="AA5" i="81" a="1"/>
  <c r="AA5" i="81" s="1"/>
  <c r="AI5" i="81" a="1"/>
  <c r="AI5" i="81" s="1"/>
  <c r="V5" i="81" a="1"/>
  <c r="V5" i="81" s="1"/>
  <c r="AD5" i="81" a="1"/>
  <c r="AD5" i="81" s="1"/>
  <c r="T6" i="80" a="1"/>
  <c r="T6" i="80" s="1"/>
  <c r="AD10" i="79" a="1"/>
  <c r="AD10" i="79" s="1"/>
  <c r="V9" i="80" a="1"/>
  <c r="V9" i="80" s="1"/>
  <c r="W6" i="81" a="1"/>
  <c r="W6" i="81" s="1"/>
  <c r="AE6" i="81" a="1"/>
  <c r="AE6" i="81" s="1"/>
  <c r="X6" i="81" a="1"/>
  <c r="X6" i="81" s="1"/>
  <c r="AF6" i="81" a="1"/>
  <c r="AF6" i="81" s="1"/>
  <c r="T7" i="81" a="1"/>
  <c r="T7" i="81" s="1"/>
  <c r="AB7" i="81" a="1"/>
  <c r="AB7" i="81" s="1"/>
  <c r="AJ7" i="81" a="1"/>
  <c r="AJ7" i="81" s="1"/>
  <c r="S7" i="81" a="1"/>
  <c r="S7" i="81" s="1"/>
  <c r="AA7" i="81" a="1"/>
  <c r="AA7" i="81" s="1"/>
  <c r="AI7" i="81" a="1"/>
  <c r="AI7" i="81" s="1"/>
  <c r="Q2" i="81" a="1"/>
  <c r="Q2" i="81" s="1"/>
  <c r="Y2" i="81" a="1"/>
  <c r="Y2" i="81" s="1"/>
  <c r="AB2" i="81" a="1"/>
  <c r="AB2" i="81" s="1"/>
  <c r="V2" i="81" a="1"/>
  <c r="V2" i="81" s="1"/>
  <c r="AJ2" i="81" a="1"/>
  <c r="AJ2" i="81" s="1"/>
  <c r="AG2" i="81" a="1"/>
  <c r="AG2" i="81" s="1"/>
  <c r="R8" i="81" a="1"/>
  <c r="R8" i="81" s="1"/>
  <c r="Z8" i="81" a="1"/>
  <c r="Z8" i="81" s="1"/>
  <c r="AH8" i="81" a="1"/>
  <c r="AH8" i="81" s="1"/>
  <c r="Q8" i="81" a="1"/>
  <c r="Q8" i="81" s="1"/>
  <c r="Y8" i="81" a="1"/>
  <c r="Y8" i="81" s="1"/>
  <c r="AG8" i="81" a="1"/>
  <c r="AG8" i="81" s="1"/>
  <c r="Q10" i="81" a="1"/>
  <c r="Q10" i="81" s="1"/>
  <c r="Y10" i="81" a="1"/>
  <c r="Y10" i="81" s="1"/>
  <c r="AG10" i="81" a="1"/>
  <c r="AG10" i="81" s="1"/>
  <c r="R10" i="81" a="1"/>
  <c r="R10" i="81" s="1"/>
  <c r="Z10" i="81" a="1"/>
  <c r="Z10" i="81" s="1"/>
  <c r="AH10" i="81" a="1"/>
  <c r="AH10" i="81" s="1"/>
  <c r="Q9" i="81" a="1"/>
  <c r="Q9" i="81" s="1"/>
  <c r="Y9" i="81" a="1"/>
  <c r="Y9" i="81" s="1"/>
  <c r="AG9" i="81" a="1"/>
  <c r="AG9" i="81" s="1"/>
  <c r="R9" i="81" a="1"/>
  <c r="R9" i="81" s="1"/>
  <c r="Z9" i="81" a="1"/>
  <c r="Z9" i="81" s="1"/>
  <c r="AH9" i="81" a="1"/>
  <c r="AH9" i="81" s="1"/>
  <c r="X3" i="81" a="1"/>
  <c r="X3" i="81" s="1"/>
  <c r="V3" i="81" a="1"/>
  <c r="V3" i="81" s="1"/>
  <c r="AD3" i="81" a="1"/>
  <c r="AD3" i="81" s="1"/>
  <c r="W3" i="81" a="1"/>
  <c r="W3" i="81" s="1"/>
  <c r="AE3" i="81" a="1"/>
  <c r="AE3" i="81" s="1"/>
  <c r="Y4" i="81" a="1"/>
  <c r="Y4" i="81" s="1"/>
  <c r="AI4" i="81" a="1"/>
  <c r="AI4" i="81" s="1"/>
  <c r="V4" i="81" a="1"/>
  <c r="V4" i="81" s="1"/>
  <c r="AD4" i="81" a="1"/>
  <c r="AD4" i="81" s="1"/>
  <c r="X11" i="81" a="1"/>
  <c r="X11" i="81" s="1"/>
  <c r="AF11" i="81" a="1"/>
  <c r="AF11" i="81" s="1"/>
  <c r="W11" i="81" a="1"/>
  <c r="W11" i="81" s="1"/>
  <c r="AE11" i="81" a="1"/>
  <c r="AE11" i="81" s="1"/>
  <c r="U5" i="81" a="1"/>
  <c r="U5" i="81" s="1"/>
  <c r="AC5" i="81" a="1"/>
  <c r="AC5" i="81" s="1"/>
  <c r="X5" i="81" a="1"/>
  <c r="X5" i="81" s="1"/>
  <c r="AF5" i="81" a="1"/>
  <c r="AF5" i="81" s="1"/>
  <c r="AD6" i="80" a="1"/>
  <c r="AD6" i="80" s="1"/>
  <c r="Z3" i="78" a="1"/>
  <c r="Z3" i="78" s="1"/>
  <c r="AJ3" i="80" a="1"/>
  <c r="AJ3" i="80" s="1"/>
  <c r="Q6" i="81" a="1"/>
  <c r="Q6" i="81" s="1"/>
  <c r="Y6" i="81" a="1"/>
  <c r="Y6" i="81" s="1"/>
  <c r="AG6" i="81" a="1"/>
  <c r="AG6" i="81" s="1"/>
  <c r="R6" i="81" a="1"/>
  <c r="R6" i="81" s="1"/>
  <c r="Z6" i="81" a="1"/>
  <c r="Z6" i="81" s="1"/>
  <c r="V7" i="81" a="1"/>
  <c r="V7" i="81" s="1"/>
  <c r="AD7" i="81" a="1"/>
  <c r="AD7" i="81" s="1"/>
  <c r="U7" i="81" a="1"/>
  <c r="U7" i="81" s="1"/>
  <c r="AC7" i="81" a="1"/>
  <c r="AC7" i="81" s="1"/>
  <c r="S2" i="81" a="1"/>
  <c r="S2" i="81" s="1"/>
  <c r="AD2" i="81" a="1"/>
  <c r="AD2" i="81" s="1"/>
  <c r="X2" i="81" a="1"/>
  <c r="X2" i="81" s="1"/>
  <c r="AA2" i="81" a="1"/>
  <c r="AA2" i="81" s="1"/>
  <c r="T8" i="81" a="1"/>
  <c r="T8" i="81" s="1"/>
  <c r="AB8" i="81" a="1"/>
  <c r="AB8" i="81" s="1"/>
  <c r="AJ8" i="81" a="1"/>
  <c r="AJ8" i="81" s="1"/>
  <c r="S8" i="81" a="1"/>
  <c r="S8" i="81" s="1"/>
  <c r="AA8" i="81" a="1"/>
  <c r="AA8" i="81" s="1"/>
  <c r="AI8" i="81" a="1"/>
  <c r="AI8" i="81" s="1"/>
  <c r="S10" i="81" a="1"/>
  <c r="S10" i="81" s="1"/>
  <c r="AA10" i="81" a="1"/>
  <c r="AA10" i="81" s="1"/>
  <c r="AI10" i="81" a="1"/>
  <c r="AI10" i="81" s="1"/>
  <c r="T10" i="81" a="1"/>
  <c r="T10" i="81" s="1"/>
  <c r="AB10" i="81" a="1"/>
  <c r="AB10" i="81" s="1"/>
  <c r="AJ10" i="81" a="1"/>
  <c r="AJ10" i="81" s="1"/>
  <c r="S9" i="81" a="1"/>
  <c r="S9" i="81" s="1"/>
  <c r="AA9" i="81" a="1"/>
  <c r="AA9" i="81" s="1"/>
  <c r="AI9" i="81" a="1"/>
  <c r="AI9" i="81" s="1"/>
  <c r="T9" i="81" a="1"/>
  <c r="T9" i="81" s="1"/>
  <c r="AB9" i="81" a="1"/>
  <c r="AB9" i="81" s="1"/>
  <c r="AJ9" i="81" a="1"/>
  <c r="AJ9" i="81" s="1"/>
  <c r="AB3" i="81" a="1"/>
  <c r="AB3" i="81" s="1"/>
  <c r="Z3" i="81" a="1"/>
  <c r="Z3" i="81" s="1"/>
  <c r="AF3" i="81" a="1"/>
  <c r="AF3" i="81" s="1"/>
  <c r="Q3" i="81" a="1"/>
  <c r="Q3" i="81" s="1"/>
  <c r="Y3" i="81" a="1"/>
  <c r="Y3" i="81" s="1"/>
  <c r="AG3" i="81" a="1"/>
  <c r="AG3" i="81" s="1"/>
  <c r="W4" i="81" a="1"/>
  <c r="W4" i="81" s="1"/>
  <c r="X4" i="81" a="1"/>
  <c r="X4" i="81" s="1"/>
  <c r="R11" i="81" a="1"/>
  <c r="R11" i="81" s="1"/>
  <c r="Z11" i="81" a="1"/>
  <c r="Z11" i="81" s="1"/>
  <c r="AH11" i="81" a="1"/>
  <c r="AH11" i="81" s="1"/>
  <c r="Q11" i="81" a="1"/>
  <c r="Q11" i="81" s="1"/>
  <c r="Y11" i="81" a="1"/>
  <c r="Y11" i="81" s="1"/>
  <c r="AG11" i="81" a="1"/>
  <c r="AG11" i="81" s="1"/>
  <c r="W5" i="81" a="1"/>
  <c r="W5" i="81" s="1"/>
  <c r="AE5" i="81" a="1"/>
  <c r="AE5" i="81" s="1"/>
  <c r="R5" i="81" a="1"/>
  <c r="R5" i="81" s="1"/>
  <c r="Z5" i="81" a="1"/>
  <c r="Z5" i="81" s="1"/>
  <c r="AH5" i="81" a="1"/>
  <c r="AH5" i="81" s="1"/>
  <c r="AA10" i="78" a="1"/>
  <c r="AA10" i="78" s="1"/>
  <c r="AE7" i="79" a="1"/>
  <c r="AE7" i="79" s="1"/>
  <c r="AC5" i="80" a="1"/>
  <c r="AC5" i="80" s="1"/>
  <c r="AF8" i="80" a="1"/>
  <c r="AF8" i="80" s="1"/>
  <c r="S3" i="80" a="1"/>
  <c r="S3" i="80" s="1"/>
  <c r="S6" i="81" a="1"/>
  <c r="S6" i="81" s="1"/>
  <c r="AA6" i="81" a="1"/>
  <c r="AA6" i="81" s="1"/>
  <c r="AI6" i="81" a="1"/>
  <c r="AI6" i="81" s="1"/>
  <c r="T6" i="81" a="1"/>
  <c r="T6" i="81" s="1"/>
  <c r="AB6" i="81" a="1"/>
  <c r="AB6" i="81" s="1"/>
  <c r="X7" i="81" a="1"/>
  <c r="X7" i="81" s="1"/>
  <c r="AF7" i="81" a="1"/>
  <c r="AF7" i="81" s="1"/>
  <c r="W7" i="81" a="1"/>
  <c r="W7" i="81" s="1"/>
  <c r="U2" i="81" a="1"/>
  <c r="U2" i="81" s="1"/>
  <c r="AH2" i="81" a="1"/>
  <c r="AH2" i="81" s="1"/>
  <c r="R2" i="81" a="1"/>
  <c r="R2" i="81" s="1"/>
  <c r="Z2" i="81" a="1"/>
  <c r="Z2" i="81" s="1"/>
  <c r="V8" i="81" a="1"/>
  <c r="V8" i="81" s="1"/>
  <c r="AD8" i="81" a="1"/>
  <c r="AD8" i="81" s="1"/>
  <c r="U8" i="81" a="1"/>
  <c r="U8" i="81" s="1"/>
  <c r="U10" i="81" a="1"/>
  <c r="U10" i="81" s="1"/>
  <c r="AC10" i="81" a="1"/>
  <c r="AC10" i="81" s="1"/>
  <c r="V10" i="81" a="1"/>
  <c r="V10" i="81" s="1"/>
  <c r="U9" i="81" a="1"/>
  <c r="U9" i="81" s="1"/>
  <c r="AC9" i="81" a="1"/>
  <c r="AC9" i="81" s="1"/>
  <c r="V9" i="81" a="1"/>
  <c r="V9" i="81" s="1"/>
  <c r="AH3" i="81" a="1"/>
  <c r="AH3" i="81" s="1"/>
  <c r="S3" i="81" a="1"/>
  <c r="S3" i="81" s="1"/>
  <c r="AA3" i="81" a="1"/>
  <c r="AA3" i="81" s="1"/>
  <c r="T11" i="81" a="1"/>
  <c r="T11" i="81" s="1"/>
  <c r="AB11" i="81" a="1"/>
  <c r="AB11" i="81" s="1"/>
  <c r="AJ11" i="81" a="1"/>
  <c r="AJ11" i="81" s="1"/>
  <c r="AA11" i="81" a="1"/>
  <c r="AA11" i="81" s="1"/>
  <c r="Y5" i="81" a="1"/>
  <c r="Y5" i="81" s="1"/>
  <c r="T5" i="81" a="1"/>
  <c r="T5" i="81" s="1"/>
  <c r="AB5" i="81" a="1"/>
  <c r="AB5" i="81" s="1"/>
  <c r="X7" i="80" a="1"/>
  <c r="X7" i="80" s="1"/>
  <c r="AF4" i="80" a="1"/>
  <c r="AF4" i="80" s="1"/>
  <c r="AG11" i="80" a="1"/>
  <c r="AG11" i="80" s="1"/>
  <c r="AH3" i="79" a="1"/>
  <c r="AH3" i="79" s="1"/>
  <c r="T9" i="79" a="1"/>
  <c r="T9" i="79" s="1"/>
  <c r="AG9" i="80" a="1"/>
  <c r="AG9" i="80" s="1"/>
  <c r="AJ9" i="80" a="1"/>
  <c r="AJ9" i="80" s="1"/>
  <c r="T4" i="78" a="1"/>
  <c r="T4" i="78" s="1"/>
  <c r="AH8" i="80" a="1"/>
  <c r="AH8" i="80" s="1"/>
  <c r="AA3" i="80" a="1"/>
  <c r="AA3" i="80" s="1"/>
  <c r="T3" i="80" a="1"/>
  <c r="T3" i="80" s="1"/>
  <c r="AI3" i="80" a="1"/>
  <c r="AI3" i="80" s="1"/>
  <c r="AB3" i="80" a="1"/>
  <c r="AB3" i="80" s="1"/>
  <c r="AI11" i="78" a="1"/>
  <c r="AI11" i="78" s="1"/>
  <c r="Y7" i="80" a="1"/>
  <c r="Y7" i="80" s="1"/>
  <c r="T10" i="79" a="1"/>
  <c r="T10" i="79" s="1"/>
  <c r="X2" i="80" a="1"/>
  <c r="X2" i="80" s="1"/>
  <c r="X5" i="80" a="1"/>
  <c r="X5" i="80" s="1"/>
  <c r="AC8" i="79" a="1"/>
  <c r="AC8" i="79" s="1"/>
  <c r="S3" i="79" a="1"/>
  <c r="S3" i="79" s="1"/>
  <c r="X9" i="80" a="1"/>
  <c r="X9" i="80" s="1"/>
  <c r="Z9" i="80" a="1"/>
  <c r="Z9" i="80" s="1"/>
  <c r="AC8" i="80" a="1"/>
  <c r="AC8" i="80" s="1"/>
  <c r="AE3" i="80" a="1"/>
  <c r="AE3" i="80" s="1"/>
  <c r="AC6" i="80" a="1"/>
  <c r="AC6" i="80" s="1"/>
  <c r="AE6" i="80" a="1"/>
  <c r="AE6" i="80" s="1"/>
  <c r="V7" i="80" a="1"/>
  <c r="V7" i="80" s="1"/>
  <c r="U4" i="80" a="1"/>
  <c r="U4" i="80" s="1"/>
  <c r="AJ6" i="78" a="1"/>
  <c r="AJ6" i="78" s="1"/>
  <c r="AJ11" i="80" a="1"/>
  <c r="AJ11" i="80" s="1"/>
  <c r="Q9" i="80" a="1"/>
  <c r="Q9" i="80" s="1"/>
  <c r="AH3" i="80" a="1"/>
  <c r="AH3" i="80" s="1"/>
  <c r="W6" i="80" a="1"/>
  <c r="W6" i="80" s="1"/>
  <c r="AF10" i="80" a="1"/>
  <c r="AF10" i="80" s="1"/>
  <c r="AG10" i="80" a="1"/>
  <c r="AG10" i="80" s="1"/>
  <c r="AF2" i="80" a="1"/>
  <c r="AF2" i="80" s="1"/>
  <c r="W2" i="80" a="1"/>
  <c r="W2" i="80" s="1"/>
  <c r="AE2" i="80" a="1"/>
  <c r="AE2" i="80" s="1"/>
  <c r="W8" i="80" a="1"/>
  <c r="W8" i="80" s="1"/>
  <c r="R8" i="80" a="1"/>
  <c r="R8" i="80" s="1"/>
  <c r="AD4" i="79" a="1"/>
  <c r="AD4" i="79" s="1"/>
  <c r="T11" i="78" a="1"/>
  <c r="T11" i="78" s="1"/>
  <c r="AB6" i="80" a="1"/>
  <c r="AB6" i="80" s="1"/>
  <c r="X6" i="80" a="1"/>
  <c r="X6" i="80" s="1"/>
  <c r="AH6" i="80" a="1"/>
  <c r="AH6" i="80" s="1"/>
  <c r="Q6" i="80" a="1"/>
  <c r="Q6" i="80" s="1"/>
  <c r="Y6" i="80" a="1"/>
  <c r="Y6" i="80" s="1"/>
  <c r="AG6" i="80" a="1"/>
  <c r="AG6" i="80" s="1"/>
  <c r="T10" i="78" a="1"/>
  <c r="T10" i="78" s="1"/>
  <c r="Z7" i="80" a="1"/>
  <c r="Z7" i="80" s="1"/>
  <c r="Q7" i="80" a="1"/>
  <c r="Q7" i="80" s="1"/>
  <c r="AI7" i="80" a="1"/>
  <c r="AI7" i="80" s="1"/>
  <c r="AB7" i="80" a="1"/>
  <c r="AB7" i="80" s="1"/>
  <c r="R7" i="80" a="1"/>
  <c r="R7" i="80" s="1"/>
  <c r="AG7" i="80" a="1"/>
  <c r="AG7" i="80" s="1"/>
  <c r="AE10" i="79" a="1"/>
  <c r="AE10" i="79" s="1"/>
  <c r="W6" i="79" a="1"/>
  <c r="W6" i="79" s="1"/>
  <c r="AC9" i="78" a="1"/>
  <c r="AC9" i="78" s="1"/>
  <c r="Y4" i="80" a="1"/>
  <c r="Y4" i="80" s="1"/>
  <c r="R4" i="80" a="1"/>
  <c r="R4" i="80" s="1"/>
  <c r="AH4" i="80" a="1"/>
  <c r="AH4" i="80" s="1"/>
  <c r="AA4" i="80" a="1"/>
  <c r="AA4" i="80" s="1"/>
  <c r="X4" i="80" a="1"/>
  <c r="X4" i="80" s="1"/>
  <c r="AJ4" i="80" a="1"/>
  <c r="AJ4" i="80" s="1"/>
  <c r="R10" i="80" a="1"/>
  <c r="R10" i="80" s="1"/>
  <c r="Z10" i="80" a="1"/>
  <c r="Z10" i="80" s="1"/>
  <c r="AH10" i="80" a="1"/>
  <c r="AH10" i="80" s="1"/>
  <c r="S10" i="80" a="1"/>
  <c r="S10" i="80" s="1"/>
  <c r="AA10" i="80" a="1"/>
  <c r="AA10" i="80" s="1"/>
  <c r="AI10" i="80" a="1"/>
  <c r="AI10" i="80" s="1"/>
  <c r="Z5" i="79" a="1"/>
  <c r="Z5" i="79" s="1"/>
  <c r="Y5" i="79" a="1"/>
  <c r="Y5" i="79" s="1"/>
  <c r="Z2" i="79" a="1"/>
  <c r="Z2" i="79" s="1"/>
  <c r="Y2" i="79" a="1"/>
  <c r="Y2" i="79" s="1"/>
  <c r="R2" i="80" a="1"/>
  <c r="R2" i="80" s="1"/>
  <c r="Z2" i="80" a="1"/>
  <c r="Z2" i="80" s="1"/>
  <c r="AH2" i="80" a="1"/>
  <c r="AH2" i="80" s="1"/>
  <c r="Q2" i="80" a="1"/>
  <c r="Q2" i="80" s="1"/>
  <c r="Y2" i="80" a="1"/>
  <c r="Y2" i="80" s="1"/>
  <c r="AG2" i="80" a="1"/>
  <c r="AG2" i="80" s="1"/>
  <c r="U7" i="79" a="1"/>
  <c r="U7" i="79" s="1"/>
  <c r="R5" i="80" a="1"/>
  <c r="R5" i="80" s="1"/>
  <c r="Z5" i="80" a="1"/>
  <c r="Z5" i="80" s="1"/>
  <c r="AH5" i="80" a="1"/>
  <c r="AH5" i="80" s="1"/>
  <c r="Q5" i="80" a="1"/>
  <c r="Q5" i="80" s="1"/>
  <c r="Y5" i="80" a="1"/>
  <c r="Y5" i="80" s="1"/>
  <c r="AG5" i="80" a="1"/>
  <c r="AG5" i="80" s="1"/>
  <c r="X8" i="79" a="1"/>
  <c r="X8" i="79" s="1"/>
  <c r="Q11" i="80" a="1"/>
  <c r="Q11" i="80" s="1"/>
  <c r="R11" i="80" a="1"/>
  <c r="R11" i="80" s="1"/>
  <c r="S11" i="80" a="1"/>
  <c r="S11" i="80" s="1"/>
  <c r="U11" i="80" a="1"/>
  <c r="U11" i="80" s="1"/>
  <c r="AC11" i="80" a="1"/>
  <c r="AC11" i="80" s="1"/>
  <c r="AA3" i="79" a="1"/>
  <c r="AA3" i="79" s="1"/>
  <c r="T3" i="79" a="1"/>
  <c r="T3" i="79" s="1"/>
  <c r="AE9" i="79" a="1"/>
  <c r="AE9" i="79" s="1"/>
  <c r="Q9" i="79" a="1"/>
  <c r="Q9" i="79" s="1"/>
  <c r="AE9" i="80" a="1"/>
  <c r="AE9" i="80" s="1"/>
  <c r="AB9" i="80" a="1"/>
  <c r="AB9" i="80" s="1"/>
  <c r="U9" i="80" a="1"/>
  <c r="U9" i="80" s="1"/>
  <c r="AD9" i="80" a="1"/>
  <c r="AD9" i="80" s="1"/>
  <c r="S4" i="78" a="1"/>
  <c r="S4" i="78" s="1"/>
  <c r="Q8" i="80" a="1"/>
  <c r="Q8" i="80" s="1"/>
  <c r="Y8" i="80" a="1"/>
  <c r="Y8" i="80" s="1"/>
  <c r="AG8" i="80" a="1"/>
  <c r="AG8" i="80" s="1"/>
  <c r="T8" i="80" a="1"/>
  <c r="T8" i="80" s="1"/>
  <c r="AB8" i="80" a="1"/>
  <c r="AB8" i="80" s="1"/>
  <c r="AJ8" i="80" a="1"/>
  <c r="AJ8" i="80" s="1"/>
  <c r="AD11" i="79" a="1"/>
  <c r="AD11" i="79" s="1"/>
  <c r="U3" i="80" a="1"/>
  <c r="U3" i="80" s="1"/>
  <c r="AC3" i="80" a="1"/>
  <c r="AC3" i="80" s="1"/>
  <c r="V3" i="80" a="1"/>
  <c r="V3" i="80" s="1"/>
  <c r="AD3" i="80" a="1"/>
  <c r="AD3" i="80" s="1"/>
  <c r="AE7" i="80" a="1"/>
  <c r="AE7" i="80" s="1"/>
  <c r="AC7" i="80" a="1"/>
  <c r="AC7" i="80" s="1"/>
  <c r="AD4" i="80" a="1"/>
  <c r="AD4" i="80" s="1"/>
  <c r="T4" i="80" a="1"/>
  <c r="T4" i="80" s="1"/>
  <c r="Q10" i="80" a="1"/>
  <c r="Q10" i="80" s="1"/>
  <c r="AA11" i="80" a="1"/>
  <c r="AA11" i="80" s="1"/>
  <c r="AI11" i="80" a="1"/>
  <c r="AI11" i="80" s="1"/>
  <c r="Z8" i="80" a="1"/>
  <c r="Z8" i="80" s="1"/>
  <c r="AB11" i="78" a="1"/>
  <c r="AB11" i="78" s="1"/>
  <c r="R6" i="80" a="1"/>
  <c r="R6" i="80" s="1"/>
  <c r="AJ6" i="80" a="1"/>
  <c r="AJ6" i="80" s="1"/>
  <c r="S6" i="80" a="1"/>
  <c r="S6" i="80" s="1"/>
  <c r="AA6" i="80" a="1"/>
  <c r="AA6" i="80" s="1"/>
  <c r="AI6" i="80" a="1"/>
  <c r="AI6" i="80" s="1"/>
  <c r="AD7" i="80" a="1"/>
  <c r="AD7" i="80" s="1"/>
  <c r="W7" i="80" a="1"/>
  <c r="W7" i="80" s="1"/>
  <c r="AF7" i="80" a="1"/>
  <c r="AF7" i="80" s="1"/>
  <c r="U7" i="80" a="1"/>
  <c r="U7" i="80" s="1"/>
  <c r="AC4" i="80" a="1"/>
  <c r="AC4" i="80" s="1"/>
  <c r="V4" i="80" a="1"/>
  <c r="V4" i="80" s="1"/>
  <c r="AE4" i="80" a="1"/>
  <c r="AE4" i="80" s="1"/>
  <c r="AB4" i="80" a="1"/>
  <c r="AB4" i="80" s="1"/>
  <c r="T10" i="80" a="1"/>
  <c r="T10" i="80" s="1"/>
  <c r="AB10" i="80" a="1"/>
  <c r="AB10" i="80" s="1"/>
  <c r="AJ10" i="80" a="1"/>
  <c r="AJ10" i="80" s="1"/>
  <c r="U10" i="80" a="1"/>
  <c r="U10" i="80" s="1"/>
  <c r="AC10" i="80" a="1"/>
  <c r="AC10" i="80" s="1"/>
  <c r="AB5" i="79" a="1"/>
  <c r="AB5" i="79" s="1"/>
  <c r="AA5" i="79" a="1"/>
  <c r="AA5" i="79" s="1"/>
  <c r="AB2" i="79" a="1"/>
  <c r="AB2" i="79" s="1"/>
  <c r="AA2" i="79" a="1"/>
  <c r="AA2" i="79" s="1"/>
  <c r="T2" i="80" a="1"/>
  <c r="T2" i="80" s="1"/>
  <c r="AB2" i="80" a="1"/>
  <c r="AB2" i="80" s="1"/>
  <c r="AJ2" i="80" a="1"/>
  <c r="AJ2" i="80" s="1"/>
  <c r="S2" i="80" a="1"/>
  <c r="S2" i="80" s="1"/>
  <c r="AA2" i="80" a="1"/>
  <c r="AA2" i="80" s="1"/>
  <c r="AI2" i="80" a="1"/>
  <c r="AI2" i="80" s="1"/>
  <c r="V7" i="79" a="1"/>
  <c r="V7" i="79" s="1"/>
  <c r="T5" i="80" a="1"/>
  <c r="T5" i="80" s="1"/>
  <c r="AB5" i="80" a="1"/>
  <c r="AB5" i="80" s="1"/>
  <c r="AJ5" i="80" a="1"/>
  <c r="AJ5" i="80" s="1"/>
  <c r="S5" i="80" a="1"/>
  <c r="S5" i="80" s="1"/>
  <c r="AA5" i="80" a="1"/>
  <c r="AA5" i="80" s="1"/>
  <c r="AI5" i="80" a="1"/>
  <c r="AI5" i="80" s="1"/>
  <c r="T11" i="80" a="1"/>
  <c r="T11" i="80" s="1"/>
  <c r="V11" i="80" a="1"/>
  <c r="V11" i="80" s="1"/>
  <c r="X11" i="80" a="1"/>
  <c r="X11" i="80" s="1"/>
  <c r="Z11" i="80" a="1"/>
  <c r="Z11" i="80" s="1"/>
  <c r="W11" i="80" a="1"/>
  <c r="W11" i="80" s="1"/>
  <c r="AE11" i="80" a="1"/>
  <c r="AE11" i="80" s="1"/>
  <c r="R3" i="79" a="1"/>
  <c r="R3" i="79" s="1"/>
  <c r="AI3" i="79" a="1"/>
  <c r="AI3" i="79" s="1"/>
  <c r="AB3" i="79" a="1"/>
  <c r="AB3" i="79" s="1"/>
  <c r="R9" i="79" a="1"/>
  <c r="R9" i="79" s="1"/>
  <c r="S9" i="80" a="1"/>
  <c r="S9" i="80" s="1"/>
  <c r="AI9" i="80" a="1"/>
  <c r="AI9" i="80" s="1"/>
  <c r="AF9" i="80" a="1"/>
  <c r="AF9" i="80" s="1"/>
  <c r="Y9" i="80" a="1"/>
  <c r="Y9" i="80" s="1"/>
  <c r="R9" i="80" a="1"/>
  <c r="R9" i="80" s="1"/>
  <c r="AH9" i="80" a="1"/>
  <c r="AH9" i="80" s="1"/>
  <c r="S8" i="80" a="1"/>
  <c r="S8" i="80" s="1"/>
  <c r="AA8" i="80" a="1"/>
  <c r="AA8" i="80" s="1"/>
  <c r="AI8" i="80" a="1"/>
  <c r="AI8" i="80" s="1"/>
  <c r="V8" i="80" a="1"/>
  <c r="V8" i="80" s="1"/>
  <c r="AD8" i="80" a="1"/>
  <c r="AD8" i="80" s="1"/>
  <c r="W3" i="80" a="1"/>
  <c r="W3" i="80" s="1"/>
  <c r="X3" i="80" a="1"/>
  <c r="X3" i="80" s="1"/>
  <c r="AF3" i="80" a="1"/>
  <c r="AF3" i="80" s="1"/>
  <c r="W4" i="80" a="1"/>
  <c r="W4" i="80" s="1"/>
  <c r="X10" i="80" a="1"/>
  <c r="X10" i="80" s="1"/>
  <c r="Y10" i="80" a="1"/>
  <c r="Y10" i="80" s="1"/>
  <c r="AF5" i="80" a="1"/>
  <c r="AF5" i="80" s="1"/>
  <c r="W5" i="80" a="1"/>
  <c r="W5" i="80" s="1"/>
  <c r="AE5" i="80" a="1"/>
  <c r="AE5" i="80" s="1"/>
  <c r="AE8" i="80" a="1"/>
  <c r="AE8" i="80" s="1"/>
  <c r="AI4" i="79" a="1"/>
  <c r="AI4" i="79" s="1"/>
  <c r="V6" i="80" a="1"/>
  <c r="V6" i="80" s="1"/>
  <c r="Z6" i="80" a="1"/>
  <c r="Z6" i="80" s="1"/>
  <c r="U6" i="80" a="1"/>
  <c r="U6" i="80" s="1"/>
  <c r="S10" i="78" a="1"/>
  <c r="S10" i="78" s="1"/>
  <c r="S7" i="80" a="1"/>
  <c r="S7" i="80" s="1"/>
  <c r="AH7" i="80" a="1"/>
  <c r="AH7" i="80" s="1"/>
  <c r="AA7" i="80" a="1"/>
  <c r="AA7" i="80" s="1"/>
  <c r="T7" i="80" a="1"/>
  <c r="T7" i="80" s="1"/>
  <c r="AJ7" i="80" a="1"/>
  <c r="AJ7" i="80" s="1"/>
  <c r="AD6" i="79" a="1"/>
  <c r="AD6" i="79" s="1"/>
  <c r="Q4" i="80" a="1"/>
  <c r="Q4" i="80" s="1"/>
  <c r="AG4" i="80" a="1"/>
  <c r="AG4" i="80" s="1"/>
  <c r="Z4" i="80" a="1"/>
  <c r="Z4" i="80" s="1"/>
  <c r="S4" i="80" a="1"/>
  <c r="S4" i="80" s="1"/>
  <c r="AI4" i="80" a="1"/>
  <c r="AI4" i="80" s="1"/>
  <c r="AA6" i="78" a="1"/>
  <c r="AA6" i="78" s="1"/>
  <c r="V10" i="80" a="1"/>
  <c r="V10" i="80" s="1"/>
  <c r="AD10" i="80" a="1"/>
  <c r="AD10" i="80" s="1"/>
  <c r="W10" i="80" a="1"/>
  <c r="W10" i="80" s="1"/>
  <c r="R5" i="79" a="1"/>
  <c r="R5" i="79" s="1"/>
  <c r="AH5" i="79" a="1"/>
  <c r="AH5" i="79" s="1"/>
  <c r="Q5" i="79" a="1"/>
  <c r="Q5" i="79" s="1"/>
  <c r="AG5" i="79" a="1"/>
  <c r="AG5" i="79" s="1"/>
  <c r="R2" i="79" a="1"/>
  <c r="R2" i="79" s="1"/>
  <c r="AH2" i="79" a="1"/>
  <c r="AH2" i="79" s="1"/>
  <c r="Q2" i="79" a="1"/>
  <c r="Q2" i="79" s="1"/>
  <c r="AG2" i="79" a="1"/>
  <c r="AG2" i="79" s="1"/>
  <c r="V2" i="80" a="1"/>
  <c r="V2" i="80" s="1"/>
  <c r="AD2" i="80" a="1"/>
  <c r="AD2" i="80" s="1"/>
  <c r="U2" i="80" a="1"/>
  <c r="U2" i="80" s="1"/>
  <c r="AJ7" i="79" a="1"/>
  <c r="AJ7" i="79" s="1"/>
  <c r="V5" i="80" a="1"/>
  <c r="V5" i="80" s="1"/>
  <c r="AD5" i="80" a="1"/>
  <c r="AD5" i="80" s="1"/>
  <c r="U5" i="80" a="1"/>
  <c r="U5" i="80" s="1"/>
  <c r="AB11" i="80" a="1"/>
  <c r="AB11" i="80" s="1"/>
  <c r="AD11" i="80" a="1"/>
  <c r="AD11" i="80" s="1"/>
  <c r="AF11" i="80" a="1"/>
  <c r="AF11" i="80" s="1"/>
  <c r="AH11" i="80" a="1"/>
  <c r="AH11" i="80" s="1"/>
  <c r="Y11" i="80" a="1"/>
  <c r="Y11" i="80" s="1"/>
  <c r="AJ3" i="79" a="1"/>
  <c r="AJ3" i="79" s="1"/>
  <c r="W9" i="80" a="1"/>
  <c r="W9" i="80" s="1"/>
  <c r="T9" i="80" a="1"/>
  <c r="T9" i="80" s="1"/>
  <c r="AC9" i="80" a="1"/>
  <c r="AC9" i="80" s="1"/>
  <c r="U8" i="80" a="1"/>
  <c r="U8" i="80" s="1"/>
  <c r="X8" i="80" a="1"/>
  <c r="X8" i="80" s="1"/>
  <c r="W11" i="79" a="1"/>
  <c r="W11" i="79" s="1"/>
  <c r="Q3" i="80" a="1"/>
  <c r="Q3" i="80" s="1"/>
  <c r="Y3" i="80" a="1"/>
  <c r="Y3" i="80" s="1"/>
  <c r="AG3" i="80" a="1"/>
  <c r="AG3" i="80" s="1"/>
  <c r="R3" i="80" a="1"/>
  <c r="R3" i="80" s="1"/>
  <c r="Z3" i="80" a="1"/>
  <c r="Z3" i="80" s="1"/>
  <c r="AD8" i="78" a="1"/>
  <c r="AD8" i="78" s="1"/>
  <c r="AE7" i="78" a="1"/>
  <c r="AE7" i="78" s="1"/>
  <c r="Y10" i="79" a="1"/>
  <c r="Y10" i="79" s="1"/>
  <c r="AE6" i="79" a="1"/>
  <c r="AE6" i="79" s="1"/>
  <c r="X6" i="79" a="1"/>
  <c r="X6" i="79" s="1"/>
  <c r="W8" i="79" a="1"/>
  <c r="W8" i="79" s="1"/>
  <c r="AG9" i="79" a="1"/>
  <c r="AG9" i="79" s="1"/>
  <c r="X11" i="79" a="1"/>
  <c r="X11" i="79" s="1"/>
  <c r="Q4" i="79" a="1"/>
  <c r="Q4" i="79" s="1"/>
  <c r="Y4" i="79" a="1"/>
  <c r="Y4" i="79" s="1"/>
  <c r="T4" i="79" a="1"/>
  <c r="T4" i="79" s="1"/>
  <c r="AB4" i="79" a="1"/>
  <c r="AB4" i="79" s="1"/>
  <c r="AG4" i="79" a="1"/>
  <c r="AG4" i="79" s="1"/>
  <c r="AE11" i="78" a="1"/>
  <c r="AE11" i="78" s="1"/>
  <c r="AJ11" i="78" a="1"/>
  <c r="AJ11" i="78" s="1"/>
  <c r="AC2" i="78" a="1"/>
  <c r="AC2" i="78" s="1"/>
  <c r="AB10" i="78" a="1"/>
  <c r="AB10" i="78" s="1"/>
  <c r="AI5" i="78" a="1"/>
  <c r="AI5" i="78" s="1"/>
  <c r="AB10" i="79" a="1"/>
  <c r="AB10" i="79" s="1"/>
  <c r="Q10" i="79" a="1"/>
  <c r="Q10" i="79" s="1"/>
  <c r="R10" i="79" a="1"/>
  <c r="R10" i="79" s="1"/>
  <c r="S10" i="79" a="1"/>
  <c r="S10" i="79" s="1"/>
  <c r="AA10" i="79" a="1"/>
  <c r="AA10" i="79" s="1"/>
  <c r="AI10" i="79" a="1"/>
  <c r="AI10" i="79" s="1"/>
  <c r="Q6" i="79" a="1"/>
  <c r="Q6" i="79" s="1"/>
  <c r="Y6" i="79" a="1"/>
  <c r="Y6" i="79" s="1"/>
  <c r="AG6" i="79" a="1"/>
  <c r="AG6" i="79" s="1"/>
  <c r="R6" i="79" a="1"/>
  <c r="R6" i="79" s="1"/>
  <c r="Z6" i="79" a="1"/>
  <c r="Z6" i="79" s="1"/>
  <c r="AH6" i="79" a="1"/>
  <c r="AH6" i="79" s="1"/>
  <c r="AF9" i="78" a="1"/>
  <c r="AF9" i="78" s="1"/>
  <c r="AB6" i="78" a="1"/>
  <c r="AB6" i="78" s="1"/>
  <c r="S6" i="78" a="1"/>
  <c r="S6" i="78" s="1"/>
  <c r="W7" i="79" a="1"/>
  <c r="W7" i="79" s="1"/>
  <c r="X7" i="79" a="1"/>
  <c r="X7" i="79" s="1"/>
  <c r="AF7" i="79" a="1"/>
  <c r="AF7" i="79" s="1"/>
  <c r="R8" i="79" a="1"/>
  <c r="R8" i="79" s="1"/>
  <c r="Z8" i="79" a="1"/>
  <c r="Z8" i="79" s="1"/>
  <c r="AH8" i="79" a="1"/>
  <c r="AH8" i="79" s="1"/>
  <c r="Q8" i="79" a="1"/>
  <c r="Q8" i="79" s="1"/>
  <c r="Y8" i="79" a="1"/>
  <c r="Y8" i="79" s="1"/>
  <c r="AG8" i="79" a="1"/>
  <c r="AG8" i="79" s="1"/>
  <c r="U3" i="79" a="1"/>
  <c r="U3" i="79" s="1"/>
  <c r="AC3" i="79" a="1"/>
  <c r="AC3" i="79" s="1"/>
  <c r="V3" i="79" a="1"/>
  <c r="V3" i="79" s="1"/>
  <c r="AD3" i="79" a="1"/>
  <c r="AD3" i="79" s="1"/>
  <c r="V9" i="79" a="1"/>
  <c r="V9" i="79" s="1"/>
  <c r="S9" i="79" a="1"/>
  <c r="S9" i="79" s="1"/>
  <c r="X9" i="79" a="1"/>
  <c r="X9" i="79" s="1"/>
  <c r="AF9" i="79" a="1"/>
  <c r="AF9" i="79" s="1"/>
  <c r="AA9" i="79" a="1"/>
  <c r="AA9" i="79" s="1"/>
  <c r="AI9" i="79" a="1"/>
  <c r="AI9" i="79" s="1"/>
  <c r="X4" i="78" a="1"/>
  <c r="X4" i="78" s="1"/>
  <c r="AG4" i="78" a="1"/>
  <c r="AG4" i="78" s="1"/>
  <c r="AE3" i="78" a="1"/>
  <c r="AE3" i="78" s="1"/>
  <c r="AD3" i="78" a="1"/>
  <c r="AD3" i="78" s="1"/>
  <c r="Q3" i="78" a="1"/>
  <c r="Q3" i="78" s="1"/>
  <c r="Q11" i="79" a="1"/>
  <c r="Q11" i="79" s="1"/>
  <c r="Y11" i="79" a="1"/>
  <c r="Y11" i="79" s="1"/>
  <c r="AG11" i="79" a="1"/>
  <c r="AG11" i="79" s="1"/>
  <c r="R11" i="79" a="1"/>
  <c r="R11" i="79" s="1"/>
  <c r="Z11" i="79" a="1"/>
  <c r="Z11" i="79" s="1"/>
  <c r="AH11" i="79" a="1"/>
  <c r="AH11" i="79" s="1"/>
  <c r="AH7" i="78" a="1"/>
  <c r="AH7" i="78" s="1"/>
  <c r="AD7" i="79" a="1"/>
  <c r="AD7" i="79" s="1"/>
  <c r="AD9" i="79" a="1"/>
  <c r="AD9" i="79" s="1"/>
  <c r="AE4" i="78" a="1"/>
  <c r="AE4" i="78" s="1"/>
  <c r="AE11" i="79" a="1"/>
  <c r="AE11" i="79" s="1"/>
  <c r="AG7" i="78" a="1"/>
  <c r="AG7" i="78" s="1"/>
  <c r="Z7" i="78" a="1"/>
  <c r="Z7" i="78" s="1"/>
  <c r="S4" i="79" a="1"/>
  <c r="S4" i="79" s="1"/>
  <c r="AA4" i="79" a="1"/>
  <c r="AA4" i="79" s="1"/>
  <c r="AE4" i="79" a="1"/>
  <c r="AE4" i="79" s="1"/>
  <c r="V4" i="79" a="1"/>
  <c r="V4" i="79" s="1"/>
  <c r="AF4" i="79" a="1"/>
  <c r="AF4" i="79" s="1"/>
  <c r="AJ4" i="79" a="1"/>
  <c r="AJ4" i="79" s="1"/>
  <c r="S11" i="78" a="1"/>
  <c r="S11" i="78" s="1"/>
  <c r="AH11" i="78" a="1"/>
  <c r="AH11" i="78" s="1"/>
  <c r="AJ10" i="78" a="1"/>
  <c r="AJ10" i="78" s="1"/>
  <c r="T5" i="78" a="1"/>
  <c r="T5" i="78" s="1"/>
  <c r="AJ10" i="79" a="1"/>
  <c r="AJ10" i="79" s="1"/>
  <c r="X10" i="79" a="1"/>
  <c r="X10" i="79" s="1"/>
  <c r="Z10" i="79" a="1"/>
  <c r="Z10" i="79" s="1"/>
  <c r="U10" i="79" a="1"/>
  <c r="U10" i="79" s="1"/>
  <c r="AC10" i="79" a="1"/>
  <c r="AC10" i="79" s="1"/>
  <c r="S6" i="79" a="1"/>
  <c r="S6" i="79" s="1"/>
  <c r="AA6" i="79" a="1"/>
  <c r="AA6" i="79" s="1"/>
  <c r="AI6" i="79" a="1"/>
  <c r="AI6" i="79" s="1"/>
  <c r="T6" i="79" a="1"/>
  <c r="T6" i="79" s="1"/>
  <c r="AB6" i="79" a="1"/>
  <c r="AB6" i="79" s="1"/>
  <c r="AJ6" i="79" a="1"/>
  <c r="AJ6" i="79" s="1"/>
  <c r="V5" i="79" a="1"/>
  <c r="V5" i="79" s="1"/>
  <c r="AD5" i="79" a="1"/>
  <c r="AD5" i="79" s="1"/>
  <c r="U5" i="79" a="1"/>
  <c r="U5" i="79" s="1"/>
  <c r="AC5" i="79" a="1"/>
  <c r="AC5" i="79" s="1"/>
  <c r="V2" i="79" a="1"/>
  <c r="V2" i="79" s="1"/>
  <c r="AD2" i="79" a="1"/>
  <c r="AD2" i="79" s="1"/>
  <c r="U2" i="79" a="1"/>
  <c r="U2" i="79" s="1"/>
  <c r="AC2" i="79" a="1"/>
  <c r="AC2" i="79" s="1"/>
  <c r="Q7" i="79" a="1"/>
  <c r="Q7" i="79" s="1"/>
  <c r="Y7" i="79" a="1"/>
  <c r="Y7" i="79" s="1"/>
  <c r="AG7" i="79" a="1"/>
  <c r="AG7" i="79" s="1"/>
  <c r="R7" i="79" a="1"/>
  <c r="R7" i="79" s="1"/>
  <c r="Z7" i="79" a="1"/>
  <c r="Z7" i="79" s="1"/>
  <c r="AH7" i="79" a="1"/>
  <c r="AH7" i="79" s="1"/>
  <c r="T8" i="79" a="1"/>
  <c r="T8" i="79" s="1"/>
  <c r="AB8" i="79" a="1"/>
  <c r="AB8" i="79" s="1"/>
  <c r="AJ8" i="79" a="1"/>
  <c r="AJ8" i="79" s="1"/>
  <c r="S8" i="79" a="1"/>
  <c r="S8" i="79" s="1"/>
  <c r="AA8" i="79" a="1"/>
  <c r="AA8" i="79" s="1"/>
  <c r="AI8" i="79" a="1"/>
  <c r="AI8" i="79" s="1"/>
  <c r="W3" i="79" a="1"/>
  <c r="W3" i="79" s="1"/>
  <c r="AE3" i="79" a="1"/>
  <c r="AE3" i="79" s="1"/>
  <c r="X3" i="79" a="1"/>
  <c r="X3" i="79" s="1"/>
  <c r="AF3" i="79" a="1"/>
  <c r="AF3" i="79" s="1"/>
  <c r="U9" i="79" a="1"/>
  <c r="U9" i="79" s="1"/>
  <c r="Z9" i="79" a="1"/>
  <c r="Z9" i="79" s="1"/>
  <c r="AH9" i="79" a="1"/>
  <c r="AH9" i="79" s="1"/>
  <c r="AC9" i="79" a="1"/>
  <c r="AC9" i="79" s="1"/>
  <c r="AF4" i="78" a="1"/>
  <c r="AF4" i="78" s="1"/>
  <c r="AI4" i="78" a="1"/>
  <c r="AI4" i="78" s="1"/>
  <c r="R3" i="78" a="1"/>
  <c r="R3" i="78" s="1"/>
  <c r="AH3" i="78" a="1"/>
  <c r="AH3" i="78" s="1"/>
  <c r="Y3" i="78" a="1"/>
  <c r="Y3" i="78" s="1"/>
  <c r="S11" i="79" a="1"/>
  <c r="S11" i="79" s="1"/>
  <c r="AA11" i="79" a="1"/>
  <c r="AA11" i="79" s="1"/>
  <c r="AI11" i="79" a="1"/>
  <c r="AI11" i="79" s="1"/>
  <c r="T11" i="79" a="1"/>
  <c r="T11" i="79" s="1"/>
  <c r="AB11" i="79" a="1"/>
  <c r="AB11" i="79" s="1"/>
  <c r="AJ11" i="79" a="1"/>
  <c r="AJ11" i="79" s="1"/>
  <c r="AE8" i="78" a="1"/>
  <c r="AE8" i="78" s="1"/>
  <c r="Q7" i="78" a="1"/>
  <c r="Q7" i="78" s="1"/>
  <c r="AF7" i="78" a="1"/>
  <c r="AF7" i="78" s="1"/>
  <c r="W4" i="79" a="1"/>
  <c r="W4" i="79" s="1"/>
  <c r="AH4" i="79" a="1"/>
  <c r="AH4" i="79" s="1"/>
  <c r="R4" i="79" a="1"/>
  <c r="R4" i="79" s="1"/>
  <c r="Z4" i="79" a="1"/>
  <c r="Z4" i="79" s="1"/>
  <c r="AC4" i="79" a="1"/>
  <c r="AC4" i="79" s="1"/>
  <c r="AG10" i="79" a="1"/>
  <c r="AG10" i="79" s="1"/>
  <c r="AF6" i="79" a="1"/>
  <c r="AF6" i="79" s="1"/>
  <c r="AC7" i="79" a="1"/>
  <c r="AC7" i="79" s="1"/>
  <c r="AF8" i="79" a="1"/>
  <c r="AF8" i="79" s="1"/>
  <c r="AE8" i="79" a="1"/>
  <c r="AE8" i="79" s="1"/>
  <c r="Y9" i="79" a="1"/>
  <c r="Y9" i="79" s="1"/>
  <c r="AF11" i="79" a="1"/>
  <c r="AF11" i="79" s="1"/>
  <c r="X5" i="77" a="1"/>
  <c r="X5" i="77" s="1"/>
  <c r="AI3" i="77" a="1"/>
  <c r="AI3" i="77" s="1"/>
  <c r="U4" i="79" a="1"/>
  <c r="U4" i="79" s="1"/>
  <c r="X4" i="79" a="1"/>
  <c r="X4" i="79" s="1"/>
  <c r="AA11" i="78" a="1"/>
  <c r="AA11" i="78" s="1"/>
  <c r="AG10" i="78" a="1"/>
  <c r="AG10" i="78" s="1"/>
  <c r="AI10" i="78" a="1"/>
  <c r="AI10" i="78" s="1"/>
  <c r="AJ5" i="78" a="1"/>
  <c r="AJ5" i="78" s="1"/>
  <c r="V10" i="79" a="1"/>
  <c r="V10" i="79" s="1"/>
  <c r="AF10" i="79" a="1"/>
  <c r="AF10" i="79" s="1"/>
  <c r="AH10" i="79" a="1"/>
  <c r="AH10" i="79" s="1"/>
  <c r="W10" i="79" a="1"/>
  <c r="W10" i="79" s="1"/>
  <c r="U6" i="79" a="1"/>
  <c r="U6" i="79" s="1"/>
  <c r="AC6" i="79" a="1"/>
  <c r="AC6" i="79" s="1"/>
  <c r="V6" i="79" a="1"/>
  <c r="V6" i="79" s="1"/>
  <c r="AG6" i="78" a="1"/>
  <c r="AG6" i="78" s="1"/>
  <c r="AI6" i="78" a="1"/>
  <c r="AI6" i="78" s="1"/>
  <c r="X5" i="79" a="1"/>
  <c r="X5" i="79" s="1"/>
  <c r="AF5" i="79" a="1"/>
  <c r="AF5" i="79" s="1"/>
  <c r="W5" i="79" a="1"/>
  <c r="W5" i="79" s="1"/>
  <c r="X2" i="79" a="1"/>
  <c r="X2" i="79" s="1"/>
  <c r="AF2" i="79" a="1"/>
  <c r="AF2" i="79" s="1"/>
  <c r="W2" i="79" a="1"/>
  <c r="W2" i="79" s="1"/>
  <c r="S7" i="79" a="1"/>
  <c r="S7" i="79" s="1"/>
  <c r="AA7" i="79" a="1"/>
  <c r="AA7" i="79" s="1"/>
  <c r="AI7" i="79" a="1"/>
  <c r="AI7" i="79" s="1"/>
  <c r="T7" i="79" a="1"/>
  <c r="T7" i="79" s="1"/>
  <c r="AB7" i="79" a="1"/>
  <c r="AB7" i="79" s="1"/>
  <c r="V8" i="79" a="1"/>
  <c r="V8" i="79" s="1"/>
  <c r="AD8" i="79" a="1"/>
  <c r="AD8" i="79" s="1"/>
  <c r="U8" i="79" a="1"/>
  <c r="U8" i="79" s="1"/>
  <c r="Q3" i="79" a="1"/>
  <c r="Q3" i="79" s="1"/>
  <c r="Y3" i="79" a="1"/>
  <c r="Y3" i="79" s="1"/>
  <c r="AG3" i="79" a="1"/>
  <c r="AG3" i="79" s="1"/>
  <c r="Z3" i="79" a="1"/>
  <c r="Z3" i="79" s="1"/>
  <c r="W9" i="79" a="1"/>
  <c r="W9" i="79" s="1"/>
  <c r="AB9" i="79" a="1"/>
  <c r="AB9" i="79" s="1"/>
  <c r="AJ9" i="79" a="1"/>
  <c r="AJ9" i="79" s="1"/>
  <c r="V4" i="78" a="1"/>
  <c r="V4" i="78" s="1"/>
  <c r="AD4" i="78" a="1"/>
  <c r="AD4" i="78" s="1"/>
  <c r="V3" i="78" a="1"/>
  <c r="V3" i="78" s="1"/>
  <c r="AC3" i="78" a="1"/>
  <c r="AC3" i="78" s="1"/>
  <c r="AG3" i="78" a="1"/>
  <c r="AG3" i="78" s="1"/>
  <c r="U11" i="79" a="1"/>
  <c r="U11" i="79" s="1"/>
  <c r="AC11" i="79" a="1"/>
  <c r="AC11" i="79" s="1"/>
  <c r="V11" i="79" a="1"/>
  <c r="V11" i="79" s="1"/>
  <c r="Y7" i="78" a="1"/>
  <c r="Y7" i="78" s="1"/>
  <c r="R7" i="78" a="1"/>
  <c r="R7" i="78" s="1"/>
  <c r="AF2" i="78" a="1"/>
  <c r="AF2" i="78" s="1"/>
  <c r="W2" i="78" a="1"/>
  <c r="W2" i="78" s="1"/>
  <c r="AB5" i="78" a="1"/>
  <c r="AB5" i="78" s="1"/>
  <c r="U5" i="78" a="1"/>
  <c r="U5" i="78" s="1"/>
  <c r="AE9" i="78" a="1"/>
  <c r="AE9" i="78" s="1"/>
  <c r="W8" i="78" a="1"/>
  <c r="W8" i="78" s="1"/>
  <c r="X8" i="78" a="1"/>
  <c r="X8" i="78" s="1"/>
  <c r="AF8" i="78" a="1"/>
  <c r="AF8" i="78" s="1"/>
  <c r="U8" i="76" a="1"/>
  <c r="U8" i="76" s="1"/>
  <c r="U9" i="77" a="1"/>
  <c r="U9" i="77" s="1"/>
  <c r="AH7" i="77" a="1"/>
  <c r="AH7" i="77" s="1"/>
  <c r="U11" i="78" a="1"/>
  <c r="U11" i="78" s="1"/>
  <c r="AC11" i="78" a="1"/>
  <c r="AC11" i="78" s="1"/>
  <c r="V11" i="78" a="1"/>
  <c r="V11" i="78" s="1"/>
  <c r="AD11" i="78" a="1"/>
  <c r="AD11" i="78" s="1"/>
  <c r="R2" i="78" a="1"/>
  <c r="R2" i="78" s="1"/>
  <c r="Z2" i="78" a="1"/>
  <c r="Z2" i="78" s="1"/>
  <c r="AH2" i="78" a="1"/>
  <c r="AH2" i="78" s="1"/>
  <c r="Q2" i="78" a="1"/>
  <c r="Q2" i="78" s="1"/>
  <c r="Y2" i="78" a="1"/>
  <c r="Y2" i="78" s="1"/>
  <c r="AG2" i="78" a="1"/>
  <c r="AG2" i="78" s="1"/>
  <c r="V10" i="78" a="1"/>
  <c r="V10" i="78" s="1"/>
  <c r="AD10" i="78" a="1"/>
  <c r="AD10" i="78" s="1"/>
  <c r="U10" i="78" a="1"/>
  <c r="U10" i="78" s="1"/>
  <c r="AC10" i="78" a="1"/>
  <c r="AC10" i="78" s="1"/>
  <c r="V5" i="78" a="1"/>
  <c r="V5" i="78" s="1"/>
  <c r="AD5" i="78" a="1"/>
  <c r="AD5" i="78" s="1"/>
  <c r="W5" i="78" a="1"/>
  <c r="W5" i="78" s="1"/>
  <c r="AE5" i="78" a="1"/>
  <c r="AE5" i="78" s="1"/>
  <c r="R9" i="78" a="1"/>
  <c r="R9" i="78" s="1"/>
  <c r="Z9" i="78" a="1"/>
  <c r="Z9" i="78" s="1"/>
  <c r="AH9" i="78" a="1"/>
  <c r="AH9" i="78" s="1"/>
  <c r="Q9" i="78" a="1"/>
  <c r="Q9" i="78" s="1"/>
  <c r="Y9" i="78" a="1"/>
  <c r="Y9" i="78" s="1"/>
  <c r="AG9" i="78" a="1"/>
  <c r="AG9" i="78" s="1"/>
  <c r="V6" i="78" a="1"/>
  <c r="V6" i="78" s="1"/>
  <c r="AD6" i="78" a="1"/>
  <c r="AD6" i="78" s="1"/>
  <c r="U6" i="78" a="1"/>
  <c r="U6" i="78" s="1"/>
  <c r="AC6" i="78" a="1"/>
  <c r="AC6" i="78" s="1"/>
  <c r="AJ4" i="78" a="1"/>
  <c r="AJ4" i="78" s="1"/>
  <c r="U4" i="78" a="1"/>
  <c r="U4" i="78" s="1"/>
  <c r="AH4" i="78" a="1"/>
  <c r="AH4" i="78" s="1"/>
  <c r="W4" i="78" a="1"/>
  <c r="W4" i="78" s="1"/>
  <c r="T3" i="78" a="1"/>
  <c r="T3" i="78" s="1"/>
  <c r="AB3" i="78" a="1"/>
  <c r="AB3" i="78" s="1"/>
  <c r="AJ3" i="78" a="1"/>
  <c r="AJ3" i="78" s="1"/>
  <c r="S3" i="78" a="1"/>
  <c r="S3" i="78" s="1"/>
  <c r="AA3" i="78" a="1"/>
  <c r="AA3" i="78" s="1"/>
  <c r="AI3" i="78" a="1"/>
  <c r="AI3" i="78" s="1"/>
  <c r="Q8" i="78" a="1"/>
  <c r="Q8" i="78" s="1"/>
  <c r="Y8" i="78" a="1"/>
  <c r="Y8" i="78" s="1"/>
  <c r="AG8" i="78" a="1"/>
  <c r="AG8" i="78" s="1"/>
  <c r="R8" i="78" a="1"/>
  <c r="R8" i="78" s="1"/>
  <c r="Z8" i="78" a="1"/>
  <c r="Z8" i="78" s="1"/>
  <c r="AH8" i="78" a="1"/>
  <c r="AH8" i="78" s="1"/>
  <c r="S7" i="78" a="1"/>
  <c r="S7" i="78" s="1"/>
  <c r="AA7" i="78" a="1"/>
  <c r="AA7" i="78" s="1"/>
  <c r="AI7" i="78" a="1"/>
  <c r="AI7" i="78" s="1"/>
  <c r="T7" i="78" a="1"/>
  <c r="T7" i="78" s="1"/>
  <c r="AB7" i="78" a="1"/>
  <c r="AB7" i="78" s="1"/>
  <c r="AJ7" i="78" a="1"/>
  <c r="AJ7" i="78" s="1"/>
  <c r="AC5" i="78" a="1"/>
  <c r="AC5" i="78" s="1"/>
  <c r="S7" i="77" a="1"/>
  <c r="S7" i="77" s="1"/>
  <c r="W11" i="78" a="1"/>
  <c r="W11" i="78" s="1"/>
  <c r="X11" i="78" a="1"/>
  <c r="X11" i="78" s="1"/>
  <c r="AF11" i="78" a="1"/>
  <c r="AF11" i="78" s="1"/>
  <c r="T2" i="78" a="1"/>
  <c r="T2" i="78" s="1"/>
  <c r="AB2" i="78" a="1"/>
  <c r="AB2" i="78" s="1"/>
  <c r="AJ2" i="78" a="1"/>
  <c r="AJ2" i="78" s="1"/>
  <c r="S2" i="78" a="1"/>
  <c r="S2" i="78" s="1"/>
  <c r="AA2" i="78" a="1"/>
  <c r="AA2" i="78" s="1"/>
  <c r="AI2" i="78" a="1"/>
  <c r="AI2" i="78" s="1"/>
  <c r="X10" i="78" a="1"/>
  <c r="X10" i="78" s="1"/>
  <c r="AF10" i="78" a="1"/>
  <c r="AF10" i="78" s="1"/>
  <c r="W10" i="78" a="1"/>
  <c r="W10" i="78" s="1"/>
  <c r="AE10" i="78" a="1"/>
  <c r="AE10" i="78" s="1"/>
  <c r="X5" i="78" a="1"/>
  <c r="X5" i="78" s="1"/>
  <c r="AF5" i="78" a="1"/>
  <c r="AF5" i="78" s="1"/>
  <c r="Q5" i="78" a="1"/>
  <c r="Q5" i="78" s="1"/>
  <c r="Y5" i="78" a="1"/>
  <c r="Y5" i="78" s="1"/>
  <c r="AG5" i="78" a="1"/>
  <c r="AG5" i="78" s="1"/>
  <c r="T9" i="78" a="1"/>
  <c r="T9" i="78" s="1"/>
  <c r="AB9" i="78" a="1"/>
  <c r="AB9" i="78" s="1"/>
  <c r="AJ9" i="78" a="1"/>
  <c r="AJ9" i="78" s="1"/>
  <c r="S9" i="78" a="1"/>
  <c r="S9" i="78" s="1"/>
  <c r="AA9" i="78" a="1"/>
  <c r="AA9" i="78" s="1"/>
  <c r="AI9" i="78" a="1"/>
  <c r="AI9" i="78" s="1"/>
  <c r="X6" i="78" a="1"/>
  <c r="X6" i="78" s="1"/>
  <c r="AF6" i="78" a="1"/>
  <c r="AF6" i="78" s="1"/>
  <c r="W6" i="78" a="1"/>
  <c r="W6" i="78" s="1"/>
  <c r="AE6" i="78" a="1"/>
  <c r="AE6" i="78" s="1"/>
  <c r="Y4" i="78" a="1"/>
  <c r="Y4" i="78" s="1"/>
  <c r="AA4" i="78" a="1"/>
  <c r="AA4" i="78" s="1"/>
  <c r="U3" i="78" a="1"/>
  <c r="U3" i="78" s="1"/>
  <c r="S8" i="78" a="1"/>
  <c r="S8" i="78" s="1"/>
  <c r="AA8" i="78" a="1"/>
  <c r="AA8" i="78" s="1"/>
  <c r="AI8" i="78" a="1"/>
  <c r="AI8" i="78" s="1"/>
  <c r="T8" i="78" a="1"/>
  <c r="T8" i="78" s="1"/>
  <c r="AB8" i="78" a="1"/>
  <c r="AB8" i="78" s="1"/>
  <c r="AJ8" i="78" a="1"/>
  <c r="AJ8" i="78" s="1"/>
  <c r="U7" i="78" a="1"/>
  <c r="U7" i="78" s="1"/>
  <c r="AC7" i="78" a="1"/>
  <c r="AC7" i="78" s="1"/>
  <c r="V7" i="78" a="1"/>
  <c r="V7" i="78" s="1"/>
  <c r="AD7" i="78" a="1"/>
  <c r="AD7" i="78" s="1"/>
  <c r="X2" i="78" a="1"/>
  <c r="X2" i="78" s="1"/>
  <c r="AE2" i="78" a="1"/>
  <c r="AE2" i="78" s="1"/>
  <c r="X9" i="78" a="1"/>
  <c r="X9" i="78" s="1"/>
  <c r="W9" i="78" a="1"/>
  <c r="W9" i="78" s="1"/>
  <c r="Q11" i="78" a="1"/>
  <c r="Q11" i="78" s="1"/>
  <c r="Y11" i="78" a="1"/>
  <c r="Y11" i="78" s="1"/>
  <c r="AG11" i="78" a="1"/>
  <c r="AG11" i="78" s="1"/>
  <c r="R11" i="78" a="1"/>
  <c r="R11" i="78" s="1"/>
  <c r="Z11" i="78" a="1"/>
  <c r="Z11" i="78" s="1"/>
  <c r="V2" i="78" a="1"/>
  <c r="V2" i="78" s="1"/>
  <c r="AD2" i="78" a="1"/>
  <c r="AD2" i="78" s="1"/>
  <c r="U2" i="78" a="1"/>
  <c r="U2" i="78" s="1"/>
  <c r="R10" i="78" a="1"/>
  <c r="R10" i="78" s="1"/>
  <c r="Z10" i="78" a="1"/>
  <c r="Z10" i="78" s="1"/>
  <c r="AH10" i="78" a="1"/>
  <c r="AH10" i="78" s="1"/>
  <c r="Q10" i="78" a="1"/>
  <c r="Q10" i="78" s="1"/>
  <c r="Y10" i="78" a="1"/>
  <c r="Y10" i="78" s="1"/>
  <c r="R5" i="78" a="1"/>
  <c r="R5" i="78" s="1"/>
  <c r="Z5" i="78" a="1"/>
  <c r="Z5" i="78" s="1"/>
  <c r="AH5" i="78" a="1"/>
  <c r="AH5" i="78" s="1"/>
  <c r="S5" i="78" a="1"/>
  <c r="S5" i="78" s="1"/>
  <c r="AA5" i="78" a="1"/>
  <c r="AA5" i="78" s="1"/>
  <c r="V9" i="78" a="1"/>
  <c r="V9" i="78" s="1"/>
  <c r="AD9" i="78" a="1"/>
  <c r="AD9" i="78" s="1"/>
  <c r="U9" i="78" a="1"/>
  <c r="U9" i="78" s="1"/>
  <c r="R6" i="78" a="1"/>
  <c r="R6" i="78" s="1"/>
  <c r="Z6" i="78" a="1"/>
  <c r="Z6" i="78" s="1"/>
  <c r="AH6" i="78" a="1"/>
  <c r="AH6" i="78" s="1"/>
  <c r="Q6" i="78" a="1"/>
  <c r="Q6" i="78" s="1"/>
  <c r="Y6" i="78" a="1"/>
  <c r="Y6" i="78" s="1"/>
  <c r="AB4" i="78" a="1"/>
  <c r="AB4" i="78" s="1"/>
  <c r="Q4" i="78" a="1"/>
  <c r="Q4" i="78" s="1"/>
  <c r="AC4" i="78" a="1"/>
  <c r="AC4" i="78" s="1"/>
  <c r="Z4" i="78" a="1"/>
  <c r="Z4" i="78" s="1"/>
  <c r="R4" i="78" a="1"/>
  <c r="R4" i="78" s="1"/>
  <c r="X3" i="78" a="1"/>
  <c r="X3" i="78" s="1"/>
  <c r="AF3" i="78" a="1"/>
  <c r="AF3" i="78" s="1"/>
  <c r="W3" i="78" a="1"/>
  <c r="W3" i="78" s="1"/>
  <c r="U8" i="78" a="1"/>
  <c r="U8" i="78" s="1"/>
  <c r="AC8" i="78" a="1"/>
  <c r="AC8" i="78" s="1"/>
  <c r="V8" i="78" a="1"/>
  <c r="V8" i="78" s="1"/>
  <c r="W7" i="78" a="1"/>
  <c r="W7" i="78" s="1"/>
  <c r="X7" i="78" a="1"/>
  <c r="X7" i="78" s="1"/>
  <c r="AE9" i="77" a="1"/>
  <c r="AE9" i="77" s="1"/>
  <c r="AI4" i="77" a="1"/>
  <c r="AI4" i="77" s="1"/>
  <c r="AF3" i="77" a="1"/>
  <c r="AF3" i="77" s="1"/>
  <c r="AG11" i="77" a="1"/>
  <c r="AG11" i="77" s="1"/>
  <c r="AE10" i="77" a="1"/>
  <c r="AE10" i="77" s="1"/>
  <c r="AI6" i="77" a="1"/>
  <c r="AI6" i="77" s="1"/>
  <c r="Z4" i="77" a="1"/>
  <c r="Z4" i="77" s="1"/>
  <c r="AH3" i="77" a="1"/>
  <c r="AH3" i="77" s="1"/>
  <c r="AB7" i="77" a="1"/>
  <c r="AB7" i="77" s="1"/>
  <c r="S6" i="75" a="1"/>
  <c r="S6" i="75" s="1"/>
  <c r="AE2" i="77" a="1"/>
  <c r="AE2" i="77" s="1"/>
  <c r="R4" i="77" a="1"/>
  <c r="R4" i="77" s="1"/>
  <c r="U3" i="76" a="1"/>
  <c r="U3" i="76" s="1"/>
  <c r="R6" i="77" a="1"/>
  <c r="R6" i="77" s="1"/>
  <c r="AJ8" i="77" a="1"/>
  <c r="AJ8" i="77" s="1"/>
  <c r="S4" i="77" a="1"/>
  <c r="S4" i="77" s="1"/>
  <c r="R3" i="77" a="1"/>
  <c r="R3" i="77" s="1"/>
  <c r="AC7" i="77" a="1"/>
  <c r="AC7" i="77" s="1"/>
  <c r="U7" i="77" a="1"/>
  <c r="U7" i="77" s="1"/>
  <c r="V10" i="77" a="1"/>
  <c r="V10" i="77" s="1"/>
  <c r="T10" i="77" a="1"/>
  <c r="T10" i="77" s="1"/>
  <c r="S10" i="77" a="1"/>
  <c r="S10" i="77" s="1"/>
  <c r="AD7" i="76" a="1"/>
  <c r="AD7" i="76" s="1"/>
  <c r="AH9" i="76" a="1"/>
  <c r="AH9" i="76" s="1"/>
  <c r="W8" i="76" a="1"/>
  <c r="W8" i="76" s="1"/>
  <c r="AJ9" i="77" a="1"/>
  <c r="AJ9" i="77" s="1"/>
  <c r="AH6" i="77" a="1"/>
  <c r="AH6" i="77" s="1"/>
  <c r="AI5" i="77" a="1"/>
  <c r="AI5" i="77" s="1"/>
  <c r="U4" i="77" a="1"/>
  <c r="U4" i="77" s="1"/>
  <c r="W4" i="77" a="1"/>
  <c r="W4" i="77" s="1"/>
  <c r="AH4" i="77" a="1"/>
  <c r="AH4" i="77" s="1"/>
  <c r="U3" i="77" a="1"/>
  <c r="U3" i="77" s="1"/>
  <c r="X2" i="77" a="1"/>
  <c r="X2" i="77" s="1"/>
  <c r="W7" i="77" a="1"/>
  <c r="W7" i="77" s="1"/>
  <c r="AE7" i="77" a="1"/>
  <c r="AE7" i="77" s="1"/>
  <c r="AG7" i="77" a="1"/>
  <c r="AG7" i="77" s="1"/>
  <c r="AB11" i="77" a="1"/>
  <c r="AB11" i="77" s="1"/>
  <c r="R10" i="77" a="1"/>
  <c r="R10" i="77" s="1"/>
  <c r="AB10" i="77" a="1"/>
  <c r="AB10" i="77" s="1"/>
  <c r="Y5" i="76" a="1"/>
  <c r="Y5" i="76" s="1"/>
  <c r="AH9" i="77" a="1"/>
  <c r="AH9" i="77" s="1"/>
  <c r="AC6" i="77" a="1"/>
  <c r="AC6" i="77" s="1"/>
  <c r="Z5" i="77" a="1"/>
  <c r="Z5" i="77" s="1"/>
  <c r="AH8" i="77" a="1"/>
  <c r="AH8" i="77" s="1"/>
  <c r="AF4" i="77" a="1"/>
  <c r="AF4" i="77" s="1"/>
  <c r="AD3" i="77" a="1"/>
  <c r="AD3" i="77" s="1"/>
  <c r="AC3" i="77" a="1"/>
  <c r="AC3" i="77" s="1"/>
  <c r="AG2" i="77" a="1"/>
  <c r="AG2" i="77" s="1"/>
  <c r="Z7" i="77" a="1"/>
  <c r="Z7" i="77" s="1"/>
  <c r="V7" i="77" a="1"/>
  <c r="V7" i="77" s="1"/>
  <c r="AA7" i="77" a="1"/>
  <c r="AA7" i="77" s="1"/>
  <c r="X11" i="77" a="1"/>
  <c r="X11" i="77" s="1"/>
  <c r="AH10" i="77" a="1"/>
  <c r="AH10" i="77" s="1"/>
  <c r="AJ10" i="77" a="1"/>
  <c r="AJ10" i="77" s="1"/>
  <c r="S5" i="76" a="1"/>
  <c r="S5" i="76" s="1"/>
  <c r="S9" i="77" a="1"/>
  <c r="S9" i="77" s="1"/>
  <c r="Q9" i="77" a="1"/>
  <c r="Q9" i="77" s="1"/>
  <c r="AG9" i="77" a="1"/>
  <c r="AG9" i="77" s="1"/>
  <c r="V9" i="77" a="1"/>
  <c r="V9" i="77" s="1"/>
  <c r="AD9" i="77" a="1"/>
  <c r="AD9" i="77" s="1"/>
  <c r="X6" i="77" a="1"/>
  <c r="X6" i="77" s="1"/>
  <c r="V6" i="77" a="1"/>
  <c r="V6" i="77" s="1"/>
  <c r="T6" i="77" a="1"/>
  <c r="T6" i="77" s="1"/>
  <c r="W6" i="77" a="1"/>
  <c r="W6" i="77" s="1"/>
  <c r="AE6" i="77" a="1"/>
  <c r="AE6" i="77" s="1"/>
  <c r="T5" i="77" a="1"/>
  <c r="T5" i="77" s="1"/>
  <c r="AD5" i="77" a="1"/>
  <c r="AD5" i="77" s="1"/>
  <c r="Q5" i="77" a="1"/>
  <c r="Q5" i="77" s="1"/>
  <c r="AF5" i="77" a="1"/>
  <c r="AF5" i="77" s="1"/>
  <c r="AC5" i="77" a="1"/>
  <c r="AC5" i="77" s="1"/>
  <c r="AE8" i="77" a="1"/>
  <c r="AE8" i="77" s="1"/>
  <c r="AI8" i="77" a="1"/>
  <c r="AI8" i="77" s="1"/>
  <c r="AG8" i="77" a="1"/>
  <c r="AG8" i="77" s="1"/>
  <c r="V8" i="77" a="1"/>
  <c r="V8" i="77" s="1"/>
  <c r="AD8" i="77" a="1"/>
  <c r="AD8" i="77" s="1"/>
  <c r="Y4" i="77" a="1"/>
  <c r="Y4" i="77" s="1"/>
  <c r="AC4" i="77" a="1"/>
  <c r="AC4" i="77" s="1"/>
  <c r="T4" i="77" a="1"/>
  <c r="T4" i="77" s="1"/>
  <c r="AB4" i="77" a="1"/>
  <c r="AB4" i="77" s="1"/>
  <c r="AJ4" i="77" a="1"/>
  <c r="AJ4" i="77" s="1"/>
  <c r="T3" i="77" a="1"/>
  <c r="T3" i="77" s="1"/>
  <c r="Z3" i="77" a="1"/>
  <c r="Z3" i="77" s="1"/>
  <c r="W3" i="77" a="1"/>
  <c r="W3" i="77" s="1"/>
  <c r="AE3" i="77" a="1"/>
  <c r="AE3" i="77" s="1"/>
  <c r="AJ3" i="77" a="1"/>
  <c r="AJ3" i="77" s="1"/>
  <c r="AB2" i="77" a="1"/>
  <c r="AB2" i="77" s="1"/>
  <c r="AD2" i="77" a="1"/>
  <c r="AD2" i="77" s="1"/>
  <c r="S2" i="77" a="1"/>
  <c r="S2" i="77" s="1"/>
  <c r="AA2" i="77" a="1"/>
  <c r="AA2" i="77" s="1"/>
  <c r="AI2" i="77" a="1"/>
  <c r="AI2" i="77" s="1"/>
  <c r="X7" i="77" a="1"/>
  <c r="X7" i="77" s="1"/>
  <c r="AF7" i="77" a="1"/>
  <c r="AF7" i="77" s="1"/>
  <c r="AD7" i="77" a="1"/>
  <c r="AD7" i="77" s="1"/>
  <c r="T7" i="77" a="1"/>
  <c r="T7" i="77" s="1"/>
  <c r="AJ7" i="77" a="1"/>
  <c r="AJ7" i="77" s="1"/>
  <c r="AJ11" i="77" a="1"/>
  <c r="AJ11" i="77" s="1"/>
  <c r="R11" i="77" a="1"/>
  <c r="R11" i="77" s="1"/>
  <c r="AH11" i="77" a="1"/>
  <c r="AH11" i="77" s="1"/>
  <c r="S11" i="77" a="1"/>
  <c r="S11" i="77" s="1"/>
  <c r="AA11" i="77" a="1"/>
  <c r="AA11" i="77" s="1"/>
  <c r="AI11" i="77" a="1"/>
  <c r="AI11" i="77" s="1"/>
  <c r="AD10" i="77" a="1"/>
  <c r="AD10" i="77" s="1"/>
  <c r="AF10" i="77" a="1"/>
  <c r="AF10" i="77" s="1"/>
  <c r="Q10" i="77" a="1"/>
  <c r="Q10" i="77" s="1"/>
  <c r="Y10" i="77" a="1"/>
  <c r="Y10" i="77" s="1"/>
  <c r="AG10" i="77" a="1"/>
  <c r="AG10" i="77" s="1"/>
  <c r="X3" i="76" a="1"/>
  <c r="X3" i="76" s="1"/>
  <c r="AA9" i="77" a="1"/>
  <c r="AA9" i="77" s="1"/>
  <c r="X9" i="77" a="1"/>
  <c r="X9" i="77" s="1"/>
  <c r="AF9" i="77" a="1"/>
  <c r="AF9" i="77" s="1"/>
  <c r="AF6" i="77" a="1"/>
  <c r="AF6" i="77" s="1"/>
  <c r="Z6" i="77" a="1"/>
  <c r="Z6" i="77" s="1"/>
  <c r="AB6" i="77" a="1"/>
  <c r="AB6" i="77" s="1"/>
  <c r="Q6" i="77" a="1"/>
  <c r="Q6" i="77" s="1"/>
  <c r="Y6" i="77" a="1"/>
  <c r="Y6" i="77" s="1"/>
  <c r="AG6" i="77" a="1"/>
  <c r="AG6" i="77" s="1"/>
  <c r="AH5" i="77" a="1"/>
  <c r="AH5" i="77" s="1"/>
  <c r="W5" i="77" a="1"/>
  <c r="W5" i="77" s="1"/>
  <c r="V5" i="77" a="1"/>
  <c r="V5" i="77" s="1"/>
  <c r="AJ5" i="77" a="1"/>
  <c r="AJ5" i="77" s="1"/>
  <c r="AE5" i="77" a="1"/>
  <c r="AE5" i="77" s="1"/>
  <c r="U8" i="77" a="1"/>
  <c r="U8" i="77" s="1"/>
  <c r="AC8" i="77" a="1"/>
  <c r="AC8" i="77" s="1"/>
  <c r="X8" i="77" a="1"/>
  <c r="X8" i="77" s="1"/>
  <c r="AF8" i="77" a="1"/>
  <c r="AF8" i="77" s="1"/>
  <c r="AA4" i="77" a="1"/>
  <c r="AA4" i="77" s="1"/>
  <c r="AG4" i="77" a="1"/>
  <c r="AG4" i="77" s="1"/>
  <c r="V4" i="77" a="1"/>
  <c r="V4" i="77" s="1"/>
  <c r="AD4" i="77" a="1"/>
  <c r="AD4" i="77" s="1"/>
  <c r="AB3" i="77" a="1"/>
  <c r="AB3" i="77" s="1"/>
  <c r="Q3" i="77" a="1"/>
  <c r="Q3" i="77" s="1"/>
  <c r="Y3" i="77" a="1"/>
  <c r="Y3" i="77" s="1"/>
  <c r="AG3" i="77" a="1"/>
  <c r="AG3" i="77" s="1"/>
  <c r="AF2" i="77" a="1"/>
  <c r="AF2" i="77" s="1"/>
  <c r="R2" i="77" a="1"/>
  <c r="R2" i="77" s="1"/>
  <c r="AH2" i="77" a="1"/>
  <c r="AH2" i="77" s="1"/>
  <c r="U2" i="77" a="1"/>
  <c r="U2" i="77" s="1"/>
  <c r="AC2" i="77" a="1"/>
  <c r="AC2" i="77" s="1"/>
  <c r="AI7" i="77" a="1"/>
  <c r="AI7" i="77" s="1"/>
  <c r="Y7" i="77" a="1"/>
  <c r="Y7" i="77" s="1"/>
  <c r="V11" i="77" a="1"/>
  <c r="V11" i="77" s="1"/>
  <c r="U11" i="77" a="1"/>
  <c r="U11" i="77" s="1"/>
  <c r="AC11" i="77" a="1"/>
  <c r="AC11" i="77" s="1"/>
  <c r="AA10" i="77" a="1"/>
  <c r="AA10" i="77" s="1"/>
  <c r="AI10" i="77" a="1"/>
  <c r="AI10" i="77" s="1"/>
  <c r="AH10" i="76" a="1"/>
  <c r="AH10" i="76" s="1"/>
  <c r="W9" i="77" a="1"/>
  <c r="W9" i="77" s="1"/>
  <c r="AI9" i="77" a="1"/>
  <c r="AI9" i="77" s="1"/>
  <c r="Y9" i="77" a="1"/>
  <c r="Y9" i="77" s="1"/>
  <c r="R9" i="77" a="1"/>
  <c r="R9" i="77" s="1"/>
  <c r="Z9" i="77" a="1"/>
  <c r="Z9" i="77" s="1"/>
  <c r="AD6" i="77" a="1"/>
  <c r="AD6" i="77" s="1"/>
  <c r="AJ6" i="77" a="1"/>
  <c r="AJ6" i="77" s="1"/>
  <c r="S6" i="77" a="1"/>
  <c r="S6" i="77" s="1"/>
  <c r="AA6" i="77" a="1"/>
  <c r="AA6" i="77" s="1"/>
  <c r="U5" i="77" a="1"/>
  <c r="U5" i="77" s="1"/>
  <c r="S5" i="77" a="1"/>
  <c r="S5" i="77" s="1"/>
  <c r="R5" i="77" a="1"/>
  <c r="R5" i="77" s="1"/>
  <c r="Y5" i="77" a="1"/>
  <c r="Y5" i="77" s="1"/>
  <c r="AG5" i="77" a="1"/>
  <c r="AG5" i="77" s="1"/>
  <c r="W8" i="77" a="1"/>
  <c r="W8" i="77" s="1"/>
  <c r="S8" i="77" a="1"/>
  <c r="S8" i="77" s="1"/>
  <c r="Q8" i="77" a="1"/>
  <c r="Q8" i="77" s="1"/>
  <c r="R8" i="77" a="1"/>
  <c r="R8" i="77" s="1"/>
  <c r="Z8" i="77" a="1"/>
  <c r="Z8" i="77" s="1"/>
  <c r="Q4" i="77" a="1"/>
  <c r="Q4" i="77" s="1"/>
  <c r="AE4" i="77" a="1"/>
  <c r="AE4" i="77" s="1"/>
  <c r="X4" i="77" a="1"/>
  <c r="X4" i="77" s="1"/>
  <c r="V3" i="77" a="1"/>
  <c r="V3" i="77" s="1"/>
  <c r="X3" i="77" a="1"/>
  <c r="X3" i="77" s="1"/>
  <c r="S3" i="77" a="1"/>
  <c r="S3" i="77" s="1"/>
  <c r="AA3" i="77" a="1"/>
  <c r="AA3" i="77" s="1"/>
  <c r="T2" i="77" a="1"/>
  <c r="T2" i="77" s="1"/>
  <c r="AJ2" i="77" a="1"/>
  <c r="AJ2" i="77" s="1"/>
  <c r="V2" i="77" a="1"/>
  <c r="V2" i="77" s="1"/>
  <c r="W2" i="77" a="1"/>
  <c r="W2" i="77" s="1"/>
  <c r="Q7" i="77" a="1"/>
  <c r="Q7" i="77" s="1"/>
  <c r="T11" i="77" a="1"/>
  <c r="T11" i="77" s="1"/>
  <c r="AF11" i="77" a="1"/>
  <c r="AF11" i="77" s="1"/>
  <c r="Z11" i="77" a="1"/>
  <c r="Z11" i="77" s="1"/>
  <c r="W11" i="77" a="1"/>
  <c r="W11" i="77" s="1"/>
  <c r="AE11" i="77" a="1"/>
  <c r="AE11" i="77" s="1"/>
  <c r="Z10" i="77" a="1"/>
  <c r="Z10" i="77" s="1"/>
  <c r="X10" i="77" a="1"/>
  <c r="X10" i="77" s="1"/>
  <c r="U10" i="77" a="1"/>
  <c r="U10" i="77" s="1"/>
  <c r="AC10" i="77" a="1"/>
  <c r="AC10" i="77" s="1"/>
  <c r="AC9" i="77" a="1"/>
  <c r="AC9" i="77" s="1"/>
  <c r="T9" i="77" a="1"/>
  <c r="T9" i="77" s="1"/>
  <c r="AB9" i="77" a="1"/>
  <c r="AB9" i="77" s="1"/>
  <c r="U6" i="77" a="1"/>
  <c r="U6" i="77" s="1"/>
  <c r="AB5" i="77" a="1"/>
  <c r="AB5" i="77" s="1"/>
  <c r="AA5" i="77" a="1"/>
  <c r="AA5" i="77" s="1"/>
  <c r="AA8" i="77" a="1"/>
  <c r="AA8" i="77" s="1"/>
  <c r="Y8" i="77" a="1"/>
  <c r="Y8" i="77" s="1"/>
  <c r="T8" i="77" a="1"/>
  <c r="T8" i="77" s="1"/>
  <c r="AB8" i="77" a="1"/>
  <c r="AB8" i="77" s="1"/>
  <c r="Z2" i="77" a="1"/>
  <c r="Z2" i="77" s="1"/>
  <c r="Q2" i="77" a="1"/>
  <c r="Q2" i="77" s="1"/>
  <c r="Y2" i="77" a="1"/>
  <c r="Y2" i="77" s="1"/>
  <c r="R7" i="77" a="1"/>
  <c r="R7" i="77" s="1"/>
  <c r="AD11" i="77" a="1"/>
  <c r="AD11" i="77" s="1"/>
  <c r="Q11" i="77" a="1"/>
  <c r="Q11" i="77" s="1"/>
  <c r="Y11" i="77" a="1"/>
  <c r="Y11" i="77" s="1"/>
  <c r="W10" i="77" a="1"/>
  <c r="W10" i="77" s="1"/>
  <c r="AG2" i="76" a="1"/>
  <c r="AG2" i="76" s="1"/>
  <c r="AJ4" i="76" a="1"/>
  <c r="AJ4" i="76" s="1"/>
  <c r="AG8" i="76" a="1"/>
  <c r="AG8" i="76" s="1"/>
  <c r="AH4" i="76" a="1"/>
  <c r="AH4" i="76" s="1"/>
  <c r="AF5" i="76" a="1"/>
  <c r="AF5" i="76" s="1"/>
  <c r="AE11" i="76" a="1"/>
  <c r="AE11" i="76" s="1"/>
  <c r="T7" i="76" a="1"/>
  <c r="T7" i="76" s="1"/>
  <c r="S8" i="76" a="1"/>
  <c r="S8" i="76" s="1"/>
  <c r="V7" i="76" a="1"/>
  <c r="V7" i="76" s="1"/>
  <c r="R10" i="76" a="1"/>
  <c r="R10" i="76" s="1"/>
  <c r="AE5" i="76" a="1"/>
  <c r="AE5" i="76" s="1"/>
  <c r="R5" i="76" a="1"/>
  <c r="R5" i="76" s="1"/>
  <c r="AC6" i="76" a="1"/>
  <c r="AC6" i="76" s="1"/>
  <c r="AE2" i="75" a="1"/>
  <c r="AE2" i="75" s="1"/>
  <c r="R2" i="76" a="1"/>
  <c r="R2" i="76" s="1"/>
  <c r="S2" i="76" a="1"/>
  <c r="S2" i="76" s="1"/>
  <c r="AE4" i="76" a="1"/>
  <c r="AE4" i="76" s="1"/>
  <c r="AI5" i="76" a="1"/>
  <c r="AI5" i="76" s="1"/>
  <c r="U5" i="76" a="1"/>
  <c r="U5" i="76" s="1"/>
  <c r="Z5" i="76" a="1"/>
  <c r="Z5" i="76" s="1"/>
  <c r="AD3" i="76" a="1"/>
  <c r="AD3" i="76" s="1"/>
  <c r="Z3" i="76" a="1"/>
  <c r="Z3" i="76" s="1"/>
  <c r="Q3" i="76" a="1"/>
  <c r="Q3" i="76" s="1"/>
  <c r="AC3" i="76" a="1"/>
  <c r="AC3" i="76" s="1"/>
  <c r="AC7" i="76" a="1"/>
  <c r="AC7" i="76" s="1"/>
  <c r="Q7" i="76" a="1"/>
  <c r="Q7" i="76" s="1"/>
  <c r="AE7" i="76" a="1"/>
  <c r="AE7" i="76" s="1"/>
  <c r="U9" i="76" a="1"/>
  <c r="U9" i="76" s="1"/>
  <c r="Q8" i="76" a="1"/>
  <c r="Q8" i="76" s="1"/>
  <c r="AI10" i="76" a="1"/>
  <c r="AI10" i="76" s="1"/>
  <c r="Z2" i="76" a="1"/>
  <c r="Z2" i="76" s="1"/>
  <c r="AA2" i="76" a="1"/>
  <c r="AA2" i="76" s="1"/>
  <c r="Q4" i="76" a="1"/>
  <c r="Q4" i="76" s="1"/>
  <c r="AD5" i="76" a="1"/>
  <c r="AD5" i="76" s="1"/>
  <c r="AH5" i="76" a="1"/>
  <c r="AH5" i="76" s="1"/>
  <c r="AA3" i="76" a="1"/>
  <c r="AA3" i="76" s="1"/>
  <c r="R3" i="76" a="1"/>
  <c r="R3" i="76" s="1"/>
  <c r="Y3" i="76" a="1"/>
  <c r="Y3" i="76" s="1"/>
  <c r="AB7" i="76" a="1"/>
  <c r="AB7" i="76" s="1"/>
  <c r="W9" i="76" a="1"/>
  <c r="W9" i="76" s="1"/>
  <c r="T8" i="76" a="1"/>
  <c r="T8" i="76" s="1"/>
  <c r="AJ8" i="76" a="1"/>
  <c r="AJ8" i="76" s="1"/>
  <c r="V10" i="76" a="1"/>
  <c r="V10" i="76" s="1"/>
  <c r="AE2" i="76" a="1"/>
  <c r="AE2" i="76" s="1"/>
  <c r="AH2" i="76" a="1"/>
  <c r="AH2" i="76" s="1"/>
  <c r="AI2" i="76" a="1"/>
  <c r="AI2" i="76" s="1"/>
  <c r="S4" i="76" a="1"/>
  <c r="S4" i="76" s="1"/>
  <c r="AD4" i="76" a="1"/>
  <c r="AD4" i="76" s="1"/>
  <c r="AG5" i="76" a="1"/>
  <c r="AG5" i="76" s="1"/>
  <c r="AI3" i="76" a="1"/>
  <c r="AI3" i="76" s="1"/>
  <c r="AH3" i="76" a="1"/>
  <c r="AH3" i="76" s="1"/>
  <c r="AG3" i="76" a="1"/>
  <c r="AG3" i="76" s="1"/>
  <c r="T11" i="76" a="1"/>
  <c r="T11" i="76" s="1"/>
  <c r="AJ9" i="76" a="1"/>
  <c r="AJ9" i="76" s="1"/>
  <c r="AI4" i="76" a="1"/>
  <c r="AI4" i="76" s="1"/>
  <c r="V4" i="76" a="1"/>
  <c r="V4" i="76" s="1"/>
  <c r="AD6" i="76" a="1"/>
  <c r="AD6" i="76" s="1"/>
  <c r="AB6" i="76" a="1"/>
  <c r="AB6" i="76" s="1"/>
  <c r="W6" i="76" a="1"/>
  <c r="W6" i="76" s="1"/>
  <c r="AE6" i="76" a="1"/>
  <c r="AE6" i="76" s="1"/>
  <c r="AD11" i="76" a="1"/>
  <c r="AD11" i="76" s="1"/>
  <c r="Q11" i="76" a="1"/>
  <c r="Q11" i="76" s="1"/>
  <c r="Y11" i="76" a="1"/>
  <c r="Y11" i="76" s="1"/>
  <c r="AG11" i="76" a="1"/>
  <c r="AG11" i="76" s="1"/>
  <c r="AC9" i="76" a="1"/>
  <c r="AC9" i="76" s="1"/>
  <c r="T9" i="76" a="1"/>
  <c r="T9" i="76" s="1"/>
  <c r="AB9" i="76" a="1"/>
  <c r="AB9" i="76" s="1"/>
  <c r="V8" i="76" a="1"/>
  <c r="V8" i="76" s="1"/>
  <c r="AD8" i="76" a="1"/>
  <c r="AD8" i="76" s="1"/>
  <c r="X10" i="76" a="1"/>
  <c r="X10" i="76" s="1"/>
  <c r="U10" i="76" a="1"/>
  <c r="U10" i="76" s="1"/>
  <c r="AC10" i="76" a="1"/>
  <c r="AC10" i="76" s="1"/>
  <c r="T2" i="76" a="1"/>
  <c r="T2" i="76" s="1"/>
  <c r="AB2" i="76" a="1"/>
  <c r="AB2" i="76" s="1"/>
  <c r="AJ2" i="76" a="1"/>
  <c r="AJ2" i="76" s="1"/>
  <c r="U2" i="76" a="1"/>
  <c r="U2" i="76" s="1"/>
  <c r="AC2" i="76" a="1"/>
  <c r="AC2" i="76" s="1"/>
  <c r="W4" i="76" a="1"/>
  <c r="W4" i="76" s="1"/>
  <c r="Y4" i="76" a="1"/>
  <c r="Y4" i="76" s="1"/>
  <c r="U4" i="76" a="1"/>
  <c r="U4" i="76" s="1"/>
  <c r="X4" i="76" a="1"/>
  <c r="X4" i="76" s="1"/>
  <c r="AF4" i="76" a="1"/>
  <c r="AF4" i="76" s="1"/>
  <c r="AA5" i="76" a="1"/>
  <c r="AA5" i="76" s="1"/>
  <c r="Q5" i="76" a="1"/>
  <c r="Q5" i="76" s="1"/>
  <c r="AC5" i="76" a="1"/>
  <c r="AC5" i="76" s="1"/>
  <c r="T5" i="76" a="1"/>
  <c r="T5" i="76" s="1"/>
  <c r="AB5" i="76" a="1"/>
  <c r="AB5" i="76" s="1"/>
  <c r="AJ5" i="76" a="1"/>
  <c r="AJ5" i="76" s="1"/>
  <c r="V3" i="76" a="1"/>
  <c r="V3" i="76" s="1"/>
  <c r="W3" i="76" a="1"/>
  <c r="W3" i="76" s="1"/>
  <c r="T3" i="76" a="1"/>
  <c r="T3" i="76" s="1"/>
  <c r="AJ3" i="76" a="1"/>
  <c r="AJ3" i="76" s="1"/>
  <c r="AF3" i="76" a="1"/>
  <c r="AF3" i="76" s="1"/>
  <c r="R6" i="76" a="1"/>
  <c r="R6" i="76" s="1"/>
  <c r="AH6" i="76" a="1"/>
  <c r="AH6" i="76" s="1"/>
  <c r="AF6" i="76" a="1"/>
  <c r="AF6" i="76" s="1"/>
  <c r="Q6" i="76" a="1"/>
  <c r="Q6" i="76" s="1"/>
  <c r="Y6" i="76" a="1"/>
  <c r="Y6" i="76" s="1"/>
  <c r="AG6" i="76" a="1"/>
  <c r="AG6" i="76" s="1"/>
  <c r="AB11" i="76" a="1"/>
  <c r="AB11" i="76" s="1"/>
  <c r="R11" i="76" a="1"/>
  <c r="R11" i="76" s="1"/>
  <c r="AH11" i="76" a="1"/>
  <c r="AH11" i="76" s="1"/>
  <c r="S11" i="76" a="1"/>
  <c r="S11" i="76" s="1"/>
  <c r="AA11" i="76" a="1"/>
  <c r="AA11" i="76" s="1"/>
  <c r="AI11" i="76" a="1"/>
  <c r="AI11" i="76" s="1"/>
  <c r="AH7" i="76" a="1"/>
  <c r="AH7" i="76" s="1"/>
  <c r="S7" i="76" a="1"/>
  <c r="S7" i="76" s="1"/>
  <c r="AF7" i="76" a="1"/>
  <c r="AF7" i="76" s="1"/>
  <c r="Y7" i="76" a="1"/>
  <c r="Y7" i="76" s="1"/>
  <c r="AG7" i="76" a="1"/>
  <c r="AG7" i="76" s="1"/>
  <c r="AA9" i="76" a="1"/>
  <c r="AA9" i="76" s="1"/>
  <c r="Q9" i="76" a="1"/>
  <c r="Q9" i="76" s="1"/>
  <c r="AG9" i="76" a="1"/>
  <c r="AG9" i="76" s="1"/>
  <c r="V9" i="76" a="1"/>
  <c r="V9" i="76" s="1"/>
  <c r="AD9" i="76" a="1"/>
  <c r="AD9" i="76" s="1"/>
  <c r="AC8" i="76" a="1"/>
  <c r="AC8" i="76" s="1"/>
  <c r="AA8" i="76" a="1"/>
  <c r="AA8" i="76" s="1"/>
  <c r="X8" i="76" a="1"/>
  <c r="X8" i="76" s="1"/>
  <c r="AF8" i="76" a="1"/>
  <c r="AF8" i="76" s="1"/>
  <c r="Z10" i="76" a="1"/>
  <c r="Z10" i="76" s="1"/>
  <c r="AD10" i="76" a="1"/>
  <c r="AD10" i="76" s="1"/>
  <c r="AB10" i="76" a="1"/>
  <c r="AB10" i="76" s="1"/>
  <c r="W10" i="76" a="1"/>
  <c r="W10" i="76" s="1"/>
  <c r="AE10" i="76" a="1"/>
  <c r="AE10" i="76" s="1"/>
  <c r="V2" i="76" a="1"/>
  <c r="V2" i="76" s="1"/>
  <c r="AD2" i="76" a="1"/>
  <c r="AD2" i="76" s="1"/>
  <c r="W2" i="76" a="1"/>
  <c r="W2" i="76" s="1"/>
  <c r="AC4" i="76" a="1"/>
  <c r="AC4" i="76" s="1"/>
  <c r="AA4" i="76" a="1"/>
  <c r="AA4" i="76" s="1"/>
  <c r="R4" i="76" a="1"/>
  <c r="R4" i="76" s="1"/>
  <c r="Z4" i="76" a="1"/>
  <c r="Z4" i="76" s="1"/>
  <c r="V5" i="76" a="1"/>
  <c r="V5" i="76" s="1"/>
  <c r="V6" i="76" a="1"/>
  <c r="V6" i="76" s="1"/>
  <c r="T6" i="76" a="1"/>
  <c r="T6" i="76" s="1"/>
  <c r="AJ6" i="76" a="1"/>
  <c r="AJ6" i="76" s="1"/>
  <c r="S6" i="76" a="1"/>
  <c r="S6" i="76" s="1"/>
  <c r="AA6" i="76" a="1"/>
  <c r="AA6" i="76" s="1"/>
  <c r="AI6" i="76" a="1"/>
  <c r="AI6" i="76" s="1"/>
  <c r="AJ11" i="76" a="1"/>
  <c r="AJ11" i="76" s="1"/>
  <c r="V11" i="76" a="1"/>
  <c r="V11" i="76" s="1"/>
  <c r="U11" i="76" a="1"/>
  <c r="U11" i="76" s="1"/>
  <c r="AC11" i="76" a="1"/>
  <c r="AC11" i="76" s="1"/>
  <c r="W7" i="76" a="1"/>
  <c r="W7" i="76" s="1"/>
  <c r="U7" i="76" a="1"/>
  <c r="U7" i="76" s="1"/>
  <c r="AJ7" i="76" a="1"/>
  <c r="AJ7" i="76" s="1"/>
  <c r="AA7" i="76" a="1"/>
  <c r="AA7" i="76" s="1"/>
  <c r="AI7" i="76" a="1"/>
  <c r="AI7" i="76" s="1"/>
  <c r="S9" i="76" a="1"/>
  <c r="S9" i="76" s="1"/>
  <c r="X9" i="76" a="1"/>
  <c r="X9" i="76" s="1"/>
  <c r="AF9" i="76" a="1"/>
  <c r="AF9" i="76" s="1"/>
  <c r="AE8" i="76" a="1"/>
  <c r="AE8" i="76" s="1"/>
  <c r="R8" i="76" a="1"/>
  <c r="R8" i="76" s="1"/>
  <c r="Z8" i="76" a="1"/>
  <c r="Z8" i="76" s="1"/>
  <c r="AH8" i="76" a="1"/>
  <c r="AH8" i="76" s="1"/>
  <c r="AF10" i="76" a="1"/>
  <c r="AF10" i="76" s="1"/>
  <c r="Q10" i="76" a="1"/>
  <c r="Q10" i="76" s="1"/>
  <c r="Y10" i="76" a="1"/>
  <c r="Y10" i="76" s="1"/>
  <c r="AG10" i="76" a="1"/>
  <c r="AG10" i="76" s="1"/>
  <c r="X2" i="76" a="1"/>
  <c r="X2" i="76" s="1"/>
  <c r="AF2" i="76" a="1"/>
  <c r="AF2" i="76" s="1"/>
  <c r="Q2" i="76" a="1"/>
  <c r="Q2" i="76" s="1"/>
  <c r="Y2" i="76" a="1"/>
  <c r="Y2" i="76" s="1"/>
  <c r="AG4" i="76" a="1"/>
  <c r="AG4" i="76" s="1"/>
  <c r="T4" i="76" a="1"/>
  <c r="T4" i="76" s="1"/>
  <c r="AB4" i="76" a="1"/>
  <c r="AB4" i="76" s="1"/>
  <c r="W5" i="76" a="1"/>
  <c r="W5" i="76" s="1"/>
  <c r="X5" i="76" a="1"/>
  <c r="X5" i="76" s="1"/>
  <c r="S3" i="76" a="1"/>
  <c r="S3" i="76" s="1"/>
  <c r="AE3" i="76" a="1"/>
  <c r="AE3" i="76" s="1"/>
  <c r="AB3" i="76" a="1"/>
  <c r="AB3" i="76" s="1"/>
  <c r="Z6" i="76" a="1"/>
  <c r="Z6" i="76" s="1"/>
  <c r="X6" i="76" a="1"/>
  <c r="X6" i="76" s="1"/>
  <c r="U6" i="76" a="1"/>
  <c r="U6" i="76" s="1"/>
  <c r="X11" i="76" a="1"/>
  <c r="X11" i="76" s="1"/>
  <c r="AF11" i="76" a="1"/>
  <c r="AF11" i="76" s="1"/>
  <c r="Z11" i="76" a="1"/>
  <c r="Z11" i="76" s="1"/>
  <c r="W11" i="76" a="1"/>
  <c r="W11" i="76" s="1"/>
  <c r="Z7" i="76" a="1"/>
  <c r="Z7" i="76" s="1"/>
  <c r="R7" i="76" a="1"/>
  <c r="R7" i="76" s="1"/>
  <c r="X7" i="76" a="1"/>
  <c r="X7" i="76" s="1"/>
  <c r="AE9" i="76" a="1"/>
  <c r="AE9" i="76" s="1"/>
  <c r="AI9" i="76" a="1"/>
  <c r="AI9" i="76" s="1"/>
  <c r="Y9" i="76" a="1"/>
  <c r="Y9" i="76" s="1"/>
  <c r="R9" i="76" a="1"/>
  <c r="R9" i="76" s="1"/>
  <c r="Z9" i="76" a="1"/>
  <c r="Z9" i="76" s="1"/>
  <c r="Y8" i="76" a="1"/>
  <c r="Y8" i="76" s="1"/>
  <c r="AI8" i="76" a="1"/>
  <c r="AI8" i="76" s="1"/>
  <c r="AB8" i="76" a="1"/>
  <c r="AB8" i="76" s="1"/>
  <c r="T10" i="76" a="1"/>
  <c r="T10" i="76" s="1"/>
  <c r="AJ10" i="76" a="1"/>
  <c r="AJ10" i="76" s="1"/>
  <c r="S10" i="76" a="1"/>
  <c r="S10" i="76" s="1"/>
  <c r="AA10" i="76" a="1"/>
  <c r="AA10" i="76" s="1"/>
  <c r="AF6" i="75" a="1"/>
  <c r="AF6" i="75" s="1"/>
  <c r="S9" i="75" a="1"/>
  <c r="S9" i="75" s="1"/>
  <c r="T7" i="75" a="1"/>
  <c r="T7" i="75" s="1"/>
  <c r="X2" i="75" a="1"/>
  <c r="X2" i="75" s="1"/>
  <c r="Q2" i="75" a="1"/>
  <c r="Q2" i="75" s="1"/>
  <c r="U3" i="75" a="1"/>
  <c r="U3" i="75" s="1"/>
  <c r="U7" i="75" a="1"/>
  <c r="U7" i="75" s="1"/>
  <c r="AC4" i="75" a="1"/>
  <c r="AC4" i="75" s="1"/>
  <c r="AI11" i="75" a="1"/>
  <c r="AI11" i="75" s="1"/>
  <c r="AJ2" i="75" a="1"/>
  <c r="AJ2" i="75" s="1"/>
  <c r="Y2" i="75" a="1"/>
  <c r="Y2" i="75" s="1"/>
  <c r="AC8" i="75" a="1"/>
  <c r="AC8" i="75" s="1"/>
  <c r="AF9" i="75" a="1"/>
  <c r="AF9" i="75" s="1"/>
  <c r="AB11" i="75" a="1"/>
  <c r="AB11" i="75" s="1"/>
  <c r="AG10" i="75" a="1"/>
  <c r="AG10" i="75" s="1"/>
  <c r="AI6" i="75" a="1"/>
  <c r="AI6" i="75" s="1"/>
  <c r="R6" i="75" a="1"/>
  <c r="R6" i="75" s="1"/>
  <c r="AG2" i="75" a="1"/>
  <c r="AG2" i="75" s="1"/>
  <c r="U9" i="75" a="1"/>
  <c r="U9" i="75" s="1"/>
  <c r="R9" i="75" a="1"/>
  <c r="R9" i="75" s="1"/>
  <c r="AD8" i="75" a="1"/>
  <c r="AD8" i="75" s="1"/>
  <c r="AI7" i="75" a="1"/>
  <c r="AI7" i="75" s="1"/>
  <c r="T4" i="75" a="1"/>
  <c r="T4" i="75" s="1"/>
  <c r="AH4" i="75" a="1"/>
  <c r="AH4" i="75" s="1"/>
  <c r="AD4" i="75" a="1"/>
  <c r="AD4" i="75" s="1"/>
  <c r="AD5" i="75" a="1"/>
  <c r="AD5" i="75" s="1"/>
  <c r="AG11" i="75" a="1"/>
  <c r="AG11" i="75" s="1"/>
  <c r="U11" i="75" a="1"/>
  <c r="U11" i="75" s="1"/>
  <c r="Z6" i="75" a="1"/>
  <c r="Z6" i="75" s="1"/>
  <c r="V2" i="75" a="1"/>
  <c r="V2" i="75" s="1"/>
  <c r="W9" i="75" a="1"/>
  <c r="W9" i="75" s="1"/>
  <c r="Z9" i="75" a="1"/>
  <c r="Z9" i="75" s="1"/>
  <c r="AA8" i="75" a="1"/>
  <c r="AA8" i="75" s="1"/>
  <c r="R7" i="75" a="1"/>
  <c r="R7" i="75" s="1"/>
  <c r="W4" i="75" a="1"/>
  <c r="W4" i="75" s="1"/>
  <c r="AI4" i="75" a="1"/>
  <c r="AI4" i="75" s="1"/>
  <c r="AE4" i="75" a="1"/>
  <c r="AE4" i="75" s="1"/>
  <c r="V11" i="75" a="1"/>
  <c r="V11" i="75" s="1"/>
  <c r="AC11" i="75" a="1"/>
  <c r="AC11" i="75" s="1"/>
  <c r="U6" i="75" a="1"/>
  <c r="U6" i="75" s="1"/>
  <c r="Y6" i="75" a="1"/>
  <c r="Y6" i="75" s="1"/>
  <c r="AH6" i="75" a="1"/>
  <c r="AH6" i="75" s="1"/>
  <c r="Y9" i="75" a="1"/>
  <c r="Y9" i="75" s="1"/>
  <c r="AH9" i="75" a="1"/>
  <c r="AH9" i="75" s="1"/>
  <c r="AJ3" i="75" a="1"/>
  <c r="AJ3" i="75" s="1"/>
  <c r="AH3" i="75" a="1"/>
  <c r="AH3" i="75" s="1"/>
  <c r="S4" i="75" a="1"/>
  <c r="S4" i="75" s="1"/>
  <c r="V4" i="75" a="1"/>
  <c r="V4" i="75" s="1"/>
  <c r="T5" i="75" a="1"/>
  <c r="T5" i="75" s="1"/>
  <c r="AF8" i="75" a="1"/>
  <c r="AF8" i="75" s="1"/>
  <c r="AC3" i="75" a="1"/>
  <c r="AC3" i="75" s="1"/>
  <c r="V3" i="75" a="1"/>
  <c r="V3" i="75" s="1"/>
  <c r="AD3" i="75" a="1"/>
  <c r="AD3" i="75" s="1"/>
  <c r="U5" i="75" a="1"/>
  <c r="U5" i="75" s="1"/>
  <c r="AF5" i="75" a="1"/>
  <c r="AF5" i="75" s="1"/>
  <c r="X11" i="75" a="1"/>
  <c r="X11" i="75" s="1"/>
  <c r="AJ11" i="75" a="1"/>
  <c r="AJ11" i="75" s="1"/>
  <c r="Z11" i="75" a="1"/>
  <c r="Z11" i="75" s="1"/>
  <c r="W11" i="75" a="1"/>
  <c r="W11" i="75" s="1"/>
  <c r="AE11" i="75" a="1"/>
  <c r="AE11" i="75" s="1"/>
  <c r="R10" i="75" a="1"/>
  <c r="R10" i="75" s="1"/>
  <c r="V10" i="75" a="1"/>
  <c r="V10" i="75" s="1"/>
  <c r="X10" i="75" a="1"/>
  <c r="X10" i="75" s="1"/>
  <c r="U10" i="75" a="1"/>
  <c r="U10" i="75" s="1"/>
  <c r="AC10" i="75" a="1"/>
  <c r="AC10" i="75" s="1"/>
  <c r="W6" i="75" a="1"/>
  <c r="W6" i="75" s="1"/>
  <c r="AC6" i="75" a="1"/>
  <c r="AC6" i="75" s="1"/>
  <c r="T6" i="75" a="1"/>
  <c r="T6" i="75" s="1"/>
  <c r="AB6" i="75" a="1"/>
  <c r="AB6" i="75" s="1"/>
  <c r="AJ6" i="75" a="1"/>
  <c r="AJ6" i="75" s="1"/>
  <c r="AF2" i="75" a="1"/>
  <c r="AF2" i="75" s="1"/>
  <c r="R2" i="75" a="1"/>
  <c r="R2" i="75" s="1"/>
  <c r="AD2" i="75" a="1"/>
  <c r="AD2" i="75" s="1"/>
  <c r="S2" i="75" a="1"/>
  <c r="S2" i="75" s="1"/>
  <c r="AA2" i="75" a="1"/>
  <c r="AA2" i="75" s="1"/>
  <c r="AI2" i="75" a="1"/>
  <c r="AI2" i="75" s="1"/>
  <c r="AA9" i="75" a="1"/>
  <c r="AA9" i="75" s="1"/>
  <c r="AE9" i="75" a="1"/>
  <c r="AE9" i="75" s="1"/>
  <c r="AC9" i="75" a="1"/>
  <c r="AC9" i="75" s="1"/>
  <c r="T9" i="75" a="1"/>
  <c r="T9" i="75" s="1"/>
  <c r="AB9" i="75" a="1"/>
  <c r="AB9" i="75" s="1"/>
  <c r="AJ9" i="75" a="1"/>
  <c r="AJ9" i="75" s="1"/>
  <c r="Q8" i="75" a="1"/>
  <c r="Q8" i="75" s="1"/>
  <c r="AE8" i="75" a="1"/>
  <c r="AE8" i="75" s="1"/>
  <c r="R8" i="75" a="1"/>
  <c r="R8" i="75" s="1"/>
  <c r="Z8" i="75" a="1"/>
  <c r="Z8" i="75" s="1"/>
  <c r="AH8" i="75" a="1"/>
  <c r="AH8" i="75" s="1"/>
  <c r="W3" i="75" a="1"/>
  <c r="W3" i="75" s="1"/>
  <c r="AE3" i="75" a="1"/>
  <c r="AE3" i="75" s="1"/>
  <c r="X3" i="75" a="1"/>
  <c r="X3" i="75" s="1"/>
  <c r="AF3" i="75" a="1"/>
  <c r="AF3" i="75" s="1"/>
  <c r="V7" i="75" a="1"/>
  <c r="V7" i="75" s="1"/>
  <c r="X7" i="75" a="1"/>
  <c r="X7" i="75" s="1"/>
  <c r="W7" i="75" a="1"/>
  <c r="W7" i="75" s="1"/>
  <c r="AE7" i="75" a="1"/>
  <c r="AE7" i="75" s="1"/>
  <c r="U4" i="75" a="1"/>
  <c r="U4" i="75" s="1"/>
  <c r="AB4" i="75" a="1"/>
  <c r="AB4" i="75" s="1"/>
  <c r="X4" i="75" a="1"/>
  <c r="X4" i="75" s="1"/>
  <c r="Y4" i="75" a="1"/>
  <c r="Y4" i="75" s="1"/>
  <c r="AG4" i="75" a="1"/>
  <c r="AG4" i="75" s="1"/>
  <c r="AA5" i="75" a="1"/>
  <c r="AA5" i="75" s="1"/>
  <c r="AI5" i="75" a="1"/>
  <c r="AI5" i="75" s="1"/>
  <c r="Y5" i="75" a="1"/>
  <c r="Y5" i="75" s="1"/>
  <c r="S5" i="75" a="1"/>
  <c r="S5" i="75" s="1"/>
  <c r="Z5" i="75" a="1"/>
  <c r="Z5" i="75" s="1"/>
  <c r="AH5" i="75" a="1"/>
  <c r="AH5" i="75" s="1"/>
  <c r="T10" i="75" a="1"/>
  <c r="T10" i="75" s="1"/>
  <c r="S10" i="75" a="1"/>
  <c r="S10" i="75" s="1"/>
  <c r="AI10" i="75" a="1"/>
  <c r="AI10" i="75" s="1"/>
  <c r="AJ7" i="75" a="1"/>
  <c r="AJ7" i="75" s="1"/>
  <c r="AC7" i="75" a="1"/>
  <c r="AC7" i="75" s="1"/>
  <c r="X5" i="75" a="1"/>
  <c r="X5" i="75" s="1"/>
  <c r="U6" i="74" a="1"/>
  <c r="U6" i="74" s="1"/>
  <c r="AF11" i="75" a="1"/>
  <c r="AF11" i="75" s="1"/>
  <c r="AD11" i="75" a="1"/>
  <c r="AD11" i="75" s="1"/>
  <c r="Q11" i="75" a="1"/>
  <c r="Q11" i="75" s="1"/>
  <c r="Y11" i="75" a="1"/>
  <c r="Y11" i="75" s="1"/>
  <c r="Z10" i="75" a="1"/>
  <c r="Z10" i="75" s="1"/>
  <c r="AD10" i="75" a="1"/>
  <c r="AD10" i="75" s="1"/>
  <c r="AB10" i="75" a="1"/>
  <c r="AB10" i="75" s="1"/>
  <c r="W10" i="75" a="1"/>
  <c r="W10" i="75" s="1"/>
  <c r="AE10" i="75" a="1"/>
  <c r="AE10" i="75" s="1"/>
  <c r="AA6" i="75" a="1"/>
  <c r="AA6" i="75" s="1"/>
  <c r="Q6" i="75" a="1"/>
  <c r="Q6" i="75" s="1"/>
  <c r="AG6" i="75" a="1"/>
  <c r="AG6" i="75" s="1"/>
  <c r="V6" i="75" a="1"/>
  <c r="V6" i="75" s="1"/>
  <c r="AD6" i="75" a="1"/>
  <c r="AD6" i="75" s="1"/>
  <c r="Z2" i="75" a="1"/>
  <c r="Z2" i="75" s="1"/>
  <c r="T2" i="75" a="1"/>
  <c r="T2" i="75" s="1"/>
  <c r="U2" i="75" a="1"/>
  <c r="U2" i="75" s="1"/>
  <c r="AC2" i="75" a="1"/>
  <c r="AC2" i="75" s="1"/>
  <c r="AI9" i="75" a="1"/>
  <c r="AI9" i="75" s="1"/>
  <c r="Q9" i="75" a="1"/>
  <c r="Q9" i="75" s="1"/>
  <c r="AG9" i="75" a="1"/>
  <c r="AG9" i="75" s="1"/>
  <c r="V9" i="75" a="1"/>
  <c r="V9" i="75" s="1"/>
  <c r="AD9" i="75" a="1"/>
  <c r="AD9" i="75" s="1"/>
  <c r="Y8" i="75" a="1"/>
  <c r="Y8" i="75" s="1"/>
  <c r="S8" i="75" a="1"/>
  <c r="S8" i="75" s="1"/>
  <c r="AI8" i="75" a="1"/>
  <c r="AI8" i="75" s="1"/>
  <c r="T8" i="75" a="1"/>
  <c r="T8" i="75" s="1"/>
  <c r="AB8" i="75" a="1"/>
  <c r="AB8" i="75" s="1"/>
  <c r="AJ8" i="75" a="1"/>
  <c r="AJ8" i="75" s="1"/>
  <c r="Q3" i="75" a="1"/>
  <c r="Q3" i="75" s="1"/>
  <c r="Y3" i="75" a="1"/>
  <c r="Y3" i="75" s="1"/>
  <c r="AG3" i="75" a="1"/>
  <c r="AG3" i="75" s="1"/>
  <c r="R3" i="75" a="1"/>
  <c r="R3" i="75" s="1"/>
  <c r="Z3" i="75" a="1"/>
  <c r="Z3" i="75" s="1"/>
  <c r="AD7" i="75" a="1"/>
  <c r="AD7" i="75" s="1"/>
  <c r="Z7" i="75" a="1"/>
  <c r="Z7" i="75" s="1"/>
  <c r="AB7" i="75" a="1"/>
  <c r="AB7" i="75" s="1"/>
  <c r="Q7" i="75" a="1"/>
  <c r="Q7" i="75" s="1"/>
  <c r="Y7" i="75" a="1"/>
  <c r="Y7" i="75" s="1"/>
  <c r="AG7" i="75" a="1"/>
  <c r="AG7" i="75" s="1"/>
  <c r="Q4" i="75" a="1"/>
  <c r="Q4" i="75" s="1"/>
  <c r="R4" i="75" a="1"/>
  <c r="R4" i="75" s="1"/>
  <c r="AF4" i="75" a="1"/>
  <c r="AF4" i="75" s="1"/>
  <c r="AA4" i="75" a="1"/>
  <c r="AA4" i="75" s="1"/>
  <c r="Q5" i="75" a="1"/>
  <c r="Q5" i="75" s="1"/>
  <c r="AC5" i="75" a="1"/>
  <c r="AC5" i="75" s="1"/>
  <c r="AB5" i="75" a="1"/>
  <c r="AB5" i="75" s="1"/>
  <c r="AJ5" i="75" a="1"/>
  <c r="AJ5" i="75" s="1"/>
  <c r="AJ10" i="75" a="1"/>
  <c r="AJ10" i="75" s="1"/>
  <c r="AA10" i="75" a="1"/>
  <c r="AA10" i="75" s="1"/>
  <c r="X8" i="75" a="1"/>
  <c r="X8" i="75" s="1"/>
  <c r="T11" i="75" a="1"/>
  <c r="T11" i="75" s="1"/>
  <c r="R11" i="75" a="1"/>
  <c r="R11" i="75" s="1"/>
  <c r="AH11" i="75" a="1"/>
  <c r="AH11" i="75" s="1"/>
  <c r="S11" i="75" a="1"/>
  <c r="S11" i="75" s="1"/>
  <c r="AA11" i="75" a="1"/>
  <c r="AA11" i="75" s="1"/>
  <c r="AH10" i="75" a="1"/>
  <c r="AH10" i="75" s="1"/>
  <c r="AF10" i="75" a="1"/>
  <c r="AF10" i="75" s="1"/>
  <c r="Q10" i="75" a="1"/>
  <c r="Q10" i="75" s="1"/>
  <c r="Y10" i="75" a="1"/>
  <c r="Y10" i="75" s="1"/>
  <c r="AE6" i="75" a="1"/>
  <c r="AE6" i="75" s="1"/>
  <c r="X6" i="75" a="1"/>
  <c r="X6" i="75" s="1"/>
  <c r="AH2" i="75" a="1"/>
  <c r="AH2" i="75" s="1"/>
  <c r="AB2" i="75" a="1"/>
  <c r="AB2" i="75" s="1"/>
  <c r="W2" i="75" a="1"/>
  <c r="W2" i="75" s="1"/>
  <c r="X9" i="75" a="1"/>
  <c r="X9" i="75" s="1"/>
  <c r="U8" i="75" a="1"/>
  <c r="U8" i="75" s="1"/>
  <c r="AG8" i="75" a="1"/>
  <c r="AG8" i="75" s="1"/>
  <c r="W8" i="75" a="1"/>
  <c r="W8" i="75" s="1"/>
  <c r="V8" i="75" a="1"/>
  <c r="V8" i="75" s="1"/>
  <c r="S3" i="75" a="1"/>
  <c r="S3" i="75" s="1"/>
  <c r="AA3" i="75" a="1"/>
  <c r="AA3" i="75" s="1"/>
  <c r="AI3" i="75" a="1"/>
  <c r="AI3" i="75" s="1"/>
  <c r="T3" i="75" a="1"/>
  <c r="T3" i="75" s="1"/>
  <c r="AB3" i="75" a="1"/>
  <c r="AB3" i="75" s="1"/>
  <c r="AH7" i="75" a="1"/>
  <c r="AH7" i="75" s="1"/>
  <c r="AF7" i="75" a="1"/>
  <c r="AF7" i="75" s="1"/>
  <c r="S7" i="75" a="1"/>
  <c r="S7" i="75" s="1"/>
  <c r="AA7" i="75" a="1"/>
  <c r="AA7" i="75" s="1"/>
  <c r="AJ4" i="75" a="1"/>
  <c r="AJ4" i="75" s="1"/>
  <c r="Z4" i="75" a="1"/>
  <c r="Z4" i="75" s="1"/>
  <c r="W5" i="75" a="1"/>
  <c r="W5" i="75" s="1"/>
  <c r="AE5" i="75" a="1"/>
  <c r="AE5" i="75" s="1"/>
  <c r="R5" i="75" a="1"/>
  <c r="R5" i="75" s="1"/>
  <c r="AG5" i="75" a="1"/>
  <c r="AG5" i="75" s="1"/>
  <c r="V5" i="75" a="1"/>
  <c r="V5" i="75" s="1"/>
  <c r="AH11" i="74" a="1"/>
  <c r="AH11" i="74" s="1"/>
  <c r="Y4" i="74" a="1"/>
  <c r="Y4" i="74" s="1"/>
  <c r="AI6" i="74" a="1"/>
  <c r="AI6" i="74" s="1"/>
  <c r="AI11" i="74" a="1"/>
  <c r="AI11" i="74" s="1"/>
  <c r="AH5" i="74" a="1"/>
  <c r="AH5" i="74" s="1"/>
  <c r="S6" i="73" a="1"/>
  <c r="S6" i="73" s="1"/>
  <c r="T11" i="74" a="1"/>
  <c r="T11" i="74" s="1"/>
  <c r="AF4" i="74" a="1"/>
  <c r="AF4" i="74" s="1"/>
  <c r="Q8" i="74" a="1"/>
  <c r="Q8" i="74" s="1"/>
  <c r="Z9" i="74" a="1"/>
  <c r="Z9" i="74" s="1"/>
  <c r="AA11" i="74" a="1"/>
  <c r="AA11" i="74" s="1"/>
  <c r="S6" i="74" a="1"/>
  <c r="S6" i="74" s="1"/>
  <c r="R2" i="74" a="1"/>
  <c r="R2" i="74" s="1"/>
  <c r="AD4" i="74" a="1"/>
  <c r="AD4" i="74" s="1"/>
  <c r="U6" i="73" a="1"/>
  <c r="U6" i="73" s="1"/>
  <c r="AF6" i="74" a="1"/>
  <c r="AF6" i="74" s="1"/>
  <c r="AH6" i="74" a="1"/>
  <c r="AH6" i="74" s="1"/>
  <c r="AH8" i="74" a="1"/>
  <c r="AH8" i="74" s="1"/>
  <c r="AH9" i="74" a="1"/>
  <c r="AH9" i="74" s="1"/>
  <c r="AC3" i="74" a="1"/>
  <c r="AC3" i="74" s="1"/>
  <c r="W9" i="74" a="1"/>
  <c r="W9" i="74" s="1"/>
  <c r="V8" i="74" a="1"/>
  <c r="V8" i="74" s="1"/>
  <c r="Y9" i="74" a="1"/>
  <c r="Y9" i="74" s="1"/>
  <c r="AA9" i="74" a="1"/>
  <c r="AA9" i="74" s="1"/>
  <c r="AE11" i="74" a="1"/>
  <c r="AE11" i="74" s="1"/>
  <c r="AF11" i="74" a="1"/>
  <c r="AF11" i="74" s="1"/>
  <c r="Q11" i="74" a="1"/>
  <c r="Q11" i="74" s="1"/>
  <c r="AG11" i="74" a="1"/>
  <c r="AG11" i="74" s="1"/>
  <c r="V3" i="74" a="1"/>
  <c r="V3" i="74" s="1"/>
  <c r="AB3" i="74" a="1"/>
  <c r="AB3" i="74" s="1"/>
  <c r="AE3" i="74" a="1"/>
  <c r="AE3" i="74" s="1"/>
  <c r="X6" i="74" a="1"/>
  <c r="X6" i="74" s="1"/>
  <c r="Y2" i="74" a="1"/>
  <c r="Y2" i="74" s="1"/>
  <c r="X3" i="74" a="1"/>
  <c r="X3" i="74" s="1"/>
  <c r="AG3" i="74" a="1"/>
  <c r="AG3" i="74" s="1"/>
  <c r="S8" i="73" a="1"/>
  <c r="S8" i="73" s="1"/>
  <c r="X4" i="73" a="1"/>
  <c r="X4" i="73" s="1"/>
  <c r="X3" i="73" a="1"/>
  <c r="X3" i="73" s="1"/>
  <c r="AC8" i="74" a="1"/>
  <c r="AC8" i="74" s="1"/>
  <c r="AF8" i="74" a="1"/>
  <c r="AF8" i="74" s="1"/>
  <c r="Y10" i="74" a="1"/>
  <c r="Y10" i="74" s="1"/>
  <c r="U9" i="74" a="1"/>
  <c r="U9" i="74" s="1"/>
  <c r="AG9" i="74" a="1"/>
  <c r="AG9" i="74" s="1"/>
  <c r="AF9" i="74" a="1"/>
  <c r="AF9" i="74" s="1"/>
  <c r="Z11" i="74" a="1"/>
  <c r="Z11" i="74" s="1"/>
  <c r="V11" i="74" a="1"/>
  <c r="V11" i="74" s="1"/>
  <c r="AJ11" i="74" a="1"/>
  <c r="AJ11" i="74" s="1"/>
  <c r="S11" i="74" a="1"/>
  <c r="S11" i="74" s="1"/>
  <c r="AD3" i="74" a="1"/>
  <c r="AD3" i="74" s="1"/>
  <c r="R3" i="74" a="1"/>
  <c r="R3" i="74" s="1"/>
  <c r="Q3" i="74" a="1"/>
  <c r="Q3" i="74" s="1"/>
  <c r="AB6" i="74" a="1"/>
  <c r="AB6" i="74" s="1"/>
  <c r="AI5" i="74" a="1"/>
  <c r="AI5" i="74" s="1"/>
  <c r="AF5" i="74" a="1"/>
  <c r="AF5" i="74" s="1"/>
  <c r="AI7" i="74" a="1"/>
  <c r="AI7" i="74" s="1"/>
  <c r="AE4" i="74" a="1"/>
  <c r="AE4" i="74" s="1"/>
  <c r="AI4" i="74" a="1"/>
  <c r="AI4" i="74" s="1"/>
  <c r="AC6" i="73" a="1"/>
  <c r="AC6" i="73" s="1"/>
  <c r="AA8" i="74" a="1"/>
  <c r="AA8" i="74" s="1"/>
  <c r="AC9" i="74" a="1"/>
  <c r="AC9" i="74" s="1"/>
  <c r="R9" i="74" a="1"/>
  <c r="R9" i="74" s="1"/>
  <c r="R11" i="74" a="1"/>
  <c r="R11" i="74" s="1"/>
  <c r="AD11" i="74" a="1"/>
  <c r="AD11" i="74" s="1"/>
  <c r="Y11" i="74" a="1"/>
  <c r="Y11" i="74" s="1"/>
  <c r="Z3" i="74" a="1"/>
  <c r="Z3" i="74" s="1"/>
  <c r="Y3" i="74" a="1"/>
  <c r="Y3" i="74" s="1"/>
  <c r="Z6" i="74" a="1"/>
  <c r="Z6" i="74" s="1"/>
  <c r="Q6" i="74" a="1"/>
  <c r="Q6" i="74" s="1"/>
  <c r="AB2" i="74" a="1"/>
  <c r="AB2" i="74" s="1"/>
  <c r="AG7" i="74" a="1"/>
  <c r="AG7" i="74" s="1"/>
  <c r="V4" i="74" a="1"/>
  <c r="V4" i="74" s="1"/>
  <c r="T4" i="74" a="1"/>
  <c r="T4" i="74" s="1"/>
  <c r="AG8" i="74" a="1"/>
  <c r="AG8" i="74" s="1"/>
  <c r="X8" i="74" a="1"/>
  <c r="X8" i="74" s="1"/>
  <c r="AD10" i="74" a="1"/>
  <c r="AD10" i="74" s="1"/>
  <c r="T10" i="74" a="1"/>
  <c r="T10" i="74" s="1"/>
  <c r="AJ10" i="74" a="1"/>
  <c r="AJ10" i="74" s="1"/>
  <c r="S10" i="74" a="1"/>
  <c r="S10" i="74" s="1"/>
  <c r="AA10" i="74" a="1"/>
  <c r="AA10" i="74" s="1"/>
  <c r="AI10" i="74" a="1"/>
  <c r="AI10" i="74" s="1"/>
  <c r="AE9" i="74" a="1"/>
  <c r="AE9" i="74" s="1"/>
  <c r="T9" i="74" a="1"/>
  <c r="T9" i="74" s="1"/>
  <c r="AB9" i="74" a="1"/>
  <c r="AB9" i="74" s="1"/>
  <c r="AJ9" i="74" a="1"/>
  <c r="AJ9" i="74" s="1"/>
  <c r="X11" i="74" a="1"/>
  <c r="X11" i="74" s="1"/>
  <c r="U11" i="74" a="1"/>
  <c r="U11" i="74" s="1"/>
  <c r="AC11" i="74" a="1"/>
  <c r="AC11" i="74" s="1"/>
  <c r="AF3" i="74" a="1"/>
  <c r="AF3" i="74" s="1"/>
  <c r="AH3" i="74" a="1"/>
  <c r="AH3" i="74" s="1"/>
  <c r="S3" i="74" a="1"/>
  <c r="S3" i="74" s="1"/>
  <c r="AA3" i="74" a="1"/>
  <c r="AA3" i="74" s="1"/>
  <c r="AI3" i="74" a="1"/>
  <c r="AI3" i="74" s="1"/>
  <c r="AG6" i="74" a="1"/>
  <c r="AG6" i="74" s="1"/>
  <c r="R6" i="74" a="1"/>
  <c r="R6" i="74" s="1"/>
  <c r="V6" i="74" a="1"/>
  <c r="V6" i="74" s="1"/>
  <c r="AJ6" i="74" a="1"/>
  <c r="AJ6" i="74" s="1"/>
  <c r="AC2" i="74" a="1"/>
  <c r="AC2" i="74" s="1"/>
  <c r="S2" i="74" a="1"/>
  <c r="S2" i="74" s="1"/>
  <c r="AI2" i="74" a="1"/>
  <c r="AI2" i="74" s="1"/>
  <c r="Z2" i="74" a="1"/>
  <c r="Z2" i="74" s="1"/>
  <c r="AJ2" i="74" a="1"/>
  <c r="AJ2" i="74" s="1"/>
  <c r="AA5" i="74" a="1"/>
  <c r="AA5" i="74" s="1"/>
  <c r="Q5" i="74" a="1"/>
  <c r="Q5" i="74" s="1"/>
  <c r="W5" i="74" a="1"/>
  <c r="W5" i="74" s="1"/>
  <c r="T5" i="74" a="1"/>
  <c r="T5" i="74" s="1"/>
  <c r="AB5" i="74" a="1"/>
  <c r="AB5" i="74" s="1"/>
  <c r="AJ5" i="74" a="1"/>
  <c r="AJ5" i="74" s="1"/>
  <c r="T7" i="74" a="1"/>
  <c r="T7" i="74" s="1"/>
  <c r="V7" i="74" a="1"/>
  <c r="V7" i="74" s="1"/>
  <c r="AB7" i="74" a="1"/>
  <c r="AB7" i="74" s="1"/>
  <c r="S7" i="74" a="1"/>
  <c r="S7" i="74" s="1"/>
  <c r="AH7" i="74" a="1"/>
  <c r="AH7" i="74" s="1"/>
  <c r="AC7" i="74" a="1"/>
  <c r="AC7" i="74" s="1"/>
  <c r="X4" i="74" a="1"/>
  <c r="X4" i="74" s="1"/>
  <c r="S4" i="74" a="1"/>
  <c r="S4" i="74" s="1"/>
  <c r="AB4" i="74" a="1"/>
  <c r="AB4" i="74" s="1"/>
  <c r="Z4" i="74" a="1"/>
  <c r="Z4" i="74" s="1"/>
  <c r="W8" i="74" a="1"/>
  <c r="W8" i="74" s="1"/>
  <c r="AD8" i="74" a="1"/>
  <c r="AD8" i="74" s="1"/>
  <c r="AH10" i="74" a="1"/>
  <c r="AH10" i="74" s="1"/>
  <c r="Q10" i="74" a="1"/>
  <c r="Q10" i="74" s="1"/>
  <c r="AG10" i="74" a="1"/>
  <c r="AG10" i="74" s="1"/>
  <c r="AD5" i="73" a="1"/>
  <c r="AD5" i="73" s="1"/>
  <c r="Y8" i="74" a="1"/>
  <c r="Y8" i="74" s="1"/>
  <c r="AE8" i="74" a="1"/>
  <c r="AE8" i="74" s="1"/>
  <c r="R8" i="74" a="1"/>
  <c r="R8" i="74" s="1"/>
  <c r="Z8" i="74" a="1"/>
  <c r="Z8" i="74" s="1"/>
  <c r="V10" i="74" a="1"/>
  <c r="V10" i="74" s="1"/>
  <c r="R10" i="74" a="1"/>
  <c r="R10" i="74" s="1"/>
  <c r="X10" i="74" a="1"/>
  <c r="X10" i="74" s="1"/>
  <c r="U10" i="74" a="1"/>
  <c r="U10" i="74" s="1"/>
  <c r="AC10" i="74" a="1"/>
  <c r="AC10" i="74" s="1"/>
  <c r="Q9" i="74" a="1"/>
  <c r="Q9" i="74" s="1"/>
  <c r="S9" i="74" a="1"/>
  <c r="S9" i="74" s="1"/>
  <c r="AI9" i="74" a="1"/>
  <c r="AI9" i="74" s="1"/>
  <c r="V9" i="74" a="1"/>
  <c r="V9" i="74" s="1"/>
  <c r="AD9" i="74" a="1"/>
  <c r="AD9" i="74" s="1"/>
  <c r="AB11" i="74" a="1"/>
  <c r="AB11" i="74" s="1"/>
  <c r="W11" i="74" a="1"/>
  <c r="W11" i="74" s="1"/>
  <c r="T3" i="74" a="1"/>
  <c r="T3" i="74" s="1"/>
  <c r="AJ3" i="74" a="1"/>
  <c r="AJ3" i="74" s="1"/>
  <c r="U3" i="74" a="1"/>
  <c r="U3" i="74" s="1"/>
  <c r="AA6" i="74" a="1"/>
  <c r="AA6" i="74" s="1"/>
  <c r="AC6" i="74" a="1"/>
  <c r="AC6" i="74" s="1"/>
  <c r="Y6" i="74" a="1"/>
  <c r="Y6" i="74" s="1"/>
  <c r="T6" i="74" a="1"/>
  <c r="T6" i="74" s="1"/>
  <c r="AD6" i="74" a="1"/>
  <c r="AD6" i="74" s="1"/>
  <c r="Q2" i="74" a="1"/>
  <c r="Q2" i="74" s="1"/>
  <c r="AG2" i="74" a="1"/>
  <c r="AG2" i="74" s="1"/>
  <c r="W2" i="74" a="1"/>
  <c r="W2" i="74" s="1"/>
  <c r="AD2" i="74" a="1"/>
  <c r="AD2" i="74" s="1"/>
  <c r="AC5" i="74" a="1"/>
  <c r="AC5" i="74" s="1"/>
  <c r="Y5" i="74" a="1"/>
  <c r="Y5" i="74" s="1"/>
  <c r="AE5" i="74" a="1"/>
  <c r="AE5" i="74" s="1"/>
  <c r="V5" i="74" a="1"/>
  <c r="V5" i="74" s="1"/>
  <c r="AD5" i="74" a="1"/>
  <c r="AD5" i="74" s="1"/>
  <c r="AF7" i="74" a="1"/>
  <c r="AF7" i="74" s="1"/>
  <c r="AA7" i="74" a="1"/>
  <c r="AA7" i="74" s="1"/>
  <c r="AJ7" i="74" a="1"/>
  <c r="AJ7" i="74" s="1"/>
  <c r="U7" i="74" a="1"/>
  <c r="U7" i="74" s="1"/>
  <c r="AE7" i="74" a="1"/>
  <c r="AE7" i="74" s="1"/>
  <c r="R4" i="74" a="1"/>
  <c r="R4" i="74" s="1"/>
  <c r="AA4" i="74" a="1"/>
  <c r="AA4" i="74" s="1"/>
  <c r="AC4" i="74" a="1"/>
  <c r="AC4" i="74" s="1"/>
  <c r="U4" i="74" a="1"/>
  <c r="U4" i="74" s="1"/>
  <c r="AG4" i="74" a="1"/>
  <c r="AG4" i="74" s="1"/>
  <c r="AE11" i="73" a="1"/>
  <c r="AE11" i="73" s="1"/>
  <c r="U8" i="74" a="1"/>
  <c r="U8" i="74" s="1"/>
  <c r="S8" i="74" a="1"/>
  <c r="S8" i="74" s="1"/>
  <c r="AI8" i="74" a="1"/>
  <c r="AI8" i="74" s="1"/>
  <c r="T8" i="74" a="1"/>
  <c r="T8" i="74" s="1"/>
  <c r="AB8" i="74" a="1"/>
  <c r="AB8" i="74" s="1"/>
  <c r="AJ8" i="74" a="1"/>
  <c r="AJ8" i="74" s="1"/>
  <c r="Z10" i="74" a="1"/>
  <c r="Z10" i="74" s="1"/>
  <c r="AB10" i="74" a="1"/>
  <c r="AB10" i="74" s="1"/>
  <c r="W10" i="74" a="1"/>
  <c r="W10" i="74" s="1"/>
  <c r="AE10" i="74" a="1"/>
  <c r="AE10" i="74" s="1"/>
  <c r="X9" i="74" a="1"/>
  <c r="X9" i="74" s="1"/>
  <c r="W3" i="74" a="1"/>
  <c r="W3" i="74" s="1"/>
  <c r="AE6" i="74" a="1"/>
  <c r="AE6" i="74" s="1"/>
  <c r="W6" i="74" a="1"/>
  <c r="W6" i="74" s="1"/>
  <c r="U2" i="74" a="1"/>
  <c r="U2" i="74" s="1"/>
  <c r="AA2" i="74" a="1"/>
  <c r="AA2" i="74" s="1"/>
  <c r="T2" i="74" a="1"/>
  <c r="T2" i="74" s="1"/>
  <c r="AF2" i="74" a="1"/>
  <c r="AF2" i="74" s="1"/>
  <c r="X2" i="74" a="1"/>
  <c r="X2" i="74" s="1"/>
  <c r="S5" i="74" a="1"/>
  <c r="S5" i="74" s="1"/>
  <c r="U5" i="74" a="1"/>
  <c r="U5" i="74" s="1"/>
  <c r="AG5" i="74" a="1"/>
  <c r="AG5" i="74" s="1"/>
  <c r="X5" i="74" a="1"/>
  <c r="X5" i="74" s="1"/>
  <c r="Y7" i="74" a="1"/>
  <c r="Y7" i="74" s="1"/>
  <c r="X7" i="74" a="1"/>
  <c r="X7" i="74" s="1"/>
  <c r="W7" i="74" a="1"/>
  <c r="W7" i="74" s="1"/>
  <c r="W4" i="74" a="1"/>
  <c r="W4" i="74" s="1"/>
  <c r="AJ4" i="74" a="1"/>
  <c r="AJ4" i="74" s="1"/>
  <c r="AH4" i="74" a="1"/>
  <c r="AH4" i="74" s="1"/>
  <c r="AF10" i="74" a="1"/>
  <c r="AF10" i="74" s="1"/>
  <c r="AE2" i="74" a="1"/>
  <c r="AE2" i="74" s="1"/>
  <c r="V2" i="74" a="1"/>
  <c r="V2" i="74" s="1"/>
  <c r="AH2" i="74" a="1"/>
  <c r="AH2" i="74" s="1"/>
  <c r="R5" i="74" a="1"/>
  <c r="R5" i="74" s="1"/>
  <c r="Z5" i="74" a="1"/>
  <c r="Z5" i="74" s="1"/>
  <c r="R7" i="74" a="1"/>
  <c r="R7" i="74" s="1"/>
  <c r="Q7" i="74" a="1"/>
  <c r="Q7" i="74" s="1"/>
  <c r="AD7" i="74" a="1"/>
  <c r="AD7" i="74" s="1"/>
  <c r="Z7" i="74" a="1"/>
  <c r="Z7" i="74" s="1"/>
  <c r="Q4" i="74" a="1"/>
  <c r="Q4" i="74" s="1"/>
  <c r="V8" i="73" a="1"/>
  <c r="V8" i="73" s="1"/>
  <c r="AC5" i="73" a="1"/>
  <c r="AC5" i="73" s="1"/>
  <c r="AE8" i="73" a="1"/>
  <c r="AE8" i="73" s="1"/>
  <c r="AF4" i="73" a="1"/>
  <c r="AF4" i="73" s="1"/>
  <c r="AH7" i="73" a="1"/>
  <c r="AH7" i="73" s="1"/>
  <c r="AJ6" i="73" a="1"/>
  <c r="AJ6" i="73" s="1"/>
  <c r="AJ9" i="73" a="1"/>
  <c r="AJ9" i="73" s="1"/>
  <c r="T5" i="73" a="1"/>
  <c r="T5" i="73" s="1"/>
  <c r="AD8" i="73" a="1"/>
  <c r="AD8" i="73" s="1"/>
  <c r="AC4" i="73" a="1"/>
  <c r="AC4" i="73" s="1"/>
  <c r="Q6" i="73" a="1"/>
  <c r="Q6" i="73" s="1"/>
  <c r="T6" i="73" a="1"/>
  <c r="T6" i="73" s="1"/>
  <c r="V4" i="73" a="1"/>
  <c r="V4" i="73" s="1"/>
  <c r="AJ4" i="73" a="1"/>
  <c r="AJ4" i="73" s="1"/>
  <c r="Q4" i="73" a="1"/>
  <c r="Q4" i="73" s="1"/>
  <c r="AG4" i="73" a="1"/>
  <c r="AG4" i="73" s="1"/>
  <c r="Q7" i="73" a="1"/>
  <c r="Q7" i="73" s="1"/>
  <c r="AF11" i="73" a="1"/>
  <c r="AF11" i="73" s="1"/>
  <c r="V11" i="73" a="1"/>
  <c r="V11" i="73" s="1"/>
  <c r="AD2" i="73" a="1"/>
  <c r="AD2" i="73" s="1"/>
  <c r="R5" i="73" a="1"/>
  <c r="R5" i="73" s="1"/>
  <c r="X5" i="73" a="1"/>
  <c r="X5" i="73" s="1"/>
  <c r="AJ3" i="73" a="1"/>
  <c r="AJ3" i="73" s="1"/>
  <c r="AE6" i="73" a="1"/>
  <c r="AE6" i="73" s="1"/>
  <c r="AI6" i="73" a="1"/>
  <c r="AI6" i="73" s="1"/>
  <c r="AB6" i="73" a="1"/>
  <c r="AB6" i="73" s="1"/>
  <c r="AA2" i="73" a="1"/>
  <c r="AA2" i="73" s="1"/>
  <c r="U8" i="73" a="1"/>
  <c r="U8" i="73" s="1"/>
  <c r="W8" i="73" a="1"/>
  <c r="W8" i="73" s="1"/>
  <c r="AJ8" i="73" a="1"/>
  <c r="AJ8" i="73" s="1"/>
  <c r="Z4" i="73" a="1"/>
  <c r="Z4" i="73" s="1"/>
  <c r="U4" i="73" a="1"/>
  <c r="U4" i="73" s="1"/>
  <c r="U10" i="73" a="1"/>
  <c r="U10" i="73" s="1"/>
  <c r="AG11" i="73" a="1"/>
  <c r="AG11" i="73" s="1"/>
  <c r="Y2" i="73" a="1"/>
  <c r="Y2" i="73" s="1"/>
  <c r="AJ2" i="73" a="1"/>
  <c r="AJ2" i="73" s="1"/>
  <c r="AF5" i="73" a="1"/>
  <c r="AF5" i="73" s="1"/>
  <c r="AI5" i="73" a="1"/>
  <c r="AI5" i="73" s="1"/>
  <c r="AE3" i="73" a="1"/>
  <c r="AE3" i="73" s="1"/>
  <c r="AH9" i="73" a="1"/>
  <c r="AH9" i="73" s="1"/>
  <c r="AC8" i="73" a="1"/>
  <c r="AC8" i="73" s="1"/>
  <c r="Y8" i="73" a="1"/>
  <c r="Y8" i="73" s="1"/>
  <c r="AI4" i="73" a="1"/>
  <c r="AI4" i="73" s="1"/>
  <c r="AH4" i="73" a="1"/>
  <c r="AH4" i="73" s="1"/>
  <c r="Y4" i="73" a="1"/>
  <c r="Y4" i="73" s="1"/>
  <c r="S7" i="73" a="1"/>
  <c r="S7" i="73" s="1"/>
  <c r="X7" i="73" a="1"/>
  <c r="X7" i="73" s="1"/>
  <c r="AI10" i="73" a="1"/>
  <c r="AI10" i="73" s="1"/>
  <c r="X11" i="73" a="1"/>
  <c r="X11" i="73" s="1"/>
  <c r="AC2" i="73" a="1"/>
  <c r="AC2" i="73" s="1"/>
  <c r="V2" i="73" a="1"/>
  <c r="V2" i="73" s="1"/>
  <c r="S5" i="73" a="1"/>
  <c r="S5" i="73" s="1"/>
  <c r="AH6" i="73" a="1"/>
  <c r="AH6" i="73" s="1"/>
  <c r="AD9" i="73" a="1"/>
  <c r="AD9" i="73" s="1"/>
  <c r="AB7" i="73" a="1"/>
  <c r="AB7" i="73" s="1"/>
  <c r="AD10" i="73" a="1"/>
  <c r="AD10" i="73" s="1"/>
  <c r="AC10" i="73" a="1"/>
  <c r="AC10" i="73" s="1"/>
  <c r="Y11" i="73" a="1"/>
  <c r="Y11" i="73" s="1"/>
  <c r="Q3" i="73" a="1"/>
  <c r="Q3" i="73" s="1"/>
  <c r="AG3" i="73" a="1"/>
  <c r="AG3" i="73" s="1"/>
  <c r="AC9" i="73" a="1"/>
  <c r="AC9" i="73" s="1"/>
  <c r="U9" i="73" a="1"/>
  <c r="U9" i="73" s="1"/>
  <c r="X9" i="73" a="1"/>
  <c r="X9" i="73" s="1"/>
  <c r="Q9" i="73" a="1"/>
  <c r="Q9" i="73" s="1"/>
  <c r="AG9" i="73" a="1"/>
  <c r="AG9" i="73" s="1"/>
  <c r="AB9" i="73" a="1"/>
  <c r="AB9" i="73" s="1"/>
  <c r="AA8" i="73" a="1"/>
  <c r="AA8" i="73" s="1"/>
  <c r="AI8" i="73" a="1"/>
  <c r="AI8" i="73" s="1"/>
  <c r="AG8" i="73" a="1"/>
  <c r="AG8" i="73" s="1"/>
  <c r="X8" i="73" a="1"/>
  <c r="X8" i="73" s="1"/>
  <c r="AF8" i="73" a="1"/>
  <c r="AF8" i="73" s="1"/>
  <c r="R4" i="73" a="1"/>
  <c r="R4" i="73" s="1"/>
  <c r="T4" i="73" a="1"/>
  <c r="T4" i="73" s="1"/>
  <c r="W4" i="73" a="1"/>
  <c r="W4" i="73" s="1"/>
  <c r="AB4" i="73" a="1"/>
  <c r="AB4" i="73" s="1"/>
  <c r="AE4" i="73" a="1"/>
  <c r="AE4" i="73" s="1"/>
  <c r="AC7" i="73" a="1"/>
  <c r="AC7" i="73" s="1"/>
  <c r="U7" i="73" a="1"/>
  <c r="U7" i="73" s="1"/>
  <c r="AD7" i="73" a="1"/>
  <c r="AD7" i="73" s="1"/>
  <c r="R7" i="73" a="1"/>
  <c r="R7" i="73" s="1"/>
  <c r="AG7" i="73" a="1"/>
  <c r="AG7" i="73" s="1"/>
  <c r="Z7" i="73" a="1"/>
  <c r="Z7" i="73" s="1"/>
  <c r="AF10" i="73" a="1"/>
  <c r="AF10" i="73" s="1"/>
  <c r="X10" i="73" a="1"/>
  <c r="X10" i="73" s="1"/>
  <c r="W10" i="73" a="1"/>
  <c r="W10" i="73" s="1"/>
  <c r="AE10" i="73" a="1"/>
  <c r="AE10" i="73" s="1"/>
  <c r="U11" i="73" a="1"/>
  <c r="U11" i="73" s="1"/>
  <c r="Z11" i="73" a="1"/>
  <c r="Z11" i="73" s="1"/>
  <c r="Q11" i="73" a="1"/>
  <c r="Q11" i="73" s="1"/>
  <c r="AA11" i="73" a="1"/>
  <c r="AA11" i="73" s="1"/>
  <c r="AI11" i="73" a="1"/>
  <c r="AI11" i="73" s="1"/>
  <c r="Q2" i="73" a="1"/>
  <c r="Q2" i="73" s="1"/>
  <c r="S2" i="73" a="1"/>
  <c r="S2" i="73" s="1"/>
  <c r="X2" i="73" a="1"/>
  <c r="X2" i="73" s="1"/>
  <c r="AF2" i="73" a="1"/>
  <c r="AF2" i="73" s="1"/>
  <c r="Q5" i="73" a="1"/>
  <c r="Q5" i="73" s="1"/>
  <c r="U5" i="73" a="1"/>
  <c r="U5" i="73" s="1"/>
  <c r="AJ5" i="73" a="1"/>
  <c r="AJ5" i="73" s="1"/>
  <c r="V5" i="73" a="1"/>
  <c r="V5" i="73" s="1"/>
  <c r="AE5" i="73" a="1"/>
  <c r="AE5" i="73" s="1"/>
  <c r="AB3" i="73" a="1"/>
  <c r="AB3" i="73" s="1"/>
  <c r="AF3" i="73" a="1"/>
  <c r="AF3" i="73" s="1"/>
  <c r="S3" i="73" a="1"/>
  <c r="S3" i="73" s="1"/>
  <c r="AA3" i="73" a="1"/>
  <c r="AA3" i="73" s="1"/>
  <c r="AI3" i="73" a="1"/>
  <c r="AI3" i="73" s="1"/>
  <c r="Y6" i="73" a="1"/>
  <c r="Y6" i="73" s="1"/>
  <c r="W6" i="73" a="1"/>
  <c r="W6" i="73" s="1"/>
  <c r="V6" i="73" a="1"/>
  <c r="V6" i="73" s="1"/>
  <c r="AD6" i="73" a="1"/>
  <c r="AD6" i="73" s="1"/>
  <c r="AJ10" i="73" a="1"/>
  <c r="AJ10" i="73" s="1"/>
  <c r="Z3" i="73" a="1"/>
  <c r="Z3" i="73" s="1"/>
  <c r="Y3" i="73" a="1"/>
  <c r="Y3" i="73" s="1"/>
  <c r="S9" i="73" a="1"/>
  <c r="S9" i="73" s="1"/>
  <c r="Z9" i="73" a="1"/>
  <c r="Z9" i="73" s="1"/>
  <c r="AA9" i="73" a="1"/>
  <c r="AA9" i="73" s="1"/>
  <c r="V9" i="73" a="1"/>
  <c r="V9" i="73" s="1"/>
  <c r="AE9" i="73" a="1"/>
  <c r="AE9" i="73" s="1"/>
  <c r="R8" i="73" a="1"/>
  <c r="R8" i="73" s="1"/>
  <c r="Z8" i="73" a="1"/>
  <c r="Z8" i="73" s="1"/>
  <c r="AH8" i="73" a="1"/>
  <c r="AH8" i="73" s="1"/>
  <c r="AF7" i="73" a="1"/>
  <c r="AF7" i="73" s="1"/>
  <c r="V7" i="73" a="1"/>
  <c r="V7" i="73" s="1"/>
  <c r="T7" i="73" a="1"/>
  <c r="T7" i="73" s="1"/>
  <c r="AJ7" i="73" a="1"/>
  <c r="AJ7" i="73" s="1"/>
  <c r="AE7" i="73" a="1"/>
  <c r="AE7" i="73" s="1"/>
  <c r="R10" i="73" a="1"/>
  <c r="R10" i="73" s="1"/>
  <c r="T10" i="73" a="1"/>
  <c r="T10" i="73" s="1"/>
  <c r="Q10" i="73" a="1"/>
  <c r="Q10" i="73" s="1"/>
  <c r="Y10" i="73" a="1"/>
  <c r="Y10" i="73" s="1"/>
  <c r="AG10" i="73" a="1"/>
  <c r="AG10" i="73" s="1"/>
  <c r="AB11" i="73" a="1"/>
  <c r="AB11" i="73" s="1"/>
  <c r="AD11" i="73" a="1"/>
  <c r="AD11" i="73" s="1"/>
  <c r="T11" i="73" a="1"/>
  <c r="T11" i="73" s="1"/>
  <c r="AC11" i="73" a="1"/>
  <c r="AC11" i="73" s="1"/>
  <c r="AG2" i="73" a="1"/>
  <c r="AG2" i="73" s="1"/>
  <c r="AI2" i="73" a="1"/>
  <c r="AI2" i="73" s="1"/>
  <c r="W2" i="73" a="1"/>
  <c r="W2" i="73" s="1"/>
  <c r="R2" i="73" a="1"/>
  <c r="R2" i="73" s="1"/>
  <c r="Z2" i="73" a="1"/>
  <c r="Z2" i="73" s="1"/>
  <c r="AH2" i="73" a="1"/>
  <c r="AH2" i="73" s="1"/>
  <c r="Z5" i="73" a="1"/>
  <c r="Z5" i="73" s="1"/>
  <c r="W5" i="73" a="1"/>
  <c r="W5" i="73" s="1"/>
  <c r="Y5" i="73" a="1"/>
  <c r="Y5" i="73" s="1"/>
  <c r="AG5" i="73" a="1"/>
  <c r="AG5" i="73" s="1"/>
  <c r="AD3" i="73" a="1"/>
  <c r="AD3" i="73" s="1"/>
  <c r="R3" i="73" a="1"/>
  <c r="R3" i="73" s="1"/>
  <c r="U3" i="73" a="1"/>
  <c r="U3" i="73" s="1"/>
  <c r="AC3" i="73" a="1"/>
  <c r="AC3" i="73" s="1"/>
  <c r="AG6" i="73" a="1"/>
  <c r="AG6" i="73" s="1"/>
  <c r="AA6" i="73" a="1"/>
  <c r="AA6" i="73" s="1"/>
  <c r="X6" i="73" a="1"/>
  <c r="X6" i="73" s="1"/>
  <c r="AF6" i="73" a="1"/>
  <c r="AF6" i="73" s="1"/>
  <c r="W9" i="73" a="1"/>
  <c r="W9" i="73" s="1"/>
  <c r="W7" i="73" a="1"/>
  <c r="W7" i="73" s="1"/>
  <c r="Z10" i="73" a="1"/>
  <c r="Z10" i="73" s="1"/>
  <c r="AI9" i="73" a="1"/>
  <c r="AI9" i="73" s="1"/>
  <c r="R9" i="73" a="1"/>
  <c r="R9" i="73" s="1"/>
  <c r="AF9" i="73" a="1"/>
  <c r="AF9" i="73" s="1"/>
  <c r="Y9" i="73" a="1"/>
  <c r="Y9" i="73" s="1"/>
  <c r="T9" i="73" a="1"/>
  <c r="T9" i="73" s="1"/>
  <c r="Q8" i="73" a="1"/>
  <c r="Q8" i="73" s="1"/>
  <c r="T8" i="73" a="1"/>
  <c r="T8" i="73" s="1"/>
  <c r="AB8" i="73" a="1"/>
  <c r="AB8" i="73" s="1"/>
  <c r="S4" i="73" a="1"/>
  <c r="S4" i="73" s="1"/>
  <c r="AA4" i="73" a="1"/>
  <c r="AA4" i="73" s="1"/>
  <c r="AD4" i="73" a="1"/>
  <c r="AD4" i="73" s="1"/>
  <c r="AI7" i="73" a="1"/>
  <c r="AI7" i="73" s="1"/>
  <c r="AA7" i="73" a="1"/>
  <c r="AA7" i="73" s="1"/>
  <c r="Y7" i="73" a="1"/>
  <c r="Y7" i="73" s="1"/>
  <c r="AH10" i="73" a="1"/>
  <c r="AH10" i="73" s="1"/>
  <c r="V10" i="73" a="1"/>
  <c r="V10" i="73" s="1"/>
  <c r="AB10" i="73" a="1"/>
  <c r="AB10" i="73" s="1"/>
  <c r="S10" i="73" a="1"/>
  <c r="S10" i="73" s="1"/>
  <c r="AA10" i="73" a="1"/>
  <c r="AA10" i="73" s="1"/>
  <c r="R11" i="73" a="1"/>
  <c r="R11" i="73" s="1"/>
  <c r="AJ11" i="73" a="1"/>
  <c r="AJ11" i="73" s="1"/>
  <c r="S11" i="73" a="1"/>
  <c r="S11" i="73" s="1"/>
  <c r="AH11" i="73" a="1"/>
  <c r="AH11" i="73" s="1"/>
  <c r="W11" i="73" a="1"/>
  <c r="W11" i="73" s="1"/>
  <c r="U2" i="73" a="1"/>
  <c r="U2" i="73" s="1"/>
  <c r="AE2" i="73" a="1"/>
  <c r="AE2" i="73" s="1"/>
  <c r="T2" i="73" a="1"/>
  <c r="T2" i="73" s="1"/>
  <c r="AB2" i="73" a="1"/>
  <c r="AB2" i="73" s="1"/>
  <c r="AH5" i="73" a="1"/>
  <c r="AH5" i="73" s="1"/>
  <c r="AB5" i="73" a="1"/>
  <c r="AB5" i="73" s="1"/>
  <c r="AA5" i="73" a="1"/>
  <c r="AA5" i="73" s="1"/>
  <c r="T3" i="73" a="1"/>
  <c r="T3" i="73" s="1"/>
  <c r="AH3" i="73" a="1"/>
  <c r="AH3" i="73" s="1"/>
  <c r="V3" i="73" a="1"/>
  <c r="V3" i="73" s="1"/>
  <c r="W3" i="73" a="1"/>
  <c r="W3" i="73" s="1"/>
  <c r="R6" i="73" a="1"/>
  <c r="R6" i="73" s="1"/>
  <c r="Z6" i="73" a="1"/>
  <c r="Z6" i="73" s="1"/>
  <c r="U2" i="71" a="1"/>
  <c r="U2" i="71" s="1"/>
  <c r="AG6" i="71" a="1"/>
  <c r="AG6" i="71" s="1"/>
  <c r="AB5" i="71" a="1"/>
  <c r="AB5" i="71" s="1"/>
  <c r="R10" i="71" a="1"/>
  <c r="R10" i="71" s="1"/>
  <c r="U9" i="71" a="1"/>
  <c r="U9" i="71" s="1"/>
  <c r="AD7" i="71" a="1"/>
  <c r="AD7" i="71" s="1"/>
  <c r="R11" i="71" a="1"/>
  <c r="R11" i="71" s="1"/>
  <c r="Z3" i="71" a="1"/>
  <c r="Z3" i="71" s="1"/>
  <c r="AE4" i="71" a="1"/>
  <c r="AE4" i="71" s="1"/>
  <c r="S8" i="71" a="1"/>
  <c r="S8" i="71" s="1"/>
  <c r="AA2" i="71" a="1"/>
  <c r="AA2" i="71" s="1"/>
  <c r="T6" i="71" a="1"/>
  <c r="T6" i="71" s="1"/>
  <c r="X5" i="71" a="1"/>
  <c r="X5" i="71" s="1"/>
  <c r="Q10" i="71" a="1"/>
  <c r="Q10" i="71" s="1"/>
  <c r="AE9" i="71" a="1"/>
  <c r="AE9" i="71" s="1"/>
  <c r="S7" i="71" a="1"/>
  <c r="S7" i="71" s="1"/>
  <c r="T11" i="71" a="1"/>
  <c r="T11" i="71" s="1"/>
  <c r="AE3" i="71" a="1"/>
  <c r="AE3" i="71" s="1"/>
  <c r="Q4" i="71" a="1"/>
  <c r="Q4" i="71" s="1"/>
  <c r="T8" i="71" a="1"/>
  <c r="T8" i="71" s="1"/>
  <c r="W10" i="71" a="1"/>
  <c r="W10" i="71" s="1"/>
  <c r="Z10" i="71" a="1"/>
  <c r="Z10" i="71" s="1"/>
  <c r="AJ9" i="71" a="1"/>
  <c r="AJ9" i="71" s="1"/>
  <c r="X9" i="71" a="1"/>
  <c r="X9" i="71" s="1"/>
  <c r="AG7" i="71" a="1"/>
  <c r="AG7" i="71" s="1"/>
  <c r="AA6" i="71" a="1"/>
  <c r="AA6" i="71" s="1"/>
  <c r="AJ6" i="71" a="1"/>
  <c r="AJ6" i="71" s="1"/>
  <c r="V6" i="71" a="1"/>
  <c r="V6" i="71" s="1"/>
  <c r="Z5" i="71" a="1"/>
  <c r="Z5" i="71" s="1"/>
  <c r="S11" i="71" a="1"/>
  <c r="S11" i="71" s="1"/>
  <c r="AB11" i="71" a="1"/>
  <c r="AB11" i="71" s="1"/>
  <c r="AE2" i="71" a="1"/>
  <c r="AE2" i="71" s="1"/>
  <c r="AH2" i="71" a="1"/>
  <c r="AH2" i="71" s="1"/>
  <c r="S2" i="71" a="1"/>
  <c r="S2" i="71" s="1"/>
  <c r="AC3" i="71" a="1"/>
  <c r="AC3" i="71" s="1"/>
  <c r="Y4" i="71" a="1"/>
  <c r="Y4" i="71" s="1"/>
  <c r="S4" i="71" a="1"/>
  <c r="S4" i="71" s="1"/>
  <c r="AB4" i="71" a="1"/>
  <c r="AB4" i="71" s="1"/>
  <c r="Z8" i="71" a="1"/>
  <c r="Z8" i="71" s="1"/>
  <c r="AJ8" i="71" a="1"/>
  <c r="AJ8" i="71" s="1"/>
  <c r="V8" i="71" a="1"/>
  <c r="V8" i="71" s="1"/>
  <c r="X8" i="71" a="1"/>
  <c r="X8" i="71" s="1"/>
  <c r="AB10" i="71" a="1"/>
  <c r="AB10" i="71" s="1"/>
  <c r="AG10" i="71" a="1"/>
  <c r="AG10" i="71" s="1"/>
  <c r="AI10" i="71" a="1"/>
  <c r="AI10" i="71" s="1"/>
  <c r="S10" i="71" a="1"/>
  <c r="S10" i="71" s="1"/>
  <c r="U10" i="71" a="1"/>
  <c r="U10" i="71" s="1"/>
  <c r="AH9" i="71" a="1"/>
  <c r="AH9" i="71" s="1"/>
  <c r="AG9" i="71" a="1"/>
  <c r="AG9" i="71" s="1"/>
  <c r="AI9" i="71" a="1"/>
  <c r="AI9" i="71" s="1"/>
  <c r="S9" i="71" a="1"/>
  <c r="S9" i="71" s="1"/>
  <c r="AC7" i="71" a="1"/>
  <c r="AC7" i="71" s="1"/>
  <c r="W7" i="71" a="1"/>
  <c r="W7" i="71" s="1"/>
  <c r="AB7" i="71" a="1"/>
  <c r="AB7" i="71" s="1"/>
  <c r="AI6" i="71" a="1"/>
  <c r="AI6" i="71" s="1"/>
  <c r="Z6" i="71" a="1"/>
  <c r="Z6" i="71" s="1"/>
  <c r="AE6" i="71" a="1"/>
  <c r="AE6" i="71" s="1"/>
  <c r="AD5" i="71" a="1"/>
  <c r="AD5" i="71" s="1"/>
  <c r="V5" i="71" a="1"/>
  <c r="V5" i="71" s="1"/>
  <c r="U5" i="71" a="1"/>
  <c r="U5" i="71" s="1"/>
  <c r="W5" i="71" a="1"/>
  <c r="W5" i="71" s="1"/>
  <c r="U11" i="71" a="1"/>
  <c r="U11" i="71" s="1"/>
  <c r="AC11" i="71" a="1"/>
  <c r="AC11" i="71" s="1"/>
  <c r="W11" i="71" a="1"/>
  <c r="W11" i="71" s="1"/>
  <c r="Z11" i="71" a="1"/>
  <c r="Z11" i="71" s="1"/>
  <c r="AJ2" i="71" a="1"/>
  <c r="AJ2" i="71" s="1"/>
  <c r="V2" i="71" a="1"/>
  <c r="V2" i="71" s="1"/>
  <c r="AB2" i="71" a="1"/>
  <c r="AB2" i="71" s="1"/>
  <c r="Y2" i="71" a="1"/>
  <c r="Y2" i="71" s="1"/>
  <c r="T2" i="71" a="1"/>
  <c r="T2" i="71" s="1"/>
  <c r="Y3" i="71" a="1"/>
  <c r="Y3" i="71" s="1"/>
  <c r="AB3" i="71" a="1"/>
  <c r="AB3" i="71" s="1"/>
  <c r="V3" i="71" a="1"/>
  <c r="V3" i="71" s="1"/>
  <c r="X3" i="71" a="1"/>
  <c r="X3" i="71" s="1"/>
  <c r="AG4" i="71" a="1"/>
  <c r="AG4" i="71" s="1"/>
  <c r="AF4" i="71" a="1"/>
  <c r="AF4" i="71" s="1"/>
  <c r="AH4" i="71" a="1"/>
  <c r="AH4" i="71" s="1"/>
  <c r="R4" i="71" a="1"/>
  <c r="R4" i="71" s="1"/>
  <c r="W4" i="71" a="1"/>
  <c r="W4" i="71" s="1"/>
  <c r="U8" i="71" a="1"/>
  <c r="U8" i="71" s="1"/>
  <c r="AE8" i="71" a="1"/>
  <c r="AE8" i="71" s="1"/>
  <c r="AG8" i="71" a="1"/>
  <c r="AG8" i="71" s="1"/>
  <c r="AI8" i="71" a="1"/>
  <c r="AI8" i="71" s="1"/>
  <c r="V10" i="71" a="1"/>
  <c r="V10" i="71" s="1"/>
  <c r="Z9" i="71" a="1"/>
  <c r="Z9" i="71" s="1"/>
  <c r="T9" i="71" a="1"/>
  <c r="T9" i="71" s="1"/>
  <c r="U7" i="71" a="1"/>
  <c r="U7" i="71" s="1"/>
  <c r="AI7" i="71" a="1"/>
  <c r="AI7" i="71" s="1"/>
  <c r="AC6" i="71" a="1"/>
  <c r="AC6" i="71" s="1"/>
  <c r="AI5" i="71" a="1"/>
  <c r="AI5" i="71" s="1"/>
  <c r="AG5" i="71" a="1"/>
  <c r="AG5" i="71" s="1"/>
  <c r="AE11" i="71" a="1"/>
  <c r="AE11" i="71" s="1"/>
  <c r="Z2" i="71" a="1"/>
  <c r="Z2" i="71" s="1"/>
  <c r="T3" i="71" a="1"/>
  <c r="T3" i="71" s="1"/>
  <c r="AA3" i="71" a="1"/>
  <c r="AA3" i="71" s="1"/>
  <c r="AI4" i="71" a="1"/>
  <c r="AI4" i="71" s="1"/>
  <c r="U4" i="71" a="1"/>
  <c r="U4" i="71" s="1"/>
  <c r="Q6" i="71" a="1"/>
  <c r="Q6" i="71" s="1"/>
  <c r="Q5" i="71" a="1"/>
  <c r="Q5" i="71" s="1"/>
  <c r="Q9" i="71" a="1"/>
  <c r="Q9" i="71" s="1"/>
  <c r="Q7" i="71" a="1"/>
  <c r="Q7" i="71" s="1"/>
  <c r="Q11" i="71" a="1"/>
  <c r="Q11" i="71" s="1"/>
  <c r="Q3" i="71" a="1"/>
  <c r="Q3" i="71" s="1"/>
  <c r="Q8" i="71" a="1"/>
  <c r="Q8" i="71" s="1"/>
  <c r="AE10" i="71" a="1"/>
  <c r="AE10" i="71" s="1"/>
  <c r="AD10" i="71" a="1"/>
  <c r="AD10" i="71" s="1"/>
  <c r="AF10" i="71" a="1"/>
  <c r="AF10" i="71" s="1"/>
  <c r="AH10" i="71" a="1"/>
  <c r="AH10" i="71" s="1"/>
  <c r="W9" i="71" a="1"/>
  <c r="W9" i="71" s="1"/>
  <c r="AB9" i="71" a="1"/>
  <c r="AB9" i="71" s="1"/>
  <c r="AD9" i="71" a="1"/>
  <c r="AD9" i="71" s="1"/>
  <c r="AF9" i="71" a="1"/>
  <c r="AF9" i="71" s="1"/>
  <c r="X7" i="71" a="1"/>
  <c r="X7" i="71" s="1"/>
  <c r="AH7" i="71" a="1"/>
  <c r="AH7" i="71" s="1"/>
  <c r="R7" i="71" a="1"/>
  <c r="R7" i="71" s="1"/>
  <c r="Y7" i="71" a="1"/>
  <c r="Y7" i="71" s="1"/>
  <c r="AA7" i="71" a="1"/>
  <c r="AA7" i="71" s="1"/>
  <c r="S6" i="71" a="1"/>
  <c r="S6" i="71" s="1"/>
  <c r="X6" i="71" a="1"/>
  <c r="X6" i="71" s="1"/>
  <c r="U6" i="71" a="1"/>
  <c r="U6" i="71" s="1"/>
  <c r="AB6" i="71" a="1"/>
  <c r="AB6" i="71" s="1"/>
  <c r="AD6" i="71" a="1"/>
  <c r="AD6" i="71" s="1"/>
  <c r="S5" i="71" a="1"/>
  <c r="S5" i="71" s="1"/>
  <c r="AF5" i="71" a="1"/>
  <c r="AF5" i="71" s="1"/>
  <c r="AH5" i="71" a="1"/>
  <c r="AH5" i="71" s="1"/>
  <c r="R5" i="71" a="1"/>
  <c r="R5" i="71" s="1"/>
  <c r="Y5" i="71" a="1"/>
  <c r="Y5" i="71" s="1"/>
  <c r="AI11" i="71" a="1"/>
  <c r="AI11" i="71" s="1"/>
  <c r="AG11" i="71" a="1"/>
  <c r="AG11" i="71" s="1"/>
  <c r="AJ11" i="71" a="1"/>
  <c r="AJ11" i="71" s="1"/>
  <c r="X11" i="71" a="1"/>
  <c r="X11" i="71" s="1"/>
  <c r="AH11" i="71" a="1"/>
  <c r="AH11" i="71" s="1"/>
  <c r="AG2" i="71" a="1"/>
  <c r="AG2" i="71" s="1"/>
  <c r="AI2" i="71" a="1"/>
  <c r="AI2" i="71" s="1"/>
  <c r="X2" i="71" a="1"/>
  <c r="X2" i="71" s="1"/>
  <c r="W2" i="71" a="1"/>
  <c r="W2" i="71" s="1"/>
  <c r="R2" i="71" a="1"/>
  <c r="R2" i="71" s="1"/>
  <c r="AG3" i="71" a="1"/>
  <c r="AG3" i="71" s="1"/>
  <c r="AI3" i="71" a="1"/>
  <c r="AI3" i="71" s="1"/>
  <c r="S3" i="71" a="1"/>
  <c r="S3" i="71" s="1"/>
  <c r="U3" i="71" a="1"/>
  <c r="U3" i="71" s="1"/>
  <c r="W3" i="71" a="1"/>
  <c r="W3" i="71" s="1"/>
  <c r="V4" i="71" a="1"/>
  <c r="V4" i="71" s="1"/>
  <c r="AA4" i="71" a="1"/>
  <c r="AA4" i="71" s="1"/>
  <c r="AC4" i="71" a="1"/>
  <c r="AC4" i="71" s="1"/>
  <c r="AJ4" i="71" a="1"/>
  <c r="AJ4" i="71" s="1"/>
  <c r="T4" i="71" a="1"/>
  <c r="T4" i="71" s="1"/>
  <c r="AC8" i="71" a="1"/>
  <c r="AC8" i="71" s="1"/>
  <c r="AB8" i="71" a="1"/>
  <c r="AB8" i="71" s="1"/>
  <c r="AD8" i="71" a="1"/>
  <c r="AD8" i="71" s="1"/>
  <c r="AF8" i="71" a="1"/>
  <c r="AF8" i="71" s="1"/>
  <c r="T10" i="71" a="1"/>
  <c r="T10" i="71" s="1"/>
  <c r="X10" i="71" a="1"/>
  <c r="X10" i="71" s="1"/>
  <c r="V9" i="71" a="1"/>
  <c r="V9" i="71" s="1"/>
  <c r="Z7" i="71" a="1"/>
  <c r="Z7" i="71" s="1"/>
  <c r="AJ10" i="71" a="1"/>
  <c r="AJ10" i="71" s="1"/>
  <c r="Y10" i="71" a="1"/>
  <c r="Y10" i="71" s="1"/>
  <c r="AA10" i="71" a="1"/>
  <c r="AA10" i="71" s="1"/>
  <c r="AC10" i="71" a="1"/>
  <c r="AC10" i="71" s="1"/>
  <c r="R9" i="71" a="1"/>
  <c r="R9" i="71" s="1"/>
  <c r="Y9" i="71" a="1"/>
  <c r="Y9" i="71" s="1"/>
  <c r="AA9" i="71" a="1"/>
  <c r="AA9" i="71" s="1"/>
  <c r="AC9" i="71" a="1"/>
  <c r="AC9" i="71" s="1"/>
  <c r="AF7" i="71" a="1"/>
  <c r="AF7" i="71" s="1"/>
  <c r="AE7" i="71" a="1"/>
  <c r="AE7" i="71" s="1"/>
  <c r="AJ7" i="71" a="1"/>
  <c r="AJ7" i="71" s="1"/>
  <c r="T7" i="71" a="1"/>
  <c r="T7" i="71" s="1"/>
  <c r="V7" i="71" a="1"/>
  <c r="V7" i="71" s="1"/>
  <c r="AF6" i="71" a="1"/>
  <c r="AF6" i="71" s="1"/>
  <c r="AH6" i="71" a="1"/>
  <c r="AH6" i="71" s="1"/>
  <c r="R6" i="71" a="1"/>
  <c r="R6" i="71" s="1"/>
  <c r="W6" i="71" a="1"/>
  <c r="W6" i="71" s="1"/>
  <c r="Y6" i="71" a="1"/>
  <c r="Y6" i="71" s="1"/>
  <c r="AA5" i="71" a="1"/>
  <c r="AA5" i="71" s="1"/>
  <c r="AC5" i="71" a="1"/>
  <c r="AC5" i="71" s="1"/>
  <c r="AE5" i="71" a="1"/>
  <c r="AE5" i="71" s="1"/>
  <c r="AJ5" i="71" a="1"/>
  <c r="AJ5" i="71" s="1"/>
  <c r="T5" i="71" a="1"/>
  <c r="T5" i="71" s="1"/>
  <c r="AA11" i="71" a="1"/>
  <c r="AA11" i="71" s="1"/>
  <c r="Y11" i="71" a="1"/>
  <c r="Y11" i="71" s="1"/>
  <c r="AF11" i="71" a="1"/>
  <c r="AF11" i="71" s="1"/>
  <c r="V11" i="71" a="1"/>
  <c r="V11" i="71" s="1"/>
  <c r="AD11" i="71" a="1"/>
  <c r="AD11" i="71" s="1"/>
  <c r="AD2" i="71" a="1"/>
  <c r="AD2" i="71" s="1"/>
  <c r="AF2" i="71" a="1"/>
  <c r="AF2" i="71" s="1"/>
  <c r="AC2" i="71" a="1"/>
  <c r="AC2" i="71" s="1"/>
  <c r="AJ3" i="71" a="1"/>
  <c r="AJ3" i="71" s="1"/>
  <c r="AD3" i="71" a="1"/>
  <c r="AD3" i="71" s="1"/>
  <c r="AF3" i="71" a="1"/>
  <c r="AF3" i="71" s="1"/>
  <c r="AH3" i="71" a="1"/>
  <c r="AH3" i="71" s="1"/>
  <c r="R3" i="71" a="1"/>
  <c r="R3" i="71" s="1"/>
  <c r="AD4" i="71" a="1"/>
  <c r="AD4" i="71" s="1"/>
  <c r="X4" i="71" a="1"/>
  <c r="X4" i="71" s="1"/>
  <c r="Z4" i="71" a="1"/>
  <c r="Z4" i="71" s="1"/>
  <c r="AH8" i="71" a="1"/>
  <c r="AH8" i="71" s="1"/>
  <c r="R8" i="71" a="1"/>
  <c r="R8" i="71" s="1"/>
  <c r="W8" i="71" a="1"/>
  <c r="W8" i="71" s="1"/>
  <c r="Y8" i="71" a="1"/>
  <c r="Y8" i="71" s="1"/>
  <c r="AA8" i="71" a="1"/>
  <c r="AA8" i="71" s="1"/>
  <c r="Q2" i="71" a="1"/>
  <c r="Q2" i="7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<sst xmlns="http://schemas.openxmlformats.org/spreadsheetml/2006/main" count="1812" uniqueCount="165">
  <si>
    <t>HOIpTP Health Outcome Incidence per Ton Pollutant</t>
  </si>
  <si>
    <t>Source:</t>
  </si>
  <si>
    <t>U.S. Environmental Protection Agency</t>
  </si>
  <si>
    <t>https://www.epa.gov/sites/production/files/2018-02/documents/sourceapportionmentbpttsd_2018.pdf</t>
  </si>
  <si>
    <t>Appendix, Even-Numbered Tables 2 through 136</t>
  </si>
  <si>
    <t>Technical Support Document: Estimating the Benefit per Ton of Reducing PM2.5 Precursors from 17 Sectors</t>
  </si>
  <si>
    <t>Lepeule et al. (2012)</t>
  </si>
  <si>
    <t>Morbidity</t>
  </si>
  <si>
    <t>Premature mortality</t>
  </si>
  <si>
    <t>NOx</t>
  </si>
  <si>
    <t>SO2</t>
  </si>
  <si>
    <t>Pollutant emitted</t>
  </si>
  <si>
    <t>Health Endpoint</t>
  </si>
  <si>
    <t>Krewski et al. (2009)</t>
  </si>
  <si>
    <t>Respiratory emergency room visits</t>
  </si>
  <si>
    <t>Acute bronchitis</t>
  </si>
  <si>
    <t>Lower respiratory symptoms</t>
  </si>
  <si>
    <t>Upper respiratory symptoms</t>
  </si>
  <si>
    <t>Work loss days</t>
  </si>
  <si>
    <t>Asthma exacerbation</t>
  </si>
  <si>
    <t>Cardiovascular hospital admissions</t>
  </si>
  <si>
    <t>Respiratory hospital admissions</t>
  </si>
  <si>
    <t>Non-fatal heart attacks (Peters)</t>
  </si>
  <si>
    <t>Non-fatal heart attacks (All others)</t>
  </si>
  <si>
    <t>Table 110: Incidence of avoided mortalities and morbidities per ton of directly emitted PM2.5 and PM2.5 precursors reduced in 2030 from the coke ovens sector</t>
  </si>
  <si>
    <t>Table 108: Incidence of avoided mortalities and morbidities per ton of directly emitted PM2.5 and PM2.5 precursors reduced in 2030 from the refineries sector</t>
  </si>
  <si>
    <t>Table 76: Incidence of avoided mortalities and morbidities per ton of directly emitted PM2.5 and PM2.5 precursors reduced in 2025 from the coke ovens sector</t>
  </si>
  <si>
    <t>Table 74: Incidence of avoided mortalities and morbidities per ton of directly emitted PM2.5 and PM2.5 precursors reduced in 2025 from the refineries sector</t>
  </si>
  <si>
    <t>Table 42: Incidence of avoided mortalities and morbidities per ton of directly emitted PM2.5 and PM2.5 precursors reduced in 2020 from the coke ovens sector</t>
  </si>
  <si>
    <t>Table 40: Incidence of avoided mortalities and morbidities per ton of directly emitted PM2.5 and PM2.5 precursors reduced in 2020 from the refineries sector</t>
  </si>
  <si>
    <t>Table 8: Incidence of avoided mortalities and morbidities per ton of directly emitted PM2.5 and PM2.5 precursors reduced in 2016 from the coke ovens sector</t>
  </si>
  <si>
    <t>Table 6: Incidence of avoided mortalities and morbidities per ton of directly emitted PM2.5 and PM2.5 precursors reduced in 2016 from the refineries sector</t>
  </si>
  <si>
    <r>
      <rPr>
        <i/>
        <sz val="11"/>
        <rFont val="Calibri"/>
        <family val="2"/>
        <scheme val="minor"/>
      </rPr>
      <t>Directly emitted PM2.5</t>
    </r>
  </si>
  <si>
    <t>Table 2: Incidence of avoided mortalities and morbidities per ton of directly emitted PM2.5 and PM2.5 precursors reduced in 2016 from the cement kilns sector</t>
  </si>
  <si>
    <t>Table 4: Incidence of avoided mortalities and morbidities per ton of directly emitted PM2.5 and PM2.5 precursors reduced in 2016 from the pulp and paper facilities sector</t>
  </si>
  <si>
    <t>Table 10: Incidence of avoided mortalities and morbidities per ton of directly emitted PM2.5 and PM2.5 precursors reduced in 2016 from the iron and steel facilities sector</t>
  </si>
  <si>
    <t>Table 12: Incidence of avoided mortalities and morbidities per ton of directly emitted PM2.5 and PM2.5 precursors reduced in 2016 from the integrated iron and steel facilities sector</t>
  </si>
  <si>
    <t>Table 14: Incidence of avoided mortalities and morbidities per ton of directly emitted PM2.5 and PM2.5 precursors reduced in 2016 from the electric arc furnaces sector</t>
  </si>
  <si>
    <t>Table 16: Incidence of avoided mortalities and morbidities per ton of directly emitted PM2.5 and PM2.5 precursors reduced in 2016 from the taconite mines sector</t>
  </si>
  <si>
    <t>Table 18: Incidence of avoided mortalities and morbidities per ton of directly emitted PM2.5 and PM2.5 precursors reduced in 2016 from the ferroalloy facilities sector</t>
  </si>
  <si>
    <t>Table 20: Incidence of avoided mortalities and morbidities per ton of directly emitted PM2.5 and PM2.5 precursors reduced in 2016 from the residential wood combustion sector</t>
  </si>
  <si>
    <t>Table 22: Incidence of avoided mortalities and morbidities per ton of directly emitted PM2.5 and PM2.5 precursors reduced in 2016 from the area sources sector</t>
  </si>
  <si>
    <t>Table 24: Incidence of avoided mortalities and morbidities per ton of directly emitted PM2.5 and PM2.5 precursors reduced in 2016 from the industrial point sources sector</t>
  </si>
  <si>
    <t>Table 26: Incidence of avoided mortalities and morbidities per ton of directly emitted PM2.5 and PM2.5 precursors reduced in 2016 from the aircraft, locomotives and marine vessels sector</t>
  </si>
  <si>
    <t>Table 28: Incidence of avoided mortalities and morbidities per ton of directly emitted PM2.5 and PM2.5 precursors reduced in 2016 from the non-road mobile sources sector</t>
  </si>
  <si>
    <t>Table 30: Incidence of avoided mortalities and morbidities per ton of directly emitted PM2.5 and PM2.5 precursors reduced in 2016 from the on-road mobile sources sector</t>
  </si>
  <si>
    <t>Table 32: Incidence of avoided mortalities and morbidities per ton of directly emitted PM2.5 and PM2.5 precursors reduced in 2016 from the electricity generating units sector</t>
  </si>
  <si>
    <t>Table 34: Incidence of avoided mortalities and morbidities per ton of directly emitted PM2.5 and PM2.5 precursors reduced in 2016 from the ocean-going vessels sector</t>
  </si>
  <si>
    <t>Table 36: Incidence of avoided mortalities and morbidities per ton of directly emitted PM2.5 and PM2.5 precursors reduced in 2020 from the cement kilns sector</t>
  </si>
  <si>
    <t>Table 38: Incidence of avoided mortalities and morbidities per ton of directly emitted PM2.5 and PM2.5 precursors reduced in 2020 from the pulp and paper facilities sector</t>
  </si>
  <si>
    <t>Table 44: Incidence of avoided mortalities and morbidities per ton of directly emitted PM2.5 and PM2.5 precursors reduced in 2020 from the iron and steel facilities sector</t>
  </si>
  <si>
    <t>Table 46: Incidence of avoided mortalities and morbidities per ton of directly emitted PM2.5 and PM2.5 precursors reduced in 2020 from the integrated iron and steel facilities sector</t>
  </si>
  <si>
    <t>Table 48: Incidence of avoided mortalities and morbidities per ton of directly emitted PM2.5 and PM2.5 precursors reduced in 2020 from the electric arc furnaces sector</t>
  </si>
  <si>
    <t>Table 50: Incidence of avoided mortalities and morbidities per ton of directly emitted PM2.5 and PM2.5 precursors reduced in 2020 from the taconite mines sector</t>
  </si>
  <si>
    <t>Table 52: Incidence of avoided mortalities and morbidities per ton of directly emitted PM2.5 and PM2.5 precursors reduced in 2020 from the ferroalloy facilities sector</t>
  </si>
  <si>
    <t>Table 54: Incidence of avoided mortalities and morbidities per ton of directly emitted PM2.5 and PM2.5 precursors reduced in 2020 from the residential wood combustion sector</t>
  </si>
  <si>
    <t>Table 56: Incidence of avoided mortalities and morbidities per ton of directly emitted PM2.5 and PM2.5 precursors reduced in 2020 from the area sources sector</t>
  </si>
  <si>
    <t>Table 58: Incidence of avoided mortalities and morbidities per ton of directly emitted PM2.5 and PM2.5 precursors reduced in 2020 from the industrial point sources sector</t>
  </si>
  <si>
    <t>Table 60: Incidence of avoided mortalities and morbidities per ton of directly emitted PM2.5 and PM2.5 precursors reduced in 2020 from the aircraft, locomotives and marine vessels sector</t>
  </si>
  <si>
    <t>Table 62: Incidence of avoided mortalities and morbidities per ton of directly emitted PM2.5 and PM2.5 precursors reduced in 2020 from the non-road mobile sources sector</t>
  </si>
  <si>
    <t>Table 64: Incidence of avoided mortalities and morbidities per ton of directly emitted PM2.5 and PM2.5 precursors reduced in 2020 from the on-road mobile sources sector</t>
  </si>
  <si>
    <t>Table 66: Incidence of avoided mortalities and morbidities per ton of directly emitted PM2.5 and PM2.5 precursors reduced in 2020 from the electricity generating units sector</t>
  </si>
  <si>
    <t>Table 68: Incidence of avoided mortalities and morbidities per ton of directly emitted PM2.5 and PM2.5 precursors reduced in 2020 from the ocean-going vessels sector</t>
  </si>
  <si>
    <t>Table 70: Incidence of avoided mortalities and morbidities per ton of directly emitted PM2.5 and PM2.5 precursors reduced in 2025 from the cement kilns sector</t>
  </si>
  <si>
    <t>Table 72: Incidence of avoided mortalities and morbidities per ton of directly emitted PM2.5 and PM2.5 precursors reduced in 2025 from the pulp and paper facilities sector</t>
  </si>
  <si>
    <t>Table 78: Incidence of avoided mortalities and morbidities per ton of directly emitted PM2.5 and PM2.5 precursors reduced in 2025 from the iron and steel facilities sector</t>
  </si>
  <si>
    <t>Table 80: Incidence of avoided mortalities and morbidities per ton of directly emitted PM2.5 and PM2.5 precursors reduced in 2025 from the integrated iron and steel facilities sector</t>
  </si>
  <si>
    <t>Table 82: Incidence of avoided mortalities and morbidities per ton of directly emitted PM2.5 and PM2.5 precursors reduced in 2025 from the electric arc furnaces sector</t>
  </si>
  <si>
    <t>Table 84: Incidence of avoided mortalities and morbidities per ton of directly emitted PM2.5 and PM2.5 precursors reduced in 2025 from the taconite mines sector</t>
  </si>
  <si>
    <t>Table 86: Incidence of avoided mortalities and morbidities per ton of directly emitted PM2.5 and PM2.5 precursors reduced in 2025 from the ferroalloy facilities sector</t>
  </si>
  <si>
    <t>Table 88: Incidence of avoided mortalities and morbidities per ton of directly emitted PM2.5 and PM2.5 precursors reduced in 2025 from the residential wood combustion sector</t>
  </si>
  <si>
    <t>Table 90: Incidence of avoided mortalities and morbidities per ton of directly emitted PM2.5 and PM2.5 precursors reduced in 2025 from the area sources sector</t>
  </si>
  <si>
    <t>Table 92: Incidence of avoided mortalities and morbidities per ton of directly emitted PM2.5 and PM2.5 precursors reduced in 2025 from the industrial point sources sector</t>
  </si>
  <si>
    <t>Table 94: Incidence of avoided mortalities and morbidities per ton of directly emitted PM2.5 and PM2.5 precursors reduced in 2025 from the aircraft, locomotives and marine vessels sector</t>
  </si>
  <si>
    <t>Table 96: Incidence of avoided mortalities and morbidities per ton of directly emitted PM2.5 and PM2.5 precursors reduced in 2025 from the non-road mobile sources sector</t>
  </si>
  <si>
    <t>Table 98: Incidence of avoided mortalities and morbidities per ton of directly emitted PM2.5 and PM2.5 precursors reduced in 2025 from the on-road mobile sources sector</t>
  </si>
  <si>
    <t>Table 100: Incidence of avoided mortalities and morbidities per ton of directly emitted PM2.5 and PM2.5 precursors reduced in 2025 from the electricity generating units sector</t>
  </si>
  <si>
    <t>Table 102: Incidence of avoided mortalities and morbidities per ton of directly emitted PM2.5 and PM2.5 precursors reduced in 2025 from the ocean-going vessels sector</t>
  </si>
  <si>
    <t>Table 104: Incidence of avoided mortalities and morbidities per ton of directly emitted PM2.5 and PM2.5 precursors reduced in 2030 from the cement kilns sector</t>
  </si>
  <si>
    <t>Table 106: Incidence of avoided mortalities and morbidities per ton of directly emitted PM2.5 and PM2.5 precursors reduced in 2030 from the pulp and paper facilities sector</t>
  </si>
  <si>
    <t>Table 112: Incidence of avoided mortalities and morbidities per ton of directly emitted PM2.5 and PM2.5 precursors reduced in 2030 from the iron and steel facilities sector</t>
  </si>
  <si>
    <t>Table 114: Incidence of avoided mortalities and morbidities per ton of directly emitted PM2.5 and PM2.5 precursors reduced in 2030 from the integrated iron and steel facilities sector</t>
  </si>
  <si>
    <t>Table 116: Incidence of avoided mortalities and morbidities per ton of directly emitted PM2.5 and PM2.5 precursors reduced in 2030 from the electric arc furnaces sector</t>
  </si>
  <si>
    <t>Table 118: Incidence of avoided mortalities and morbidities per ton of directly emitted PM2.5 and PM2.5 precursors reduced in 2030 from the taconite mines sector</t>
  </si>
  <si>
    <t>Table 120: Incidence of avoided mortalities and morbidities per ton of directly emitted PM2.5 and PM2.5 precursors reduced in 2030 from the ferroalloy facilities sector</t>
  </si>
  <si>
    <t>Table 122: Incidence of avoided mortalities and morbidities per ton of directly emitted PM2.5 and PM2.5 precursors reduced in 2030 from the residential wood combustion sector</t>
  </si>
  <si>
    <t>Table 124: Incidence of avoided mortalities and morbidities per ton of directly emitted PM2.5 and PM2.5 precursors reduced in 2030 from the area sources sector</t>
  </si>
  <si>
    <t>Table 126: Incidence of avoided mortalities and morbidities per ton of directly emitted PM2.5 and PM2.5 precursors reduced in 2030 from the industrial point sources sector</t>
  </si>
  <si>
    <t>Table 128: Incidence of avoided mortalities and morbidities per ton of directly emitted PM2.5 and PM2.5 precursors reduced in 2030 from the aircraft, locomotives and marine vessels sector</t>
  </si>
  <si>
    <t>Table 130: Incidence of avoided mortalities and morbidities per ton of directly emitted PM2.5 and PM2.5 precursors reduced in 2030 from the non-road mobile sources sector</t>
  </si>
  <si>
    <t>Table 132: Incidence of avoided mortalities and morbidities per ton of directly emitted PM2.5 and PM2.5 precursors reduced in 2030 from the on-road mobile sources sector</t>
  </si>
  <si>
    <t>Table 134: Incidence of avoided mortalities and morbidities per ton of directly emitted PM2.5 and PM2.5 precursors reduced in 2030 from the electricity generating units sector</t>
  </si>
  <si>
    <t>Table 136: Incidence of avoided mortalities and morbidities per ton of directly emitted PM2.5 and PM2.5 precursors reduced in 2030 from the ocean-going vessels sector</t>
  </si>
  <si>
    <t>Key to Table Numbers</t>
  </si>
  <si>
    <t>Sector</t>
  </si>
  <si>
    <t>cement kilns</t>
  </si>
  <si>
    <t>pulp and paper facilities</t>
  </si>
  <si>
    <t>refineries</t>
  </si>
  <si>
    <t>coke ovens</t>
  </si>
  <si>
    <t>iron and steel facilities</t>
  </si>
  <si>
    <t>integrated iron and steel facilities</t>
  </si>
  <si>
    <t>electric arc furnaces</t>
  </si>
  <si>
    <t>taconite mines</t>
  </si>
  <si>
    <t>ferroalloy facilities</t>
  </si>
  <si>
    <t>residential wood combustion</t>
  </si>
  <si>
    <t>area sources</t>
  </si>
  <si>
    <t>industrial point sources</t>
  </si>
  <si>
    <t>aircraft, locomotives and marine vessels</t>
  </si>
  <si>
    <t>non-road mobile sources</t>
  </si>
  <si>
    <t>on-road mobile sources</t>
  </si>
  <si>
    <t>electricity generating units</t>
  </si>
  <si>
    <t>ocean-going vessels</t>
  </si>
  <si>
    <t>Non-fatal heart attacks</t>
  </si>
  <si>
    <t>sheet name</t>
  </si>
  <si>
    <t>remove prefix</t>
  </si>
  <si>
    <t>sector</t>
  </si>
  <si>
    <t>pollutant</t>
  </si>
  <si>
    <t>Sheet Name Sector Assignments Map</t>
  </si>
  <si>
    <t>transport</t>
  </si>
  <si>
    <t>electricity</t>
  </si>
  <si>
    <t>industry</t>
  </si>
  <si>
    <t>LULUCF</t>
  </si>
  <si>
    <t>EPA source category</t>
  </si>
  <si>
    <t>Pollutant Column Map</t>
  </si>
  <si>
    <t>pollutant column number</t>
  </si>
  <si>
    <t>Data for lookup functions (based on sheet name)</t>
  </si>
  <si>
    <t>D</t>
  </si>
  <si>
    <t>B</t>
  </si>
  <si>
    <t>C</t>
  </si>
  <si>
    <t>Unit: incidents / ton pollutant</t>
  </si>
  <si>
    <t>table number</t>
  </si>
  <si>
    <t>Notes</t>
  </si>
  <si>
    <t>This variable is designed to look up data from any of 68 tables from the EPA source.</t>
  </si>
  <si>
    <t>All blue tabs are identical except for the tab name (i.e. identical formulas in every cell).</t>
  </si>
  <si>
    <t>If you wish to change which EPA source corresponds to which sector, update this</t>
  </si>
  <si>
    <t>on the "Mappings" tab.  Do not change the blue tabs directly.</t>
  </si>
  <si>
    <t>This variable contains data on the number of health-related incidents</t>
  </si>
  <si>
    <t>of various types (premature mortality, hospital ER visits, etc.) that occur</t>
  </si>
  <si>
    <t>or are avoided when emissions of any of three pollutants (PM2.5, Nox, SOx)</t>
  </si>
  <si>
    <t>from any particular sector are increased or decreased by one metric ton.</t>
  </si>
  <si>
    <t>Note that the "electricity" sector incidence rates are also used for the</t>
  </si>
  <si>
    <t>"district heat and hydrogen" sector, the "industry" rates are also used</t>
  </si>
  <si>
    <t>for the "geoengineering" sector, and the "buildings" rates are used</t>
  </si>
  <si>
    <t>for both "residential buildings" and "commercial buildings" sectors</t>
  </si>
  <si>
    <t>in the EPS.</t>
  </si>
  <si>
    <t>The blue tabs' names determine which data (sector and pollutant) to retrieve.</t>
  </si>
  <si>
    <t>Do not reduce the number of significant figures used in the blue tabs of this file.</t>
  </si>
  <si>
    <t>The incidence calculations are rounded in the EPS.</t>
  </si>
  <si>
    <t>buildings</t>
  </si>
  <si>
    <t>Population Exposure Multiplier</t>
  </si>
  <si>
    <t>If you are modeling a non-U.S. region but wish to keep U.S. data for</t>
  </si>
  <si>
    <t>to reflect differences in population exposure between the modeled</t>
  </si>
  <si>
    <t>this variable, you may adjust the following population exposure multiplier</t>
  </si>
  <si>
    <t>region and the U.S.  Regions with lower population also tend to have</t>
  </si>
  <si>
    <t>less land area in which emissions and people are concentrated, so simply</t>
  </si>
  <si>
    <t>If you are uncertain what to put here, you may leave it at 1.</t>
  </si>
  <si>
    <t>ratio of modeled region's population exposure to U.S. population exposure per ton of pollutant</t>
  </si>
  <si>
    <r>
      <t xml:space="preserve">having a smaller population </t>
    </r>
    <r>
      <rPr>
        <b/>
        <sz val="11"/>
        <color theme="1"/>
        <rFont val="Calibri"/>
        <family val="2"/>
        <scheme val="minor"/>
      </rPr>
      <t>does not imply</t>
    </r>
    <r>
      <rPr>
        <sz val="11"/>
        <color theme="1"/>
        <rFont val="Calibri"/>
        <family val="2"/>
        <scheme val="minor"/>
      </rPr>
      <t xml:space="preserve"> the population exposure</t>
    </r>
  </si>
  <si>
    <t>to each ton of emissions is lower than the U.S. average.</t>
  </si>
  <si>
    <t>Other Notes</t>
  </si>
  <si>
    <t>A value above 1 tends to indicate more co-location (clustering) of people and</t>
  </si>
  <si>
    <t>emissions sources, while a value lower than 1 tends to indicate less clustering</t>
  </si>
  <si>
    <t>of people and emissions sources.</t>
  </si>
  <si>
    <t>Minor restricted activity days</t>
  </si>
  <si>
    <t>PM25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</si>
</sst>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 applyAlignment="1">
      <alignment horizontal="left" vertical="top"/>
    </xf>
    <xf numFmtId="0" fontId="6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left" vertical="top" wrapText="1"/>
    </xf>
    <xf numFmtId="0" fontId="5" fillId="0" borderId="2" xfId="2" applyFont="1" applyBorder="1" applyAlignment="1">
      <alignment horizontal="left" wrapText="1"/>
    </xf>
    <xf numFmtId="0" fontId="8" fillId="0" borderId="0" xfId="2" applyFont="1" applyAlignment="1">
      <alignment horizontal="left" vertical="top" wrapText="1" indent="4"/>
    </xf>
    <xf numFmtId="164" fontId="5" fillId="0" borderId="0" xfId="2" applyNumberFormat="1" applyFont="1" applyAlignment="1">
      <alignment horizontal="center" vertical="top" shrinkToFit="1"/>
    </xf>
    <xf numFmtId="0" fontId="7" fillId="0" borderId="0" xfId="2" applyFont="1" applyAlignment="1">
      <alignment horizontal="left" vertical="top" wrapText="1"/>
    </xf>
    <xf numFmtId="0" fontId="5" fillId="0" borderId="0" xfId="2" applyFont="1" applyAlignment="1">
      <alignment horizontal="left" wrapText="1"/>
    </xf>
    <xf numFmtId="164" fontId="5" fillId="0" borderId="1" xfId="2" applyNumberFormat="1" applyFont="1" applyBorder="1" applyAlignment="1">
      <alignment horizontal="center" vertical="top" shrinkToFit="1"/>
    </xf>
    <xf numFmtId="164" fontId="5" fillId="0" borderId="0" xfId="2" applyNumberFormat="1" applyFont="1" applyAlignment="1">
      <alignment horizontal="left" vertical="top" indent="4" shrinkToFit="1"/>
    </xf>
    <xf numFmtId="0" fontId="8" fillId="0" borderId="0" xfId="2" applyFont="1" applyBorder="1" applyAlignment="1">
      <alignment horizontal="left" vertical="top" wrapText="1" indent="4"/>
    </xf>
    <xf numFmtId="0" fontId="7" fillId="0" borderId="0" xfId="2" applyFont="1" applyBorder="1" applyAlignment="1">
      <alignment horizontal="left" vertical="top" wrapText="1"/>
    </xf>
    <xf numFmtId="164" fontId="5" fillId="0" borderId="0" xfId="2" applyNumberFormat="1" applyFont="1" applyAlignment="1">
      <alignment horizontal="left" vertical="top" indent="3" shrinkToFit="1"/>
    </xf>
    <xf numFmtId="0" fontId="8" fillId="0" borderId="1" xfId="2" applyFont="1" applyBorder="1" applyAlignment="1">
      <alignment horizontal="left" vertical="top" wrapText="1" indent="4"/>
    </xf>
    <xf numFmtId="0" fontId="5" fillId="0" borderId="1" xfId="2" applyFont="1" applyBorder="1" applyAlignment="1">
      <alignment horizontal="center" vertical="top" wrapText="1"/>
    </xf>
    <xf numFmtId="164" fontId="5" fillId="0" borderId="0" xfId="2" applyNumberFormat="1" applyFont="1" applyAlignment="1">
      <alignment horizontal="left" vertical="top" indent="2" shrinkToFit="1"/>
    </xf>
    <xf numFmtId="0" fontId="6" fillId="0" borderId="0" xfId="2" applyFont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8" fillId="0" borderId="0" xfId="2" applyFont="1" applyFill="1" applyAlignment="1">
      <alignment horizontal="left" vertical="top" wrapText="1" indent="4"/>
    </xf>
    <xf numFmtId="0" fontId="8" fillId="0" borderId="1" xfId="2" applyFont="1" applyFill="1" applyBorder="1" applyAlignment="1">
      <alignment horizontal="left" vertical="top" wrapText="1" indent="4"/>
    </xf>
    <xf numFmtId="0" fontId="5" fillId="0" borderId="0" xfId="2" applyFont="1" applyFill="1" applyAlignment="1">
      <alignment horizontal="left" vertical="top"/>
    </xf>
    <xf numFmtId="0" fontId="10" fillId="0" borderId="0" xfId="0" applyFont="1" applyAlignment="1">
      <alignment wrapText="1"/>
    </xf>
    <xf numFmtId="0" fontId="0" fillId="0" borderId="3" xfId="0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4" borderId="0" xfId="0" applyNumberFormat="1" applyFill="1"/>
    <xf numFmtId="0" fontId="0" fillId="0" borderId="0" xfId="0" applyNumberFormat="1"/>
    <xf numFmtId="0" fontId="0" fillId="5" borderId="0" xfId="0" applyNumberFormat="1" applyFill="1"/>
    <xf numFmtId="0" fontId="0" fillId="6" borderId="0" xfId="0" applyNumberFormat="1" applyFill="1"/>
    <xf numFmtId="0" fontId="1" fillId="3" borderId="11" xfId="0" applyFont="1" applyFill="1" applyBorder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6" fillId="0" borderId="0" xfId="2" applyFont="1" applyAlignment="1">
      <alignment horizontal="center" vertical="top" wrapText="1"/>
    </xf>
    <xf numFmtId="0" fontId="9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2707323-51DD-4CCA-BD7B-89D77C846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eetMetadata" Target="metadata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sites/production/files/2018-02/documents/sourceapportionmentbpttsd_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12EE-0370-46D8-B25C-90C403A4CDFD}">
  <dimension ref="A1:D43"/>
  <sheetViews>
    <sheetView tabSelected="1" workbookViewId="0"/>
  </sheetViews>
  <sheetFormatPr defaultRowHeight="15" x14ac:dyDescent="0.25"/>
  <sheetData>
    <row r="1" spans="1:4" x14ac:dyDescent="0.25">
      <c r="A1" s="1" t="s">
        <v>0</v>
      </c>
    </row>
    <row r="3" spans="1:4" x14ac:dyDescent="0.25">
      <c r="A3" s="1" t="s">
        <v>1</v>
      </c>
      <c r="B3" t="s">
        <v>2</v>
      </c>
    </row>
    <row r="4" spans="1:4" x14ac:dyDescent="0.25">
      <c r="B4" s="2">
        <v>2018</v>
      </c>
    </row>
    <row r="5" spans="1:4" x14ac:dyDescent="0.25">
      <c r="B5" t="s">
        <v>5</v>
      </c>
    </row>
    <row r="6" spans="1:4" x14ac:dyDescent="0.25">
      <c r="B6" s="3" t="s">
        <v>3</v>
      </c>
    </row>
    <row r="7" spans="1:4" x14ac:dyDescent="0.25">
      <c r="B7" t="s">
        <v>4</v>
      </c>
    </row>
    <row r="9" spans="1:4" x14ac:dyDescent="0.25">
      <c r="A9" s="1" t="s">
        <v>131</v>
      </c>
    </row>
    <row r="10" spans="1:4" x14ac:dyDescent="0.25">
      <c r="A10" t="s">
        <v>136</v>
      </c>
    </row>
    <row r="11" spans="1:4" x14ac:dyDescent="0.25">
      <c r="A11" t="s">
        <v>137</v>
      </c>
    </row>
    <row r="12" spans="1:4" x14ac:dyDescent="0.25">
      <c r="A12" t="s">
        <v>138</v>
      </c>
    </row>
    <row r="13" spans="1:4" x14ac:dyDescent="0.25">
      <c r="A13" t="s">
        <v>139</v>
      </c>
    </row>
    <row r="15" spans="1:4" x14ac:dyDescent="0.25">
      <c r="A15" s="42" t="s">
        <v>149</v>
      </c>
      <c r="B15" s="43"/>
      <c r="C15" s="43"/>
      <c r="D15" s="43"/>
    </row>
    <row r="16" spans="1:4" x14ac:dyDescent="0.25">
      <c r="A16" t="s">
        <v>150</v>
      </c>
    </row>
    <row r="17" spans="1:2" x14ac:dyDescent="0.25">
      <c r="A17" t="s">
        <v>152</v>
      </c>
    </row>
    <row r="18" spans="1:2" x14ac:dyDescent="0.25">
      <c r="A18" t="s">
        <v>151</v>
      </c>
    </row>
    <row r="19" spans="1:2" x14ac:dyDescent="0.25">
      <c r="A19" t="s">
        <v>153</v>
      </c>
    </row>
    <row r="20" spans="1:2" x14ac:dyDescent="0.25">
      <c r="A20" t="s">
        <v>154</v>
      </c>
    </row>
    <row r="21" spans="1:2" x14ac:dyDescent="0.25">
      <c r="A21" t="s">
        <v>157</v>
      </c>
    </row>
    <row r="22" spans="1:2" x14ac:dyDescent="0.25">
      <c r="A22" t="s">
        <v>158</v>
      </c>
    </row>
    <row r="23" spans="1:2" x14ac:dyDescent="0.25">
      <c r="A23" t="s">
        <v>160</v>
      </c>
    </row>
    <row r="24" spans="1:2" x14ac:dyDescent="0.25">
      <c r="A24" t="s">
        <v>161</v>
      </c>
    </row>
    <row r="25" spans="1:2" x14ac:dyDescent="0.25">
      <c r="A25" t="s">
        <v>162</v>
      </c>
    </row>
    <row r="26" spans="1:2" ht="15.75" thickBot="1" x14ac:dyDescent="0.3">
      <c r="A26" t="s">
        <v>155</v>
      </c>
    </row>
    <row r="27" spans="1:2" ht="15.75" thickBot="1" x14ac:dyDescent="0.3">
      <c r="A27" s="41">
        <v>1</v>
      </c>
      <c r="B27" t="s">
        <v>156</v>
      </c>
    </row>
    <row r="29" spans="1:2" x14ac:dyDescent="0.25">
      <c r="A29" s="44" t="s">
        <v>159</v>
      </c>
      <c r="B29" s="45"/>
    </row>
    <row r="30" spans="1:2" x14ac:dyDescent="0.25">
      <c r="A30" t="s">
        <v>132</v>
      </c>
    </row>
    <row r="31" spans="1:2" x14ac:dyDescent="0.25">
      <c r="A31" t="s">
        <v>145</v>
      </c>
    </row>
    <row r="32" spans="1:2" x14ac:dyDescent="0.25">
      <c r="A32" t="s">
        <v>133</v>
      </c>
    </row>
    <row r="33" spans="1:1" x14ac:dyDescent="0.25">
      <c r="A33" s="1" t="s">
        <v>134</v>
      </c>
    </row>
    <row r="34" spans="1:1" x14ac:dyDescent="0.25">
      <c r="A34" s="1" t="s">
        <v>135</v>
      </c>
    </row>
    <row r="36" spans="1:1" x14ac:dyDescent="0.25">
      <c r="A36" t="s">
        <v>140</v>
      </c>
    </row>
    <row r="37" spans="1:1" x14ac:dyDescent="0.25">
      <c r="A37" t="s">
        <v>141</v>
      </c>
    </row>
    <row r="38" spans="1:1" x14ac:dyDescent="0.25">
      <c r="A38" t="s">
        <v>142</v>
      </c>
    </row>
    <row r="39" spans="1:1" x14ac:dyDescent="0.25">
      <c r="A39" t="s">
        <v>143</v>
      </c>
    </row>
    <row r="40" spans="1:1" x14ac:dyDescent="0.25">
      <c r="A40" t="s">
        <v>144</v>
      </c>
    </row>
    <row r="42" spans="1:1" x14ac:dyDescent="0.25">
      <c r="A42" s="1" t="s">
        <v>146</v>
      </c>
    </row>
    <row r="43" spans="1:1" x14ac:dyDescent="0.25">
      <c r="A43" t="s">
        <v>147</v>
      </c>
    </row>
  </sheetData>
  <hyperlinks>
    <hyperlink ref="B6" r:id="rId1" xr:uid="{CEFE1835-A0BF-43D4-BBCD-8BA6A95E4DB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235D-C6D3-4764-ACAC-6B7FC3173A61}">
  <sheetPr>
    <tabColor rgb="FF92D050"/>
  </sheetPr>
  <dimension ref="A1:E31"/>
  <sheetViews>
    <sheetView workbookViewId="0"/>
  </sheetViews>
  <sheetFormatPr defaultRowHeight="15" x14ac:dyDescent="0.25"/>
  <cols>
    <col min="1" max="1" width="39.85546875" customWidth="1"/>
  </cols>
  <sheetData>
    <row r="1" spans="1:5" x14ac:dyDescent="0.25">
      <c r="A1" s="22" t="s">
        <v>93</v>
      </c>
      <c r="B1" s="23"/>
      <c r="C1" s="23"/>
      <c r="D1" s="23"/>
      <c r="E1" s="23"/>
    </row>
    <row r="2" spans="1:5" x14ac:dyDescent="0.25">
      <c r="A2" s="1" t="s">
        <v>94</v>
      </c>
      <c r="B2" s="1">
        <v>2016</v>
      </c>
      <c r="C2" s="1">
        <v>2020</v>
      </c>
      <c r="D2" s="1">
        <v>2025</v>
      </c>
      <c r="E2" s="1">
        <v>2030</v>
      </c>
    </row>
    <row r="3" spans="1:5" x14ac:dyDescent="0.25">
      <c r="A3" t="s">
        <v>95</v>
      </c>
      <c r="B3">
        <v>1</v>
      </c>
      <c r="C3">
        <v>18</v>
      </c>
      <c r="D3">
        <v>35</v>
      </c>
      <c r="E3">
        <v>52</v>
      </c>
    </row>
    <row r="4" spans="1:5" x14ac:dyDescent="0.25">
      <c r="A4" t="s">
        <v>96</v>
      </c>
      <c r="B4">
        <v>2</v>
      </c>
      <c r="C4">
        <v>19</v>
      </c>
      <c r="D4">
        <v>36</v>
      </c>
      <c r="E4">
        <v>53</v>
      </c>
    </row>
    <row r="5" spans="1:5" x14ac:dyDescent="0.25">
      <c r="A5" t="s">
        <v>97</v>
      </c>
      <c r="B5">
        <v>3</v>
      </c>
      <c r="C5">
        <v>20</v>
      </c>
      <c r="D5">
        <v>37</v>
      </c>
      <c r="E5">
        <v>54</v>
      </c>
    </row>
    <row r="6" spans="1:5" x14ac:dyDescent="0.25">
      <c r="A6" t="s">
        <v>98</v>
      </c>
      <c r="B6">
        <v>4</v>
      </c>
      <c r="C6">
        <v>21</v>
      </c>
      <c r="D6">
        <v>38</v>
      </c>
      <c r="E6">
        <v>55</v>
      </c>
    </row>
    <row r="7" spans="1:5" x14ac:dyDescent="0.25">
      <c r="A7" t="s">
        <v>99</v>
      </c>
      <c r="B7">
        <v>5</v>
      </c>
      <c r="C7">
        <v>22</v>
      </c>
      <c r="D7">
        <v>39</v>
      </c>
      <c r="E7">
        <v>56</v>
      </c>
    </row>
    <row r="8" spans="1:5" x14ac:dyDescent="0.25">
      <c r="A8" t="s">
        <v>100</v>
      </c>
      <c r="B8">
        <v>6</v>
      </c>
      <c r="C8">
        <v>23</v>
      </c>
      <c r="D8">
        <v>40</v>
      </c>
      <c r="E8">
        <v>57</v>
      </c>
    </row>
    <row r="9" spans="1:5" x14ac:dyDescent="0.25">
      <c r="A9" t="s">
        <v>101</v>
      </c>
      <c r="B9">
        <v>7</v>
      </c>
      <c r="C9">
        <v>24</v>
      </c>
      <c r="D9">
        <v>41</v>
      </c>
      <c r="E9">
        <v>58</v>
      </c>
    </row>
    <row r="10" spans="1:5" x14ac:dyDescent="0.25">
      <c r="A10" t="s">
        <v>102</v>
      </c>
      <c r="B10">
        <v>8</v>
      </c>
      <c r="C10">
        <v>25</v>
      </c>
      <c r="D10">
        <v>42</v>
      </c>
      <c r="E10">
        <v>59</v>
      </c>
    </row>
    <row r="11" spans="1:5" x14ac:dyDescent="0.25">
      <c r="A11" t="s">
        <v>103</v>
      </c>
      <c r="B11">
        <v>9</v>
      </c>
      <c r="C11">
        <v>26</v>
      </c>
      <c r="D11">
        <v>43</v>
      </c>
      <c r="E11">
        <v>60</v>
      </c>
    </row>
    <row r="12" spans="1:5" x14ac:dyDescent="0.25">
      <c r="A12" t="s">
        <v>104</v>
      </c>
      <c r="B12">
        <v>10</v>
      </c>
      <c r="C12">
        <v>27</v>
      </c>
      <c r="D12">
        <v>44</v>
      </c>
      <c r="E12">
        <v>61</v>
      </c>
    </row>
    <row r="13" spans="1:5" x14ac:dyDescent="0.25">
      <c r="A13" t="s">
        <v>105</v>
      </c>
      <c r="B13">
        <v>11</v>
      </c>
      <c r="C13">
        <v>28</v>
      </c>
      <c r="D13">
        <v>45</v>
      </c>
      <c r="E13">
        <v>62</v>
      </c>
    </row>
    <row r="14" spans="1:5" x14ac:dyDescent="0.25">
      <c r="A14" t="s">
        <v>106</v>
      </c>
      <c r="B14">
        <v>12</v>
      </c>
      <c r="C14">
        <v>29</v>
      </c>
      <c r="D14">
        <v>46</v>
      </c>
      <c r="E14">
        <v>63</v>
      </c>
    </row>
    <row r="15" spans="1:5" x14ac:dyDescent="0.25">
      <c r="A15" t="s">
        <v>107</v>
      </c>
      <c r="B15">
        <v>13</v>
      </c>
      <c r="C15">
        <v>30</v>
      </c>
      <c r="D15">
        <v>47</v>
      </c>
      <c r="E15">
        <v>64</v>
      </c>
    </row>
    <row r="16" spans="1:5" x14ac:dyDescent="0.25">
      <c r="A16" t="s">
        <v>108</v>
      </c>
      <c r="B16">
        <v>14</v>
      </c>
      <c r="C16">
        <v>31</v>
      </c>
      <c r="D16">
        <v>48</v>
      </c>
      <c r="E16">
        <v>65</v>
      </c>
    </row>
    <row r="17" spans="1:5" x14ac:dyDescent="0.25">
      <c r="A17" t="s">
        <v>109</v>
      </c>
      <c r="B17">
        <v>15</v>
      </c>
      <c r="C17">
        <v>32</v>
      </c>
      <c r="D17">
        <v>49</v>
      </c>
      <c r="E17">
        <v>66</v>
      </c>
    </row>
    <row r="18" spans="1:5" x14ac:dyDescent="0.25">
      <c r="A18" t="s">
        <v>110</v>
      </c>
      <c r="B18">
        <v>16</v>
      </c>
      <c r="C18">
        <v>33</v>
      </c>
      <c r="D18">
        <v>50</v>
      </c>
      <c r="E18">
        <v>67</v>
      </c>
    </row>
    <row r="19" spans="1:5" x14ac:dyDescent="0.25">
      <c r="A19" t="s">
        <v>111</v>
      </c>
      <c r="B19">
        <v>17</v>
      </c>
      <c r="C19">
        <v>34</v>
      </c>
      <c r="D19">
        <v>51</v>
      </c>
      <c r="E19">
        <v>68</v>
      </c>
    </row>
    <row r="21" spans="1:5" x14ac:dyDescent="0.25">
      <c r="A21" s="22" t="s">
        <v>117</v>
      </c>
      <c r="B21" s="23"/>
      <c r="C21" s="23"/>
      <c r="D21" s="23"/>
    </row>
    <row r="22" spans="1:5" x14ac:dyDescent="0.25">
      <c r="A22" t="s">
        <v>118</v>
      </c>
      <c r="B22" t="str">
        <f>A17</f>
        <v>on-road mobile sources</v>
      </c>
    </row>
    <row r="23" spans="1:5" x14ac:dyDescent="0.25">
      <c r="A23" t="s">
        <v>119</v>
      </c>
      <c r="B23" t="str">
        <f>A18</f>
        <v>electricity generating units</v>
      </c>
    </row>
    <row r="24" spans="1:5" x14ac:dyDescent="0.25">
      <c r="A24" t="s">
        <v>148</v>
      </c>
      <c r="B24" t="str">
        <f>A13</f>
        <v>area sources</v>
      </c>
    </row>
    <row r="25" spans="1:5" x14ac:dyDescent="0.25">
      <c r="A25" t="s">
        <v>120</v>
      </c>
      <c r="B25" t="str">
        <f>A14</f>
        <v>industrial point sources</v>
      </c>
    </row>
    <row r="26" spans="1:5" x14ac:dyDescent="0.25">
      <c r="A26" t="s">
        <v>121</v>
      </c>
      <c r="B26" t="str">
        <f>A17</f>
        <v>on-road mobile sources</v>
      </c>
    </row>
    <row r="28" spans="1:5" x14ac:dyDescent="0.25">
      <c r="A28" s="22" t="s">
        <v>123</v>
      </c>
      <c r="B28" s="22"/>
    </row>
    <row r="29" spans="1:5" x14ac:dyDescent="0.25">
      <c r="A29" t="s">
        <v>9</v>
      </c>
      <c r="B29" t="s">
        <v>127</v>
      </c>
    </row>
    <row r="30" spans="1:5" x14ac:dyDescent="0.25">
      <c r="A30" t="s">
        <v>164</v>
      </c>
      <c r="B30" t="s">
        <v>126</v>
      </c>
    </row>
    <row r="31" spans="1:5" x14ac:dyDescent="0.25">
      <c r="A31" t="s">
        <v>10</v>
      </c>
      <c r="B3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33AA-19F3-48C9-9C5F-C33EEAB460AC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8.8999999999999995E-4</v>
      </c>
      <c r="C2" s="38">
        <f ca="1">$B2+($F2-$B2)*(C$1-$B$1)/($F$1-$B$1)</f>
        <v>8.9749999999999997E-4</v>
      </c>
      <c r="D2" s="38">
        <f t="shared" ref="D2:E12" ca="1" si="0">$B2+($F2-$B2)*(D$1-$B$1)/($F$1-$B$1)</f>
        <v>9.0499999999999999E-4</v>
      </c>
      <c r="E2" s="38">
        <f t="shared" ca="1" si="0"/>
        <v>9.1250000000000001E-4</v>
      </c>
      <c r="F2" s="37" cm="1">
        <f t="array" aca="1" ref="F2" ca="1">INDIRECT(CONCATENATE("'",HLOOKUP(F$1,$B$21:$E$23,3,FALSE),"'!",$B$25,ROW($A2)+3))*About!$A$27</f>
        <v>9.2000000000000003E-4</v>
      </c>
      <c r="G2" s="38">
        <f ca="1">$F2+($K2-$F2)*(G$1-$F$1)/($K$1-$F$1)</f>
        <v>9.3199999999999999E-4</v>
      </c>
      <c r="H2" s="38">
        <f t="shared" ref="H2:J12" ca="1" si="1">$F2+($K2-$F2)*(H$1-$F$1)/($K$1-$F$1)</f>
        <v>9.4399999999999996E-4</v>
      </c>
      <c r="I2" s="38">
        <f t="shared" ca="1" si="1"/>
        <v>9.5600000000000004E-4</v>
      </c>
      <c r="J2" s="38">
        <f t="shared" ca="1" si="1"/>
        <v>9.68E-4</v>
      </c>
      <c r="K2" s="37" cm="1">
        <f t="array" aca="1" ref="K2" ca="1">INDIRECT(CONCATENATE("'",HLOOKUP(K$1,$B$21:$E$23,3,FALSE),"'!",$B$25,ROW($A2)+3))*About!$A$27</f>
        <v>9.7999999999999997E-4</v>
      </c>
      <c r="L2" s="38">
        <f ca="1">$K2+($P2-$K2)*(L$1-$K$1)/($P$1-$K$1)</f>
        <v>9.8400000000000007E-4</v>
      </c>
      <c r="M2" s="38">
        <f t="shared" ref="M2:O12" ca="1" si="2">$K2+($P2-$K2)*(M$1-$K$1)/($P$1-$K$1)</f>
        <v>9.8799999999999995E-4</v>
      </c>
      <c r="N2" s="38">
        <f t="shared" ca="1" si="2"/>
        <v>9.9200000000000004E-4</v>
      </c>
      <c r="O2" s="38">
        <f t="shared" ca="1" si="2"/>
        <v>9.9599999999999992E-4</v>
      </c>
      <c r="P2" s="37" cm="1">
        <f t="array" aca="1" ref="P2" ca="1">INDIRECT(CONCATENATE("'",HLOOKUP(P$1,$B$21:$E$23,3,FALSE),"'!",$B$25,ROW($A2)+3))*About!$A$27</f>
        <v>1E-3</v>
      </c>
      <c r="Q2" s="38" cm="1">
        <f t="array" aca="1" ref="Q2" ca="1">TREND($K2:$P2,$K$1:$P$1,Q$1)</f>
        <v>1.0039999999999997E-3</v>
      </c>
      <c r="R2" s="38" cm="1">
        <f t="array" aca="1" ref="R2" ca="1">TREND($K2:$P2,$K$1:$P$1,R$1)</f>
        <v>1.0080000000000002E-3</v>
      </c>
      <c r="S2" s="38" cm="1">
        <f t="array" aca="1" ref="S2" ca="1">TREND($K2:$P2,$K$1:$P$1,S$1)</f>
        <v>1.0120000000000007E-3</v>
      </c>
      <c r="T2" s="38" cm="1">
        <f t="array" aca="1" ref="T2" ca="1">TREND($K2:$P2,$K$1:$P$1,T$1)</f>
        <v>1.0159999999999995E-3</v>
      </c>
      <c r="U2" s="38" cm="1">
        <f t="array" aca="1" ref="U2" ca="1">TREND($K2:$P2,$K$1:$P$1,U$1)</f>
        <v>1.0200000000000001E-3</v>
      </c>
      <c r="V2" s="38" cm="1">
        <f t="array" aca="1" ref="V2" ca="1">TREND($K2:$P2,$K$1:$P$1,V$1)</f>
        <v>1.0240000000000006E-3</v>
      </c>
      <c r="W2" s="38" cm="1">
        <f t="array" aca="1" ref="W2" ca="1">TREND($K2:$P2,$K$1:$P$1,W$1)</f>
        <v>1.0279999999999994E-3</v>
      </c>
      <c r="X2" s="38" cm="1">
        <f t="array" aca="1" ref="X2" ca="1">TREND($K2:$P2,$K$1:$P$1,X$1)</f>
        <v>1.0319999999999999E-3</v>
      </c>
      <c r="Y2" s="38" cm="1">
        <f t="array" aca="1" ref="Y2" ca="1">TREND($K2:$P2,$K$1:$P$1,Y$1)</f>
        <v>1.0360000000000005E-3</v>
      </c>
      <c r="Z2" s="38" cm="1">
        <f t="array" aca="1" ref="Z2" ca="1">TREND($K2:$P2,$K$1:$P$1,Z$1)</f>
        <v>1.0399999999999993E-3</v>
      </c>
      <c r="AA2" s="38" cm="1">
        <f t="array" aca="1" ref="AA2" ca="1">TREND($K2:$P2,$K$1:$P$1,AA$1)</f>
        <v>1.0439999999999998E-3</v>
      </c>
      <c r="AB2" s="38" cm="1">
        <f t="array" aca="1" ref="AB2" ca="1">TREND($K2:$P2,$K$1:$P$1,AB$1)</f>
        <v>1.0480000000000003E-3</v>
      </c>
      <c r="AC2" s="38" cm="1">
        <f t="array" aca="1" ref="AC2" ca="1">TREND($K2:$P2,$K$1:$P$1,AC$1)</f>
        <v>1.0520000000000009E-3</v>
      </c>
      <c r="AD2" s="38" cm="1">
        <f t="array" aca="1" ref="AD2" ca="1">TREND($K2:$P2,$K$1:$P$1,AD$1)</f>
        <v>1.0559999999999996E-3</v>
      </c>
      <c r="AE2" s="38" cm="1">
        <f t="array" aca="1" ref="AE2" ca="1">TREND($K2:$P2,$K$1:$P$1,AE$1)</f>
        <v>1.0600000000000002E-3</v>
      </c>
      <c r="AF2" s="38" cm="1">
        <f t="array" aca="1" ref="AF2" ca="1">TREND($K2:$P2,$K$1:$P$1,AF$1)</f>
        <v>1.0640000000000007E-3</v>
      </c>
      <c r="AG2" s="38" cm="1">
        <f t="array" aca="1" ref="AG2" ca="1">TREND($K2:$P2,$K$1:$P$1,AG$1)</f>
        <v>1.0679999999999995E-3</v>
      </c>
      <c r="AH2" s="38" cm="1">
        <f t="array" aca="1" ref="AH2" ca="1">TREND($K2:$P2,$K$1:$P$1,AH$1)</f>
        <v>1.072E-3</v>
      </c>
      <c r="AI2" s="38" cm="1">
        <f t="array" aca="1" ref="AI2" ca="1">TREND($K2:$P2,$K$1:$P$1,AI$1)</f>
        <v>1.0760000000000006E-3</v>
      </c>
      <c r="AJ2" s="38" cm="1">
        <f t="array" aca="1" ref="AJ2" ca="1">TREND($K2:$P2,$K$1:$P$1,AJ$1)</f>
        <v>1.0799999999999994E-3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4.8999999999999998E-4</v>
      </c>
      <c r="C3" s="38">
        <f t="shared" ref="C3:C12" ca="1" si="3">$B3+($F3-$B3)*(C$1-$B$1)/($F$1-$B$1)</f>
        <v>4.9249999999999999E-4</v>
      </c>
      <c r="D3" s="38">
        <f t="shared" ca="1" si="0"/>
        <v>4.95E-4</v>
      </c>
      <c r="E3" s="38">
        <f t="shared" ca="1" si="0"/>
        <v>4.975E-4</v>
      </c>
      <c r="F3" s="39" cm="1">
        <f t="array" aca="1" ref="F3" ca="1">INDIRECT(CONCATENATE("'",HLOOKUP(F$1,$B$21:$E$23,3,FALSE),"'!",$B$25,ROW($A3)+5))*About!$A$27</f>
        <v>5.0000000000000001E-4</v>
      </c>
      <c r="G3" s="38">
        <f t="shared" ref="G3:G12" ca="1" si="4">$F3+($K3-$F3)*(G$1-$F$1)/($K$1-$F$1)</f>
        <v>5.04E-4</v>
      </c>
      <c r="H3" s="38">
        <f t="shared" ca="1" si="1"/>
        <v>5.0799999999999999E-4</v>
      </c>
      <c r="I3" s="38">
        <f t="shared" ca="1" si="1"/>
        <v>5.1199999999999998E-4</v>
      </c>
      <c r="J3" s="38">
        <f t="shared" ca="1" si="1"/>
        <v>5.1599999999999997E-4</v>
      </c>
      <c r="K3" s="39" cm="1">
        <f t="array" aca="1" ref="K3" ca="1">INDIRECT(CONCATENATE("'",HLOOKUP(K$1,$B$21:$E$23,3,FALSE),"'!",$B$25,ROW($A3)+5))*About!$A$27</f>
        <v>5.1999999999999995E-4</v>
      </c>
      <c r="L3" s="38">
        <f t="shared" ref="L3:L12" ca="1" si="5">$K3+($P3-$K3)*(L$1-$K$1)/($P$1-$K$1)</f>
        <v>5.22E-4</v>
      </c>
      <c r="M3" s="38">
        <f t="shared" ca="1" si="2"/>
        <v>5.2399999999999994E-4</v>
      </c>
      <c r="N3" s="38">
        <f t="shared" ca="1" si="2"/>
        <v>5.2599999999999999E-4</v>
      </c>
      <c r="O3" s="38">
        <f t="shared" ca="1" si="2"/>
        <v>5.2799999999999993E-4</v>
      </c>
      <c r="P3" s="39" cm="1">
        <f t="array" aca="1" ref="P3" ca="1">INDIRECT(CONCATENATE("'",HLOOKUP(P$1,$B$21:$E$23,3,FALSE),"'!",$B$25,ROW($A3)+5))*About!$A$27</f>
        <v>5.2999999999999998E-4</v>
      </c>
      <c r="Q3" s="38" cm="1">
        <f t="array" aca="1" ref="Q3" ca="1">TREND($K3:$P3,$K$1:$P$1,Q$1)</f>
        <v>5.3199999999999992E-4</v>
      </c>
      <c r="R3" s="38" cm="1">
        <f t="array" aca="1" ref="R3" ca="1">TREND($K3:$P3,$K$1:$P$1,R$1)</f>
        <v>5.3400000000000019E-4</v>
      </c>
      <c r="S3" s="38" cm="1">
        <f t="array" aca="1" ref="S3" ca="1">TREND($K3:$P3,$K$1:$P$1,S$1)</f>
        <v>5.3600000000000045E-4</v>
      </c>
      <c r="T3" s="38" cm="1">
        <f t="array" aca="1" ref="T3" ca="1">TREND($K3:$P3,$K$1:$P$1,T$1)</f>
        <v>5.3799999999999985E-4</v>
      </c>
      <c r="U3" s="38" cm="1">
        <f t="array" aca="1" ref="U3" ca="1">TREND($K3:$P3,$K$1:$P$1,U$1)</f>
        <v>5.4000000000000012E-4</v>
      </c>
      <c r="V3" s="38" cm="1">
        <f t="array" aca="1" ref="V3" ca="1">TREND($K3:$P3,$K$1:$P$1,V$1)</f>
        <v>5.4200000000000038E-4</v>
      </c>
      <c r="W3" s="38" cm="1">
        <f t="array" aca="1" ref="W3" ca="1">TREND($K3:$P3,$K$1:$P$1,W$1)</f>
        <v>5.4399999999999978E-4</v>
      </c>
      <c r="X3" s="38" cm="1">
        <f t="array" aca="1" ref="X3" ca="1">TREND($K3:$P3,$K$1:$P$1,X$1)</f>
        <v>5.4600000000000004E-4</v>
      </c>
      <c r="Y3" s="38" cm="1">
        <f t="array" aca="1" ref="Y3" ca="1">TREND($K3:$P3,$K$1:$P$1,Y$1)</f>
        <v>5.4800000000000031E-4</v>
      </c>
      <c r="Z3" s="38" cm="1">
        <f t="array" aca="1" ref="Z3" ca="1">TREND($K3:$P3,$K$1:$P$1,Z$1)</f>
        <v>5.4999999999999971E-4</v>
      </c>
      <c r="AA3" s="38" cm="1">
        <f t="array" aca="1" ref="AA3" ca="1">TREND($K3:$P3,$K$1:$P$1,AA$1)</f>
        <v>5.5199999999999997E-4</v>
      </c>
      <c r="AB3" s="38" cm="1">
        <f t="array" aca="1" ref="AB3" ca="1">TREND($K3:$P3,$K$1:$P$1,AB$1)</f>
        <v>5.5400000000000024E-4</v>
      </c>
      <c r="AC3" s="38" cm="1">
        <f t="array" aca="1" ref="AC3" ca="1">TREND($K3:$P3,$K$1:$P$1,AC$1)</f>
        <v>5.560000000000005E-4</v>
      </c>
      <c r="AD3" s="38" cm="1">
        <f t="array" aca="1" ref="AD3" ca="1">TREND($K3:$P3,$K$1:$P$1,AD$1)</f>
        <v>5.579999999999999E-4</v>
      </c>
      <c r="AE3" s="38" cm="1">
        <f t="array" aca="1" ref="AE3" ca="1">TREND($K3:$P3,$K$1:$P$1,AE$1)</f>
        <v>5.6000000000000017E-4</v>
      </c>
      <c r="AF3" s="38" cm="1">
        <f t="array" aca="1" ref="AF3" ca="1">TREND($K3:$P3,$K$1:$P$1,AF$1)</f>
        <v>5.6200000000000043E-4</v>
      </c>
      <c r="AG3" s="38" cm="1">
        <f t="array" aca="1" ref="AG3" ca="1">TREND($K3:$P3,$K$1:$P$1,AG$1)</f>
        <v>5.6399999999999983E-4</v>
      </c>
      <c r="AH3" s="38" cm="1">
        <f t="array" aca="1" ref="AH3" ca="1">TREND($K3:$P3,$K$1:$P$1,AH$1)</f>
        <v>5.660000000000001E-4</v>
      </c>
      <c r="AI3" s="38" cm="1">
        <f t="array" aca="1" ref="AI3" ca="1">TREND($K3:$P3,$K$1:$P$1,AI$1)</f>
        <v>5.6800000000000036E-4</v>
      </c>
      <c r="AJ3" s="38" cm="1">
        <f t="array" aca="1" ref="AJ3" ca="1">TREND($K3:$P3,$K$1:$P$1,AJ$1)</f>
        <v>5.6999999999999976E-4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1.2999999999999999E-3</v>
      </c>
      <c r="C4" s="38">
        <f t="shared" ca="1" si="3"/>
        <v>1.2999999999999999E-3</v>
      </c>
      <c r="D4" s="38">
        <f t="shared" ca="1" si="0"/>
        <v>1.2999999999999999E-3</v>
      </c>
      <c r="E4" s="38">
        <f t="shared" ca="1" si="0"/>
        <v>1.2999999999999999E-3</v>
      </c>
      <c r="F4" s="39" cm="1">
        <f t="array" aca="1" ref="F4" ca="1">INDIRECT(CONCATENATE("'",HLOOKUP(F$1,$B$21:$E$23,3,FALSE),"'!",$B$25,ROW($A4)+5))*About!$A$27</f>
        <v>1.2999999999999999E-3</v>
      </c>
      <c r="G4" s="38">
        <f t="shared" ca="1" si="4"/>
        <v>1.2999999999999999E-3</v>
      </c>
      <c r="H4" s="38">
        <f t="shared" ca="1" si="1"/>
        <v>1.2999999999999999E-3</v>
      </c>
      <c r="I4" s="38">
        <f t="shared" ca="1" si="1"/>
        <v>1.2999999999999999E-3</v>
      </c>
      <c r="J4" s="38">
        <f t="shared" ca="1" si="1"/>
        <v>1.2999999999999999E-3</v>
      </c>
      <c r="K4" s="39" cm="1">
        <f t="array" aca="1" ref="K4" ca="1">INDIRECT(CONCATENATE("'",HLOOKUP(K$1,$B$21:$E$23,3,FALSE),"'!",$B$25,ROW($A4)+5))*About!$A$27</f>
        <v>1.2999999999999999E-3</v>
      </c>
      <c r="L4" s="38">
        <f t="shared" ca="1" si="5"/>
        <v>1.32E-3</v>
      </c>
      <c r="M4" s="38">
        <f t="shared" ca="1" si="2"/>
        <v>1.34E-3</v>
      </c>
      <c r="N4" s="38">
        <f t="shared" ca="1" si="2"/>
        <v>1.3599999999999999E-3</v>
      </c>
      <c r="O4" s="38">
        <f t="shared" ca="1" si="2"/>
        <v>1.3799999999999999E-3</v>
      </c>
      <c r="P4" s="39" cm="1">
        <f t="array" aca="1" ref="P4" ca="1">INDIRECT(CONCATENATE("'",HLOOKUP(P$1,$B$21:$E$23,3,FALSE),"'!",$B$25,ROW($A4)+5))*About!$A$27</f>
        <v>1.4E-3</v>
      </c>
      <c r="Q4" s="38" cm="1">
        <f t="array" aca="1" ref="Q4" ca="1">TREND($K4:$P4,$K$1:$P$1,Q$1)</f>
        <v>1.4199999999999977E-3</v>
      </c>
      <c r="R4" s="38" cm="1">
        <f t="array" aca="1" ref="R4" ca="1">TREND($K4:$P4,$K$1:$P$1,R$1)</f>
        <v>1.4399999999999968E-3</v>
      </c>
      <c r="S4" s="38" cm="1">
        <f t="array" aca="1" ref="S4" ca="1">TREND($K4:$P4,$K$1:$P$1,S$1)</f>
        <v>1.459999999999996E-3</v>
      </c>
      <c r="T4" s="38" cm="1">
        <f t="array" aca="1" ref="T4" ca="1">TREND($K4:$P4,$K$1:$P$1,T$1)</f>
        <v>1.4799999999999952E-3</v>
      </c>
      <c r="U4" s="38" cm="1">
        <f t="array" aca="1" ref="U4" ca="1">TREND($K4:$P4,$K$1:$P$1,U$1)</f>
        <v>1.4999999999999944E-3</v>
      </c>
      <c r="V4" s="38" cm="1">
        <f t="array" aca="1" ref="V4" ca="1">TREND($K4:$P4,$K$1:$P$1,V$1)</f>
        <v>1.5200000000000005E-3</v>
      </c>
      <c r="W4" s="38" cm="1">
        <f t="array" aca="1" ref="W4" ca="1">TREND($K4:$P4,$K$1:$P$1,W$1)</f>
        <v>1.5399999999999997E-3</v>
      </c>
      <c r="X4" s="38" cm="1">
        <f t="array" aca="1" ref="X4" ca="1">TREND($K4:$P4,$K$1:$P$1,X$1)</f>
        <v>1.5599999999999989E-3</v>
      </c>
      <c r="Y4" s="38" cm="1">
        <f t="array" aca="1" ref="Y4" ca="1">TREND($K4:$P4,$K$1:$P$1,Y$1)</f>
        <v>1.5799999999999981E-3</v>
      </c>
      <c r="Z4" s="38" cm="1">
        <f t="array" aca="1" ref="Z4" ca="1">TREND($K4:$P4,$K$1:$P$1,Z$1)</f>
        <v>1.5999999999999973E-3</v>
      </c>
      <c r="AA4" s="38" cm="1">
        <f t="array" aca="1" ref="AA4" ca="1">TREND($K4:$P4,$K$1:$P$1,AA$1)</f>
        <v>1.6199999999999964E-3</v>
      </c>
      <c r="AB4" s="38" cm="1">
        <f t="array" aca="1" ref="AB4" ca="1">TREND($K4:$P4,$K$1:$P$1,AB$1)</f>
        <v>1.6399999999999956E-3</v>
      </c>
      <c r="AC4" s="38" cm="1">
        <f t="array" aca="1" ref="AC4" ca="1">TREND($K4:$P4,$K$1:$P$1,AC$1)</f>
        <v>1.6599999999999948E-3</v>
      </c>
      <c r="AD4" s="38" cm="1">
        <f t="array" aca="1" ref="AD4" ca="1">TREND($K4:$P4,$K$1:$P$1,AD$1)</f>
        <v>1.6800000000000009E-3</v>
      </c>
      <c r="AE4" s="38" cm="1">
        <f t="array" aca="1" ref="AE4" ca="1">TREND($K4:$P4,$K$1:$P$1,AE$1)</f>
        <v>1.7000000000000001E-3</v>
      </c>
      <c r="AF4" s="38" cm="1">
        <f t="array" aca="1" ref="AF4" ca="1">TREND($K4:$P4,$K$1:$P$1,AF$1)</f>
        <v>1.7199999999999993E-3</v>
      </c>
      <c r="AG4" s="38" cm="1">
        <f t="array" aca="1" ref="AG4" ca="1">TREND($K4:$P4,$K$1:$P$1,AG$1)</f>
        <v>1.7399999999999985E-3</v>
      </c>
      <c r="AH4" s="38" cm="1">
        <f t="array" aca="1" ref="AH4" ca="1">TREND($K4:$P4,$K$1:$P$1,AH$1)</f>
        <v>1.7599999999999977E-3</v>
      </c>
      <c r="AI4" s="38" cm="1">
        <f t="array" aca="1" ref="AI4" ca="1">TREND($K4:$P4,$K$1:$P$1,AI$1)</f>
        <v>1.7799999999999969E-3</v>
      </c>
      <c r="AJ4" s="38" cm="1">
        <f t="array" aca="1" ref="AJ4" ca="1">TREND($K4:$P4,$K$1:$P$1,AJ$1)</f>
        <v>1.799999999999996E-3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1.6E-2</v>
      </c>
      <c r="C5" s="38">
        <f t="shared" ca="1" si="3"/>
        <v>1.6E-2</v>
      </c>
      <c r="D5" s="38">
        <f t="shared" ca="1" si="0"/>
        <v>1.6E-2</v>
      </c>
      <c r="E5" s="38">
        <f t="shared" ca="1" si="0"/>
        <v>1.6E-2</v>
      </c>
      <c r="F5" s="39" cm="1">
        <f t="array" aca="1" ref="F5" ca="1">INDIRECT(CONCATENATE("'",HLOOKUP(F$1,$B$21:$E$23,3,FALSE),"'!",$B$25,ROW($A5)+5))*About!$A$27</f>
        <v>1.6E-2</v>
      </c>
      <c r="G5" s="38">
        <f t="shared" ca="1" si="4"/>
        <v>1.6199999999999999E-2</v>
      </c>
      <c r="H5" s="38">
        <f t="shared" ca="1" si="1"/>
        <v>1.6400000000000001E-2</v>
      </c>
      <c r="I5" s="38">
        <f t="shared" ca="1" si="1"/>
        <v>1.66E-2</v>
      </c>
      <c r="J5" s="38">
        <f t="shared" ca="1" si="1"/>
        <v>1.6800000000000002E-2</v>
      </c>
      <c r="K5" s="39" cm="1">
        <f t="array" aca="1" ref="K5" ca="1">INDIRECT(CONCATENATE("'",HLOOKUP(K$1,$B$21:$E$23,3,FALSE),"'!",$B$25,ROW($A5)+5))*About!$A$27</f>
        <v>1.7000000000000001E-2</v>
      </c>
      <c r="L5" s="38">
        <f t="shared" ca="1" si="5"/>
        <v>1.72E-2</v>
      </c>
      <c r="M5" s="38">
        <f t="shared" ca="1" si="2"/>
        <v>1.7399999999999999E-2</v>
      </c>
      <c r="N5" s="38">
        <f t="shared" ca="1" si="2"/>
        <v>1.7600000000000001E-2</v>
      </c>
      <c r="O5" s="38">
        <f t="shared" ca="1" si="2"/>
        <v>1.78E-2</v>
      </c>
      <c r="P5" s="39" cm="1">
        <f t="array" aca="1" ref="P5" ca="1">INDIRECT(CONCATENATE("'",HLOOKUP(P$1,$B$21:$E$23,3,FALSE),"'!",$B$25,ROW($A5)+5))*About!$A$27</f>
        <v>1.7999999999999999E-2</v>
      </c>
      <c r="Q5" s="38" cm="1">
        <f t="array" aca="1" ref="Q5" ca="1">TREND($K5:$P5,$K$1:$P$1,Q$1)</f>
        <v>1.8199999999999994E-2</v>
      </c>
      <c r="R5" s="38" cm="1">
        <f t="array" aca="1" ref="R5" ca="1">TREND($K5:$P5,$K$1:$P$1,R$1)</f>
        <v>1.8400000000000027E-2</v>
      </c>
      <c r="S5" s="38" cm="1">
        <f t="array" aca="1" ref="S5" ca="1">TREND($K5:$P5,$K$1:$P$1,S$1)</f>
        <v>1.8600000000000005E-2</v>
      </c>
      <c r="T5" s="38" cm="1">
        <f t="array" aca="1" ref="T5" ca="1">TREND($K5:$P5,$K$1:$P$1,T$1)</f>
        <v>1.8800000000000039E-2</v>
      </c>
      <c r="U5" s="38" cm="1">
        <f t="array" aca="1" ref="U5" ca="1">TREND($K5:$P5,$K$1:$P$1,U$1)</f>
        <v>1.9000000000000017E-2</v>
      </c>
      <c r="V5" s="38" cm="1">
        <f t="array" aca="1" ref="V5" ca="1">TREND($K5:$P5,$K$1:$P$1,V$1)</f>
        <v>1.9199999999999995E-2</v>
      </c>
      <c r="W5" s="38" cm="1">
        <f t="array" aca="1" ref="W5" ca="1">TREND($K5:$P5,$K$1:$P$1,W$1)</f>
        <v>1.9400000000000028E-2</v>
      </c>
      <c r="X5" s="38" cm="1">
        <f t="array" aca="1" ref="X5" ca="1">TREND($K5:$P5,$K$1:$P$1,X$1)</f>
        <v>1.9600000000000006E-2</v>
      </c>
      <c r="Y5" s="38" cm="1">
        <f t="array" aca="1" ref="Y5" ca="1">TREND($K5:$P5,$K$1:$P$1,Y$1)</f>
        <v>1.9799999999999984E-2</v>
      </c>
      <c r="Z5" s="38" cm="1">
        <f t="array" aca="1" ref="Z5" ca="1">TREND($K5:$P5,$K$1:$P$1,Z$1)</f>
        <v>2.0000000000000018E-2</v>
      </c>
      <c r="AA5" s="38" cm="1">
        <f t="array" aca="1" ref="AA5" ca="1">TREND($K5:$P5,$K$1:$P$1,AA$1)</f>
        <v>2.0199999999999996E-2</v>
      </c>
      <c r="AB5" s="38" cm="1">
        <f t="array" aca="1" ref="AB5" ca="1">TREND($K5:$P5,$K$1:$P$1,AB$1)</f>
        <v>2.0400000000000029E-2</v>
      </c>
      <c r="AC5" s="38" cm="1">
        <f t="array" aca="1" ref="AC5" ca="1">TREND($K5:$P5,$K$1:$P$1,AC$1)</f>
        <v>2.0600000000000007E-2</v>
      </c>
      <c r="AD5" s="38" cm="1">
        <f t="array" aca="1" ref="AD5" ca="1">TREND($K5:$P5,$K$1:$P$1,AD$1)</f>
        <v>2.0799999999999985E-2</v>
      </c>
      <c r="AE5" s="38" cm="1">
        <f t="array" aca="1" ref="AE5" ca="1">TREND($K5:$P5,$K$1:$P$1,AE$1)</f>
        <v>2.1000000000000019E-2</v>
      </c>
      <c r="AF5" s="38" cm="1">
        <f t="array" aca="1" ref="AF5" ca="1">TREND($K5:$P5,$K$1:$P$1,AF$1)</f>
        <v>2.1199999999999997E-2</v>
      </c>
      <c r="AG5" s="38" cm="1">
        <f t="array" aca="1" ref="AG5" ca="1">TREND($K5:$P5,$K$1:$P$1,AG$1)</f>
        <v>2.140000000000003E-2</v>
      </c>
      <c r="AH5" s="38" cm="1">
        <f t="array" aca="1" ref="AH5" ca="1">TREND($K5:$P5,$K$1:$P$1,AH$1)</f>
        <v>2.1600000000000008E-2</v>
      </c>
      <c r="AI5" s="38" cm="1">
        <f t="array" aca="1" ref="AI5" ca="1">TREND($K5:$P5,$K$1:$P$1,AI$1)</f>
        <v>2.1799999999999986E-2</v>
      </c>
      <c r="AJ5" s="38" cm="1">
        <f t="array" aca="1" ref="AJ5" ca="1">TREND($K5:$P5,$K$1:$P$1,AJ$1)</f>
        <v>2.200000000000002E-2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2.4E-2</v>
      </c>
      <c r="C6" s="38">
        <f t="shared" ca="1" si="3"/>
        <v>2.4E-2</v>
      </c>
      <c r="D6" s="38">
        <f t="shared" ca="1" si="0"/>
        <v>2.4E-2</v>
      </c>
      <c r="E6" s="38">
        <f t="shared" ca="1" si="0"/>
        <v>2.4E-2</v>
      </c>
      <c r="F6" s="39" cm="1">
        <f t="array" aca="1" ref="F6" ca="1">INDIRECT(CONCATENATE("'",HLOOKUP(F$1,$B$21:$E$23,3,FALSE),"'!",$B$25,ROW($A6)+5))*About!$A$27</f>
        <v>2.4E-2</v>
      </c>
      <c r="G6" s="38">
        <f t="shared" ca="1" si="4"/>
        <v>2.4199999999999999E-2</v>
      </c>
      <c r="H6" s="38">
        <f t="shared" ca="1" si="1"/>
        <v>2.4400000000000002E-2</v>
      </c>
      <c r="I6" s="38">
        <f t="shared" ca="1" si="1"/>
        <v>2.46E-2</v>
      </c>
      <c r="J6" s="38">
        <f t="shared" ca="1" si="1"/>
        <v>2.4800000000000003E-2</v>
      </c>
      <c r="K6" s="39" cm="1">
        <f t="array" aca="1" ref="K6" ca="1">INDIRECT(CONCATENATE("'",HLOOKUP(K$1,$B$21:$E$23,3,FALSE),"'!",$B$25,ROW($A6)+5))*About!$A$27</f>
        <v>2.5000000000000001E-2</v>
      </c>
      <c r="L6" s="38">
        <f t="shared" ca="1" si="5"/>
        <v>2.52E-2</v>
      </c>
      <c r="M6" s="38">
        <f t="shared" ca="1" si="2"/>
        <v>2.5399999999999999E-2</v>
      </c>
      <c r="N6" s="38">
        <f t="shared" ca="1" si="2"/>
        <v>2.5600000000000001E-2</v>
      </c>
      <c r="O6" s="38">
        <f t="shared" ca="1" si="2"/>
        <v>2.58E-2</v>
      </c>
      <c r="P6" s="39" cm="1">
        <f t="array" aca="1" ref="P6" ca="1">INDIRECT(CONCATENATE("'",HLOOKUP(P$1,$B$21:$E$23,3,FALSE),"'!",$B$25,ROW($A6)+5))*About!$A$27</f>
        <v>2.5999999999999999E-2</v>
      </c>
      <c r="Q6" s="38" cm="1">
        <f t="array" aca="1" ref="Q6" ca="1">TREND($K6:$P6,$K$1:$P$1,Q$1)</f>
        <v>2.6200000000000001E-2</v>
      </c>
      <c r="R6" s="38" cm="1">
        <f t="array" aca="1" ref="R6" ca="1">TREND($K6:$P6,$K$1:$P$1,R$1)</f>
        <v>2.6400000000000035E-2</v>
      </c>
      <c r="S6" s="38" cm="1">
        <f t="array" aca="1" ref="S6" ca="1">TREND($K6:$P6,$K$1:$P$1,S$1)</f>
        <v>2.6600000000000013E-2</v>
      </c>
      <c r="T6" s="38" cm="1">
        <f t="array" aca="1" ref="T6" ca="1">TREND($K6:$P6,$K$1:$P$1,T$1)</f>
        <v>2.6800000000000046E-2</v>
      </c>
      <c r="U6" s="38" cm="1">
        <f t="array" aca="1" ref="U6" ca="1">TREND($K6:$P6,$K$1:$P$1,U$1)</f>
        <v>2.7000000000000024E-2</v>
      </c>
      <c r="V6" s="38" cm="1">
        <f t="array" aca="1" ref="V6" ca="1">TREND($K6:$P6,$K$1:$P$1,V$1)</f>
        <v>2.7200000000000002E-2</v>
      </c>
      <c r="W6" s="38" cm="1">
        <f t="array" aca="1" ref="W6" ca="1">TREND($K6:$P6,$K$1:$P$1,W$1)</f>
        <v>2.7400000000000035E-2</v>
      </c>
      <c r="X6" s="38" cm="1">
        <f t="array" aca="1" ref="X6" ca="1">TREND($K6:$P6,$K$1:$P$1,X$1)</f>
        <v>2.7600000000000013E-2</v>
      </c>
      <c r="Y6" s="38" cm="1">
        <f t="array" aca="1" ref="Y6" ca="1">TREND($K6:$P6,$K$1:$P$1,Y$1)</f>
        <v>2.7799999999999991E-2</v>
      </c>
      <c r="Z6" s="38" cm="1">
        <f t="array" aca="1" ref="Z6" ca="1">TREND($K6:$P6,$K$1:$P$1,Z$1)</f>
        <v>2.8000000000000025E-2</v>
      </c>
      <c r="AA6" s="38" cm="1">
        <f t="array" aca="1" ref="AA6" ca="1">TREND($K6:$P6,$K$1:$P$1,AA$1)</f>
        <v>2.8200000000000003E-2</v>
      </c>
      <c r="AB6" s="38" cm="1">
        <f t="array" aca="1" ref="AB6" ca="1">TREND($K6:$P6,$K$1:$P$1,AB$1)</f>
        <v>2.8400000000000036E-2</v>
      </c>
      <c r="AC6" s="38" cm="1">
        <f t="array" aca="1" ref="AC6" ca="1">TREND($K6:$P6,$K$1:$P$1,AC$1)</f>
        <v>2.8600000000000014E-2</v>
      </c>
      <c r="AD6" s="38" cm="1">
        <f t="array" aca="1" ref="AD6" ca="1">TREND($K6:$P6,$K$1:$P$1,AD$1)</f>
        <v>2.8799999999999992E-2</v>
      </c>
      <c r="AE6" s="38" cm="1">
        <f t="array" aca="1" ref="AE6" ca="1">TREND($K6:$P6,$K$1:$P$1,AE$1)</f>
        <v>2.9000000000000026E-2</v>
      </c>
      <c r="AF6" s="38" cm="1">
        <f t="array" aca="1" ref="AF6" ca="1">TREND($K6:$P6,$K$1:$P$1,AF$1)</f>
        <v>2.9200000000000004E-2</v>
      </c>
      <c r="AG6" s="38" cm="1">
        <f t="array" aca="1" ref="AG6" ca="1">TREND($K6:$P6,$K$1:$P$1,AG$1)</f>
        <v>2.9400000000000037E-2</v>
      </c>
      <c r="AH6" s="38" cm="1">
        <f t="array" aca="1" ref="AH6" ca="1">TREND($K6:$P6,$K$1:$P$1,AH$1)</f>
        <v>2.9600000000000015E-2</v>
      </c>
      <c r="AI6" s="38" cm="1">
        <f t="array" aca="1" ref="AI6" ca="1">TREND($K6:$P6,$K$1:$P$1,AI$1)</f>
        <v>2.9799999999999993E-2</v>
      </c>
      <c r="AJ6" s="38" cm="1">
        <f t="array" aca="1" ref="AJ6" ca="1">TREND($K6:$P6,$K$1:$P$1,AJ$1)</f>
        <v>3.0000000000000027E-2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0.69</v>
      </c>
      <c r="C7" s="38">
        <f t="shared" ca="1" si="3"/>
        <v>0.69249999999999989</v>
      </c>
      <c r="D7" s="38">
        <f t="shared" ca="1" si="0"/>
        <v>0.69499999999999995</v>
      </c>
      <c r="E7" s="38">
        <f t="shared" ca="1" si="0"/>
        <v>0.69750000000000001</v>
      </c>
      <c r="F7" s="39" cm="1">
        <f t="array" aca="1" ref="F7" ca="1">INDIRECT(CONCATENATE("'",HLOOKUP(F$1,$B$21:$E$23,3,FALSE),"'!",$B$25,ROW($A7)+5))*About!$A$27</f>
        <v>0.7</v>
      </c>
      <c r="G7" s="38">
        <f t="shared" ca="1" si="4"/>
        <v>0.7</v>
      </c>
      <c r="H7" s="38">
        <f t="shared" ca="1" si="1"/>
        <v>0.7</v>
      </c>
      <c r="I7" s="38">
        <f t="shared" ca="1" si="1"/>
        <v>0.7</v>
      </c>
      <c r="J7" s="38">
        <f t="shared" ca="1" si="1"/>
        <v>0.7</v>
      </c>
      <c r="K7" s="39" cm="1">
        <f t="array" aca="1" ref="K7" ca="1">INDIRECT(CONCATENATE("'",HLOOKUP(K$1,$B$21:$E$23,3,FALSE),"'!",$B$25,ROW($A7)+5))*About!$A$27</f>
        <v>0.7</v>
      </c>
      <c r="L7" s="38">
        <f t="shared" ca="1" si="5"/>
        <v>0.70199999999999996</v>
      </c>
      <c r="M7" s="38">
        <f t="shared" ca="1" si="2"/>
        <v>0.70399999999999996</v>
      </c>
      <c r="N7" s="38">
        <f t="shared" ca="1" si="2"/>
        <v>0.70599999999999996</v>
      </c>
      <c r="O7" s="38">
        <f t="shared" ca="1" si="2"/>
        <v>0.70799999999999996</v>
      </c>
      <c r="P7" s="39" cm="1">
        <f t="array" aca="1" ref="P7" ca="1">INDIRECT(CONCATENATE("'",HLOOKUP(P$1,$B$21:$E$23,3,FALSE),"'!",$B$25,ROW($A7)+5))*About!$A$27</f>
        <v>0.71</v>
      </c>
      <c r="Q7" s="38" cm="1">
        <f t="array" aca="1" ref="Q7" ca="1">TREND($K7:$P7,$K$1:$P$1,Q$1)</f>
        <v>0.71200000000000063</v>
      </c>
      <c r="R7" s="38" cm="1">
        <f t="array" aca="1" ref="R7" ca="1">TREND($K7:$P7,$K$1:$P$1,R$1)</f>
        <v>0.71400000000000041</v>
      </c>
      <c r="S7" s="38" cm="1">
        <f t="array" aca="1" ref="S7" ca="1">TREND($K7:$P7,$K$1:$P$1,S$1)</f>
        <v>0.71600000000000019</v>
      </c>
      <c r="T7" s="38" cm="1">
        <f t="array" aca="1" ref="T7" ca="1">TREND($K7:$P7,$K$1:$P$1,T$1)</f>
        <v>0.71799999999999997</v>
      </c>
      <c r="U7" s="38" cm="1">
        <f t="array" aca="1" ref="U7" ca="1">TREND($K7:$P7,$K$1:$P$1,U$1)</f>
        <v>0.72000000000000064</v>
      </c>
      <c r="V7" s="38" cm="1">
        <f t="array" aca="1" ref="V7" ca="1">TREND($K7:$P7,$K$1:$P$1,V$1)</f>
        <v>0.72200000000000042</v>
      </c>
      <c r="W7" s="38" cm="1">
        <f t="array" aca="1" ref="W7" ca="1">TREND($K7:$P7,$K$1:$P$1,W$1)</f>
        <v>0.7240000000000002</v>
      </c>
      <c r="X7" s="38" cm="1">
        <f t="array" aca="1" ref="X7" ca="1">TREND($K7:$P7,$K$1:$P$1,X$1)</f>
        <v>0.72600000000000087</v>
      </c>
      <c r="Y7" s="38" cm="1">
        <f t="array" aca="1" ref="Y7" ca="1">TREND($K7:$P7,$K$1:$P$1,Y$1)</f>
        <v>0.72800000000000065</v>
      </c>
      <c r="Z7" s="38" cm="1">
        <f t="array" aca="1" ref="Z7" ca="1">TREND($K7:$P7,$K$1:$P$1,Z$1)</f>
        <v>0.73000000000000043</v>
      </c>
      <c r="AA7" s="38" cm="1">
        <f t="array" aca="1" ref="AA7" ca="1">TREND($K7:$P7,$K$1:$P$1,AA$1)</f>
        <v>0.73200000000000021</v>
      </c>
      <c r="AB7" s="38" cm="1">
        <f t="array" aca="1" ref="AB7" ca="1">TREND($K7:$P7,$K$1:$P$1,AB$1)</f>
        <v>0.73399999999999999</v>
      </c>
      <c r="AC7" s="38" cm="1">
        <f t="array" aca="1" ref="AC7" ca="1">TREND($K7:$P7,$K$1:$P$1,AC$1)</f>
        <v>0.73600000000000065</v>
      </c>
      <c r="AD7" s="38" cm="1">
        <f t="array" aca="1" ref="AD7" ca="1">TREND($K7:$P7,$K$1:$P$1,AD$1)</f>
        <v>0.73800000000000043</v>
      </c>
      <c r="AE7" s="38" cm="1">
        <f t="array" aca="1" ref="AE7" ca="1">TREND($K7:$P7,$K$1:$P$1,AE$1)</f>
        <v>0.74000000000000021</v>
      </c>
      <c r="AF7" s="38" cm="1">
        <f t="array" aca="1" ref="AF7" ca="1">TREND($K7:$P7,$K$1:$P$1,AF$1)</f>
        <v>0.74200000000000088</v>
      </c>
      <c r="AG7" s="38" cm="1">
        <f t="array" aca="1" ref="AG7" ca="1">TREND($K7:$P7,$K$1:$P$1,AG$1)</f>
        <v>0.74400000000000066</v>
      </c>
      <c r="AH7" s="38" cm="1">
        <f t="array" aca="1" ref="AH7" ca="1">TREND($K7:$P7,$K$1:$P$1,AH$1)</f>
        <v>0.74600000000000044</v>
      </c>
      <c r="AI7" s="38" cm="1">
        <f t="array" aca="1" ref="AI7" ca="1">TREND($K7:$P7,$K$1:$P$1,AI$1)</f>
        <v>0.74800000000000022</v>
      </c>
      <c r="AJ7" s="38" cm="1">
        <f t="array" aca="1" ref="AJ7" ca="1">TREND($K7:$P7,$K$1:$P$1,AJ$1)</f>
        <v>0.75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0.12</v>
      </c>
      <c r="C8" s="38">
        <f t="shared" ca="1" si="3"/>
        <v>0.12</v>
      </c>
      <c r="D8" s="38">
        <f t="shared" ca="1" si="0"/>
        <v>0.12</v>
      </c>
      <c r="E8" s="38">
        <f t="shared" ca="1" si="0"/>
        <v>0.12</v>
      </c>
      <c r="F8" s="39" cm="1">
        <f t="array" aca="1" ref="F8" ca="1">INDIRECT(CONCATENATE("'",HLOOKUP(F$1,$B$21:$E$23,3,FALSE),"'!",$B$25,ROW($A8)+5))*About!$A$27</f>
        <v>0.12</v>
      </c>
      <c r="G8" s="38">
        <f t="shared" ca="1" si="4"/>
        <v>0.12</v>
      </c>
      <c r="H8" s="38">
        <f t="shared" ca="1" si="1"/>
        <v>0.12</v>
      </c>
      <c r="I8" s="38">
        <f t="shared" ca="1" si="1"/>
        <v>0.12</v>
      </c>
      <c r="J8" s="38">
        <f t="shared" ca="1" si="1"/>
        <v>0.12</v>
      </c>
      <c r="K8" s="39" cm="1">
        <f t="array" aca="1" ref="K8" ca="1">INDIRECT(CONCATENATE("'",HLOOKUP(K$1,$B$21:$E$23,3,FALSE),"'!",$B$25,ROW($A8)+5))*About!$A$27</f>
        <v>0.12</v>
      </c>
      <c r="L8" s="38">
        <f t="shared" ca="1" si="5"/>
        <v>0.12</v>
      </c>
      <c r="M8" s="38">
        <f t="shared" ca="1" si="2"/>
        <v>0.12</v>
      </c>
      <c r="N8" s="38">
        <f t="shared" ca="1" si="2"/>
        <v>0.12</v>
      </c>
      <c r="O8" s="38">
        <f t="shared" ca="1" si="2"/>
        <v>0.12</v>
      </c>
      <c r="P8" s="39" cm="1">
        <f t="array" aca="1" ref="P8" ca="1">INDIRECT(CONCATENATE("'",HLOOKUP(P$1,$B$21:$E$23,3,FALSE),"'!",$B$25,ROW($A8)+5))*About!$A$27</f>
        <v>0.12</v>
      </c>
      <c r="Q8" s="38" cm="1">
        <f t="array" aca="1" ref="Q8" ca="1">TREND($K8:$P8,$K$1:$P$1,Q$1)</f>
        <v>0.12</v>
      </c>
      <c r="R8" s="38" cm="1">
        <f t="array" aca="1" ref="R8" ca="1">TREND($K8:$P8,$K$1:$P$1,R$1)</f>
        <v>0.12</v>
      </c>
      <c r="S8" s="38" cm="1">
        <f t="array" aca="1" ref="S8" ca="1">TREND($K8:$P8,$K$1:$P$1,S$1)</f>
        <v>0.12</v>
      </c>
      <c r="T8" s="38" cm="1">
        <f t="array" aca="1" ref="T8" ca="1">TREND($K8:$P8,$K$1:$P$1,T$1)</f>
        <v>0.12</v>
      </c>
      <c r="U8" s="38" cm="1">
        <f t="array" aca="1" ref="U8" ca="1">TREND($K8:$P8,$K$1:$P$1,U$1)</f>
        <v>0.12</v>
      </c>
      <c r="V8" s="38" cm="1">
        <f t="array" aca="1" ref="V8" ca="1">TREND($K8:$P8,$K$1:$P$1,V$1)</f>
        <v>0.12</v>
      </c>
      <c r="W8" s="38" cm="1">
        <f t="array" aca="1" ref="W8" ca="1">TREND($K8:$P8,$K$1:$P$1,W$1)</f>
        <v>0.12</v>
      </c>
      <c r="X8" s="38" cm="1">
        <f t="array" aca="1" ref="X8" ca="1">TREND($K8:$P8,$K$1:$P$1,X$1)</f>
        <v>0.12</v>
      </c>
      <c r="Y8" s="38" cm="1">
        <f t="array" aca="1" ref="Y8" ca="1">TREND($K8:$P8,$K$1:$P$1,Y$1)</f>
        <v>0.12</v>
      </c>
      <c r="Z8" s="38" cm="1">
        <f t="array" aca="1" ref="Z8" ca="1">TREND($K8:$P8,$K$1:$P$1,Z$1)</f>
        <v>0.12</v>
      </c>
      <c r="AA8" s="38" cm="1">
        <f t="array" aca="1" ref="AA8" ca="1">TREND($K8:$P8,$K$1:$P$1,AA$1)</f>
        <v>0.12</v>
      </c>
      <c r="AB8" s="38" cm="1">
        <f t="array" aca="1" ref="AB8" ca="1">TREND($K8:$P8,$K$1:$P$1,AB$1)</f>
        <v>0.12</v>
      </c>
      <c r="AC8" s="38" cm="1">
        <f t="array" aca="1" ref="AC8" ca="1">TREND($K8:$P8,$K$1:$P$1,AC$1)</f>
        <v>0.12</v>
      </c>
      <c r="AD8" s="38" cm="1">
        <f t="array" aca="1" ref="AD8" ca="1">TREND($K8:$P8,$K$1:$P$1,AD$1)</f>
        <v>0.12</v>
      </c>
      <c r="AE8" s="38" cm="1">
        <f t="array" aca="1" ref="AE8" ca="1">TREND($K8:$P8,$K$1:$P$1,AE$1)</f>
        <v>0.12</v>
      </c>
      <c r="AF8" s="38" cm="1">
        <f t="array" aca="1" ref="AF8" ca="1">TREND($K8:$P8,$K$1:$P$1,AF$1)</f>
        <v>0.12</v>
      </c>
      <c r="AG8" s="38" cm="1">
        <f t="array" aca="1" ref="AG8" ca="1">TREND($K8:$P8,$K$1:$P$1,AG$1)</f>
        <v>0.12</v>
      </c>
      <c r="AH8" s="38" cm="1">
        <f t="array" aca="1" ref="AH8" ca="1">TREND($K8:$P8,$K$1:$P$1,AH$1)</f>
        <v>0.12</v>
      </c>
      <c r="AI8" s="38" cm="1">
        <f t="array" aca="1" ref="AI8" ca="1">TREND($K8:$P8,$K$1:$P$1,AI$1)</f>
        <v>0.12</v>
      </c>
      <c r="AJ8" s="38" cm="1">
        <f t="array" aca="1" ref="AJ8" ca="1">TREND($K8:$P8,$K$1:$P$1,AJ$1)</f>
        <v>0.12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2.8000000000000001E-2</v>
      </c>
      <c r="C9" s="38">
        <f t="shared" ca="1" si="3"/>
        <v>2.8000000000000001E-2</v>
      </c>
      <c r="D9" s="38">
        <f t="shared" ca="1" si="0"/>
        <v>2.8000000000000001E-2</v>
      </c>
      <c r="E9" s="38">
        <f t="shared" ca="1" si="0"/>
        <v>2.8000000000000001E-2</v>
      </c>
      <c r="F9" s="39" cm="1">
        <f t="array" aca="1" ref="F9" ca="1">INDIRECT(CONCATENATE("'",HLOOKUP(F$1,$B$21:$E$23,3,FALSE),"'!",$B$25,ROW($A9)+5))*About!$A$27</f>
        <v>2.8000000000000001E-2</v>
      </c>
      <c r="G9" s="38">
        <f t="shared" ca="1" si="4"/>
        <v>2.8199999999999999E-2</v>
      </c>
      <c r="H9" s="38">
        <f t="shared" ca="1" si="1"/>
        <v>2.8400000000000002E-2</v>
      </c>
      <c r="I9" s="38">
        <f t="shared" ca="1" si="1"/>
        <v>2.86E-2</v>
      </c>
      <c r="J9" s="38">
        <f t="shared" ca="1" si="1"/>
        <v>2.8800000000000003E-2</v>
      </c>
      <c r="K9" s="39" cm="1">
        <f t="array" aca="1" ref="K9" ca="1">INDIRECT(CONCATENATE("'",HLOOKUP(K$1,$B$21:$E$23,3,FALSE),"'!",$B$25,ROW($A9)+5))*About!$A$27</f>
        <v>2.9000000000000001E-2</v>
      </c>
      <c r="L9" s="38">
        <f t="shared" ca="1" si="5"/>
        <v>2.9400000000000003E-2</v>
      </c>
      <c r="M9" s="38">
        <f t="shared" ca="1" si="2"/>
        <v>2.98E-2</v>
      </c>
      <c r="N9" s="38">
        <f t="shared" ca="1" si="2"/>
        <v>3.0200000000000001E-2</v>
      </c>
      <c r="O9" s="38">
        <f t="shared" ca="1" si="2"/>
        <v>3.0599999999999999E-2</v>
      </c>
      <c r="P9" s="39" cm="1">
        <f t="array" aca="1" ref="P9" ca="1">INDIRECT(CONCATENATE("'",HLOOKUP(P$1,$B$21:$E$23,3,FALSE),"'!",$B$25,ROW($A9)+5))*About!$A$27</f>
        <v>3.1E-2</v>
      </c>
      <c r="Q9" s="38" cm="1">
        <f t="array" aca="1" ref="Q9" ca="1">TREND($K9:$P9,$K$1:$P$1,Q$1)</f>
        <v>3.1399999999999983E-2</v>
      </c>
      <c r="R9" s="38" cm="1">
        <f t="array" aca="1" ref="R9" ca="1">TREND($K9:$P9,$K$1:$P$1,R$1)</f>
        <v>3.180000000000005E-2</v>
      </c>
      <c r="S9" s="38" cm="1">
        <f t="array" aca="1" ref="S9" ca="1">TREND($K9:$P9,$K$1:$P$1,S$1)</f>
        <v>3.2200000000000006E-2</v>
      </c>
      <c r="T9" s="38" cm="1">
        <f t="array" aca="1" ref="T9" ca="1">TREND($K9:$P9,$K$1:$P$1,T$1)</f>
        <v>3.2600000000000073E-2</v>
      </c>
      <c r="U9" s="38" cm="1">
        <f t="array" aca="1" ref="U9" ca="1">TREND($K9:$P9,$K$1:$P$1,U$1)</f>
        <v>3.3000000000000029E-2</v>
      </c>
      <c r="V9" s="38" cm="1">
        <f t="array" aca="1" ref="V9" ca="1">TREND($K9:$P9,$K$1:$P$1,V$1)</f>
        <v>3.3399999999999985E-2</v>
      </c>
      <c r="W9" s="38" cm="1">
        <f t="array" aca="1" ref="W9" ca="1">TREND($K9:$P9,$K$1:$P$1,W$1)</f>
        <v>3.3800000000000052E-2</v>
      </c>
      <c r="X9" s="38" cm="1">
        <f t="array" aca="1" ref="X9" ca="1">TREND($K9:$P9,$K$1:$P$1,X$1)</f>
        <v>3.4200000000000008E-2</v>
      </c>
      <c r="Y9" s="38" cm="1">
        <f t="array" aca="1" ref="Y9" ca="1">TREND($K9:$P9,$K$1:$P$1,Y$1)</f>
        <v>3.4599999999999964E-2</v>
      </c>
      <c r="Z9" s="38" cm="1">
        <f t="array" aca="1" ref="Z9" ca="1">TREND($K9:$P9,$K$1:$P$1,Z$1)</f>
        <v>3.5000000000000031E-2</v>
      </c>
      <c r="AA9" s="38" cm="1">
        <f t="array" aca="1" ref="AA9" ca="1">TREND($K9:$P9,$K$1:$P$1,AA$1)</f>
        <v>3.5399999999999987E-2</v>
      </c>
      <c r="AB9" s="38" cm="1">
        <f t="array" aca="1" ref="AB9" ca="1">TREND($K9:$P9,$K$1:$P$1,AB$1)</f>
        <v>3.5800000000000054E-2</v>
      </c>
      <c r="AC9" s="38" cm="1">
        <f t="array" aca="1" ref="AC9" ca="1">TREND($K9:$P9,$K$1:$P$1,AC$1)</f>
        <v>3.620000000000001E-2</v>
      </c>
      <c r="AD9" s="38" cm="1">
        <f t="array" aca="1" ref="AD9" ca="1">TREND($K9:$P9,$K$1:$P$1,AD$1)</f>
        <v>3.6599999999999966E-2</v>
      </c>
      <c r="AE9" s="38" cm="1">
        <f t="array" aca="1" ref="AE9" ca="1">TREND($K9:$P9,$K$1:$P$1,AE$1)</f>
        <v>3.7000000000000033E-2</v>
      </c>
      <c r="AF9" s="38" cm="1">
        <f t="array" aca="1" ref="AF9" ca="1">TREND($K9:$P9,$K$1:$P$1,AF$1)</f>
        <v>3.7399999999999989E-2</v>
      </c>
      <c r="AG9" s="38" cm="1">
        <f t="array" aca="1" ref="AG9" ca="1">TREND($K9:$P9,$K$1:$P$1,AG$1)</f>
        <v>3.7800000000000056E-2</v>
      </c>
      <c r="AH9" s="38" cm="1">
        <f t="array" aca="1" ref="AH9" ca="1">TREND($K9:$P9,$K$1:$P$1,AH$1)</f>
        <v>3.8200000000000012E-2</v>
      </c>
      <c r="AI9" s="38" cm="1">
        <f t="array" aca="1" ref="AI9" ca="1">TREND($K9:$P9,$K$1:$P$1,AI$1)</f>
        <v>3.8599999999999968E-2</v>
      </c>
      <c r="AJ9" s="38" cm="1">
        <f t="array" aca="1" ref="AJ9" ca="1">TREND($K9:$P9,$K$1:$P$1,AJ$1)</f>
        <v>3.9000000000000035E-2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2.1000000000000001E-4</v>
      </c>
      <c r="C10" s="38">
        <f t="shared" ca="1" si="3"/>
        <v>2.1250000000000002E-4</v>
      </c>
      <c r="D10" s="38">
        <f t="shared" ca="1" si="0"/>
        <v>2.1500000000000002E-4</v>
      </c>
      <c r="E10" s="38">
        <f t="shared" ca="1" si="0"/>
        <v>2.175E-4</v>
      </c>
      <c r="F10" s="39" cm="1">
        <f t="array" aca="1" ref="F10" ca="1">INDIRECT(CONCATENATE("'",HLOOKUP(F$1,$B$21:$E$23,3,FALSE),"'!",$B$25,ROW($A10)+5))*About!$A$27</f>
        <v>2.2000000000000001E-4</v>
      </c>
      <c r="G10" s="38">
        <f t="shared" ca="1" si="4"/>
        <v>2.2600000000000002E-4</v>
      </c>
      <c r="H10" s="38">
        <f t="shared" ca="1" si="1"/>
        <v>2.32E-4</v>
      </c>
      <c r="I10" s="38">
        <f t="shared" ca="1" si="1"/>
        <v>2.3800000000000001E-4</v>
      </c>
      <c r="J10" s="38">
        <f t="shared" ca="1" si="1"/>
        <v>2.4399999999999999E-4</v>
      </c>
      <c r="K10" s="39" cm="1">
        <f t="array" aca="1" ref="K10" ca="1">INDIRECT(CONCATENATE("'",HLOOKUP(K$1,$B$21:$E$23,3,FALSE),"'!",$B$25,ROW($A10)+5))*About!$A$27</f>
        <v>2.5000000000000001E-4</v>
      </c>
      <c r="L10" s="38">
        <f t="shared" ca="1" si="5"/>
        <v>2.5399999999999999E-4</v>
      </c>
      <c r="M10" s="38">
        <f t="shared" ca="1" si="2"/>
        <v>2.5799999999999998E-4</v>
      </c>
      <c r="N10" s="38">
        <f t="shared" ca="1" si="2"/>
        <v>2.6200000000000003E-4</v>
      </c>
      <c r="O10" s="38">
        <f t="shared" ca="1" si="2"/>
        <v>2.6600000000000001E-4</v>
      </c>
      <c r="P10" s="39" cm="1">
        <f t="array" aca="1" ref="P10" ca="1">INDIRECT(CONCATENATE("'",HLOOKUP(P$1,$B$21:$E$23,3,FALSE),"'!",$B$25,ROW($A10)+5))*About!$A$27</f>
        <v>2.7E-4</v>
      </c>
      <c r="Q10" s="38" cm="1">
        <f t="array" aca="1" ref="Q10" ca="1">TREND($K10:$P10,$K$1:$P$1,Q$1)</f>
        <v>2.7399999999999994E-4</v>
      </c>
      <c r="R10" s="38" cm="1">
        <f t="array" aca="1" ref="R10" ca="1">TREND($K10:$P10,$K$1:$P$1,R$1)</f>
        <v>2.7800000000000047E-4</v>
      </c>
      <c r="S10" s="38" cm="1">
        <f t="array" aca="1" ref="S10" ca="1">TREND($K10:$P10,$K$1:$P$1,S$1)</f>
        <v>2.82000000000001E-4</v>
      </c>
      <c r="T10" s="38" cm="1">
        <f t="array" aca="1" ref="T10" ca="1">TREND($K10:$P10,$K$1:$P$1,T$1)</f>
        <v>2.859999999999998E-4</v>
      </c>
      <c r="U10" s="38" cm="1">
        <f t="array" aca="1" ref="U10" ca="1">TREND($K10:$P10,$K$1:$P$1,U$1)</f>
        <v>2.9000000000000033E-4</v>
      </c>
      <c r="V10" s="38" cm="1">
        <f t="array" aca="1" ref="V10" ca="1">TREND($K10:$P10,$K$1:$P$1,V$1)</f>
        <v>2.9400000000000086E-4</v>
      </c>
      <c r="W10" s="38" cm="1">
        <f t="array" aca="1" ref="W10" ca="1">TREND($K10:$P10,$K$1:$P$1,W$1)</f>
        <v>2.9799999999999965E-4</v>
      </c>
      <c r="X10" s="38" cm="1">
        <f t="array" aca="1" ref="X10" ca="1">TREND($K10:$P10,$K$1:$P$1,X$1)</f>
        <v>3.0200000000000018E-4</v>
      </c>
      <c r="Y10" s="38" cm="1">
        <f t="array" aca="1" ref="Y10" ca="1">TREND($K10:$P10,$K$1:$P$1,Y$1)</f>
        <v>3.0600000000000072E-4</v>
      </c>
      <c r="Z10" s="38" cm="1">
        <f t="array" aca="1" ref="Z10" ca="1">TREND($K10:$P10,$K$1:$P$1,Z$1)</f>
        <v>3.0999999999999951E-4</v>
      </c>
      <c r="AA10" s="38" cm="1">
        <f t="array" aca="1" ref="AA10" ca="1">TREND($K10:$P10,$K$1:$P$1,AA$1)</f>
        <v>3.1400000000000004E-4</v>
      </c>
      <c r="AB10" s="38" cm="1">
        <f t="array" aca="1" ref="AB10" ca="1">TREND($K10:$P10,$K$1:$P$1,AB$1)</f>
        <v>3.1800000000000057E-4</v>
      </c>
      <c r="AC10" s="38" cm="1">
        <f t="array" aca="1" ref="AC10" ca="1">TREND($K10:$P10,$K$1:$P$1,AC$1)</f>
        <v>3.220000000000011E-4</v>
      </c>
      <c r="AD10" s="38" cm="1">
        <f t="array" aca="1" ref="AD10" ca="1">TREND($K10:$P10,$K$1:$P$1,AD$1)</f>
        <v>3.259999999999999E-4</v>
      </c>
      <c r="AE10" s="38" cm="1">
        <f t="array" aca="1" ref="AE10" ca="1">TREND($K10:$P10,$K$1:$P$1,AE$1)</f>
        <v>3.3000000000000043E-4</v>
      </c>
      <c r="AF10" s="38" cm="1">
        <f t="array" aca="1" ref="AF10" ca="1">TREND($K10:$P10,$K$1:$P$1,AF$1)</f>
        <v>3.3400000000000096E-4</v>
      </c>
      <c r="AG10" s="38" cm="1">
        <f t="array" aca="1" ref="AG10" ca="1">TREND($K10:$P10,$K$1:$P$1,AG$1)</f>
        <v>3.3799999999999976E-4</v>
      </c>
      <c r="AH10" s="38" cm="1">
        <f t="array" aca="1" ref="AH10" ca="1">TREND($K10:$P10,$K$1:$P$1,AH$1)</f>
        <v>3.4200000000000029E-4</v>
      </c>
      <c r="AI10" s="38" cm="1">
        <f t="array" aca="1" ref="AI10" ca="1">TREND($K10:$P10,$K$1:$P$1,AI$1)</f>
        <v>3.4600000000000082E-4</v>
      </c>
      <c r="AJ10" s="38" cm="1">
        <f t="array" aca="1" ref="AJ10" ca="1">TREND($K10:$P10,$K$1:$P$1,AJ$1)</f>
        <v>3.4999999999999962E-4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2.0000000000000001E-4</v>
      </c>
      <c r="C11" s="38">
        <f t="shared" ca="1" si="3"/>
        <v>2.0250000000000002E-4</v>
      </c>
      <c r="D11" s="38">
        <f t="shared" ca="1" si="0"/>
        <v>2.05E-4</v>
      </c>
      <c r="E11" s="38">
        <f t="shared" ca="1" si="0"/>
        <v>2.075E-4</v>
      </c>
      <c r="F11" s="39" cm="1">
        <f t="array" aca="1" ref="F11" ca="1">INDIRECT(CONCATENATE("'",HLOOKUP(F$1,$B$21:$E$23,3,FALSE),"'!",$B$25,ROW($A11)+5))*About!$A$27</f>
        <v>2.1000000000000001E-4</v>
      </c>
      <c r="G11" s="38">
        <f t="shared" ca="1" si="4"/>
        <v>2.1600000000000002E-4</v>
      </c>
      <c r="H11" s="38">
        <f t="shared" ca="1" si="1"/>
        <v>2.22E-4</v>
      </c>
      <c r="I11" s="38">
        <f t="shared" ca="1" si="1"/>
        <v>2.2800000000000001E-4</v>
      </c>
      <c r="J11" s="38">
        <f t="shared" ca="1" si="1"/>
        <v>2.34E-4</v>
      </c>
      <c r="K11" s="39" cm="1">
        <f t="array" aca="1" ref="K11" ca="1">INDIRECT(CONCATENATE("'",HLOOKUP(K$1,$B$21:$E$23,3,FALSE),"'!",$B$25,ROW($A11)+5))*About!$A$27</f>
        <v>2.4000000000000001E-4</v>
      </c>
      <c r="L11" s="38">
        <f t="shared" ca="1" si="5"/>
        <v>2.4399999999999999E-4</v>
      </c>
      <c r="M11" s="38">
        <f t="shared" ca="1" si="2"/>
        <v>2.4800000000000001E-4</v>
      </c>
      <c r="N11" s="38">
        <f t="shared" ca="1" si="2"/>
        <v>2.52E-4</v>
      </c>
      <c r="O11" s="38">
        <f t="shared" ca="1" si="2"/>
        <v>2.5599999999999999E-4</v>
      </c>
      <c r="P11" s="39" cm="1">
        <f t="array" aca="1" ref="P11" ca="1">INDIRECT(CONCATENATE("'",HLOOKUP(P$1,$B$21:$E$23,3,FALSE),"'!",$B$25,ROW($A11)+5))*About!$A$27</f>
        <v>2.5999999999999998E-4</v>
      </c>
      <c r="Q11" s="38" cm="1">
        <f t="array" aca="1" ref="Q11" ca="1">TREND($K11:$P11,$K$1:$P$1,Q$1)</f>
        <v>2.6400000000000035E-4</v>
      </c>
      <c r="R11" s="38" cm="1">
        <f t="array" aca="1" ref="R11" ca="1">TREND($K11:$P11,$K$1:$P$1,R$1)</f>
        <v>2.6800000000000088E-4</v>
      </c>
      <c r="S11" s="38" cm="1">
        <f t="array" aca="1" ref="S11" ca="1">TREND($K11:$P11,$K$1:$P$1,S$1)</f>
        <v>2.7200000000000141E-4</v>
      </c>
      <c r="T11" s="38" cm="1">
        <f t="array" aca="1" ref="T11" ca="1">TREND($K11:$P11,$K$1:$P$1,T$1)</f>
        <v>2.760000000000002E-4</v>
      </c>
      <c r="U11" s="38" cm="1">
        <f t="array" aca="1" ref="U11" ca="1">TREND($K11:$P11,$K$1:$P$1,U$1)</f>
        <v>2.8000000000000073E-4</v>
      </c>
      <c r="V11" s="38" cm="1">
        <f t="array" aca="1" ref="V11" ca="1">TREND($K11:$P11,$K$1:$P$1,V$1)</f>
        <v>2.8400000000000127E-4</v>
      </c>
      <c r="W11" s="38" cm="1">
        <f t="array" aca="1" ref="W11" ca="1">TREND($K11:$P11,$K$1:$P$1,W$1)</f>
        <v>2.8800000000000006E-4</v>
      </c>
      <c r="X11" s="38" cm="1">
        <f t="array" aca="1" ref="X11" ca="1">TREND($K11:$P11,$K$1:$P$1,X$1)</f>
        <v>2.9200000000000059E-4</v>
      </c>
      <c r="Y11" s="38" cm="1">
        <f t="array" aca="1" ref="Y11" ca="1">TREND($K11:$P11,$K$1:$P$1,Y$1)</f>
        <v>2.9600000000000112E-4</v>
      </c>
      <c r="Z11" s="38" cm="1">
        <f t="array" aca="1" ref="Z11" ca="1">TREND($K11:$P11,$K$1:$P$1,Z$1)</f>
        <v>2.9999999999999992E-4</v>
      </c>
      <c r="AA11" s="38" cm="1">
        <f t="array" aca="1" ref="AA11" ca="1">TREND($K11:$P11,$K$1:$P$1,AA$1)</f>
        <v>3.0400000000000045E-4</v>
      </c>
      <c r="AB11" s="38" cm="1">
        <f t="array" aca="1" ref="AB11" ca="1">TREND($K11:$P11,$K$1:$P$1,AB$1)</f>
        <v>3.0800000000000098E-4</v>
      </c>
      <c r="AC11" s="38" cm="1">
        <f t="array" aca="1" ref="AC11" ca="1">TREND($K11:$P11,$K$1:$P$1,AC$1)</f>
        <v>3.1200000000000151E-4</v>
      </c>
      <c r="AD11" s="38" cm="1">
        <f t="array" aca="1" ref="AD11" ca="1">TREND($K11:$P11,$K$1:$P$1,AD$1)</f>
        <v>3.1600000000000031E-4</v>
      </c>
      <c r="AE11" s="38" cm="1">
        <f t="array" aca="1" ref="AE11" ca="1">TREND($K11:$P11,$K$1:$P$1,AE$1)</f>
        <v>3.2000000000000084E-4</v>
      </c>
      <c r="AF11" s="38" cm="1">
        <f t="array" aca="1" ref="AF11" ca="1">TREND($K11:$P11,$K$1:$P$1,AF$1)</f>
        <v>3.2400000000000137E-4</v>
      </c>
      <c r="AG11" s="38" cm="1">
        <f t="array" aca="1" ref="AG11" ca="1">TREND($K11:$P11,$K$1:$P$1,AG$1)</f>
        <v>3.2800000000000017E-4</v>
      </c>
      <c r="AH11" s="38" cm="1">
        <f t="array" aca="1" ref="AH11" ca="1">TREND($K11:$P11,$K$1:$P$1,AH$1)</f>
        <v>3.320000000000007E-4</v>
      </c>
      <c r="AI11" s="38" cm="1">
        <f t="array" aca="1" ref="AI11" ca="1">TREND($K11:$P11,$K$1:$P$1,AI$1)</f>
        <v>3.3600000000000123E-4</v>
      </c>
      <c r="AJ11" s="38" cm="1">
        <f t="array" aca="1" ref="AJ11" ca="1">TREND($K11:$P11,$K$1:$P$1,AJ$1)</f>
        <v>3.4000000000000002E-4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9.3100000000000008E-4</v>
      </c>
      <c r="C12" s="38">
        <f t="shared" ca="1" si="3"/>
        <v>9.475000000000001E-4</v>
      </c>
      <c r="D12" s="38">
        <f t="shared" ca="1" si="0"/>
        <v>9.6400000000000001E-4</v>
      </c>
      <c r="E12" s="38">
        <f t="shared" ca="1" si="0"/>
        <v>9.8050000000000003E-4</v>
      </c>
      <c r="F12" s="40">
        <f ca="1">SUM(INDIRECT(CONCATENATE("'",HLOOKUP(F$1,$B$21:$E$23,3,FALSE),"'!",$B$25,ROW($A12)+5,":",$B$25,ROW($A12)+6)))*About!$A$27</f>
        <v>9.9700000000000006E-4</v>
      </c>
      <c r="G12" s="38">
        <f t="shared" ca="1" si="4"/>
        <v>1.0156E-3</v>
      </c>
      <c r="H12" s="38">
        <f t="shared" ca="1" si="1"/>
        <v>1.0342000000000001E-3</v>
      </c>
      <c r="I12" s="38">
        <f t="shared" ca="1" si="1"/>
        <v>1.0528E-3</v>
      </c>
      <c r="J12" s="38">
        <f t="shared" ca="1" si="1"/>
        <v>1.0714000000000001E-3</v>
      </c>
      <c r="K12" s="40">
        <f ca="1">SUM(INDIRECT(CONCATENATE("'",HLOOKUP(K$1,$B$21:$E$23,3,FALSE),"'!",$B$25,ROW($A12)+5,":",$B$25,ROW($A12)+6)))*About!$A$27</f>
        <v>1.09E-3</v>
      </c>
      <c r="L12" s="38">
        <f t="shared" ca="1" si="5"/>
        <v>1.114E-3</v>
      </c>
      <c r="M12" s="38">
        <f t="shared" ca="1" si="2"/>
        <v>1.1380000000000001E-3</v>
      </c>
      <c r="N12" s="38">
        <f t="shared" ca="1" si="2"/>
        <v>1.1620000000000001E-3</v>
      </c>
      <c r="O12" s="38">
        <f t="shared" ca="1" si="2"/>
        <v>1.1860000000000002E-3</v>
      </c>
      <c r="P12" s="40">
        <f ca="1">SUM(INDIRECT(CONCATENATE("'",HLOOKUP(P$1,$B$21:$E$23,3,FALSE),"'!",$B$25,ROW($A12)+5,":",$B$25,ROW($A12)+6)))*About!$A$27</f>
        <v>1.2100000000000001E-3</v>
      </c>
      <c r="Q12" s="38" cm="1">
        <f t="array" aca="1" ref="Q12" ca="1">TREND($K12:$P12,$K$1:$P$1,Q$1)</f>
        <v>1.233999999999999E-3</v>
      </c>
      <c r="R12" s="38" cm="1">
        <f t="array" aca="1" ref="R12" ca="1">TREND($K12:$P12,$K$1:$P$1,R$1)</f>
        <v>1.2579999999999952E-3</v>
      </c>
      <c r="S12" s="38" cm="1">
        <f t="array" aca="1" ref="S12" ca="1">TREND($K12:$P12,$K$1:$P$1,S$1)</f>
        <v>1.2819999999999984E-3</v>
      </c>
      <c r="T12" s="38" cm="1">
        <f t="array" aca="1" ref="T12" ca="1">TREND($K12:$P12,$K$1:$P$1,T$1)</f>
        <v>1.3059999999999947E-3</v>
      </c>
      <c r="U12" s="38" cm="1">
        <f t="array" aca="1" ref="U12" ca="1">TREND($K12:$P12,$K$1:$P$1,U$1)</f>
        <v>1.3299999999999979E-3</v>
      </c>
      <c r="V12" s="38" cm="1">
        <f t="array" aca="1" ref="V12" ca="1">TREND($K12:$P12,$K$1:$P$1,V$1)</f>
        <v>1.3539999999999941E-3</v>
      </c>
      <c r="W12" s="38" cm="1">
        <f t="array" aca="1" ref="W12" ca="1">TREND($K12:$P12,$K$1:$P$1,W$1)</f>
        <v>1.3779999999999973E-3</v>
      </c>
      <c r="X12" s="38" cm="1">
        <f t="array" aca="1" ref="X12" ca="1">TREND($K12:$P12,$K$1:$P$1,X$1)</f>
        <v>1.4020000000000005E-3</v>
      </c>
      <c r="Y12" s="38" cm="1">
        <f t="array" aca="1" ref="Y12" ca="1">TREND($K12:$P12,$K$1:$P$1,Y$1)</f>
        <v>1.4259999999999967E-3</v>
      </c>
      <c r="Z12" s="38" cm="1">
        <f t="array" aca="1" ref="Z12" ca="1">TREND($K12:$P12,$K$1:$P$1,Z$1)</f>
        <v>1.4499999999999999E-3</v>
      </c>
      <c r="AA12" s="38" cm="1">
        <f t="array" aca="1" ref="AA12" ca="1">TREND($K12:$P12,$K$1:$P$1,AA$1)</f>
        <v>1.4739999999999961E-3</v>
      </c>
      <c r="AB12" s="38" cm="1">
        <f t="array" aca="1" ref="AB12" ca="1">TREND($K12:$P12,$K$1:$P$1,AB$1)</f>
        <v>1.4979999999999993E-3</v>
      </c>
      <c r="AC12" s="38" cm="1">
        <f t="array" aca="1" ref="AC12" ca="1">TREND($K12:$P12,$K$1:$P$1,AC$1)</f>
        <v>1.5219999999999956E-3</v>
      </c>
      <c r="AD12" s="38" cm="1">
        <f t="array" aca="1" ref="AD12" ca="1">TREND($K12:$P12,$K$1:$P$1,AD$1)</f>
        <v>1.5459999999999988E-3</v>
      </c>
      <c r="AE12" s="38" cm="1">
        <f t="array" aca="1" ref="AE12" ca="1">TREND($K12:$P12,$K$1:$P$1,AE$1)</f>
        <v>1.569999999999995E-3</v>
      </c>
      <c r="AF12" s="38" cm="1">
        <f t="array" aca="1" ref="AF12" ca="1">TREND($K12:$P12,$K$1:$P$1,AF$1)</f>
        <v>1.5939999999999982E-3</v>
      </c>
      <c r="AG12" s="38" cm="1">
        <f t="array" aca="1" ref="AG12" ca="1">TREND($K12:$P12,$K$1:$P$1,AG$1)</f>
        <v>1.6179999999999944E-3</v>
      </c>
      <c r="AH12" s="38" cm="1">
        <f t="array" aca="1" ref="AH12" ca="1">TREND($K12:$P12,$K$1:$P$1,AH$1)</f>
        <v>1.6419999999999976E-3</v>
      </c>
      <c r="AI12" s="38" cm="1">
        <f t="array" aca="1" ref="AI12" ca="1">TREND($K12:$P12,$K$1:$P$1,AI$1)</f>
        <v>1.6660000000000008E-3</v>
      </c>
      <c r="AJ12" s="38" cm="1">
        <f t="array" aca="1" ref="AJ12" ca="1">TREND($K12:$P12,$K$1:$P$1,AJ$1)</f>
        <v>1.6899999999999971E-3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HOIpTP-transport-NOx</v>
      </c>
    </row>
    <row r="18" spans="1:5" x14ac:dyDescent="0.25">
      <c r="A18" t="s">
        <v>114</v>
      </c>
      <c r="B18" t="str">
        <f ca="1">RIGHT(B17,LEN(B17)-7)</f>
        <v>transport-NOx</v>
      </c>
    </row>
    <row r="19" spans="1:5" x14ac:dyDescent="0.25">
      <c r="A19" t="s">
        <v>115</v>
      </c>
      <c r="B19" t="str">
        <f ca="1">LEFT(B18,FIND("-",B18)-1)</f>
        <v>transport</v>
      </c>
    </row>
    <row r="20" spans="1:5" x14ac:dyDescent="0.25">
      <c r="A20" t="s">
        <v>122</v>
      </c>
      <c r="B20" t="str">
        <f ca="1">VLOOKUP($B$19,Mappings!$A$22:$B$26,COLUMN(Mappings!$B$21),FALSE)</f>
        <v>on-road mobile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15</v>
      </c>
      <c r="C22" s="32">
        <f ca="1">VLOOKUP($B$20,Mappings!$A$3:$E$19,COLUMN(Mappings!C$2),FALSE)</f>
        <v>32</v>
      </c>
      <c r="D22" s="32">
        <f ca="1">VLOOKUP($B$20,Mappings!$A$3:$E$19,COLUMN(Mappings!D$2),FALSE)</f>
        <v>49</v>
      </c>
      <c r="E22" s="33">
        <f ca="1">VLOOKUP($B$20,Mappings!$A$3:$E$19,COLUMN(Mappings!E$2),FALSE)</f>
        <v>66</v>
      </c>
    </row>
    <row r="23" spans="1:5" x14ac:dyDescent="0.25">
      <c r="A23" s="34" t="s">
        <v>113</v>
      </c>
      <c r="B23" s="35" t="str">
        <f ca="1">CONCATENATE("Table ",B22)</f>
        <v>Table 15</v>
      </c>
      <c r="C23" s="35" t="str">
        <f ca="1">CONCATENATE("Table ",C22)</f>
        <v>Table 32</v>
      </c>
      <c r="D23" s="35" t="str">
        <f ca="1">CONCATENATE("Table ",D22)</f>
        <v>Table 49</v>
      </c>
      <c r="E23" s="36" t="str">
        <f ca="1">CONCATENATE("Table ",E22)</f>
        <v>Table 66</v>
      </c>
    </row>
    <row r="24" spans="1:5" x14ac:dyDescent="0.25">
      <c r="A24" t="s">
        <v>116</v>
      </c>
      <c r="B24" t="str">
        <f ca="1">REPLACE(B18,1,FIND("-",B18),"")</f>
        <v>NOx</v>
      </c>
    </row>
    <row r="25" spans="1:5" x14ac:dyDescent="0.25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7D52-2153-4372-8003-C9721898629A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4.2999999999999997E-2</v>
      </c>
      <c r="C2" s="38">
        <f ca="1">$B2+($F2-$B2)*(C$1-$B$1)/($F$1-$B$1)</f>
        <v>4.3249999999999997E-2</v>
      </c>
      <c r="D2" s="38">
        <f t="shared" ref="D2:E12" ca="1" si="0">$B2+($F2-$B2)*(D$1-$B$1)/($F$1-$B$1)</f>
        <v>4.3499999999999997E-2</v>
      </c>
      <c r="E2" s="38">
        <f t="shared" ca="1" si="0"/>
        <v>4.3749999999999997E-2</v>
      </c>
      <c r="F2" s="37" cm="1">
        <f t="array" aca="1" ref="F2" ca="1">INDIRECT(CONCATENATE("'",HLOOKUP(F$1,$B$21:$E$23,3,FALSE),"'!",$B$25,ROW($A2)+3))*About!$A$27</f>
        <v>4.3999999999999997E-2</v>
      </c>
      <c r="G2" s="38">
        <f ca="1">$F2+($K2-$F2)*(G$1-$F$1)/($K$1-$F$1)</f>
        <v>4.48E-2</v>
      </c>
      <c r="H2" s="38">
        <f t="shared" ref="H2:J12" ca="1" si="1">$F2+($K2-$F2)*(H$1-$F$1)/($K$1-$F$1)</f>
        <v>4.5600000000000002E-2</v>
      </c>
      <c r="I2" s="38">
        <f t="shared" ca="1" si="1"/>
        <v>4.6399999999999997E-2</v>
      </c>
      <c r="J2" s="38">
        <f t="shared" ca="1" si="1"/>
        <v>4.7199999999999999E-2</v>
      </c>
      <c r="K2" s="37" cm="1">
        <f t="array" aca="1" ref="K2" ca="1">INDIRECT(CONCATENATE("'",HLOOKUP(K$1,$B$21:$E$23,3,FALSE),"'!",$B$25,ROW($A2)+3))*About!$A$27</f>
        <v>4.8000000000000001E-2</v>
      </c>
      <c r="L2" s="38">
        <f ca="1">$K2+($P2-$K2)*(L$1-$K$1)/($P$1-$K$1)</f>
        <v>4.8599999999999997E-2</v>
      </c>
      <c r="M2" s="38">
        <f t="shared" ref="M2:O12" ca="1" si="2">$K2+($P2-$K2)*(M$1-$K$1)/($P$1-$K$1)</f>
        <v>4.9200000000000001E-2</v>
      </c>
      <c r="N2" s="38">
        <f t="shared" ca="1" si="2"/>
        <v>4.9799999999999997E-2</v>
      </c>
      <c r="O2" s="38">
        <f t="shared" ca="1" si="2"/>
        <v>5.04E-2</v>
      </c>
      <c r="P2" s="37" cm="1">
        <f t="array" aca="1" ref="P2" ca="1">INDIRECT(CONCATENATE("'",HLOOKUP(P$1,$B$21:$E$23,3,FALSE),"'!",$B$25,ROW($A2)+3))*About!$A$27</f>
        <v>5.0999999999999997E-2</v>
      </c>
      <c r="Q2" s="38" cm="1">
        <f t="array" aca="1" ref="Q2" ca="1">TREND($K2:$P2,$K$1:$P$1,Q$1)</f>
        <v>5.160000000000009E-2</v>
      </c>
      <c r="R2" s="38" cm="1">
        <f t="array" aca="1" ref="R2" ca="1">TREND($K2:$P2,$K$1:$P$1,R$1)</f>
        <v>5.2200000000000024E-2</v>
      </c>
      <c r="S2" s="38" cm="1">
        <f t="array" aca="1" ref="S2" ca="1">TREND($K2:$P2,$K$1:$P$1,S$1)</f>
        <v>5.280000000000018E-2</v>
      </c>
      <c r="T2" s="38" cm="1">
        <f t="array" aca="1" ref="T2" ca="1">TREND($K2:$P2,$K$1:$P$1,T$1)</f>
        <v>5.3400000000000114E-2</v>
      </c>
      <c r="U2" s="38" cm="1">
        <f t="array" aca="1" ref="U2" ca="1">TREND($K2:$P2,$K$1:$P$1,U$1)</f>
        <v>5.4000000000000048E-2</v>
      </c>
      <c r="V2" s="38" cm="1">
        <f t="array" aca="1" ref="V2" ca="1">TREND($K2:$P2,$K$1:$P$1,V$1)</f>
        <v>5.4599999999999982E-2</v>
      </c>
      <c r="W2" s="38" cm="1">
        <f t="array" aca="1" ref="W2" ca="1">TREND($K2:$P2,$K$1:$P$1,W$1)</f>
        <v>5.5200000000000138E-2</v>
      </c>
      <c r="X2" s="38" cm="1">
        <f t="array" aca="1" ref="X2" ca="1">TREND($K2:$P2,$K$1:$P$1,X$1)</f>
        <v>5.5800000000000072E-2</v>
      </c>
      <c r="Y2" s="38" cm="1">
        <f t="array" aca="1" ref="Y2" ca="1">TREND($K2:$P2,$K$1:$P$1,Y$1)</f>
        <v>5.6400000000000006E-2</v>
      </c>
      <c r="Z2" s="38" cm="1">
        <f t="array" aca="1" ref="Z2" ca="1">TREND($K2:$P2,$K$1:$P$1,Z$1)</f>
        <v>5.7000000000000162E-2</v>
      </c>
      <c r="AA2" s="38" cm="1">
        <f t="array" aca="1" ref="AA2" ca="1">TREND($K2:$P2,$K$1:$P$1,AA$1)</f>
        <v>5.7600000000000096E-2</v>
      </c>
      <c r="AB2" s="38" cm="1">
        <f t="array" aca="1" ref="AB2" ca="1">TREND($K2:$P2,$K$1:$P$1,AB$1)</f>
        <v>5.8200000000000029E-2</v>
      </c>
      <c r="AC2" s="38" cm="1">
        <f t="array" aca="1" ref="AC2" ca="1">TREND($K2:$P2,$K$1:$P$1,AC$1)</f>
        <v>5.8800000000000185E-2</v>
      </c>
      <c r="AD2" s="38" cm="1">
        <f t="array" aca="1" ref="AD2" ca="1">TREND($K2:$P2,$K$1:$P$1,AD$1)</f>
        <v>5.9400000000000119E-2</v>
      </c>
      <c r="AE2" s="38" cm="1">
        <f t="array" aca="1" ref="AE2" ca="1">TREND($K2:$P2,$K$1:$P$1,AE$1)</f>
        <v>6.0000000000000053E-2</v>
      </c>
      <c r="AF2" s="38" cm="1">
        <f t="array" aca="1" ref="AF2" ca="1">TREND($K2:$P2,$K$1:$P$1,AF$1)</f>
        <v>6.0599999999999987E-2</v>
      </c>
      <c r="AG2" s="38" cm="1">
        <f t="array" aca="1" ref="AG2" ca="1">TREND($K2:$P2,$K$1:$P$1,AG$1)</f>
        <v>6.1200000000000143E-2</v>
      </c>
      <c r="AH2" s="38" cm="1">
        <f t="array" aca="1" ref="AH2" ca="1">TREND($K2:$P2,$K$1:$P$1,AH$1)</f>
        <v>6.1800000000000077E-2</v>
      </c>
      <c r="AI2" s="38" cm="1">
        <f t="array" aca="1" ref="AI2" ca="1">TREND($K2:$P2,$K$1:$P$1,AI$1)</f>
        <v>6.2400000000000011E-2</v>
      </c>
      <c r="AJ2" s="38" cm="1">
        <f t="array" aca="1" ref="AJ2" ca="1">TREND($K2:$P2,$K$1:$P$1,AJ$1)</f>
        <v>6.3000000000000167E-2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2.5000000000000001E-2</v>
      </c>
      <c r="C3" s="38">
        <f t="shared" ref="C3:C12" ca="1" si="3">$B3+($F3-$B3)*(C$1-$B$1)/($F$1-$B$1)</f>
        <v>2.5250000000000002E-2</v>
      </c>
      <c r="D3" s="38">
        <f t="shared" ca="1" si="0"/>
        <v>2.5500000000000002E-2</v>
      </c>
      <c r="E3" s="38">
        <f t="shared" ca="1" si="0"/>
        <v>2.5749999999999999E-2</v>
      </c>
      <c r="F3" s="39" cm="1">
        <f t="array" aca="1" ref="F3" ca="1">INDIRECT(CONCATENATE("'",HLOOKUP(F$1,$B$21:$E$23,3,FALSE),"'!",$B$25,ROW($A3)+5))*About!$A$27</f>
        <v>2.5999999999999999E-2</v>
      </c>
      <c r="G3" s="38">
        <f t="shared" ref="G3:G12" ca="1" si="4">$F3+($K3-$F3)*(G$1-$F$1)/($K$1-$F$1)</f>
        <v>2.6199999999999998E-2</v>
      </c>
      <c r="H3" s="38">
        <f t="shared" ca="1" si="1"/>
        <v>2.64E-2</v>
      </c>
      <c r="I3" s="38">
        <f t="shared" ca="1" si="1"/>
        <v>2.6599999999999999E-2</v>
      </c>
      <c r="J3" s="38">
        <f t="shared" ca="1" si="1"/>
        <v>2.6800000000000001E-2</v>
      </c>
      <c r="K3" s="39" cm="1">
        <f t="array" aca="1" ref="K3" ca="1">INDIRECT(CONCATENATE("'",HLOOKUP(K$1,$B$21:$E$23,3,FALSE),"'!",$B$25,ROW($A3)+5))*About!$A$27</f>
        <v>2.7E-2</v>
      </c>
      <c r="L3" s="38">
        <f t="shared" ref="L3:L12" ca="1" si="5">$K3+($P3-$K3)*(L$1-$K$1)/($P$1-$K$1)</f>
        <v>2.7199999999999998E-2</v>
      </c>
      <c r="M3" s="38">
        <f t="shared" ca="1" si="2"/>
        <v>2.7400000000000001E-2</v>
      </c>
      <c r="N3" s="38">
        <f t="shared" ca="1" si="2"/>
        <v>2.76E-2</v>
      </c>
      <c r="O3" s="38">
        <f t="shared" ca="1" si="2"/>
        <v>2.7800000000000002E-2</v>
      </c>
      <c r="P3" s="39" cm="1">
        <f t="array" aca="1" ref="P3" ca="1">INDIRECT(CONCATENATE("'",HLOOKUP(P$1,$B$21:$E$23,3,FALSE),"'!",$B$25,ROW($A3)+5))*About!$A$27</f>
        <v>2.8000000000000001E-2</v>
      </c>
      <c r="Q3" s="38" cm="1">
        <f t="array" aca="1" ref="Q3" ca="1">TREND($K3:$P3,$K$1:$P$1,Q$1)</f>
        <v>2.8200000000000003E-2</v>
      </c>
      <c r="R3" s="38" cm="1">
        <f t="array" aca="1" ref="R3" ca="1">TREND($K3:$P3,$K$1:$P$1,R$1)</f>
        <v>2.8400000000000036E-2</v>
      </c>
      <c r="S3" s="38" cm="1">
        <f t="array" aca="1" ref="S3" ca="1">TREND($K3:$P3,$K$1:$P$1,S$1)</f>
        <v>2.8600000000000014E-2</v>
      </c>
      <c r="T3" s="38" cm="1">
        <f t="array" aca="1" ref="T3" ca="1">TREND($K3:$P3,$K$1:$P$1,T$1)</f>
        <v>2.8799999999999992E-2</v>
      </c>
      <c r="U3" s="38" cm="1">
        <f t="array" aca="1" ref="U3" ca="1">TREND($K3:$P3,$K$1:$P$1,U$1)</f>
        <v>2.9000000000000026E-2</v>
      </c>
      <c r="V3" s="38" cm="1">
        <f t="array" aca="1" ref="V3" ca="1">TREND($K3:$P3,$K$1:$P$1,V$1)</f>
        <v>2.9200000000000004E-2</v>
      </c>
      <c r="W3" s="38" cm="1">
        <f t="array" aca="1" ref="W3" ca="1">TREND($K3:$P3,$K$1:$P$1,W$1)</f>
        <v>2.9400000000000037E-2</v>
      </c>
      <c r="X3" s="38" cm="1">
        <f t="array" aca="1" ref="X3" ca="1">TREND($K3:$P3,$K$1:$P$1,X$1)</f>
        <v>2.9600000000000015E-2</v>
      </c>
      <c r="Y3" s="38" cm="1">
        <f t="array" aca="1" ref="Y3" ca="1">TREND($K3:$P3,$K$1:$P$1,Y$1)</f>
        <v>2.9799999999999993E-2</v>
      </c>
      <c r="Z3" s="38" cm="1">
        <f t="array" aca="1" ref="Z3" ca="1">TREND($K3:$P3,$K$1:$P$1,Z$1)</f>
        <v>3.0000000000000027E-2</v>
      </c>
      <c r="AA3" s="38" cm="1">
        <f t="array" aca="1" ref="AA3" ca="1">TREND($K3:$P3,$K$1:$P$1,AA$1)</f>
        <v>3.0200000000000005E-2</v>
      </c>
      <c r="AB3" s="38" cm="1">
        <f t="array" aca="1" ref="AB3" ca="1">TREND($K3:$P3,$K$1:$P$1,AB$1)</f>
        <v>3.0400000000000038E-2</v>
      </c>
      <c r="AC3" s="38" cm="1">
        <f t="array" aca="1" ref="AC3" ca="1">TREND($K3:$P3,$K$1:$P$1,AC$1)</f>
        <v>3.0600000000000016E-2</v>
      </c>
      <c r="AD3" s="38" cm="1">
        <f t="array" aca="1" ref="AD3" ca="1">TREND($K3:$P3,$K$1:$P$1,AD$1)</f>
        <v>3.0799999999999994E-2</v>
      </c>
      <c r="AE3" s="38" cm="1">
        <f t="array" aca="1" ref="AE3" ca="1">TREND($K3:$P3,$K$1:$P$1,AE$1)</f>
        <v>3.1000000000000028E-2</v>
      </c>
      <c r="AF3" s="38" cm="1">
        <f t="array" aca="1" ref="AF3" ca="1">TREND($K3:$P3,$K$1:$P$1,AF$1)</f>
        <v>3.1200000000000006E-2</v>
      </c>
      <c r="AG3" s="38" cm="1">
        <f t="array" aca="1" ref="AG3" ca="1">TREND($K3:$P3,$K$1:$P$1,AG$1)</f>
        <v>3.1400000000000039E-2</v>
      </c>
      <c r="AH3" s="38" cm="1">
        <f t="array" aca="1" ref="AH3" ca="1">TREND($K3:$P3,$K$1:$P$1,AH$1)</f>
        <v>3.1600000000000017E-2</v>
      </c>
      <c r="AI3" s="38" cm="1">
        <f t="array" aca="1" ref="AI3" ca="1">TREND($K3:$P3,$K$1:$P$1,AI$1)</f>
        <v>3.1799999999999995E-2</v>
      </c>
      <c r="AJ3" s="38" cm="1">
        <f t="array" aca="1" ref="AJ3" ca="1">TREND($K3:$P3,$K$1:$P$1,AJ$1)</f>
        <v>3.2000000000000028E-2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6.4000000000000001E-2</v>
      </c>
      <c r="C4" s="38">
        <f t="shared" ca="1" si="3"/>
        <v>6.4000000000000001E-2</v>
      </c>
      <c r="D4" s="38">
        <f t="shared" ca="1" si="0"/>
        <v>6.4000000000000001E-2</v>
      </c>
      <c r="E4" s="38">
        <f t="shared" ca="1" si="0"/>
        <v>6.4000000000000001E-2</v>
      </c>
      <c r="F4" s="39" cm="1">
        <f t="array" aca="1" ref="F4" ca="1">INDIRECT(CONCATENATE("'",HLOOKUP(F$1,$B$21:$E$23,3,FALSE),"'!",$B$25,ROW($A4)+5))*About!$A$27</f>
        <v>6.4000000000000001E-2</v>
      </c>
      <c r="G4" s="38">
        <f t="shared" ca="1" si="4"/>
        <v>6.4600000000000005E-2</v>
      </c>
      <c r="H4" s="38">
        <f t="shared" ca="1" si="1"/>
        <v>6.5200000000000008E-2</v>
      </c>
      <c r="I4" s="38">
        <f t="shared" ca="1" si="1"/>
        <v>6.5799999999999997E-2</v>
      </c>
      <c r="J4" s="38">
        <f t="shared" ca="1" si="1"/>
        <v>6.6400000000000001E-2</v>
      </c>
      <c r="K4" s="39" cm="1">
        <f t="array" aca="1" ref="K4" ca="1">INDIRECT(CONCATENATE("'",HLOOKUP(K$1,$B$21:$E$23,3,FALSE),"'!",$B$25,ROW($A4)+5))*About!$A$27</f>
        <v>6.7000000000000004E-2</v>
      </c>
      <c r="L4" s="38">
        <f t="shared" ca="1" si="5"/>
        <v>6.8199999999999997E-2</v>
      </c>
      <c r="M4" s="38">
        <f t="shared" ca="1" si="2"/>
        <v>6.9400000000000003E-2</v>
      </c>
      <c r="N4" s="38">
        <f t="shared" ca="1" si="2"/>
        <v>7.0599999999999996E-2</v>
      </c>
      <c r="O4" s="38">
        <f t="shared" ca="1" si="2"/>
        <v>7.1800000000000003E-2</v>
      </c>
      <c r="P4" s="39" cm="1">
        <f t="array" aca="1" ref="P4" ca="1">INDIRECT(CONCATENATE("'",HLOOKUP(P$1,$B$21:$E$23,3,FALSE),"'!",$B$25,ROW($A4)+5))*About!$A$27</f>
        <v>7.2999999999999995E-2</v>
      </c>
      <c r="Q4" s="38" cm="1">
        <f t="array" aca="1" ref="Q4" ca="1">TREND($K4:$P4,$K$1:$P$1,Q$1)</f>
        <v>7.4199999999999822E-2</v>
      </c>
      <c r="R4" s="38" cm="1">
        <f t="array" aca="1" ref="R4" ca="1">TREND($K4:$P4,$K$1:$P$1,R$1)</f>
        <v>7.5399999999999689E-2</v>
      </c>
      <c r="S4" s="38" cm="1">
        <f t="array" aca="1" ref="S4" ca="1">TREND($K4:$P4,$K$1:$P$1,S$1)</f>
        <v>7.6600000000000001E-2</v>
      </c>
      <c r="T4" s="38" cm="1">
        <f t="array" aca="1" ref="T4" ca="1">TREND($K4:$P4,$K$1:$P$1,T$1)</f>
        <v>7.7799999999999869E-2</v>
      </c>
      <c r="U4" s="38" cm="1">
        <f t="array" aca="1" ref="U4" ca="1">TREND($K4:$P4,$K$1:$P$1,U$1)</f>
        <v>7.8999999999999737E-2</v>
      </c>
      <c r="V4" s="38" cm="1">
        <f t="array" aca="1" ref="V4" ca="1">TREND($K4:$P4,$K$1:$P$1,V$1)</f>
        <v>8.0199999999999605E-2</v>
      </c>
      <c r="W4" s="38" cm="1">
        <f t="array" aca="1" ref="W4" ca="1">TREND($K4:$P4,$K$1:$P$1,W$1)</f>
        <v>8.1399999999999917E-2</v>
      </c>
      <c r="X4" s="38" cm="1">
        <f t="array" aca="1" ref="X4" ca="1">TREND($K4:$P4,$K$1:$P$1,X$1)</f>
        <v>8.2599999999999785E-2</v>
      </c>
      <c r="Y4" s="38" cm="1">
        <f t="array" aca="1" ref="Y4" ca="1">TREND($K4:$P4,$K$1:$P$1,Y$1)</f>
        <v>8.3799999999999653E-2</v>
      </c>
      <c r="Z4" s="38" cm="1">
        <f t="array" aca="1" ref="Z4" ca="1">TREND($K4:$P4,$K$1:$P$1,Z$1)</f>
        <v>8.4999999999999964E-2</v>
      </c>
      <c r="AA4" s="38" cm="1">
        <f t="array" aca="1" ref="AA4" ca="1">TREND($K4:$P4,$K$1:$P$1,AA$1)</f>
        <v>8.6199999999999832E-2</v>
      </c>
      <c r="AB4" s="38" cm="1">
        <f t="array" aca="1" ref="AB4" ca="1">TREND($K4:$P4,$K$1:$P$1,AB$1)</f>
        <v>8.73999999999997E-2</v>
      </c>
      <c r="AC4" s="38" cm="1">
        <f t="array" aca="1" ref="AC4" ca="1">TREND($K4:$P4,$K$1:$P$1,AC$1)</f>
        <v>8.8600000000000012E-2</v>
      </c>
      <c r="AD4" s="38" cm="1">
        <f t="array" aca="1" ref="AD4" ca="1">TREND($K4:$P4,$K$1:$P$1,AD$1)</f>
        <v>8.979999999999988E-2</v>
      </c>
      <c r="AE4" s="38" cm="1">
        <f t="array" aca="1" ref="AE4" ca="1">TREND($K4:$P4,$K$1:$P$1,AE$1)</f>
        <v>9.0999999999999748E-2</v>
      </c>
      <c r="AF4" s="38" cm="1">
        <f t="array" aca="1" ref="AF4" ca="1">TREND($K4:$P4,$K$1:$P$1,AF$1)</f>
        <v>9.2199999999999616E-2</v>
      </c>
      <c r="AG4" s="38" cm="1">
        <f t="array" aca="1" ref="AG4" ca="1">TREND($K4:$P4,$K$1:$P$1,AG$1)</f>
        <v>9.3399999999999928E-2</v>
      </c>
      <c r="AH4" s="38" cm="1">
        <f t="array" aca="1" ref="AH4" ca="1">TREND($K4:$P4,$K$1:$P$1,AH$1)</f>
        <v>9.4599999999999795E-2</v>
      </c>
      <c r="AI4" s="38" cm="1">
        <f t="array" aca="1" ref="AI4" ca="1">TREND($K4:$P4,$K$1:$P$1,AI$1)</f>
        <v>9.5799999999999663E-2</v>
      </c>
      <c r="AJ4" s="38" cm="1">
        <f t="array" aca="1" ref="AJ4" ca="1">TREND($K4:$P4,$K$1:$P$1,AJ$1)</f>
        <v>9.6999999999999975E-2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0.81</v>
      </c>
      <c r="C5" s="38">
        <f t="shared" ca="1" si="3"/>
        <v>0.8125</v>
      </c>
      <c r="D5" s="38">
        <f t="shared" ca="1" si="0"/>
        <v>0.81499999999999995</v>
      </c>
      <c r="E5" s="38">
        <f t="shared" ca="1" si="0"/>
        <v>0.8175</v>
      </c>
      <c r="F5" s="39" cm="1">
        <f t="array" aca="1" ref="F5" ca="1">INDIRECT(CONCATENATE("'",HLOOKUP(F$1,$B$21:$E$23,3,FALSE),"'!",$B$25,ROW($A5)+5))*About!$A$27</f>
        <v>0.82</v>
      </c>
      <c r="G5" s="38">
        <f t="shared" ca="1" si="4"/>
        <v>0.82799999999999996</v>
      </c>
      <c r="H5" s="38">
        <f t="shared" ca="1" si="1"/>
        <v>0.83599999999999997</v>
      </c>
      <c r="I5" s="38">
        <f t="shared" ca="1" si="1"/>
        <v>0.84399999999999997</v>
      </c>
      <c r="J5" s="38">
        <f t="shared" ca="1" si="1"/>
        <v>0.85199999999999998</v>
      </c>
      <c r="K5" s="39" cm="1">
        <f t="array" aca="1" ref="K5" ca="1">INDIRECT(CONCATENATE("'",HLOOKUP(K$1,$B$21:$E$23,3,FALSE),"'!",$B$25,ROW($A5)+5))*About!$A$27</f>
        <v>0.86</v>
      </c>
      <c r="L5" s="38">
        <f t="shared" ca="1" si="5"/>
        <v>0.874</v>
      </c>
      <c r="M5" s="38">
        <f t="shared" ca="1" si="2"/>
        <v>0.88800000000000001</v>
      </c>
      <c r="N5" s="38">
        <f t="shared" ca="1" si="2"/>
        <v>0.90200000000000002</v>
      </c>
      <c r="O5" s="38">
        <f t="shared" ca="1" si="2"/>
        <v>0.91600000000000004</v>
      </c>
      <c r="P5" s="39" cm="1">
        <f t="array" aca="1" ref="P5" ca="1">INDIRECT(CONCATENATE("'",HLOOKUP(P$1,$B$21:$E$23,3,FALSE),"'!",$B$25,ROW($A5)+5))*About!$A$27</f>
        <v>0.93</v>
      </c>
      <c r="Q5" s="38" cm="1">
        <f t="array" aca="1" ref="Q5" ca="1">TREND($K5:$P5,$K$1:$P$1,Q$1)</f>
        <v>0.94399999999999906</v>
      </c>
      <c r="R5" s="38" cm="1">
        <f t="array" aca="1" ref="R5" ca="1">TREND($K5:$P5,$K$1:$P$1,R$1)</f>
        <v>0.95799999999999841</v>
      </c>
      <c r="S5" s="38" cm="1">
        <f t="array" aca="1" ref="S5" ca="1">TREND($K5:$P5,$K$1:$P$1,S$1)</f>
        <v>0.97199999999999775</v>
      </c>
      <c r="T5" s="38" cm="1">
        <f t="array" aca="1" ref="T5" ca="1">TREND($K5:$P5,$K$1:$P$1,T$1)</f>
        <v>0.9859999999999971</v>
      </c>
      <c r="U5" s="38" cm="1">
        <f t="array" aca="1" ref="U5" ca="1">TREND($K5:$P5,$K$1:$P$1,U$1)</f>
        <v>1</v>
      </c>
      <c r="V5" s="38" cm="1">
        <f t="array" aca="1" ref="V5" ca="1">TREND($K5:$P5,$K$1:$P$1,V$1)</f>
        <v>1.0139999999999993</v>
      </c>
      <c r="W5" s="38" cm="1">
        <f t="array" aca="1" ref="W5" ca="1">TREND($K5:$P5,$K$1:$P$1,W$1)</f>
        <v>1.0279999999999987</v>
      </c>
      <c r="X5" s="38" cm="1">
        <f t="array" aca="1" ref="X5" ca="1">TREND($K5:$P5,$K$1:$P$1,X$1)</f>
        <v>1.041999999999998</v>
      </c>
      <c r="Y5" s="38" cm="1">
        <f t="array" aca="1" ref="Y5" ca="1">TREND($K5:$P5,$K$1:$P$1,Y$1)</f>
        <v>1.0559999999999974</v>
      </c>
      <c r="Z5" s="38" cm="1">
        <f t="array" aca="1" ref="Z5" ca="1">TREND($K5:$P5,$K$1:$P$1,Z$1)</f>
        <v>1.0699999999999967</v>
      </c>
      <c r="AA5" s="38" cm="1">
        <f t="array" aca="1" ref="AA5" ca="1">TREND($K5:$P5,$K$1:$P$1,AA$1)</f>
        <v>1.0839999999999996</v>
      </c>
      <c r="AB5" s="38" cm="1">
        <f t="array" aca="1" ref="AB5" ca="1">TREND($K5:$P5,$K$1:$P$1,AB$1)</f>
        <v>1.097999999999999</v>
      </c>
      <c r="AC5" s="38" cm="1">
        <f t="array" aca="1" ref="AC5" ca="1">TREND($K5:$P5,$K$1:$P$1,AC$1)</f>
        <v>1.1119999999999983</v>
      </c>
      <c r="AD5" s="38" cm="1">
        <f t="array" aca="1" ref="AD5" ca="1">TREND($K5:$P5,$K$1:$P$1,AD$1)</f>
        <v>1.1259999999999977</v>
      </c>
      <c r="AE5" s="38" cm="1">
        <f t="array" aca="1" ref="AE5" ca="1">TREND($K5:$P5,$K$1:$P$1,AE$1)</f>
        <v>1.139999999999997</v>
      </c>
      <c r="AF5" s="38" cm="1">
        <f t="array" aca="1" ref="AF5" ca="1">TREND($K5:$P5,$K$1:$P$1,AF$1)</f>
        <v>1.1539999999999999</v>
      </c>
      <c r="AG5" s="38" cm="1">
        <f t="array" aca="1" ref="AG5" ca="1">TREND($K5:$P5,$K$1:$P$1,AG$1)</f>
        <v>1.1679999999999993</v>
      </c>
      <c r="AH5" s="38" cm="1">
        <f t="array" aca="1" ref="AH5" ca="1">TREND($K5:$P5,$K$1:$P$1,AH$1)</f>
        <v>1.1819999999999986</v>
      </c>
      <c r="AI5" s="38" cm="1">
        <f t="array" aca="1" ref="AI5" ca="1">TREND($K5:$P5,$K$1:$P$1,AI$1)</f>
        <v>1.195999999999998</v>
      </c>
      <c r="AJ5" s="38" cm="1">
        <f t="array" aca="1" ref="AJ5" ca="1">TREND($K5:$P5,$K$1:$P$1,AJ$1)</f>
        <v>1.2099999999999973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1.2</v>
      </c>
      <c r="C6" s="38">
        <f t="shared" ca="1" si="3"/>
        <v>1.2</v>
      </c>
      <c r="D6" s="38">
        <f t="shared" ca="1" si="0"/>
        <v>1.2</v>
      </c>
      <c r="E6" s="38">
        <f t="shared" ca="1" si="0"/>
        <v>1.2</v>
      </c>
      <c r="F6" s="39" cm="1">
        <f t="array" aca="1" ref="F6" ca="1">INDIRECT(CONCATENATE("'",HLOOKUP(F$1,$B$21:$E$23,3,FALSE),"'!",$B$25,ROW($A6)+5))*About!$A$27</f>
        <v>1.2</v>
      </c>
      <c r="G6" s="38">
        <f t="shared" ca="1" si="4"/>
        <v>1.2</v>
      </c>
      <c r="H6" s="38">
        <f t="shared" ca="1" si="1"/>
        <v>1.2</v>
      </c>
      <c r="I6" s="38">
        <f t="shared" ca="1" si="1"/>
        <v>1.2</v>
      </c>
      <c r="J6" s="38">
        <f t="shared" ca="1" si="1"/>
        <v>1.2</v>
      </c>
      <c r="K6" s="39" cm="1">
        <f t="array" aca="1" ref="K6" ca="1">INDIRECT(CONCATENATE("'",HLOOKUP(K$1,$B$21:$E$23,3,FALSE),"'!",$B$25,ROW($A6)+5))*About!$A$27</f>
        <v>1.2</v>
      </c>
      <c r="L6" s="38">
        <f t="shared" ca="1" si="5"/>
        <v>1.22</v>
      </c>
      <c r="M6" s="38">
        <f t="shared" ca="1" si="2"/>
        <v>1.24</v>
      </c>
      <c r="N6" s="38">
        <f t="shared" ca="1" si="2"/>
        <v>1.26</v>
      </c>
      <c r="O6" s="38">
        <f t="shared" ca="1" si="2"/>
        <v>1.28</v>
      </c>
      <c r="P6" s="39" cm="1">
        <f t="array" aca="1" ref="P6" ca="1">INDIRECT(CONCATENATE("'",HLOOKUP(P$1,$B$21:$E$23,3,FALSE),"'!",$B$25,ROW($A6)+5))*About!$A$27</f>
        <v>1.3</v>
      </c>
      <c r="Q6" s="38" cm="1">
        <f t="array" aca="1" ref="Q6" ca="1">TREND($K6:$P6,$K$1:$P$1,Q$1)</f>
        <v>1.3200000000000003</v>
      </c>
      <c r="R6" s="38" cm="1">
        <f t="array" aca="1" ref="R6" ca="1">TREND($K6:$P6,$K$1:$P$1,R$1)</f>
        <v>1.3400000000000034</v>
      </c>
      <c r="S6" s="38" cm="1">
        <f t="array" aca="1" ref="S6" ca="1">TREND($K6:$P6,$K$1:$P$1,S$1)</f>
        <v>1.3600000000000065</v>
      </c>
      <c r="T6" s="38" cm="1">
        <f t="array" aca="1" ref="T6" ca="1">TREND($K6:$P6,$K$1:$P$1,T$1)</f>
        <v>1.3800000000000026</v>
      </c>
      <c r="U6" s="38" cm="1">
        <f t="array" aca="1" ref="U6" ca="1">TREND($K6:$P6,$K$1:$P$1,U$1)</f>
        <v>1.4000000000000057</v>
      </c>
      <c r="V6" s="38" cm="1">
        <f t="array" aca="1" ref="V6" ca="1">TREND($K6:$P6,$K$1:$P$1,V$1)</f>
        <v>1.4200000000000017</v>
      </c>
      <c r="W6" s="38" cm="1">
        <f t="array" aca="1" ref="W6" ca="1">TREND($K6:$P6,$K$1:$P$1,W$1)</f>
        <v>1.4400000000000048</v>
      </c>
      <c r="X6" s="38" cm="1">
        <f t="array" aca="1" ref="X6" ca="1">TREND($K6:$P6,$K$1:$P$1,X$1)</f>
        <v>1.4600000000000009</v>
      </c>
      <c r="Y6" s="38" cm="1">
        <f t="array" aca="1" ref="Y6" ca="1">TREND($K6:$P6,$K$1:$P$1,Y$1)</f>
        <v>1.480000000000004</v>
      </c>
      <c r="Z6" s="38" cm="1">
        <f t="array" aca="1" ref="Z6" ca="1">TREND($K6:$P6,$K$1:$P$1,Z$1)</f>
        <v>1.5000000000000071</v>
      </c>
      <c r="AA6" s="38" cm="1">
        <f t="array" aca="1" ref="AA6" ca="1">TREND($K6:$P6,$K$1:$P$1,AA$1)</f>
        <v>1.5200000000000031</v>
      </c>
      <c r="AB6" s="38" cm="1">
        <f t="array" aca="1" ref="AB6" ca="1">TREND($K6:$P6,$K$1:$P$1,AB$1)</f>
        <v>1.5400000000000063</v>
      </c>
      <c r="AC6" s="38" cm="1">
        <f t="array" aca="1" ref="AC6" ca="1">TREND($K6:$P6,$K$1:$P$1,AC$1)</f>
        <v>1.5600000000000023</v>
      </c>
      <c r="AD6" s="38" cm="1">
        <f t="array" aca="1" ref="AD6" ca="1">TREND($K6:$P6,$K$1:$P$1,AD$1)</f>
        <v>1.5800000000000054</v>
      </c>
      <c r="AE6" s="38" cm="1">
        <f t="array" aca="1" ref="AE6" ca="1">TREND($K6:$P6,$K$1:$P$1,AE$1)</f>
        <v>1.6000000000000014</v>
      </c>
      <c r="AF6" s="38" cm="1">
        <f t="array" aca="1" ref="AF6" ca="1">TREND($K6:$P6,$K$1:$P$1,AF$1)</f>
        <v>1.6200000000000045</v>
      </c>
      <c r="AG6" s="38" cm="1">
        <f t="array" aca="1" ref="AG6" ca="1">TREND($K6:$P6,$K$1:$P$1,AG$1)</f>
        <v>1.6400000000000006</v>
      </c>
      <c r="AH6" s="38" cm="1">
        <f t="array" aca="1" ref="AH6" ca="1">TREND($K6:$P6,$K$1:$P$1,AH$1)</f>
        <v>1.6600000000000037</v>
      </c>
      <c r="AI6" s="38" cm="1">
        <f t="array" aca="1" ref="AI6" ca="1">TREND($K6:$P6,$K$1:$P$1,AI$1)</f>
        <v>1.6800000000000068</v>
      </c>
      <c r="AJ6" s="38" cm="1">
        <f t="array" aca="1" ref="AJ6" ca="1">TREND($K6:$P6,$K$1:$P$1,AJ$1)</f>
        <v>1.7000000000000028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35</v>
      </c>
      <c r="C7" s="38">
        <f t="shared" ca="1" si="3"/>
        <v>35.25</v>
      </c>
      <c r="D7" s="38">
        <f t="shared" ca="1" si="0"/>
        <v>35.5</v>
      </c>
      <c r="E7" s="38">
        <f t="shared" ca="1" si="0"/>
        <v>35.75</v>
      </c>
      <c r="F7" s="39" cm="1">
        <f t="array" aca="1" ref="F7" ca="1">INDIRECT(CONCATENATE("'",HLOOKUP(F$1,$B$21:$E$23,3,FALSE),"'!",$B$25,ROW($A7)+5))*About!$A$27</f>
        <v>36</v>
      </c>
      <c r="G7" s="38">
        <f t="shared" ca="1" si="4"/>
        <v>36</v>
      </c>
      <c r="H7" s="38">
        <f t="shared" ca="1" si="1"/>
        <v>36</v>
      </c>
      <c r="I7" s="38">
        <f t="shared" ca="1" si="1"/>
        <v>36</v>
      </c>
      <c r="J7" s="38">
        <f t="shared" ca="1" si="1"/>
        <v>36</v>
      </c>
      <c r="K7" s="39" cm="1">
        <f t="array" aca="1" ref="K7" ca="1">INDIRECT(CONCATENATE("'",HLOOKUP(K$1,$B$21:$E$23,3,FALSE),"'!",$B$25,ROW($A7)+5))*About!$A$27</f>
        <v>36</v>
      </c>
      <c r="L7" s="38">
        <f t="shared" ca="1" si="5"/>
        <v>36.200000000000003</v>
      </c>
      <c r="M7" s="38">
        <f t="shared" ca="1" si="2"/>
        <v>36.4</v>
      </c>
      <c r="N7" s="38">
        <f t="shared" ca="1" si="2"/>
        <v>36.6</v>
      </c>
      <c r="O7" s="38">
        <f t="shared" ca="1" si="2"/>
        <v>36.799999999999997</v>
      </c>
      <c r="P7" s="39" cm="1">
        <f t="array" aca="1" ref="P7" ca="1">INDIRECT(CONCATENATE("'",HLOOKUP(P$1,$B$21:$E$23,3,FALSE),"'!",$B$25,ROW($A7)+5))*About!$A$27</f>
        <v>37</v>
      </c>
      <c r="Q7" s="38" cm="1">
        <f t="array" aca="1" ref="Q7" ca="1">TREND($K7:$P7,$K$1:$P$1,Q$1)</f>
        <v>37.199999999999989</v>
      </c>
      <c r="R7" s="38" cm="1">
        <f t="array" aca="1" ref="R7" ca="1">TREND($K7:$P7,$K$1:$P$1,R$1)</f>
        <v>37.399999999999977</v>
      </c>
      <c r="S7" s="38" cm="1">
        <f t="array" aca="1" ref="S7" ca="1">TREND($K7:$P7,$K$1:$P$1,S$1)</f>
        <v>37.599999999999966</v>
      </c>
      <c r="T7" s="38" cm="1">
        <f t="array" aca="1" ref="T7" ca="1">TREND($K7:$P7,$K$1:$P$1,T$1)</f>
        <v>37.799999999999955</v>
      </c>
      <c r="U7" s="38" cm="1">
        <f t="array" aca="1" ref="U7" ca="1">TREND($K7:$P7,$K$1:$P$1,U$1)</f>
        <v>37.999999999999943</v>
      </c>
      <c r="V7" s="38" cm="1">
        <f t="array" aca="1" ref="V7" ca="1">TREND($K7:$P7,$K$1:$P$1,V$1)</f>
        <v>38.199999999999989</v>
      </c>
      <c r="W7" s="38" cm="1">
        <f t="array" aca="1" ref="W7" ca="1">TREND($K7:$P7,$K$1:$P$1,W$1)</f>
        <v>38.399999999999977</v>
      </c>
      <c r="X7" s="38" cm="1">
        <f t="array" aca="1" ref="X7" ca="1">TREND($K7:$P7,$K$1:$P$1,X$1)</f>
        <v>38.599999999999966</v>
      </c>
      <c r="Y7" s="38" cm="1">
        <f t="array" aca="1" ref="Y7" ca="1">TREND($K7:$P7,$K$1:$P$1,Y$1)</f>
        <v>38.799999999999955</v>
      </c>
      <c r="Z7" s="38" cm="1">
        <f t="array" aca="1" ref="Z7" ca="1">TREND($K7:$P7,$K$1:$P$1,Z$1)</f>
        <v>38.999999999999943</v>
      </c>
      <c r="AA7" s="38" cm="1">
        <f t="array" aca="1" ref="AA7" ca="1">TREND($K7:$P7,$K$1:$P$1,AA$1)</f>
        <v>39.199999999999989</v>
      </c>
      <c r="AB7" s="38" cm="1">
        <f t="array" aca="1" ref="AB7" ca="1">TREND($K7:$P7,$K$1:$P$1,AB$1)</f>
        <v>39.399999999999977</v>
      </c>
      <c r="AC7" s="38" cm="1">
        <f t="array" aca="1" ref="AC7" ca="1">TREND($K7:$P7,$K$1:$P$1,AC$1)</f>
        <v>39.599999999999966</v>
      </c>
      <c r="AD7" s="38" cm="1">
        <f t="array" aca="1" ref="AD7" ca="1">TREND($K7:$P7,$K$1:$P$1,AD$1)</f>
        <v>39.799999999999955</v>
      </c>
      <c r="AE7" s="38" cm="1">
        <f t="array" aca="1" ref="AE7" ca="1">TREND($K7:$P7,$K$1:$P$1,AE$1)</f>
        <v>39.999999999999943</v>
      </c>
      <c r="AF7" s="38" cm="1">
        <f t="array" aca="1" ref="AF7" ca="1">TREND($K7:$P7,$K$1:$P$1,AF$1)</f>
        <v>40.199999999999989</v>
      </c>
      <c r="AG7" s="38" cm="1">
        <f t="array" aca="1" ref="AG7" ca="1">TREND($K7:$P7,$K$1:$P$1,AG$1)</f>
        <v>40.399999999999977</v>
      </c>
      <c r="AH7" s="38" cm="1">
        <f t="array" aca="1" ref="AH7" ca="1">TREND($K7:$P7,$K$1:$P$1,AH$1)</f>
        <v>40.599999999999966</v>
      </c>
      <c r="AI7" s="38" cm="1">
        <f t="array" aca="1" ref="AI7" ca="1">TREND($K7:$P7,$K$1:$P$1,AI$1)</f>
        <v>40.799999999999955</v>
      </c>
      <c r="AJ7" s="38" cm="1">
        <f t="array" aca="1" ref="AJ7" ca="1">TREND($K7:$P7,$K$1:$P$1,AJ$1)</f>
        <v>40.999999999999943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5.9</v>
      </c>
      <c r="C8" s="38">
        <f t="shared" ca="1" si="3"/>
        <v>5.95</v>
      </c>
      <c r="D8" s="38">
        <f t="shared" ca="1" si="0"/>
        <v>6</v>
      </c>
      <c r="E8" s="38">
        <f t="shared" ca="1" si="0"/>
        <v>6.05</v>
      </c>
      <c r="F8" s="39" cm="1">
        <f t="array" aca="1" ref="F8" ca="1">INDIRECT(CONCATENATE("'",HLOOKUP(F$1,$B$21:$E$23,3,FALSE),"'!",$B$25,ROW($A8)+5))*About!$A$27</f>
        <v>6.1</v>
      </c>
      <c r="G8" s="38">
        <f t="shared" ca="1" si="4"/>
        <v>6.12</v>
      </c>
      <c r="H8" s="38">
        <f t="shared" ca="1" si="1"/>
        <v>6.14</v>
      </c>
      <c r="I8" s="38">
        <f t="shared" ca="1" si="1"/>
        <v>6.16</v>
      </c>
      <c r="J8" s="38">
        <f t="shared" ca="1" si="1"/>
        <v>6.18</v>
      </c>
      <c r="K8" s="39" cm="1">
        <f t="array" aca="1" ref="K8" ca="1">INDIRECT(CONCATENATE("'",HLOOKUP(K$1,$B$21:$E$23,3,FALSE),"'!",$B$25,ROW($A8)+5))*About!$A$27</f>
        <v>6.2</v>
      </c>
      <c r="L8" s="38">
        <f t="shared" ca="1" si="5"/>
        <v>6.22</v>
      </c>
      <c r="M8" s="38">
        <f t="shared" ca="1" si="2"/>
        <v>6.24</v>
      </c>
      <c r="N8" s="38">
        <f t="shared" ca="1" si="2"/>
        <v>6.26</v>
      </c>
      <c r="O8" s="38">
        <f t="shared" ca="1" si="2"/>
        <v>6.28</v>
      </c>
      <c r="P8" s="39" cm="1">
        <f t="array" aca="1" ref="P8" ca="1">INDIRECT(CONCATENATE("'",HLOOKUP(P$1,$B$21:$E$23,3,FALSE),"'!",$B$25,ROW($A8)+5))*About!$A$27</f>
        <v>6.3</v>
      </c>
      <c r="Q8" s="38" cm="1">
        <f t="array" aca="1" ref="Q8" ca="1">TREND($K8:$P8,$K$1:$P$1,Q$1)</f>
        <v>6.32</v>
      </c>
      <c r="R8" s="38" cm="1">
        <f t="array" aca="1" ref="R8" ca="1">TREND($K8:$P8,$K$1:$P$1,R$1)</f>
        <v>6.3399999999999963</v>
      </c>
      <c r="S8" s="38" cm="1">
        <f t="array" aca="1" ref="S8" ca="1">TREND($K8:$P8,$K$1:$P$1,S$1)</f>
        <v>6.3599999999999994</v>
      </c>
      <c r="T8" s="38" cm="1">
        <f t="array" aca="1" ref="T8" ca="1">TREND($K8:$P8,$K$1:$P$1,T$1)</f>
        <v>6.3799999999999955</v>
      </c>
      <c r="U8" s="38" cm="1">
        <f t="array" aca="1" ref="U8" ca="1">TREND($K8:$P8,$K$1:$P$1,U$1)</f>
        <v>6.3999999999999986</v>
      </c>
      <c r="V8" s="38" cm="1">
        <f t="array" aca="1" ref="V8" ca="1">TREND($K8:$P8,$K$1:$P$1,V$1)</f>
        <v>6.4199999999999946</v>
      </c>
      <c r="W8" s="38" cm="1">
        <f t="array" aca="1" ref="W8" ca="1">TREND($K8:$P8,$K$1:$P$1,W$1)</f>
        <v>6.4399999999999977</v>
      </c>
      <c r="X8" s="38" cm="1">
        <f t="array" aca="1" ref="X8" ca="1">TREND($K8:$P8,$K$1:$P$1,X$1)</f>
        <v>6.4599999999999937</v>
      </c>
      <c r="Y8" s="38" cm="1">
        <f t="array" aca="1" ref="Y8" ca="1">TREND($K8:$P8,$K$1:$P$1,Y$1)</f>
        <v>6.4799999999999969</v>
      </c>
      <c r="Z8" s="38" cm="1">
        <f t="array" aca="1" ref="Z8" ca="1">TREND($K8:$P8,$K$1:$P$1,Z$1)</f>
        <v>6.5</v>
      </c>
      <c r="AA8" s="38" cm="1">
        <f t="array" aca="1" ref="AA8" ca="1">TREND($K8:$P8,$K$1:$P$1,AA$1)</f>
        <v>6.519999999999996</v>
      </c>
      <c r="AB8" s="38" cm="1">
        <f t="array" aca="1" ref="AB8" ca="1">TREND($K8:$P8,$K$1:$P$1,AB$1)</f>
        <v>6.5399999999999991</v>
      </c>
      <c r="AC8" s="38" cm="1">
        <f t="array" aca="1" ref="AC8" ca="1">TREND($K8:$P8,$K$1:$P$1,AC$1)</f>
        <v>6.5599999999999952</v>
      </c>
      <c r="AD8" s="38" cm="1">
        <f t="array" aca="1" ref="AD8" ca="1">TREND($K8:$P8,$K$1:$P$1,AD$1)</f>
        <v>6.5799999999999983</v>
      </c>
      <c r="AE8" s="38" cm="1">
        <f t="array" aca="1" ref="AE8" ca="1">TREND($K8:$P8,$K$1:$P$1,AE$1)</f>
        <v>6.5999999999999943</v>
      </c>
      <c r="AF8" s="38" cm="1">
        <f t="array" aca="1" ref="AF8" ca="1">TREND($K8:$P8,$K$1:$P$1,AF$1)</f>
        <v>6.6199999999999974</v>
      </c>
      <c r="AG8" s="38" cm="1">
        <f t="array" aca="1" ref="AG8" ca="1">TREND($K8:$P8,$K$1:$P$1,AG$1)</f>
        <v>6.6399999999999935</v>
      </c>
      <c r="AH8" s="38" cm="1">
        <f t="array" aca="1" ref="AH8" ca="1">TREND($K8:$P8,$K$1:$P$1,AH$1)</f>
        <v>6.6599999999999966</v>
      </c>
      <c r="AI8" s="38" cm="1">
        <f t="array" aca="1" ref="AI8" ca="1">TREND($K8:$P8,$K$1:$P$1,AI$1)</f>
        <v>6.68</v>
      </c>
      <c r="AJ8" s="38" cm="1">
        <f t="array" aca="1" ref="AJ8" ca="1">TREND($K8:$P8,$K$1:$P$1,AJ$1)</f>
        <v>6.6999999999999957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1.4</v>
      </c>
      <c r="C9" s="38">
        <f t="shared" ca="1" si="3"/>
        <v>1.4</v>
      </c>
      <c r="D9" s="38">
        <f t="shared" ca="1" si="0"/>
        <v>1.4</v>
      </c>
      <c r="E9" s="38">
        <f t="shared" ca="1" si="0"/>
        <v>1.4</v>
      </c>
      <c r="F9" s="39" cm="1">
        <f t="array" aca="1" ref="F9" ca="1">INDIRECT(CONCATENATE("'",HLOOKUP(F$1,$B$21:$E$23,3,FALSE),"'!",$B$25,ROW($A9)+5))*About!$A$27</f>
        <v>1.4</v>
      </c>
      <c r="G9" s="38">
        <f t="shared" ca="1" si="4"/>
        <v>1.4</v>
      </c>
      <c r="H9" s="38">
        <f t="shared" ca="1" si="1"/>
        <v>1.4</v>
      </c>
      <c r="I9" s="38">
        <f t="shared" ca="1" si="1"/>
        <v>1.4</v>
      </c>
      <c r="J9" s="38">
        <f t="shared" ca="1" si="1"/>
        <v>1.4</v>
      </c>
      <c r="K9" s="39" cm="1">
        <f t="array" aca="1" ref="K9" ca="1">INDIRECT(CONCATENATE("'",HLOOKUP(K$1,$B$21:$E$23,3,FALSE),"'!",$B$25,ROW($A9)+5))*About!$A$27</f>
        <v>1.4</v>
      </c>
      <c r="L9" s="38">
        <f t="shared" ca="1" si="5"/>
        <v>1.42</v>
      </c>
      <c r="M9" s="38">
        <f t="shared" ca="1" si="2"/>
        <v>1.44</v>
      </c>
      <c r="N9" s="38">
        <f t="shared" ca="1" si="2"/>
        <v>1.46</v>
      </c>
      <c r="O9" s="38">
        <f t="shared" ca="1" si="2"/>
        <v>1.48</v>
      </c>
      <c r="P9" s="39" cm="1">
        <f t="array" aca="1" ref="P9" ca="1">INDIRECT(CONCATENATE("'",HLOOKUP(P$1,$B$21:$E$23,3,FALSE),"'!",$B$25,ROW($A9)+5))*About!$A$27</f>
        <v>1.5</v>
      </c>
      <c r="Q9" s="38" cm="1">
        <f t="array" aca="1" ref="Q9" ca="1">TREND($K9:$P9,$K$1:$P$1,Q$1)</f>
        <v>1.5200000000000031</v>
      </c>
      <c r="R9" s="38" cm="1">
        <f t="array" aca="1" ref="R9" ca="1">TREND($K9:$P9,$K$1:$P$1,R$1)</f>
        <v>1.5400000000000063</v>
      </c>
      <c r="S9" s="38" cm="1">
        <f t="array" aca="1" ref="S9" ca="1">TREND($K9:$P9,$K$1:$P$1,S$1)</f>
        <v>1.5600000000000094</v>
      </c>
      <c r="T9" s="38" cm="1">
        <f t="array" aca="1" ref="T9" ca="1">TREND($K9:$P9,$K$1:$P$1,T$1)</f>
        <v>1.5800000000000054</v>
      </c>
      <c r="U9" s="38" cm="1">
        <f t="array" aca="1" ref="U9" ca="1">TREND($K9:$P9,$K$1:$P$1,U$1)</f>
        <v>1.6000000000000085</v>
      </c>
      <c r="V9" s="38" cm="1">
        <f t="array" aca="1" ref="V9" ca="1">TREND($K9:$P9,$K$1:$P$1,V$1)</f>
        <v>1.6200000000000045</v>
      </c>
      <c r="W9" s="38" cm="1">
        <f t="array" aca="1" ref="W9" ca="1">TREND($K9:$P9,$K$1:$P$1,W$1)</f>
        <v>1.6400000000000077</v>
      </c>
      <c r="X9" s="38" cm="1">
        <f t="array" aca="1" ref="X9" ca="1">TREND($K9:$P9,$K$1:$P$1,X$1)</f>
        <v>1.6600000000000037</v>
      </c>
      <c r="Y9" s="38" cm="1">
        <f t="array" aca="1" ref="Y9" ca="1">TREND($K9:$P9,$K$1:$P$1,Y$1)</f>
        <v>1.6800000000000068</v>
      </c>
      <c r="Z9" s="38" cm="1">
        <f t="array" aca="1" ref="Z9" ca="1">TREND($K9:$P9,$K$1:$P$1,Z$1)</f>
        <v>1.7000000000000099</v>
      </c>
      <c r="AA9" s="38" cm="1">
        <f t="array" aca="1" ref="AA9" ca="1">TREND($K9:$P9,$K$1:$P$1,AA$1)</f>
        <v>1.720000000000006</v>
      </c>
      <c r="AB9" s="38" cm="1">
        <f t="array" aca="1" ref="AB9" ca="1">TREND($K9:$P9,$K$1:$P$1,AB$1)</f>
        <v>1.7400000000000091</v>
      </c>
      <c r="AC9" s="38" cm="1">
        <f t="array" aca="1" ref="AC9" ca="1">TREND($K9:$P9,$K$1:$P$1,AC$1)</f>
        <v>1.7600000000000051</v>
      </c>
      <c r="AD9" s="38" cm="1">
        <f t="array" aca="1" ref="AD9" ca="1">TREND($K9:$P9,$K$1:$P$1,AD$1)</f>
        <v>1.7800000000000082</v>
      </c>
      <c r="AE9" s="38" cm="1">
        <f t="array" aca="1" ref="AE9" ca="1">TREND($K9:$P9,$K$1:$P$1,AE$1)</f>
        <v>1.8000000000000043</v>
      </c>
      <c r="AF9" s="38" cm="1">
        <f t="array" aca="1" ref="AF9" ca="1">TREND($K9:$P9,$K$1:$P$1,AF$1)</f>
        <v>1.8200000000000074</v>
      </c>
      <c r="AG9" s="38" cm="1">
        <f t="array" aca="1" ref="AG9" ca="1">TREND($K9:$P9,$K$1:$P$1,AG$1)</f>
        <v>1.8400000000000034</v>
      </c>
      <c r="AH9" s="38" cm="1">
        <f t="array" aca="1" ref="AH9" ca="1">TREND($K9:$P9,$K$1:$P$1,AH$1)</f>
        <v>1.8600000000000065</v>
      </c>
      <c r="AI9" s="38" cm="1">
        <f t="array" aca="1" ref="AI9" ca="1">TREND($K9:$P9,$K$1:$P$1,AI$1)</f>
        <v>1.8800000000000097</v>
      </c>
      <c r="AJ9" s="38" cm="1">
        <f t="array" aca="1" ref="AJ9" ca="1">TREND($K9:$P9,$K$1:$P$1,AJ$1)</f>
        <v>1.9000000000000057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0.01</v>
      </c>
      <c r="C10" s="38">
        <f t="shared" ca="1" si="3"/>
        <v>1.025E-2</v>
      </c>
      <c r="D10" s="38">
        <f t="shared" ca="1" si="0"/>
        <v>1.0499999999999999E-2</v>
      </c>
      <c r="E10" s="38">
        <f t="shared" ca="1" si="0"/>
        <v>1.0749999999999999E-2</v>
      </c>
      <c r="F10" s="39" cm="1">
        <f t="array" aca="1" ref="F10" ca="1">INDIRECT(CONCATENATE("'",HLOOKUP(F$1,$B$21:$E$23,3,FALSE),"'!",$B$25,ROW($A10)+5))*About!$A$27</f>
        <v>1.0999999999999999E-2</v>
      </c>
      <c r="G10" s="38">
        <f t="shared" ca="1" si="4"/>
        <v>1.12E-2</v>
      </c>
      <c r="H10" s="38">
        <f t="shared" ca="1" si="1"/>
        <v>1.14E-2</v>
      </c>
      <c r="I10" s="38">
        <f t="shared" ca="1" si="1"/>
        <v>1.1599999999999999E-2</v>
      </c>
      <c r="J10" s="38">
        <f t="shared" ca="1" si="1"/>
        <v>1.18E-2</v>
      </c>
      <c r="K10" s="39" cm="1">
        <f t="array" aca="1" ref="K10" ca="1">INDIRECT(CONCATENATE("'",HLOOKUP(K$1,$B$21:$E$23,3,FALSE),"'!",$B$25,ROW($A10)+5))*About!$A$27</f>
        <v>1.2E-2</v>
      </c>
      <c r="L10" s="38">
        <f t="shared" ca="1" si="5"/>
        <v>1.24E-2</v>
      </c>
      <c r="M10" s="38">
        <f t="shared" ca="1" si="2"/>
        <v>1.2800000000000001E-2</v>
      </c>
      <c r="N10" s="38">
        <f t="shared" ca="1" si="2"/>
        <v>1.32E-2</v>
      </c>
      <c r="O10" s="38">
        <f t="shared" ca="1" si="2"/>
        <v>1.3600000000000001E-2</v>
      </c>
      <c r="P10" s="39" cm="1">
        <f t="array" aca="1" ref="P10" ca="1">INDIRECT(CONCATENATE("'",HLOOKUP(P$1,$B$21:$E$23,3,FALSE),"'!",$B$25,ROW($A10)+5))*About!$A$27</f>
        <v>1.4E-2</v>
      </c>
      <c r="Q10" s="38" cm="1">
        <f t="array" aca="1" ref="Q10" ca="1">TREND($K10:$P10,$K$1:$P$1,Q$1)</f>
        <v>1.4399999999999968E-2</v>
      </c>
      <c r="R10" s="38" cm="1">
        <f t="array" aca="1" ref="R10" ca="1">TREND($K10:$P10,$K$1:$P$1,R$1)</f>
        <v>1.4800000000000035E-2</v>
      </c>
      <c r="S10" s="38" cm="1">
        <f t="array" aca="1" ref="S10" ca="1">TREND($K10:$P10,$K$1:$P$1,S$1)</f>
        <v>1.5199999999999991E-2</v>
      </c>
      <c r="T10" s="38" cm="1">
        <f t="array" aca="1" ref="T10" ca="1">TREND($K10:$P10,$K$1:$P$1,T$1)</f>
        <v>1.5599999999999947E-2</v>
      </c>
      <c r="U10" s="38" cm="1">
        <f t="array" aca="1" ref="U10" ca="1">TREND($K10:$P10,$K$1:$P$1,U$1)</f>
        <v>1.6000000000000014E-2</v>
      </c>
      <c r="V10" s="38" cm="1">
        <f t="array" aca="1" ref="V10" ca="1">TREND($K10:$P10,$K$1:$P$1,V$1)</f>
        <v>1.639999999999997E-2</v>
      </c>
      <c r="W10" s="38" cm="1">
        <f t="array" aca="1" ref="W10" ca="1">TREND($K10:$P10,$K$1:$P$1,W$1)</f>
        <v>1.6800000000000037E-2</v>
      </c>
      <c r="X10" s="38" cm="1">
        <f t="array" aca="1" ref="X10" ca="1">TREND($K10:$P10,$K$1:$P$1,X$1)</f>
        <v>1.7199999999999993E-2</v>
      </c>
      <c r="Y10" s="38" cm="1">
        <f t="array" aca="1" ref="Y10" ca="1">TREND($K10:$P10,$K$1:$P$1,Y$1)</f>
        <v>1.7599999999999949E-2</v>
      </c>
      <c r="Z10" s="38" cm="1">
        <f t="array" aca="1" ref="Z10" ca="1">TREND($K10:$P10,$K$1:$P$1,Z$1)</f>
        <v>1.8000000000000016E-2</v>
      </c>
      <c r="AA10" s="38" cm="1">
        <f t="array" aca="1" ref="AA10" ca="1">TREND($K10:$P10,$K$1:$P$1,AA$1)</f>
        <v>1.8399999999999972E-2</v>
      </c>
      <c r="AB10" s="38" cm="1">
        <f t="array" aca="1" ref="AB10" ca="1">TREND($K10:$P10,$K$1:$P$1,AB$1)</f>
        <v>1.8800000000000039E-2</v>
      </c>
      <c r="AC10" s="38" cm="1">
        <f t="array" aca="1" ref="AC10" ca="1">TREND($K10:$P10,$K$1:$P$1,AC$1)</f>
        <v>1.9199999999999995E-2</v>
      </c>
      <c r="AD10" s="38" cm="1">
        <f t="array" aca="1" ref="AD10" ca="1">TREND($K10:$P10,$K$1:$P$1,AD$1)</f>
        <v>1.9599999999999951E-2</v>
      </c>
      <c r="AE10" s="38" cm="1">
        <f t="array" aca="1" ref="AE10" ca="1">TREND($K10:$P10,$K$1:$P$1,AE$1)</f>
        <v>2.0000000000000018E-2</v>
      </c>
      <c r="AF10" s="38" cm="1">
        <f t="array" aca="1" ref="AF10" ca="1">TREND($K10:$P10,$K$1:$P$1,AF$1)</f>
        <v>2.0399999999999974E-2</v>
      </c>
      <c r="AG10" s="38" cm="1">
        <f t="array" aca="1" ref="AG10" ca="1">TREND($K10:$P10,$K$1:$P$1,AG$1)</f>
        <v>2.0800000000000041E-2</v>
      </c>
      <c r="AH10" s="38" cm="1">
        <f t="array" aca="1" ref="AH10" ca="1">TREND($K10:$P10,$K$1:$P$1,AH$1)</f>
        <v>2.1199999999999997E-2</v>
      </c>
      <c r="AI10" s="38" cm="1">
        <f t="array" aca="1" ref="AI10" ca="1">TREND($K10:$P10,$K$1:$P$1,AI$1)</f>
        <v>2.1599999999999953E-2</v>
      </c>
      <c r="AJ10" s="38" cm="1">
        <f t="array" aca="1" ref="AJ10" ca="1">TREND($K10:$P10,$K$1:$P$1,AJ$1)</f>
        <v>2.200000000000002E-2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9.7999999999999997E-3</v>
      </c>
      <c r="C11" s="38">
        <f t="shared" ca="1" si="3"/>
        <v>1.01E-2</v>
      </c>
      <c r="D11" s="38">
        <f t="shared" ca="1" si="0"/>
        <v>1.04E-2</v>
      </c>
      <c r="E11" s="38">
        <f t="shared" ca="1" si="0"/>
        <v>1.0699999999999999E-2</v>
      </c>
      <c r="F11" s="39" cm="1">
        <f t="array" aca="1" ref="F11" ca="1">INDIRECT(CONCATENATE("'",HLOOKUP(F$1,$B$21:$E$23,3,FALSE),"'!",$B$25,ROW($A11)+5))*About!$A$27</f>
        <v>1.0999999999999999E-2</v>
      </c>
      <c r="G11" s="38">
        <f t="shared" ca="1" si="4"/>
        <v>1.12E-2</v>
      </c>
      <c r="H11" s="38">
        <f t="shared" ca="1" si="1"/>
        <v>1.14E-2</v>
      </c>
      <c r="I11" s="38">
        <f t="shared" ca="1" si="1"/>
        <v>1.1599999999999999E-2</v>
      </c>
      <c r="J11" s="38">
        <f t="shared" ca="1" si="1"/>
        <v>1.18E-2</v>
      </c>
      <c r="K11" s="39" cm="1">
        <f t="array" aca="1" ref="K11" ca="1">INDIRECT(CONCATENATE("'",HLOOKUP(K$1,$B$21:$E$23,3,FALSE),"'!",$B$25,ROW($A11)+5))*About!$A$27</f>
        <v>1.2E-2</v>
      </c>
      <c r="L11" s="38">
        <f t="shared" ca="1" si="5"/>
        <v>1.2200000000000001E-2</v>
      </c>
      <c r="M11" s="38">
        <f t="shared" ca="1" si="2"/>
        <v>1.24E-2</v>
      </c>
      <c r="N11" s="38">
        <f t="shared" ca="1" si="2"/>
        <v>1.26E-2</v>
      </c>
      <c r="O11" s="38">
        <f t="shared" ca="1" si="2"/>
        <v>1.2799999999999999E-2</v>
      </c>
      <c r="P11" s="39" cm="1">
        <f t="array" aca="1" ref="P11" ca="1">INDIRECT(CONCATENATE("'",HLOOKUP(P$1,$B$21:$E$23,3,FALSE),"'!",$B$25,ROW($A11)+5))*About!$A$27</f>
        <v>1.2999999999999999E-2</v>
      </c>
      <c r="Q11" s="38" cm="1">
        <f t="array" aca="1" ref="Q11" ca="1">TREND($K11:$P11,$K$1:$P$1,Q$1)</f>
        <v>1.319999999999999E-2</v>
      </c>
      <c r="R11" s="38" cm="1">
        <f t="array" aca="1" ref="R11" ca="1">TREND($K11:$P11,$K$1:$P$1,R$1)</f>
        <v>1.3400000000000023E-2</v>
      </c>
      <c r="S11" s="38" cm="1">
        <f t="array" aca="1" ref="S11" ca="1">TREND($K11:$P11,$K$1:$P$1,S$1)</f>
        <v>1.3600000000000001E-2</v>
      </c>
      <c r="T11" s="38" cm="1">
        <f t="array" aca="1" ref="T11" ca="1">TREND($K11:$P11,$K$1:$P$1,T$1)</f>
        <v>1.3800000000000034E-2</v>
      </c>
      <c r="U11" s="38" cm="1">
        <f t="array" aca="1" ref="U11" ca="1">TREND($K11:$P11,$K$1:$P$1,U$1)</f>
        <v>1.4000000000000012E-2</v>
      </c>
      <c r="V11" s="38" cm="1">
        <f t="array" aca="1" ref="V11" ca="1">TREND($K11:$P11,$K$1:$P$1,V$1)</f>
        <v>1.419999999999999E-2</v>
      </c>
      <c r="W11" s="38" cm="1">
        <f t="array" aca="1" ref="W11" ca="1">TREND($K11:$P11,$K$1:$P$1,W$1)</f>
        <v>1.4400000000000024E-2</v>
      </c>
      <c r="X11" s="38" cm="1">
        <f t="array" aca="1" ref="X11" ca="1">TREND($K11:$P11,$K$1:$P$1,X$1)</f>
        <v>1.4600000000000002E-2</v>
      </c>
      <c r="Y11" s="38" cm="1">
        <f t="array" aca="1" ref="Y11" ca="1">TREND($K11:$P11,$K$1:$P$1,Y$1)</f>
        <v>1.479999999999998E-2</v>
      </c>
      <c r="Z11" s="38" cm="1">
        <f t="array" aca="1" ref="Z11" ca="1">TREND($K11:$P11,$K$1:$P$1,Z$1)</f>
        <v>1.5000000000000013E-2</v>
      </c>
      <c r="AA11" s="38" cm="1">
        <f t="array" aca="1" ref="AA11" ca="1">TREND($K11:$P11,$K$1:$P$1,AA$1)</f>
        <v>1.5199999999999991E-2</v>
      </c>
      <c r="AB11" s="38" cm="1">
        <f t="array" aca="1" ref="AB11" ca="1">TREND($K11:$P11,$K$1:$P$1,AB$1)</f>
        <v>1.5400000000000025E-2</v>
      </c>
      <c r="AC11" s="38" cm="1">
        <f t="array" aca="1" ref="AC11" ca="1">TREND($K11:$P11,$K$1:$P$1,AC$1)</f>
        <v>1.5600000000000003E-2</v>
      </c>
      <c r="AD11" s="38" cm="1">
        <f t="array" aca="1" ref="AD11" ca="1">TREND($K11:$P11,$K$1:$P$1,AD$1)</f>
        <v>1.5799999999999981E-2</v>
      </c>
      <c r="AE11" s="38" cm="1">
        <f t="array" aca="1" ref="AE11" ca="1">TREND($K11:$P11,$K$1:$P$1,AE$1)</f>
        <v>1.6000000000000014E-2</v>
      </c>
      <c r="AF11" s="38" cm="1">
        <f t="array" aca="1" ref="AF11" ca="1">TREND($K11:$P11,$K$1:$P$1,AF$1)</f>
        <v>1.6199999999999992E-2</v>
      </c>
      <c r="AG11" s="38" cm="1">
        <f t="array" aca="1" ref="AG11" ca="1">TREND($K11:$P11,$K$1:$P$1,AG$1)</f>
        <v>1.6400000000000026E-2</v>
      </c>
      <c r="AH11" s="38" cm="1">
        <f t="array" aca="1" ref="AH11" ca="1">TREND($K11:$P11,$K$1:$P$1,AH$1)</f>
        <v>1.6600000000000004E-2</v>
      </c>
      <c r="AI11" s="38" cm="1">
        <f t="array" aca="1" ref="AI11" ca="1">TREND($K11:$P11,$K$1:$P$1,AI$1)</f>
        <v>1.6799999999999982E-2</v>
      </c>
      <c r="AJ11" s="38" cm="1">
        <f t="array" aca="1" ref="AJ11" ca="1">TREND($K11:$P11,$K$1:$P$1,AJ$1)</f>
        <v>1.7000000000000015E-2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4.5499999999999999E-2</v>
      </c>
      <c r="C12" s="38">
        <f t="shared" ca="1" si="3"/>
        <v>4.6574999999999998E-2</v>
      </c>
      <c r="D12" s="38">
        <f t="shared" ca="1" si="0"/>
        <v>4.7649999999999998E-2</v>
      </c>
      <c r="E12" s="38">
        <f t="shared" ca="1" si="0"/>
        <v>4.8724999999999997E-2</v>
      </c>
      <c r="F12" s="40">
        <f ca="1">SUM(INDIRECT(CONCATENATE("'",HLOOKUP(F$1,$B$21:$E$23,3,FALSE),"'!",$B$25,ROW($A12)+5,":",$B$25,ROW($A12)+6)))*About!$A$27</f>
        <v>4.9799999999999997E-2</v>
      </c>
      <c r="G12" s="38">
        <f t="shared" ca="1" si="4"/>
        <v>5.0699999999999995E-2</v>
      </c>
      <c r="H12" s="38">
        <f t="shared" ca="1" si="1"/>
        <v>5.16E-2</v>
      </c>
      <c r="I12" s="38">
        <f t="shared" ca="1" si="1"/>
        <v>5.2499999999999998E-2</v>
      </c>
      <c r="J12" s="38">
        <f t="shared" ca="1" si="1"/>
        <v>5.3400000000000003E-2</v>
      </c>
      <c r="K12" s="40">
        <f ca="1">SUM(INDIRECT(CONCATENATE("'",HLOOKUP(K$1,$B$21:$E$23,3,FALSE),"'!",$B$25,ROW($A12)+5,":",$B$25,ROW($A12)+6)))*About!$A$27</f>
        <v>5.4300000000000001E-2</v>
      </c>
      <c r="L12" s="38">
        <f t="shared" ca="1" si="5"/>
        <v>5.5399999999999998E-2</v>
      </c>
      <c r="M12" s="38">
        <f t="shared" ca="1" si="2"/>
        <v>5.6500000000000002E-2</v>
      </c>
      <c r="N12" s="38">
        <f t="shared" ca="1" si="2"/>
        <v>5.7599999999999998E-2</v>
      </c>
      <c r="O12" s="38">
        <f t="shared" ca="1" si="2"/>
        <v>5.8700000000000002E-2</v>
      </c>
      <c r="P12" s="40">
        <f ca="1">SUM(INDIRECT(CONCATENATE("'",HLOOKUP(P$1,$B$21:$E$23,3,FALSE),"'!",$B$25,ROW($A12)+5,":",$B$25,ROW($A12)+6)))*About!$A$27</f>
        <v>5.9799999999999999E-2</v>
      </c>
      <c r="Q12" s="38" cm="1">
        <f t="array" aca="1" ref="Q12" ca="1">TREND($K12:$P12,$K$1:$P$1,Q$1)</f>
        <v>6.0899999999999732E-2</v>
      </c>
      <c r="R12" s="38" cm="1">
        <f t="array" aca="1" ref="R12" ca="1">TREND($K12:$P12,$K$1:$P$1,R$1)</f>
        <v>6.1999999999999833E-2</v>
      </c>
      <c r="S12" s="38" cm="1">
        <f t="array" aca="1" ref="S12" ca="1">TREND($K12:$P12,$K$1:$P$1,S$1)</f>
        <v>6.309999999999949E-2</v>
      </c>
      <c r="T12" s="38" cm="1">
        <f t="array" aca="1" ref="T12" ca="1">TREND($K12:$P12,$K$1:$P$1,T$1)</f>
        <v>6.4199999999999591E-2</v>
      </c>
      <c r="U12" s="38" cm="1">
        <f t="array" aca="1" ref="U12" ca="1">TREND($K12:$P12,$K$1:$P$1,U$1)</f>
        <v>6.5299999999999692E-2</v>
      </c>
      <c r="V12" s="38" cm="1">
        <f t="array" aca="1" ref="V12" ca="1">TREND($K12:$P12,$K$1:$P$1,V$1)</f>
        <v>6.6399999999999793E-2</v>
      </c>
      <c r="W12" s="38" cm="1">
        <f t="array" aca="1" ref="W12" ca="1">TREND($K12:$P12,$K$1:$P$1,W$1)</f>
        <v>6.7499999999999449E-2</v>
      </c>
      <c r="X12" s="38" cm="1">
        <f t="array" aca="1" ref="X12" ca="1">TREND($K12:$P12,$K$1:$P$1,X$1)</f>
        <v>6.859999999999955E-2</v>
      </c>
      <c r="Y12" s="38" cm="1">
        <f t="array" aca="1" ref="Y12" ca="1">TREND($K12:$P12,$K$1:$P$1,Y$1)</f>
        <v>6.9699999999999651E-2</v>
      </c>
      <c r="Z12" s="38" cm="1">
        <f t="array" aca="1" ref="Z12" ca="1">TREND($K12:$P12,$K$1:$P$1,Z$1)</f>
        <v>7.0799999999999752E-2</v>
      </c>
      <c r="AA12" s="38" cm="1">
        <f t="array" aca="1" ref="AA12" ca="1">TREND($K12:$P12,$K$1:$P$1,AA$1)</f>
        <v>7.1899999999999853E-2</v>
      </c>
      <c r="AB12" s="38" cm="1">
        <f t="array" aca="1" ref="AB12" ca="1">TREND($K12:$P12,$K$1:$P$1,AB$1)</f>
        <v>7.299999999999951E-2</v>
      </c>
      <c r="AC12" s="38" cm="1">
        <f t="array" aca="1" ref="AC12" ca="1">TREND($K12:$P12,$K$1:$P$1,AC$1)</f>
        <v>7.4099999999999611E-2</v>
      </c>
      <c r="AD12" s="38" cm="1">
        <f t="array" aca="1" ref="AD12" ca="1">TREND($K12:$P12,$K$1:$P$1,AD$1)</f>
        <v>7.5199999999999712E-2</v>
      </c>
      <c r="AE12" s="38" cm="1">
        <f t="array" aca="1" ref="AE12" ca="1">TREND($K12:$P12,$K$1:$P$1,AE$1)</f>
        <v>7.6299999999999812E-2</v>
      </c>
      <c r="AF12" s="38" cm="1">
        <f t="array" aca="1" ref="AF12" ca="1">TREND($K12:$P12,$K$1:$P$1,AF$1)</f>
        <v>7.7399999999999469E-2</v>
      </c>
      <c r="AG12" s="38" cm="1">
        <f t="array" aca="1" ref="AG12" ca="1">TREND($K12:$P12,$K$1:$P$1,AG$1)</f>
        <v>7.849999999999957E-2</v>
      </c>
      <c r="AH12" s="38" cm="1">
        <f t="array" aca="1" ref="AH12" ca="1">TREND($K12:$P12,$K$1:$P$1,AH$1)</f>
        <v>7.9599999999999671E-2</v>
      </c>
      <c r="AI12" s="38" cm="1">
        <f t="array" aca="1" ref="AI12" ca="1">TREND($K12:$P12,$K$1:$P$1,AI$1)</f>
        <v>8.0699999999999772E-2</v>
      </c>
      <c r="AJ12" s="38" cm="1">
        <f t="array" aca="1" ref="AJ12" ca="1">TREND($K12:$P12,$K$1:$P$1,AJ$1)</f>
        <v>8.1799999999999873E-2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HOIpTP-transport-PM25</v>
      </c>
    </row>
    <row r="18" spans="1:5" x14ac:dyDescent="0.25">
      <c r="A18" t="s">
        <v>114</v>
      </c>
      <c r="B18" t="str">
        <f ca="1">RIGHT(B17,LEN(B17)-7)</f>
        <v>transport-PM25</v>
      </c>
    </row>
    <row r="19" spans="1:5" x14ac:dyDescent="0.25">
      <c r="A19" t="s">
        <v>115</v>
      </c>
      <c r="B19" t="str">
        <f ca="1">LEFT(B18,FIND("-",B18)-1)</f>
        <v>transport</v>
      </c>
    </row>
    <row r="20" spans="1:5" x14ac:dyDescent="0.25">
      <c r="A20" t="s">
        <v>122</v>
      </c>
      <c r="B20" t="str">
        <f ca="1">VLOOKUP($B$19,Mappings!$A$22:$B$26,COLUMN(Mappings!$B$21),FALSE)</f>
        <v>on-road mobile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15</v>
      </c>
      <c r="C22" s="32">
        <f ca="1">VLOOKUP($B$20,Mappings!$A$3:$E$19,COLUMN(Mappings!C$2),FALSE)</f>
        <v>32</v>
      </c>
      <c r="D22" s="32">
        <f ca="1">VLOOKUP($B$20,Mappings!$A$3:$E$19,COLUMN(Mappings!D$2),FALSE)</f>
        <v>49</v>
      </c>
      <c r="E22" s="33">
        <f ca="1">VLOOKUP($B$20,Mappings!$A$3:$E$19,COLUMN(Mappings!E$2),FALSE)</f>
        <v>66</v>
      </c>
    </row>
    <row r="23" spans="1:5" x14ac:dyDescent="0.25">
      <c r="A23" s="34" t="s">
        <v>113</v>
      </c>
      <c r="B23" s="35" t="str">
        <f ca="1">CONCATENATE("Table ",B22)</f>
        <v>Table 15</v>
      </c>
      <c r="C23" s="35" t="str">
        <f ca="1">CONCATENATE("Table ",C22)</f>
        <v>Table 32</v>
      </c>
      <c r="D23" s="35" t="str">
        <f ca="1">CONCATENATE("Table ",D22)</f>
        <v>Table 49</v>
      </c>
      <c r="E23" s="36" t="str">
        <f ca="1">CONCATENATE("Table ",E22)</f>
        <v>Table 66</v>
      </c>
    </row>
    <row r="24" spans="1:5" x14ac:dyDescent="0.25">
      <c r="A24" t="s">
        <v>116</v>
      </c>
      <c r="B24" t="str">
        <f ca="1">REPLACE(B18,1,FIND("-",B18),"")</f>
        <v>PM25</v>
      </c>
    </row>
    <row r="25" spans="1:5" x14ac:dyDescent="0.25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D8E0-51AA-4FAD-925B-2D32F70CFAFD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2.3E-3</v>
      </c>
      <c r="C2" s="38">
        <f ca="1">$B2+($F2-$B2)*(C$1-$B$1)/($F$1-$B$1)</f>
        <v>2.3249999999999998E-3</v>
      </c>
      <c r="D2" s="38">
        <f t="shared" ref="D2:E12" ca="1" si="0">$B2+($F2-$B2)*(D$1-$B$1)/($F$1-$B$1)</f>
        <v>2.3499999999999997E-3</v>
      </c>
      <c r="E2" s="38">
        <f t="shared" ca="1" si="0"/>
        <v>2.3749999999999999E-3</v>
      </c>
      <c r="F2" s="37" cm="1">
        <f t="array" aca="1" ref="F2" ca="1">INDIRECT(CONCATENATE("'",HLOOKUP(F$1,$B$21:$E$23,3,FALSE),"'!",$B$25,ROW($A2)+3))*About!$A$27</f>
        <v>2.3999999999999998E-3</v>
      </c>
      <c r="G2" s="38">
        <f ca="1">$F2+($K2-$F2)*(G$1-$F$1)/($K$1-$F$1)</f>
        <v>2.4399999999999999E-3</v>
      </c>
      <c r="H2" s="38">
        <f t="shared" ref="H2:J12" ca="1" si="1">$F2+($K2-$F2)*(H$1-$F$1)/($K$1-$F$1)</f>
        <v>2.48E-3</v>
      </c>
      <c r="I2" s="38">
        <f t="shared" ca="1" si="1"/>
        <v>2.5199999999999997E-3</v>
      </c>
      <c r="J2" s="38">
        <f t="shared" ca="1" si="1"/>
        <v>2.5599999999999998E-3</v>
      </c>
      <c r="K2" s="37" cm="1">
        <f t="array" aca="1" ref="K2" ca="1">INDIRECT(CONCATENATE("'",HLOOKUP(K$1,$B$21:$E$23,3,FALSE),"'!",$B$25,ROW($A2)+3))*About!$A$27</f>
        <v>2.5999999999999999E-3</v>
      </c>
      <c r="L2" s="38">
        <f ca="1">$K2+($P2-$K2)*(L$1-$K$1)/($P$1-$K$1)</f>
        <v>2.66E-3</v>
      </c>
      <c r="M2" s="38">
        <f t="shared" ref="M2:O12" ca="1" si="2">$K2+($P2-$K2)*(M$1-$K$1)/($P$1-$K$1)</f>
        <v>2.7199999999999998E-3</v>
      </c>
      <c r="N2" s="38">
        <f t="shared" ca="1" si="2"/>
        <v>2.7799999999999999E-3</v>
      </c>
      <c r="O2" s="38">
        <f t="shared" ca="1" si="2"/>
        <v>2.8399999999999996E-3</v>
      </c>
      <c r="P2" s="37" cm="1">
        <f t="array" aca="1" ref="P2" ca="1">INDIRECT(CONCATENATE("'",HLOOKUP(P$1,$B$21:$E$23,3,FALSE),"'!",$B$25,ROW($A2)+3))*About!$A$27</f>
        <v>2.8999999999999998E-3</v>
      </c>
      <c r="Q2" s="38" cm="1">
        <f t="array" aca="1" ref="Q2" ca="1">TREND($K2:$P2,$K$1:$P$1,Q$1)</f>
        <v>2.9600000000000043E-3</v>
      </c>
      <c r="R2" s="38" cm="1">
        <f t="array" aca="1" ref="R2" ca="1">TREND($K2:$P2,$K$1:$P$1,R$1)</f>
        <v>3.0199999999999949E-3</v>
      </c>
      <c r="S2" s="38" cm="1">
        <f t="array" aca="1" ref="S2" ca="1">TREND($K2:$P2,$K$1:$P$1,S$1)</f>
        <v>3.0799999999999994E-3</v>
      </c>
      <c r="T2" s="38" cm="1">
        <f t="array" aca="1" ref="T2" ca="1">TREND($K2:$P2,$K$1:$P$1,T$1)</f>
        <v>3.1400000000000039E-3</v>
      </c>
      <c r="U2" s="38" cm="1">
        <f t="array" aca="1" ref="U2" ca="1">TREND($K2:$P2,$K$1:$P$1,U$1)</f>
        <v>3.1999999999999945E-3</v>
      </c>
      <c r="V2" s="38" cm="1">
        <f t="array" aca="1" ref="V2" ca="1">TREND($K2:$P2,$K$1:$P$1,V$1)</f>
        <v>3.259999999999999E-3</v>
      </c>
      <c r="W2" s="38" cm="1">
        <f t="array" aca="1" ref="W2" ca="1">TREND($K2:$P2,$K$1:$P$1,W$1)</f>
        <v>3.3200000000000035E-3</v>
      </c>
      <c r="X2" s="38" cm="1">
        <f t="array" aca="1" ref="X2" ca="1">TREND($K2:$P2,$K$1:$P$1,X$1)</f>
        <v>3.3799999999999941E-3</v>
      </c>
      <c r="Y2" s="38" cm="1">
        <f t="array" aca="1" ref="Y2" ca="1">TREND($K2:$P2,$K$1:$P$1,Y$1)</f>
        <v>3.4399999999999986E-3</v>
      </c>
      <c r="Z2" s="38" cm="1">
        <f t="array" aca="1" ref="Z2" ca="1">TREND($K2:$P2,$K$1:$P$1,Z$1)</f>
        <v>3.5000000000000031E-3</v>
      </c>
      <c r="AA2" s="38" cm="1">
        <f t="array" aca="1" ref="AA2" ca="1">TREND($K2:$P2,$K$1:$P$1,AA$1)</f>
        <v>3.5599999999999937E-3</v>
      </c>
      <c r="AB2" s="38" cm="1">
        <f t="array" aca="1" ref="AB2" ca="1">TREND($K2:$P2,$K$1:$P$1,AB$1)</f>
        <v>3.6199999999999982E-3</v>
      </c>
      <c r="AC2" s="38" cm="1">
        <f t="array" aca="1" ref="AC2" ca="1">TREND($K2:$P2,$K$1:$P$1,AC$1)</f>
        <v>3.6800000000000027E-3</v>
      </c>
      <c r="AD2" s="38" cm="1">
        <f t="array" aca="1" ref="AD2" ca="1">TREND($K2:$P2,$K$1:$P$1,AD$1)</f>
        <v>3.7399999999999933E-3</v>
      </c>
      <c r="AE2" s="38" cm="1">
        <f t="array" aca="1" ref="AE2" ca="1">TREND($K2:$P2,$K$1:$P$1,AE$1)</f>
        <v>3.7999999999999978E-3</v>
      </c>
      <c r="AF2" s="38" cm="1">
        <f t="array" aca="1" ref="AF2" ca="1">TREND($K2:$P2,$K$1:$P$1,AF$1)</f>
        <v>3.8600000000000023E-3</v>
      </c>
      <c r="AG2" s="38" cm="1">
        <f t="array" aca="1" ref="AG2" ca="1">TREND($K2:$P2,$K$1:$P$1,AG$1)</f>
        <v>3.9199999999999929E-3</v>
      </c>
      <c r="AH2" s="38" cm="1">
        <f t="array" aca="1" ref="AH2" ca="1">TREND($K2:$P2,$K$1:$P$1,AH$1)</f>
        <v>3.9799999999999974E-3</v>
      </c>
      <c r="AI2" s="38" cm="1">
        <f t="array" aca="1" ref="AI2" ca="1">TREND($K2:$P2,$K$1:$P$1,AI$1)</f>
        <v>4.0400000000000019E-3</v>
      </c>
      <c r="AJ2" s="38" cm="1">
        <f t="array" aca="1" ref="AJ2" ca="1">TREND($K2:$P2,$K$1:$P$1,AJ$1)</f>
        <v>4.0999999999999925E-3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1.1999999999999999E-3</v>
      </c>
      <c r="C3" s="38">
        <f t="shared" ref="C3:C12" ca="1" si="3">$B3+($F3-$B3)*(C$1-$B$1)/($F$1-$B$1)</f>
        <v>1.225E-3</v>
      </c>
      <c r="D3" s="38">
        <f t="shared" ca="1" si="0"/>
        <v>1.2499999999999998E-3</v>
      </c>
      <c r="E3" s="38">
        <f t="shared" ca="1" si="0"/>
        <v>1.2749999999999999E-3</v>
      </c>
      <c r="F3" s="39" cm="1">
        <f t="array" aca="1" ref="F3" ca="1">INDIRECT(CONCATENATE("'",HLOOKUP(F$1,$B$21:$E$23,3,FALSE),"'!",$B$25,ROW($A3)+5))*About!$A$27</f>
        <v>1.2999999999999999E-3</v>
      </c>
      <c r="G3" s="38">
        <f t="shared" ref="G3:G12" ca="1" si="4">$F3+($K3-$F3)*(G$1-$F$1)/($K$1-$F$1)</f>
        <v>1.32E-3</v>
      </c>
      <c r="H3" s="38">
        <f t="shared" ca="1" si="1"/>
        <v>1.34E-3</v>
      </c>
      <c r="I3" s="38">
        <f t="shared" ca="1" si="1"/>
        <v>1.3599999999999999E-3</v>
      </c>
      <c r="J3" s="38">
        <f t="shared" ca="1" si="1"/>
        <v>1.3799999999999999E-3</v>
      </c>
      <c r="K3" s="39" cm="1">
        <f t="array" aca="1" ref="K3" ca="1">INDIRECT(CONCATENATE("'",HLOOKUP(K$1,$B$21:$E$23,3,FALSE),"'!",$B$25,ROW($A3)+5))*About!$A$27</f>
        <v>1.4E-3</v>
      </c>
      <c r="L3" s="38">
        <f t="shared" ref="L3:L12" ca="1" si="5">$K3+($P3-$K3)*(L$1-$K$1)/($P$1-$K$1)</f>
        <v>1.42E-3</v>
      </c>
      <c r="M3" s="38">
        <f t="shared" ca="1" si="2"/>
        <v>1.4400000000000001E-3</v>
      </c>
      <c r="N3" s="38">
        <f t="shared" ca="1" si="2"/>
        <v>1.4599999999999999E-3</v>
      </c>
      <c r="O3" s="38">
        <f t="shared" ca="1" si="2"/>
        <v>1.48E-3</v>
      </c>
      <c r="P3" s="39" cm="1">
        <f t="array" aca="1" ref="P3" ca="1">INDIRECT(CONCATENATE("'",HLOOKUP(P$1,$B$21:$E$23,3,FALSE),"'!",$B$25,ROW($A3)+5))*About!$A$27</f>
        <v>1.5E-3</v>
      </c>
      <c r="Q3" s="38" cm="1">
        <f t="array" aca="1" ref="Q3" ca="1">TREND($K3:$P3,$K$1:$P$1,Q$1)</f>
        <v>1.5200000000000005E-3</v>
      </c>
      <c r="R3" s="38" cm="1">
        <f t="array" aca="1" ref="R3" ca="1">TREND($K3:$P3,$K$1:$P$1,R$1)</f>
        <v>1.5399999999999997E-3</v>
      </c>
      <c r="S3" s="38" cm="1">
        <f t="array" aca="1" ref="S3" ca="1">TREND($K3:$P3,$K$1:$P$1,S$1)</f>
        <v>1.5599999999999989E-3</v>
      </c>
      <c r="T3" s="38" cm="1">
        <f t="array" aca="1" ref="T3" ca="1">TREND($K3:$P3,$K$1:$P$1,T$1)</f>
        <v>1.5799999999999981E-3</v>
      </c>
      <c r="U3" s="38" cm="1">
        <f t="array" aca="1" ref="U3" ca="1">TREND($K3:$P3,$K$1:$P$1,U$1)</f>
        <v>1.5999999999999973E-3</v>
      </c>
      <c r="V3" s="38" cm="1">
        <f t="array" aca="1" ref="V3" ca="1">TREND($K3:$P3,$K$1:$P$1,V$1)</f>
        <v>1.6200000000000034E-3</v>
      </c>
      <c r="W3" s="38" cm="1">
        <f t="array" aca="1" ref="W3" ca="1">TREND($K3:$P3,$K$1:$P$1,W$1)</f>
        <v>1.6400000000000026E-3</v>
      </c>
      <c r="X3" s="38" cm="1">
        <f t="array" aca="1" ref="X3" ca="1">TREND($K3:$P3,$K$1:$P$1,X$1)</f>
        <v>1.6600000000000018E-3</v>
      </c>
      <c r="Y3" s="38" cm="1">
        <f t="array" aca="1" ref="Y3" ca="1">TREND($K3:$P3,$K$1:$P$1,Y$1)</f>
        <v>1.6800000000000009E-3</v>
      </c>
      <c r="Z3" s="38" cm="1">
        <f t="array" aca="1" ref="Z3" ca="1">TREND($K3:$P3,$K$1:$P$1,Z$1)</f>
        <v>1.7000000000000001E-3</v>
      </c>
      <c r="AA3" s="38" cm="1">
        <f t="array" aca="1" ref="AA3" ca="1">TREND($K3:$P3,$K$1:$P$1,AA$1)</f>
        <v>1.7199999999999993E-3</v>
      </c>
      <c r="AB3" s="38" cm="1">
        <f t="array" aca="1" ref="AB3" ca="1">TREND($K3:$P3,$K$1:$P$1,AB$1)</f>
        <v>1.7399999999999985E-3</v>
      </c>
      <c r="AC3" s="38" cm="1">
        <f t="array" aca="1" ref="AC3" ca="1">TREND($K3:$P3,$K$1:$P$1,AC$1)</f>
        <v>1.7599999999999977E-3</v>
      </c>
      <c r="AD3" s="38" cm="1">
        <f t="array" aca="1" ref="AD3" ca="1">TREND($K3:$P3,$K$1:$P$1,AD$1)</f>
        <v>1.7800000000000038E-3</v>
      </c>
      <c r="AE3" s="38" cm="1">
        <f t="array" aca="1" ref="AE3" ca="1">TREND($K3:$P3,$K$1:$P$1,AE$1)</f>
        <v>1.800000000000003E-3</v>
      </c>
      <c r="AF3" s="38" cm="1">
        <f t="array" aca="1" ref="AF3" ca="1">TREND($K3:$P3,$K$1:$P$1,AF$1)</f>
        <v>1.8200000000000022E-3</v>
      </c>
      <c r="AG3" s="38" cm="1">
        <f t="array" aca="1" ref="AG3" ca="1">TREND($K3:$P3,$K$1:$P$1,AG$1)</f>
        <v>1.8400000000000014E-3</v>
      </c>
      <c r="AH3" s="38" cm="1">
        <f t="array" aca="1" ref="AH3" ca="1">TREND($K3:$P3,$K$1:$P$1,AH$1)</f>
        <v>1.8600000000000005E-3</v>
      </c>
      <c r="AI3" s="38" cm="1">
        <f t="array" aca="1" ref="AI3" ca="1">TREND($K3:$P3,$K$1:$P$1,AI$1)</f>
        <v>1.8799999999999997E-3</v>
      </c>
      <c r="AJ3" s="38" cm="1">
        <f t="array" aca="1" ref="AJ3" ca="1">TREND($K3:$P3,$K$1:$P$1,AJ$1)</f>
        <v>1.8999999999999989E-3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3.8E-3</v>
      </c>
      <c r="C4" s="38">
        <f t="shared" ca="1" si="3"/>
        <v>3.8249999999999998E-3</v>
      </c>
      <c r="D4" s="38">
        <f t="shared" ca="1" si="0"/>
        <v>3.8500000000000001E-3</v>
      </c>
      <c r="E4" s="38">
        <f t="shared" ca="1" si="0"/>
        <v>3.875E-3</v>
      </c>
      <c r="F4" s="39" cm="1">
        <f t="array" aca="1" ref="F4" ca="1">INDIRECT(CONCATENATE("'",HLOOKUP(F$1,$B$21:$E$23,3,FALSE),"'!",$B$25,ROW($A4)+5))*About!$A$27</f>
        <v>3.8999999999999998E-3</v>
      </c>
      <c r="G4" s="38">
        <f t="shared" ca="1" si="4"/>
        <v>3.9399999999999999E-3</v>
      </c>
      <c r="H4" s="38">
        <f t="shared" ca="1" si="1"/>
        <v>3.98E-3</v>
      </c>
      <c r="I4" s="38">
        <f t="shared" ca="1" si="1"/>
        <v>4.0200000000000001E-3</v>
      </c>
      <c r="J4" s="38">
        <f t="shared" ca="1" si="1"/>
        <v>4.0600000000000002E-3</v>
      </c>
      <c r="K4" s="39" cm="1">
        <f t="array" aca="1" ref="K4" ca="1">INDIRECT(CONCATENATE("'",HLOOKUP(K$1,$B$21:$E$23,3,FALSE),"'!",$B$25,ROW($A4)+5))*About!$A$27</f>
        <v>4.1000000000000003E-3</v>
      </c>
      <c r="L4" s="38">
        <f t="shared" ca="1" si="5"/>
        <v>4.1800000000000006E-3</v>
      </c>
      <c r="M4" s="38">
        <f t="shared" ca="1" si="2"/>
        <v>4.2599999999999999E-3</v>
      </c>
      <c r="N4" s="38">
        <f t="shared" ca="1" si="2"/>
        <v>4.3400000000000001E-3</v>
      </c>
      <c r="O4" s="38">
        <f t="shared" ca="1" si="2"/>
        <v>4.4199999999999995E-3</v>
      </c>
      <c r="P4" s="39" cm="1">
        <f t="array" aca="1" ref="P4" ca="1">INDIRECT(CONCATENATE("'",HLOOKUP(P$1,$B$21:$E$23,3,FALSE),"'!",$B$25,ROW($A4)+5))*About!$A$27</f>
        <v>4.4999999999999997E-3</v>
      </c>
      <c r="Q4" s="38" cm="1">
        <f t="array" aca="1" ref="Q4" ca="1">TREND($K4:$P4,$K$1:$P$1,Q$1)</f>
        <v>4.5800000000000007E-3</v>
      </c>
      <c r="R4" s="38" cm="1">
        <f t="array" aca="1" ref="R4" ca="1">TREND($K4:$P4,$K$1:$P$1,R$1)</f>
        <v>4.6599999999999975E-3</v>
      </c>
      <c r="S4" s="38" cm="1">
        <f t="array" aca="1" ref="S4" ca="1">TREND($K4:$P4,$K$1:$P$1,S$1)</f>
        <v>4.7399999999999942E-3</v>
      </c>
      <c r="T4" s="38" cm="1">
        <f t="array" aca="1" ref="T4" ca="1">TREND($K4:$P4,$K$1:$P$1,T$1)</f>
        <v>4.819999999999991E-3</v>
      </c>
      <c r="U4" s="38" cm="1">
        <f t="array" aca="1" ref="U4" ca="1">TREND($K4:$P4,$K$1:$P$1,U$1)</f>
        <v>4.9000000000000155E-3</v>
      </c>
      <c r="V4" s="38" cm="1">
        <f t="array" aca="1" ref="V4" ca="1">TREND($K4:$P4,$K$1:$P$1,V$1)</f>
        <v>4.9800000000000122E-3</v>
      </c>
      <c r="W4" s="38" cm="1">
        <f t="array" aca="1" ref="W4" ca="1">TREND($K4:$P4,$K$1:$P$1,W$1)</f>
        <v>5.0600000000000089E-3</v>
      </c>
      <c r="X4" s="38" cm="1">
        <f t="array" aca="1" ref="X4" ca="1">TREND($K4:$P4,$K$1:$P$1,X$1)</f>
        <v>5.1400000000000057E-3</v>
      </c>
      <c r="Y4" s="38" cm="1">
        <f t="array" aca="1" ref="Y4" ca="1">TREND($K4:$P4,$K$1:$P$1,Y$1)</f>
        <v>5.2200000000000024E-3</v>
      </c>
      <c r="Z4" s="38" cm="1">
        <f t="array" aca="1" ref="Z4" ca="1">TREND($K4:$P4,$K$1:$P$1,Z$1)</f>
        <v>5.2999999999999992E-3</v>
      </c>
      <c r="AA4" s="38" cm="1">
        <f t="array" aca="1" ref="AA4" ca="1">TREND($K4:$P4,$K$1:$P$1,AA$1)</f>
        <v>5.3799999999999959E-3</v>
      </c>
      <c r="AB4" s="38" cm="1">
        <f t="array" aca="1" ref="AB4" ca="1">TREND($K4:$P4,$K$1:$P$1,AB$1)</f>
        <v>5.4599999999999926E-3</v>
      </c>
      <c r="AC4" s="38" cm="1">
        <f t="array" aca="1" ref="AC4" ca="1">TREND($K4:$P4,$K$1:$P$1,AC$1)</f>
        <v>5.5399999999999894E-3</v>
      </c>
      <c r="AD4" s="38" cm="1">
        <f t="array" aca="1" ref="AD4" ca="1">TREND($K4:$P4,$K$1:$P$1,AD$1)</f>
        <v>5.6200000000000139E-3</v>
      </c>
      <c r="AE4" s="38" cm="1">
        <f t="array" aca="1" ref="AE4" ca="1">TREND($K4:$P4,$K$1:$P$1,AE$1)</f>
        <v>5.7000000000000106E-3</v>
      </c>
      <c r="AF4" s="38" cm="1">
        <f t="array" aca="1" ref="AF4" ca="1">TREND($K4:$P4,$K$1:$P$1,AF$1)</f>
        <v>5.7800000000000074E-3</v>
      </c>
      <c r="AG4" s="38" cm="1">
        <f t="array" aca="1" ref="AG4" ca="1">TREND($K4:$P4,$K$1:$P$1,AG$1)</f>
        <v>5.8600000000000041E-3</v>
      </c>
      <c r="AH4" s="38" cm="1">
        <f t="array" aca="1" ref="AH4" ca="1">TREND($K4:$P4,$K$1:$P$1,AH$1)</f>
        <v>5.9400000000000008E-3</v>
      </c>
      <c r="AI4" s="38" cm="1">
        <f t="array" aca="1" ref="AI4" ca="1">TREND($K4:$P4,$K$1:$P$1,AI$1)</f>
        <v>6.0199999999999976E-3</v>
      </c>
      <c r="AJ4" s="38" cm="1">
        <f t="array" aca="1" ref="AJ4" ca="1">TREND($K4:$P4,$K$1:$P$1,AJ$1)</f>
        <v>6.0999999999999943E-3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4.8000000000000001E-2</v>
      </c>
      <c r="C5" s="38">
        <f t="shared" ca="1" si="3"/>
        <v>4.8250000000000001E-2</v>
      </c>
      <c r="D5" s="38">
        <f t="shared" ca="1" si="0"/>
        <v>4.8500000000000001E-2</v>
      </c>
      <c r="E5" s="38">
        <f t="shared" ca="1" si="0"/>
        <v>4.8750000000000002E-2</v>
      </c>
      <c r="F5" s="39" cm="1">
        <f t="array" aca="1" ref="F5" ca="1">INDIRECT(CONCATENATE("'",HLOOKUP(F$1,$B$21:$E$23,3,FALSE),"'!",$B$25,ROW($A5)+5))*About!$A$27</f>
        <v>4.9000000000000002E-2</v>
      </c>
      <c r="G5" s="38">
        <f t="shared" ca="1" si="4"/>
        <v>4.9599999999999998E-2</v>
      </c>
      <c r="H5" s="38">
        <f t="shared" ca="1" si="1"/>
        <v>5.0200000000000002E-2</v>
      </c>
      <c r="I5" s="38">
        <f t="shared" ca="1" si="1"/>
        <v>5.0799999999999998E-2</v>
      </c>
      <c r="J5" s="38">
        <f t="shared" ca="1" si="1"/>
        <v>5.1400000000000001E-2</v>
      </c>
      <c r="K5" s="39" cm="1">
        <f t="array" aca="1" ref="K5" ca="1">INDIRECT(CONCATENATE("'",HLOOKUP(K$1,$B$21:$E$23,3,FALSE),"'!",$B$25,ROW($A5)+5))*About!$A$27</f>
        <v>5.1999999999999998E-2</v>
      </c>
      <c r="L5" s="38">
        <f t="shared" ca="1" si="5"/>
        <v>5.2999999999999999E-2</v>
      </c>
      <c r="M5" s="38">
        <f t="shared" ca="1" si="2"/>
        <v>5.3999999999999999E-2</v>
      </c>
      <c r="N5" s="38">
        <f t="shared" ca="1" si="2"/>
        <v>5.5E-2</v>
      </c>
      <c r="O5" s="38">
        <f t="shared" ca="1" si="2"/>
        <v>5.6000000000000001E-2</v>
      </c>
      <c r="P5" s="39" cm="1">
        <f t="array" aca="1" ref="P5" ca="1">INDIRECT(CONCATENATE("'",HLOOKUP(P$1,$B$21:$E$23,3,FALSE),"'!",$B$25,ROW($A5)+5))*About!$A$27</f>
        <v>5.7000000000000002E-2</v>
      </c>
      <c r="Q5" s="38" cm="1">
        <f t="array" aca="1" ref="Q5" ca="1">TREND($K5:$P5,$K$1:$P$1,Q$1)</f>
        <v>5.8000000000000274E-2</v>
      </c>
      <c r="R5" s="38" cm="1">
        <f t="array" aca="1" ref="R5" ca="1">TREND($K5:$P5,$K$1:$P$1,R$1)</f>
        <v>5.9000000000000163E-2</v>
      </c>
      <c r="S5" s="38" cm="1">
        <f t="array" aca="1" ref="S5" ca="1">TREND($K5:$P5,$K$1:$P$1,S$1)</f>
        <v>6.0000000000000053E-2</v>
      </c>
      <c r="T5" s="38" cm="1">
        <f t="array" aca="1" ref="T5" ca="1">TREND($K5:$P5,$K$1:$P$1,T$1)</f>
        <v>6.0999999999999943E-2</v>
      </c>
      <c r="U5" s="38" cm="1">
        <f t="array" aca="1" ref="U5" ca="1">TREND($K5:$P5,$K$1:$P$1,U$1)</f>
        <v>6.2000000000000277E-2</v>
      </c>
      <c r="V5" s="38" cm="1">
        <f t="array" aca="1" ref="V5" ca="1">TREND($K5:$P5,$K$1:$P$1,V$1)</f>
        <v>6.3000000000000167E-2</v>
      </c>
      <c r="W5" s="38" cm="1">
        <f t="array" aca="1" ref="W5" ca="1">TREND($K5:$P5,$K$1:$P$1,W$1)</f>
        <v>6.4000000000000057E-2</v>
      </c>
      <c r="X5" s="38" cm="1">
        <f t="array" aca="1" ref="X5" ca="1">TREND($K5:$P5,$K$1:$P$1,X$1)</f>
        <v>6.5000000000000391E-2</v>
      </c>
      <c r="Y5" s="38" cm="1">
        <f t="array" aca="1" ref="Y5" ca="1">TREND($K5:$P5,$K$1:$P$1,Y$1)</f>
        <v>6.6000000000000281E-2</v>
      </c>
      <c r="Z5" s="38" cm="1">
        <f t="array" aca="1" ref="Z5" ca="1">TREND($K5:$P5,$K$1:$P$1,Z$1)</f>
        <v>6.7000000000000171E-2</v>
      </c>
      <c r="AA5" s="38" cm="1">
        <f t="array" aca="1" ref="AA5" ca="1">TREND($K5:$P5,$K$1:$P$1,AA$1)</f>
        <v>6.800000000000006E-2</v>
      </c>
      <c r="AB5" s="38" cm="1">
        <f t="array" aca="1" ref="AB5" ca="1">TREND($K5:$P5,$K$1:$P$1,AB$1)</f>
        <v>6.899999999999995E-2</v>
      </c>
      <c r="AC5" s="38" cm="1">
        <f t="array" aca="1" ref="AC5" ca="1">TREND($K5:$P5,$K$1:$P$1,AC$1)</f>
        <v>7.0000000000000284E-2</v>
      </c>
      <c r="AD5" s="38" cm="1">
        <f t="array" aca="1" ref="AD5" ca="1">TREND($K5:$P5,$K$1:$P$1,AD$1)</f>
        <v>7.1000000000000174E-2</v>
      </c>
      <c r="AE5" s="38" cm="1">
        <f t="array" aca="1" ref="AE5" ca="1">TREND($K5:$P5,$K$1:$P$1,AE$1)</f>
        <v>7.2000000000000064E-2</v>
      </c>
      <c r="AF5" s="38" cm="1">
        <f t="array" aca="1" ref="AF5" ca="1">TREND($K5:$P5,$K$1:$P$1,AF$1)</f>
        <v>7.3000000000000398E-2</v>
      </c>
      <c r="AG5" s="38" cm="1">
        <f t="array" aca="1" ref="AG5" ca="1">TREND($K5:$P5,$K$1:$P$1,AG$1)</f>
        <v>7.4000000000000288E-2</v>
      </c>
      <c r="AH5" s="38" cm="1">
        <f t="array" aca="1" ref="AH5" ca="1">TREND($K5:$P5,$K$1:$P$1,AH$1)</f>
        <v>7.5000000000000178E-2</v>
      </c>
      <c r="AI5" s="38" cm="1">
        <f t="array" aca="1" ref="AI5" ca="1">TREND($K5:$P5,$K$1:$P$1,AI$1)</f>
        <v>7.6000000000000068E-2</v>
      </c>
      <c r="AJ5" s="38" cm="1">
        <f t="array" aca="1" ref="AJ5" ca="1">TREND($K5:$P5,$K$1:$P$1,AJ$1)</f>
        <v>7.6999999999999957E-2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6.9000000000000006E-2</v>
      </c>
      <c r="C6" s="38">
        <f t="shared" ca="1" si="3"/>
        <v>6.9250000000000006E-2</v>
      </c>
      <c r="D6" s="38">
        <f t="shared" ca="1" si="0"/>
        <v>6.9500000000000006E-2</v>
      </c>
      <c r="E6" s="38">
        <f t="shared" ca="1" si="0"/>
        <v>6.9750000000000006E-2</v>
      </c>
      <c r="F6" s="39" cm="1">
        <f t="array" aca="1" ref="F6" ca="1">INDIRECT(CONCATENATE("'",HLOOKUP(F$1,$B$21:$E$23,3,FALSE),"'!",$B$25,ROW($A6)+5))*About!$A$27</f>
        <v>7.0000000000000007E-2</v>
      </c>
      <c r="G6" s="38">
        <f t="shared" ca="1" si="4"/>
        <v>7.0800000000000002E-2</v>
      </c>
      <c r="H6" s="38">
        <f t="shared" ca="1" si="1"/>
        <v>7.1599999999999997E-2</v>
      </c>
      <c r="I6" s="38">
        <f t="shared" ca="1" si="1"/>
        <v>7.2400000000000006E-2</v>
      </c>
      <c r="J6" s="38">
        <f t="shared" ca="1" si="1"/>
        <v>7.3200000000000001E-2</v>
      </c>
      <c r="K6" s="39" cm="1">
        <f t="array" aca="1" ref="K6" ca="1">INDIRECT(CONCATENATE("'",HLOOKUP(K$1,$B$21:$E$23,3,FALSE),"'!",$B$25,ROW($A6)+5))*About!$A$27</f>
        <v>7.3999999999999996E-2</v>
      </c>
      <c r="L6" s="38">
        <f t="shared" ca="1" si="5"/>
        <v>7.5600000000000001E-2</v>
      </c>
      <c r="M6" s="38">
        <f t="shared" ca="1" si="2"/>
        <v>7.7200000000000005E-2</v>
      </c>
      <c r="N6" s="38">
        <f t="shared" ca="1" si="2"/>
        <v>7.8799999999999995E-2</v>
      </c>
      <c r="O6" s="38">
        <f t="shared" ca="1" si="2"/>
        <v>8.0399999999999999E-2</v>
      </c>
      <c r="P6" s="39" cm="1">
        <f t="array" aca="1" ref="P6" ca="1">INDIRECT(CONCATENATE("'",HLOOKUP(P$1,$B$21:$E$23,3,FALSE),"'!",$B$25,ROW($A6)+5))*About!$A$27</f>
        <v>8.2000000000000003E-2</v>
      </c>
      <c r="Q6" s="38" cm="1">
        <f t="array" aca="1" ref="Q6" ca="1">TREND($K6:$P6,$K$1:$P$1,Q$1)</f>
        <v>8.3599999999999675E-2</v>
      </c>
      <c r="R6" s="38" cm="1">
        <f t="array" aca="1" ref="R6" ca="1">TREND($K6:$P6,$K$1:$P$1,R$1)</f>
        <v>8.5199999999999942E-2</v>
      </c>
      <c r="S6" s="38" cm="1">
        <f t="array" aca="1" ref="S6" ca="1">TREND($K6:$P6,$K$1:$P$1,S$1)</f>
        <v>8.6799999999999766E-2</v>
      </c>
      <c r="T6" s="38" cm="1">
        <f t="array" aca="1" ref="T6" ca="1">TREND($K6:$P6,$K$1:$P$1,T$1)</f>
        <v>8.839999999999959E-2</v>
      </c>
      <c r="U6" s="38" cm="1">
        <f t="array" aca="1" ref="U6" ca="1">TREND($K6:$P6,$K$1:$P$1,U$1)</f>
        <v>8.9999999999999858E-2</v>
      </c>
      <c r="V6" s="38" cm="1">
        <f t="array" aca="1" ref="V6" ca="1">TREND($K6:$P6,$K$1:$P$1,V$1)</f>
        <v>9.1599999999999682E-2</v>
      </c>
      <c r="W6" s="38" cm="1">
        <f t="array" aca="1" ref="W6" ca="1">TREND($K6:$P6,$K$1:$P$1,W$1)</f>
        <v>9.319999999999995E-2</v>
      </c>
      <c r="X6" s="38" cm="1">
        <f t="array" aca="1" ref="X6" ca="1">TREND($K6:$P6,$K$1:$P$1,X$1)</f>
        <v>9.4799999999999773E-2</v>
      </c>
      <c r="Y6" s="38" cm="1">
        <f t="array" aca="1" ref="Y6" ca="1">TREND($K6:$P6,$K$1:$P$1,Y$1)</f>
        <v>9.6399999999999597E-2</v>
      </c>
      <c r="Z6" s="38" cm="1">
        <f t="array" aca="1" ref="Z6" ca="1">TREND($K6:$P6,$K$1:$P$1,Z$1)</f>
        <v>9.7999999999999865E-2</v>
      </c>
      <c r="AA6" s="38" cm="1">
        <f t="array" aca="1" ref="AA6" ca="1">TREND($K6:$P6,$K$1:$P$1,AA$1)</f>
        <v>9.9599999999999689E-2</v>
      </c>
      <c r="AB6" s="38" cm="1">
        <f t="array" aca="1" ref="AB6" ca="1">TREND($K6:$P6,$K$1:$P$1,AB$1)</f>
        <v>0.10119999999999996</v>
      </c>
      <c r="AC6" s="38" cm="1">
        <f t="array" aca="1" ref="AC6" ca="1">TREND($K6:$P6,$K$1:$P$1,AC$1)</f>
        <v>0.10279999999999978</v>
      </c>
      <c r="AD6" s="38" cm="1">
        <f t="array" aca="1" ref="AD6" ca="1">TREND($K6:$P6,$K$1:$P$1,AD$1)</f>
        <v>0.1043999999999996</v>
      </c>
      <c r="AE6" s="38" cm="1">
        <f t="array" aca="1" ref="AE6" ca="1">TREND($K6:$P6,$K$1:$P$1,AE$1)</f>
        <v>0.10599999999999987</v>
      </c>
      <c r="AF6" s="38" cm="1">
        <f t="array" aca="1" ref="AF6" ca="1">TREND($K6:$P6,$K$1:$P$1,AF$1)</f>
        <v>0.1075999999999997</v>
      </c>
      <c r="AG6" s="38" cm="1">
        <f t="array" aca="1" ref="AG6" ca="1">TREND($K6:$P6,$K$1:$P$1,AG$1)</f>
        <v>0.10919999999999996</v>
      </c>
      <c r="AH6" s="38" cm="1">
        <f t="array" aca="1" ref="AH6" ca="1">TREND($K6:$P6,$K$1:$P$1,AH$1)</f>
        <v>0.11079999999999979</v>
      </c>
      <c r="AI6" s="38" cm="1">
        <f t="array" aca="1" ref="AI6" ca="1">TREND($K6:$P6,$K$1:$P$1,AI$1)</f>
        <v>0.11239999999999961</v>
      </c>
      <c r="AJ6" s="38" cm="1">
        <f t="array" aca="1" ref="AJ6" ca="1">TREND($K6:$P6,$K$1:$P$1,AJ$1)</f>
        <v>0.11399999999999988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1.9</v>
      </c>
      <c r="C7" s="38">
        <f t="shared" ca="1" si="3"/>
        <v>1.9249999999999998</v>
      </c>
      <c r="D7" s="38">
        <f t="shared" ca="1" si="0"/>
        <v>1.95</v>
      </c>
      <c r="E7" s="38">
        <f t="shared" ca="1" si="0"/>
        <v>1.9750000000000001</v>
      </c>
      <c r="F7" s="39" cm="1">
        <f t="array" aca="1" ref="F7" ca="1">INDIRECT(CONCATENATE("'",HLOOKUP(F$1,$B$21:$E$23,3,FALSE),"'!",$B$25,ROW($A7)+5))*About!$A$27</f>
        <v>2</v>
      </c>
      <c r="G7" s="38">
        <f t="shared" ca="1" si="4"/>
        <v>2.02</v>
      </c>
      <c r="H7" s="38">
        <f t="shared" ca="1" si="1"/>
        <v>2.04</v>
      </c>
      <c r="I7" s="38">
        <f t="shared" ca="1" si="1"/>
        <v>2.06</v>
      </c>
      <c r="J7" s="38">
        <f t="shared" ca="1" si="1"/>
        <v>2.08</v>
      </c>
      <c r="K7" s="39" cm="1">
        <f t="array" aca="1" ref="K7" ca="1">INDIRECT(CONCATENATE("'",HLOOKUP(K$1,$B$21:$E$23,3,FALSE),"'!",$B$25,ROW($A7)+5))*About!$A$27</f>
        <v>2.1</v>
      </c>
      <c r="L7" s="38">
        <f t="shared" ca="1" si="5"/>
        <v>2.1</v>
      </c>
      <c r="M7" s="38">
        <f t="shared" ca="1" si="2"/>
        <v>2.1</v>
      </c>
      <c r="N7" s="38">
        <f t="shared" ca="1" si="2"/>
        <v>2.1</v>
      </c>
      <c r="O7" s="38">
        <f t="shared" ca="1" si="2"/>
        <v>2.1</v>
      </c>
      <c r="P7" s="39" cm="1">
        <f t="array" aca="1" ref="P7" ca="1">INDIRECT(CONCATENATE("'",HLOOKUP(P$1,$B$21:$E$23,3,FALSE),"'!",$B$25,ROW($A7)+5))*About!$A$27</f>
        <v>2.1</v>
      </c>
      <c r="Q7" s="38" cm="1">
        <f t="array" aca="1" ref="Q7" ca="1">TREND($K7:$P7,$K$1:$P$1,Q$1)</f>
        <v>2.1</v>
      </c>
      <c r="R7" s="38" cm="1">
        <f t="array" aca="1" ref="R7" ca="1">TREND($K7:$P7,$K$1:$P$1,R$1)</f>
        <v>2.1</v>
      </c>
      <c r="S7" s="38" cm="1">
        <f t="array" aca="1" ref="S7" ca="1">TREND($K7:$P7,$K$1:$P$1,S$1)</f>
        <v>2.1</v>
      </c>
      <c r="T7" s="38" cm="1">
        <f t="array" aca="1" ref="T7" ca="1">TREND($K7:$P7,$K$1:$P$1,T$1)</f>
        <v>2.1</v>
      </c>
      <c r="U7" s="38" cm="1">
        <f t="array" aca="1" ref="U7" ca="1">TREND($K7:$P7,$K$1:$P$1,U$1)</f>
        <v>2.1</v>
      </c>
      <c r="V7" s="38" cm="1">
        <f t="array" aca="1" ref="V7" ca="1">TREND($K7:$P7,$K$1:$P$1,V$1)</f>
        <v>2.1</v>
      </c>
      <c r="W7" s="38" cm="1">
        <f t="array" aca="1" ref="W7" ca="1">TREND($K7:$P7,$K$1:$P$1,W$1)</f>
        <v>2.1</v>
      </c>
      <c r="X7" s="38" cm="1">
        <f t="array" aca="1" ref="X7" ca="1">TREND($K7:$P7,$K$1:$P$1,X$1)</f>
        <v>2.1</v>
      </c>
      <c r="Y7" s="38" cm="1">
        <f t="array" aca="1" ref="Y7" ca="1">TREND($K7:$P7,$K$1:$P$1,Y$1)</f>
        <v>2.1</v>
      </c>
      <c r="Z7" s="38" cm="1">
        <f t="array" aca="1" ref="Z7" ca="1">TREND($K7:$P7,$K$1:$P$1,Z$1)</f>
        <v>2.1</v>
      </c>
      <c r="AA7" s="38" cm="1">
        <f t="array" aca="1" ref="AA7" ca="1">TREND($K7:$P7,$K$1:$P$1,AA$1)</f>
        <v>2.1</v>
      </c>
      <c r="AB7" s="38" cm="1">
        <f t="array" aca="1" ref="AB7" ca="1">TREND($K7:$P7,$K$1:$P$1,AB$1)</f>
        <v>2.1</v>
      </c>
      <c r="AC7" s="38" cm="1">
        <f t="array" aca="1" ref="AC7" ca="1">TREND($K7:$P7,$K$1:$P$1,AC$1)</f>
        <v>2.1</v>
      </c>
      <c r="AD7" s="38" cm="1">
        <f t="array" aca="1" ref="AD7" ca="1">TREND($K7:$P7,$K$1:$P$1,AD$1)</f>
        <v>2.1</v>
      </c>
      <c r="AE7" s="38" cm="1">
        <f t="array" aca="1" ref="AE7" ca="1">TREND($K7:$P7,$K$1:$P$1,AE$1)</f>
        <v>2.1</v>
      </c>
      <c r="AF7" s="38" cm="1">
        <f t="array" aca="1" ref="AF7" ca="1">TREND($K7:$P7,$K$1:$P$1,AF$1)</f>
        <v>2.1</v>
      </c>
      <c r="AG7" s="38" cm="1">
        <f t="array" aca="1" ref="AG7" ca="1">TREND($K7:$P7,$K$1:$P$1,AG$1)</f>
        <v>2.1</v>
      </c>
      <c r="AH7" s="38" cm="1">
        <f t="array" aca="1" ref="AH7" ca="1">TREND($K7:$P7,$K$1:$P$1,AH$1)</f>
        <v>2.1</v>
      </c>
      <c r="AI7" s="38" cm="1">
        <f t="array" aca="1" ref="AI7" ca="1">TREND($K7:$P7,$K$1:$P$1,AI$1)</f>
        <v>2.1</v>
      </c>
      <c r="AJ7" s="38" cm="1">
        <f t="array" aca="1" ref="AJ7" ca="1">TREND($K7:$P7,$K$1:$P$1,AJ$1)</f>
        <v>2.1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0.33</v>
      </c>
      <c r="C8" s="38">
        <f t="shared" ca="1" si="3"/>
        <v>0.33250000000000002</v>
      </c>
      <c r="D8" s="38">
        <f t="shared" ca="1" si="0"/>
        <v>0.33500000000000002</v>
      </c>
      <c r="E8" s="38">
        <f t="shared" ca="1" si="0"/>
        <v>0.33750000000000002</v>
      </c>
      <c r="F8" s="39" cm="1">
        <f t="array" aca="1" ref="F8" ca="1">INDIRECT(CONCATENATE("'",HLOOKUP(F$1,$B$21:$E$23,3,FALSE),"'!",$B$25,ROW($A8)+5))*About!$A$27</f>
        <v>0.34</v>
      </c>
      <c r="G8" s="38">
        <f t="shared" ca="1" si="4"/>
        <v>0.34200000000000003</v>
      </c>
      <c r="H8" s="38">
        <f t="shared" ca="1" si="1"/>
        <v>0.34400000000000003</v>
      </c>
      <c r="I8" s="38">
        <f t="shared" ca="1" si="1"/>
        <v>0.34599999999999997</v>
      </c>
      <c r="J8" s="38">
        <f t="shared" ca="1" si="1"/>
        <v>0.34799999999999998</v>
      </c>
      <c r="K8" s="39" cm="1">
        <f t="array" aca="1" ref="K8" ca="1">INDIRECT(CONCATENATE("'",HLOOKUP(K$1,$B$21:$E$23,3,FALSE),"'!",$B$25,ROW($A8)+5))*About!$A$27</f>
        <v>0.35</v>
      </c>
      <c r="L8" s="38">
        <f t="shared" ca="1" si="5"/>
        <v>0.35399999999999998</v>
      </c>
      <c r="M8" s="38">
        <f t="shared" ca="1" si="2"/>
        <v>0.35799999999999998</v>
      </c>
      <c r="N8" s="38">
        <f t="shared" ca="1" si="2"/>
        <v>0.36199999999999999</v>
      </c>
      <c r="O8" s="38">
        <f t="shared" ca="1" si="2"/>
        <v>0.36599999999999999</v>
      </c>
      <c r="P8" s="39" cm="1">
        <f t="array" aca="1" ref="P8" ca="1">INDIRECT(CONCATENATE("'",HLOOKUP(P$1,$B$21:$E$23,3,FALSE),"'!",$B$25,ROW($A8)+5))*About!$A$27</f>
        <v>0.37</v>
      </c>
      <c r="Q8" s="38" cm="1">
        <f t="array" aca="1" ref="Q8" ca="1">TREND($K8:$P8,$K$1:$P$1,Q$1)</f>
        <v>0.37400000000000144</v>
      </c>
      <c r="R8" s="38" cm="1">
        <f t="array" aca="1" ref="R8" ca="1">TREND($K8:$P8,$K$1:$P$1,R$1)</f>
        <v>0.378000000000001</v>
      </c>
      <c r="S8" s="38" cm="1">
        <f t="array" aca="1" ref="S8" ca="1">TREND($K8:$P8,$K$1:$P$1,S$1)</f>
        <v>0.38200000000000056</v>
      </c>
      <c r="T8" s="38" cm="1">
        <f t="array" aca="1" ref="T8" ca="1">TREND($K8:$P8,$K$1:$P$1,T$1)</f>
        <v>0.38600000000000012</v>
      </c>
      <c r="U8" s="38" cm="1">
        <f t="array" aca="1" ref="U8" ca="1">TREND($K8:$P8,$K$1:$P$1,U$1)</f>
        <v>0.39000000000000146</v>
      </c>
      <c r="V8" s="38" cm="1">
        <f t="array" aca="1" ref="V8" ca="1">TREND($K8:$P8,$K$1:$P$1,V$1)</f>
        <v>0.39400000000000102</v>
      </c>
      <c r="W8" s="38" cm="1">
        <f t="array" aca="1" ref="W8" ca="1">TREND($K8:$P8,$K$1:$P$1,W$1)</f>
        <v>0.39800000000000058</v>
      </c>
      <c r="X8" s="38" cm="1">
        <f t="array" aca="1" ref="X8" ca="1">TREND($K8:$P8,$K$1:$P$1,X$1)</f>
        <v>0.40200000000000014</v>
      </c>
      <c r="Y8" s="38" cm="1">
        <f t="array" aca="1" ref="Y8" ca="1">TREND($K8:$P8,$K$1:$P$1,Y$1)</f>
        <v>0.40600000000000147</v>
      </c>
      <c r="Z8" s="38" cm="1">
        <f t="array" aca="1" ref="Z8" ca="1">TREND($K8:$P8,$K$1:$P$1,Z$1)</f>
        <v>0.41000000000000103</v>
      </c>
      <c r="AA8" s="38" cm="1">
        <f t="array" aca="1" ref="AA8" ca="1">TREND($K8:$P8,$K$1:$P$1,AA$1)</f>
        <v>0.41400000000000059</v>
      </c>
      <c r="AB8" s="38" cm="1">
        <f t="array" aca="1" ref="AB8" ca="1">TREND($K8:$P8,$K$1:$P$1,AB$1)</f>
        <v>0.41800000000000015</v>
      </c>
      <c r="AC8" s="38" cm="1">
        <f t="array" aca="1" ref="AC8" ca="1">TREND($K8:$P8,$K$1:$P$1,AC$1)</f>
        <v>0.42200000000000149</v>
      </c>
      <c r="AD8" s="38" cm="1">
        <f t="array" aca="1" ref="AD8" ca="1">TREND($K8:$P8,$K$1:$P$1,AD$1)</f>
        <v>0.42600000000000104</v>
      </c>
      <c r="AE8" s="38" cm="1">
        <f t="array" aca="1" ref="AE8" ca="1">TREND($K8:$P8,$K$1:$P$1,AE$1)</f>
        <v>0.4300000000000006</v>
      </c>
      <c r="AF8" s="38" cm="1">
        <f t="array" aca="1" ref="AF8" ca="1">TREND($K8:$P8,$K$1:$P$1,AF$1)</f>
        <v>0.43400000000000016</v>
      </c>
      <c r="AG8" s="38" cm="1">
        <f t="array" aca="1" ref="AG8" ca="1">TREND($K8:$P8,$K$1:$P$1,AG$1)</f>
        <v>0.4380000000000015</v>
      </c>
      <c r="AH8" s="38" cm="1">
        <f t="array" aca="1" ref="AH8" ca="1">TREND($K8:$P8,$K$1:$P$1,AH$1)</f>
        <v>0.44200000000000106</v>
      </c>
      <c r="AI8" s="38" cm="1">
        <f t="array" aca="1" ref="AI8" ca="1">TREND($K8:$P8,$K$1:$P$1,AI$1)</f>
        <v>0.44600000000000062</v>
      </c>
      <c r="AJ8" s="38" cm="1">
        <f t="array" aca="1" ref="AJ8" ca="1">TREND($K8:$P8,$K$1:$P$1,AJ$1)</f>
        <v>0.45000000000000195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8.1000000000000003E-2</v>
      </c>
      <c r="C9" s="38">
        <f t="shared" ca="1" si="3"/>
        <v>8.1250000000000003E-2</v>
      </c>
      <c r="D9" s="38">
        <f t="shared" ca="1" si="0"/>
        <v>8.1500000000000003E-2</v>
      </c>
      <c r="E9" s="38">
        <f t="shared" ca="1" si="0"/>
        <v>8.1750000000000003E-2</v>
      </c>
      <c r="F9" s="39" cm="1">
        <f t="array" aca="1" ref="F9" ca="1">INDIRECT(CONCATENATE("'",HLOOKUP(F$1,$B$21:$E$23,3,FALSE),"'!",$B$25,ROW($A9)+5))*About!$A$27</f>
        <v>8.2000000000000003E-2</v>
      </c>
      <c r="G9" s="38">
        <f t="shared" ca="1" si="4"/>
        <v>8.3000000000000004E-2</v>
      </c>
      <c r="H9" s="38">
        <f t="shared" ca="1" si="1"/>
        <v>8.4000000000000005E-2</v>
      </c>
      <c r="I9" s="38">
        <f t="shared" ca="1" si="1"/>
        <v>8.4999999999999992E-2</v>
      </c>
      <c r="J9" s="38">
        <f t="shared" ca="1" si="1"/>
        <v>8.5999999999999993E-2</v>
      </c>
      <c r="K9" s="39" cm="1">
        <f t="array" aca="1" ref="K9" ca="1">INDIRECT(CONCATENATE("'",HLOOKUP(K$1,$B$21:$E$23,3,FALSE),"'!",$B$25,ROW($A9)+5))*About!$A$27</f>
        <v>8.6999999999999994E-2</v>
      </c>
      <c r="L9" s="38">
        <f t="shared" ca="1" si="5"/>
        <v>8.8399999999999992E-2</v>
      </c>
      <c r="M9" s="38">
        <f t="shared" ca="1" si="2"/>
        <v>8.9799999999999991E-2</v>
      </c>
      <c r="N9" s="38">
        <f t="shared" ca="1" si="2"/>
        <v>9.1200000000000003E-2</v>
      </c>
      <c r="O9" s="38">
        <f t="shared" ca="1" si="2"/>
        <v>9.2600000000000002E-2</v>
      </c>
      <c r="P9" s="39" cm="1">
        <f t="array" aca="1" ref="P9" ca="1">INDIRECT(CONCATENATE("'",HLOOKUP(P$1,$B$21:$E$23,3,FALSE),"'!",$B$25,ROW($A9)+5))*About!$A$27</f>
        <v>9.4E-2</v>
      </c>
      <c r="Q9" s="38" cm="1">
        <f t="array" aca="1" ref="Q9" ca="1">TREND($K9:$P9,$K$1:$P$1,Q$1)</f>
        <v>9.5400000000000151E-2</v>
      </c>
      <c r="R9" s="38" cm="1">
        <f t="array" aca="1" ref="R9" ca="1">TREND($K9:$P9,$K$1:$P$1,R$1)</f>
        <v>9.6799999999999997E-2</v>
      </c>
      <c r="S9" s="38" cm="1">
        <f t="array" aca="1" ref="S9" ca="1">TREND($K9:$P9,$K$1:$P$1,S$1)</f>
        <v>9.8200000000000287E-2</v>
      </c>
      <c r="T9" s="38" cm="1">
        <f t="array" aca="1" ref="T9" ca="1">TREND($K9:$P9,$K$1:$P$1,T$1)</f>
        <v>9.9600000000000133E-2</v>
      </c>
      <c r="U9" s="38" cm="1">
        <f t="array" aca="1" ref="U9" ca="1">TREND($K9:$P9,$K$1:$P$1,U$1)</f>
        <v>0.10099999999999998</v>
      </c>
      <c r="V9" s="38" cm="1">
        <f t="array" aca="1" ref="V9" ca="1">TREND($K9:$P9,$K$1:$P$1,V$1)</f>
        <v>0.10240000000000027</v>
      </c>
      <c r="W9" s="38" cm="1">
        <f t="array" aca="1" ref="W9" ca="1">TREND($K9:$P9,$K$1:$P$1,W$1)</f>
        <v>0.10380000000000011</v>
      </c>
      <c r="X9" s="38" cm="1">
        <f t="array" aca="1" ref="X9" ca="1">TREND($K9:$P9,$K$1:$P$1,X$1)</f>
        <v>0.10519999999999996</v>
      </c>
      <c r="Y9" s="38" cm="1">
        <f t="array" aca="1" ref="Y9" ca="1">TREND($K9:$P9,$K$1:$P$1,Y$1)</f>
        <v>0.10660000000000025</v>
      </c>
      <c r="Z9" s="38" cm="1">
        <f t="array" aca="1" ref="Z9" ca="1">TREND($K9:$P9,$K$1:$P$1,Z$1)</f>
        <v>0.1080000000000001</v>
      </c>
      <c r="AA9" s="38" cm="1">
        <f t="array" aca="1" ref="AA9" ca="1">TREND($K9:$P9,$K$1:$P$1,AA$1)</f>
        <v>0.10940000000000039</v>
      </c>
      <c r="AB9" s="38" cm="1">
        <f t="array" aca="1" ref="AB9" ca="1">TREND($K9:$P9,$K$1:$P$1,AB$1)</f>
        <v>0.11080000000000023</v>
      </c>
      <c r="AC9" s="38" cm="1">
        <f t="array" aca="1" ref="AC9" ca="1">TREND($K9:$P9,$K$1:$P$1,AC$1)</f>
        <v>0.11220000000000008</v>
      </c>
      <c r="AD9" s="38" cm="1">
        <f t="array" aca="1" ref="AD9" ca="1">TREND($K9:$P9,$K$1:$P$1,AD$1)</f>
        <v>0.11360000000000037</v>
      </c>
      <c r="AE9" s="38" cm="1">
        <f t="array" aca="1" ref="AE9" ca="1">TREND($K9:$P9,$K$1:$P$1,AE$1)</f>
        <v>0.11500000000000021</v>
      </c>
      <c r="AF9" s="38" cm="1">
        <f t="array" aca="1" ref="AF9" ca="1">TREND($K9:$P9,$K$1:$P$1,AF$1)</f>
        <v>0.11640000000000006</v>
      </c>
      <c r="AG9" s="38" cm="1">
        <f t="array" aca="1" ref="AG9" ca="1">TREND($K9:$P9,$K$1:$P$1,AG$1)</f>
        <v>0.11780000000000035</v>
      </c>
      <c r="AH9" s="38" cm="1">
        <f t="array" aca="1" ref="AH9" ca="1">TREND($K9:$P9,$K$1:$P$1,AH$1)</f>
        <v>0.11920000000000019</v>
      </c>
      <c r="AI9" s="38" cm="1">
        <f t="array" aca="1" ref="AI9" ca="1">TREND($K9:$P9,$K$1:$P$1,AI$1)</f>
        <v>0.12060000000000004</v>
      </c>
      <c r="AJ9" s="38" cm="1">
        <f t="array" aca="1" ref="AJ9" ca="1">TREND($K9:$P9,$K$1:$P$1,AJ$1)</f>
        <v>0.12200000000000033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5.0000000000000001E-4</v>
      </c>
      <c r="C10" s="38">
        <f t="shared" ca="1" si="3"/>
        <v>5.1250000000000004E-4</v>
      </c>
      <c r="D10" s="38">
        <f t="shared" ca="1" si="0"/>
        <v>5.2500000000000008E-4</v>
      </c>
      <c r="E10" s="38">
        <f t="shared" ca="1" si="0"/>
        <v>5.375E-4</v>
      </c>
      <c r="F10" s="39" cm="1">
        <f t="array" aca="1" ref="F10" ca="1">INDIRECT(CONCATENATE("'",HLOOKUP(F$1,$B$21:$E$23,3,FALSE),"'!",$B$25,ROW($A10)+5))*About!$A$27</f>
        <v>5.5000000000000003E-4</v>
      </c>
      <c r="G10" s="38">
        <f t="shared" ca="1" si="4"/>
        <v>5.6400000000000005E-4</v>
      </c>
      <c r="H10" s="38">
        <f t="shared" ca="1" si="1"/>
        <v>5.7800000000000006E-4</v>
      </c>
      <c r="I10" s="38">
        <f t="shared" ca="1" si="1"/>
        <v>5.9199999999999997E-4</v>
      </c>
      <c r="J10" s="38">
        <f t="shared" ca="1" si="1"/>
        <v>6.0599999999999998E-4</v>
      </c>
      <c r="K10" s="39" cm="1">
        <f t="array" aca="1" ref="K10" ca="1">INDIRECT(CONCATENATE("'",HLOOKUP(K$1,$B$21:$E$23,3,FALSE),"'!",$B$25,ROW($A10)+5))*About!$A$27</f>
        <v>6.2E-4</v>
      </c>
      <c r="L10" s="38">
        <f t="shared" ca="1" si="5"/>
        <v>6.3599999999999996E-4</v>
      </c>
      <c r="M10" s="38">
        <f t="shared" ca="1" si="2"/>
        <v>6.5200000000000002E-4</v>
      </c>
      <c r="N10" s="38">
        <f t="shared" ca="1" si="2"/>
        <v>6.6799999999999997E-4</v>
      </c>
      <c r="O10" s="38">
        <f t="shared" ca="1" si="2"/>
        <v>6.8400000000000004E-4</v>
      </c>
      <c r="P10" s="39" cm="1">
        <f t="array" aca="1" ref="P10" ca="1">INDIRECT(CONCATENATE("'",HLOOKUP(P$1,$B$21:$E$23,3,FALSE),"'!",$B$25,ROW($A10)+5))*About!$A$27</f>
        <v>6.9999999999999999E-4</v>
      </c>
      <c r="Q10" s="38" cm="1">
        <f t="array" aca="1" ref="Q10" ca="1">TREND($K10:$P10,$K$1:$P$1,Q$1)</f>
        <v>7.1600000000000136E-4</v>
      </c>
      <c r="R10" s="38" cm="1">
        <f t="array" aca="1" ref="R10" ca="1">TREND($K10:$P10,$K$1:$P$1,R$1)</f>
        <v>7.3200000000000348E-4</v>
      </c>
      <c r="S10" s="38" cm="1">
        <f t="array" aca="1" ref="S10" ca="1">TREND($K10:$P10,$K$1:$P$1,S$1)</f>
        <v>7.480000000000056E-4</v>
      </c>
      <c r="T10" s="38" cm="1">
        <f t="array" aca="1" ref="T10" ca="1">TREND($K10:$P10,$K$1:$P$1,T$1)</f>
        <v>7.6400000000000079E-4</v>
      </c>
      <c r="U10" s="38" cm="1">
        <f t="array" aca="1" ref="U10" ca="1">TREND($K10:$P10,$K$1:$P$1,U$1)</f>
        <v>7.8000000000000291E-4</v>
      </c>
      <c r="V10" s="38" cm="1">
        <f t="array" aca="1" ref="V10" ca="1">TREND($K10:$P10,$K$1:$P$1,V$1)</f>
        <v>7.9600000000000504E-4</v>
      </c>
      <c r="W10" s="38" cm="1">
        <f t="array" aca="1" ref="W10" ca="1">TREND($K10:$P10,$K$1:$P$1,W$1)</f>
        <v>8.1200000000000022E-4</v>
      </c>
      <c r="X10" s="38" cm="1">
        <f t="array" aca="1" ref="X10" ca="1">TREND($K10:$P10,$K$1:$P$1,X$1)</f>
        <v>8.2800000000000235E-4</v>
      </c>
      <c r="Y10" s="38" cm="1">
        <f t="array" aca="1" ref="Y10" ca="1">TREND($K10:$P10,$K$1:$P$1,Y$1)</f>
        <v>8.4400000000000447E-4</v>
      </c>
      <c r="Z10" s="38" cm="1">
        <f t="array" aca="1" ref="Z10" ca="1">TREND($K10:$P10,$K$1:$P$1,Z$1)</f>
        <v>8.5999999999999965E-4</v>
      </c>
      <c r="AA10" s="38" cm="1">
        <f t="array" aca="1" ref="AA10" ca="1">TREND($K10:$P10,$K$1:$P$1,AA$1)</f>
        <v>8.7600000000000178E-4</v>
      </c>
      <c r="AB10" s="38" cm="1">
        <f t="array" aca="1" ref="AB10" ca="1">TREND($K10:$P10,$K$1:$P$1,AB$1)</f>
        <v>8.920000000000039E-4</v>
      </c>
      <c r="AC10" s="38" cm="1">
        <f t="array" aca="1" ref="AC10" ca="1">TREND($K10:$P10,$K$1:$P$1,AC$1)</f>
        <v>9.0800000000000602E-4</v>
      </c>
      <c r="AD10" s="38" cm="1">
        <f t="array" aca="1" ref="AD10" ca="1">TREND($K10:$P10,$K$1:$P$1,AD$1)</f>
        <v>9.2400000000000121E-4</v>
      </c>
      <c r="AE10" s="38" cm="1">
        <f t="array" aca="1" ref="AE10" ca="1">TREND($K10:$P10,$K$1:$P$1,AE$1)</f>
        <v>9.4000000000000333E-4</v>
      </c>
      <c r="AF10" s="38" cm="1">
        <f t="array" aca="1" ref="AF10" ca="1">TREND($K10:$P10,$K$1:$P$1,AF$1)</f>
        <v>9.5600000000000546E-4</v>
      </c>
      <c r="AG10" s="38" cm="1">
        <f t="array" aca="1" ref="AG10" ca="1">TREND($K10:$P10,$K$1:$P$1,AG$1)</f>
        <v>9.7200000000000064E-4</v>
      </c>
      <c r="AH10" s="38" cm="1">
        <f t="array" aca="1" ref="AH10" ca="1">TREND($K10:$P10,$K$1:$P$1,AH$1)</f>
        <v>9.8800000000000276E-4</v>
      </c>
      <c r="AI10" s="38" cm="1">
        <f t="array" aca="1" ref="AI10" ca="1">TREND($K10:$P10,$K$1:$P$1,AI$1)</f>
        <v>1.0040000000000049E-3</v>
      </c>
      <c r="AJ10" s="38" cm="1">
        <f t="array" aca="1" ref="AJ10" ca="1">TREND($K10:$P10,$K$1:$P$1,AJ$1)</f>
        <v>1.0200000000000001E-3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4.8000000000000001E-4</v>
      </c>
      <c r="C11" s="38">
        <f t="shared" ca="1" si="3"/>
        <v>4.9249999999999999E-4</v>
      </c>
      <c r="D11" s="38">
        <f t="shared" ca="1" si="0"/>
        <v>5.0500000000000002E-4</v>
      </c>
      <c r="E11" s="38">
        <f t="shared" ca="1" si="0"/>
        <v>5.1749999999999995E-4</v>
      </c>
      <c r="F11" s="39" cm="1">
        <f t="array" aca="1" ref="F11" ca="1">INDIRECT(CONCATENATE("'",HLOOKUP(F$1,$B$21:$E$23,3,FALSE),"'!",$B$25,ROW($A11)+5))*About!$A$27</f>
        <v>5.2999999999999998E-4</v>
      </c>
      <c r="G11" s="38">
        <f t="shared" ca="1" si="4"/>
        <v>5.44E-4</v>
      </c>
      <c r="H11" s="38">
        <f t="shared" ca="1" si="1"/>
        <v>5.5800000000000001E-4</v>
      </c>
      <c r="I11" s="38">
        <f t="shared" ca="1" si="1"/>
        <v>5.7199999999999992E-4</v>
      </c>
      <c r="J11" s="38">
        <f t="shared" ca="1" si="1"/>
        <v>5.8599999999999993E-4</v>
      </c>
      <c r="K11" s="39" cm="1">
        <f t="array" aca="1" ref="K11" ca="1">INDIRECT(CONCATENATE("'",HLOOKUP(K$1,$B$21:$E$23,3,FALSE),"'!",$B$25,ROW($A11)+5))*About!$A$27</f>
        <v>5.9999999999999995E-4</v>
      </c>
      <c r="L11" s="38">
        <f t="shared" ca="1" si="5"/>
        <v>6.1600000000000001E-4</v>
      </c>
      <c r="M11" s="38">
        <f t="shared" ca="1" si="2"/>
        <v>6.3199999999999997E-4</v>
      </c>
      <c r="N11" s="38">
        <f t="shared" ca="1" si="2"/>
        <v>6.4800000000000003E-4</v>
      </c>
      <c r="O11" s="38">
        <f t="shared" ca="1" si="2"/>
        <v>6.6399999999999999E-4</v>
      </c>
      <c r="P11" s="39" cm="1">
        <f t="array" aca="1" ref="P11" ca="1">INDIRECT(CONCATENATE("'",HLOOKUP(P$1,$B$21:$E$23,3,FALSE),"'!",$B$25,ROW($A11)+5))*About!$A$27</f>
        <v>6.8000000000000005E-4</v>
      </c>
      <c r="Q11" s="38" cm="1">
        <f t="array" aca="1" ref="Q11" ca="1">TREND($K11:$P11,$K$1:$P$1,Q$1)</f>
        <v>6.9600000000000217E-4</v>
      </c>
      <c r="R11" s="38" cm="1">
        <f t="array" aca="1" ref="R11" ca="1">TREND($K11:$P11,$K$1:$P$1,R$1)</f>
        <v>7.120000000000043E-4</v>
      </c>
      <c r="S11" s="38" cm="1">
        <f t="array" aca="1" ref="S11" ca="1">TREND($K11:$P11,$K$1:$P$1,S$1)</f>
        <v>7.2800000000000642E-4</v>
      </c>
      <c r="T11" s="38" cm="1">
        <f t="array" aca="1" ref="T11" ca="1">TREND($K11:$P11,$K$1:$P$1,T$1)</f>
        <v>7.440000000000016E-4</v>
      </c>
      <c r="U11" s="38" cm="1">
        <f t="array" aca="1" ref="U11" ca="1">TREND($K11:$P11,$K$1:$P$1,U$1)</f>
        <v>7.6000000000000373E-4</v>
      </c>
      <c r="V11" s="38" cm="1">
        <f t="array" aca="1" ref="V11" ca="1">TREND($K11:$P11,$K$1:$P$1,V$1)</f>
        <v>7.7600000000000585E-4</v>
      </c>
      <c r="W11" s="38" cm="1">
        <f t="array" aca="1" ref="W11" ca="1">TREND($K11:$P11,$K$1:$P$1,W$1)</f>
        <v>7.9200000000000104E-4</v>
      </c>
      <c r="X11" s="38" cm="1">
        <f t="array" aca="1" ref="X11" ca="1">TREND($K11:$P11,$K$1:$P$1,X$1)</f>
        <v>8.0800000000000316E-4</v>
      </c>
      <c r="Y11" s="38" cm="1">
        <f t="array" aca="1" ref="Y11" ca="1">TREND($K11:$P11,$K$1:$P$1,Y$1)</f>
        <v>8.2400000000000528E-4</v>
      </c>
      <c r="Z11" s="38" cm="1">
        <f t="array" aca="1" ref="Z11" ca="1">TREND($K11:$P11,$K$1:$P$1,Z$1)</f>
        <v>8.4000000000000047E-4</v>
      </c>
      <c r="AA11" s="38" cm="1">
        <f t="array" aca="1" ref="AA11" ca="1">TREND($K11:$P11,$K$1:$P$1,AA$1)</f>
        <v>8.5600000000000259E-4</v>
      </c>
      <c r="AB11" s="38" cm="1">
        <f t="array" aca="1" ref="AB11" ca="1">TREND($K11:$P11,$K$1:$P$1,AB$1)</f>
        <v>8.7200000000000472E-4</v>
      </c>
      <c r="AC11" s="38" cm="1">
        <f t="array" aca="1" ref="AC11" ca="1">TREND($K11:$P11,$K$1:$P$1,AC$1)</f>
        <v>8.8800000000000684E-4</v>
      </c>
      <c r="AD11" s="38" cm="1">
        <f t="array" aca="1" ref="AD11" ca="1">TREND($K11:$P11,$K$1:$P$1,AD$1)</f>
        <v>9.0400000000000202E-4</v>
      </c>
      <c r="AE11" s="38" cm="1">
        <f t="array" aca="1" ref="AE11" ca="1">TREND($K11:$P11,$K$1:$P$1,AE$1)</f>
        <v>9.2000000000000415E-4</v>
      </c>
      <c r="AF11" s="38" cm="1">
        <f t="array" aca="1" ref="AF11" ca="1">TREND($K11:$P11,$K$1:$P$1,AF$1)</f>
        <v>9.3600000000000627E-4</v>
      </c>
      <c r="AG11" s="38" cm="1">
        <f t="array" aca="1" ref="AG11" ca="1">TREND($K11:$P11,$K$1:$P$1,AG$1)</f>
        <v>9.5200000000000146E-4</v>
      </c>
      <c r="AH11" s="38" cm="1">
        <f t="array" aca="1" ref="AH11" ca="1">TREND($K11:$P11,$K$1:$P$1,AH$1)</f>
        <v>9.6800000000000358E-4</v>
      </c>
      <c r="AI11" s="38" cm="1">
        <f t="array" aca="1" ref="AI11" ca="1">TREND($K11:$P11,$K$1:$P$1,AI$1)</f>
        <v>9.840000000000057E-4</v>
      </c>
      <c r="AJ11" s="38" cm="1">
        <f t="array" aca="1" ref="AJ11" ca="1">TREND($K11:$P11,$K$1:$P$1,AJ$1)</f>
        <v>1.0000000000000009E-3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2.2200000000000002E-3</v>
      </c>
      <c r="C12" s="38">
        <f t="shared" ca="1" si="3"/>
        <v>2.2750000000000001E-3</v>
      </c>
      <c r="D12" s="38">
        <f t="shared" ca="1" si="0"/>
        <v>2.3300000000000005E-3</v>
      </c>
      <c r="E12" s="38">
        <f t="shared" ca="1" si="0"/>
        <v>2.3850000000000004E-3</v>
      </c>
      <c r="F12" s="40">
        <f ca="1">SUM(INDIRECT(CONCATENATE("'",HLOOKUP(F$1,$B$21:$E$23,3,FALSE),"'!",$B$25,ROW($A12)+5,":",$B$25,ROW($A12)+6)))*About!$A$27</f>
        <v>2.4400000000000003E-3</v>
      </c>
      <c r="G12" s="38">
        <f t="shared" ca="1" si="4"/>
        <v>2.5060000000000004E-3</v>
      </c>
      <c r="H12" s="38">
        <f t="shared" ca="1" si="1"/>
        <v>2.5720000000000001E-3</v>
      </c>
      <c r="I12" s="38">
        <f t="shared" ca="1" si="1"/>
        <v>2.6380000000000002E-3</v>
      </c>
      <c r="J12" s="38">
        <f t="shared" ca="1" si="1"/>
        <v>2.7039999999999998E-3</v>
      </c>
      <c r="K12" s="40">
        <f ca="1">SUM(INDIRECT(CONCATENATE("'",HLOOKUP(K$1,$B$21:$E$23,3,FALSE),"'!",$B$25,ROW($A12)+5,":",$B$25,ROW($A12)+6)))*About!$A$27</f>
        <v>2.7699999999999999E-3</v>
      </c>
      <c r="L12" s="38">
        <f t="shared" ca="1" si="5"/>
        <v>2.836E-3</v>
      </c>
      <c r="M12" s="38">
        <f t="shared" ca="1" si="2"/>
        <v>2.9020000000000001E-3</v>
      </c>
      <c r="N12" s="38">
        <f t="shared" ca="1" si="2"/>
        <v>2.9679999999999997E-3</v>
      </c>
      <c r="O12" s="38">
        <f t="shared" ca="1" si="2"/>
        <v>3.0339999999999998E-3</v>
      </c>
      <c r="P12" s="40">
        <f ca="1">SUM(INDIRECT(CONCATENATE("'",HLOOKUP(P$1,$B$21:$E$23,3,FALSE),"'!",$B$25,ROW($A12)+5,":",$B$25,ROW($A12)+6)))*About!$A$27</f>
        <v>3.0999999999999999E-3</v>
      </c>
      <c r="Q12" s="38" cm="1">
        <f t="array" aca="1" ref="Q12" ca="1">TREND($K12:$P12,$K$1:$P$1,Q$1)</f>
        <v>3.1659999999999744E-3</v>
      </c>
      <c r="R12" s="38" cm="1">
        <f t="array" aca="1" ref="R12" ca="1">TREND($K12:$P12,$K$1:$P$1,R$1)</f>
        <v>3.2319999999999849E-3</v>
      </c>
      <c r="S12" s="38" cm="1">
        <f t="array" aca="1" ref="S12" ca="1">TREND($K12:$P12,$K$1:$P$1,S$1)</f>
        <v>3.2979999999999954E-3</v>
      </c>
      <c r="T12" s="38" cm="1">
        <f t="array" aca="1" ref="T12" ca="1">TREND($K12:$P12,$K$1:$P$1,T$1)</f>
        <v>3.3639999999999781E-3</v>
      </c>
      <c r="U12" s="38" cm="1">
        <f t="array" aca="1" ref="U12" ca="1">TREND($K12:$P12,$K$1:$P$1,U$1)</f>
        <v>3.4299999999999886E-3</v>
      </c>
      <c r="V12" s="38" cm="1">
        <f t="array" aca="1" ref="V12" ca="1">TREND($K12:$P12,$K$1:$P$1,V$1)</f>
        <v>3.4959999999999991E-3</v>
      </c>
      <c r="W12" s="38" cm="1">
        <f t="array" aca="1" ref="W12" ca="1">TREND($K12:$P12,$K$1:$P$1,W$1)</f>
        <v>3.5619999999999818E-3</v>
      </c>
      <c r="X12" s="38" cm="1">
        <f t="array" aca="1" ref="X12" ca="1">TREND($K12:$P12,$K$1:$P$1,X$1)</f>
        <v>3.6279999999999923E-3</v>
      </c>
      <c r="Y12" s="38" cm="1">
        <f t="array" aca="1" ref="Y12" ca="1">TREND($K12:$P12,$K$1:$P$1,Y$1)</f>
        <v>3.6939999999999751E-3</v>
      </c>
      <c r="Z12" s="38" cm="1">
        <f t="array" aca="1" ref="Z12" ca="1">TREND($K12:$P12,$K$1:$P$1,Z$1)</f>
        <v>3.7599999999999856E-3</v>
      </c>
      <c r="AA12" s="38" cm="1">
        <f t="array" aca="1" ref="AA12" ca="1">TREND($K12:$P12,$K$1:$P$1,AA$1)</f>
        <v>3.8259999999999961E-3</v>
      </c>
      <c r="AB12" s="38" cm="1">
        <f t="array" aca="1" ref="AB12" ca="1">TREND($K12:$P12,$K$1:$P$1,AB$1)</f>
        <v>3.8919999999999788E-3</v>
      </c>
      <c r="AC12" s="38" cm="1">
        <f t="array" aca="1" ref="AC12" ca="1">TREND($K12:$P12,$K$1:$P$1,AC$1)</f>
        <v>3.9579999999999893E-3</v>
      </c>
      <c r="AD12" s="38" cm="1">
        <f t="array" aca="1" ref="AD12" ca="1">TREND($K12:$P12,$K$1:$P$1,AD$1)</f>
        <v>4.0239999999999998E-3</v>
      </c>
      <c r="AE12" s="38" cm="1">
        <f t="array" aca="1" ref="AE12" ca="1">TREND($K12:$P12,$K$1:$P$1,AE$1)</f>
        <v>4.0899999999999825E-3</v>
      </c>
      <c r="AF12" s="38" cm="1">
        <f t="array" aca="1" ref="AF12" ca="1">TREND($K12:$P12,$K$1:$P$1,AF$1)</f>
        <v>4.155999999999993E-3</v>
      </c>
      <c r="AG12" s="38" cm="1">
        <f t="array" aca="1" ref="AG12" ca="1">TREND($K12:$P12,$K$1:$P$1,AG$1)</f>
        <v>4.2219999999999758E-3</v>
      </c>
      <c r="AH12" s="38" cm="1">
        <f t="array" aca="1" ref="AH12" ca="1">TREND($K12:$P12,$K$1:$P$1,AH$1)</f>
        <v>4.2879999999999863E-3</v>
      </c>
      <c r="AI12" s="38" cm="1">
        <f t="array" aca="1" ref="AI12" ca="1">TREND($K12:$P12,$K$1:$P$1,AI$1)</f>
        <v>4.3539999999999968E-3</v>
      </c>
      <c r="AJ12" s="38" cm="1">
        <f t="array" aca="1" ref="AJ12" ca="1">TREND($K12:$P12,$K$1:$P$1,AJ$1)</f>
        <v>4.4199999999999795E-3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HOIpTP-transport-SO2</v>
      </c>
    </row>
    <row r="18" spans="1:5" x14ac:dyDescent="0.25">
      <c r="A18" t="s">
        <v>114</v>
      </c>
      <c r="B18" t="str">
        <f ca="1">RIGHT(B17,LEN(B17)-7)</f>
        <v>transport-SO2</v>
      </c>
    </row>
    <row r="19" spans="1:5" x14ac:dyDescent="0.25">
      <c r="A19" t="s">
        <v>115</v>
      </c>
      <c r="B19" t="str">
        <f ca="1">LEFT(B18,FIND("-",B18)-1)</f>
        <v>transport</v>
      </c>
    </row>
    <row r="20" spans="1:5" x14ac:dyDescent="0.25">
      <c r="A20" t="s">
        <v>122</v>
      </c>
      <c r="B20" t="str">
        <f ca="1">VLOOKUP($B$19,Mappings!$A$22:$B$26,COLUMN(Mappings!$B$21),FALSE)</f>
        <v>on-road mobile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15</v>
      </c>
      <c r="C22" s="32">
        <f ca="1">VLOOKUP($B$20,Mappings!$A$3:$E$19,COLUMN(Mappings!C$2),FALSE)</f>
        <v>32</v>
      </c>
      <c r="D22" s="32">
        <f ca="1">VLOOKUP($B$20,Mappings!$A$3:$E$19,COLUMN(Mappings!D$2),FALSE)</f>
        <v>49</v>
      </c>
      <c r="E22" s="33">
        <f ca="1">VLOOKUP($B$20,Mappings!$A$3:$E$19,COLUMN(Mappings!E$2),FALSE)</f>
        <v>66</v>
      </c>
    </row>
    <row r="23" spans="1:5" x14ac:dyDescent="0.25">
      <c r="A23" s="34" t="s">
        <v>113</v>
      </c>
      <c r="B23" s="35" t="str">
        <f ca="1">CONCATENATE("Table ",B22)</f>
        <v>Table 15</v>
      </c>
      <c r="C23" s="35" t="str">
        <f ca="1">CONCATENATE("Table ",C22)</f>
        <v>Table 32</v>
      </c>
      <c r="D23" s="35" t="str">
        <f ca="1">CONCATENATE("Table ",D22)</f>
        <v>Table 49</v>
      </c>
      <c r="E23" s="36" t="str">
        <f ca="1">CONCATENATE("Table ",E22)</f>
        <v>Table 66</v>
      </c>
    </row>
    <row r="24" spans="1:5" x14ac:dyDescent="0.25">
      <c r="A24" t="s">
        <v>116</v>
      </c>
      <c r="B24" t="str">
        <f ca="1">REPLACE(B18,1,FIND("-",B18),"")</f>
        <v>SO2</v>
      </c>
    </row>
    <row r="25" spans="1:5" x14ac:dyDescent="0.25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6196-FC48-4EB3-ACE6-FCE83DB52743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6.4999999999999997E-4</v>
      </c>
      <c r="C2" s="38">
        <f ca="1">$B2+($F2-$B2)*(C$1-$B$1)/($F$1-$B$1)</f>
        <v>6.5249999999999998E-4</v>
      </c>
      <c r="D2" s="38">
        <f t="shared" ref="D2:E12" ca="1" si="0">$B2+($F2-$B2)*(D$1-$B$1)/($F$1-$B$1)</f>
        <v>6.5499999999999998E-4</v>
      </c>
      <c r="E2" s="38">
        <f t="shared" ca="1" si="0"/>
        <v>6.5749999999999999E-4</v>
      </c>
      <c r="F2" s="37" cm="1">
        <f t="array" aca="1" ref="F2" ca="1">INDIRECT(CONCATENATE("'",HLOOKUP(F$1,$B$21:$E$23,3,FALSE),"'!",$B$25,ROW($A2)+3))*About!$A$27</f>
        <v>6.6E-4</v>
      </c>
      <c r="G2" s="38">
        <f ca="1">$F2+($K2-$F2)*(G$1-$F$1)/($K$1-$F$1)</f>
        <v>6.6799999999999997E-4</v>
      </c>
      <c r="H2" s="38">
        <f t="shared" ref="H2:J12" ca="1" si="1">$F2+($K2-$F2)*(H$1-$F$1)/($K$1-$F$1)</f>
        <v>6.7599999999999995E-4</v>
      </c>
      <c r="I2" s="38">
        <f t="shared" ca="1" si="1"/>
        <v>6.8400000000000004E-4</v>
      </c>
      <c r="J2" s="38">
        <f t="shared" ca="1" si="1"/>
        <v>6.9200000000000002E-4</v>
      </c>
      <c r="K2" s="37" cm="1">
        <f t="array" aca="1" ref="K2" ca="1">INDIRECT(CONCATENATE("'",HLOOKUP(K$1,$B$21:$E$23,3,FALSE),"'!",$B$25,ROW($A2)+3))*About!$A$27</f>
        <v>6.9999999999999999E-4</v>
      </c>
      <c r="L2" s="38">
        <f ca="1">$K2+($P2-$K2)*(L$1-$K$1)/($P$1-$K$1)</f>
        <v>7.0799999999999997E-4</v>
      </c>
      <c r="M2" s="38">
        <f t="shared" ref="M2:O12" ca="1" si="2">$K2+($P2-$K2)*(M$1-$K$1)/($P$1-$K$1)</f>
        <v>7.1599999999999995E-4</v>
      </c>
      <c r="N2" s="38">
        <f t="shared" ca="1" si="2"/>
        <v>7.2400000000000003E-4</v>
      </c>
      <c r="O2" s="38">
        <f t="shared" ca="1" si="2"/>
        <v>7.3200000000000001E-4</v>
      </c>
      <c r="P2" s="37" cm="1">
        <f t="array" aca="1" ref="P2" ca="1">INDIRECT(CONCATENATE("'",HLOOKUP(P$1,$B$21:$E$23,3,FALSE),"'!",$B$25,ROW($A2)+3))*About!$A$27</f>
        <v>7.3999999999999999E-4</v>
      </c>
      <c r="Q2" s="38" cm="1">
        <f t="array" aca="1" ref="Q2" ca="1">TREND($K2:$P2,$K$1:$P$1,Q$1)</f>
        <v>7.480000000000004E-4</v>
      </c>
      <c r="R2" s="38" cm="1">
        <f t="array" aca="1" ref="R2" ca="1">TREND($K2:$P2,$K$1:$P$1,R$1)</f>
        <v>7.5600000000000146E-4</v>
      </c>
      <c r="S2" s="38" cm="1">
        <f t="array" aca="1" ref="S2" ca="1">TREND($K2:$P2,$K$1:$P$1,S$1)</f>
        <v>7.6400000000000252E-4</v>
      </c>
      <c r="T2" s="38" cm="1">
        <f t="array" aca="1" ref="T2" ca="1">TREND($K2:$P2,$K$1:$P$1,T$1)</f>
        <v>7.7200000000000012E-4</v>
      </c>
      <c r="U2" s="38" cm="1">
        <f t="array" aca="1" ref="U2" ca="1">TREND($K2:$P2,$K$1:$P$1,U$1)</f>
        <v>7.8000000000000118E-4</v>
      </c>
      <c r="V2" s="38" cm="1">
        <f t="array" aca="1" ref="V2" ca="1">TREND($K2:$P2,$K$1:$P$1,V$1)</f>
        <v>7.8800000000000224E-4</v>
      </c>
      <c r="W2" s="38" cm="1">
        <f t="array" aca="1" ref="W2" ca="1">TREND($K2:$P2,$K$1:$P$1,W$1)</f>
        <v>7.9599999999999983E-4</v>
      </c>
      <c r="X2" s="38" cm="1">
        <f t="array" aca="1" ref="X2" ca="1">TREND($K2:$P2,$K$1:$P$1,X$1)</f>
        <v>8.0400000000000089E-4</v>
      </c>
      <c r="Y2" s="38" cm="1">
        <f t="array" aca="1" ref="Y2" ca="1">TREND($K2:$P2,$K$1:$P$1,Y$1)</f>
        <v>8.1200000000000196E-4</v>
      </c>
      <c r="Z2" s="38" cm="1">
        <f t="array" aca="1" ref="Z2" ca="1">TREND($K2:$P2,$K$1:$P$1,Z$1)</f>
        <v>8.1999999999999955E-4</v>
      </c>
      <c r="AA2" s="38" cm="1">
        <f t="array" aca="1" ref="AA2" ca="1">TREND($K2:$P2,$K$1:$P$1,AA$1)</f>
        <v>8.2800000000000061E-4</v>
      </c>
      <c r="AB2" s="38" cm="1">
        <f t="array" aca="1" ref="AB2" ca="1">TREND($K2:$P2,$K$1:$P$1,AB$1)</f>
        <v>8.3600000000000167E-4</v>
      </c>
      <c r="AC2" s="38" cm="1">
        <f t="array" aca="1" ref="AC2" ca="1">TREND($K2:$P2,$K$1:$P$1,AC$1)</f>
        <v>8.4400000000000273E-4</v>
      </c>
      <c r="AD2" s="38" cm="1">
        <f t="array" aca="1" ref="AD2" ca="1">TREND($K2:$P2,$K$1:$P$1,AD$1)</f>
        <v>8.5200000000000033E-4</v>
      </c>
      <c r="AE2" s="38" cm="1">
        <f t="array" aca="1" ref="AE2" ca="1">TREND($K2:$P2,$K$1:$P$1,AE$1)</f>
        <v>8.6000000000000139E-4</v>
      </c>
      <c r="AF2" s="38" cm="1">
        <f t="array" aca="1" ref="AF2" ca="1">TREND($K2:$P2,$K$1:$P$1,AF$1)</f>
        <v>8.6800000000000245E-4</v>
      </c>
      <c r="AG2" s="38" cm="1">
        <f t="array" aca="1" ref="AG2" ca="1">TREND($K2:$P2,$K$1:$P$1,AG$1)</f>
        <v>8.7600000000000004E-4</v>
      </c>
      <c r="AH2" s="38" cm="1">
        <f t="array" aca="1" ref="AH2" ca="1">TREND($K2:$P2,$K$1:$P$1,AH$1)</f>
        <v>8.840000000000011E-4</v>
      </c>
      <c r="AI2" s="38" cm="1">
        <f t="array" aca="1" ref="AI2" ca="1">TREND($K2:$P2,$K$1:$P$1,AI$1)</f>
        <v>8.9200000000000217E-4</v>
      </c>
      <c r="AJ2" s="38" cm="1">
        <f t="array" aca="1" ref="AJ2" ca="1">TREND($K2:$P2,$K$1:$P$1,AJ$1)</f>
        <v>8.9999999999999976E-4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3.2000000000000003E-4</v>
      </c>
      <c r="C3" s="38">
        <f t="shared" ref="C3:C12" ca="1" si="3">$B3+($F3-$B3)*(C$1-$B$1)/($F$1-$B$1)</f>
        <v>3.2000000000000003E-4</v>
      </c>
      <c r="D3" s="38">
        <f t="shared" ca="1" si="0"/>
        <v>3.2000000000000003E-4</v>
      </c>
      <c r="E3" s="38">
        <f t="shared" ca="1" si="0"/>
        <v>3.2000000000000003E-4</v>
      </c>
      <c r="F3" s="39" cm="1">
        <f t="array" aca="1" ref="F3" ca="1">INDIRECT(CONCATENATE("'",HLOOKUP(F$1,$B$21:$E$23,3,FALSE),"'!",$B$25,ROW($A3)+5))*About!$A$27</f>
        <v>3.2000000000000003E-4</v>
      </c>
      <c r="G3" s="38">
        <f t="shared" ref="G3:G12" ca="1" si="4">$F3+($K3-$F3)*(G$1-$F$1)/($K$1-$F$1)</f>
        <v>3.2200000000000002E-4</v>
      </c>
      <c r="H3" s="38">
        <f t="shared" ca="1" si="1"/>
        <v>3.2400000000000001E-4</v>
      </c>
      <c r="I3" s="38">
        <f t="shared" ca="1" si="1"/>
        <v>3.2600000000000001E-4</v>
      </c>
      <c r="J3" s="38">
        <f t="shared" ca="1" si="1"/>
        <v>3.28E-4</v>
      </c>
      <c r="K3" s="39" cm="1">
        <f t="array" aca="1" ref="K3" ca="1">INDIRECT(CONCATENATE("'",HLOOKUP(K$1,$B$21:$E$23,3,FALSE),"'!",$B$25,ROW($A3)+5))*About!$A$27</f>
        <v>3.3E-4</v>
      </c>
      <c r="L3" s="38">
        <f t="shared" ref="L3:L12" ca="1" si="5">$K3+($P3-$K3)*(L$1-$K$1)/($P$1-$K$1)</f>
        <v>3.3199999999999999E-4</v>
      </c>
      <c r="M3" s="38">
        <f t="shared" ca="1" si="2"/>
        <v>3.3399999999999999E-4</v>
      </c>
      <c r="N3" s="38">
        <f t="shared" ca="1" si="2"/>
        <v>3.3600000000000004E-4</v>
      </c>
      <c r="O3" s="38">
        <f t="shared" ca="1" si="2"/>
        <v>3.3800000000000003E-4</v>
      </c>
      <c r="P3" s="39" cm="1">
        <f t="array" aca="1" ref="P3" ca="1">INDIRECT(CONCATENATE("'",HLOOKUP(P$1,$B$21:$E$23,3,FALSE),"'!",$B$25,ROW($A3)+5))*About!$A$27</f>
        <v>3.4000000000000002E-4</v>
      </c>
      <c r="Q3" s="38" cm="1">
        <f t="array" aca="1" ref="Q3" ca="1">TREND($K3:$P3,$K$1:$P$1,Q$1)</f>
        <v>3.4199999999999986E-4</v>
      </c>
      <c r="R3" s="38" cm="1">
        <f t="array" aca="1" ref="R3" ca="1">TREND($K3:$P3,$K$1:$P$1,R$1)</f>
        <v>3.4400000000000012E-4</v>
      </c>
      <c r="S3" s="38" cm="1">
        <f t="array" aca="1" ref="S3" ca="1">TREND($K3:$P3,$K$1:$P$1,S$1)</f>
        <v>3.4599999999999952E-4</v>
      </c>
      <c r="T3" s="38" cm="1">
        <f t="array" aca="1" ref="T3" ca="1">TREND($K3:$P3,$K$1:$P$1,T$1)</f>
        <v>3.4799999999999979E-4</v>
      </c>
      <c r="U3" s="38" cm="1">
        <f t="array" aca="1" ref="U3" ca="1">TREND($K3:$P3,$K$1:$P$1,U$1)</f>
        <v>3.5000000000000005E-4</v>
      </c>
      <c r="V3" s="38" cm="1">
        <f t="array" aca="1" ref="V3" ca="1">TREND($K3:$P3,$K$1:$P$1,V$1)</f>
        <v>3.5200000000000032E-4</v>
      </c>
      <c r="W3" s="38" cm="1">
        <f t="array" aca="1" ref="W3" ca="1">TREND($K3:$P3,$K$1:$P$1,W$1)</f>
        <v>3.5399999999999971E-4</v>
      </c>
      <c r="X3" s="38" cm="1">
        <f t="array" aca="1" ref="X3" ca="1">TREND($K3:$P3,$K$1:$P$1,X$1)</f>
        <v>3.5599999999999998E-4</v>
      </c>
      <c r="Y3" s="38" cm="1">
        <f t="array" aca="1" ref="Y3" ca="1">TREND($K3:$P3,$K$1:$P$1,Y$1)</f>
        <v>3.5800000000000025E-4</v>
      </c>
      <c r="Z3" s="38" cm="1">
        <f t="array" aca="1" ref="Z3" ca="1">TREND($K3:$P3,$K$1:$P$1,Z$1)</f>
        <v>3.5999999999999964E-4</v>
      </c>
      <c r="AA3" s="38" cm="1">
        <f t="array" aca="1" ref="AA3" ca="1">TREND($K3:$P3,$K$1:$P$1,AA$1)</f>
        <v>3.6199999999999991E-4</v>
      </c>
      <c r="AB3" s="38" cm="1">
        <f t="array" aca="1" ref="AB3" ca="1">TREND($K3:$P3,$K$1:$P$1,AB$1)</f>
        <v>3.6400000000000017E-4</v>
      </c>
      <c r="AC3" s="38" cm="1">
        <f t="array" aca="1" ref="AC3" ca="1">TREND($K3:$P3,$K$1:$P$1,AC$1)</f>
        <v>3.6599999999999957E-4</v>
      </c>
      <c r="AD3" s="38" cm="1">
        <f t="array" aca="1" ref="AD3" ca="1">TREND($K3:$P3,$K$1:$P$1,AD$1)</f>
        <v>3.6799999999999984E-4</v>
      </c>
      <c r="AE3" s="38" cm="1">
        <f t="array" aca="1" ref="AE3" ca="1">TREND($K3:$P3,$K$1:$P$1,AE$1)</f>
        <v>3.700000000000001E-4</v>
      </c>
      <c r="AF3" s="38" cm="1">
        <f t="array" aca="1" ref="AF3" ca="1">TREND($K3:$P3,$K$1:$P$1,AF$1)</f>
        <v>3.7200000000000037E-4</v>
      </c>
      <c r="AG3" s="38" cm="1">
        <f t="array" aca="1" ref="AG3" ca="1">TREND($K3:$P3,$K$1:$P$1,AG$1)</f>
        <v>3.7399999999999977E-4</v>
      </c>
      <c r="AH3" s="38" cm="1">
        <f t="array" aca="1" ref="AH3" ca="1">TREND($K3:$P3,$K$1:$P$1,AH$1)</f>
        <v>3.7600000000000003E-4</v>
      </c>
      <c r="AI3" s="38" cm="1">
        <f t="array" aca="1" ref="AI3" ca="1">TREND($K3:$P3,$K$1:$P$1,AI$1)</f>
        <v>3.780000000000003E-4</v>
      </c>
      <c r="AJ3" s="38" cm="1">
        <f t="array" aca="1" ref="AJ3" ca="1">TREND($K3:$P3,$K$1:$P$1,AJ$1)</f>
        <v>3.799999999999997E-4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8.4999999999999995E-4</v>
      </c>
      <c r="C4" s="38">
        <f t="shared" ca="1" si="3"/>
        <v>8.4999999999999995E-4</v>
      </c>
      <c r="D4" s="38">
        <f t="shared" ca="1" si="0"/>
        <v>8.4999999999999995E-4</v>
      </c>
      <c r="E4" s="38">
        <f t="shared" ca="1" si="0"/>
        <v>8.4999999999999995E-4</v>
      </c>
      <c r="F4" s="39" cm="1">
        <f t="array" aca="1" ref="F4" ca="1">INDIRECT(CONCATENATE("'",HLOOKUP(F$1,$B$21:$E$23,3,FALSE),"'!",$B$25,ROW($A4)+5))*About!$A$27</f>
        <v>8.4999999999999995E-4</v>
      </c>
      <c r="G4" s="38">
        <f t="shared" ca="1" si="4"/>
        <v>8.5799999999999993E-4</v>
      </c>
      <c r="H4" s="38">
        <f t="shared" ca="1" si="1"/>
        <v>8.6599999999999991E-4</v>
      </c>
      <c r="I4" s="38">
        <f t="shared" ca="1" si="1"/>
        <v>8.7399999999999999E-4</v>
      </c>
      <c r="J4" s="38">
        <f t="shared" ca="1" si="1"/>
        <v>8.8199999999999997E-4</v>
      </c>
      <c r="K4" s="39" cm="1">
        <f t="array" aca="1" ref="K4" ca="1">INDIRECT(CONCATENATE("'",HLOOKUP(K$1,$B$21:$E$23,3,FALSE),"'!",$B$25,ROW($A4)+5))*About!$A$27</f>
        <v>8.8999999999999995E-4</v>
      </c>
      <c r="L4" s="38">
        <f t="shared" ca="1" si="5"/>
        <v>9.0399999999999996E-4</v>
      </c>
      <c r="M4" s="38">
        <f t="shared" ca="1" si="2"/>
        <v>9.1799999999999998E-4</v>
      </c>
      <c r="N4" s="38">
        <f t="shared" ca="1" si="2"/>
        <v>9.3199999999999999E-4</v>
      </c>
      <c r="O4" s="38">
        <f t="shared" ca="1" si="2"/>
        <v>9.4600000000000001E-4</v>
      </c>
      <c r="P4" s="39" cm="1">
        <f t="array" aca="1" ref="P4" ca="1">INDIRECT(CONCATENATE("'",HLOOKUP(P$1,$B$21:$E$23,3,FALSE),"'!",$B$25,ROW($A4)+5))*About!$A$27</f>
        <v>9.6000000000000002E-4</v>
      </c>
      <c r="Q4" s="38" cm="1">
        <f t="array" aca="1" ref="Q4" ca="1">TREND($K4:$P4,$K$1:$P$1,Q$1)</f>
        <v>9.7399999999999917E-4</v>
      </c>
      <c r="R4" s="38" cm="1">
        <f t="array" aca="1" ref="R4" ca="1">TREND($K4:$P4,$K$1:$P$1,R$1)</f>
        <v>9.879999999999993E-4</v>
      </c>
      <c r="S4" s="38" cm="1">
        <f t="array" aca="1" ref="S4" ca="1">TREND($K4:$P4,$K$1:$P$1,S$1)</f>
        <v>1.0019999999999959E-3</v>
      </c>
      <c r="T4" s="38" cm="1">
        <f t="array" aca="1" ref="T4" ca="1">TREND($K4:$P4,$K$1:$P$1,T$1)</f>
        <v>1.0159999999999961E-3</v>
      </c>
      <c r="U4" s="38" cm="1">
        <f t="array" aca="1" ref="U4" ca="1">TREND($K4:$P4,$K$1:$P$1,U$1)</f>
        <v>1.0299999999999962E-3</v>
      </c>
      <c r="V4" s="38" cm="1">
        <f t="array" aca="1" ref="V4" ca="1">TREND($K4:$P4,$K$1:$P$1,V$1)</f>
        <v>1.0439999999999963E-3</v>
      </c>
      <c r="W4" s="38" cm="1">
        <f t="array" aca="1" ref="W4" ca="1">TREND($K4:$P4,$K$1:$P$1,W$1)</f>
        <v>1.0579999999999964E-3</v>
      </c>
      <c r="X4" s="38" cm="1">
        <f t="array" aca="1" ref="X4" ca="1">TREND($K4:$P4,$K$1:$P$1,X$1)</f>
        <v>1.0719999999999966E-3</v>
      </c>
      <c r="Y4" s="38" cm="1">
        <f t="array" aca="1" ref="Y4" ca="1">TREND($K4:$P4,$K$1:$P$1,Y$1)</f>
        <v>1.0859999999999967E-3</v>
      </c>
      <c r="Z4" s="38" cm="1">
        <f t="array" aca="1" ref="Z4" ca="1">TREND($K4:$P4,$K$1:$P$1,Z$1)</f>
        <v>1.0999999999999968E-3</v>
      </c>
      <c r="AA4" s="38" cm="1">
        <f t="array" aca="1" ref="AA4" ca="1">TREND($K4:$P4,$K$1:$P$1,AA$1)</f>
        <v>1.1139999999999969E-3</v>
      </c>
      <c r="AB4" s="38" cm="1">
        <f t="array" aca="1" ref="AB4" ca="1">TREND($K4:$P4,$K$1:$P$1,AB$1)</f>
        <v>1.1279999999999971E-3</v>
      </c>
      <c r="AC4" s="38" cm="1">
        <f t="array" aca="1" ref="AC4" ca="1">TREND($K4:$P4,$K$1:$P$1,AC$1)</f>
        <v>1.1419999999999972E-3</v>
      </c>
      <c r="AD4" s="38" cm="1">
        <f t="array" aca="1" ref="AD4" ca="1">TREND($K4:$P4,$K$1:$P$1,AD$1)</f>
        <v>1.1559999999999973E-3</v>
      </c>
      <c r="AE4" s="38" cm="1">
        <f t="array" aca="1" ref="AE4" ca="1">TREND($K4:$P4,$K$1:$P$1,AE$1)</f>
        <v>1.1699999999999974E-3</v>
      </c>
      <c r="AF4" s="38" cm="1">
        <f t="array" aca="1" ref="AF4" ca="1">TREND($K4:$P4,$K$1:$P$1,AF$1)</f>
        <v>1.1839999999999976E-3</v>
      </c>
      <c r="AG4" s="38" cm="1">
        <f t="array" aca="1" ref="AG4" ca="1">TREND($K4:$P4,$K$1:$P$1,AG$1)</f>
        <v>1.1979999999999977E-3</v>
      </c>
      <c r="AH4" s="38" cm="1">
        <f t="array" aca="1" ref="AH4" ca="1">TREND($K4:$P4,$K$1:$P$1,AH$1)</f>
        <v>1.2119999999999978E-3</v>
      </c>
      <c r="AI4" s="38" cm="1">
        <f t="array" aca="1" ref="AI4" ca="1">TREND($K4:$P4,$K$1:$P$1,AI$1)</f>
        <v>1.2259999999999979E-3</v>
      </c>
      <c r="AJ4" s="38" cm="1">
        <f t="array" aca="1" ref="AJ4" ca="1">TREND($K4:$P4,$K$1:$P$1,AJ$1)</f>
        <v>1.239999999999998E-3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1.0999999999999999E-2</v>
      </c>
      <c r="C5" s="38">
        <f t="shared" ca="1" si="3"/>
        <v>1.0999999999999999E-2</v>
      </c>
      <c r="D5" s="38">
        <f t="shared" ca="1" si="0"/>
        <v>1.0999999999999999E-2</v>
      </c>
      <c r="E5" s="38">
        <f t="shared" ca="1" si="0"/>
        <v>1.0999999999999999E-2</v>
      </c>
      <c r="F5" s="39" cm="1">
        <f t="array" aca="1" ref="F5" ca="1">INDIRECT(CONCATENATE("'",HLOOKUP(F$1,$B$21:$E$23,3,FALSE),"'!",$B$25,ROW($A5)+5))*About!$A$27</f>
        <v>1.0999999999999999E-2</v>
      </c>
      <c r="G5" s="38">
        <f t="shared" ca="1" si="4"/>
        <v>1.0999999999999999E-2</v>
      </c>
      <c r="H5" s="38">
        <f t="shared" ca="1" si="1"/>
        <v>1.0999999999999999E-2</v>
      </c>
      <c r="I5" s="38">
        <f t="shared" ca="1" si="1"/>
        <v>1.0999999999999999E-2</v>
      </c>
      <c r="J5" s="38">
        <f t="shared" ca="1" si="1"/>
        <v>1.0999999999999999E-2</v>
      </c>
      <c r="K5" s="39" cm="1">
        <f t="array" aca="1" ref="K5" ca="1">INDIRECT(CONCATENATE("'",HLOOKUP(K$1,$B$21:$E$23,3,FALSE),"'!",$B$25,ROW($A5)+5))*About!$A$27</f>
        <v>1.0999999999999999E-2</v>
      </c>
      <c r="L5" s="38">
        <f t="shared" ca="1" si="5"/>
        <v>1.12E-2</v>
      </c>
      <c r="M5" s="38">
        <f t="shared" ca="1" si="2"/>
        <v>1.14E-2</v>
      </c>
      <c r="N5" s="38">
        <f t="shared" ca="1" si="2"/>
        <v>1.1599999999999999E-2</v>
      </c>
      <c r="O5" s="38">
        <f t="shared" ca="1" si="2"/>
        <v>1.18E-2</v>
      </c>
      <c r="P5" s="39" cm="1">
        <f t="array" aca="1" ref="P5" ca="1">INDIRECT(CONCATENATE("'",HLOOKUP(P$1,$B$21:$E$23,3,FALSE),"'!",$B$25,ROW($A5)+5))*About!$A$27</f>
        <v>1.2E-2</v>
      </c>
      <c r="Q5" s="38" cm="1">
        <f t="array" aca="1" ref="Q5" ca="1">TREND($K5:$P5,$K$1:$P$1,Q$1)</f>
        <v>1.2199999999999989E-2</v>
      </c>
      <c r="R5" s="38" cm="1">
        <f t="array" aca="1" ref="R5" ca="1">TREND($K5:$P5,$K$1:$P$1,R$1)</f>
        <v>1.2400000000000022E-2</v>
      </c>
      <c r="S5" s="38" cm="1">
        <f t="array" aca="1" ref="S5" ca="1">TREND($K5:$P5,$K$1:$P$1,S$1)</f>
        <v>1.26E-2</v>
      </c>
      <c r="T5" s="38" cm="1">
        <f t="array" aca="1" ref="T5" ca="1">TREND($K5:$P5,$K$1:$P$1,T$1)</f>
        <v>1.2799999999999978E-2</v>
      </c>
      <c r="U5" s="38" cm="1">
        <f t="array" aca="1" ref="U5" ca="1">TREND($K5:$P5,$K$1:$P$1,U$1)</f>
        <v>1.3000000000000012E-2</v>
      </c>
      <c r="V5" s="38" cm="1">
        <f t="array" aca="1" ref="V5" ca="1">TREND($K5:$P5,$K$1:$P$1,V$1)</f>
        <v>1.319999999999999E-2</v>
      </c>
      <c r="W5" s="38" cm="1">
        <f t="array" aca="1" ref="W5" ca="1">TREND($K5:$P5,$K$1:$P$1,W$1)</f>
        <v>1.3400000000000023E-2</v>
      </c>
      <c r="X5" s="38" cm="1">
        <f t="array" aca="1" ref="X5" ca="1">TREND($K5:$P5,$K$1:$P$1,X$1)</f>
        <v>1.3600000000000001E-2</v>
      </c>
      <c r="Y5" s="38" cm="1">
        <f t="array" aca="1" ref="Y5" ca="1">TREND($K5:$P5,$K$1:$P$1,Y$1)</f>
        <v>1.3799999999999979E-2</v>
      </c>
      <c r="Z5" s="38" cm="1">
        <f t="array" aca="1" ref="Z5" ca="1">TREND($K5:$P5,$K$1:$P$1,Z$1)</f>
        <v>1.4000000000000012E-2</v>
      </c>
      <c r="AA5" s="38" cm="1">
        <f t="array" aca="1" ref="AA5" ca="1">TREND($K5:$P5,$K$1:$P$1,AA$1)</f>
        <v>1.419999999999999E-2</v>
      </c>
      <c r="AB5" s="38" cm="1">
        <f t="array" aca="1" ref="AB5" ca="1">TREND($K5:$P5,$K$1:$P$1,AB$1)</f>
        <v>1.4400000000000024E-2</v>
      </c>
      <c r="AC5" s="38" cm="1">
        <f t="array" aca="1" ref="AC5" ca="1">TREND($K5:$P5,$K$1:$P$1,AC$1)</f>
        <v>1.4600000000000002E-2</v>
      </c>
      <c r="AD5" s="38" cm="1">
        <f t="array" aca="1" ref="AD5" ca="1">TREND($K5:$P5,$K$1:$P$1,AD$1)</f>
        <v>1.479999999999998E-2</v>
      </c>
      <c r="AE5" s="38" cm="1">
        <f t="array" aca="1" ref="AE5" ca="1">TREND($K5:$P5,$K$1:$P$1,AE$1)</f>
        <v>1.5000000000000013E-2</v>
      </c>
      <c r="AF5" s="38" cm="1">
        <f t="array" aca="1" ref="AF5" ca="1">TREND($K5:$P5,$K$1:$P$1,AF$1)</f>
        <v>1.5199999999999991E-2</v>
      </c>
      <c r="AG5" s="38" cm="1">
        <f t="array" aca="1" ref="AG5" ca="1">TREND($K5:$P5,$K$1:$P$1,AG$1)</f>
        <v>1.5400000000000025E-2</v>
      </c>
      <c r="AH5" s="38" cm="1">
        <f t="array" aca="1" ref="AH5" ca="1">TREND($K5:$P5,$K$1:$P$1,AH$1)</f>
        <v>1.5600000000000003E-2</v>
      </c>
      <c r="AI5" s="38" cm="1">
        <f t="array" aca="1" ref="AI5" ca="1">TREND($K5:$P5,$K$1:$P$1,AI$1)</f>
        <v>1.5799999999999981E-2</v>
      </c>
      <c r="AJ5" s="38" cm="1">
        <f t="array" aca="1" ref="AJ5" ca="1">TREND($K5:$P5,$K$1:$P$1,AJ$1)</f>
        <v>1.6000000000000014E-2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1.6E-2</v>
      </c>
      <c r="C6" s="38">
        <f t="shared" ca="1" si="3"/>
        <v>1.6E-2</v>
      </c>
      <c r="D6" s="38">
        <f t="shared" ca="1" si="0"/>
        <v>1.6E-2</v>
      </c>
      <c r="E6" s="38">
        <f t="shared" ca="1" si="0"/>
        <v>1.6E-2</v>
      </c>
      <c r="F6" s="39" cm="1">
        <f t="array" aca="1" ref="F6" ca="1">INDIRECT(CONCATENATE("'",HLOOKUP(F$1,$B$21:$E$23,3,FALSE),"'!",$B$25,ROW($A6)+5))*About!$A$27</f>
        <v>1.6E-2</v>
      </c>
      <c r="G6" s="38">
        <f t="shared" ca="1" si="4"/>
        <v>1.6E-2</v>
      </c>
      <c r="H6" s="38">
        <f t="shared" ca="1" si="1"/>
        <v>1.6E-2</v>
      </c>
      <c r="I6" s="38">
        <f t="shared" ca="1" si="1"/>
        <v>1.6E-2</v>
      </c>
      <c r="J6" s="38">
        <f t="shared" ca="1" si="1"/>
        <v>1.6E-2</v>
      </c>
      <c r="K6" s="39" cm="1">
        <f t="array" aca="1" ref="K6" ca="1">INDIRECT(CONCATENATE("'",HLOOKUP(K$1,$B$21:$E$23,3,FALSE),"'!",$B$25,ROW($A6)+5))*About!$A$27</f>
        <v>1.6E-2</v>
      </c>
      <c r="L6" s="38">
        <f t="shared" ca="1" si="5"/>
        <v>1.6199999999999999E-2</v>
      </c>
      <c r="M6" s="38">
        <f t="shared" ca="1" si="2"/>
        <v>1.6400000000000001E-2</v>
      </c>
      <c r="N6" s="38">
        <f t="shared" ca="1" si="2"/>
        <v>1.66E-2</v>
      </c>
      <c r="O6" s="38">
        <f t="shared" ca="1" si="2"/>
        <v>1.6800000000000002E-2</v>
      </c>
      <c r="P6" s="39" cm="1">
        <f t="array" aca="1" ref="P6" ca="1">INDIRECT(CONCATENATE("'",HLOOKUP(P$1,$B$21:$E$23,3,FALSE),"'!",$B$25,ROW($A6)+5))*About!$A$27</f>
        <v>1.7000000000000001E-2</v>
      </c>
      <c r="Q6" s="38" cm="1">
        <f t="array" aca="1" ref="Q6" ca="1">TREND($K6:$P6,$K$1:$P$1,Q$1)</f>
        <v>1.7199999999999993E-2</v>
      </c>
      <c r="R6" s="38" cm="1">
        <f t="array" aca="1" ref="R6" ca="1">TREND($K6:$P6,$K$1:$P$1,R$1)</f>
        <v>1.7400000000000027E-2</v>
      </c>
      <c r="S6" s="38" cm="1">
        <f t="array" aca="1" ref="S6" ca="1">TREND($K6:$P6,$K$1:$P$1,S$1)</f>
        <v>1.7600000000000005E-2</v>
      </c>
      <c r="T6" s="38" cm="1">
        <f t="array" aca="1" ref="T6" ca="1">TREND($K6:$P6,$K$1:$P$1,T$1)</f>
        <v>1.7799999999999983E-2</v>
      </c>
      <c r="U6" s="38" cm="1">
        <f t="array" aca="1" ref="U6" ca="1">TREND($K6:$P6,$K$1:$P$1,U$1)</f>
        <v>1.8000000000000016E-2</v>
      </c>
      <c r="V6" s="38" cm="1">
        <f t="array" aca="1" ref="V6" ca="1">TREND($K6:$P6,$K$1:$P$1,V$1)</f>
        <v>1.8199999999999994E-2</v>
      </c>
      <c r="W6" s="38" cm="1">
        <f t="array" aca="1" ref="W6" ca="1">TREND($K6:$P6,$K$1:$P$1,W$1)</f>
        <v>1.8400000000000027E-2</v>
      </c>
      <c r="X6" s="38" cm="1">
        <f t="array" aca="1" ref="X6" ca="1">TREND($K6:$P6,$K$1:$P$1,X$1)</f>
        <v>1.8600000000000005E-2</v>
      </c>
      <c r="Y6" s="38" cm="1">
        <f t="array" aca="1" ref="Y6" ca="1">TREND($K6:$P6,$K$1:$P$1,Y$1)</f>
        <v>1.8799999999999983E-2</v>
      </c>
      <c r="Z6" s="38" cm="1">
        <f t="array" aca="1" ref="Z6" ca="1">TREND($K6:$P6,$K$1:$P$1,Z$1)</f>
        <v>1.9000000000000017E-2</v>
      </c>
      <c r="AA6" s="38" cm="1">
        <f t="array" aca="1" ref="AA6" ca="1">TREND($K6:$P6,$K$1:$P$1,AA$1)</f>
        <v>1.9199999999999995E-2</v>
      </c>
      <c r="AB6" s="38" cm="1">
        <f t="array" aca="1" ref="AB6" ca="1">TREND($K6:$P6,$K$1:$P$1,AB$1)</f>
        <v>1.9400000000000028E-2</v>
      </c>
      <c r="AC6" s="38" cm="1">
        <f t="array" aca="1" ref="AC6" ca="1">TREND($K6:$P6,$K$1:$P$1,AC$1)</f>
        <v>1.9600000000000006E-2</v>
      </c>
      <c r="AD6" s="38" cm="1">
        <f t="array" aca="1" ref="AD6" ca="1">TREND($K6:$P6,$K$1:$P$1,AD$1)</f>
        <v>1.9799999999999984E-2</v>
      </c>
      <c r="AE6" s="38" cm="1">
        <f t="array" aca="1" ref="AE6" ca="1">TREND($K6:$P6,$K$1:$P$1,AE$1)</f>
        <v>2.0000000000000018E-2</v>
      </c>
      <c r="AF6" s="38" cm="1">
        <f t="array" aca="1" ref="AF6" ca="1">TREND($K6:$P6,$K$1:$P$1,AF$1)</f>
        <v>2.0199999999999996E-2</v>
      </c>
      <c r="AG6" s="38" cm="1">
        <f t="array" aca="1" ref="AG6" ca="1">TREND($K6:$P6,$K$1:$P$1,AG$1)</f>
        <v>2.0400000000000029E-2</v>
      </c>
      <c r="AH6" s="38" cm="1">
        <f t="array" aca="1" ref="AH6" ca="1">TREND($K6:$P6,$K$1:$P$1,AH$1)</f>
        <v>2.0600000000000007E-2</v>
      </c>
      <c r="AI6" s="38" cm="1">
        <f t="array" aca="1" ref="AI6" ca="1">TREND($K6:$P6,$K$1:$P$1,AI$1)</f>
        <v>2.0799999999999985E-2</v>
      </c>
      <c r="AJ6" s="38" cm="1">
        <f t="array" aca="1" ref="AJ6" ca="1">TREND($K6:$P6,$K$1:$P$1,AJ$1)</f>
        <v>2.1000000000000019E-2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0.45</v>
      </c>
      <c r="C7" s="38">
        <f t="shared" ca="1" si="3"/>
        <v>0.45250000000000001</v>
      </c>
      <c r="D7" s="38">
        <f t="shared" ca="1" si="0"/>
        <v>0.45500000000000002</v>
      </c>
      <c r="E7" s="38">
        <f t="shared" ca="1" si="0"/>
        <v>0.45750000000000002</v>
      </c>
      <c r="F7" s="39" cm="1">
        <f t="array" aca="1" ref="F7" ca="1">INDIRECT(CONCATENATE("'",HLOOKUP(F$1,$B$21:$E$23,3,FALSE),"'!",$B$25,ROW($A7)+5))*About!$A$27</f>
        <v>0.46</v>
      </c>
      <c r="G7" s="38">
        <f t="shared" ca="1" si="4"/>
        <v>0.46</v>
      </c>
      <c r="H7" s="38">
        <f t="shared" ca="1" si="1"/>
        <v>0.46</v>
      </c>
      <c r="I7" s="38">
        <f t="shared" ca="1" si="1"/>
        <v>0.46</v>
      </c>
      <c r="J7" s="38">
        <f t="shared" ca="1" si="1"/>
        <v>0.46</v>
      </c>
      <c r="K7" s="39" cm="1">
        <f t="array" aca="1" ref="K7" ca="1">INDIRECT(CONCATENATE("'",HLOOKUP(K$1,$B$21:$E$23,3,FALSE),"'!",$B$25,ROW($A7)+5))*About!$A$27</f>
        <v>0.46</v>
      </c>
      <c r="L7" s="38">
        <f t="shared" ca="1" si="5"/>
        <v>0.46</v>
      </c>
      <c r="M7" s="38">
        <f t="shared" ca="1" si="2"/>
        <v>0.46</v>
      </c>
      <c r="N7" s="38">
        <f t="shared" ca="1" si="2"/>
        <v>0.46</v>
      </c>
      <c r="O7" s="38">
        <f t="shared" ca="1" si="2"/>
        <v>0.46</v>
      </c>
      <c r="P7" s="39" cm="1">
        <f t="array" aca="1" ref="P7" ca="1">INDIRECT(CONCATENATE("'",HLOOKUP(P$1,$B$21:$E$23,3,FALSE),"'!",$B$25,ROW($A7)+5))*About!$A$27</f>
        <v>0.46</v>
      </c>
      <c r="Q7" s="38" cm="1">
        <f t="array" aca="1" ref="Q7" ca="1">TREND($K7:$P7,$K$1:$P$1,Q$1)</f>
        <v>0.46</v>
      </c>
      <c r="R7" s="38" cm="1">
        <f t="array" aca="1" ref="R7" ca="1">TREND($K7:$P7,$K$1:$P$1,R$1)</f>
        <v>0.46</v>
      </c>
      <c r="S7" s="38" cm="1">
        <f t="array" aca="1" ref="S7" ca="1">TREND($K7:$P7,$K$1:$P$1,S$1)</f>
        <v>0.46</v>
      </c>
      <c r="T7" s="38" cm="1">
        <f t="array" aca="1" ref="T7" ca="1">TREND($K7:$P7,$K$1:$P$1,T$1)</f>
        <v>0.46</v>
      </c>
      <c r="U7" s="38" cm="1">
        <f t="array" aca="1" ref="U7" ca="1">TREND($K7:$P7,$K$1:$P$1,U$1)</f>
        <v>0.46</v>
      </c>
      <c r="V7" s="38" cm="1">
        <f t="array" aca="1" ref="V7" ca="1">TREND($K7:$P7,$K$1:$P$1,V$1)</f>
        <v>0.46</v>
      </c>
      <c r="W7" s="38" cm="1">
        <f t="array" aca="1" ref="W7" ca="1">TREND($K7:$P7,$K$1:$P$1,W$1)</f>
        <v>0.46</v>
      </c>
      <c r="X7" s="38" cm="1">
        <f t="array" aca="1" ref="X7" ca="1">TREND($K7:$P7,$K$1:$P$1,X$1)</f>
        <v>0.46</v>
      </c>
      <c r="Y7" s="38" cm="1">
        <f t="array" aca="1" ref="Y7" ca="1">TREND($K7:$P7,$K$1:$P$1,Y$1)</f>
        <v>0.46</v>
      </c>
      <c r="Z7" s="38" cm="1">
        <f t="array" aca="1" ref="Z7" ca="1">TREND($K7:$P7,$K$1:$P$1,Z$1)</f>
        <v>0.46</v>
      </c>
      <c r="AA7" s="38" cm="1">
        <f t="array" aca="1" ref="AA7" ca="1">TREND($K7:$P7,$K$1:$P$1,AA$1)</f>
        <v>0.46</v>
      </c>
      <c r="AB7" s="38" cm="1">
        <f t="array" aca="1" ref="AB7" ca="1">TREND($K7:$P7,$K$1:$P$1,AB$1)</f>
        <v>0.46</v>
      </c>
      <c r="AC7" s="38" cm="1">
        <f t="array" aca="1" ref="AC7" ca="1">TREND($K7:$P7,$K$1:$P$1,AC$1)</f>
        <v>0.46</v>
      </c>
      <c r="AD7" s="38" cm="1">
        <f t="array" aca="1" ref="AD7" ca="1">TREND($K7:$P7,$K$1:$P$1,AD$1)</f>
        <v>0.46</v>
      </c>
      <c r="AE7" s="38" cm="1">
        <f t="array" aca="1" ref="AE7" ca="1">TREND($K7:$P7,$K$1:$P$1,AE$1)</f>
        <v>0.46</v>
      </c>
      <c r="AF7" s="38" cm="1">
        <f t="array" aca="1" ref="AF7" ca="1">TREND($K7:$P7,$K$1:$P$1,AF$1)</f>
        <v>0.46</v>
      </c>
      <c r="AG7" s="38" cm="1">
        <f t="array" aca="1" ref="AG7" ca="1">TREND($K7:$P7,$K$1:$P$1,AG$1)</f>
        <v>0.46</v>
      </c>
      <c r="AH7" s="38" cm="1">
        <f t="array" aca="1" ref="AH7" ca="1">TREND($K7:$P7,$K$1:$P$1,AH$1)</f>
        <v>0.46</v>
      </c>
      <c r="AI7" s="38" cm="1">
        <f t="array" aca="1" ref="AI7" ca="1">TREND($K7:$P7,$K$1:$P$1,AI$1)</f>
        <v>0.46</v>
      </c>
      <c r="AJ7" s="38" cm="1">
        <f t="array" aca="1" ref="AJ7" ca="1">TREND($K7:$P7,$K$1:$P$1,AJ$1)</f>
        <v>0.46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7.5999999999999998E-2</v>
      </c>
      <c r="C8" s="38">
        <f t="shared" ca="1" si="3"/>
        <v>7.6249999999999998E-2</v>
      </c>
      <c r="D8" s="38">
        <f t="shared" ca="1" si="0"/>
        <v>7.6499999999999999E-2</v>
      </c>
      <c r="E8" s="38">
        <f t="shared" ca="1" si="0"/>
        <v>7.6749999999999999E-2</v>
      </c>
      <c r="F8" s="39" cm="1">
        <f t="array" aca="1" ref="F8" ca="1">INDIRECT(CONCATENATE("'",HLOOKUP(F$1,$B$21:$E$23,3,FALSE),"'!",$B$25,ROW($A8)+5))*About!$A$27</f>
        <v>7.6999999999999999E-2</v>
      </c>
      <c r="G8" s="38">
        <f t="shared" ca="1" si="4"/>
        <v>7.6999999999999999E-2</v>
      </c>
      <c r="H8" s="38">
        <f t="shared" ca="1" si="1"/>
        <v>7.6999999999999999E-2</v>
      </c>
      <c r="I8" s="38">
        <f t="shared" ca="1" si="1"/>
        <v>7.6999999999999999E-2</v>
      </c>
      <c r="J8" s="38">
        <f t="shared" ca="1" si="1"/>
        <v>7.6999999999999999E-2</v>
      </c>
      <c r="K8" s="39" cm="1">
        <f t="array" aca="1" ref="K8" ca="1">INDIRECT(CONCATENATE("'",HLOOKUP(K$1,$B$21:$E$23,3,FALSE),"'!",$B$25,ROW($A8)+5))*About!$A$27</f>
        <v>7.6999999999999999E-2</v>
      </c>
      <c r="L8" s="38">
        <f t="shared" ca="1" si="5"/>
        <v>7.7200000000000005E-2</v>
      </c>
      <c r="M8" s="38">
        <f t="shared" ca="1" si="2"/>
        <v>7.7399999999999997E-2</v>
      </c>
      <c r="N8" s="38">
        <f t="shared" ca="1" si="2"/>
        <v>7.7600000000000002E-2</v>
      </c>
      <c r="O8" s="38">
        <f t="shared" ca="1" si="2"/>
        <v>7.7799999999999994E-2</v>
      </c>
      <c r="P8" s="39" cm="1">
        <f t="array" aca="1" ref="P8" ca="1">INDIRECT(CONCATENATE("'",HLOOKUP(P$1,$B$21:$E$23,3,FALSE),"'!",$B$25,ROW($A8)+5))*About!$A$27</f>
        <v>7.8E-2</v>
      </c>
      <c r="Q8" s="38" cm="1">
        <f t="array" aca="1" ref="Q8" ca="1">TREND($K8:$P8,$K$1:$P$1,Q$1)</f>
        <v>7.8199999999999992E-2</v>
      </c>
      <c r="R8" s="38" cm="1">
        <f t="array" aca="1" ref="R8" ca="1">TREND($K8:$P8,$K$1:$P$1,R$1)</f>
        <v>7.8400000000000025E-2</v>
      </c>
      <c r="S8" s="38" cm="1">
        <f t="array" aca="1" ref="S8" ca="1">TREND($K8:$P8,$K$1:$P$1,S$1)</f>
        <v>7.8600000000000003E-2</v>
      </c>
      <c r="T8" s="38" cm="1">
        <f t="array" aca="1" ref="T8" ca="1">TREND($K8:$P8,$K$1:$P$1,T$1)</f>
        <v>7.8800000000000037E-2</v>
      </c>
      <c r="U8" s="38" cm="1">
        <f t="array" aca="1" ref="U8" ca="1">TREND($K8:$P8,$K$1:$P$1,U$1)</f>
        <v>7.9000000000000015E-2</v>
      </c>
      <c r="V8" s="38" cm="1">
        <f t="array" aca="1" ref="V8" ca="1">TREND($K8:$P8,$K$1:$P$1,V$1)</f>
        <v>7.9199999999999993E-2</v>
      </c>
      <c r="W8" s="38" cm="1">
        <f t="array" aca="1" ref="W8" ca="1">TREND($K8:$P8,$K$1:$P$1,W$1)</f>
        <v>7.9400000000000026E-2</v>
      </c>
      <c r="X8" s="38" cm="1">
        <f t="array" aca="1" ref="X8" ca="1">TREND($K8:$P8,$K$1:$P$1,X$1)</f>
        <v>7.9600000000000004E-2</v>
      </c>
      <c r="Y8" s="38" cm="1">
        <f t="array" aca="1" ref="Y8" ca="1">TREND($K8:$P8,$K$1:$P$1,Y$1)</f>
        <v>7.9800000000000038E-2</v>
      </c>
      <c r="Z8" s="38" cm="1">
        <f t="array" aca="1" ref="Z8" ca="1">TREND($K8:$P8,$K$1:$P$1,Z$1)</f>
        <v>8.0000000000000016E-2</v>
      </c>
      <c r="AA8" s="38" cm="1">
        <f t="array" aca="1" ref="AA8" ca="1">TREND($K8:$P8,$K$1:$P$1,AA$1)</f>
        <v>8.0199999999999994E-2</v>
      </c>
      <c r="AB8" s="38" cm="1">
        <f t="array" aca="1" ref="AB8" ca="1">TREND($K8:$P8,$K$1:$P$1,AB$1)</f>
        <v>8.0400000000000027E-2</v>
      </c>
      <c r="AC8" s="38" cm="1">
        <f t="array" aca="1" ref="AC8" ca="1">TREND($K8:$P8,$K$1:$P$1,AC$1)</f>
        <v>8.0600000000000005E-2</v>
      </c>
      <c r="AD8" s="38" cm="1">
        <f t="array" aca="1" ref="AD8" ca="1">TREND($K8:$P8,$K$1:$P$1,AD$1)</f>
        <v>8.0799999999999983E-2</v>
      </c>
      <c r="AE8" s="38" cm="1">
        <f t="array" aca="1" ref="AE8" ca="1">TREND($K8:$P8,$K$1:$P$1,AE$1)</f>
        <v>8.1000000000000016E-2</v>
      </c>
      <c r="AF8" s="38" cm="1">
        <f t="array" aca="1" ref="AF8" ca="1">TREND($K8:$P8,$K$1:$P$1,AF$1)</f>
        <v>8.1199999999999994E-2</v>
      </c>
      <c r="AG8" s="38" cm="1">
        <f t="array" aca="1" ref="AG8" ca="1">TREND($K8:$P8,$K$1:$P$1,AG$1)</f>
        <v>8.1400000000000028E-2</v>
      </c>
      <c r="AH8" s="38" cm="1">
        <f t="array" aca="1" ref="AH8" ca="1">TREND($K8:$P8,$K$1:$P$1,AH$1)</f>
        <v>8.1600000000000006E-2</v>
      </c>
      <c r="AI8" s="38" cm="1">
        <f t="array" aca="1" ref="AI8" ca="1">TREND($K8:$P8,$K$1:$P$1,AI$1)</f>
        <v>8.1799999999999984E-2</v>
      </c>
      <c r="AJ8" s="38" cm="1">
        <f t="array" aca="1" ref="AJ8" ca="1">TREND($K8:$P8,$K$1:$P$1,AJ$1)</f>
        <v>8.2000000000000017E-2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1.7999999999999999E-2</v>
      </c>
      <c r="C9" s="38">
        <f t="shared" ca="1" si="3"/>
        <v>1.7999999999999999E-2</v>
      </c>
      <c r="D9" s="38">
        <f t="shared" ca="1" si="0"/>
        <v>1.7999999999999999E-2</v>
      </c>
      <c r="E9" s="38">
        <f t="shared" ca="1" si="0"/>
        <v>1.7999999999999999E-2</v>
      </c>
      <c r="F9" s="39" cm="1">
        <f t="array" aca="1" ref="F9" ca="1">INDIRECT(CONCATENATE("'",HLOOKUP(F$1,$B$21:$E$23,3,FALSE),"'!",$B$25,ROW($A9)+5))*About!$A$27</f>
        <v>1.7999999999999999E-2</v>
      </c>
      <c r="G9" s="38">
        <f t="shared" ca="1" si="4"/>
        <v>1.8199999999999997E-2</v>
      </c>
      <c r="H9" s="38">
        <f t="shared" ca="1" si="1"/>
        <v>1.84E-2</v>
      </c>
      <c r="I9" s="38">
        <f t="shared" ca="1" si="1"/>
        <v>1.8599999999999998E-2</v>
      </c>
      <c r="J9" s="38">
        <f t="shared" ca="1" si="1"/>
        <v>1.8800000000000001E-2</v>
      </c>
      <c r="K9" s="39" cm="1">
        <f t="array" aca="1" ref="K9" ca="1">INDIRECT(CONCATENATE("'",HLOOKUP(K$1,$B$21:$E$23,3,FALSE),"'!",$B$25,ROW($A9)+5))*About!$A$27</f>
        <v>1.9E-2</v>
      </c>
      <c r="L9" s="38">
        <f t="shared" ca="1" si="5"/>
        <v>1.9199999999999998E-2</v>
      </c>
      <c r="M9" s="38">
        <f t="shared" ca="1" si="2"/>
        <v>1.9400000000000001E-2</v>
      </c>
      <c r="N9" s="38">
        <f t="shared" ca="1" si="2"/>
        <v>1.9599999999999999E-2</v>
      </c>
      <c r="O9" s="38">
        <f t="shared" ca="1" si="2"/>
        <v>1.9800000000000002E-2</v>
      </c>
      <c r="P9" s="39" cm="1">
        <f t="array" aca="1" ref="P9" ca="1">INDIRECT(CONCATENATE("'",HLOOKUP(P$1,$B$21:$E$23,3,FALSE),"'!",$B$25,ROW($A9)+5))*About!$A$27</f>
        <v>0.02</v>
      </c>
      <c r="Q9" s="38" cm="1">
        <f t="array" aca="1" ref="Q9" ca="1">TREND($K9:$P9,$K$1:$P$1,Q$1)</f>
        <v>2.0199999999999996E-2</v>
      </c>
      <c r="R9" s="38" cm="1">
        <f t="array" aca="1" ref="R9" ca="1">TREND($K9:$P9,$K$1:$P$1,R$1)</f>
        <v>2.0400000000000029E-2</v>
      </c>
      <c r="S9" s="38" cm="1">
        <f t="array" aca="1" ref="S9" ca="1">TREND($K9:$P9,$K$1:$P$1,S$1)</f>
        <v>2.0600000000000007E-2</v>
      </c>
      <c r="T9" s="38" cm="1">
        <f t="array" aca="1" ref="T9" ca="1">TREND($K9:$P9,$K$1:$P$1,T$1)</f>
        <v>2.0799999999999985E-2</v>
      </c>
      <c r="U9" s="38" cm="1">
        <f t="array" aca="1" ref="U9" ca="1">TREND($K9:$P9,$K$1:$P$1,U$1)</f>
        <v>2.1000000000000019E-2</v>
      </c>
      <c r="V9" s="38" cm="1">
        <f t="array" aca="1" ref="V9" ca="1">TREND($K9:$P9,$K$1:$P$1,V$1)</f>
        <v>2.1199999999999997E-2</v>
      </c>
      <c r="W9" s="38" cm="1">
        <f t="array" aca="1" ref="W9" ca="1">TREND($K9:$P9,$K$1:$P$1,W$1)</f>
        <v>2.140000000000003E-2</v>
      </c>
      <c r="X9" s="38" cm="1">
        <f t="array" aca="1" ref="X9" ca="1">TREND($K9:$P9,$K$1:$P$1,X$1)</f>
        <v>2.1600000000000008E-2</v>
      </c>
      <c r="Y9" s="38" cm="1">
        <f t="array" aca="1" ref="Y9" ca="1">TREND($K9:$P9,$K$1:$P$1,Y$1)</f>
        <v>2.1799999999999986E-2</v>
      </c>
      <c r="Z9" s="38" cm="1">
        <f t="array" aca="1" ref="Z9" ca="1">TREND($K9:$P9,$K$1:$P$1,Z$1)</f>
        <v>2.200000000000002E-2</v>
      </c>
      <c r="AA9" s="38" cm="1">
        <f t="array" aca="1" ref="AA9" ca="1">TREND($K9:$P9,$K$1:$P$1,AA$1)</f>
        <v>2.2199999999999998E-2</v>
      </c>
      <c r="AB9" s="38" cm="1">
        <f t="array" aca="1" ref="AB9" ca="1">TREND($K9:$P9,$K$1:$P$1,AB$1)</f>
        <v>2.2400000000000031E-2</v>
      </c>
      <c r="AC9" s="38" cm="1">
        <f t="array" aca="1" ref="AC9" ca="1">TREND($K9:$P9,$K$1:$P$1,AC$1)</f>
        <v>2.2600000000000009E-2</v>
      </c>
      <c r="AD9" s="38" cm="1">
        <f t="array" aca="1" ref="AD9" ca="1">TREND($K9:$P9,$K$1:$P$1,AD$1)</f>
        <v>2.2799999999999987E-2</v>
      </c>
      <c r="AE9" s="38" cm="1">
        <f t="array" aca="1" ref="AE9" ca="1">TREND($K9:$P9,$K$1:$P$1,AE$1)</f>
        <v>2.300000000000002E-2</v>
      </c>
      <c r="AF9" s="38" cm="1">
        <f t="array" aca="1" ref="AF9" ca="1">TREND($K9:$P9,$K$1:$P$1,AF$1)</f>
        <v>2.3199999999999998E-2</v>
      </c>
      <c r="AG9" s="38" cm="1">
        <f t="array" aca="1" ref="AG9" ca="1">TREND($K9:$P9,$K$1:$P$1,AG$1)</f>
        <v>2.3400000000000032E-2</v>
      </c>
      <c r="AH9" s="38" cm="1">
        <f t="array" aca="1" ref="AH9" ca="1">TREND($K9:$P9,$K$1:$P$1,AH$1)</f>
        <v>2.360000000000001E-2</v>
      </c>
      <c r="AI9" s="38" cm="1">
        <f t="array" aca="1" ref="AI9" ca="1">TREND($K9:$P9,$K$1:$P$1,AI$1)</f>
        <v>2.3799999999999988E-2</v>
      </c>
      <c r="AJ9" s="38" cm="1">
        <f t="array" aca="1" ref="AJ9" ca="1">TREND($K9:$P9,$K$1:$P$1,AJ$1)</f>
        <v>2.4000000000000021E-2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1.4999999999999999E-4</v>
      </c>
      <c r="C10" s="38">
        <f t="shared" ca="1" si="3"/>
        <v>1.5249999999999999E-4</v>
      </c>
      <c r="D10" s="38">
        <f t="shared" ca="1" si="0"/>
        <v>1.55E-4</v>
      </c>
      <c r="E10" s="38">
        <f t="shared" ca="1" si="0"/>
        <v>1.5750000000000001E-4</v>
      </c>
      <c r="F10" s="39" cm="1">
        <f t="array" aca="1" ref="F10" ca="1">INDIRECT(CONCATENATE("'",HLOOKUP(F$1,$B$21:$E$23,3,FALSE),"'!",$B$25,ROW($A10)+5))*About!$A$27</f>
        <v>1.6000000000000001E-4</v>
      </c>
      <c r="G10" s="38">
        <f t="shared" ca="1" si="4"/>
        <v>1.6200000000000001E-4</v>
      </c>
      <c r="H10" s="38">
        <f t="shared" ca="1" si="1"/>
        <v>1.64E-4</v>
      </c>
      <c r="I10" s="38">
        <f t="shared" ca="1" si="1"/>
        <v>1.6600000000000002E-4</v>
      </c>
      <c r="J10" s="38">
        <f t="shared" ca="1" si="1"/>
        <v>1.6800000000000002E-4</v>
      </c>
      <c r="K10" s="39" cm="1">
        <f t="array" aca="1" ref="K10" ca="1">INDIRECT(CONCATENATE("'",HLOOKUP(K$1,$B$21:$E$23,3,FALSE),"'!",$B$25,ROW($A10)+5))*About!$A$27</f>
        <v>1.7000000000000001E-4</v>
      </c>
      <c r="L10" s="38">
        <f t="shared" ca="1" si="5"/>
        <v>1.7200000000000001E-4</v>
      </c>
      <c r="M10" s="38">
        <f t="shared" ca="1" si="2"/>
        <v>1.74E-4</v>
      </c>
      <c r="N10" s="38">
        <f t="shared" ca="1" si="2"/>
        <v>1.7600000000000002E-4</v>
      </c>
      <c r="O10" s="38">
        <f t="shared" ca="1" si="2"/>
        <v>1.7800000000000002E-4</v>
      </c>
      <c r="P10" s="39" cm="1">
        <f t="array" aca="1" ref="P10" ca="1">INDIRECT(CONCATENATE("'",HLOOKUP(P$1,$B$21:$E$23,3,FALSE),"'!",$B$25,ROW($A10)+5))*About!$A$27</f>
        <v>1.8000000000000001E-4</v>
      </c>
      <c r="Q10" s="38" cm="1">
        <f t="array" aca="1" ref="Q10" ca="1">TREND($K10:$P10,$K$1:$P$1,Q$1)</f>
        <v>1.8199999999999987E-4</v>
      </c>
      <c r="R10" s="38" cm="1">
        <f t="array" aca="1" ref="R10" ca="1">TREND($K10:$P10,$K$1:$P$1,R$1)</f>
        <v>1.8400000000000014E-4</v>
      </c>
      <c r="S10" s="38" cm="1">
        <f t="array" aca="1" ref="S10" ca="1">TREND($K10:$P10,$K$1:$P$1,S$1)</f>
        <v>1.860000000000004E-4</v>
      </c>
      <c r="T10" s="38" cm="1">
        <f t="array" aca="1" ref="T10" ca="1">TREND($K10:$P10,$K$1:$P$1,T$1)</f>
        <v>1.879999999999998E-4</v>
      </c>
      <c r="U10" s="38" cm="1">
        <f t="array" aca="1" ref="U10" ca="1">TREND($K10:$P10,$K$1:$P$1,U$1)</f>
        <v>1.9000000000000006E-4</v>
      </c>
      <c r="V10" s="38" cm="1">
        <f t="array" aca="1" ref="V10" ca="1">TREND($K10:$P10,$K$1:$P$1,V$1)</f>
        <v>1.9200000000000033E-4</v>
      </c>
      <c r="W10" s="38" cm="1">
        <f t="array" aca="1" ref="W10" ca="1">TREND($K10:$P10,$K$1:$P$1,W$1)</f>
        <v>1.9399999999999973E-4</v>
      </c>
      <c r="X10" s="38" cm="1">
        <f t="array" aca="1" ref="X10" ca="1">TREND($K10:$P10,$K$1:$P$1,X$1)</f>
        <v>1.9599999999999999E-4</v>
      </c>
      <c r="Y10" s="38" cm="1">
        <f t="array" aca="1" ref="Y10" ca="1">TREND($K10:$P10,$K$1:$P$1,Y$1)</f>
        <v>1.9800000000000026E-4</v>
      </c>
      <c r="Z10" s="38" cm="1">
        <f t="array" aca="1" ref="Z10" ca="1">TREND($K10:$P10,$K$1:$P$1,Z$1)</f>
        <v>1.9999999999999966E-4</v>
      </c>
      <c r="AA10" s="38" cm="1">
        <f t="array" aca="1" ref="AA10" ca="1">TREND($K10:$P10,$K$1:$P$1,AA$1)</f>
        <v>2.0199999999999992E-4</v>
      </c>
      <c r="AB10" s="38" cm="1">
        <f t="array" aca="1" ref="AB10" ca="1">TREND($K10:$P10,$K$1:$P$1,AB$1)</f>
        <v>2.0400000000000019E-4</v>
      </c>
      <c r="AC10" s="38" cm="1">
        <f t="array" aca="1" ref="AC10" ca="1">TREND($K10:$P10,$K$1:$P$1,AC$1)</f>
        <v>2.0600000000000045E-4</v>
      </c>
      <c r="AD10" s="38" cm="1">
        <f t="array" aca="1" ref="AD10" ca="1">TREND($K10:$P10,$K$1:$P$1,AD$1)</f>
        <v>2.0799999999999985E-4</v>
      </c>
      <c r="AE10" s="38" cm="1">
        <f t="array" aca="1" ref="AE10" ca="1">TREND($K10:$P10,$K$1:$P$1,AE$1)</f>
        <v>2.1000000000000012E-4</v>
      </c>
      <c r="AF10" s="38" cm="1">
        <f t="array" aca="1" ref="AF10" ca="1">TREND($K10:$P10,$K$1:$P$1,AF$1)</f>
        <v>2.1200000000000038E-4</v>
      </c>
      <c r="AG10" s="38" cm="1">
        <f t="array" aca="1" ref="AG10" ca="1">TREND($K10:$P10,$K$1:$P$1,AG$1)</f>
        <v>2.1399999999999978E-4</v>
      </c>
      <c r="AH10" s="38" cm="1">
        <f t="array" aca="1" ref="AH10" ca="1">TREND($K10:$P10,$K$1:$P$1,AH$1)</f>
        <v>2.1600000000000005E-4</v>
      </c>
      <c r="AI10" s="38" cm="1">
        <f t="array" aca="1" ref="AI10" ca="1">TREND($K10:$P10,$K$1:$P$1,AI$1)</f>
        <v>2.1800000000000031E-4</v>
      </c>
      <c r="AJ10" s="38" cm="1">
        <f t="array" aca="1" ref="AJ10" ca="1">TREND($K10:$P10,$K$1:$P$1,AJ$1)</f>
        <v>2.1999999999999971E-4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1.3999999999999999E-4</v>
      </c>
      <c r="C11" s="38">
        <f t="shared" ca="1" si="3"/>
        <v>1.4249999999999999E-4</v>
      </c>
      <c r="D11" s="38">
        <f t="shared" ca="1" si="0"/>
        <v>1.45E-4</v>
      </c>
      <c r="E11" s="38">
        <f t="shared" ca="1" si="0"/>
        <v>1.4749999999999998E-4</v>
      </c>
      <c r="F11" s="39" cm="1">
        <f t="array" aca="1" ref="F11" ca="1">INDIRECT(CONCATENATE("'",HLOOKUP(F$1,$B$21:$E$23,3,FALSE),"'!",$B$25,ROW($A11)+5))*About!$A$27</f>
        <v>1.4999999999999999E-4</v>
      </c>
      <c r="G11" s="38">
        <f t="shared" ca="1" si="4"/>
        <v>1.54E-4</v>
      </c>
      <c r="H11" s="38">
        <f t="shared" ca="1" si="1"/>
        <v>1.5799999999999999E-4</v>
      </c>
      <c r="I11" s="38">
        <f t="shared" ca="1" si="1"/>
        <v>1.6200000000000001E-4</v>
      </c>
      <c r="J11" s="38">
        <f t="shared" ca="1" si="1"/>
        <v>1.66E-4</v>
      </c>
      <c r="K11" s="39" cm="1">
        <f t="array" aca="1" ref="K11" ca="1">INDIRECT(CONCATENATE("'",HLOOKUP(K$1,$B$21:$E$23,3,FALSE),"'!",$B$25,ROW($A11)+5))*About!$A$27</f>
        <v>1.7000000000000001E-4</v>
      </c>
      <c r="L11" s="38">
        <f t="shared" ca="1" si="5"/>
        <v>1.7200000000000001E-4</v>
      </c>
      <c r="M11" s="38">
        <f t="shared" ca="1" si="2"/>
        <v>1.74E-4</v>
      </c>
      <c r="N11" s="38">
        <f t="shared" ca="1" si="2"/>
        <v>1.7600000000000002E-4</v>
      </c>
      <c r="O11" s="38">
        <f t="shared" ca="1" si="2"/>
        <v>1.7800000000000002E-4</v>
      </c>
      <c r="P11" s="39" cm="1">
        <f t="array" aca="1" ref="P11" ca="1">INDIRECT(CONCATENATE("'",HLOOKUP(P$1,$B$21:$E$23,3,FALSE),"'!",$B$25,ROW($A11)+5))*About!$A$27</f>
        <v>1.8000000000000001E-4</v>
      </c>
      <c r="Q11" s="38" cm="1">
        <f t="array" aca="1" ref="Q11" ca="1">TREND($K11:$P11,$K$1:$P$1,Q$1)</f>
        <v>1.8199999999999987E-4</v>
      </c>
      <c r="R11" s="38" cm="1">
        <f t="array" aca="1" ref="R11" ca="1">TREND($K11:$P11,$K$1:$P$1,R$1)</f>
        <v>1.8400000000000014E-4</v>
      </c>
      <c r="S11" s="38" cm="1">
        <f t="array" aca="1" ref="S11" ca="1">TREND($K11:$P11,$K$1:$P$1,S$1)</f>
        <v>1.860000000000004E-4</v>
      </c>
      <c r="T11" s="38" cm="1">
        <f t="array" aca="1" ref="T11" ca="1">TREND($K11:$P11,$K$1:$P$1,T$1)</f>
        <v>1.879999999999998E-4</v>
      </c>
      <c r="U11" s="38" cm="1">
        <f t="array" aca="1" ref="U11" ca="1">TREND($K11:$P11,$K$1:$P$1,U$1)</f>
        <v>1.9000000000000006E-4</v>
      </c>
      <c r="V11" s="38" cm="1">
        <f t="array" aca="1" ref="V11" ca="1">TREND($K11:$P11,$K$1:$P$1,V$1)</f>
        <v>1.9200000000000033E-4</v>
      </c>
      <c r="W11" s="38" cm="1">
        <f t="array" aca="1" ref="W11" ca="1">TREND($K11:$P11,$K$1:$P$1,W$1)</f>
        <v>1.9399999999999973E-4</v>
      </c>
      <c r="X11" s="38" cm="1">
        <f t="array" aca="1" ref="X11" ca="1">TREND($K11:$P11,$K$1:$P$1,X$1)</f>
        <v>1.9599999999999999E-4</v>
      </c>
      <c r="Y11" s="38" cm="1">
        <f t="array" aca="1" ref="Y11" ca="1">TREND($K11:$P11,$K$1:$P$1,Y$1)</f>
        <v>1.9800000000000026E-4</v>
      </c>
      <c r="Z11" s="38" cm="1">
        <f t="array" aca="1" ref="Z11" ca="1">TREND($K11:$P11,$K$1:$P$1,Z$1)</f>
        <v>1.9999999999999966E-4</v>
      </c>
      <c r="AA11" s="38" cm="1">
        <f t="array" aca="1" ref="AA11" ca="1">TREND($K11:$P11,$K$1:$P$1,AA$1)</f>
        <v>2.0199999999999992E-4</v>
      </c>
      <c r="AB11" s="38" cm="1">
        <f t="array" aca="1" ref="AB11" ca="1">TREND($K11:$P11,$K$1:$P$1,AB$1)</f>
        <v>2.0400000000000019E-4</v>
      </c>
      <c r="AC11" s="38" cm="1">
        <f t="array" aca="1" ref="AC11" ca="1">TREND($K11:$P11,$K$1:$P$1,AC$1)</f>
        <v>2.0600000000000045E-4</v>
      </c>
      <c r="AD11" s="38" cm="1">
        <f t="array" aca="1" ref="AD11" ca="1">TREND($K11:$P11,$K$1:$P$1,AD$1)</f>
        <v>2.0799999999999985E-4</v>
      </c>
      <c r="AE11" s="38" cm="1">
        <f t="array" aca="1" ref="AE11" ca="1">TREND($K11:$P11,$K$1:$P$1,AE$1)</f>
        <v>2.1000000000000012E-4</v>
      </c>
      <c r="AF11" s="38" cm="1">
        <f t="array" aca="1" ref="AF11" ca="1">TREND($K11:$P11,$K$1:$P$1,AF$1)</f>
        <v>2.1200000000000038E-4</v>
      </c>
      <c r="AG11" s="38" cm="1">
        <f t="array" aca="1" ref="AG11" ca="1">TREND($K11:$P11,$K$1:$P$1,AG$1)</f>
        <v>2.1399999999999978E-4</v>
      </c>
      <c r="AH11" s="38" cm="1">
        <f t="array" aca="1" ref="AH11" ca="1">TREND($K11:$P11,$K$1:$P$1,AH$1)</f>
        <v>2.1600000000000005E-4</v>
      </c>
      <c r="AI11" s="38" cm="1">
        <f t="array" aca="1" ref="AI11" ca="1">TREND($K11:$P11,$K$1:$P$1,AI$1)</f>
        <v>2.1800000000000031E-4</v>
      </c>
      <c r="AJ11" s="38" cm="1">
        <f t="array" aca="1" ref="AJ11" ca="1">TREND($K11:$P11,$K$1:$P$1,AJ$1)</f>
        <v>2.1999999999999971E-4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6.6399999999999999E-4</v>
      </c>
      <c r="C12" s="38">
        <f t="shared" ca="1" si="3"/>
        <v>6.7250000000000003E-4</v>
      </c>
      <c r="D12" s="38">
        <f t="shared" ca="1" si="0"/>
        <v>6.8099999999999996E-4</v>
      </c>
      <c r="E12" s="38">
        <f t="shared" ca="1" si="0"/>
        <v>6.8950000000000001E-4</v>
      </c>
      <c r="F12" s="40">
        <f ca="1">SUM(INDIRECT(CONCATENATE("'",HLOOKUP(F$1,$B$21:$E$23,3,FALSE),"'!",$B$25,ROW($A12)+5,":",$B$25,ROW($A12)+6)))*About!$A$27</f>
        <v>6.9800000000000005E-4</v>
      </c>
      <c r="G12" s="38">
        <f t="shared" ca="1" si="4"/>
        <v>7.092E-4</v>
      </c>
      <c r="H12" s="38">
        <f t="shared" ca="1" si="1"/>
        <v>7.2040000000000006E-4</v>
      </c>
      <c r="I12" s="38">
        <f t="shared" ca="1" si="1"/>
        <v>7.316E-4</v>
      </c>
      <c r="J12" s="38">
        <f t="shared" ca="1" si="1"/>
        <v>7.4280000000000006E-4</v>
      </c>
      <c r="K12" s="40">
        <f ca="1">SUM(INDIRECT(CONCATENATE("'",HLOOKUP(K$1,$B$21:$E$23,3,FALSE),"'!",$B$25,ROW($A12)+5,":",$B$25,ROW($A12)+6)))*About!$A$27</f>
        <v>7.54E-4</v>
      </c>
      <c r="L12" s="38">
        <f t="shared" ca="1" si="5"/>
        <v>7.67E-4</v>
      </c>
      <c r="M12" s="38">
        <f t="shared" ca="1" si="2"/>
        <v>7.7999999999999999E-4</v>
      </c>
      <c r="N12" s="38">
        <f t="shared" ca="1" si="2"/>
        <v>7.9299999999999998E-4</v>
      </c>
      <c r="O12" s="38">
        <f t="shared" ca="1" si="2"/>
        <v>8.0599999999999997E-4</v>
      </c>
      <c r="P12" s="40">
        <f ca="1">SUM(INDIRECT(CONCATENATE("'",HLOOKUP(P$1,$B$21:$E$23,3,FALSE),"'!",$B$25,ROW($A12)+5,":",$B$25,ROW($A12)+6)))*About!$A$27</f>
        <v>8.1899999999999996E-4</v>
      </c>
      <c r="Q12" s="38" cm="1">
        <f t="array" aca="1" ref="Q12" ca="1">TREND($K12:$P12,$K$1:$P$1,Q$1)</f>
        <v>8.3199999999999941E-4</v>
      </c>
      <c r="R12" s="38" cm="1">
        <f t="array" aca="1" ref="R12" ca="1">TREND($K12:$P12,$K$1:$P$1,R$1)</f>
        <v>8.4499999999999853E-4</v>
      </c>
      <c r="S12" s="38" cm="1">
        <f t="array" aca="1" ref="S12" ca="1">TREND($K12:$P12,$K$1:$P$1,S$1)</f>
        <v>8.5799999999999765E-4</v>
      </c>
      <c r="T12" s="38" cm="1">
        <f t="array" aca="1" ref="T12" ca="1">TREND($K12:$P12,$K$1:$P$1,T$1)</f>
        <v>8.7099999999999678E-4</v>
      </c>
      <c r="U12" s="38" cm="1">
        <f t="array" aca="1" ref="U12" ca="1">TREND($K12:$P12,$K$1:$P$1,U$1)</f>
        <v>8.8399999999999937E-4</v>
      </c>
      <c r="V12" s="38" cm="1">
        <f t="array" aca="1" ref="V12" ca="1">TREND($K12:$P12,$K$1:$P$1,V$1)</f>
        <v>8.9699999999999849E-4</v>
      </c>
      <c r="W12" s="38" cm="1">
        <f t="array" aca="1" ref="W12" ca="1">TREND($K12:$P12,$K$1:$P$1,W$1)</f>
        <v>9.0999999999999762E-4</v>
      </c>
      <c r="X12" s="38" cm="1">
        <f t="array" aca="1" ref="X12" ca="1">TREND($K12:$P12,$K$1:$P$1,X$1)</f>
        <v>9.2299999999999674E-4</v>
      </c>
      <c r="Y12" s="38" cm="1">
        <f t="array" aca="1" ref="Y12" ca="1">TREND($K12:$P12,$K$1:$P$1,Y$1)</f>
        <v>9.3599999999999933E-4</v>
      </c>
      <c r="Z12" s="38" cm="1">
        <f t="array" aca="1" ref="Z12" ca="1">TREND($K12:$P12,$K$1:$P$1,Z$1)</f>
        <v>9.4899999999999846E-4</v>
      </c>
      <c r="AA12" s="38" cm="1">
        <f t="array" aca="1" ref="AA12" ca="1">TREND($K12:$P12,$K$1:$P$1,AA$1)</f>
        <v>9.6199999999999758E-4</v>
      </c>
      <c r="AB12" s="38" cm="1">
        <f t="array" aca="1" ref="AB12" ca="1">TREND($K12:$P12,$K$1:$P$1,AB$1)</f>
        <v>9.749999999999967E-4</v>
      </c>
      <c r="AC12" s="38" cm="1">
        <f t="array" aca="1" ref="AC12" ca="1">TREND($K12:$P12,$K$1:$P$1,AC$1)</f>
        <v>9.879999999999993E-4</v>
      </c>
      <c r="AD12" s="38" cm="1">
        <f t="array" aca="1" ref="AD12" ca="1">TREND($K12:$P12,$K$1:$P$1,AD$1)</f>
        <v>1.0009999999999984E-3</v>
      </c>
      <c r="AE12" s="38" cm="1">
        <f t="array" aca="1" ref="AE12" ca="1">TREND($K12:$P12,$K$1:$P$1,AE$1)</f>
        <v>1.0139999999999975E-3</v>
      </c>
      <c r="AF12" s="38" cm="1">
        <f t="array" aca="1" ref="AF12" ca="1">TREND($K12:$P12,$K$1:$P$1,AF$1)</f>
        <v>1.0269999999999967E-3</v>
      </c>
      <c r="AG12" s="38" cm="1">
        <f t="array" aca="1" ref="AG12" ca="1">TREND($K12:$P12,$K$1:$P$1,AG$1)</f>
        <v>1.0399999999999993E-3</v>
      </c>
      <c r="AH12" s="38" cm="1">
        <f t="array" aca="1" ref="AH12" ca="1">TREND($K12:$P12,$K$1:$P$1,AH$1)</f>
        <v>1.0529999999999984E-3</v>
      </c>
      <c r="AI12" s="38" cm="1">
        <f t="array" aca="1" ref="AI12" ca="1">TREND($K12:$P12,$K$1:$P$1,AI$1)</f>
        <v>1.0659999999999975E-3</v>
      </c>
      <c r="AJ12" s="38" cm="1">
        <f t="array" aca="1" ref="AJ12" ca="1">TREND($K12:$P12,$K$1:$P$1,AJ$1)</f>
        <v>1.0790000000000001E-3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HOIpTP-electricity-NOx</v>
      </c>
    </row>
    <row r="18" spans="1:5" x14ac:dyDescent="0.25">
      <c r="A18" t="s">
        <v>114</v>
      </c>
      <c r="B18" t="str">
        <f ca="1">RIGHT(B17,LEN(B17)-7)</f>
        <v>electricity-NOx</v>
      </c>
    </row>
    <row r="19" spans="1:5" x14ac:dyDescent="0.25">
      <c r="A19" t="s">
        <v>115</v>
      </c>
      <c r="B19" t="str">
        <f ca="1">LEFT(B18,FIND("-",B18)-1)</f>
        <v>electricity</v>
      </c>
    </row>
    <row r="20" spans="1:5" x14ac:dyDescent="0.25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16</v>
      </c>
      <c r="C22" s="32">
        <f ca="1">VLOOKUP($B$20,Mappings!$A$3:$E$19,COLUMN(Mappings!C$2),FALSE)</f>
        <v>33</v>
      </c>
      <c r="D22" s="32">
        <f ca="1">VLOOKUP($B$20,Mappings!$A$3:$E$19,COLUMN(Mappings!D$2),FALSE)</f>
        <v>50</v>
      </c>
      <c r="E22" s="33">
        <f ca="1">VLOOKUP($B$20,Mappings!$A$3:$E$19,COLUMN(Mappings!E$2),FALSE)</f>
        <v>67</v>
      </c>
    </row>
    <row r="23" spans="1:5" x14ac:dyDescent="0.25">
      <c r="A23" s="34" t="s">
        <v>113</v>
      </c>
      <c r="B23" s="35" t="str">
        <f ca="1">CONCATENATE("Table ",B22)</f>
        <v>Table 16</v>
      </c>
      <c r="C23" s="35" t="str">
        <f ca="1">CONCATENATE("Table ",C22)</f>
        <v>Table 33</v>
      </c>
      <c r="D23" s="35" t="str">
        <f ca="1">CONCATENATE("Table ",D22)</f>
        <v>Table 50</v>
      </c>
      <c r="E23" s="36" t="str">
        <f ca="1">CONCATENATE("Table ",E22)</f>
        <v>Table 67</v>
      </c>
    </row>
    <row r="24" spans="1:5" x14ac:dyDescent="0.25">
      <c r="A24" t="s">
        <v>116</v>
      </c>
      <c r="B24" t="str">
        <f ca="1">REPLACE(B18,1,FIND("-",B18),"")</f>
        <v>NOx</v>
      </c>
    </row>
    <row r="25" spans="1:5" x14ac:dyDescent="0.25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D416-F1C2-4865-9B2C-C9DD91B44AE4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1.6E-2</v>
      </c>
      <c r="C2" s="38">
        <f ca="1">$B2+($F2-$B2)*(C$1-$B$1)/($F$1-$B$1)</f>
        <v>1.6E-2</v>
      </c>
      <c r="D2" s="38">
        <f t="shared" ref="D2:E12" ca="1" si="0">$B2+($F2-$B2)*(D$1-$B$1)/($F$1-$B$1)</f>
        <v>1.6E-2</v>
      </c>
      <c r="E2" s="38">
        <f t="shared" ca="1" si="0"/>
        <v>1.6E-2</v>
      </c>
      <c r="F2" s="37" cm="1">
        <f t="array" aca="1" ref="F2" ca="1">INDIRECT(CONCATENATE("'",HLOOKUP(F$1,$B$21:$E$23,3,FALSE),"'!",$B$25,ROW($A2)+3))*About!$A$27</f>
        <v>1.6E-2</v>
      </c>
      <c r="G2" s="38">
        <f ca="1">$F2+($K2-$F2)*(G$1-$F$1)/($K$1-$F$1)</f>
        <v>1.6199999999999999E-2</v>
      </c>
      <c r="H2" s="38">
        <f t="shared" ref="H2:J12" ca="1" si="1">$F2+($K2-$F2)*(H$1-$F$1)/($K$1-$F$1)</f>
        <v>1.6400000000000001E-2</v>
      </c>
      <c r="I2" s="38">
        <f t="shared" ca="1" si="1"/>
        <v>1.66E-2</v>
      </c>
      <c r="J2" s="38">
        <f t="shared" ca="1" si="1"/>
        <v>1.6800000000000002E-2</v>
      </c>
      <c r="K2" s="37" cm="1">
        <f t="array" aca="1" ref="K2" ca="1">INDIRECT(CONCATENATE("'",HLOOKUP(K$1,$B$21:$E$23,3,FALSE),"'!",$B$25,ROW($A2)+3))*About!$A$27</f>
        <v>1.7000000000000001E-2</v>
      </c>
      <c r="L2" s="38">
        <f ca="1">$K2+($P2-$K2)*(L$1-$K$1)/($P$1-$K$1)</f>
        <v>1.72E-2</v>
      </c>
      <c r="M2" s="38">
        <f t="shared" ref="M2:O12" ca="1" si="2">$K2+($P2-$K2)*(M$1-$K$1)/($P$1-$K$1)</f>
        <v>1.7399999999999999E-2</v>
      </c>
      <c r="N2" s="38">
        <f t="shared" ca="1" si="2"/>
        <v>1.7600000000000001E-2</v>
      </c>
      <c r="O2" s="38">
        <f t="shared" ca="1" si="2"/>
        <v>1.78E-2</v>
      </c>
      <c r="P2" s="37" cm="1">
        <f t="array" aca="1" ref="P2" ca="1">INDIRECT(CONCATENATE("'",HLOOKUP(P$1,$B$21:$E$23,3,FALSE),"'!",$B$25,ROW($A2)+3))*About!$A$27</f>
        <v>1.7999999999999999E-2</v>
      </c>
      <c r="Q2" s="38" cm="1">
        <f t="array" aca="1" ref="Q2" ca="1">TREND($K2:$P2,$K$1:$P$1,Q$1)</f>
        <v>1.8199999999999994E-2</v>
      </c>
      <c r="R2" s="38" cm="1">
        <f t="array" aca="1" ref="R2" ca="1">TREND($K2:$P2,$K$1:$P$1,R$1)</f>
        <v>1.8400000000000027E-2</v>
      </c>
      <c r="S2" s="38" cm="1">
        <f t="array" aca="1" ref="S2" ca="1">TREND($K2:$P2,$K$1:$P$1,S$1)</f>
        <v>1.8600000000000005E-2</v>
      </c>
      <c r="T2" s="38" cm="1">
        <f t="array" aca="1" ref="T2" ca="1">TREND($K2:$P2,$K$1:$P$1,T$1)</f>
        <v>1.8800000000000039E-2</v>
      </c>
      <c r="U2" s="38" cm="1">
        <f t="array" aca="1" ref="U2" ca="1">TREND($K2:$P2,$K$1:$P$1,U$1)</f>
        <v>1.9000000000000017E-2</v>
      </c>
      <c r="V2" s="38" cm="1">
        <f t="array" aca="1" ref="V2" ca="1">TREND($K2:$P2,$K$1:$P$1,V$1)</f>
        <v>1.9199999999999995E-2</v>
      </c>
      <c r="W2" s="38" cm="1">
        <f t="array" aca="1" ref="W2" ca="1">TREND($K2:$P2,$K$1:$P$1,W$1)</f>
        <v>1.9400000000000028E-2</v>
      </c>
      <c r="X2" s="38" cm="1">
        <f t="array" aca="1" ref="X2" ca="1">TREND($K2:$P2,$K$1:$P$1,X$1)</f>
        <v>1.9600000000000006E-2</v>
      </c>
      <c r="Y2" s="38" cm="1">
        <f t="array" aca="1" ref="Y2" ca="1">TREND($K2:$P2,$K$1:$P$1,Y$1)</f>
        <v>1.9799999999999984E-2</v>
      </c>
      <c r="Z2" s="38" cm="1">
        <f t="array" aca="1" ref="Z2" ca="1">TREND($K2:$P2,$K$1:$P$1,Z$1)</f>
        <v>2.0000000000000018E-2</v>
      </c>
      <c r="AA2" s="38" cm="1">
        <f t="array" aca="1" ref="AA2" ca="1">TREND($K2:$P2,$K$1:$P$1,AA$1)</f>
        <v>2.0199999999999996E-2</v>
      </c>
      <c r="AB2" s="38" cm="1">
        <f t="array" aca="1" ref="AB2" ca="1">TREND($K2:$P2,$K$1:$P$1,AB$1)</f>
        <v>2.0400000000000029E-2</v>
      </c>
      <c r="AC2" s="38" cm="1">
        <f t="array" aca="1" ref="AC2" ca="1">TREND($K2:$P2,$K$1:$P$1,AC$1)</f>
        <v>2.0600000000000007E-2</v>
      </c>
      <c r="AD2" s="38" cm="1">
        <f t="array" aca="1" ref="AD2" ca="1">TREND($K2:$P2,$K$1:$P$1,AD$1)</f>
        <v>2.0799999999999985E-2</v>
      </c>
      <c r="AE2" s="38" cm="1">
        <f t="array" aca="1" ref="AE2" ca="1">TREND($K2:$P2,$K$1:$P$1,AE$1)</f>
        <v>2.1000000000000019E-2</v>
      </c>
      <c r="AF2" s="38" cm="1">
        <f t="array" aca="1" ref="AF2" ca="1">TREND($K2:$P2,$K$1:$P$1,AF$1)</f>
        <v>2.1199999999999997E-2</v>
      </c>
      <c r="AG2" s="38" cm="1">
        <f t="array" aca="1" ref="AG2" ca="1">TREND($K2:$P2,$K$1:$P$1,AG$1)</f>
        <v>2.140000000000003E-2</v>
      </c>
      <c r="AH2" s="38" cm="1">
        <f t="array" aca="1" ref="AH2" ca="1">TREND($K2:$P2,$K$1:$P$1,AH$1)</f>
        <v>2.1600000000000008E-2</v>
      </c>
      <c r="AI2" s="38" cm="1">
        <f t="array" aca="1" ref="AI2" ca="1">TREND($K2:$P2,$K$1:$P$1,AI$1)</f>
        <v>2.1799999999999986E-2</v>
      </c>
      <c r="AJ2" s="38" cm="1">
        <f t="array" aca="1" ref="AJ2" ca="1">TREND($K2:$P2,$K$1:$P$1,AJ$1)</f>
        <v>2.200000000000002E-2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8.8000000000000005E-3</v>
      </c>
      <c r="C3" s="38">
        <f t="shared" ref="C3:C12" ca="1" si="3">$B3+($F3-$B3)*(C$1-$B$1)/($F$1-$B$1)</f>
        <v>8.8750000000000009E-3</v>
      </c>
      <c r="D3" s="38">
        <f t="shared" ca="1" si="0"/>
        <v>8.9499999999999996E-3</v>
      </c>
      <c r="E3" s="38">
        <f t="shared" ca="1" si="0"/>
        <v>9.025E-3</v>
      </c>
      <c r="F3" s="39" cm="1">
        <f t="array" aca="1" ref="F3" ca="1">INDIRECT(CONCATENATE("'",HLOOKUP(F$1,$B$21:$E$23,3,FALSE),"'!",$B$25,ROW($A3)+5))*About!$A$27</f>
        <v>9.1000000000000004E-3</v>
      </c>
      <c r="G3" s="38">
        <f t="shared" ref="G3:G12" ca="1" si="4">$F3+($K3-$F3)*(G$1-$F$1)/($K$1-$F$1)</f>
        <v>9.1599999999999997E-3</v>
      </c>
      <c r="H3" s="38">
        <f t="shared" ca="1" si="1"/>
        <v>9.2200000000000008E-3</v>
      </c>
      <c r="I3" s="38">
        <f t="shared" ca="1" si="1"/>
        <v>9.2800000000000001E-3</v>
      </c>
      <c r="J3" s="38">
        <f t="shared" ca="1" si="1"/>
        <v>9.3400000000000011E-3</v>
      </c>
      <c r="K3" s="39" cm="1">
        <f t="array" aca="1" ref="K3" ca="1">INDIRECT(CONCATENATE("'",HLOOKUP(K$1,$B$21:$E$23,3,FALSE),"'!",$B$25,ROW($A3)+5))*About!$A$27</f>
        <v>9.4000000000000004E-3</v>
      </c>
      <c r="L3" s="38">
        <f t="shared" ref="L3:L12" ca="1" si="5">$K3+($P3-$K3)*(L$1-$K$1)/($P$1-$K$1)</f>
        <v>9.4800000000000006E-3</v>
      </c>
      <c r="M3" s="38">
        <f t="shared" ca="1" si="2"/>
        <v>9.5600000000000008E-3</v>
      </c>
      <c r="N3" s="38">
        <f t="shared" ca="1" si="2"/>
        <v>9.6399999999999993E-3</v>
      </c>
      <c r="O3" s="38">
        <f t="shared" ca="1" si="2"/>
        <v>9.7199999999999995E-3</v>
      </c>
      <c r="P3" s="39" cm="1">
        <f t="array" aca="1" ref="P3" ca="1">INDIRECT(CONCATENATE("'",HLOOKUP(P$1,$B$21:$E$23,3,FALSE),"'!",$B$25,ROW($A3)+5))*About!$A$27</f>
        <v>9.7999999999999997E-3</v>
      </c>
      <c r="Q3" s="38" cm="1">
        <f t="array" aca="1" ref="Q3" ca="1">TREND($K3:$P3,$K$1:$P$1,Q$1)</f>
        <v>9.8799999999999999E-3</v>
      </c>
      <c r="R3" s="38" cm="1">
        <f t="array" aca="1" ref="R3" ca="1">TREND($K3:$P3,$K$1:$P$1,R$1)</f>
        <v>9.9599999999999966E-3</v>
      </c>
      <c r="S3" s="38" cm="1">
        <f t="array" aca="1" ref="S3" ca="1">TREND($K3:$P3,$K$1:$P$1,S$1)</f>
        <v>1.0039999999999993E-2</v>
      </c>
      <c r="T3" s="38" cm="1">
        <f t="array" aca="1" ref="T3" ca="1">TREND($K3:$P3,$K$1:$P$1,T$1)</f>
        <v>1.011999999999999E-2</v>
      </c>
      <c r="U3" s="38" cm="1">
        <f t="array" aca="1" ref="U3" ca="1">TREND($K3:$P3,$K$1:$P$1,U$1)</f>
        <v>1.0200000000000015E-2</v>
      </c>
      <c r="V3" s="38" cm="1">
        <f t="array" aca="1" ref="V3" ca="1">TREND($K3:$P3,$K$1:$P$1,V$1)</f>
        <v>1.0280000000000011E-2</v>
      </c>
      <c r="W3" s="38" cm="1">
        <f t="array" aca="1" ref="W3" ca="1">TREND($K3:$P3,$K$1:$P$1,W$1)</f>
        <v>1.0360000000000008E-2</v>
      </c>
      <c r="X3" s="38" cm="1">
        <f t="array" aca="1" ref="X3" ca="1">TREND($K3:$P3,$K$1:$P$1,X$1)</f>
        <v>1.0440000000000005E-2</v>
      </c>
      <c r="Y3" s="38" cm="1">
        <f t="array" aca="1" ref="Y3" ca="1">TREND($K3:$P3,$K$1:$P$1,Y$1)</f>
        <v>1.0520000000000002E-2</v>
      </c>
      <c r="Z3" s="38" cm="1">
        <f t="array" aca="1" ref="Z3" ca="1">TREND($K3:$P3,$K$1:$P$1,Z$1)</f>
        <v>1.0599999999999998E-2</v>
      </c>
      <c r="AA3" s="38" cm="1">
        <f t="array" aca="1" ref="AA3" ca="1">TREND($K3:$P3,$K$1:$P$1,AA$1)</f>
        <v>1.0679999999999995E-2</v>
      </c>
      <c r="AB3" s="38" cm="1">
        <f t="array" aca="1" ref="AB3" ca="1">TREND($K3:$P3,$K$1:$P$1,AB$1)</f>
        <v>1.0759999999999992E-2</v>
      </c>
      <c r="AC3" s="38" cm="1">
        <f t="array" aca="1" ref="AC3" ca="1">TREND($K3:$P3,$K$1:$P$1,AC$1)</f>
        <v>1.0839999999999989E-2</v>
      </c>
      <c r="AD3" s="38" cm="1">
        <f t="array" aca="1" ref="AD3" ca="1">TREND($K3:$P3,$K$1:$P$1,AD$1)</f>
        <v>1.0920000000000013E-2</v>
      </c>
      <c r="AE3" s="38" cm="1">
        <f t="array" aca="1" ref="AE3" ca="1">TREND($K3:$P3,$K$1:$P$1,AE$1)</f>
        <v>1.100000000000001E-2</v>
      </c>
      <c r="AF3" s="38" cm="1">
        <f t="array" aca="1" ref="AF3" ca="1">TREND($K3:$P3,$K$1:$P$1,AF$1)</f>
        <v>1.1080000000000007E-2</v>
      </c>
      <c r="AG3" s="38" cm="1">
        <f t="array" aca="1" ref="AG3" ca="1">TREND($K3:$P3,$K$1:$P$1,AG$1)</f>
        <v>1.1160000000000003E-2</v>
      </c>
      <c r="AH3" s="38" cm="1">
        <f t="array" aca="1" ref="AH3" ca="1">TREND($K3:$P3,$K$1:$P$1,AH$1)</f>
        <v>1.124E-2</v>
      </c>
      <c r="AI3" s="38" cm="1">
        <f t="array" aca="1" ref="AI3" ca="1">TREND($K3:$P3,$K$1:$P$1,AI$1)</f>
        <v>1.1319999999999997E-2</v>
      </c>
      <c r="AJ3" s="38" cm="1">
        <f t="array" aca="1" ref="AJ3" ca="1">TREND($K3:$P3,$K$1:$P$1,AJ$1)</f>
        <v>1.1399999999999993E-2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2.1000000000000001E-2</v>
      </c>
      <c r="C4" s="38">
        <f t="shared" ca="1" si="3"/>
        <v>2.1000000000000001E-2</v>
      </c>
      <c r="D4" s="38">
        <f t="shared" ca="1" si="0"/>
        <v>2.1000000000000001E-2</v>
      </c>
      <c r="E4" s="38">
        <f t="shared" ca="1" si="0"/>
        <v>2.1000000000000001E-2</v>
      </c>
      <c r="F4" s="39" cm="1">
        <f t="array" aca="1" ref="F4" ca="1">INDIRECT(CONCATENATE("'",HLOOKUP(F$1,$B$21:$E$23,3,FALSE),"'!",$B$25,ROW($A4)+5))*About!$A$27</f>
        <v>2.1000000000000001E-2</v>
      </c>
      <c r="G4" s="38">
        <f t="shared" ca="1" si="4"/>
        <v>2.12E-2</v>
      </c>
      <c r="H4" s="38">
        <f t="shared" ca="1" si="1"/>
        <v>2.1399999999999999E-2</v>
      </c>
      <c r="I4" s="38">
        <f t="shared" ca="1" si="1"/>
        <v>2.1600000000000001E-2</v>
      </c>
      <c r="J4" s="38">
        <f t="shared" ca="1" si="1"/>
        <v>2.18E-2</v>
      </c>
      <c r="K4" s="39" cm="1">
        <f t="array" aca="1" ref="K4" ca="1">INDIRECT(CONCATENATE("'",HLOOKUP(K$1,$B$21:$E$23,3,FALSE),"'!",$B$25,ROW($A4)+5))*About!$A$27</f>
        <v>2.1999999999999999E-2</v>
      </c>
      <c r="L4" s="38">
        <f t="shared" ca="1" si="5"/>
        <v>2.24E-2</v>
      </c>
      <c r="M4" s="38">
        <f t="shared" ca="1" si="2"/>
        <v>2.2800000000000001E-2</v>
      </c>
      <c r="N4" s="38">
        <f t="shared" ca="1" si="2"/>
        <v>2.3199999999999998E-2</v>
      </c>
      <c r="O4" s="38">
        <f t="shared" ca="1" si="2"/>
        <v>2.3599999999999999E-2</v>
      </c>
      <c r="P4" s="39" cm="1">
        <f t="array" aca="1" ref="P4" ca="1">INDIRECT(CONCATENATE("'",HLOOKUP(P$1,$B$21:$E$23,3,FALSE),"'!",$B$25,ROW($A4)+5))*About!$A$27</f>
        <v>2.4E-2</v>
      </c>
      <c r="Q4" s="38" cm="1">
        <f t="array" aca="1" ref="Q4" ca="1">TREND($K4:$P4,$K$1:$P$1,Q$1)</f>
        <v>2.4399999999999977E-2</v>
      </c>
      <c r="R4" s="38" cm="1">
        <f t="array" aca="1" ref="R4" ca="1">TREND($K4:$P4,$K$1:$P$1,R$1)</f>
        <v>2.4800000000000044E-2</v>
      </c>
      <c r="S4" s="38" cm="1">
        <f t="array" aca="1" ref="S4" ca="1">TREND($K4:$P4,$K$1:$P$1,S$1)</f>
        <v>2.52E-2</v>
      </c>
      <c r="T4" s="38" cm="1">
        <f t="array" aca="1" ref="T4" ca="1">TREND($K4:$P4,$K$1:$P$1,T$1)</f>
        <v>2.5599999999999956E-2</v>
      </c>
      <c r="U4" s="38" cm="1">
        <f t="array" aca="1" ref="U4" ca="1">TREND($K4:$P4,$K$1:$P$1,U$1)</f>
        <v>2.6000000000000023E-2</v>
      </c>
      <c r="V4" s="38" cm="1">
        <f t="array" aca="1" ref="V4" ca="1">TREND($K4:$P4,$K$1:$P$1,V$1)</f>
        <v>2.6399999999999979E-2</v>
      </c>
      <c r="W4" s="38" cm="1">
        <f t="array" aca="1" ref="W4" ca="1">TREND($K4:$P4,$K$1:$P$1,W$1)</f>
        <v>2.6800000000000046E-2</v>
      </c>
      <c r="X4" s="38" cm="1">
        <f t="array" aca="1" ref="X4" ca="1">TREND($K4:$P4,$K$1:$P$1,X$1)</f>
        <v>2.7200000000000002E-2</v>
      </c>
      <c r="Y4" s="38" cm="1">
        <f t="array" aca="1" ref="Y4" ca="1">TREND($K4:$P4,$K$1:$P$1,Y$1)</f>
        <v>2.7599999999999958E-2</v>
      </c>
      <c r="Z4" s="38" cm="1">
        <f t="array" aca="1" ref="Z4" ca="1">TREND($K4:$P4,$K$1:$P$1,Z$1)</f>
        <v>2.8000000000000025E-2</v>
      </c>
      <c r="AA4" s="38" cm="1">
        <f t="array" aca="1" ref="AA4" ca="1">TREND($K4:$P4,$K$1:$P$1,AA$1)</f>
        <v>2.8399999999999981E-2</v>
      </c>
      <c r="AB4" s="38" cm="1">
        <f t="array" aca="1" ref="AB4" ca="1">TREND($K4:$P4,$K$1:$P$1,AB$1)</f>
        <v>2.8800000000000048E-2</v>
      </c>
      <c r="AC4" s="38" cm="1">
        <f t="array" aca="1" ref="AC4" ca="1">TREND($K4:$P4,$K$1:$P$1,AC$1)</f>
        <v>2.9200000000000004E-2</v>
      </c>
      <c r="AD4" s="38" cm="1">
        <f t="array" aca="1" ref="AD4" ca="1">TREND($K4:$P4,$K$1:$P$1,AD$1)</f>
        <v>2.959999999999996E-2</v>
      </c>
      <c r="AE4" s="38" cm="1">
        <f t="array" aca="1" ref="AE4" ca="1">TREND($K4:$P4,$K$1:$P$1,AE$1)</f>
        <v>3.0000000000000027E-2</v>
      </c>
      <c r="AF4" s="38" cm="1">
        <f t="array" aca="1" ref="AF4" ca="1">TREND($K4:$P4,$K$1:$P$1,AF$1)</f>
        <v>3.0399999999999983E-2</v>
      </c>
      <c r="AG4" s="38" cm="1">
        <f t="array" aca="1" ref="AG4" ca="1">TREND($K4:$P4,$K$1:$P$1,AG$1)</f>
        <v>3.080000000000005E-2</v>
      </c>
      <c r="AH4" s="38" cm="1">
        <f t="array" aca="1" ref="AH4" ca="1">TREND($K4:$P4,$K$1:$P$1,AH$1)</f>
        <v>3.1200000000000006E-2</v>
      </c>
      <c r="AI4" s="38" cm="1">
        <f t="array" aca="1" ref="AI4" ca="1">TREND($K4:$P4,$K$1:$P$1,AI$1)</f>
        <v>3.1599999999999961E-2</v>
      </c>
      <c r="AJ4" s="38" cm="1">
        <f t="array" aca="1" ref="AJ4" ca="1">TREND($K4:$P4,$K$1:$P$1,AJ$1)</f>
        <v>3.2000000000000028E-2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0.27</v>
      </c>
      <c r="C5" s="38">
        <f t="shared" ca="1" si="3"/>
        <v>0.27</v>
      </c>
      <c r="D5" s="38">
        <f t="shared" ca="1" si="0"/>
        <v>0.27</v>
      </c>
      <c r="E5" s="38">
        <f t="shared" ca="1" si="0"/>
        <v>0.27</v>
      </c>
      <c r="F5" s="39" cm="1">
        <f t="array" aca="1" ref="F5" ca="1">INDIRECT(CONCATENATE("'",HLOOKUP(F$1,$B$21:$E$23,3,FALSE),"'!",$B$25,ROW($A5)+5))*About!$A$27</f>
        <v>0.27</v>
      </c>
      <c r="G5" s="38">
        <f t="shared" ca="1" si="4"/>
        <v>0.27400000000000002</v>
      </c>
      <c r="H5" s="38">
        <f t="shared" ca="1" si="1"/>
        <v>0.27800000000000002</v>
      </c>
      <c r="I5" s="38">
        <f t="shared" ca="1" si="1"/>
        <v>0.28199999999999997</v>
      </c>
      <c r="J5" s="38">
        <f t="shared" ca="1" si="1"/>
        <v>0.28599999999999998</v>
      </c>
      <c r="K5" s="39" cm="1">
        <f t="array" aca="1" ref="K5" ca="1">INDIRECT(CONCATENATE("'",HLOOKUP(K$1,$B$21:$E$23,3,FALSE),"'!",$B$25,ROW($A5)+5))*About!$A$27</f>
        <v>0.28999999999999998</v>
      </c>
      <c r="L5" s="38">
        <f t="shared" ca="1" si="5"/>
        <v>0.29399999999999998</v>
      </c>
      <c r="M5" s="38">
        <f t="shared" ca="1" si="2"/>
        <v>0.29799999999999999</v>
      </c>
      <c r="N5" s="38">
        <f t="shared" ca="1" si="2"/>
        <v>0.30199999999999999</v>
      </c>
      <c r="O5" s="38">
        <f t="shared" ca="1" si="2"/>
        <v>0.30599999999999999</v>
      </c>
      <c r="P5" s="39" cm="1">
        <f t="array" aca="1" ref="P5" ca="1">INDIRECT(CONCATENATE("'",HLOOKUP(P$1,$B$21:$E$23,3,FALSE),"'!",$B$25,ROW($A5)+5))*About!$A$27</f>
        <v>0.31</v>
      </c>
      <c r="Q5" s="38" cm="1">
        <f t="array" aca="1" ref="Q5" ca="1">TREND($K5:$P5,$K$1:$P$1,Q$1)</f>
        <v>0.31400000000000095</v>
      </c>
      <c r="R5" s="38" cm="1">
        <f t="array" aca="1" ref="R5" ca="1">TREND($K5:$P5,$K$1:$P$1,R$1)</f>
        <v>0.3180000000000005</v>
      </c>
      <c r="S5" s="38" cm="1">
        <f t="array" aca="1" ref="S5" ca="1">TREND($K5:$P5,$K$1:$P$1,S$1)</f>
        <v>0.32200000000000006</v>
      </c>
      <c r="T5" s="38" cm="1">
        <f t="array" aca="1" ref="T5" ca="1">TREND($K5:$P5,$K$1:$P$1,T$1)</f>
        <v>0.32599999999999962</v>
      </c>
      <c r="U5" s="38" cm="1">
        <f t="array" aca="1" ref="U5" ca="1">TREND($K5:$P5,$K$1:$P$1,U$1)</f>
        <v>0.33000000000000096</v>
      </c>
      <c r="V5" s="38" cm="1">
        <f t="array" aca="1" ref="V5" ca="1">TREND($K5:$P5,$K$1:$P$1,V$1)</f>
        <v>0.33400000000000052</v>
      </c>
      <c r="W5" s="38" cm="1">
        <f t="array" aca="1" ref="W5" ca="1">TREND($K5:$P5,$K$1:$P$1,W$1)</f>
        <v>0.33800000000000008</v>
      </c>
      <c r="X5" s="38" cm="1">
        <f t="array" aca="1" ref="X5" ca="1">TREND($K5:$P5,$K$1:$P$1,X$1)</f>
        <v>0.34200000000000141</v>
      </c>
      <c r="Y5" s="38" cm="1">
        <f t="array" aca="1" ref="Y5" ca="1">TREND($K5:$P5,$K$1:$P$1,Y$1)</f>
        <v>0.34600000000000097</v>
      </c>
      <c r="Z5" s="38" cm="1">
        <f t="array" aca="1" ref="Z5" ca="1">TREND($K5:$P5,$K$1:$P$1,Z$1)</f>
        <v>0.35000000000000053</v>
      </c>
      <c r="AA5" s="38" cm="1">
        <f t="array" aca="1" ref="AA5" ca="1">TREND($K5:$P5,$K$1:$P$1,AA$1)</f>
        <v>0.35400000000000009</v>
      </c>
      <c r="AB5" s="38" cm="1">
        <f t="array" aca="1" ref="AB5" ca="1">TREND($K5:$P5,$K$1:$P$1,AB$1)</f>
        <v>0.35799999999999965</v>
      </c>
      <c r="AC5" s="38" cm="1">
        <f t="array" aca="1" ref="AC5" ca="1">TREND($K5:$P5,$K$1:$P$1,AC$1)</f>
        <v>0.36200000000000099</v>
      </c>
      <c r="AD5" s="38" cm="1">
        <f t="array" aca="1" ref="AD5" ca="1">TREND($K5:$P5,$K$1:$P$1,AD$1)</f>
        <v>0.36600000000000055</v>
      </c>
      <c r="AE5" s="38" cm="1">
        <f t="array" aca="1" ref="AE5" ca="1">TREND($K5:$P5,$K$1:$P$1,AE$1)</f>
        <v>0.37000000000000011</v>
      </c>
      <c r="AF5" s="38" cm="1">
        <f t="array" aca="1" ref="AF5" ca="1">TREND($K5:$P5,$K$1:$P$1,AF$1)</f>
        <v>0.37400000000000144</v>
      </c>
      <c r="AG5" s="38" cm="1">
        <f t="array" aca="1" ref="AG5" ca="1">TREND($K5:$P5,$K$1:$P$1,AG$1)</f>
        <v>0.378000000000001</v>
      </c>
      <c r="AH5" s="38" cm="1">
        <f t="array" aca="1" ref="AH5" ca="1">TREND($K5:$P5,$K$1:$P$1,AH$1)</f>
        <v>0.38200000000000056</v>
      </c>
      <c r="AI5" s="38" cm="1">
        <f t="array" aca="1" ref="AI5" ca="1">TREND($K5:$P5,$K$1:$P$1,AI$1)</f>
        <v>0.38600000000000012</v>
      </c>
      <c r="AJ5" s="38" cm="1">
        <f t="array" aca="1" ref="AJ5" ca="1">TREND($K5:$P5,$K$1:$P$1,AJ$1)</f>
        <v>0.38999999999999968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0.39</v>
      </c>
      <c r="C6" s="38">
        <f t="shared" ca="1" si="3"/>
        <v>0.39</v>
      </c>
      <c r="D6" s="38">
        <f t="shared" ca="1" si="0"/>
        <v>0.39</v>
      </c>
      <c r="E6" s="38">
        <f t="shared" ca="1" si="0"/>
        <v>0.39</v>
      </c>
      <c r="F6" s="39" cm="1">
        <f t="array" aca="1" ref="F6" ca="1">INDIRECT(CONCATENATE("'",HLOOKUP(F$1,$B$21:$E$23,3,FALSE),"'!",$B$25,ROW($A6)+5))*About!$A$27</f>
        <v>0.39</v>
      </c>
      <c r="G6" s="38">
        <f t="shared" ca="1" si="4"/>
        <v>0.39400000000000002</v>
      </c>
      <c r="H6" s="38">
        <f t="shared" ca="1" si="1"/>
        <v>0.39800000000000002</v>
      </c>
      <c r="I6" s="38">
        <f t="shared" ca="1" si="1"/>
        <v>0.40199999999999997</v>
      </c>
      <c r="J6" s="38">
        <f t="shared" ca="1" si="1"/>
        <v>0.40599999999999997</v>
      </c>
      <c r="K6" s="39" cm="1">
        <f t="array" aca="1" ref="K6" ca="1">INDIRECT(CONCATENATE("'",HLOOKUP(K$1,$B$21:$E$23,3,FALSE),"'!",$B$25,ROW($A6)+5))*About!$A$27</f>
        <v>0.41</v>
      </c>
      <c r="L6" s="38">
        <f t="shared" ca="1" si="5"/>
        <v>0.41599999999999998</v>
      </c>
      <c r="M6" s="38">
        <f t="shared" ca="1" si="2"/>
        <v>0.42199999999999999</v>
      </c>
      <c r="N6" s="38">
        <f t="shared" ca="1" si="2"/>
        <v>0.42799999999999999</v>
      </c>
      <c r="O6" s="38">
        <f t="shared" ca="1" si="2"/>
        <v>0.434</v>
      </c>
      <c r="P6" s="39" cm="1">
        <f t="array" aca="1" ref="P6" ca="1">INDIRECT(CONCATENATE("'",HLOOKUP(P$1,$B$21:$E$23,3,FALSE),"'!",$B$25,ROW($A6)+5))*About!$A$27</f>
        <v>0.44</v>
      </c>
      <c r="Q6" s="38" cm="1">
        <f t="array" aca="1" ref="Q6" ca="1">TREND($K6:$P6,$K$1:$P$1,Q$1)</f>
        <v>0.44599999999999973</v>
      </c>
      <c r="R6" s="38" cm="1">
        <f t="array" aca="1" ref="R6" ca="1">TREND($K6:$P6,$K$1:$P$1,R$1)</f>
        <v>0.45199999999999996</v>
      </c>
      <c r="S6" s="38" cm="1">
        <f t="array" aca="1" ref="S6" ca="1">TREND($K6:$P6,$K$1:$P$1,S$1)</f>
        <v>0.45800000000000018</v>
      </c>
      <c r="T6" s="38" cm="1">
        <f t="array" aca="1" ref="T6" ca="1">TREND($K6:$P6,$K$1:$P$1,T$1)</f>
        <v>0.46400000000000041</v>
      </c>
      <c r="U6" s="38" cm="1">
        <f t="array" aca="1" ref="U6" ca="1">TREND($K6:$P6,$K$1:$P$1,U$1)</f>
        <v>0.47000000000000064</v>
      </c>
      <c r="V6" s="38" cm="1">
        <f t="array" aca="1" ref="V6" ca="1">TREND($K6:$P6,$K$1:$P$1,V$1)</f>
        <v>0.47599999999999909</v>
      </c>
      <c r="W6" s="38" cm="1">
        <f t="array" aca="1" ref="W6" ca="1">TREND($K6:$P6,$K$1:$P$1,W$1)</f>
        <v>0.48199999999999932</v>
      </c>
      <c r="X6" s="38" cm="1">
        <f t="array" aca="1" ref="X6" ca="1">TREND($K6:$P6,$K$1:$P$1,X$1)</f>
        <v>0.48799999999999955</v>
      </c>
      <c r="Y6" s="38" cm="1">
        <f t="array" aca="1" ref="Y6" ca="1">TREND($K6:$P6,$K$1:$P$1,Y$1)</f>
        <v>0.49399999999999977</v>
      </c>
      <c r="Z6" s="38" cm="1">
        <f t="array" aca="1" ref="Z6" ca="1">TREND($K6:$P6,$K$1:$P$1,Z$1)</f>
        <v>0.5</v>
      </c>
      <c r="AA6" s="38" cm="1">
        <f t="array" aca="1" ref="AA6" ca="1">TREND($K6:$P6,$K$1:$P$1,AA$1)</f>
        <v>0.50600000000000023</v>
      </c>
      <c r="AB6" s="38" cm="1">
        <f t="array" aca="1" ref="AB6" ca="1">TREND($K6:$P6,$K$1:$P$1,AB$1)</f>
        <v>0.51200000000000045</v>
      </c>
      <c r="AC6" s="38" cm="1">
        <f t="array" aca="1" ref="AC6" ca="1">TREND($K6:$P6,$K$1:$P$1,AC$1)</f>
        <v>0.51800000000000068</v>
      </c>
      <c r="AD6" s="38" cm="1">
        <f t="array" aca="1" ref="AD6" ca="1">TREND($K6:$P6,$K$1:$P$1,AD$1)</f>
        <v>0.52399999999999913</v>
      </c>
      <c r="AE6" s="38" cm="1">
        <f t="array" aca="1" ref="AE6" ca="1">TREND($K6:$P6,$K$1:$P$1,AE$1)</f>
        <v>0.52999999999999936</v>
      </c>
      <c r="AF6" s="38" cm="1">
        <f t="array" aca="1" ref="AF6" ca="1">TREND($K6:$P6,$K$1:$P$1,AF$1)</f>
        <v>0.53599999999999959</v>
      </c>
      <c r="AG6" s="38" cm="1">
        <f t="array" aca="1" ref="AG6" ca="1">TREND($K6:$P6,$K$1:$P$1,AG$1)</f>
        <v>0.54199999999999982</v>
      </c>
      <c r="AH6" s="38" cm="1">
        <f t="array" aca="1" ref="AH6" ca="1">TREND($K6:$P6,$K$1:$P$1,AH$1)</f>
        <v>0.54800000000000004</v>
      </c>
      <c r="AI6" s="38" cm="1">
        <f t="array" aca="1" ref="AI6" ca="1">TREND($K6:$P6,$K$1:$P$1,AI$1)</f>
        <v>0.55400000000000027</v>
      </c>
      <c r="AJ6" s="38" cm="1">
        <f t="array" aca="1" ref="AJ6" ca="1">TREND($K6:$P6,$K$1:$P$1,AJ$1)</f>
        <v>0.5600000000000005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12</v>
      </c>
      <c r="C7" s="38">
        <f t="shared" ca="1" si="3"/>
        <v>12</v>
      </c>
      <c r="D7" s="38">
        <f t="shared" ca="1" si="0"/>
        <v>12</v>
      </c>
      <c r="E7" s="38">
        <f t="shared" ca="1" si="0"/>
        <v>12</v>
      </c>
      <c r="F7" s="39" cm="1">
        <f t="array" aca="1" ref="F7" ca="1">INDIRECT(CONCATENATE("'",HLOOKUP(F$1,$B$21:$E$23,3,FALSE),"'!",$B$25,ROW($A7)+5))*About!$A$27</f>
        <v>12</v>
      </c>
      <c r="G7" s="38">
        <f t="shared" ca="1" si="4"/>
        <v>12</v>
      </c>
      <c r="H7" s="38">
        <f t="shared" ca="1" si="1"/>
        <v>12</v>
      </c>
      <c r="I7" s="38">
        <f t="shared" ca="1" si="1"/>
        <v>12</v>
      </c>
      <c r="J7" s="38">
        <f t="shared" ca="1" si="1"/>
        <v>12</v>
      </c>
      <c r="K7" s="39" cm="1">
        <f t="array" aca="1" ref="K7" ca="1">INDIRECT(CONCATENATE("'",HLOOKUP(K$1,$B$21:$E$23,3,FALSE),"'!",$B$25,ROW($A7)+5))*About!$A$27</f>
        <v>12</v>
      </c>
      <c r="L7" s="38">
        <f t="shared" ca="1" si="5"/>
        <v>12</v>
      </c>
      <c r="M7" s="38">
        <f t="shared" ca="1" si="2"/>
        <v>12</v>
      </c>
      <c r="N7" s="38">
        <f t="shared" ca="1" si="2"/>
        <v>12</v>
      </c>
      <c r="O7" s="38">
        <f t="shared" ca="1" si="2"/>
        <v>12</v>
      </c>
      <c r="P7" s="39" cm="1">
        <f t="array" aca="1" ref="P7" ca="1">INDIRECT(CONCATENATE("'",HLOOKUP(P$1,$B$21:$E$23,3,FALSE),"'!",$B$25,ROW($A7)+5))*About!$A$27</f>
        <v>12</v>
      </c>
      <c r="Q7" s="38" cm="1">
        <f t="array" aca="1" ref="Q7" ca="1">TREND($K7:$P7,$K$1:$P$1,Q$1)</f>
        <v>12</v>
      </c>
      <c r="R7" s="38" cm="1">
        <f t="array" aca="1" ref="R7" ca="1">TREND($K7:$P7,$K$1:$P$1,R$1)</f>
        <v>12</v>
      </c>
      <c r="S7" s="38" cm="1">
        <f t="array" aca="1" ref="S7" ca="1">TREND($K7:$P7,$K$1:$P$1,S$1)</f>
        <v>12</v>
      </c>
      <c r="T7" s="38" cm="1">
        <f t="array" aca="1" ref="T7" ca="1">TREND($K7:$P7,$K$1:$P$1,T$1)</f>
        <v>12</v>
      </c>
      <c r="U7" s="38" cm="1">
        <f t="array" aca="1" ref="U7" ca="1">TREND($K7:$P7,$K$1:$P$1,U$1)</f>
        <v>12</v>
      </c>
      <c r="V7" s="38" cm="1">
        <f t="array" aca="1" ref="V7" ca="1">TREND($K7:$P7,$K$1:$P$1,V$1)</f>
        <v>12</v>
      </c>
      <c r="W7" s="38" cm="1">
        <f t="array" aca="1" ref="W7" ca="1">TREND($K7:$P7,$K$1:$P$1,W$1)</f>
        <v>12</v>
      </c>
      <c r="X7" s="38" cm="1">
        <f t="array" aca="1" ref="X7" ca="1">TREND($K7:$P7,$K$1:$P$1,X$1)</f>
        <v>12</v>
      </c>
      <c r="Y7" s="38" cm="1">
        <f t="array" aca="1" ref="Y7" ca="1">TREND($K7:$P7,$K$1:$P$1,Y$1)</f>
        <v>12</v>
      </c>
      <c r="Z7" s="38" cm="1">
        <f t="array" aca="1" ref="Z7" ca="1">TREND($K7:$P7,$K$1:$P$1,Z$1)</f>
        <v>12</v>
      </c>
      <c r="AA7" s="38" cm="1">
        <f t="array" aca="1" ref="AA7" ca="1">TREND($K7:$P7,$K$1:$P$1,AA$1)</f>
        <v>12</v>
      </c>
      <c r="AB7" s="38" cm="1">
        <f t="array" aca="1" ref="AB7" ca="1">TREND($K7:$P7,$K$1:$P$1,AB$1)</f>
        <v>12</v>
      </c>
      <c r="AC7" s="38" cm="1">
        <f t="array" aca="1" ref="AC7" ca="1">TREND($K7:$P7,$K$1:$P$1,AC$1)</f>
        <v>12</v>
      </c>
      <c r="AD7" s="38" cm="1">
        <f t="array" aca="1" ref="AD7" ca="1">TREND($K7:$P7,$K$1:$P$1,AD$1)</f>
        <v>12</v>
      </c>
      <c r="AE7" s="38" cm="1">
        <f t="array" aca="1" ref="AE7" ca="1">TREND($K7:$P7,$K$1:$P$1,AE$1)</f>
        <v>12</v>
      </c>
      <c r="AF7" s="38" cm="1">
        <f t="array" aca="1" ref="AF7" ca="1">TREND($K7:$P7,$K$1:$P$1,AF$1)</f>
        <v>12</v>
      </c>
      <c r="AG7" s="38" cm="1">
        <f t="array" aca="1" ref="AG7" ca="1">TREND($K7:$P7,$K$1:$P$1,AG$1)</f>
        <v>12</v>
      </c>
      <c r="AH7" s="38" cm="1">
        <f t="array" aca="1" ref="AH7" ca="1">TREND($K7:$P7,$K$1:$P$1,AH$1)</f>
        <v>12</v>
      </c>
      <c r="AI7" s="38" cm="1">
        <f t="array" aca="1" ref="AI7" ca="1">TREND($K7:$P7,$K$1:$P$1,AI$1)</f>
        <v>12</v>
      </c>
      <c r="AJ7" s="38" cm="1">
        <f t="array" aca="1" ref="AJ7" ca="1">TREND($K7:$P7,$K$1:$P$1,AJ$1)</f>
        <v>12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1.9</v>
      </c>
      <c r="C8" s="38">
        <f t="shared" ca="1" si="3"/>
        <v>1.9249999999999998</v>
      </c>
      <c r="D8" s="38">
        <f t="shared" ca="1" si="0"/>
        <v>1.95</v>
      </c>
      <c r="E8" s="38">
        <f t="shared" ca="1" si="0"/>
        <v>1.9750000000000001</v>
      </c>
      <c r="F8" s="39" cm="1">
        <f t="array" aca="1" ref="F8" ca="1">INDIRECT(CONCATENATE("'",HLOOKUP(F$1,$B$21:$E$23,3,FALSE),"'!",$B$25,ROW($A8)+5))*About!$A$27</f>
        <v>2</v>
      </c>
      <c r="G8" s="38">
        <f t="shared" ca="1" si="4"/>
        <v>2</v>
      </c>
      <c r="H8" s="38">
        <f t="shared" ca="1" si="1"/>
        <v>2</v>
      </c>
      <c r="I8" s="38">
        <f t="shared" ca="1" si="1"/>
        <v>2</v>
      </c>
      <c r="J8" s="38">
        <f t="shared" ca="1" si="1"/>
        <v>2</v>
      </c>
      <c r="K8" s="39" cm="1">
        <f t="array" aca="1" ref="K8" ca="1">INDIRECT(CONCATENATE("'",HLOOKUP(K$1,$B$21:$E$23,3,FALSE),"'!",$B$25,ROW($A8)+5))*About!$A$27</f>
        <v>2</v>
      </c>
      <c r="L8" s="38">
        <f t="shared" ca="1" si="5"/>
        <v>2.02</v>
      </c>
      <c r="M8" s="38">
        <f t="shared" ca="1" si="2"/>
        <v>2.04</v>
      </c>
      <c r="N8" s="38">
        <f t="shared" ca="1" si="2"/>
        <v>2.06</v>
      </c>
      <c r="O8" s="38">
        <f t="shared" ca="1" si="2"/>
        <v>2.08</v>
      </c>
      <c r="P8" s="39" cm="1">
        <f t="array" aca="1" ref="P8" ca="1">INDIRECT(CONCATENATE("'",HLOOKUP(P$1,$B$21:$E$23,3,FALSE),"'!",$B$25,ROW($A8)+5))*About!$A$27</f>
        <v>2.1</v>
      </c>
      <c r="Q8" s="38" cm="1">
        <f t="array" aca="1" ref="Q8" ca="1">TREND($K8:$P8,$K$1:$P$1,Q$1)</f>
        <v>2.1199999999999974</v>
      </c>
      <c r="R8" s="38" cm="1">
        <f t="array" aca="1" ref="R8" ca="1">TREND($K8:$P8,$K$1:$P$1,R$1)</f>
        <v>2.1400000000000006</v>
      </c>
      <c r="S8" s="38" cm="1">
        <f t="array" aca="1" ref="S8" ca="1">TREND($K8:$P8,$K$1:$P$1,S$1)</f>
        <v>2.1600000000000037</v>
      </c>
      <c r="T8" s="38" cm="1">
        <f t="array" aca="1" ref="T8" ca="1">TREND($K8:$P8,$K$1:$P$1,T$1)</f>
        <v>2.1799999999999997</v>
      </c>
      <c r="U8" s="38" cm="1">
        <f t="array" aca="1" ref="U8" ca="1">TREND($K8:$P8,$K$1:$P$1,U$1)</f>
        <v>2.2000000000000028</v>
      </c>
      <c r="V8" s="38" cm="1">
        <f t="array" aca="1" ref="V8" ca="1">TREND($K8:$P8,$K$1:$P$1,V$1)</f>
        <v>2.2199999999999989</v>
      </c>
      <c r="W8" s="38" cm="1">
        <f t="array" aca="1" ref="W8" ca="1">TREND($K8:$P8,$K$1:$P$1,W$1)</f>
        <v>2.240000000000002</v>
      </c>
      <c r="X8" s="38" cm="1">
        <f t="array" aca="1" ref="X8" ca="1">TREND($K8:$P8,$K$1:$P$1,X$1)</f>
        <v>2.259999999999998</v>
      </c>
      <c r="Y8" s="38" cm="1">
        <f t="array" aca="1" ref="Y8" ca="1">TREND($K8:$P8,$K$1:$P$1,Y$1)</f>
        <v>2.2800000000000011</v>
      </c>
      <c r="Z8" s="38" cm="1">
        <f t="array" aca="1" ref="Z8" ca="1">TREND($K8:$P8,$K$1:$P$1,Z$1)</f>
        <v>2.3000000000000043</v>
      </c>
      <c r="AA8" s="38" cm="1">
        <f t="array" aca="1" ref="AA8" ca="1">TREND($K8:$P8,$K$1:$P$1,AA$1)</f>
        <v>2.3200000000000003</v>
      </c>
      <c r="AB8" s="38" cm="1">
        <f t="array" aca="1" ref="AB8" ca="1">TREND($K8:$P8,$K$1:$P$1,AB$1)</f>
        <v>2.3400000000000034</v>
      </c>
      <c r="AC8" s="38" cm="1">
        <f t="array" aca="1" ref="AC8" ca="1">TREND($K8:$P8,$K$1:$P$1,AC$1)</f>
        <v>2.3599999999999994</v>
      </c>
      <c r="AD8" s="38" cm="1">
        <f t="array" aca="1" ref="AD8" ca="1">TREND($K8:$P8,$K$1:$P$1,AD$1)</f>
        <v>2.3800000000000026</v>
      </c>
      <c r="AE8" s="38" cm="1">
        <f t="array" aca="1" ref="AE8" ca="1">TREND($K8:$P8,$K$1:$P$1,AE$1)</f>
        <v>2.3999999999999986</v>
      </c>
      <c r="AF8" s="38" cm="1">
        <f t="array" aca="1" ref="AF8" ca="1">TREND($K8:$P8,$K$1:$P$1,AF$1)</f>
        <v>2.4200000000000017</v>
      </c>
      <c r="AG8" s="38" cm="1">
        <f t="array" aca="1" ref="AG8" ca="1">TREND($K8:$P8,$K$1:$P$1,AG$1)</f>
        <v>2.4399999999999977</v>
      </c>
      <c r="AH8" s="38" cm="1">
        <f t="array" aca="1" ref="AH8" ca="1">TREND($K8:$P8,$K$1:$P$1,AH$1)</f>
        <v>2.4600000000000009</v>
      </c>
      <c r="AI8" s="38" cm="1">
        <f t="array" aca="1" ref="AI8" ca="1">TREND($K8:$P8,$K$1:$P$1,AI$1)</f>
        <v>2.480000000000004</v>
      </c>
      <c r="AJ8" s="38" cm="1">
        <f t="array" aca="1" ref="AJ8" ca="1">TREND($K8:$P8,$K$1:$P$1,AJ$1)</f>
        <v>2.5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0.45</v>
      </c>
      <c r="C9" s="38">
        <f t="shared" ca="1" si="3"/>
        <v>0.45250000000000001</v>
      </c>
      <c r="D9" s="38">
        <f t="shared" ca="1" si="0"/>
        <v>0.45500000000000002</v>
      </c>
      <c r="E9" s="38">
        <f t="shared" ca="1" si="0"/>
        <v>0.45750000000000002</v>
      </c>
      <c r="F9" s="39" cm="1">
        <f t="array" aca="1" ref="F9" ca="1">INDIRECT(CONCATENATE("'",HLOOKUP(F$1,$B$21:$E$23,3,FALSE),"'!",$B$25,ROW($A9)+5))*About!$A$27</f>
        <v>0.46</v>
      </c>
      <c r="G9" s="38">
        <f t="shared" ca="1" si="4"/>
        <v>0.46400000000000002</v>
      </c>
      <c r="H9" s="38">
        <f t="shared" ca="1" si="1"/>
        <v>0.46800000000000003</v>
      </c>
      <c r="I9" s="38">
        <f t="shared" ca="1" si="1"/>
        <v>0.47199999999999998</v>
      </c>
      <c r="J9" s="38">
        <f t="shared" ca="1" si="1"/>
        <v>0.47599999999999998</v>
      </c>
      <c r="K9" s="39" cm="1">
        <f t="array" aca="1" ref="K9" ca="1">INDIRECT(CONCATENATE("'",HLOOKUP(K$1,$B$21:$E$23,3,FALSE),"'!",$B$25,ROW($A9)+5))*About!$A$27</f>
        <v>0.48</v>
      </c>
      <c r="L9" s="38">
        <f t="shared" ca="1" si="5"/>
        <v>0.48599999999999999</v>
      </c>
      <c r="M9" s="38">
        <f t="shared" ca="1" si="2"/>
        <v>0.49199999999999999</v>
      </c>
      <c r="N9" s="38">
        <f t="shared" ca="1" si="2"/>
        <v>0.498</v>
      </c>
      <c r="O9" s="38">
        <f t="shared" ca="1" si="2"/>
        <v>0.504</v>
      </c>
      <c r="P9" s="39" cm="1">
        <f t="array" aca="1" ref="P9" ca="1">INDIRECT(CONCATENATE("'",HLOOKUP(P$1,$B$21:$E$23,3,FALSE),"'!",$B$25,ROW($A9)+5))*About!$A$27</f>
        <v>0.51</v>
      </c>
      <c r="Q9" s="38" cm="1">
        <f t="array" aca="1" ref="Q9" ca="1">TREND($K9:$P9,$K$1:$P$1,Q$1)</f>
        <v>0.51599999999999824</v>
      </c>
      <c r="R9" s="38" cm="1">
        <f t="array" aca="1" ref="R9" ca="1">TREND($K9:$P9,$K$1:$P$1,R$1)</f>
        <v>0.52199999999999847</v>
      </c>
      <c r="S9" s="38" cm="1">
        <f t="array" aca="1" ref="S9" ca="1">TREND($K9:$P9,$K$1:$P$1,S$1)</f>
        <v>0.52799999999999869</v>
      </c>
      <c r="T9" s="38" cm="1">
        <f t="array" aca="1" ref="T9" ca="1">TREND($K9:$P9,$K$1:$P$1,T$1)</f>
        <v>0.53399999999999892</v>
      </c>
      <c r="U9" s="38" cm="1">
        <f t="array" aca="1" ref="U9" ca="1">TREND($K9:$P9,$K$1:$P$1,U$1)</f>
        <v>0.53999999999999915</v>
      </c>
      <c r="V9" s="38" cm="1">
        <f t="array" aca="1" ref="V9" ca="1">TREND($K9:$P9,$K$1:$P$1,V$1)</f>
        <v>0.5459999999999976</v>
      </c>
      <c r="W9" s="38" cm="1">
        <f t="array" aca="1" ref="W9" ca="1">TREND($K9:$P9,$K$1:$P$1,W$1)</f>
        <v>0.55199999999999783</v>
      </c>
      <c r="X9" s="38" cm="1">
        <f t="array" aca="1" ref="X9" ca="1">TREND($K9:$P9,$K$1:$P$1,X$1)</f>
        <v>0.55799999999999805</v>
      </c>
      <c r="Y9" s="38" cm="1">
        <f t="array" aca="1" ref="Y9" ca="1">TREND($K9:$P9,$K$1:$P$1,Y$1)</f>
        <v>0.56399999999999828</v>
      </c>
      <c r="Z9" s="38" cm="1">
        <f t="array" aca="1" ref="Z9" ca="1">TREND($K9:$P9,$K$1:$P$1,Z$1)</f>
        <v>0.56999999999999851</v>
      </c>
      <c r="AA9" s="38" cm="1">
        <f t="array" aca="1" ref="AA9" ca="1">TREND($K9:$P9,$K$1:$P$1,AA$1)</f>
        <v>0.57599999999999874</v>
      </c>
      <c r="AB9" s="38" cm="1">
        <f t="array" aca="1" ref="AB9" ca="1">TREND($K9:$P9,$K$1:$P$1,AB$1)</f>
        <v>0.58199999999999896</v>
      </c>
      <c r="AC9" s="38" cm="1">
        <f t="array" aca="1" ref="AC9" ca="1">TREND($K9:$P9,$K$1:$P$1,AC$1)</f>
        <v>0.58799999999999919</v>
      </c>
      <c r="AD9" s="38" cm="1">
        <f t="array" aca="1" ref="AD9" ca="1">TREND($K9:$P9,$K$1:$P$1,AD$1)</f>
        <v>0.59399999999999764</v>
      </c>
      <c r="AE9" s="38" cm="1">
        <f t="array" aca="1" ref="AE9" ca="1">TREND($K9:$P9,$K$1:$P$1,AE$1)</f>
        <v>0.59999999999999787</v>
      </c>
      <c r="AF9" s="38" cm="1">
        <f t="array" aca="1" ref="AF9" ca="1">TREND($K9:$P9,$K$1:$P$1,AF$1)</f>
        <v>0.6059999999999981</v>
      </c>
      <c r="AG9" s="38" cm="1">
        <f t="array" aca="1" ref="AG9" ca="1">TREND($K9:$P9,$K$1:$P$1,AG$1)</f>
        <v>0.61199999999999832</v>
      </c>
      <c r="AH9" s="38" cm="1">
        <f t="array" aca="1" ref="AH9" ca="1">TREND($K9:$P9,$K$1:$P$1,AH$1)</f>
        <v>0.61799999999999855</v>
      </c>
      <c r="AI9" s="38" cm="1">
        <f t="array" aca="1" ref="AI9" ca="1">TREND($K9:$P9,$K$1:$P$1,AI$1)</f>
        <v>0.62399999999999878</v>
      </c>
      <c r="AJ9" s="38" cm="1">
        <f t="array" aca="1" ref="AJ9" ca="1">TREND($K9:$P9,$K$1:$P$1,AJ$1)</f>
        <v>0.62999999999999901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3.7000000000000002E-3</v>
      </c>
      <c r="C10" s="38">
        <f t="shared" ca="1" si="3"/>
        <v>3.7750000000000001E-3</v>
      </c>
      <c r="D10" s="38">
        <f t="shared" ca="1" si="0"/>
        <v>3.8500000000000001E-3</v>
      </c>
      <c r="E10" s="38">
        <f t="shared" ca="1" si="0"/>
        <v>3.9249999999999997E-3</v>
      </c>
      <c r="F10" s="39" cm="1">
        <f t="array" aca="1" ref="F10" ca="1">INDIRECT(CONCATENATE("'",HLOOKUP(F$1,$B$21:$E$23,3,FALSE),"'!",$B$25,ROW($A10)+5))*About!$A$27</f>
        <v>4.0000000000000001E-3</v>
      </c>
      <c r="G10" s="38">
        <f t="shared" ca="1" si="4"/>
        <v>4.0800000000000003E-3</v>
      </c>
      <c r="H10" s="38">
        <f t="shared" ca="1" si="1"/>
        <v>4.1600000000000005E-3</v>
      </c>
      <c r="I10" s="38">
        <f t="shared" ca="1" si="1"/>
        <v>4.2399999999999998E-3</v>
      </c>
      <c r="J10" s="38">
        <f t="shared" ca="1" si="1"/>
        <v>4.3200000000000001E-3</v>
      </c>
      <c r="K10" s="39" cm="1">
        <f t="array" aca="1" ref="K10" ca="1">INDIRECT(CONCATENATE("'",HLOOKUP(K$1,$B$21:$E$23,3,FALSE),"'!",$B$25,ROW($A10)+5))*About!$A$27</f>
        <v>4.4000000000000003E-3</v>
      </c>
      <c r="L10" s="38">
        <f t="shared" ca="1" si="5"/>
        <v>4.4800000000000005E-3</v>
      </c>
      <c r="M10" s="38">
        <f t="shared" ca="1" si="2"/>
        <v>4.5599999999999998E-3</v>
      </c>
      <c r="N10" s="38">
        <f t="shared" ca="1" si="2"/>
        <v>4.64E-3</v>
      </c>
      <c r="O10" s="38">
        <f t="shared" ca="1" si="2"/>
        <v>4.7199999999999994E-3</v>
      </c>
      <c r="P10" s="39" cm="1">
        <f t="array" aca="1" ref="P10" ca="1">INDIRECT(CONCATENATE("'",HLOOKUP(P$1,$B$21:$E$23,3,FALSE),"'!",$B$25,ROW($A10)+5))*About!$A$27</f>
        <v>4.7999999999999996E-3</v>
      </c>
      <c r="Q10" s="38" cm="1">
        <f t="array" aca="1" ref="Q10" ca="1">TREND($K10:$P10,$K$1:$P$1,Q$1)</f>
        <v>4.8799999999999955E-3</v>
      </c>
      <c r="R10" s="38" cm="1">
        <f t="array" aca="1" ref="R10" ca="1">TREND($K10:$P10,$K$1:$P$1,R$1)</f>
        <v>4.9599999999999922E-3</v>
      </c>
      <c r="S10" s="38" cm="1">
        <f t="array" aca="1" ref="S10" ca="1">TREND($K10:$P10,$K$1:$P$1,S$1)</f>
        <v>5.0399999999999889E-3</v>
      </c>
      <c r="T10" s="38" cm="1">
        <f t="array" aca="1" ref="T10" ca="1">TREND($K10:$P10,$K$1:$P$1,T$1)</f>
        <v>5.1199999999999857E-3</v>
      </c>
      <c r="U10" s="38" cm="1">
        <f t="array" aca="1" ref="U10" ca="1">TREND($K10:$P10,$K$1:$P$1,U$1)</f>
        <v>5.2000000000000102E-3</v>
      </c>
      <c r="V10" s="38" cm="1">
        <f t="array" aca="1" ref="V10" ca="1">TREND($K10:$P10,$K$1:$P$1,V$1)</f>
        <v>5.2800000000000069E-3</v>
      </c>
      <c r="W10" s="38" cm="1">
        <f t="array" aca="1" ref="W10" ca="1">TREND($K10:$P10,$K$1:$P$1,W$1)</f>
        <v>5.3600000000000037E-3</v>
      </c>
      <c r="X10" s="38" cm="1">
        <f t="array" aca="1" ref="X10" ca="1">TREND($K10:$P10,$K$1:$P$1,X$1)</f>
        <v>5.4400000000000004E-3</v>
      </c>
      <c r="Y10" s="38" cm="1">
        <f t="array" aca="1" ref="Y10" ca="1">TREND($K10:$P10,$K$1:$P$1,Y$1)</f>
        <v>5.5199999999999971E-3</v>
      </c>
      <c r="Z10" s="38" cm="1">
        <f t="array" aca="1" ref="Z10" ca="1">TREND($K10:$P10,$K$1:$P$1,Z$1)</f>
        <v>5.5999999999999939E-3</v>
      </c>
      <c r="AA10" s="38" cm="1">
        <f t="array" aca="1" ref="AA10" ca="1">TREND($K10:$P10,$K$1:$P$1,AA$1)</f>
        <v>5.6799999999999906E-3</v>
      </c>
      <c r="AB10" s="38" cm="1">
        <f t="array" aca="1" ref="AB10" ca="1">TREND($K10:$P10,$K$1:$P$1,AB$1)</f>
        <v>5.7599999999999874E-3</v>
      </c>
      <c r="AC10" s="38" cm="1">
        <f t="array" aca="1" ref="AC10" ca="1">TREND($K10:$P10,$K$1:$P$1,AC$1)</f>
        <v>5.8399999999999841E-3</v>
      </c>
      <c r="AD10" s="38" cm="1">
        <f t="array" aca="1" ref="AD10" ca="1">TREND($K10:$P10,$K$1:$P$1,AD$1)</f>
        <v>5.9200000000000086E-3</v>
      </c>
      <c r="AE10" s="38" cm="1">
        <f t="array" aca="1" ref="AE10" ca="1">TREND($K10:$P10,$K$1:$P$1,AE$1)</f>
        <v>6.0000000000000053E-3</v>
      </c>
      <c r="AF10" s="38" cm="1">
        <f t="array" aca="1" ref="AF10" ca="1">TREND($K10:$P10,$K$1:$P$1,AF$1)</f>
        <v>6.0800000000000021E-3</v>
      </c>
      <c r="AG10" s="38" cm="1">
        <f t="array" aca="1" ref="AG10" ca="1">TREND($K10:$P10,$K$1:$P$1,AG$1)</f>
        <v>6.1599999999999988E-3</v>
      </c>
      <c r="AH10" s="38" cm="1">
        <f t="array" aca="1" ref="AH10" ca="1">TREND($K10:$P10,$K$1:$P$1,AH$1)</f>
        <v>6.2399999999999956E-3</v>
      </c>
      <c r="AI10" s="38" cm="1">
        <f t="array" aca="1" ref="AI10" ca="1">TREND($K10:$P10,$K$1:$P$1,AI$1)</f>
        <v>6.3199999999999923E-3</v>
      </c>
      <c r="AJ10" s="38" cm="1">
        <f t="array" aca="1" ref="AJ10" ca="1">TREND($K10:$P10,$K$1:$P$1,AJ$1)</f>
        <v>6.399999999999989E-3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3.5000000000000001E-3</v>
      </c>
      <c r="C11" s="38">
        <f t="shared" ca="1" si="3"/>
        <v>3.5750000000000001E-3</v>
      </c>
      <c r="D11" s="38">
        <f t="shared" ca="1" si="0"/>
        <v>3.65E-3</v>
      </c>
      <c r="E11" s="38">
        <f t="shared" ca="1" si="0"/>
        <v>3.725E-3</v>
      </c>
      <c r="F11" s="39" cm="1">
        <f t="array" aca="1" ref="F11" ca="1">INDIRECT(CONCATENATE("'",HLOOKUP(F$1,$B$21:$E$23,3,FALSE),"'!",$B$25,ROW($A11)+5))*About!$A$27</f>
        <v>3.8E-3</v>
      </c>
      <c r="G11" s="38">
        <f t="shared" ca="1" si="4"/>
        <v>3.8999999999999998E-3</v>
      </c>
      <c r="H11" s="38">
        <f t="shared" ca="1" si="1"/>
        <v>4.0000000000000001E-3</v>
      </c>
      <c r="I11" s="38">
        <f t="shared" ca="1" si="1"/>
        <v>4.1000000000000003E-3</v>
      </c>
      <c r="J11" s="38">
        <f t="shared" ca="1" si="1"/>
        <v>4.1999999999999997E-3</v>
      </c>
      <c r="K11" s="39" cm="1">
        <f t="array" aca="1" ref="K11" ca="1">INDIRECT(CONCATENATE("'",HLOOKUP(K$1,$B$21:$E$23,3,FALSE),"'!",$B$25,ROW($A11)+5))*About!$A$27</f>
        <v>4.3E-3</v>
      </c>
      <c r="L11" s="38">
        <f t="shared" ca="1" si="5"/>
        <v>4.3800000000000002E-3</v>
      </c>
      <c r="M11" s="38">
        <f t="shared" ca="1" si="2"/>
        <v>4.4600000000000004E-3</v>
      </c>
      <c r="N11" s="38">
        <f t="shared" ca="1" si="2"/>
        <v>4.5399999999999998E-3</v>
      </c>
      <c r="O11" s="38">
        <f t="shared" ca="1" si="2"/>
        <v>4.62E-3</v>
      </c>
      <c r="P11" s="39" cm="1">
        <f t="array" aca="1" ref="P11" ca="1">INDIRECT(CONCATENATE("'",HLOOKUP(P$1,$B$21:$E$23,3,FALSE),"'!",$B$25,ROW($A11)+5))*About!$A$27</f>
        <v>4.7000000000000002E-3</v>
      </c>
      <c r="Q11" s="38" cm="1">
        <f t="array" aca="1" ref="Q11" ca="1">TREND($K11:$P11,$K$1:$P$1,Q$1)</f>
        <v>4.7800000000000065E-3</v>
      </c>
      <c r="R11" s="38" cm="1">
        <f t="array" aca="1" ref="R11" ca="1">TREND($K11:$P11,$K$1:$P$1,R$1)</f>
        <v>4.8600000000000032E-3</v>
      </c>
      <c r="S11" s="38" cm="1">
        <f t="array" aca="1" ref="S11" ca="1">TREND($K11:$P11,$K$1:$P$1,S$1)</f>
        <v>4.9399999999999999E-3</v>
      </c>
      <c r="T11" s="38" cm="1">
        <f t="array" aca="1" ref="T11" ca="1">TREND($K11:$P11,$K$1:$P$1,T$1)</f>
        <v>5.0199999999999967E-3</v>
      </c>
      <c r="U11" s="38" cm="1">
        <f t="array" aca="1" ref="U11" ca="1">TREND($K11:$P11,$K$1:$P$1,U$1)</f>
        <v>5.0999999999999934E-3</v>
      </c>
      <c r="V11" s="38" cm="1">
        <f t="array" aca="1" ref="V11" ca="1">TREND($K11:$P11,$K$1:$P$1,V$1)</f>
        <v>5.1800000000000179E-3</v>
      </c>
      <c r="W11" s="38" cm="1">
        <f t="array" aca="1" ref="W11" ca="1">TREND($K11:$P11,$K$1:$P$1,W$1)</f>
        <v>5.2600000000000147E-3</v>
      </c>
      <c r="X11" s="38" cm="1">
        <f t="array" aca="1" ref="X11" ca="1">TREND($K11:$P11,$K$1:$P$1,X$1)</f>
        <v>5.3400000000000114E-3</v>
      </c>
      <c r="Y11" s="38" cm="1">
        <f t="array" aca="1" ref="Y11" ca="1">TREND($K11:$P11,$K$1:$P$1,Y$1)</f>
        <v>5.4200000000000081E-3</v>
      </c>
      <c r="Z11" s="38" cm="1">
        <f t="array" aca="1" ref="Z11" ca="1">TREND($K11:$P11,$K$1:$P$1,Z$1)</f>
        <v>5.5000000000000049E-3</v>
      </c>
      <c r="AA11" s="38" cm="1">
        <f t="array" aca="1" ref="AA11" ca="1">TREND($K11:$P11,$K$1:$P$1,AA$1)</f>
        <v>5.5800000000000016E-3</v>
      </c>
      <c r="AB11" s="38" cm="1">
        <f t="array" aca="1" ref="AB11" ca="1">TREND($K11:$P11,$K$1:$P$1,AB$1)</f>
        <v>5.6599999999999984E-3</v>
      </c>
      <c r="AC11" s="38" cm="1">
        <f t="array" aca="1" ref="AC11" ca="1">TREND($K11:$P11,$K$1:$P$1,AC$1)</f>
        <v>5.7399999999999951E-3</v>
      </c>
      <c r="AD11" s="38" cm="1">
        <f t="array" aca="1" ref="AD11" ca="1">TREND($K11:$P11,$K$1:$P$1,AD$1)</f>
        <v>5.8200000000000196E-3</v>
      </c>
      <c r="AE11" s="38" cm="1">
        <f t="array" aca="1" ref="AE11" ca="1">TREND($K11:$P11,$K$1:$P$1,AE$1)</f>
        <v>5.9000000000000163E-3</v>
      </c>
      <c r="AF11" s="38" cm="1">
        <f t="array" aca="1" ref="AF11" ca="1">TREND($K11:$P11,$K$1:$P$1,AF$1)</f>
        <v>5.9800000000000131E-3</v>
      </c>
      <c r="AG11" s="38" cm="1">
        <f t="array" aca="1" ref="AG11" ca="1">TREND($K11:$P11,$K$1:$P$1,AG$1)</f>
        <v>6.0600000000000098E-3</v>
      </c>
      <c r="AH11" s="38" cm="1">
        <f t="array" aca="1" ref="AH11" ca="1">TREND($K11:$P11,$K$1:$P$1,AH$1)</f>
        <v>6.1400000000000066E-3</v>
      </c>
      <c r="AI11" s="38" cm="1">
        <f t="array" aca="1" ref="AI11" ca="1">TREND($K11:$P11,$K$1:$P$1,AI$1)</f>
        <v>6.2200000000000033E-3</v>
      </c>
      <c r="AJ11" s="38" cm="1">
        <f t="array" aca="1" ref="AJ11" ca="1">TREND($K11:$P11,$K$1:$P$1,AJ$1)</f>
        <v>6.3E-3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1.66E-2</v>
      </c>
      <c r="C12" s="38">
        <f t="shared" ca="1" si="3"/>
        <v>1.6875000000000001E-2</v>
      </c>
      <c r="D12" s="38">
        <f t="shared" ca="1" si="0"/>
        <v>1.7149999999999999E-2</v>
      </c>
      <c r="E12" s="38">
        <f t="shared" ca="1" si="0"/>
        <v>1.7425E-2</v>
      </c>
      <c r="F12" s="40">
        <f ca="1">SUM(INDIRECT(CONCATENATE("'",HLOOKUP(F$1,$B$21:$E$23,3,FALSE),"'!",$B$25,ROW($A12)+5,":",$B$25,ROW($A12)+6)))*About!$A$27</f>
        <v>1.77E-2</v>
      </c>
      <c r="G12" s="38">
        <f t="shared" ca="1" si="4"/>
        <v>1.814E-2</v>
      </c>
      <c r="H12" s="38">
        <f t="shared" ca="1" si="1"/>
        <v>1.8579999999999999E-2</v>
      </c>
      <c r="I12" s="38">
        <f t="shared" ca="1" si="1"/>
        <v>1.9019999999999999E-2</v>
      </c>
      <c r="J12" s="38">
        <f t="shared" ca="1" si="1"/>
        <v>1.9459999999999998E-2</v>
      </c>
      <c r="K12" s="40">
        <f ca="1">SUM(INDIRECT(CONCATENATE("'",HLOOKUP(K$1,$B$21:$E$23,3,FALSE),"'!",$B$25,ROW($A12)+5,":",$B$25,ROW($A12)+6)))*About!$A$27</f>
        <v>1.9899999999999998E-2</v>
      </c>
      <c r="L12" s="38">
        <f t="shared" ca="1" si="5"/>
        <v>2.0139999999999998E-2</v>
      </c>
      <c r="M12" s="38">
        <f t="shared" ca="1" si="2"/>
        <v>2.0379999999999999E-2</v>
      </c>
      <c r="N12" s="38">
        <f t="shared" ca="1" si="2"/>
        <v>2.0619999999999999E-2</v>
      </c>
      <c r="O12" s="38">
        <f t="shared" ca="1" si="2"/>
        <v>2.086E-2</v>
      </c>
      <c r="P12" s="40">
        <f ca="1">SUM(INDIRECT(CONCATENATE("'",HLOOKUP(P$1,$B$21:$E$23,3,FALSE),"'!",$B$25,ROW($A12)+5,":",$B$25,ROW($A12)+6)))*About!$A$27</f>
        <v>2.1100000000000001E-2</v>
      </c>
      <c r="Q12" s="38" cm="1">
        <f t="array" aca="1" ref="Q12" ca="1">TREND($K12:$P12,$K$1:$P$1,Q$1)</f>
        <v>2.1340000000000026E-2</v>
      </c>
      <c r="R12" s="38" cm="1">
        <f t="array" aca="1" ref="R12" ca="1">TREND($K12:$P12,$K$1:$P$1,R$1)</f>
        <v>2.1580000000000044E-2</v>
      </c>
      <c r="S12" s="38" cm="1">
        <f t="array" aca="1" ref="S12" ca="1">TREND($K12:$P12,$K$1:$P$1,S$1)</f>
        <v>2.1820000000000062E-2</v>
      </c>
      <c r="T12" s="38" cm="1">
        <f t="array" aca="1" ref="T12" ca="1">TREND($K12:$P12,$K$1:$P$1,T$1)</f>
        <v>2.2060000000000024E-2</v>
      </c>
      <c r="U12" s="38" cm="1">
        <f t="array" aca="1" ref="U12" ca="1">TREND($K12:$P12,$K$1:$P$1,U$1)</f>
        <v>2.2300000000000042E-2</v>
      </c>
      <c r="V12" s="38" cm="1">
        <f t="array" aca="1" ref="V12" ca="1">TREND($K12:$P12,$K$1:$P$1,V$1)</f>
        <v>2.254000000000006E-2</v>
      </c>
      <c r="W12" s="38" cm="1">
        <f t="array" aca="1" ref="W12" ca="1">TREND($K12:$P12,$K$1:$P$1,W$1)</f>
        <v>2.2780000000000022E-2</v>
      </c>
      <c r="X12" s="38" cm="1">
        <f t="array" aca="1" ref="X12" ca="1">TREND($K12:$P12,$K$1:$P$1,X$1)</f>
        <v>2.302000000000004E-2</v>
      </c>
      <c r="Y12" s="38" cm="1">
        <f t="array" aca="1" ref="Y12" ca="1">TREND($K12:$P12,$K$1:$P$1,Y$1)</f>
        <v>2.3260000000000058E-2</v>
      </c>
      <c r="Z12" s="38" cm="1">
        <f t="array" aca="1" ref="Z12" ca="1">TREND($K12:$P12,$K$1:$P$1,Z$1)</f>
        <v>2.3500000000000021E-2</v>
      </c>
      <c r="AA12" s="38" cm="1">
        <f t="array" aca="1" ref="AA12" ca="1">TREND($K12:$P12,$K$1:$P$1,AA$1)</f>
        <v>2.3740000000000039E-2</v>
      </c>
      <c r="AB12" s="38" cm="1">
        <f t="array" aca="1" ref="AB12" ca="1">TREND($K12:$P12,$K$1:$P$1,AB$1)</f>
        <v>2.3980000000000057E-2</v>
      </c>
      <c r="AC12" s="38" cm="1">
        <f t="array" aca="1" ref="AC12" ca="1">TREND($K12:$P12,$K$1:$P$1,AC$1)</f>
        <v>2.4220000000000075E-2</v>
      </c>
      <c r="AD12" s="38" cm="1">
        <f t="array" aca="1" ref="AD12" ca="1">TREND($K12:$P12,$K$1:$P$1,AD$1)</f>
        <v>2.4460000000000037E-2</v>
      </c>
      <c r="AE12" s="38" cm="1">
        <f t="array" aca="1" ref="AE12" ca="1">TREND($K12:$P12,$K$1:$P$1,AE$1)</f>
        <v>2.4700000000000055E-2</v>
      </c>
      <c r="AF12" s="38" cm="1">
        <f t="array" aca="1" ref="AF12" ca="1">TREND($K12:$P12,$K$1:$P$1,AF$1)</f>
        <v>2.4940000000000073E-2</v>
      </c>
      <c r="AG12" s="38" cm="1">
        <f t="array" aca="1" ref="AG12" ca="1">TREND($K12:$P12,$K$1:$P$1,AG$1)</f>
        <v>2.5180000000000036E-2</v>
      </c>
      <c r="AH12" s="38" cm="1">
        <f t="array" aca="1" ref="AH12" ca="1">TREND($K12:$P12,$K$1:$P$1,AH$1)</f>
        <v>2.5420000000000054E-2</v>
      </c>
      <c r="AI12" s="38" cm="1">
        <f t="array" aca="1" ref="AI12" ca="1">TREND($K12:$P12,$K$1:$P$1,AI$1)</f>
        <v>2.5660000000000072E-2</v>
      </c>
      <c r="AJ12" s="38" cm="1">
        <f t="array" aca="1" ref="AJ12" ca="1">TREND($K12:$P12,$K$1:$P$1,AJ$1)</f>
        <v>2.5900000000000034E-2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HOIpTP-electricity-PM25</v>
      </c>
    </row>
    <row r="18" spans="1:5" x14ac:dyDescent="0.25">
      <c r="A18" t="s">
        <v>114</v>
      </c>
      <c r="B18" t="str">
        <f ca="1">RIGHT(B17,LEN(B17)-7)</f>
        <v>electricity-PM25</v>
      </c>
    </row>
    <row r="19" spans="1:5" x14ac:dyDescent="0.25">
      <c r="A19" t="s">
        <v>115</v>
      </c>
      <c r="B19" t="str">
        <f ca="1">LEFT(B18,FIND("-",B18)-1)</f>
        <v>electricity</v>
      </c>
    </row>
    <row r="20" spans="1:5" x14ac:dyDescent="0.25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16</v>
      </c>
      <c r="C22" s="32">
        <f ca="1">VLOOKUP($B$20,Mappings!$A$3:$E$19,COLUMN(Mappings!C$2),FALSE)</f>
        <v>33</v>
      </c>
      <c r="D22" s="32">
        <f ca="1">VLOOKUP($B$20,Mappings!$A$3:$E$19,COLUMN(Mappings!D$2),FALSE)</f>
        <v>50</v>
      </c>
      <c r="E22" s="33">
        <f ca="1">VLOOKUP($B$20,Mappings!$A$3:$E$19,COLUMN(Mappings!E$2),FALSE)</f>
        <v>67</v>
      </c>
    </row>
    <row r="23" spans="1:5" x14ac:dyDescent="0.25">
      <c r="A23" s="34" t="s">
        <v>113</v>
      </c>
      <c r="B23" s="35" t="str">
        <f ca="1">CONCATENATE("Table ",B22)</f>
        <v>Table 16</v>
      </c>
      <c r="C23" s="35" t="str">
        <f ca="1">CONCATENATE("Table ",C22)</f>
        <v>Table 33</v>
      </c>
      <c r="D23" s="35" t="str">
        <f ca="1">CONCATENATE("Table ",D22)</f>
        <v>Table 50</v>
      </c>
      <c r="E23" s="36" t="str">
        <f ca="1">CONCATENATE("Table ",E22)</f>
        <v>Table 67</v>
      </c>
    </row>
    <row r="24" spans="1:5" x14ac:dyDescent="0.25">
      <c r="A24" t="s">
        <v>116</v>
      </c>
      <c r="B24" t="str">
        <f ca="1">REPLACE(B18,1,FIND("-",B18),"")</f>
        <v>PM25</v>
      </c>
    </row>
    <row r="25" spans="1:5" x14ac:dyDescent="0.25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62B5-33CE-4B66-9A5D-6B3794AE90D6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4.4000000000000003E-3</v>
      </c>
      <c r="C2" s="38">
        <f ca="1">$B2+($F2-$B2)*(C$1-$B$1)/($F$1-$B$1)</f>
        <v>4.4250000000000001E-3</v>
      </c>
      <c r="D2" s="38">
        <f t="shared" ref="D2:E12" ca="1" si="0">$B2+($F2-$B2)*(D$1-$B$1)/($F$1-$B$1)</f>
        <v>4.45E-3</v>
      </c>
      <c r="E2" s="38">
        <f t="shared" ca="1" si="0"/>
        <v>4.4749999999999998E-3</v>
      </c>
      <c r="F2" s="37" cm="1">
        <f t="array" aca="1" ref="F2" ca="1">INDIRECT(CONCATENATE("'",HLOOKUP(F$1,$B$21:$E$23,3,FALSE),"'!",$B$25,ROW($A2)+3))*About!$A$27</f>
        <v>4.4999999999999997E-3</v>
      </c>
      <c r="G2" s="38">
        <f ca="1">$F2+($K2-$F2)*(G$1-$F$1)/($K$1-$F$1)</f>
        <v>4.5599999999999998E-3</v>
      </c>
      <c r="H2" s="38">
        <f t="shared" ref="H2:J12" ca="1" si="1">$F2+($K2-$F2)*(H$1-$F$1)/($K$1-$F$1)</f>
        <v>4.62E-3</v>
      </c>
      <c r="I2" s="38">
        <f t="shared" ca="1" si="1"/>
        <v>4.6799999999999993E-3</v>
      </c>
      <c r="J2" s="38">
        <f t="shared" ca="1" si="1"/>
        <v>4.7399999999999994E-3</v>
      </c>
      <c r="K2" s="37" cm="1">
        <f t="array" aca="1" ref="K2" ca="1">INDIRECT(CONCATENATE("'",HLOOKUP(K$1,$B$21:$E$23,3,FALSE),"'!",$B$25,ROW($A2)+3))*About!$A$27</f>
        <v>4.7999999999999996E-3</v>
      </c>
      <c r="L2" s="38">
        <f ca="1">$K2+($P2-$K2)*(L$1-$K$1)/($P$1-$K$1)</f>
        <v>4.8599999999999997E-3</v>
      </c>
      <c r="M2" s="38">
        <f t="shared" ref="M2:O12" ca="1" si="2">$K2+($P2-$K2)*(M$1-$K$1)/($P$1-$K$1)</f>
        <v>4.9199999999999999E-3</v>
      </c>
      <c r="N2" s="38">
        <f t="shared" ca="1" si="2"/>
        <v>4.9800000000000001E-3</v>
      </c>
      <c r="O2" s="38">
        <f t="shared" ca="1" si="2"/>
        <v>5.0400000000000002E-3</v>
      </c>
      <c r="P2" s="37" cm="1">
        <f t="array" aca="1" ref="P2" ca="1">INDIRECT(CONCATENATE("'",HLOOKUP(P$1,$B$21:$E$23,3,FALSE),"'!",$B$25,ROW($A2)+3))*About!$A$27</f>
        <v>5.1000000000000004E-3</v>
      </c>
      <c r="Q2" s="38" cm="1">
        <f t="array" aca="1" ref="Q2" ca="1">TREND($K2:$P2,$K$1:$P$1,Q$1)</f>
        <v>5.1599999999999979E-3</v>
      </c>
      <c r="R2" s="38" cm="1">
        <f t="array" aca="1" ref="R2" ca="1">TREND($K2:$P2,$K$1:$P$1,R$1)</f>
        <v>5.2200000000000024E-3</v>
      </c>
      <c r="S2" s="38" cm="1">
        <f t="array" aca="1" ref="S2" ca="1">TREND($K2:$P2,$K$1:$P$1,S$1)</f>
        <v>5.2800000000000069E-3</v>
      </c>
      <c r="T2" s="38" cm="1">
        <f t="array" aca="1" ref="T2" ca="1">TREND($K2:$P2,$K$1:$P$1,T$1)</f>
        <v>5.3399999999999975E-3</v>
      </c>
      <c r="U2" s="38" cm="1">
        <f t="array" aca="1" ref="U2" ca="1">TREND($K2:$P2,$K$1:$P$1,U$1)</f>
        <v>5.400000000000002E-3</v>
      </c>
      <c r="V2" s="38" cm="1">
        <f t="array" aca="1" ref="V2" ca="1">TREND($K2:$P2,$K$1:$P$1,V$1)</f>
        <v>5.4600000000000065E-3</v>
      </c>
      <c r="W2" s="38" cm="1">
        <f t="array" aca="1" ref="W2" ca="1">TREND($K2:$P2,$K$1:$P$1,W$1)</f>
        <v>5.5199999999999971E-3</v>
      </c>
      <c r="X2" s="38" cm="1">
        <f t="array" aca="1" ref="X2" ca="1">TREND($K2:$P2,$K$1:$P$1,X$1)</f>
        <v>5.5800000000000016E-3</v>
      </c>
      <c r="Y2" s="38" cm="1">
        <f t="array" aca="1" ref="Y2" ca="1">TREND($K2:$P2,$K$1:$P$1,Y$1)</f>
        <v>5.6400000000000061E-3</v>
      </c>
      <c r="Z2" s="38" cm="1">
        <f t="array" aca="1" ref="Z2" ca="1">TREND($K2:$P2,$K$1:$P$1,Z$1)</f>
        <v>5.6999999999999967E-3</v>
      </c>
      <c r="AA2" s="38" cm="1">
        <f t="array" aca="1" ref="AA2" ca="1">TREND($K2:$P2,$K$1:$P$1,AA$1)</f>
        <v>5.7600000000000012E-3</v>
      </c>
      <c r="AB2" s="38" cm="1">
        <f t="array" aca="1" ref="AB2" ca="1">TREND($K2:$P2,$K$1:$P$1,AB$1)</f>
        <v>5.8200000000000057E-3</v>
      </c>
      <c r="AC2" s="38" cm="1">
        <f t="array" aca="1" ref="AC2" ca="1">TREND($K2:$P2,$K$1:$P$1,AC$1)</f>
        <v>5.8800000000000102E-3</v>
      </c>
      <c r="AD2" s="38" cm="1">
        <f t="array" aca="1" ref="AD2" ca="1">TREND($K2:$P2,$K$1:$P$1,AD$1)</f>
        <v>5.9400000000000008E-3</v>
      </c>
      <c r="AE2" s="38" cm="1">
        <f t="array" aca="1" ref="AE2" ca="1">TREND($K2:$P2,$K$1:$P$1,AE$1)</f>
        <v>6.0000000000000053E-3</v>
      </c>
      <c r="AF2" s="38" cm="1">
        <f t="array" aca="1" ref="AF2" ca="1">TREND($K2:$P2,$K$1:$P$1,AF$1)</f>
        <v>6.0600000000000098E-3</v>
      </c>
      <c r="AG2" s="38" cm="1">
        <f t="array" aca="1" ref="AG2" ca="1">TREND($K2:$P2,$K$1:$P$1,AG$1)</f>
        <v>6.1200000000000004E-3</v>
      </c>
      <c r="AH2" s="38" cm="1">
        <f t="array" aca="1" ref="AH2" ca="1">TREND($K2:$P2,$K$1:$P$1,AH$1)</f>
        <v>6.1800000000000049E-3</v>
      </c>
      <c r="AI2" s="38" cm="1">
        <f t="array" aca="1" ref="AI2" ca="1">TREND($K2:$P2,$K$1:$P$1,AI$1)</f>
        <v>6.2400000000000094E-3</v>
      </c>
      <c r="AJ2" s="38" cm="1">
        <f t="array" aca="1" ref="AJ2" ca="1">TREND($K2:$P2,$K$1:$P$1,AJ$1)</f>
        <v>6.3E-3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2.2000000000000001E-3</v>
      </c>
      <c r="C3" s="38">
        <f t="shared" ref="C3:C12" ca="1" si="3">$B3+($F3-$B3)*(C$1-$B$1)/($F$1-$B$1)</f>
        <v>2.2000000000000001E-3</v>
      </c>
      <c r="D3" s="38">
        <f t="shared" ca="1" si="0"/>
        <v>2.2000000000000001E-3</v>
      </c>
      <c r="E3" s="38">
        <f t="shared" ca="1" si="0"/>
        <v>2.2000000000000001E-3</v>
      </c>
      <c r="F3" s="39" cm="1">
        <f t="array" aca="1" ref="F3" ca="1">INDIRECT(CONCATENATE("'",HLOOKUP(F$1,$B$21:$E$23,3,FALSE),"'!",$B$25,ROW($A3)+5))*About!$A$27</f>
        <v>2.2000000000000001E-3</v>
      </c>
      <c r="G3" s="38">
        <f t="shared" ref="G3:G12" ca="1" si="4">$F3+($K3-$F3)*(G$1-$F$1)/($K$1-$F$1)</f>
        <v>2.2200000000000002E-3</v>
      </c>
      <c r="H3" s="38">
        <f t="shared" ca="1" si="1"/>
        <v>2.2400000000000002E-3</v>
      </c>
      <c r="I3" s="38">
        <f t="shared" ca="1" si="1"/>
        <v>2.2599999999999999E-3</v>
      </c>
      <c r="J3" s="38">
        <f t="shared" ca="1" si="1"/>
        <v>2.2799999999999999E-3</v>
      </c>
      <c r="K3" s="39" cm="1">
        <f t="array" aca="1" ref="K3" ca="1">INDIRECT(CONCATENATE("'",HLOOKUP(K$1,$B$21:$E$23,3,FALSE),"'!",$B$25,ROW($A3)+5))*About!$A$27</f>
        <v>2.3E-3</v>
      </c>
      <c r="L3" s="38">
        <f t="shared" ref="L3:L12" ca="1" si="5">$K3+($P3-$K3)*(L$1-$K$1)/($P$1-$K$1)</f>
        <v>2.32E-3</v>
      </c>
      <c r="M3" s="38">
        <f t="shared" ca="1" si="2"/>
        <v>2.3400000000000001E-3</v>
      </c>
      <c r="N3" s="38">
        <f t="shared" ca="1" si="2"/>
        <v>2.3599999999999997E-3</v>
      </c>
      <c r="O3" s="38">
        <f t="shared" ca="1" si="2"/>
        <v>2.3799999999999997E-3</v>
      </c>
      <c r="P3" s="39" cm="1">
        <f t="array" aca="1" ref="P3" ca="1">INDIRECT(CONCATENATE("'",HLOOKUP(P$1,$B$21:$E$23,3,FALSE),"'!",$B$25,ROW($A3)+5))*About!$A$27</f>
        <v>2.3999999999999998E-3</v>
      </c>
      <c r="Q3" s="38" cm="1">
        <f t="array" aca="1" ref="Q3" ca="1">TREND($K3:$P3,$K$1:$P$1,Q$1)</f>
        <v>2.4199999999999985E-3</v>
      </c>
      <c r="R3" s="38" cm="1">
        <f t="array" aca="1" ref="R3" ca="1">TREND($K3:$P3,$K$1:$P$1,R$1)</f>
        <v>2.4399999999999977E-3</v>
      </c>
      <c r="S3" s="38" cm="1">
        <f t="array" aca="1" ref="S3" ca="1">TREND($K3:$P3,$K$1:$P$1,S$1)</f>
        <v>2.4599999999999969E-3</v>
      </c>
      <c r="T3" s="38" cm="1">
        <f t="array" aca="1" ref="T3" ca="1">TREND($K3:$P3,$K$1:$P$1,T$1)</f>
        <v>2.4799999999999961E-3</v>
      </c>
      <c r="U3" s="38" cm="1">
        <f t="array" aca="1" ref="U3" ca="1">TREND($K3:$P3,$K$1:$P$1,U$1)</f>
        <v>2.5000000000000022E-3</v>
      </c>
      <c r="V3" s="38" cm="1">
        <f t="array" aca="1" ref="V3" ca="1">TREND($K3:$P3,$K$1:$P$1,V$1)</f>
        <v>2.5200000000000014E-3</v>
      </c>
      <c r="W3" s="38" cm="1">
        <f t="array" aca="1" ref="W3" ca="1">TREND($K3:$P3,$K$1:$P$1,W$1)</f>
        <v>2.5400000000000006E-3</v>
      </c>
      <c r="X3" s="38" cm="1">
        <f t="array" aca="1" ref="X3" ca="1">TREND($K3:$P3,$K$1:$P$1,X$1)</f>
        <v>2.5599999999999998E-3</v>
      </c>
      <c r="Y3" s="38" cm="1">
        <f t="array" aca="1" ref="Y3" ca="1">TREND($K3:$P3,$K$1:$P$1,Y$1)</f>
        <v>2.579999999999999E-3</v>
      </c>
      <c r="Z3" s="38" cm="1">
        <f t="array" aca="1" ref="Z3" ca="1">TREND($K3:$P3,$K$1:$P$1,Z$1)</f>
        <v>2.5999999999999981E-3</v>
      </c>
      <c r="AA3" s="38" cm="1">
        <f t="array" aca="1" ref="AA3" ca="1">TREND($K3:$P3,$K$1:$P$1,AA$1)</f>
        <v>2.6199999999999973E-3</v>
      </c>
      <c r="AB3" s="38" cm="1">
        <f t="array" aca="1" ref="AB3" ca="1">TREND($K3:$P3,$K$1:$P$1,AB$1)</f>
        <v>2.6399999999999965E-3</v>
      </c>
      <c r="AC3" s="38" cm="1">
        <f t="array" aca="1" ref="AC3" ca="1">TREND($K3:$P3,$K$1:$P$1,AC$1)</f>
        <v>2.6599999999999957E-3</v>
      </c>
      <c r="AD3" s="38" cm="1">
        <f t="array" aca="1" ref="AD3" ca="1">TREND($K3:$P3,$K$1:$P$1,AD$1)</f>
        <v>2.6800000000000018E-3</v>
      </c>
      <c r="AE3" s="38" cm="1">
        <f t="array" aca="1" ref="AE3" ca="1">TREND($K3:$P3,$K$1:$P$1,AE$1)</f>
        <v>2.700000000000001E-3</v>
      </c>
      <c r="AF3" s="38" cm="1">
        <f t="array" aca="1" ref="AF3" ca="1">TREND($K3:$P3,$K$1:$P$1,AF$1)</f>
        <v>2.7200000000000002E-3</v>
      </c>
      <c r="AG3" s="38" cm="1">
        <f t="array" aca="1" ref="AG3" ca="1">TREND($K3:$P3,$K$1:$P$1,AG$1)</f>
        <v>2.7399999999999994E-3</v>
      </c>
      <c r="AH3" s="38" cm="1">
        <f t="array" aca="1" ref="AH3" ca="1">TREND($K3:$P3,$K$1:$P$1,AH$1)</f>
        <v>2.7599999999999986E-3</v>
      </c>
      <c r="AI3" s="38" cm="1">
        <f t="array" aca="1" ref="AI3" ca="1">TREND($K3:$P3,$K$1:$P$1,AI$1)</f>
        <v>2.7799999999999978E-3</v>
      </c>
      <c r="AJ3" s="38" cm="1">
        <f t="array" aca="1" ref="AJ3" ca="1">TREND($K3:$P3,$K$1:$P$1,AJ$1)</f>
        <v>2.7999999999999969E-3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5.4000000000000003E-3</v>
      </c>
      <c r="C4" s="38">
        <f t="shared" ca="1" si="3"/>
        <v>5.4250000000000001E-3</v>
      </c>
      <c r="D4" s="38">
        <f t="shared" ca="1" si="0"/>
        <v>5.45E-3</v>
      </c>
      <c r="E4" s="38">
        <f t="shared" ca="1" si="0"/>
        <v>5.4749999999999998E-3</v>
      </c>
      <c r="F4" s="39" cm="1">
        <f t="array" aca="1" ref="F4" ca="1">INDIRECT(CONCATENATE("'",HLOOKUP(F$1,$B$21:$E$23,3,FALSE),"'!",$B$25,ROW($A4)+5))*About!$A$27</f>
        <v>5.4999999999999997E-3</v>
      </c>
      <c r="G4" s="38">
        <f t="shared" ca="1" si="4"/>
        <v>5.5399999999999998E-3</v>
      </c>
      <c r="H4" s="38">
        <f t="shared" ca="1" si="1"/>
        <v>5.5799999999999999E-3</v>
      </c>
      <c r="I4" s="38">
        <f t="shared" ca="1" si="1"/>
        <v>5.62E-3</v>
      </c>
      <c r="J4" s="38">
        <f t="shared" ca="1" si="1"/>
        <v>5.6600000000000001E-3</v>
      </c>
      <c r="K4" s="39" cm="1">
        <f t="array" aca="1" ref="K4" ca="1">INDIRECT(CONCATENATE("'",HLOOKUP(K$1,$B$21:$E$23,3,FALSE),"'!",$B$25,ROW($A4)+5))*About!$A$27</f>
        <v>5.7000000000000002E-3</v>
      </c>
      <c r="L4" s="38">
        <f t="shared" ca="1" si="5"/>
        <v>5.8000000000000005E-3</v>
      </c>
      <c r="M4" s="38">
        <f t="shared" ca="1" si="2"/>
        <v>5.8999999999999999E-3</v>
      </c>
      <c r="N4" s="38">
        <f t="shared" ca="1" si="2"/>
        <v>6.0000000000000001E-3</v>
      </c>
      <c r="O4" s="38">
        <f t="shared" ca="1" si="2"/>
        <v>6.0999999999999995E-3</v>
      </c>
      <c r="P4" s="39" cm="1">
        <f t="array" aca="1" ref="P4" ca="1">INDIRECT(CONCATENATE("'",HLOOKUP(P$1,$B$21:$E$23,3,FALSE),"'!",$B$25,ROW($A4)+5))*About!$A$27</f>
        <v>6.1999999999999998E-3</v>
      </c>
      <c r="Q4" s="38" cm="1">
        <f t="array" aca="1" ref="Q4" ca="1">TREND($K4:$P4,$K$1:$P$1,Q$1)</f>
        <v>6.3E-3</v>
      </c>
      <c r="R4" s="38" cm="1">
        <f t="array" aca="1" ref="R4" ca="1">TREND($K4:$P4,$K$1:$P$1,R$1)</f>
        <v>6.4000000000000168E-3</v>
      </c>
      <c r="S4" s="38" cm="1">
        <f t="array" aca="1" ref="S4" ca="1">TREND($K4:$P4,$K$1:$P$1,S$1)</f>
        <v>6.5000000000000058E-3</v>
      </c>
      <c r="T4" s="38" cm="1">
        <f t="array" aca="1" ref="T4" ca="1">TREND($K4:$P4,$K$1:$P$1,T$1)</f>
        <v>6.6000000000000225E-3</v>
      </c>
      <c r="U4" s="38" cm="1">
        <f t="array" aca="1" ref="U4" ca="1">TREND($K4:$P4,$K$1:$P$1,U$1)</f>
        <v>6.7000000000000115E-3</v>
      </c>
      <c r="V4" s="38" cm="1">
        <f t="array" aca="1" ref="V4" ca="1">TREND($K4:$P4,$K$1:$P$1,V$1)</f>
        <v>6.8000000000000005E-3</v>
      </c>
      <c r="W4" s="38" cm="1">
        <f t="array" aca="1" ref="W4" ca="1">TREND($K4:$P4,$K$1:$P$1,W$1)</f>
        <v>6.9000000000000172E-3</v>
      </c>
      <c r="X4" s="38" cm="1">
        <f t="array" aca="1" ref="X4" ca="1">TREND($K4:$P4,$K$1:$P$1,X$1)</f>
        <v>7.0000000000000062E-3</v>
      </c>
      <c r="Y4" s="38" cm="1">
        <f t="array" aca="1" ref="Y4" ca="1">TREND($K4:$P4,$K$1:$P$1,Y$1)</f>
        <v>7.0999999999999952E-3</v>
      </c>
      <c r="Z4" s="38" cm="1">
        <f t="array" aca="1" ref="Z4" ca="1">TREND($K4:$P4,$K$1:$P$1,Z$1)</f>
        <v>7.2000000000000119E-3</v>
      </c>
      <c r="AA4" s="38" cm="1">
        <f t="array" aca="1" ref="AA4" ca="1">TREND($K4:$P4,$K$1:$P$1,AA$1)</f>
        <v>7.3000000000000009E-3</v>
      </c>
      <c r="AB4" s="38" cm="1">
        <f t="array" aca="1" ref="AB4" ca="1">TREND($K4:$P4,$K$1:$P$1,AB$1)</f>
        <v>7.4000000000000177E-3</v>
      </c>
      <c r="AC4" s="38" cm="1">
        <f t="array" aca="1" ref="AC4" ca="1">TREND($K4:$P4,$K$1:$P$1,AC$1)</f>
        <v>7.5000000000000067E-3</v>
      </c>
      <c r="AD4" s="38" cm="1">
        <f t="array" aca="1" ref="AD4" ca="1">TREND($K4:$P4,$K$1:$P$1,AD$1)</f>
        <v>7.5999999999999956E-3</v>
      </c>
      <c r="AE4" s="38" cm="1">
        <f t="array" aca="1" ref="AE4" ca="1">TREND($K4:$P4,$K$1:$P$1,AE$1)</f>
        <v>7.7000000000000124E-3</v>
      </c>
      <c r="AF4" s="38" cm="1">
        <f t="array" aca="1" ref="AF4" ca="1">TREND($K4:$P4,$K$1:$P$1,AF$1)</f>
        <v>7.8000000000000014E-3</v>
      </c>
      <c r="AG4" s="38" cm="1">
        <f t="array" aca="1" ref="AG4" ca="1">TREND($K4:$P4,$K$1:$P$1,AG$1)</f>
        <v>7.9000000000000181E-3</v>
      </c>
      <c r="AH4" s="38" cm="1">
        <f t="array" aca="1" ref="AH4" ca="1">TREND($K4:$P4,$K$1:$P$1,AH$1)</f>
        <v>8.0000000000000071E-3</v>
      </c>
      <c r="AI4" s="38" cm="1">
        <f t="array" aca="1" ref="AI4" ca="1">TREND($K4:$P4,$K$1:$P$1,AI$1)</f>
        <v>8.0999999999999961E-3</v>
      </c>
      <c r="AJ4" s="38" cm="1">
        <f t="array" aca="1" ref="AJ4" ca="1">TREND($K4:$P4,$K$1:$P$1,AJ$1)</f>
        <v>8.2000000000000128E-3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7.0000000000000007E-2</v>
      </c>
      <c r="C5" s="38">
        <f t="shared" ca="1" si="3"/>
        <v>7.0000000000000007E-2</v>
      </c>
      <c r="D5" s="38">
        <f t="shared" ca="1" si="0"/>
        <v>7.0000000000000007E-2</v>
      </c>
      <c r="E5" s="38">
        <f t="shared" ca="1" si="0"/>
        <v>7.0000000000000007E-2</v>
      </c>
      <c r="F5" s="39" cm="1">
        <f t="array" aca="1" ref="F5" ca="1">INDIRECT(CONCATENATE("'",HLOOKUP(F$1,$B$21:$E$23,3,FALSE),"'!",$B$25,ROW($A5)+5))*About!$A$27</f>
        <v>7.0000000000000007E-2</v>
      </c>
      <c r="G5" s="38">
        <f t="shared" ca="1" si="4"/>
        <v>7.060000000000001E-2</v>
      </c>
      <c r="H5" s="38">
        <f t="shared" ca="1" si="1"/>
        <v>7.1199999999999999E-2</v>
      </c>
      <c r="I5" s="38">
        <f t="shared" ca="1" si="1"/>
        <v>7.1800000000000003E-2</v>
      </c>
      <c r="J5" s="38">
        <f t="shared" ca="1" si="1"/>
        <v>7.2399999999999992E-2</v>
      </c>
      <c r="K5" s="39" cm="1">
        <f t="array" aca="1" ref="K5" ca="1">INDIRECT(CONCATENATE("'",HLOOKUP(K$1,$B$21:$E$23,3,FALSE),"'!",$B$25,ROW($A5)+5))*About!$A$27</f>
        <v>7.2999999999999995E-2</v>
      </c>
      <c r="L5" s="38">
        <f t="shared" ca="1" si="5"/>
        <v>7.4200000000000002E-2</v>
      </c>
      <c r="M5" s="38">
        <f t="shared" ca="1" si="2"/>
        <v>7.5399999999999995E-2</v>
      </c>
      <c r="N5" s="38">
        <f t="shared" ca="1" si="2"/>
        <v>7.6600000000000001E-2</v>
      </c>
      <c r="O5" s="38">
        <f t="shared" ca="1" si="2"/>
        <v>7.7799999999999994E-2</v>
      </c>
      <c r="P5" s="39" cm="1">
        <f t="array" aca="1" ref="P5" ca="1">INDIRECT(CONCATENATE("'",HLOOKUP(P$1,$B$21:$E$23,3,FALSE),"'!",$B$25,ROW($A5)+5))*About!$A$27</f>
        <v>7.9000000000000001E-2</v>
      </c>
      <c r="Q5" s="38" cm="1">
        <f t="array" aca="1" ref="Q5" ca="1">TREND($K5:$P5,$K$1:$P$1,Q$1)</f>
        <v>8.0200000000000049E-2</v>
      </c>
      <c r="R5" s="38" cm="1">
        <f t="array" aca="1" ref="R5" ca="1">TREND($K5:$P5,$K$1:$P$1,R$1)</f>
        <v>8.1399999999999917E-2</v>
      </c>
      <c r="S5" s="38" cm="1">
        <f t="array" aca="1" ref="S5" ca="1">TREND($K5:$P5,$K$1:$P$1,S$1)</f>
        <v>8.2600000000000229E-2</v>
      </c>
      <c r="T5" s="38" cm="1">
        <f t="array" aca="1" ref="T5" ca="1">TREND($K5:$P5,$K$1:$P$1,T$1)</f>
        <v>8.3800000000000097E-2</v>
      </c>
      <c r="U5" s="38" cm="1">
        <f t="array" aca="1" ref="U5" ca="1">TREND($K5:$P5,$K$1:$P$1,U$1)</f>
        <v>8.4999999999999964E-2</v>
      </c>
      <c r="V5" s="38" cm="1">
        <f t="array" aca="1" ref="V5" ca="1">TREND($K5:$P5,$K$1:$P$1,V$1)</f>
        <v>8.6199999999999832E-2</v>
      </c>
      <c r="W5" s="38" cm="1">
        <f t="array" aca="1" ref="W5" ca="1">TREND($K5:$P5,$K$1:$P$1,W$1)</f>
        <v>8.7400000000000144E-2</v>
      </c>
      <c r="X5" s="38" cm="1">
        <f t="array" aca="1" ref="X5" ca="1">TREND($K5:$P5,$K$1:$P$1,X$1)</f>
        <v>8.8600000000000012E-2</v>
      </c>
      <c r="Y5" s="38" cm="1">
        <f t="array" aca="1" ref="Y5" ca="1">TREND($K5:$P5,$K$1:$P$1,Y$1)</f>
        <v>8.979999999999988E-2</v>
      </c>
      <c r="Z5" s="38" cm="1">
        <f t="array" aca="1" ref="Z5" ca="1">TREND($K5:$P5,$K$1:$P$1,Z$1)</f>
        <v>9.1000000000000192E-2</v>
      </c>
      <c r="AA5" s="38" cm="1">
        <f t="array" aca="1" ref="AA5" ca="1">TREND($K5:$P5,$K$1:$P$1,AA$1)</f>
        <v>9.220000000000006E-2</v>
      </c>
      <c r="AB5" s="38" cm="1">
        <f t="array" aca="1" ref="AB5" ca="1">TREND($K5:$P5,$K$1:$P$1,AB$1)</f>
        <v>9.3399999999999928E-2</v>
      </c>
      <c r="AC5" s="38" cm="1">
        <f t="array" aca="1" ref="AC5" ca="1">TREND($K5:$P5,$K$1:$P$1,AC$1)</f>
        <v>9.4600000000000239E-2</v>
      </c>
      <c r="AD5" s="38" cm="1">
        <f t="array" aca="1" ref="AD5" ca="1">TREND($K5:$P5,$K$1:$P$1,AD$1)</f>
        <v>9.5800000000000107E-2</v>
      </c>
      <c r="AE5" s="38" cm="1">
        <f t="array" aca="1" ref="AE5" ca="1">TREND($K5:$P5,$K$1:$P$1,AE$1)</f>
        <v>9.6999999999999975E-2</v>
      </c>
      <c r="AF5" s="38" cm="1">
        <f t="array" aca="1" ref="AF5" ca="1">TREND($K5:$P5,$K$1:$P$1,AF$1)</f>
        <v>9.8199999999999843E-2</v>
      </c>
      <c r="AG5" s="38" cm="1">
        <f t="array" aca="1" ref="AG5" ca="1">TREND($K5:$P5,$K$1:$P$1,AG$1)</f>
        <v>9.9400000000000155E-2</v>
      </c>
      <c r="AH5" s="38" cm="1">
        <f t="array" aca="1" ref="AH5" ca="1">TREND($K5:$P5,$K$1:$P$1,AH$1)</f>
        <v>0.10060000000000002</v>
      </c>
      <c r="AI5" s="38" cm="1">
        <f t="array" aca="1" ref="AI5" ca="1">TREND($K5:$P5,$K$1:$P$1,AI$1)</f>
        <v>0.10179999999999989</v>
      </c>
      <c r="AJ5" s="38" cm="1">
        <f t="array" aca="1" ref="AJ5" ca="1">TREND($K5:$P5,$K$1:$P$1,AJ$1)</f>
        <v>0.1030000000000002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0.1</v>
      </c>
      <c r="C6" s="38">
        <f t="shared" ca="1" si="3"/>
        <v>0.1</v>
      </c>
      <c r="D6" s="38">
        <f t="shared" ca="1" si="0"/>
        <v>0.1</v>
      </c>
      <c r="E6" s="38">
        <f t="shared" ca="1" si="0"/>
        <v>0.1</v>
      </c>
      <c r="F6" s="39" cm="1">
        <f t="array" aca="1" ref="F6" ca="1">INDIRECT(CONCATENATE("'",HLOOKUP(F$1,$B$21:$E$23,3,FALSE),"'!",$B$25,ROW($A6)+5))*About!$A$27</f>
        <v>0.1</v>
      </c>
      <c r="G6" s="38">
        <f t="shared" ca="1" si="4"/>
        <v>0.1</v>
      </c>
      <c r="H6" s="38">
        <f t="shared" ca="1" si="1"/>
        <v>0.1</v>
      </c>
      <c r="I6" s="38">
        <f t="shared" ca="1" si="1"/>
        <v>0.1</v>
      </c>
      <c r="J6" s="38">
        <f t="shared" ca="1" si="1"/>
        <v>0.1</v>
      </c>
      <c r="K6" s="39" cm="1">
        <f t="array" aca="1" ref="K6" ca="1">INDIRECT(CONCATENATE("'",HLOOKUP(K$1,$B$21:$E$23,3,FALSE),"'!",$B$25,ROW($A6)+5))*About!$A$27</f>
        <v>0.1</v>
      </c>
      <c r="L6" s="38">
        <f t="shared" ca="1" si="5"/>
        <v>0.10200000000000001</v>
      </c>
      <c r="M6" s="38">
        <f t="shared" ca="1" si="2"/>
        <v>0.10400000000000001</v>
      </c>
      <c r="N6" s="38">
        <f t="shared" ca="1" si="2"/>
        <v>0.106</v>
      </c>
      <c r="O6" s="38">
        <f t="shared" ca="1" si="2"/>
        <v>0.108</v>
      </c>
      <c r="P6" s="39" cm="1">
        <f t="array" aca="1" ref="P6" ca="1">INDIRECT(CONCATENATE("'",HLOOKUP(P$1,$B$21:$E$23,3,FALSE),"'!",$B$25,ROW($A6)+5))*About!$A$27</f>
        <v>0.11</v>
      </c>
      <c r="Q6" s="38" cm="1">
        <f t="array" aca="1" ref="Q6" ca="1">TREND($K6:$P6,$K$1:$P$1,Q$1)</f>
        <v>0.11200000000000054</v>
      </c>
      <c r="R6" s="38" cm="1">
        <f t="array" aca="1" ref="R6" ca="1">TREND($K6:$P6,$K$1:$P$1,R$1)</f>
        <v>0.11400000000000032</v>
      </c>
      <c r="S6" s="38" cm="1">
        <f t="array" aca="1" ref="S6" ca="1">TREND($K6:$P6,$K$1:$P$1,S$1)</f>
        <v>0.1160000000000001</v>
      </c>
      <c r="T6" s="38" cm="1">
        <f t="array" aca="1" ref="T6" ca="1">TREND($K6:$P6,$K$1:$P$1,T$1)</f>
        <v>0.11800000000000077</v>
      </c>
      <c r="U6" s="38" cm="1">
        <f t="array" aca="1" ref="U6" ca="1">TREND($K6:$P6,$K$1:$P$1,U$1)</f>
        <v>0.12000000000000055</v>
      </c>
      <c r="V6" s="38" cm="1">
        <f t="array" aca="1" ref="V6" ca="1">TREND($K6:$P6,$K$1:$P$1,V$1)</f>
        <v>0.12200000000000033</v>
      </c>
      <c r="W6" s="38" cm="1">
        <f t="array" aca="1" ref="W6" ca="1">TREND($K6:$P6,$K$1:$P$1,W$1)</f>
        <v>0.12400000000000011</v>
      </c>
      <c r="X6" s="38" cm="1">
        <f t="array" aca="1" ref="X6" ca="1">TREND($K6:$P6,$K$1:$P$1,X$1)</f>
        <v>0.12600000000000078</v>
      </c>
      <c r="Y6" s="38" cm="1">
        <f t="array" aca="1" ref="Y6" ca="1">TREND($K6:$P6,$K$1:$P$1,Y$1)</f>
        <v>0.12800000000000056</v>
      </c>
      <c r="Z6" s="38" cm="1">
        <f t="array" aca="1" ref="Z6" ca="1">TREND($K6:$P6,$K$1:$P$1,Z$1)</f>
        <v>0.13000000000000034</v>
      </c>
      <c r="AA6" s="38" cm="1">
        <f t="array" aca="1" ref="AA6" ca="1">TREND($K6:$P6,$K$1:$P$1,AA$1)</f>
        <v>0.13200000000000012</v>
      </c>
      <c r="AB6" s="38" cm="1">
        <f t="array" aca="1" ref="AB6" ca="1">TREND($K6:$P6,$K$1:$P$1,AB$1)</f>
        <v>0.13400000000000079</v>
      </c>
      <c r="AC6" s="38" cm="1">
        <f t="array" aca="1" ref="AC6" ca="1">TREND($K6:$P6,$K$1:$P$1,AC$1)</f>
        <v>0.13600000000000056</v>
      </c>
      <c r="AD6" s="38" cm="1">
        <f t="array" aca="1" ref="AD6" ca="1">TREND($K6:$P6,$K$1:$P$1,AD$1)</f>
        <v>0.13800000000000034</v>
      </c>
      <c r="AE6" s="38" cm="1">
        <f t="array" aca="1" ref="AE6" ca="1">TREND($K6:$P6,$K$1:$P$1,AE$1)</f>
        <v>0.14000000000000012</v>
      </c>
      <c r="AF6" s="38" cm="1">
        <f t="array" aca="1" ref="AF6" ca="1">TREND($K6:$P6,$K$1:$P$1,AF$1)</f>
        <v>0.14200000000000079</v>
      </c>
      <c r="AG6" s="38" cm="1">
        <f t="array" aca="1" ref="AG6" ca="1">TREND($K6:$P6,$K$1:$P$1,AG$1)</f>
        <v>0.14400000000000057</v>
      </c>
      <c r="AH6" s="38" cm="1">
        <f t="array" aca="1" ref="AH6" ca="1">TREND($K6:$P6,$K$1:$P$1,AH$1)</f>
        <v>0.14600000000000035</v>
      </c>
      <c r="AI6" s="38" cm="1">
        <f t="array" aca="1" ref="AI6" ca="1">TREND($K6:$P6,$K$1:$P$1,AI$1)</f>
        <v>0.14800000000000013</v>
      </c>
      <c r="AJ6" s="38" cm="1">
        <f t="array" aca="1" ref="AJ6" ca="1">TREND($K6:$P6,$K$1:$P$1,AJ$1)</f>
        <v>0.14999999999999991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3</v>
      </c>
      <c r="C7" s="38">
        <f t="shared" ca="1" si="3"/>
        <v>3</v>
      </c>
      <c r="D7" s="38">
        <f t="shared" ca="1" si="0"/>
        <v>3</v>
      </c>
      <c r="E7" s="38">
        <f t="shared" ca="1" si="0"/>
        <v>3</v>
      </c>
      <c r="F7" s="39" cm="1">
        <f t="array" aca="1" ref="F7" ca="1">INDIRECT(CONCATENATE("'",HLOOKUP(F$1,$B$21:$E$23,3,FALSE),"'!",$B$25,ROW($A7)+5))*About!$A$27</f>
        <v>3</v>
      </c>
      <c r="G7" s="38">
        <f t="shared" ca="1" si="4"/>
        <v>3</v>
      </c>
      <c r="H7" s="38">
        <f t="shared" ca="1" si="1"/>
        <v>3</v>
      </c>
      <c r="I7" s="38">
        <f t="shared" ca="1" si="1"/>
        <v>3</v>
      </c>
      <c r="J7" s="38">
        <f t="shared" ca="1" si="1"/>
        <v>3</v>
      </c>
      <c r="K7" s="39" cm="1">
        <f t="array" aca="1" ref="K7" ca="1">INDIRECT(CONCATENATE("'",HLOOKUP(K$1,$B$21:$E$23,3,FALSE),"'!",$B$25,ROW($A7)+5))*About!$A$27</f>
        <v>3</v>
      </c>
      <c r="L7" s="38">
        <f t="shared" ca="1" si="5"/>
        <v>3.02</v>
      </c>
      <c r="M7" s="38">
        <f t="shared" ca="1" si="2"/>
        <v>3.04</v>
      </c>
      <c r="N7" s="38">
        <f t="shared" ca="1" si="2"/>
        <v>3.06</v>
      </c>
      <c r="O7" s="38">
        <f t="shared" ca="1" si="2"/>
        <v>3.08</v>
      </c>
      <c r="P7" s="39" cm="1">
        <f t="array" aca="1" ref="P7" ca="1">INDIRECT(CONCATENATE("'",HLOOKUP(P$1,$B$21:$E$23,3,FALSE),"'!",$B$25,ROW($A7)+5))*About!$A$27</f>
        <v>3.1</v>
      </c>
      <c r="Q7" s="38" cm="1">
        <f t="array" aca="1" ref="Q7" ca="1">TREND($K7:$P7,$K$1:$P$1,Q$1)</f>
        <v>3.1199999999999974</v>
      </c>
      <c r="R7" s="38" cm="1">
        <f t="array" aca="1" ref="R7" ca="1">TREND($K7:$P7,$K$1:$P$1,R$1)</f>
        <v>3.1400000000000006</v>
      </c>
      <c r="S7" s="38" cm="1">
        <f t="array" aca="1" ref="S7" ca="1">TREND($K7:$P7,$K$1:$P$1,S$1)</f>
        <v>3.1600000000000037</v>
      </c>
      <c r="T7" s="38" cm="1">
        <f t="array" aca="1" ref="T7" ca="1">TREND($K7:$P7,$K$1:$P$1,T$1)</f>
        <v>3.1799999999999997</v>
      </c>
      <c r="U7" s="38" cm="1">
        <f t="array" aca="1" ref="U7" ca="1">TREND($K7:$P7,$K$1:$P$1,U$1)</f>
        <v>3.2000000000000028</v>
      </c>
      <c r="V7" s="38" cm="1">
        <f t="array" aca="1" ref="V7" ca="1">TREND($K7:$P7,$K$1:$P$1,V$1)</f>
        <v>3.2199999999999989</v>
      </c>
      <c r="W7" s="38" cm="1">
        <f t="array" aca="1" ref="W7" ca="1">TREND($K7:$P7,$K$1:$P$1,W$1)</f>
        <v>3.240000000000002</v>
      </c>
      <c r="X7" s="38" cm="1">
        <f t="array" aca="1" ref="X7" ca="1">TREND($K7:$P7,$K$1:$P$1,X$1)</f>
        <v>3.259999999999998</v>
      </c>
      <c r="Y7" s="38" cm="1">
        <f t="array" aca="1" ref="Y7" ca="1">TREND($K7:$P7,$K$1:$P$1,Y$1)</f>
        <v>3.2800000000000011</v>
      </c>
      <c r="Z7" s="38" cm="1">
        <f t="array" aca="1" ref="Z7" ca="1">TREND($K7:$P7,$K$1:$P$1,Z$1)</f>
        <v>3.3000000000000043</v>
      </c>
      <c r="AA7" s="38" cm="1">
        <f t="array" aca="1" ref="AA7" ca="1">TREND($K7:$P7,$K$1:$P$1,AA$1)</f>
        <v>3.3200000000000003</v>
      </c>
      <c r="AB7" s="38" cm="1">
        <f t="array" aca="1" ref="AB7" ca="1">TREND($K7:$P7,$K$1:$P$1,AB$1)</f>
        <v>3.3400000000000034</v>
      </c>
      <c r="AC7" s="38" cm="1">
        <f t="array" aca="1" ref="AC7" ca="1">TREND($K7:$P7,$K$1:$P$1,AC$1)</f>
        <v>3.3599999999999994</v>
      </c>
      <c r="AD7" s="38" cm="1">
        <f t="array" aca="1" ref="AD7" ca="1">TREND($K7:$P7,$K$1:$P$1,AD$1)</f>
        <v>3.3800000000000026</v>
      </c>
      <c r="AE7" s="38" cm="1">
        <f t="array" aca="1" ref="AE7" ca="1">TREND($K7:$P7,$K$1:$P$1,AE$1)</f>
        <v>3.3999999999999986</v>
      </c>
      <c r="AF7" s="38" cm="1">
        <f t="array" aca="1" ref="AF7" ca="1">TREND($K7:$P7,$K$1:$P$1,AF$1)</f>
        <v>3.4200000000000017</v>
      </c>
      <c r="AG7" s="38" cm="1">
        <f t="array" aca="1" ref="AG7" ca="1">TREND($K7:$P7,$K$1:$P$1,AG$1)</f>
        <v>3.4399999999999977</v>
      </c>
      <c r="AH7" s="38" cm="1">
        <f t="array" aca="1" ref="AH7" ca="1">TREND($K7:$P7,$K$1:$P$1,AH$1)</f>
        <v>3.4600000000000009</v>
      </c>
      <c r="AI7" s="38" cm="1">
        <f t="array" aca="1" ref="AI7" ca="1">TREND($K7:$P7,$K$1:$P$1,AI$1)</f>
        <v>3.480000000000004</v>
      </c>
      <c r="AJ7" s="38" cm="1">
        <f t="array" aca="1" ref="AJ7" ca="1">TREND($K7:$P7,$K$1:$P$1,AJ$1)</f>
        <v>3.5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0.5</v>
      </c>
      <c r="C8" s="38">
        <f t="shared" ca="1" si="3"/>
        <v>0.50249999999999995</v>
      </c>
      <c r="D8" s="38">
        <f t="shared" ca="1" si="0"/>
        <v>0.505</v>
      </c>
      <c r="E8" s="38">
        <f t="shared" ca="1" si="0"/>
        <v>0.50750000000000006</v>
      </c>
      <c r="F8" s="39" cm="1">
        <f t="array" aca="1" ref="F8" ca="1">INDIRECT(CONCATENATE("'",HLOOKUP(F$1,$B$21:$E$23,3,FALSE),"'!",$B$25,ROW($A8)+5))*About!$A$27</f>
        <v>0.51</v>
      </c>
      <c r="G8" s="38">
        <f t="shared" ca="1" si="4"/>
        <v>0.51200000000000001</v>
      </c>
      <c r="H8" s="38">
        <f t="shared" ca="1" si="1"/>
        <v>0.51400000000000001</v>
      </c>
      <c r="I8" s="38">
        <f t="shared" ca="1" si="1"/>
        <v>0.51600000000000001</v>
      </c>
      <c r="J8" s="38">
        <f t="shared" ca="1" si="1"/>
        <v>0.51800000000000002</v>
      </c>
      <c r="K8" s="39" cm="1">
        <f t="array" aca="1" ref="K8" ca="1">INDIRECT(CONCATENATE("'",HLOOKUP(K$1,$B$21:$E$23,3,FALSE),"'!",$B$25,ROW($A8)+5))*About!$A$27</f>
        <v>0.52</v>
      </c>
      <c r="L8" s="38">
        <f t="shared" ca="1" si="5"/>
        <v>0.52200000000000002</v>
      </c>
      <c r="M8" s="38">
        <f t="shared" ca="1" si="2"/>
        <v>0.52400000000000002</v>
      </c>
      <c r="N8" s="38">
        <f t="shared" ca="1" si="2"/>
        <v>0.52600000000000002</v>
      </c>
      <c r="O8" s="38">
        <f t="shared" ca="1" si="2"/>
        <v>0.52800000000000002</v>
      </c>
      <c r="P8" s="39" cm="1">
        <f t="array" aca="1" ref="P8" ca="1">INDIRECT(CONCATENATE("'",HLOOKUP(P$1,$B$21:$E$23,3,FALSE),"'!",$B$25,ROW($A8)+5))*About!$A$27</f>
        <v>0.53</v>
      </c>
      <c r="Q8" s="38" cm="1">
        <f t="array" aca="1" ref="Q8" ca="1">TREND($K8:$P8,$K$1:$P$1,Q$1)</f>
        <v>0.53200000000000047</v>
      </c>
      <c r="R8" s="38" cm="1">
        <f t="array" aca="1" ref="R8" ca="1">TREND($K8:$P8,$K$1:$P$1,R$1)</f>
        <v>0.53400000000000025</v>
      </c>
      <c r="S8" s="38" cm="1">
        <f t="array" aca="1" ref="S8" ca="1">TREND($K8:$P8,$K$1:$P$1,S$1)</f>
        <v>0.53600000000000003</v>
      </c>
      <c r="T8" s="38" cm="1">
        <f t="array" aca="1" ref="T8" ca="1">TREND($K8:$P8,$K$1:$P$1,T$1)</f>
        <v>0.53799999999999981</v>
      </c>
      <c r="U8" s="38" cm="1">
        <f t="array" aca="1" ref="U8" ca="1">TREND($K8:$P8,$K$1:$P$1,U$1)</f>
        <v>0.54000000000000048</v>
      </c>
      <c r="V8" s="38" cm="1">
        <f t="array" aca="1" ref="V8" ca="1">TREND($K8:$P8,$K$1:$P$1,V$1)</f>
        <v>0.54200000000000026</v>
      </c>
      <c r="W8" s="38" cm="1">
        <f t="array" aca="1" ref="W8" ca="1">TREND($K8:$P8,$K$1:$P$1,W$1)</f>
        <v>0.54400000000000004</v>
      </c>
      <c r="X8" s="38" cm="1">
        <f t="array" aca="1" ref="X8" ca="1">TREND($K8:$P8,$K$1:$P$1,X$1)</f>
        <v>0.54600000000000071</v>
      </c>
      <c r="Y8" s="38" cm="1">
        <f t="array" aca="1" ref="Y8" ca="1">TREND($K8:$P8,$K$1:$P$1,Y$1)</f>
        <v>0.54800000000000049</v>
      </c>
      <c r="Z8" s="38" cm="1">
        <f t="array" aca="1" ref="Z8" ca="1">TREND($K8:$P8,$K$1:$P$1,Z$1)</f>
        <v>0.55000000000000027</v>
      </c>
      <c r="AA8" s="38" cm="1">
        <f t="array" aca="1" ref="AA8" ca="1">TREND($K8:$P8,$K$1:$P$1,AA$1)</f>
        <v>0.55200000000000005</v>
      </c>
      <c r="AB8" s="38" cm="1">
        <f t="array" aca="1" ref="AB8" ca="1">TREND($K8:$P8,$K$1:$P$1,AB$1)</f>
        <v>0.55399999999999983</v>
      </c>
      <c r="AC8" s="38" cm="1">
        <f t="array" aca="1" ref="AC8" ca="1">TREND($K8:$P8,$K$1:$P$1,AC$1)</f>
        <v>0.55600000000000049</v>
      </c>
      <c r="AD8" s="38" cm="1">
        <f t="array" aca="1" ref="AD8" ca="1">TREND($K8:$P8,$K$1:$P$1,AD$1)</f>
        <v>0.55800000000000027</v>
      </c>
      <c r="AE8" s="38" cm="1">
        <f t="array" aca="1" ref="AE8" ca="1">TREND($K8:$P8,$K$1:$P$1,AE$1)</f>
        <v>0.56000000000000005</v>
      </c>
      <c r="AF8" s="38" cm="1">
        <f t="array" aca="1" ref="AF8" ca="1">TREND($K8:$P8,$K$1:$P$1,AF$1)</f>
        <v>0.56200000000000072</v>
      </c>
      <c r="AG8" s="38" cm="1">
        <f t="array" aca="1" ref="AG8" ca="1">TREND($K8:$P8,$K$1:$P$1,AG$1)</f>
        <v>0.5640000000000005</v>
      </c>
      <c r="AH8" s="38" cm="1">
        <f t="array" aca="1" ref="AH8" ca="1">TREND($K8:$P8,$K$1:$P$1,AH$1)</f>
        <v>0.56600000000000028</v>
      </c>
      <c r="AI8" s="38" cm="1">
        <f t="array" aca="1" ref="AI8" ca="1">TREND($K8:$P8,$K$1:$P$1,AI$1)</f>
        <v>0.56800000000000006</v>
      </c>
      <c r="AJ8" s="38" cm="1">
        <f t="array" aca="1" ref="AJ8" ca="1">TREND($K8:$P8,$K$1:$P$1,AJ$1)</f>
        <v>0.56999999999999984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0.12</v>
      </c>
      <c r="C9" s="38">
        <f t="shared" ca="1" si="3"/>
        <v>0.12</v>
      </c>
      <c r="D9" s="38">
        <f t="shared" ca="1" si="0"/>
        <v>0.12</v>
      </c>
      <c r="E9" s="38">
        <f t="shared" ca="1" si="0"/>
        <v>0.12</v>
      </c>
      <c r="F9" s="39" cm="1">
        <f t="array" aca="1" ref="F9" ca="1">INDIRECT(CONCATENATE("'",HLOOKUP(F$1,$B$21:$E$23,3,FALSE),"'!",$B$25,ROW($A9)+5))*About!$A$27</f>
        <v>0.12</v>
      </c>
      <c r="G9" s="38">
        <f t="shared" ca="1" si="4"/>
        <v>0.12</v>
      </c>
      <c r="H9" s="38">
        <f t="shared" ca="1" si="1"/>
        <v>0.12</v>
      </c>
      <c r="I9" s="38">
        <f t="shared" ca="1" si="1"/>
        <v>0.12</v>
      </c>
      <c r="J9" s="38">
        <f t="shared" ca="1" si="1"/>
        <v>0.12</v>
      </c>
      <c r="K9" s="39" cm="1">
        <f t="array" aca="1" ref="K9" ca="1">INDIRECT(CONCATENATE("'",HLOOKUP(K$1,$B$21:$E$23,3,FALSE),"'!",$B$25,ROW($A9)+5))*About!$A$27</f>
        <v>0.12</v>
      </c>
      <c r="L9" s="38">
        <f t="shared" ca="1" si="5"/>
        <v>0.122</v>
      </c>
      <c r="M9" s="38">
        <f t="shared" ca="1" si="2"/>
        <v>0.124</v>
      </c>
      <c r="N9" s="38">
        <f t="shared" ca="1" si="2"/>
        <v>0.126</v>
      </c>
      <c r="O9" s="38">
        <f t="shared" ca="1" si="2"/>
        <v>0.128</v>
      </c>
      <c r="P9" s="39" cm="1">
        <f t="array" aca="1" ref="P9" ca="1">INDIRECT(CONCATENATE("'",HLOOKUP(P$1,$B$21:$E$23,3,FALSE),"'!",$B$25,ROW($A9)+5))*About!$A$27</f>
        <v>0.13</v>
      </c>
      <c r="Q9" s="38" cm="1">
        <f t="array" aca="1" ref="Q9" ca="1">TREND($K9:$P9,$K$1:$P$1,Q$1)</f>
        <v>0.13200000000000056</v>
      </c>
      <c r="R9" s="38" cm="1">
        <f t="array" aca="1" ref="R9" ca="1">TREND($K9:$P9,$K$1:$P$1,R$1)</f>
        <v>0.13400000000000034</v>
      </c>
      <c r="S9" s="38" cm="1">
        <f t="array" aca="1" ref="S9" ca="1">TREND($K9:$P9,$K$1:$P$1,S$1)</f>
        <v>0.13600000000000012</v>
      </c>
      <c r="T9" s="38" cm="1">
        <f t="array" aca="1" ref="T9" ca="1">TREND($K9:$P9,$K$1:$P$1,T$1)</f>
        <v>0.1379999999999999</v>
      </c>
      <c r="U9" s="38" cm="1">
        <f t="array" aca="1" ref="U9" ca="1">TREND($K9:$P9,$K$1:$P$1,U$1)</f>
        <v>0.14000000000000057</v>
      </c>
      <c r="V9" s="38" cm="1">
        <f t="array" aca="1" ref="V9" ca="1">TREND($K9:$P9,$K$1:$P$1,V$1)</f>
        <v>0.14200000000000035</v>
      </c>
      <c r="W9" s="38" cm="1">
        <f t="array" aca="1" ref="W9" ca="1">TREND($K9:$P9,$K$1:$P$1,W$1)</f>
        <v>0.14400000000000013</v>
      </c>
      <c r="X9" s="38" cm="1">
        <f t="array" aca="1" ref="X9" ca="1">TREND($K9:$P9,$K$1:$P$1,X$1)</f>
        <v>0.1460000000000008</v>
      </c>
      <c r="Y9" s="38" cm="1">
        <f t="array" aca="1" ref="Y9" ca="1">TREND($K9:$P9,$K$1:$P$1,Y$1)</f>
        <v>0.14800000000000058</v>
      </c>
      <c r="Z9" s="38" cm="1">
        <f t="array" aca="1" ref="Z9" ca="1">TREND($K9:$P9,$K$1:$P$1,Z$1)</f>
        <v>0.15000000000000036</v>
      </c>
      <c r="AA9" s="38" cm="1">
        <f t="array" aca="1" ref="AA9" ca="1">TREND($K9:$P9,$K$1:$P$1,AA$1)</f>
        <v>0.15200000000000014</v>
      </c>
      <c r="AB9" s="38" cm="1">
        <f t="array" aca="1" ref="AB9" ca="1">TREND($K9:$P9,$K$1:$P$1,AB$1)</f>
        <v>0.15399999999999991</v>
      </c>
      <c r="AC9" s="38" cm="1">
        <f t="array" aca="1" ref="AC9" ca="1">TREND($K9:$P9,$K$1:$P$1,AC$1)</f>
        <v>0.15600000000000058</v>
      </c>
      <c r="AD9" s="38" cm="1">
        <f t="array" aca="1" ref="AD9" ca="1">TREND($K9:$P9,$K$1:$P$1,AD$1)</f>
        <v>0.15800000000000036</v>
      </c>
      <c r="AE9" s="38" cm="1">
        <f t="array" aca="1" ref="AE9" ca="1">TREND($K9:$P9,$K$1:$P$1,AE$1)</f>
        <v>0.16000000000000014</v>
      </c>
      <c r="AF9" s="38" cm="1">
        <f t="array" aca="1" ref="AF9" ca="1">TREND($K9:$P9,$K$1:$P$1,AF$1)</f>
        <v>0.16200000000000081</v>
      </c>
      <c r="AG9" s="38" cm="1">
        <f t="array" aca="1" ref="AG9" ca="1">TREND($K9:$P9,$K$1:$P$1,AG$1)</f>
        <v>0.16400000000000059</v>
      </c>
      <c r="AH9" s="38" cm="1">
        <f t="array" aca="1" ref="AH9" ca="1">TREND($K9:$P9,$K$1:$P$1,AH$1)</f>
        <v>0.16600000000000037</v>
      </c>
      <c r="AI9" s="38" cm="1">
        <f t="array" aca="1" ref="AI9" ca="1">TREND($K9:$P9,$K$1:$P$1,AI$1)</f>
        <v>0.16800000000000015</v>
      </c>
      <c r="AJ9" s="38" cm="1">
        <f t="array" aca="1" ref="AJ9" ca="1">TREND($K9:$P9,$K$1:$P$1,AJ$1)</f>
        <v>0.16999999999999993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1E-3</v>
      </c>
      <c r="C10" s="38">
        <f t="shared" ca="1" si="3"/>
        <v>1.0250000000000001E-3</v>
      </c>
      <c r="D10" s="38">
        <f t="shared" ca="1" si="0"/>
        <v>1.0500000000000002E-3</v>
      </c>
      <c r="E10" s="38">
        <f t="shared" ca="1" si="0"/>
        <v>1.075E-3</v>
      </c>
      <c r="F10" s="39" cm="1">
        <f t="array" aca="1" ref="F10" ca="1">INDIRECT(CONCATENATE("'",HLOOKUP(F$1,$B$21:$E$23,3,FALSE),"'!",$B$25,ROW($A10)+5))*About!$A$27</f>
        <v>1.1000000000000001E-3</v>
      </c>
      <c r="G10" s="38">
        <f t="shared" ca="1" si="4"/>
        <v>1.1200000000000001E-3</v>
      </c>
      <c r="H10" s="38">
        <f t="shared" ca="1" si="1"/>
        <v>1.14E-3</v>
      </c>
      <c r="I10" s="38">
        <f t="shared" ca="1" si="1"/>
        <v>1.16E-3</v>
      </c>
      <c r="J10" s="38">
        <f t="shared" ca="1" si="1"/>
        <v>1.1799999999999998E-3</v>
      </c>
      <c r="K10" s="39" cm="1">
        <f t="array" aca="1" ref="K10" ca="1">INDIRECT(CONCATENATE("'",HLOOKUP(K$1,$B$21:$E$23,3,FALSE),"'!",$B$25,ROW($A10)+5))*About!$A$27</f>
        <v>1.1999999999999999E-3</v>
      </c>
      <c r="L10" s="38">
        <f t="shared" ca="1" si="5"/>
        <v>1.24E-3</v>
      </c>
      <c r="M10" s="38">
        <f t="shared" ca="1" si="2"/>
        <v>1.2799999999999999E-3</v>
      </c>
      <c r="N10" s="38">
        <f t="shared" ca="1" si="2"/>
        <v>1.32E-3</v>
      </c>
      <c r="O10" s="38">
        <f t="shared" ca="1" si="2"/>
        <v>1.3599999999999999E-3</v>
      </c>
      <c r="P10" s="39" cm="1">
        <f t="array" aca="1" ref="P10" ca="1">INDIRECT(CONCATENATE("'",HLOOKUP(P$1,$B$21:$E$23,3,FALSE),"'!",$B$25,ROW($A10)+5))*About!$A$27</f>
        <v>1.4E-3</v>
      </c>
      <c r="Q10" s="38" cm="1">
        <f t="array" aca="1" ref="Q10" ca="1">TREND($K10:$P10,$K$1:$P$1,Q$1)</f>
        <v>1.4399999999999968E-3</v>
      </c>
      <c r="R10" s="38" cm="1">
        <f t="array" aca="1" ref="R10" ca="1">TREND($K10:$P10,$K$1:$P$1,R$1)</f>
        <v>1.4799999999999952E-3</v>
      </c>
      <c r="S10" s="38" cm="1">
        <f t="array" aca="1" ref="S10" ca="1">TREND($K10:$P10,$K$1:$P$1,S$1)</f>
        <v>1.5199999999999936E-3</v>
      </c>
      <c r="T10" s="38" cm="1">
        <f t="array" aca="1" ref="T10" ca="1">TREND($K10:$P10,$K$1:$P$1,T$1)</f>
        <v>1.5599999999999919E-3</v>
      </c>
      <c r="U10" s="38" cm="1">
        <f t="array" aca="1" ref="U10" ca="1">TREND($K10:$P10,$K$1:$P$1,U$1)</f>
        <v>1.5999999999999903E-3</v>
      </c>
      <c r="V10" s="38" cm="1">
        <f t="array" aca="1" ref="V10" ca="1">TREND($K10:$P10,$K$1:$P$1,V$1)</f>
        <v>1.6400000000000026E-3</v>
      </c>
      <c r="W10" s="38" cm="1">
        <f t="array" aca="1" ref="W10" ca="1">TREND($K10:$P10,$K$1:$P$1,W$1)</f>
        <v>1.6800000000000009E-3</v>
      </c>
      <c r="X10" s="38" cm="1">
        <f t="array" aca="1" ref="X10" ca="1">TREND($K10:$P10,$K$1:$P$1,X$1)</f>
        <v>1.7199999999999993E-3</v>
      </c>
      <c r="Y10" s="38" cm="1">
        <f t="array" aca="1" ref="Y10" ca="1">TREND($K10:$P10,$K$1:$P$1,Y$1)</f>
        <v>1.7599999999999977E-3</v>
      </c>
      <c r="Z10" s="38" cm="1">
        <f t="array" aca="1" ref="Z10" ca="1">TREND($K10:$P10,$K$1:$P$1,Z$1)</f>
        <v>1.799999999999996E-3</v>
      </c>
      <c r="AA10" s="38" cm="1">
        <f t="array" aca="1" ref="AA10" ca="1">TREND($K10:$P10,$K$1:$P$1,AA$1)</f>
        <v>1.8399999999999944E-3</v>
      </c>
      <c r="AB10" s="38" cm="1">
        <f t="array" aca="1" ref="AB10" ca="1">TREND($K10:$P10,$K$1:$P$1,AB$1)</f>
        <v>1.8799999999999928E-3</v>
      </c>
      <c r="AC10" s="38" cm="1">
        <f t="array" aca="1" ref="AC10" ca="1">TREND($K10:$P10,$K$1:$P$1,AC$1)</f>
        <v>1.9199999999999912E-3</v>
      </c>
      <c r="AD10" s="38" cm="1">
        <f t="array" aca="1" ref="AD10" ca="1">TREND($K10:$P10,$K$1:$P$1,AD$1)</f>
        <v>1.9600000000000034E-3</v>
      </c>
      <c r="AE10" s="38" cm="1">
        <f t="array" aca="1" ref="AE10" ca="1">TREND($K10:$P10,$K$1:$P$1,AE$1)</f>
        <v>2.0000000000000018E-3</v>
      </c>
      <c r="AF10" s="38" cm="1">
        <f t="array" aca="1" ref="AF10" ca="1">TREND($K10:$P10,$K$1:$P$1,AF$1)</f>
        <v>2.0400000000000001E-3</v>
      </c>
      <c r="AG10" s="38" cm="1">
        <f t="array" aca="1" ref="AG10" ca="1">TREND($K10:$P10,$K$1:$P$1,AG$1)</f>
        <v>2.0799999999999985E-3</v>
      </c>
      <c r="AH10" s="38" cm="1">
        <f t="array" aca="1" ref="AH10" ca="1">TREND($K10:$P10,$K$1:$P$1,AH$1)</f>
        <v>2.1199999999999969E-3</v>
      </c>
      <c r="AI10" s="38" cm="1">
        <f t="array" aca="1" ref="AI10" ca="1">TREND($K10:$P10,$K$1:$P$1,AI$1)</f>
        <v>2.1599999999999953E-3</v>
      </c>
      <c r="AJ10" s="38" cm="1">
        <f t="array" aca="1" ref="AJ10" ca="1">TREND($K10:$P10,$K$1:$P$1,AJ$1)</f>
        <v>2.1999999999999936E-3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1E-3</v>
      </c>
      <c r="C11" s="38">
        <f t="shared" ca="1" si="3"/>
        <v>1.0250000000000001E-3</v>
      </c>
      <c r="D11" s="38">
        <f t="shared" ca="1" si="0"/>
        <v>1.0500000000000002E-3</v>
      </c>
      <c r="E11" s="38">
        <f t="shared" ca="1" si="0"/>
        <v>1.075E-3</v>
      </c>
      <c r="F11" s="39" cm="1">
        <f t="array" aca="1" ref="F11" ca="1">INDIRECT(CONCATENATE("'",HLOOKUP(F$1,$B$21:$E$23,3,FALSE),"'!",$B$25,ROW($A11)+5))*About!$A$27</f>
        <v>1.1000000000000001E-3</v>
      </c>
      <c r="G11" s="38">
        <f t="shared" ca="1" si="4"/>
        <v>1.1200000000000001E-3</v>
      </c>
      <c r="H11" s="38">
        <f t="shared" ca="1" si="1"/>
        <v>1.14E-3</v>
      </c>
      <c r="I11" s="38">
        <f t="shared" ca="1" si="1"/>
        <v>1.16E-3</v>
      </c>
      <c r="J11" s="38">
        <f t="shared" ca="1" si="1"/>
        <v>1.1799999999999998E-3</v>
      </c>
      <c r="K11" s="39" cm="1">
        <f t="array" aca="1" ref="K11" ca="1">INDIRECT(CONCATENATE("'",HLOOKUP(K$1,$B$21:$E$23,3,FALSE),"'!",$B$25,ROW($A11)+5))*About!$A$27</f>
        <v>1.1999999999999999E-3</v>
      </c>
      <c r="L11" s="38">
        <f t="shared" ca="1" si="5"/>
        <v>1.2199999999999999E-3</v>
      </c>
      <c r="M11" s="38">
        <f t="shared" ca="1" si="2"/>
        <v>1.24E-3</v>
      </c>
      <c r="N11" s="38">
        <f t="shared" ca="1" si="2"/>
        <v>1.2599999999999998E-3</v>
      </c>
      <c r="O11" s="38">
        <f t="shared" ca="1" si="2"/>
        <v>1.2799999999999999E-3</v>
      </c>
      <c r="P11" s="39" cm="1">
        <f t="array" aca="1" ref="P11" ca="1">INDIRECT(CONCATENATE("'",HLOOKUP(P$1,$B$21:$E$23,3,FALSE),"'!",$B$25,ROW($A11)+5))*About!$A$27</f>
        <v>1.2999999999999999E-3</v>
      </c>
      <c r="Q11" s="38" cm="1">
        <f t="array" aca="1" ref="Q11" ca="1">TREND($K11:$P11,$K$1:$P$1,Q$1)</f>
        <v>1.3200000000000017E-3</v>
      </c>
      <c r="R11" s="38" cm="1">
        <f t="array" aca="1" ref="R11" ca="1">TREND($K11:$P11,$K$1:$P$1,R$1)</f>
        <v>1.3400000000000009E-3</v>
      </c>
      <c r="S11" s="38" cm="1">
        <f t="array" aca="1" ref="S11" ca="1">TREND($K11:$P11,$K$1:$P$1,S$1)</f>
        <v>1.3600000000000001E-3</v>
      </c>
      <c r="T11" s="38" cm="1">
        <f t="array" aca="1" ref="T11" ca="1">TREND($K11:$P11,$K$1:$P$1,T$1)</f>
        <v>1.3799999999999993E-3</v>
      </c>
      <c r="U11" s="38" cm="1">
        <f t="array" aca="1" ref="U11" ca="1">TREND($K11:$P11,$K$1:$P$1,U$1)</f>
        <v>1.3999999999999985E-3</v>
      </c>
      <c r="V11" s="38" cm="1">
        <f t="array" aca="1" ref="V11" ca="1">TREND($K11:$P11,$K$1:$P$1,V$1)</f>
        <v>1.4200000000000046E-3</v>
      </c>
      <c r="W11" s="38" cm="1">
        <f t="array" aca="1" ref="W11" ca="1">TREND($K11:$P11,$K$1:$P$1,W$1)</f>
        <v>1.4400000000000038E-3</v>
      </c>
      <c r="X11" s="38" cm="1">
        <f t="array" aca="1" ref="X11" ca="1">TREND($K11:$P11,$K$1:$P$1,X$1)</f>
        <v>1.460000000000003E-3</v>
      </c>
      <c r="Y11" s="38" cm="1">
        <f t="array" aca="1" ref="Y11" ca="1">TREND($K11:$P11,$K$1:$P$1,Y$1)</f>
        <v>1.4800000000000021E-3</v>
      </c>
      <c r="Z11" s="38" cm="1">
        <f t="array" aca="1" ref="Z11" ca="1">TREND($K11:$P11,$K$1:$P$1,Z$1)</f>
        <v>1.5000000000000013E-3</v>
      </c>
      <c r="AA11" s="38" cm="1">
        <f t="array" aca="1" ref="AA11" ca="1">TREND($K11:$P11,$K$1:$P$1,AA$1)</f>
        <v>1.5200000000000005E-3</v>
      </c>
      <c r="AB11" s="38" cm="1">
        <f t="array" aca="1" ref="AB11" ca="1">TREND($K11:$P11,$K$1:$P$1,AB$1)</f>
        <v>1.5399999999999997E-3</v>
      </c>
      <c r="AC11" s="38" cm="1">
        <f t="array" aca="1" ref="AC11" ca="1">TREND($K11:$P11,$K$1:$P$1,AC$1)</f>
        <v>1.5599999999999989E-3</v>
      </c>
      <c r="AD11" s="38" cm="1">
        <f t="array" aca="1" ref="AD11" ca="1">TREND($K11:$P11,$K$1:$P$1,AD$1)</f>
        <v>1.580000000000005E-3</v>
      </c>
      <c r="AE11" s="38" cm="1">
        <f t="array" aca="1" ref="AE11" ca="1">TREND($K11:$P11,$K$1:$P$1,AE$1)</f>
        <v>1.6000000000000042E-3</v>
      </c>
      <c r="AF11" s="38" cm="1">
        <f t="array" aca="1" ref="AF11" ca="1">TREND($K11:$P11,$K$1:$P$1,AF$1)</f>
        <v>1.6200000000000034E-3</v>
      </c>
      <c r="AG11" s="38" cm="1">
        <f t="array" aca="1" ref="AG11" ca="1">TREND($K11:$P11,$K$1:$P$1,AG$1)</f>
        <v>1.6400000000000026E-3</v>
      </c>
      <c r="AH11" s="38" cm="1">
        <f t="array" aca="1" ref="AH11" ca="1">TREND($K11:$P11,$K$1:$P$1,AH$1)</f>
        <v>1.6600000000000018E-3</v>
      </c>
      <c r="AI11" s="38" cm="1">
        <f t="array" aca="1" ref="AI11" ca="1">TREND($K11:$P11,$K$1:$P$1,AI$1)</f>
        <v>1.6800000000000009E-3</v>
      </c>
      <c r="AJ11" s="38" cm="1">
        <f t="array" aca="1" ref="AJ11" ca="1">TREND($K11:$P11,$K$1:$P$1,AJ$1)</f>
        <v>1.7000000000000001E-3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4.6600000000000001E-3</v>
      </c>
      <c r="C12" s="38">
        <f t="shared" ca="1" si="3"/>
        <v>4.7425000000000002E-3</v>
      </c>
      <c r="D12" s="38">
        <f t="shared" ca="1" si="0"/>
        <v>4.8249999999999994E-3</v>
      </c>
      <c r="E12" s="38">
        <f t="shared" ca="1" si="0"/>
        <v>4.9074999999999995E-3</v>
      </c>
      <c r="F12" s="40">
        <f ca="1">SUM(INDIRECT(CONCATENATE("'",HLOOKUP(F$1,$B$21:$E$23,3,FALSE),"'!",$B$25,ROW($A12)+5,":",$B$25,ROW($A12)+6)))*About!$A$27</f>
        <v>4.9899999999999996E-3</v>
      </c>
      <c r="G12" s="38">
        <f t="shared" ca="1" si="4"/>
        <v>5.0799999999999994E-3</v>
      </c>
      <c r="H12" s="38">
        <f t="shared" ca="1" si="1"/>
        <v>5.1699999999999992E-3</v>
      </c>
      <c r="I12" s="38">
        <f t="shared" ca="1" si="1"/>
        <v>5.2599999999999999E-3</v>
      </c>
      <c r="J12" s="38">
        <f t="shared" ca="1" si="1"/>
        <v>5.3499999999999997E-3</v>
      </c>
      <c r="K12" s="40">
        <f ca="1">SUM(INDIRECT(CONCATENATE("'",HLOOKUP(K$1,$B$21:$E$23,3,FALSE),"'!",$B$25,ROW($A12)+5,":",$B$25,ROW($A12)+6)))*About!$A$27</f>
        <v>5.4399999999999995E-3</v>
      </c>
      <c r="L12" s="38">
        <f t="shared" ca="1" si="5"/>
        <v>5.5279999999999999E-3</v>
      </c>
      <c r="M12" s="38">
        <f t="shared" ca="1" si="2"/>
        <v>5.6159999999999995E-3</v>
      </c>
      <c r="N12" s="38">
        <f t="shared" ca="1" si="2"/>
        <v>5.7039999999999999E-3</v>
      </c>
      <c r="O12" s="38">
        <f t="shared" ca="1" si="2"/>
        <v>5.7919999999999994E-3</v>
      </c>
      <c r="P12" s="40">
        <f ca="1">SUM(INDIRECT(CONCATENATE("'",HLOOKUP(P$1,$B$21:$E$23,3,FALSE),"'!",$B$25,ROW($A12)+5,":",$B$25,ROW($A12)+6)))*About!$A$27</f>
        <v>5.8799999999999998E-3</v>
      </c>
      <c r="Q12" s="38" cm="1">
        <f t="array" aca="1" ref="Q12" ca="1">TREND($K12:$P12,$K$1:$P$1,Q$1)</f>
        <v>5.9680000000000011E-3</v>
      </c>
      <c r="R12" s="38" cm="1">
        <f t="array" aca="1" ref="R12" ca="1">TREND($K12:$P12,$K$1:$P$1,R$1)</f>
        <v>6.0560000000000058E-3</v>
      </c>
      <c r="S12" s="38" cm="1">
        <f t="array" aca="1" ref="S12" ca="1">TREND($K12:$P12,$K$1:$P$1,S$1)</f>
        <v>6.1440000000000106E-3</v>
      </c>
      <c r="T12" s="38" cm="1">
        <f t="array" aca="1" ref="T12" ca="1">TREND($K12:$P12,$K$1:$P$1,T$1)</f>
        <v>6.2319999999999875E-3</v>
      </c>
      <c r="U12" s="38" cm="1">
        <f t="array" aca="1" ref="U12" ca="1">TREND($K12:$P12,$K$1:$P$1,U$1)</f>
        <v>6.3199999999999923E-3</v>
      </c>
      <c r="V12" s="38" cm="1">
        <f t="array" aca="1" ref="V12" ca="1">TREND($K12:$P12,$K$1:$P$1,V$1)</f>
        <v>6.407999999999997E-3</v>
      </c>
      <c r="W12" s="38" cm="1">
        <f t="array" aca="1" ref="W12" ca="1">TREND($K12:$P12,$K$1:$P$1,W$1)</f>
        <v>6.4960000000000018E-3</v>
      </c>
      <c r="X12" s="38" cm="1">
        <f t="array" aca="1" ref="X12" ca="1">TREND($K12:$P12,$K$1:$P$1,X$1)</f>
        <v>6.5840000000000065E-3</v>
      </c>
      <c r="Y12" s="38" cm="1">
        <f t="array" aca="1" ref="Y12" ca="1">TREND($K12:$P12,$K$1:$P$1,Y$1)</f>
        <v>6.6720000000000113E-3</v>
      </c>
      <c r="Z12" s="38" cm="1">
        <f t="array" aca="1" ref="Z12" ca="1">TREND($K12:$P12,$K$1:$P$1,Z$1)</f>
        <v>6.7599999999999882E-3</v>
      </c>
      <c r="AA12" s="38" cm="1">
        <f t="array" aca="1" ref="AA12" ca="1">TREND($K12:$P12,$K$1:$P$1,AA$1)</f>
        <v>6.847999999999993E-3</v>
      </c>
      <c r="AB12" s="38" cm="1">
        <f t="array" aca="1" ref="AB12" ca="1">TREND($K12:$P12,$K$1:$P$1,AB$1)</f>
        <v>6.9359999999999977E-3</v>
      </c>
      <c r="AC12" s="38" cm="1">
        <f t="array" aca="1" ref="AC12" ca="1">TREND($K12:$P12,$K$1:$P$1,AC$1)</f>
        <v>7.0240000000000025E-3</v>
      </c>
      <c r="AD12" s="38" cm="1">
        <f t="array" aca="1" ref="AD12" ca="1">TREND($K12:$P12,$K$1:$P$1,AD$1)</f>
        <v>7.1120000000000072E-3</v>
      </c>
      <c r="AE12" s="38" cm="1">
        <f t="array" aca="1" ref="AE12" ca="1">TREND($K12:$P12,$K$1:$P$1,AE$1)</f>
        <v>7.2000000000000119E-3</v>
      </c>
      <c r="AF12" s="38" cm="1">
        <f t="array" aca="1" ref="AF12" ca="1">TREND($K12:$P12,$K$1:$P$1,AF$1)</f>
        <v>7.2879999999999889E-3</v>
      </c>
      <c r="AG12" s="38" cm="1">
        <f t="array" aca="1" ref="AG12" ca="1">TREND($K12:$P12,$K$1:$P$1,AG$1)</f>
        <v>7.3759999999999937E-3</v>
      </c>
      <c r="AH12" s="38" cm="1">
        <f t="array" aca="1" ref="AH12" ca="1">TREND($K12:$P12,$K$1:$P$1,AH$1)</f>
        <v>7.4639999999999984E-3</v>
      </c>
      <c r="AI12" s="38" cm="1">
        <f t="array" aca="1" ref="AI12" ca="1">TREND($K12:$P12,$K$1:$P$1,AI$1)</f>
        <v>7.5520000000000032E-3</v>
      </c>
      <c r="AJ12" s="38" cm="1">
        <f t="array" aca="1" ref="AJ12" ca="1">TREND($K12:$P12,$K$1:$P$1,AJ$1)</f>
        <v>7.6400000000000079E-3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HOIpTP-electricity-SO2</v>
      </c>
    </row>
    <row r="18" spans="1:5" x14ac:dyDescent="0.25">
      <c r="A18" t="s">
        <v>114</v>
      </c>
      <c r="B18" t="str">
        <f ca="1">RIGHT(B17,LEN(B17)-7)</f>
        <v>electricity-SO2</v>
      </c>
    </row>
    <row r="19" spans="1:5" x14ac:dyDescent="0.25">
      <c r="A19" t="s">
        <v>115</v>
      </c>
      <c r="B19" t="str">
        <f ca="1">LEFT(B18,FIND("-",B18)-1)</f>
        <v>electricity</v>
      </c>
    </row>
    <row r="20" spans="1:5" x14ac:dyDescent="0.25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16</v>
      </c>
      <c r="C22" s="32">
        <f ca="1">VLOOKUP($B$20,Mappings!$A$3:$E$19,COLUMN(Mappings!C$2),FALSE)</f>
        <v>33</v>
      </c>
      <c r="D22" s="32">
        <f ca="1">VLOOKUP($B$20,Mappings!$A$3:$E$19,COLUMN(Mappings!D$2),FALSE)</f>
        <v>50</v>
      </c>
      <c r="E22" s="33">
        <f ca="1">VLOOKUP($B$20,Mappings!$A$3:$E$19,COLUMN(Mappings!E$2),FALSE)</f>
        <v>67</v>
      </c>
    </row>
    <row r="23" spans="1:5" x14ac:dyDescent="0.25">
      <c r="A23" s="34" t="s">
        <v>113</v>
      </c>
      <c r="B23" s="35" t="str">
        <f ca="1">CONCATENATE("Table ",B22)</f>
        <v>Table 16</v>
      </c>
      <c r="C23" s="35" t="str">
        <f ca="1">CONCATENATE("Table ",C22)</f>
        <v>Table 33</v>
      </c>
      <c r="D23" s="35" t="str">
        <f ca="1">CONCATENATE("Table ",D22)</f>
        <v>Table 50</v>
      </c>
      <c r="E23" s="36" t="str">
        <f ca="1">CONCATENATE("Table ",E22)</f>
        <v>Table 67</v>
      </c>
    </row>
    <row r="24" spans="1:5" x14ac:dyDescent="0.25">
      <c r="A24" t="s">
        <v>116</v>
      </c>
      <c r="B24" t="str">
        <f ca="1">REPLACE(B18,1,FIND("-",B18),"")</f>
        <v>SO2</v>
      </c>
    </row>
    <row r="25" spans="1:5" x14ac:dyDescent="0.25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B463-BC41-46EA-A054-1DB5B28E36F4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9.3000000000000005E-4</v>
      </c>
      <c r="C2" s="38">
        <f ca="1">$B2+($F2-$B2)*(C$1-$B$1)/($F$1-$B$1)</f>
        <v>9.3500000000000007E-4</v>
      </c>
      <c r="D2" s="38">
        <f t="shared" ref="D2:E12" ca="1" si="0">$B2+($F2-$B2)*(D$1-$B$1)/($F$1-$B$1)</f>
        <v>9.4000000000000008E-4</v>
      </c>
      <c r="E2" s="38">
        <f t="shared" ca="1" si="0"/>
        <v>9.4499999999999998E-4</v>
      </c>
      <c r="F2" s="37" cm="1">
        <f t="array" aca="1" ref="F2" ca="1">INDIRECT(CONCATENATE("'",HLOOKUP(F$1,$B$21:$E$23,3,FALSE),"'!",$B$25,ROW($A2)+3))*About!$A$27</f>
        <v>9.5E-4</v>
      </c>
      <c r="G2" s="38">
        <f ca="1">$F2+($K2-$F2)*(G$1-$F$1)/($K$1-$F$1)</f>
        <v>9.6000000000000002E-4</v>
      </c>
      <c r="H2" s="38">
        <f t="shared" ref="H2:J12" ca="1" si="1">$F2+($K2-$F2)*(H$1-$F$1)/($K$1-$F$1)</f>
        <v>9.7000000000000005E-4</v>
      </c>
      <c r="I2" s="38">
        <f t="shared" ca="1" si="1"/>
        <v>9.7999999999999997E-4</v>
      </c>
      <c r="J2" s="38">
        <f t="shared" ca="1" si="1"/>
        <v>9.8999999999999999E-4</v>
      </c>
      <c r="K2" s="37" cm="1">
        <f t="array" aca="1" ref="K2" ca="1">INDIRECT(CONCATENATE("'",HLOOKUP(K$1,$B$21:$E$23,3,FALSE),"'!",$B$25,ROW($A2)+3))*About!$A$27</f>
        <v>1E-3</v>
      </c>
      <c r="L2" s="38">
        <f ca="1">$K2+($P2-$K2)*(L$1-$K$1)/($P$1-$K$1)</f>
        <v>1.0200000000000001E-3</v>
      </c>
      <c r="M2" s="38">
        <f t="shared" ref="M2:O12" ca="1" si="2">$K2+($P2-$K2)*(M$1-$K$1)/($P$1-$K$1)</f>
        <v>1.0400000000000001E-3</v>
      </c>
      <c r="N2" s="38">
        <f t="shared" ca="1" si="2"/>
        <v>1.06E-3</v>
      </c>
      <c r="O2" s="38">
        <f t="shared" ca="1" si="2"/>
        <v>1.08E-3</v>
      </c>
      <c r="P2" s="37" cm="1">
        <f t="array" aca="1" ref="P2" ca="1">INDIRECT(CONCATENATE("'",HLOOKUP(P$1,$B$21:$E$23,3,FALSE),"'!",$B$25,ROW($A2)+3))*About!$A$27</f>
        <v>1.1000000000000001E-3</v>
      </c>
      <c r="Q2" s="38" cm="1">
        <f t="array" aca="1" ref="Q2" ca="1">TREND($K2:$P2,$K$1:$P$1,Q$1)</f>
        <v>1.1200000000000029E-3</v>
      </c>
      <c r="R2" s="38" cm="1">
        <f t="array" aca="1" ref="R2" ca="1">TREND($K2:$P2,$K$1:$P$1,R$1)</f>
        <v>1.1400000000000021E-3</v>
      </c>
      <c r="S2" s="38" cm="1">
        <f t="array" aca="1" ref="S2" ca="1">TREND($K2:$P2,$K$1:$P$1,S$1)</f>
        <v>1.1600000000000013E-3</v>
      </c>
      <c r="T2" s="38" cm="1">
        <f t="array" aca="1" ref="T2" ca="1">TREND($K2:$P2,$K$1:$P$1,T$1)</f>
        <v>1.1800000000000005E-3</v>
      </c>
      <c r="U2" s="38" cm="1">
        <f t="array" aca="1" ref="U2" ca="1">TREND($K2:$P2,$K$1:$P$1,U$1)</f>
        <v>1.1999999999999997E-3</v>
      </c>
      <c r="V2" s="38" cm="1">
        <f t="array" aca="1" ref="V2" ca="1">TREND($K2:$P2,$K$1:$P$1,V$1)</f>
        <v>1.2200000000000058E-3</v>
      </c>
      <c r="W2" s="38" cm="1">
        <f t="array" aca="1" ref="W2" ca="1">TREND($K2:$P2,$K$1:$P$1,W$1)</f>
        <v>1.240000000000005E-3</v>
      </c>
      <c r="X2" s="38" cm="1">
        <f t="array" aca="1" ref="X2" ca="1">TREND($K2:$P2,$K$1:$P$1,X$1)</f>
        <v>1.2600000000000042E-3</v>
      </c>
      <c r="Y2" s="38" cm="1">
        <f t="array" aca="1" ref="Y2" ca="1">TREND($K2:$P2,$K$1:$P$1,Y$1)</f>
        <v>1.2800000000000034E-3</v>
      </c>
      <c r="Z2" s="38" cm="1">
        <f t="array" aca="1" ref="Z2" ca="1">TREND($K2:$P2,$K$1:$P$1,Z$1)</f>
        <v>1.3000000000000025E-3</v>
      </c>
      <c r="AA2" s="38" cm="1">
        <f t="array" aca="1" ref="AA2" ca="1">TREND($K2:$P2,$K$1:$P$1,AA$1)</f>
        <v>1.3200000000000017E-3</v>
      </c>
      <c r="AB2" s="38" cm="1">
        <f t="array" aca="1" ref="AB2" ca="1">TREND($K2:$P2,$K$1:$P$1,AB$1)</f>
        <v>1.3400000000000009E-3</v>
      </c>
      <c r="AC2" s="38" cm="1">
        <f t="array" aca="1" ref="AC2" ca="1">TREND($K2:$P2,$K$1:$P$1,AC$1)</f>
        <v>1.3600000000000001E-3</v>
      </c>
      <c r="AD2" s="38" cm="1">
        <f t="array" aca="1" ref="AD2" ca="1">TREND($K2:$P2,$K$1:$P$1,AD$1)</f>
        <v>1.3800000000000062E-3</v>
      </c>
      <c r="AE2" s="38" cm="1">
        <f t="array" aca="1" ref="AE2" ca="1">TREND($K2:$P2,$K$1:$P$1,AE$1)</f>
        <v>1.4000000000000054E-3</v>
      </c>
      <c r="AF2" s="38" cm="1">
        <f t="array" aca="1" ref="AF2" ca="1">TREND($K2:$P2,$K$1:$P$1,AF$1)</f>
        <v>1.4200000000000046E-3</v>
      </c>
      <c r="AG2" s="38" cm="1">
        <f t="array" aca="1" ref="AG2" ca="1">TREND($K2:$P2,$K$1:$P$1,AG$1)</f>
        <v>1.4400000000000038E-3</v>
      </c>
      <c r="AH2" s="38" cm="1">
        <f t="array" aca="1" ref="AH2" ca="1">TREND($K2:$P2,$K$1:$P$1,AH$1)</f>
        <v>1.460000000000003E-3</v>
      </c>
      <c r="AI2" s="38" cm="1">
        <f t="array" aca="1" ref="AI2" ca="1">TREND($K2:$P2,$K$1:$P$1,AI$1)</f>
        <v>1.4800000000000021E-3</v>
      </c>
      <c r="AJ2" s="38" cm="1">
        <f t="array" aca="1" ref="AJ2" ca="1">TREND($K2:$P2,$K$1:$P$1,AJ$1)</f>
        <v>1.5000000000000013E-3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5.1999999999999995E-4</v>
      </c>
      <c r="C3" s="38">
        <f t="shared" ref="C3:C12" ca="1" si="3">$B3+($F3-$B3)*(C$1-$B$1)/($F$1-$B$1)</f>
        <v>5.2249999999999996E-4</v>
      </c>
      <c r="D3" s="38">
        <f t="shared" ca="1" si="0"/>
        <v>5.2499999999999997E-4</v>
      </c>
      <c r="E3" s="38">
        <f t="shared" ca="1" si="0"/>
        <v>5.2749999999999997E-4</v>
      </c>
      <c r="F3" s="39" cm="1">
        <f t="array" aca="1" ref="F3" ca="1">INDIRECT(CONCATENATE("'",HLOOKUP(F$1,$B$21:$E$23,3,FALSE),"'!",$B$25,ROW($A3)+5))*About!$A$27</f>
        <v>5.2999999999999998E-4</v>
      </c>
      <c r="G3" s="38">
        <f t="shared" ref="G3:G12" ca="1" si="4">$F3+($K3-$F3)*(G$1-$F$1)/($K$1-$F$1)</f>
        <v>5.3399999999999997E-4</v>
      </c>
      <c r="H3" s="38">
        <f t="shared" ca="1" si="1"/>
        <v>5.3799999999999996E-4</v>
      </c>
      <c r="I3" s="38">
        <f t="shared" ca="1" si="1"/>
        <v>5.4200000000000006E-4</v>
      </c>
      <c r="J3" s="38">
        <f t="shared" ca="1" si="1"/>
        <v>5.4600000000000004E-4</v>
      </c>
      <c r="K3" s="39" cm="1">
        <f t="array" aca="1" ref="K3" ca="1">INDIRECT(CONCATENATE("'",HLOOKUP(K$1,$B$21:$E$23,3,FALSE),"'!",$B$25,ROW($A3)+5))*About!$A$27</f>
        <v>5.5000000000000003E-4</v>
      </c>
      <c r="L3" s="38">
        <f t="shared" ref="L3:L12" ca="1" si="5">$K3+($P3-$K3)*(L$1-$K$1)/($P$1-$K$1)</f>
        <v>5.5400000000000002E-4</v>
      </c>
      <c r="M3" s="38">
        <f t="shared" ca="1" si="2"/>
        <v>5.5800000000000001E-4</v>
      </c>
      <c r="N3" s="38">
        <f t="shared" ca="1" si="2"/>
        <v>5.62E-4</v>
      </c>
      <c r="O3" s="38">
        <f t="shared" ca="1" si="2"/>
        <v>5.6599999999999999E-4</v>
      </c>
      <c r="P3" s="39" cm="1">
        <f t="array" aca="1" ref="P3" ca="1">INDIRECT(CONCATENATE("'",HLOOKUP(P$1,$B$21:$E$23,3,FALSE),"'!",$B$25,ROW($A3)+5))*About!$A$27</f>
        <v>5.6999999999999998E-4</v>
      </c>
      <c r="Q3" s="38" cm="1">
        <f t="array" aca="1" ref="Q3" ca="1">TREND($K3:$P3,$K$1:$P$1,Q$1)</f>
        <v>5.7399999999999986E-4</v>
      </c>
      <c r="R3" s="38" cm="1">
        <f t="array" aca="1" ref="R3" ca="1">TREND($K3:$P3,$K$1:$P$1,R$1)</f>
        <v>5.7800000000000039E-4</v>
      </c>
      <c r="S3" s="38" cm="1">
        <f t="array" aca="1" ref="S3" ca="1">TREND($K3:$P3,$K$1:$P$1,S$1)</f>
        <v>5.8200000000000092E-4</v>
      </c>
      <c r="T3" s="38" cm="1">
        <f t="array" aca="1" ref="T3" ca="1">TREND($K3:$P3,$K$1:$P$1,T$1)</f>
        <v>5.8599999999999972E-4</v>
      </c>
      <c r="U3" s="38" cm="1">
        <f t="array" aca="1" ref="U3" ca="1">TREND($K3:$P3,$K$1:$P$1,U$1)</f>
        <v>5.9000000000000025E-4</v>
      </c>
      <c r="V3" s="38" cm="1">
        <f t="array" aca="1" ref="V3" ca="1">TREND($K3:$P3,$K$1:$P$1,V$1)</f>
        <v>5.9400000000000078E-4</v>
      </c>
      <c r="W3" s="38" cm="1">
        <f t="array" aca="1" ref="W3" ca="1">TREND($K3:$P3,$K$1:$P$1,W$1)</f>
        <v>5.9799999999999957E-4</v>
      </c>
      <c r="X3" s="38" cm="1">
        <f t="array" aca="1" ref="X3" ca="1">TREND($K3:$P3,$K$1:$P$1,X$1)</f>
        <v>6.020000000000001E-4</v>
      </c>
      <c r="Y3" s="38" cm="1">
        <f t="array" aca="1" ref="Y3" ca="1">TREND($K3:$P3,$K$1:$P$1,Y$1)</f>
        <v>6.0600000000000064E-4</v>
      </c>
      <c r="Z3" s="38" cm="1">
        <f t="array" aca="1" ref="Z3" ca="1">TREND($K3:$P3,$K$1:$P$1,Z$1)</f>
        <v>6.1000000000000117E-4</v>
      </c>
      <c r="AA3" s="38" cm="1">
        <f t="array" aca="1" ref="AA3" ca="1">TREND($K3:$P3,$K$1:$P$1,AA$1)</f>
        <v>6.1399999999999996E-4</v>
      </c>
      <c r="AB3" s="38" cm="1">
        <f t="array" aca="1" ref="AB3" ca="1">TREND($K3:$P3,$K$1:$P$1,AB$1)</f>
        <v>6.1800000000000049E-4</v>
      </c>
      <c r="AC3" s="38" cm="1">
        <f t="array" aca="1" ref="AC3" ca="1">TREND($K3:$P3,$K$1:$P$1,AC$1)</f>
        <v>6.2200000000000102E-4</v>
      </c>
      <c r="AD3" s="38" cm="1">
        <f t="array" aca="1" ref="AD3" ca="1">TREND($K3:$P3,$K$1:$P$1,AD$1)</f>
        <v>6.2599999999999982E-4</v>
      </c>
      <c r="AE3" s="38" cm="1">
        <f t="array" aca="1" ref="AE3" ca="1">TREND($K3:$P3,$K$1:$P$1,AE$1)</f>
        <v>6.3000000000000035E-4</v>
      </c>
      <c r="AF3" s="38" cm="1">
        <f t="array" aca="1" ref="AF3" ca="1">TREND($K3:$P3,$K$1:$P$1,AF$1)</f>
        <v>6.3400000000000088E-4</v>
      </c>
      <c r="AG3" s="38" cm="1">
        <f t="array" aca="1" ref="AG3" ca="1">TREND($K3:$P3,$K$1:$P$1,AG$1)</f>
        <v>6.3799999999999968E-4</v>
      </c>
      <c r="AH3" s="38" cm="1">
        <f t="array" aca="1" ref="AH3" ca="1">TREND($K3:$P3,$K$1:$P$1,AH$1)</f>
        <v>6.4200000000000021E-4</v>
      </c>
      <c r="AI3" s="38" cm="1">
        <f t="array" aca="1" ref="AI3" ca="1">TREND($K3:$P3,$K$1:$P$1,AI$1)</f>
        <v>6.4600000000000074E-4</v>
      </c>
      <c r="AJ3" s="38" cm="1">
        <f t="array" aca="1" ref="AJ3" ca="1">TREND($K3:$P3,$K$1:$P$1,AJ$1)</f>
        <v>6.4999999999999954E-4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1.4E-3</v>
      </c>
      <c r="C4" s="38">
        <f t="shared" ca="1" si="3"/>
        <v>1.4E-3</v>
      </c>
      <c r="D4" s="38">
        <f t="shared" ca="1" si="0"/>
        <v>1.4E-3</v>
      </c>
      <c r="E4" s="38">
        <f t="shared" ca="1" si="0"/>
        <v>1.4E-3</v>
      </c>
      <c r="F4" s="39" cm="1">
        <f t="array" aca="1" ref="F4" ca="1">INDIRECT(CONCATENATE("'",HLOOKUP(F$1,$B$21:$E$23,3,FALSE),"'!",$B$25,ROW($A4)+5))*About!$A$27</f>
        <v>1.4E-3</v>
      </c>
      <c r="G4" s="38">
        <f t="shared" ca="1" si="4"/>
        <v>1.4E-3</v>
      </c>
      <c r="H4" s="38">
        <f t="shared" ca="1" si="1"/>
        <v>1.4E-3</v>
      </c>
      <c r="I4" s="38">
        <f t="shared" ca="1" si="1"/>
        <v>1.4E-3</v>
      </c>
      <c r="J4" s="38">
        <f t="shared" ca="1" si="1"/>
        <v>1.4E-3</v>
      </c>
      <c r="K4" s="39" cm="1">
        <f t="array" aca="1" ref="K4" ca="1">INDIRECT(CONCATENATE("'",HLOOKUP(K$1,$B$21:$E$23,3,FALSE),"'!",$B$25,ROW($A4)+5))*About!$A$27</f>
        <v>1.4E-3</v>
      </c>
      <c r="L4" s="38">
        <f t="shared" ca="1" si="5"/>
        <v>1.42E-3</v>
      </c>
      <c r="M4" s="38">
        <f t="shared" ca="1" si="2"/>
        <v>1.4400000000000001E-3</v>
      </c>
      <c r="N4" s="38">
        <f t="shared" ca="1" si="2"/>
        <v>1.4599999999999999E-3</v>
      </c>
      <c r="O4" s="38">
        <f t="shared" ca="1" si="2"/>
        <v>1.48E-3</v>
      </c>
      <c r="P4" s="39" cm="1">
        <f t="array" aca="1" ref="P4" ca="1">INDIRECT(CONCATENATE("'",HLOOKUP(P$1,$B$21:$E$23,3,FALSE),"'!",$B$25,ROW($A4)+5))*About!$A$27</f>
        <v>1.5E-3</v>
      </c>
      <c r="Q4" s="38" cm="1">
        <f t="array" aca="1" ref="Q4" ca="1">TREND($K4:$P4,$K$1:$P$1,Q$1)</f>
        <v>1.5200000000000005E-3</v>
      </c>
      <c r="R4" s="38" cm="1">
        <f t="array" aca="1" ref="R4" ca="1">TREND($K4:$P4,$K$1:$P$1,R$1)</f>
        <v>1.5399999999999997E-3</v>
      </c>
      <c r="S4" s="38" cm="1">
        <f t="array" aca="1" ref="S4" ca="1">TREND($K4:$P4,$K$1:$P$1,S$1)</f>
        <v>1.5599999999999989E-3</v>
      </c>
      <c r="T4" s="38" cm="1">
        <f t="array" aca="1" ref="T4" ca="1">TREND($K4:$P4,$K$1:$P$1,T$1)</f>
        <v>1.5799999999999981E-3</v>
      </c>
      <c r="U4" s="38" cm="1">
        <f t="array" aca="1" ref="U4" ca="1">TREND($K4:$P4,$K$1:$P$1,U$1)</f>
        <v>1.5999999999999973E-3</v>
      </c>
      <c r="V4" s="38" cm="1">
        <f t="array" aca="1" ref="V4" ca="1">TREND($K4:$P4,$K$1:$P$1,V$1)</f>
        <v>1.6200000000000034E-3</v>
      </c>
      <c r="W4" s="38" cm="1">
        <f t="array" aca="1" ref="W4" ca="1">TREND($K4:$P4,$K$1:$P$1,W$1)</f>
        <v>1.6400000000000026E-3</v>
      </c>
      <c r="X4" s="38" cm="1">
        <f t="array" aca="1" ref="X4" ca="1">TREND($K4:$P4,$K$1:$P$1,X$1)</f>
        <v>1.6600000000000018E-3</v>
      </c>
      <c r="Y4" s="38" cm="1">
        <f t="array" aca="1" ref="Y4" ca="1">TREND($K4:$P4,$K$1:$P$1,Y$1)</f>
        <v>1.6800000000000009E-3</v>
      </c>
      <c r="Z4" s="38" cm="1">
        <f t="array" aca="1" ref="Z4" ca="1">TREND($K4:$P4,$K$1:$P$1,Z$1)</f>
        <v>1.7000000000000001E-3</v>
      </c>
      <c r="AA4" s="38" cm="1">
        <f t="array" aca="1" ref="AA4" ca="1">TREND($K4:$P4,$K$1:$P$1,AA$1)</f>
        <v>1.7199999999999993E-3</v>
      </c>
      <c r="AB4" s="38" cm="1">
        <f t="array" aca="1" ref="AB4" ca="1">TREND($K4:$P4,$K$1:$P$1,AB$1)</f>
        <v>1.7399999999999985E-3</v>
      </c>
      <c r="AC4" s="38" cm="1">
        <f t="array" aca="1" ref="AC4" ca="1">TREND($K4:$P4,$K$1:$P$1,AC$1)</f>
        <v>1.7599999999999977E-3</v>
      </c>
      <c r="AD4" s="38" cm="1">
        <f t="array" aca="1" ref="AD4" ca="1">TREND($K4:$P4,$K$1:$P$1,AD$1)</f>
        <v>1.7800000000000038E-3</v>
      </c>
      <c r="AE4" s="38" cm="1">
        <f t="array" aca="1" ref="AE4" ca="1">TREND($K4:$P4,$K$1:$P$1,AE$1)</f>
        <v>1.800000000000003E-3</v>
      </c>
      <c r="AF4" s="38" cm="1">
        <f t="array" aca="1" ref="AF4" ca="1">TREND($K4:$P4,$K$1:$P$1,AF$1)</f>
        <v>1.8200000000000022E-3</v>
      </c>
      <c r="AG4" s="38" cm="1">
        <f t="array" aca="1" ref="AG4" ca="1">TREND($K4:$P4,$K$1:$P$1,AG$1)</f>
        <v>1.8400000000000014E-3</v>
      </c>
      <c r="AH4" s="38" cm="1">
        <f t="array" aca="1" ref="AH4" ca="1">TREND($K4:$P4,$K$1:$P$1,AH$1)</f>
        <v>1.8600000000000005E-3</v>
      </c>
      <c r="AI4" s="38" cm="1">
        <f t="array" aca="1" ref="AI4" ca="1">TREND($K4:$P4,$K$1:$P$1,AI$1)</f>
        <v>1.8799999999999997E-3</v>
      </c>
      <c r="AJ4" s="38" cm="1">
        <f t="array" aca="1" ref="AJ4" ca="1">TREND($K4:$P4,$K$1:$P$1,AJ$1)</f>
        <v>1.8999999999999989E-3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1.7000000000000001E-2</v>
      </c>
      <c r="C5" s="38">
        <f t="shared" ca="1" si="3"/>
        <v>1.7000000000000001E-2</v>
      </c>
      <c r="D5" s="38">
        <f t="shared" ca="1" si="0"/>
        <v>1.7000000000000001E-2</v>
      </c>
      <c r="E5" s="38">
        <f t="shared" ca="1" si="0"/>
        <v>1.7000000000000001E-2</v>
      </c>
      <c r="F5" s="39" cm="1">
        <f t="array" aca="1" ref="F5" ca="1">INDIRECT(CONCATENATE("'",HLOOKUP(F$1,$B$21:$E$23,3,FALSE),"'!",$B$25,ROW($A5)+5))*About!$A$27</f>
        <v>1.7000000000000001E-2</v>
      </c>
      <c r="G5" s="38">
        <f t="shared" ca="1" si="4"/>
        <v>1.72E-2</v>
      </c>
      <c r="H5" s="38">
        <f t="shared" ca="1" si="1"/>
        <v>1.7399999999999999E-2</v>
      </c>
      <c r="I5" s="38">
        <f t="shared" ca="1" si="1"/>
        <v>1.7600000000000001E-2</v>
      </c>
      <c r="J5" s="38">
        <f t="shared" ca="1" si="1"/>
        <v>1.78E-2</v>
      </c>
      <c r="K5" s="39" cm="1">
        <f t="array" aca="1" ref="K5" ca="1">INDIRECT(CONCATENATE("'",HLOOKUP(K$1,$B$21:$E$23,3,FALSE),"'!",$B$25,ROW($A5)+5))*About!$A$27</f>
        <v>1.7999999999999999E-2</v>
      </c>
      <c r="L5" s="38">
        <f t="shared" ca="1" si="5"/>
        <v>1.84E-2</v>
      </c>
      <c r="M5" s="38">
        <f t="shared" ca="1" si="2"/>
        <v>1.8800000000000001E-2</v>
      </c>
      <c r="N5" s="38">
        <f t="shared" ca="1" si="2"/>
        <v>1.9199999999999998E-2</v>
      </c>
      <c r="O5" s="38">
        <f t="shared" ca="1" si="2"/>
        <v>1.9599999999999999E-2</v>
      </c>
      <c r="P5" s="39" cm="1">
        <f t="array" aca="1" ref="P5" ca="1">INDIRECT(CONCATENATE("'",HLOOKUP(P$1,$B$21:$E$23,3,FALSE),"'!",$B$25,ROW($A5)+5))*About!$A$27</f>
        <v>0.02</v>
      </c>
      <c r="Q5" s="38" cm="1">
        <f t="array" aca="1" ref="Q5" ca="1">TREND($K5:$P5,$K$1:$P$1,Q$1)</f>
        <v>2.0399999999999974E-2</v>
      </c>
      <c r="R5" s="38" cm="1">
        <f t="array" aca="1" ref="R5" ca="1">TREND($K5:$P5,$K$1:$P$1,R$1)</f>
        <v>2.0800000000000041E-2</v>
      </c>
      <c r="S5" s="38" cm="1">
        <f t="array" aca="1" ref="S5" ca="1">TREND($K5:$P5,$K$1:$P$1,S$1)</f>
        <v>2.1199999999999997E-2</v>
      </c>
      <c r="T5" s="38" cm="1">
        <f t="array" aca="1" ref="T5" ca="1">TREND($K5:$P5,$K$1:$P$1,T$1)</f>
        <v>2.1599999999999953E-2</v>
      </c>
      <c r="U5" s="38" cm="1">
        <f t="array" aca="1" ref="U5" ca="1">TREND($K5:$P5,$K$1:$P$1,U$1)</f>
        <v>2.200000000000002E-2</v>
      </c>
      <c r="V5" s="38" cm="1">
        <f t="array" aca="1" ref="V5" ca="1">TREND($K5:$P5,$K$1:$P$1,V$1)</f>
        <v>2.2399999999999975E-2</v>
      </c>
      <c r="W5" s="38" cm="1">
        <f t="array" aca="1" ref="W5" ca="1">TREND($K5:$P5,$K$1:$P$1,W$1)</f>
        <v>2.2800000000000042E-2</v>
      </c>
      <c r="X5" s="38" cm="1">
        <f t="array" aca="1" ref="X5" ca="1">TREND($K5:$P5,$K$1:$P$1,X$1)</f>
        <v>2.3199999999999998E-2</v>
      </c>
      <c r="Y5" s="38" cm="1">
        <f t="array" aca="1" ref="Y5" ca="1">TREND($K5:$P5,$K$1:$P$1,Y$1)</f>
        <v>2.3599999999999954E-2</v>
      </c>
      <c r="Z5" s="38" cm="1">
        <f t="array" aca="1" ref="Z5" ca="1">TREND($K5:$P5,$K$1:$P$1,Z$1)</f>
        <v>2.4000000000000021E-2</v>
      </c>
      <c r="AA5" s="38" cm="1">
        <f t="array" aca="1" ref="AA5" ca="1">TREND($K5:$P5,$K$1:$P$1,AA$1)</f>
        <v>2.4399999999999977E-2</v>
      </c>
      <c r="AB5" s="38" cm="1">
        <f t="array" aca="1" ref="AB5" ca="1">TREND($K5:$P5,$K$1:$P$1,AB$1)</f>
        <v>2.4800000000000044E-2</v>
      </c>
      <c r="AC5" s="38" cm="1">
        <f t="array" aca="1" ref="AC5" ca="1">TREND($K5:$P5,$K$1:$P$1,AC$1)</f>
        <v>2.52E-2</v>
      </c>
      <c r="AD5" s="38" cm="1">
        <f t="array" aca="1" ref="AD5" ca="1">TREND($K5:$P5,$K$1:$P$1,AD$1)</f>
        <v>2.5599999999999956E-2</v>
      </c>
      <c r="AE5" s="38" cm="1">
        <f t="array" aca="1" ref="AE5" ca="1">TREND($K5:$P5,$K$1:$P$1,AE$1)</f>
        <v>2.6000000000000023E-2</v>
      </c>
      <c r="AF5" s="38" cm="1">
        <f t="array" aca="1" ref="AF5" ca="1">TREND($K5:$P5,$K$1:$P$1,AF$1)</f>
        <v>2.6399999999999979E-2</v>
      </c>
      <c r="AG5" s="38" cm="1">
        <f t="array" aca="1" ref="AG5" ca="1">TREND($K5:$P5,$K$1:$P$1,AG$1)</f>
        <v>2.6800000000000046E-2</v>
      </c>
      <c r="AH5" s="38" cm="1">
        <f t="array" aca="1" ref="AH5" ca="1">TREND($K5:$P5,$K$1:$P$1,AH$1)</f>
        <v>2.7200000000000002E-2</v>
      </c>
      <c r="AI5" s="38" cm="1">
        <f t="array" aca="1" ref="AI5" ca="1">TREND($K5:$P5,$K$1:$P$1,AI$1)</f>
        <v>2.7599999999999958E-2</v>
      </c>
      <c r="AJ5" s="38" cm="1">
        <f t="array" aca="1" ref="AJ5" ca="1">TREND($K5:$P5,$K$1:$P$1,AJ$1)</f>
        <v>2.8000000000000025E-2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2.5000000000000001E-2</v>
      </c>
      <c r="C6" s="38">
        <f t="shared" ca="1" si="3"/>
        <v>2.5000000000000001E-2</v>
      </c>
      <c r="D6" s="38">
        <f t="shared" ca="1" si="0"/>
        <v>2.5000000000000001E-2</v>
      </c>
      <c r="E6" s="38">
        <f t="shared" ca="1" si="0"/>
        <v>2.5000000000000001E-2</v>
      </c>
      <c r="F6" s="39" cm="1">
        <f t="array" aca="1" ref="F6" ca="1">INDIRECT(CONCATENATE("'",HLOOKUP(F$1,$B$21:$E$23,3,FALSE),"'!",$B$25,ROW($A6)+5))*About!$A$27</f>
        <v>2.5000000000000001E-2</v>
      </c>
      <c r="G6" s="38">
        <f t="shared" ca="1" si="4"/>
        <v>2.52E-2</v>
      </c>
      <c r="H6" s="38">
        <f t="shared" ca="1" si="1"/>
        <v>2.5399999999999999E-2</v>
      </c>
      <c r="I6" s="38">
        <f t="shared" ca="1" si="1"/>
        <v>2.5600000000000001E-2</v>
      </c>
      <c r="J6" s="38">
        <f t="shared" ca="1" si="1"/>
        <v>2.58E-2</v>
      </c>
      <c r="K6" s="39" cm="1">
        <f t="array" aca="1" ref="K6" ca="1">INDIRECT(CONCATENATE("'",HLOOKUP(K$1,$B$21:$E$23,3,FALSE),"'!",$B$25,ROW($A6)+5))*About!$A$27</f>
        <v>2.5999999999999999E-2</v>
      </c>
      <c r="L6" s="38">
        <f t="shared" ca="1" si="5"/>
        <v>2.64E-2</v>
      </c>
      <c r="M6" s="38">
        <f t="shared" ca="1" si="2"/>
        <v>2.6800000000000001E-2</v>
      </c>
      <c r="N6" s="38">
        <f t="shared" ca="1" si="2"/>
        <v>2.7199999999999998E-2</v>
      </c>
      <c r="O6" s="38">
        <f t="shared" ca="1" si="2"/>
        <v>2.76E-2</v>
      </c>
      <c r="P6" s="39" cm="1">
        <f t="array" aca="1" ref="P6" ca="1">INDIRECT(CONCATENATE("'",HLOOKUP(P$1,$B$21:$E$23,3,FALSE),"'!",$B$25,ROW($A6)+5))*About!$A$27</f>
        <v>2.8000000000000001E-2</v>
      </c>
      <c r="Q6" s="38" cm="1">
        <f t="array" aca="1" ref="Q6" ca="1">TREND($K6:$P6,$K$1:$P$1,Q$1)</f>
        <v>2.8399999999999981E-2</v>
      </c>
      <c r="R6" s="38" cm="1">
        <f t="array" aca="1" ref="R6" ca="1">TREND($K6:$P6,$K$1:$P$1,R$1)</f>
        <v>2.8800000000000048E-2</v>
      </c>
      <c r="S6" s="38" cm="1">
        <f t="array" aca="1" ref="S6" ca="1">TREND($K6:$P6,$K$1:$P$1,S$1)</f>
        <v>2.9200000000000004E-2</v>
      </c>
      <c r="T6" s="38" cm="1">
        <f t="array" aca="1" ref="T6" ca="1">TREND($K6:$P6,$K$1:$P$1,T$1)</f>
        <v>2.959999999999996E-2</v>
      </c>
      <c r="U6" s="38" cm="1">
        <f t="array" aca="1" ref="U6" ca="1">TREND($K6:$P6,$K$1:$P$1,U$1)</f>
        <v>3.0000000000000027E-2</v>
      </c>
      <c r="V6" s="38" cm="1">
        <f t="array" aca="1" ref="V6" ca="1">TREND($K6:$P6,$K$1:$P$1,V$1)</f>
        <v>3.0399999999999983E-2</v>
      </c>
      <c r="W6" s="38" cm="1">
        <f t="array" aca="1" ref="W6" ca="1">TREND($K6:$P6,$K$1:$P$1,W$1)</f>
        <v>3.080000000000005E-2</v>
      </c>
      <c r="X6" s="38" cm="1">
        <f t="array" aca="1" ref="X6" ca="1">TREND($K6:$P6,$K$1:$P$1,X$1)</f>
        <v>3.1200000000000006E-2</v>
      </c>
      <c r="Y6" s="38" cm="1">
        <f t="array" aca="1" ref="Y6" ca="1">TREND($K6:$P6,$K$1:$P$1,Y$1)</f>
        <v>3.1599999999999961E-2</v>
      </c>
      <c r="Z6" s="38" cm="1">
        <f t="array" aca="1" ref="Z6" ca="1">TREND($K6:$P6,$K$1:$P$1,Z$1)</f>
        <v>3.2000000000000028E-2</v>
      </c>
      <c r="AA6" s="38" cm="1">
        <f t="array" aca="1" ref="AA6" ca="1">TREND($K6:$P6,$K$1:$P$1,AA$1)</f>
        <v>3.2399999999999984E-2</v>
      </c>
      <c r="AB6" s="38" cm="1">
        <f t="array" aca="1" ref="AB6" ca="1">TREND($K6:$P6,$K$1:$P$1,AB$1)</f>
        <v>3.2800000000000051E-2</v>
      </c>
      <c r="AC6" s="38" cm="1">
        <f t="array" aca="1" ref="AC6" ca="1">TREND($K6:$P6,$K$1:$P$1,AC$1)</f>
        <v>3.3200000000000007E-2</v>
      </c>
      <c r="AD6" s="38" cm="1">
        <f t="array" aca="1" ref="AD6" ca="1">TREND($K6:$P6,$K$1:$P$1,AD$1)</f>
        <v>3.3599999999999963E-2</v>
      </c>
      <c r="AE6" s="38" cm="1">
        <f t="array" aca="1" ref="AE6" ca="1">TREND($K6:$P6,$K$1:$P$1,AE$1)</f>
        <v>3.400000000000003E-2</v>
      </c>
      <c r="AF6" s="38" cm="1">
        <f t="array" aca="1" ref="AF6" ca="1">TREND($K6:$P6,$K$1:$P$1,AF$1)</f>
        <v>3.4399999999999986E-2</v>
      </c>
      <c r="AG6" s="38" cm="1">
        <f t="array" aca="1" ref="AG6" ca="1">TREND($K6:$P6,$K$1:$P$1,AG$1)</f>
        <v>3.4800000000000053E-2</v>
      </c>
      <c r="AH6" s="38" cm="1">
        <f t="array" aca="1" ref="AH6" ca="1">TREND($K6:$P6,$K$1:$P$1,AH$1)</f>
        <v>3.5200000000000009E-2</v>
      </c>
      <c r="AI6" s="38" cm="1">
        <f t="array" aca="1" ref="AI6" ca="1">TREND($K6:$P6,$K$1:$P$1,AI$1)</f>
        <v>3.5599999999999965E-2</v>
      </c>
      <c r="AJ6" s="38" cm="1">
        <f t="array" aca="1" ref="AJ6" ca="1">TREND($K6:$P6,$K$1:$P$1,AJ$1)</f>
        <v>3.6000000000000032E-2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0.72</v>
      </c>
      <c r="C7" s="38">
        <f t="shared" ca="1" si="3"/>
        <v>0.72249999999999992</v>
      </c>
      <c r="D7" s="38">
        <f t="shared" ca="1" si="0"/>
        <v>0.72499999999999998</v>
      </c>
      <c r="E7" s="38">
        <f t="shared" ca="1" si="0"/>
        <v>0.72750000000000004</v>
      </c>
      <c r="F7" s="39" cm="1">
        <f t="array" aca="1" ref="F7" ca="1">INDIRECT(CONCATENATE("'",HLOOKUP(F$1,$B$21:$E$23,3,FALSE),"'!",$B$25,ROW($A7)+5))*About!$A$27</f>
        <v>0.73</v>
      </c>
      <c r="G7" s="38">
        <f t="shared" ca="1" si="4"/>
        <v>0.73</v>
      </c>
      <c r="H7" s="38">
        <f t="shared" ca="1" si="1"/>
        <v>0.73</v>
      </c>
      <c r="I7" s="38">
        <f t="shared" ca="1" si="1"/>
        <v>0.73</v>
      </c>
      <c r="J7" s="38">
        <f t="shared" ca="1" si="1"/>
        <v>0.73</v>
      </c>
      <c r="K7" s="39" cm="1">
        <f t="array" aca="1" ref="K7" ca="1">INDIRECT(CONCATENATE("'",HLOOKUP(K$1,$B$21:$E$23,3,FALSE),"'!",$B$25,ROW($A7)+5))*About!$A$27</f>
        <v>0.73</v>
      </c>
      <c r="L7" s="38">
        <f t="shared" ca="1" si="5"/>
        <v>0.73199999999999998</v>
      </c>
      <c r="M7" s="38">
        <f t="shared" ca="1" si="2"/>
        <v>0.73399999999999999</v>
      </c>
      <c r="N7" s="38">
        <f t="shared" ca="1" si="2"/>
        <v>0.73599999999999999</v>
      </c>
      <c r="O7" s="38">
        <f t="shared" ca="1" si="2"/>
        <v>0.73799999999999999</v>
      </c>
      <c r="P7" s="39" cm="1">
        <f t="array" aca="1" ref="P7" ca="1">INDIRECT(CONCATENATE("'",HLOOKUP(P$1,$B$21:$E$23,3,FALSE),"'!",$B$25,ROW($A7)+5))*About!$A$27</f>
        <v>0.74</v>
      </c>
      <c r="Q7" s="38" cm="1">
        <f t="array" aca="1" ref="Q7" ca="1">TREND($K7:$P7,$K$1:$P$1,Q$1)</f>
        <v>0.74200000000000044</v>
      </c>
      <c r="R7" s="38" cm="1">
        <f t="array" aca="1" ref="R7" ca="1">TREND($K7:$P7,$K$1:$P$1,R$1)</f>
        <v>0.74400000000000022</v>
      </c>
      <c r="S7" s="38" cm="1">
        <f t="array" aca="1" ref="S7" ca="1">TREND($K7:$P7,$K$1:$P$1,S$1)</f>
        <v>0.746</v>
      </c>
      <c r="T7" s="38" cm="1">
        <f t="array" aca="1" ref="T7" ca="1">TREND($K7:$P7,$K$1:$P$1,T$1)</f>
        <v>0.74799999999999978</v>
      </c>
      <c r="U7" s="38" cm="1">
        <f t="array" aca="1" ref="U7" ca="1">TREND($K7:$P7,$K$1:$P$1,U$1)</f>
        <v>0.75000000000000044</v>
      </c>
      <c r="V7" s="38" cm="1">
        <f t="array" aca="1" ref="V7" ca="1">TREND($K7:$P7,$K$1:$P$1,V$1)</f>
        <v>0.75200000000000022</v>
      </c>
      <c r="W7" s="38" cm="1">
        <f t="array" aca="1" ref="W7" ca="1">TREND($K7:$P7,$K$1:$P$1,W$1)</f>
        <v>0.754</v>
      </c>
      <c r="X7" s="38" cm="1">
        <f t="array" aca="1" ref="X7" ca="1">TREND($K7:$P7,$K$1:$P$1,X$1)</f>
        <v>0.75599999999999978</v>
      </c>
      <c r="Y7" s="38" cm="1">
        <f t="array" aca="1" ref="Y7" ca="1">TREND($K7:$P7,$K$1:$P$1,Y$1)</f>
        <v>0.75800000000000045</v>
      </c>
      <c r="Z7" s="38" cm="1">
        <f t="array" aca="1" ref="Z7" ca="1">TREND($K7:$P7,$K$1:$P$1,Z$1)</f>
        <v>0.76000000000000023</v>
      </c>
      <c r="AA7" s="38" cm="1">
        <f t="array" aca="1" ref="AA7" ca="1">TREND($K7:$P7,$K$1:$P$1,AA$1)</f>
        <v>0.76200000000000001</v>
      </c>
      <c r="AB7" s="38" cm="1">
        <f t="array" aca="1" ref="AB7" ca="1">TREND($K7:$P7,$K$1:$P$1,AB$1)</f>
        <v>0.76399999999999979</v>
      </c>
      <c r="AC7" s="38" cm="1">
        <f t="array" aca="1" ref="AC7" ca="1">TREND($K7:$P7,$K$1:$P$1,AC$1)</f>
        <v>0.76600000000000046</v>
      </c>
      <c r="AD7" s="38" cm="1">
        <f t="array" aca="1" ref="AD7" ca="1">TREND($K7:$P7,$K$1:$P$1,AD$1)</f>
        <v>0.76800000000000024</v>
      </c>
      <c r="AE7" s="38" cm="1">
        <f t="array" aca="1" ref="AE7" ca="1">TREND($K7:$P7,$K$1:$P$1,AE$1)</f>
        <v>0.77</v>
      </c>
      <c r="AF7" s="38" cm="1">
        <f t="array" aca="1" ref="AF7" ca="1">TREND($K7:$P7,$K$1:$P$1,AF$1)</f>
        <v>0.7719999999999998</v>
      </c>
      <c r="AG7" s="38" cm="1">
        <f t="array" aca="1" ref="AG7" ca="1">TREND($K7:$P7,$K$1:$P$1,AG$1)</f>
        <v>0.77400000000000047</v>
      </c>
      <c r="AH7" s="38" cm="1">
        <f t="array" aca="1" ref="AH7" ca="1">TREND($K7:$P7,$K$1:$P$1,AH$1)</f>
        <v>0.77600000000000025</v>
      </c>
      <c r="AI7" s="38" cm="1">
        <f t="array" aca="1" ref="AI7" ca="1">TREND($K7:$P7,$K$1:$P$1,AI$1)</f>
        <v>0.77800000000000002</v>
      </c>
      <c r="AJ7" s="38" cm="1">
        <f t="array" aca="1" ref="AJ7" ca="1">TREND($K7:$P7,$K$1:$P$1,AJ$1)</f>
        <v>0.78000000000000069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0.12</v>
      </c>
      <c r="C8" s="38">
        <f t="shared" ca="1" si="3"/>
        <v>0.12</v>
      </c>
      <c r="D8" s="38">
        <f t="shared" ca="1" si="0"/>
        <v>0.12</v>
      </c>
      <c r="E8" s="38">
        <f t="shared" ca="1" si="0"/>
        <v>0.12</v>
      </c>
      <c r="F8" s="39" cm="1">
        <f t="array" aca="1" ref="F8" ca="1">INDIRECT(CONCATENATE("'",HLOOKUP(F$1,$B$21:$E$23,3,FALSE),"'!",$B$25,ROW($A8)+5))*About!$A$27</f>
        <v>0.12</v>
      </c>
      <c r="G8" s="38">
        <f t="shared" ca="1" si="4"/>
        <v>0.12</v>
      </c>
      <c r="H8" s="38">
        <f t="shared" ca="1" si="1"/>
        <v>0.12</v>
      </c>
      <c r="I8" s="38">
        <f t="shared" ca="1" si="1"/>
        <v>0.12</v>
      </c>
      <c r="J8" s="38">
        <f t="shared" ca="1" si="1"/>
        <v>0.12</v>
      </c>
      <c r="K8" s="39" cm="1">
        <f t="array" aca="1" ref="K8" ca="1">INDIRECT(CONCATENATE("'",HLOOKUP(K$1,$B$21:$E$23,3,FALSE),"'!",$B$25,ROW($A8)+5))*About!$A$27</f>
        <v>0.12</v>
      </c>
      <c r="L8" s="38">
        <f t="shared" ca="1" si="5"/>
        <v>0.122</v>
      </c>
      <c r="M8" s="38">
        <f t="shared" ca="1" si="2"/>
        <v>0.124</v>
      </c>
      <c r="N8" s="38">
        <f t="shared" ca="1" si="2"/>
        <v>0.126</v>
      </c>
      <c r="O8" s="38">
        <f t="shared" ca="1" si="2"/>
        <v>0.128</v>
      </c>
      <c r="P8" s="39" cm="1">
        <f t="array" aca="1" ref="P8" ca="1">INDIRECT(CONCATENATE("'",HLOOKUP(P$1,$B$21:$E$23,3,FALSE),"'!",$B$25,ROW($A8)+5))*About!$A$27</f>
        <v>0.13</v>
      </c>
      <c r="Q8" s="38" cm="1">
        <f t="array" aca="1" ref="Q8" ca="1">TREND($K8:$P8,$K$1:$P$1,Q$1)</f>
        <v>0.13200000000000056</v>
      </c>
      <c r="R8" s="38" cm="1">
        <f t="array" aca="1" ref="R8" ca="1">TREND($K8:$P8,$K$1:$P$1,R$1)</f>
        <v>0.13400000000000034</v>
      </c>
      <c r="S8" s="38" cm="1">
        <f t="array" aca="1" ref="S8" ca="1">TREND($K8:$P8,$K$1:$P$1,S$1)</f>
        <v>0.13600000000000012</v>
      </c>
      <c r="T8" s="38" cm="1">
        <f t="array" aca="1" ref="T8" ca="1">TREND($K8:$P8,$K$1:$P$1,T$1)</f>
        <v>0.1379999999999999</v>
      </c>
      <c r="U8" s="38" cm="1">
        <f t="array" aca="1" ref="U8" ca="1">TREND($K8:$P8,$K$1:$P$1,U$1)</f>
        <v>0.14000000000000057</v>
      </c>
      <c r="V8" s="38" cm="1">
        <f t="array" aca="1" ref="V8" ca="1">TREND($K8:$P8,$K$1:$P$1,V$1)</f>
        <v>0.14200000000000035</v>
      </c>
      <c r="W8" s="38" cm="1">
        <f t="array" aca="1" ref="W8" ca="1">TREND($K8:$P8,$K$1:$P$1,W$1)</f>
        <v>0.14400000000000013</v>
      </c>
      <c r="X8" s="38" cm="1">
        <f t="array" aca="1" ref="X8" ca="1">TREND($K8:$P8,$K$1:$P$1,X$1)</f>
        <v>0.1460000000000008</v>
      </c>
      <c r="Y8" s="38" cm="1">
        <f t="array" aca="1" ref="Y8" ca="1">TREND($K8:$P8,$K$1:$P$1,Y$1)</f>
        <v>0.14800000000000058</v>
      </c>
      <c r="Z8" s="38" cm="1">
        <f t="array" aca="1" ref="Z8" ca="1">TREND($K8:$P8,$K$1:$P$1,Z$1)</f>
        <v>0.15000000000000036</v>
      </c>
      <c r="AA8" s="38" cm="1">
        <f t="array" aca="1" ref="AA8" ca="1">TREND($K8:$P8,$K$1:$P$1,AA$1)</f>
        <v>0.15200000000000014</v>
      </c>
      <c r="AB8" s="38" cm="1">
        <f t="array" aca="1" ref="AB8" ca="1">TREND($K8:$P8,$K$1:$P$1,AB$1)</f>
        <v>0.15399999999999991</v>
      </c>
      <c r="AC8" s="38" cm="1">
        <f t="array" aca="1" ref="AC8" ca="1">TREND($K8:$P8,$K$1:$P$1,AC$1)</f>
        <v>0.15600000000000058</v>
      </c>
      <c r="AD8" s="38" cm="1">
        <f t="array" aca="1" ref="AD8" ca="1">TREND($K8:$P8,$K$1:$P$1,AD$1)</f>
        <v>0.15800000000000036</v>
      </c>
      <c r="AE8" s="38" cm="1">
        <f t="array" aca="1" ref="AE8" ca="1">TREND($K8:$P8,$K$1:$P$1,AE$1)</f>
        <v>0.16000000000000014</v>
      </c>
      <c r="AF8" s="38" cm="1">
        <f t="array" aca="1" ref="AF8" ca="1">TREND($K8:$P8,$K$1:$P$1,AF$1)</f>
        <v>0.16200000000000081</v>
      </c>
      <c r="AG8" s="38" cm="1">
        <f t="array" aca="1" ref="AG8" ca="1">TREND($K8:$P8,$K$1:$P$1,AG$1)</f>
        <v>0.16400000000000059</v>
      </c>
      <c r="AH8" s="38" cm="1">
        <f t="array" aca="1" ref="AH8" ca="1">TREND($K8:$P8,$K$1:$P$1,AH$1)</f>
        <v>0.16600000000000037</v>
      </c>
      <c r="AI8" s="38" cm="1">
        <f t="array" aca="1" ref="AI8" ca="1">TREND($K8:$P8,$K$1:$P$1,AI$1)</f>
        <v>0.16800000000000015</v>
      </c>
      <c r="AJ8" s="38" cm="1">
        <f t="array" aca="1" ref="AJ8" ca="1">TREND($K8:$P8,$K$1:$P$1,AJ$1)</f>
        <v>0.16999999999999993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2.9000000000000001E-2</v>
      </c>
      <c r="C9" s="38">
        <f t="shared" ca="1" si="3"/>
        <v>2.9000000000000001E-2</v>
      </c>
      <c r="D9" s="38">
        <f t="shared" ca="1" si="0"/>
        <v>2.9000000000000001E-2</v>
      </c>
      <c r="E9" s="38">
        <f t="shared" ca="1" si="0"/>
        <v>2.9000000000000001E-2</v>
      </c>
      <c r="F9" s="39" cm="1">
        <f t="array" aca="1" ref="F9" ca="1">INDIRECT(CONCATENATE("'",HLOOKUP(F$1,$B$21:$E$23,3,FALSE),"'!",$B$25,ROW($A9)+5))*About!$A$27</f>
        <v>2.9000000000000001E-2</v>
      </c>
      <c r="G9" s="38">
        <f t="shared" ca="1" si="4"/>
        <v>2.92E-2</v>
      </c>
      <c r="H9" s="38">
        <f t="shared" ca="1" si="1"/>
        <v>2.9399999999999999E-2</v>
      </c>
      <c r="I9" s="38">
        <f t="shared" ca="1" si="1"/>
        <v>2.9600000000000001E-2</v>
      </c>
      <c r="J9" s="38">
        <f t="shared" ca="1" si="1"/>
        <v>2.98E-2</v>
      </c>
      <c r="K9" s="39" cm="1">
        <f t="array" aca="1" ref="K9" ca="1">INDIRECT(CONCATENATE("'",HLOOKUP(K$1,$B$21:$E$23,3,FALSE),"'!",$B$25,ROW($A9)+5))*About!$A$27</f>
        <v>0.03</v>
      </c>
      <c r="L9" s="38">
        <f t="shared" ca="1" si="5"/>
        <v>3.04E-2</v>
      </c>
      <c r="M9" s="38">
        <f t="shared" ca="1" si="2"/>
        <v>3.0800000000000001E-2</v>
      </c>
      <c r="N9" s="38">
        <f t="shared" ca="1" si="2"/>
        <v>3.1199999999999999E-2</v>
      </c>
      <c r="O9" s="38">
        <f t="shared" ca="1" si="2"/>
        <v>3.1600000000000003E-2</v>
      </c>
      <c r="P9" s="39" cm="1">
        <f t="array" aca="1" ref="P9" ca="1">INDIRECT(CONCATENATE("'",HLOOKUP(P$1,$B$21:$E$23,3,FALSE),"'!",$B$25,ROW($A9)+5))*About!$A$27</f>
        <v>3.2000000000000001E-2</v>
      </c>
      <c r="Q9" s="38" cm="1">
        <f t="array" aca="1" ref="Q9" ca="1">TREND($K9:$P9,$K$1:$P$1,Q$1)</f>
        <v>3.2399999999999984E-2</v>
      </c>
      <c r="R9" s="38" cm="1">
        <f t="array" aca="1" ref="R9" ca="1">TREND($K9:$P9,$K$1:$P$1,R$1)</f>
        <v>3.2800000000000051E-2</v>
      </c>
      <c r="S9" s="38" cm="1">
        <f t="array" aca="1" ref="S9" ca="1">TREND($K9:$P9,$K$1:$P$1,S$1)</f>
        <v>3.3200000000000007E-2</v>
      </c>
      <c r="T9" s="38" cm="1">
        <f t="array" aca="1" ref="T9" ca="1">TREND($K9:$P9,$K$1:$P$1,T$1)</f>
        <v>3.3599999999999963E-2</v>
      </c>
      <c r="U9" s="38" cm="1">
        <f t="array" aca="1" ref="U9" ca="1">TREND($K9:$P9,$K$1:$P$1,U$1)</f>
        <v>3.400000000000003E-2</v>
      </c>
      <c r="V9" s="38" cm="1">
        <f t="array" aca="1" ref="V9" ca="1">TREND($K9:$P9,$K$1:$P$1,V$1)</f>
        <v>3.4399999999999986E-2</v>
      </c>
      <c r="W9" s="38" cm="1">
        <f t="array" aca="1" ref="W9" ca="1">TREND($K9:$P9,$K$1:$P$1,W$1)</f>
        <v>3.4800000000000053E-2</v>
      </c>
      <c r="X9" s="38" cm="1">
        <f t="array" aca="1" ref="X9" ca="1">TREND($K9:$P9,$K$1:$P$1,X$1)</f>
        <v>3.5200000000000009E-2</v>
      </c>
      <c r="Y9" s="38" cm="1">
        <f t="array" aca="1" ref="Y9" ca="1">TREND($K9:$P9,$K$1:$P$1,Y$1)</f>
        <v>3.5599999999999965E-2</v>
      </c>
      <c r="Z9" s="38" cm="1">
        <f t="array" aca="1" ref="Z9" ca="1">TREND($K9:$P9,$K$1:$P$1,Z$1)</f>
        <v>3.6000000000000032E-2</v>
      </c>
      <c r="AA9" s="38" cm="1">
        <f t="array" aca="1" ref="AA9" ca="1">TREND($K9:$P9,$K$1:$P$1,AA$1)</f>
        <v>3.6399999999999988E-2</v>
      </c>
      <c r="AB9" s="38" cm="1">
        <f t="array" aca="1" ref="AB9" ca="1">TREND($K9:$P9,$K$1:$P$1,AB$1)</f>
        <v>3.6800000000000055E-2</v>
      </c>
      <c r="AC9" s="38" cm="1">
        <f t="array" aca="1" ref="AC9" ca="1">TREND($K9:$P9,$K$1:$P$1,AC$1)</f>
        <v>3.7200000000000011E-2</v>
      </c>
      <c r="AD9" s="38" cm="1">
        <f t="array" aca="1" ref="AD9" ca="1">TREND($K9:$P9,$K$1:$P$1,AD$1)</f>
        <v>3.7599999999999967E-2</v>
      </c>
      <c r="AE9" s="38" cm="1">
        <f t="array" aca="1" ref="AE9" ca="1">TREND($K9:$P9,$K$1:$P$1,AE$1)</f>
        <v>3.8000000000000034E-2</v>
      </c>
      <c r="AF9" s="38" cm="1">
        <f t="array" aca="1" ref="AF9" ca="1">TREND($K9:$P9,$K$1:$P$1,AF$1)</f>
        <v>3.839999999999999E-2</v>
      </c>
      <c r="AG9" s="38" cm="1">
        <f t="array" aca="1" ref="AG9" ca="1">TREND($K9:$P9,$K$1:$P$1,AG$1)</f>
        <v>3.8800000000000057E-2</v>
      </c>
      <c r="AH9" s="38" cm="1">
        <f t="array" aca="1" ref="AH9" ca="1">TREND($K9:$P9,$K$1:$P$1,AH$1)</f>
        <v>3.9200000000000013E-2</v>
      </c>
      <c r="AI9" s="38" cm="1">
        <f t="array" aca="1" ref="AI9" ca="1">TREND($K9:$P9,$K$1:$P$1,AI$1)</f>
        <v>3.9599999999999969E-2</v>
      </c>
      <c r="AJ9" s="38" cm="1">
        <f t="array" aca="1" ref="AJ9" ca="1">TREND($K9:$P9,$K$1:$P$1,AJ$1)</f>
        <v>4.0000000000000036E-2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2.1000000000000001E-4</v>
      </c>
      <c r="C10" s="38">
        <f t="shared" ca="1" si="3"/>
        <v>2.1500000000000002E-4</v>
      </c>
      <c r="D10" s="38">
        <f t="shared" ca="1" si="0"/>
        <v>2.2000000000000001E-4</v>
      </c>
      <c r="E10" s="38">
        <f t="shared" ca="1" si="0"/>
        <v>2.2499999999999999E-4</v>
      </c>
      <c r="F10" s="39" cm="1">
        <f t="array" aca="1" ref="F10" ca="1">INDIRECT(CONCATENATE("'",HLOOKUP(F$1,$B$21:$E$23,3,FALSE),"'!",$B$25,ROW($A10)+5))*About!$A$27</f>
        <v>2.3000000000000001E-4</v>
      </c>
      <c r="G10" s="38">
        <f t="shared" ca="1" si="4"/>
        <v>2.34E-4</v>
      </c>
      <c r="H10" s="38">
        <f t="shared" ca="1" si="1"/>
        <v>2.3800000000000001E-4</v>
      </c>
      <c r="I10" s="38">
        <f t="shared" ca="1" si="1"/>
        <v>2.42E-4</v>
      </c>
      <c r="J10" s="38">
        <f t="shared" ca="1" si="1"/>
        <v>2.4600000000000002E-4</v>
      </c>
      <c r="K10" s="39" cm="1">
        <f t="array" aca="1" ref="K10" ca="1">INDIRECT(CONCATENATE("'",HLOOKUP(K$1,$B$21:$E$23,3,FALSE),"'!",$B$25,ROW($A10)+5))*About!$A$27</f>
        <v>2.5000000000000001E-4</v>
      </c>
      <c r="L10" s="38">
        <f t="shared" ca="1" si="5"/>
        <v>2.5399999999999999E-4</v>
      </c>
      <c r="M10" s="38">
        <f t="shared" ca="1" si="2"/>
        <v>2.5799999999999998E-4</v>
      </c>
      <c r="N10" s="38">
        <f t="shared" ca="1" si="2"/>
        <v>2.6200000000000003E-4</v>
      </c>
      <c r="O10" s="38">
        <f t="shared" ca="1" si="2"/>
        <v>2.6600000000000001E-4</v>
      </c>
      <c r="P10" s="39" cm="1">
        <f t="array" aca="1" ref="P10" ca="1">INDIRECT(CONCATENATE("'",HLOOKUP(P$1,$B$21:$E$23,3,FALSE),"'!",$B$25,ROW($A10)+5))*About!$A$27</f>
        <v>2.7E-4</v>
      </c>
      <c r="Q10" s="38" cm="1">
        <f t="array" aca="1" ref="Q10" ca="1">TREND($K10:$P10,$K$1:$P$1,Q$1)</f>
        <v>2.7399999999999994E-4</v>
      </c>
      <c r="R10" s="38" cm="1">
        <f t="array" aca="1" ref="R10" ca="1">TREND($K10:$P10,$K$1:$P$1,R$1)</f>
        <v>2.7800000000000047E-4</v>
      </c>
      <c r="S10" s="38" cm="1">
        <f t="array" aca="1" ref="S10" ca="1">TREND($K10:$P10,$K$1:$P$1,S$1)</f>
        <v>2.82000000000001E-4</v>
      </c>
      <c r="T10" s="38" cm="1">
        <f t="array" aca="1" ref="T10" ca="1">TREND($K10:$P10,$K$1:$P$1,T$1)</f>
        <v>2.859999999999998E-4</v>
      </c>
      <c r="U10" s="38" cm="1">
        <f t="array" aca="1" ref="U10" ca="1">TREND($K10:$P10,$K$1:$P$1,U$1)</f>
        <v>2.9000000000000033E-4</v>
      </c>
      <c r="V10" s="38" cm="1">
        <f t="array" aca="1" ref="V10" ca="1">TREND($K10:$P10,$K$1:$P$1,V$1)</f>
        <v>2.9400000000000086E-4</v>
      </c>
      <c r="W10" s="38" cm="1">
        <f t="array" aca="1" ref="W10" ca="1">TREND($K10:$P10,$K$1:$P$1,W$1)</f>
        <v>2.9799999999999965E-4</v>
      </c>
      <c r="X10" s="38" cm="1">
        <f t="array" aca="1" ref="X10" ca="1">TREND($K10:$P10,$K$1:$P$1,X$1)</f>
        <v>3.0200000000000018E-4</v>
      </c>
      <c r="Y10" s="38" cm="1">
        <f t="array" aca="1" ref="Y10" ca="1">TREND($K10:$P10,$K$1:$P$1,Y$1)</f>
        <v>3.0600000000000072E-4</v>
      </c>
      <c r="Z10" s="38" cm="1">
        <f t="array" aca="1" ref="Z10" ca="1">TREND($K10:$P10,$K$1:$P$1,Z$1)</f>
        <v>3.0999999999999951E-4</v>
      </c>
      <c r="AA10" s="38" cm="1">
        <f t="array" aca="1" ref="AA10" ca="1">TREND($K10:$P10,$K$1:$P$1,AA$1)</f>
        <v>3.1400000000000004E-4</v>
      </c>
      <c r="AB10" s="38" cm="1">
        <f t="array" aca="1" ref="AB10" ca="1">TREND($K10:$P10,$K$1:$P$1,AB$1)</f>
        <v>3.1800000000000057E-4</v>
      </c>
      <c r="AC10" s="38" cm="1">
        <f t="array" aca="1" ref="AC10" ca="1">TREND($K10:$P10,$K$1:$P$1,AC$1)</f>
        <v>3.220000000000011E-4</v>
      </c>
      <c r="AD10" s="38" cm="1">
        <f t="array" aca="1" ref="AD10" ca="1">TREND($K10:$P10,$K$1:$P$1,AD$1)</f>
        <v>3.259999999999999E-4</v>
      </c>
      <c r="AE10" s="38" cm="1">
        <f t="array" aca="1" ref="AE10" ca="1">TREND($K10:$P10,$K$1:$P$1,AE$1)</f>
        <v>3.3000000000000043E-4</v>
      </c>
      <c r="AF10" s="38" cm="1">
        <f t="array" aca="1" ref="AF10" ca="1">TREND($K10:$P10,$K$1:$P$1,AF$1)</f>
        <v>3.3400000000000096E-4</v>
      </c>
      <c r="AG10" s="38" cm="1">
        <f t="array" aca="1" ref="AG10" ca="1">TREND($K10:$P10,$K$1:$P$1,AG$1)</f>
        <v>3.3799999999999976E-4</v>
      </c>
      <c r="AH10" s="38" cm="1">
        <f t="array" aca="1" ref="AH10" ca="1">TREND($K10:$P10,$K$1:$P$1,AH$1)</f>
        <v>3.4200000000000029E-4</v>
      </c>
      <c r="AI10" s="38" cm="1">
        <f t="array" aca="1" ref="AI10" ca="1">TREND($K10:$P10,$K$1:$P$1,AI$1)</f>
        <v>3.4600000000000082E-4</v>
      </c>
      <c r="AJ10" s="38" cm="1">
        <f t="array" aca="1" ref="AJ10" ca="1">TREND($K10:$P10,$K$1:$P$1,AJ$1)</f>
        <v>3.4999999999999962E-4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2.0000000000000001E-4</v>
      </c>
      <c r="C11" s="38">
        <f t="shared" ca="1" si="3"/>
        <v>2.05E-4</v>
      </c>
      <c r="D11" s="38">
        <f t="shared" ca="1" si="0"/>
        <v>2.1000000000000001E-4</v>
      </c>
      <c r="E11" s="38">
        <f t="shared" ca="1" si="0"/>
        <v>2.1500000000000002E-4</v>
      </c>
      <c r="F11" s="39" cm="1">
        <f t="array" aca="1" ref="F11" ca="1">INDIRECT(CONCATENATE("'",HLOOKUP(F$1,$B$21:$E$23,3,FALSE),"'!",$B$25,ROW($A11)+5))*About!$A$27</f>
        <v>2.2000000000000001E-4</v>
      </c>
      <c r="G11" s="38">
        <f t="shared" ca="1" si="4"/>
        <v>2.24E-4</v>
      </c>
      <c r="H11" s="38">
        <f t="shared" ca="1" si="1"/>
        <v>2.2800000000000001E-4</v>
      </c>
      <c r="I11" s="38">
        <f t="shared" ca="1" si="1"/>
        <v>2.32E-4</v>
      </c>
      <c r="J11" s="38">
        <f t="shared" ca="1" si="1"/>
        <v>2.3600000000000002E-4</v>
      </c>
      <c r="K11" s="39" cm="1">
        <f t="array" aca="1" ref="K11" ca="1">INDIRECT(CONCATENATE("'",HLOOKUP(K$1,$B$21:$E$23,3,FALSE),"'!",$B$25,ROW($A11)+5))*About!$A$27</f>
        <v>2.4000000000000001E-4</v>
      </c>
      <c r="L11" s="38">
        <f t="shared" ca="1" si="5"/>
        <v>2.4600000000000002E-4</v>
      </c>
      <c r="M11" s="38">
        <f t="shared" ca="1" si="2"/>
        <v>2.52E-4</v>
      </c>
      <c r="N11" s="38">
        <f t="shared" ca="1" si="2"/>
        <v>2.5799999999999998E-4</v>
      </c>
      <c r="O11" s="38">
        <f t="shared" ca="1" si="2"/>
        <v>2.6400000000000002E-4</v>
      </c>
      <c r="P11" s="39" cm="1">
        <f t="array" aca="1" ref="P11" ca="1">INDIRECT(CONCATENATE("'",HLOOKUP(P$1,$B$21:$E$23,3,FALSE),"'!",$B$25,ROW($A11)+5))*About!$A$27</f>
        <v>2.7E-4</v>
      </c>
      <c r="Q11" s="38" cm="1">
        <f t="array" aca="1" ref="Q11" ca="1">TREND($K11:$P11,$K$1:$P$1,Q$1)</f>
        <v>2.760000000000002E-4</v>
      </c>
      <c r="R11" s="38" cm="1">
        <f t="array" aca="1" ref="R11" ca="1">TREND($K11:$P11,$K$1:$P$1,R$1)</f>
        <v>2.8199999999999927E-4</v>
      </c>
      <c r="S11" s="38" cm="1">
        <f t="array" aca="1" ref="S11" ca="1">TREND($K11:$P11,$K$1:$P$1,S$1)</f>
        <v>2.8800000000000006E-4</v>
      </c>
      <c r="T11" s="38" cm="1">
        <f t="array" aca="1" ref="T11" ca="1">TREND($K11:$P11,$K$1:$P$1,T$1)</f>
        <v>2.9399999999999912E-4</v>
      </c>
      <c r="U11" s="38" cm="1">
        <f t="array" aca="1" ref="U11" ca="1">TREND($K11:$P11,$K$1:$P$1,U$1)</f>
        <v>2.9999999999999992E-4</v>
      </c>
      <c r="V11" s="38" cm="1">
        <f t="array" aca="1" ref="V11" ca="1">TREND($K11:$P11,$K$1:$P$1,V$1)</f>
        <v>3.0600000000000072E-4</v>
      </c>
      <c r="W11" s="38" cm="1">
        <f t="array" aca="1" ref="W11" ca="1">TREND($K11:$P11,$K$1:$P$1,W$1)</f>
        <v>3.1199999999999978E-4</v>
      </c>
      <c r="X11" s="38" cm="1">
        <f t="array" aca="1" ref="X11" ca="1">TREND($K11:$P11,$K$1:$P$1,X$1)</f>
        <v>3.1800000000000057E-4</v>
      </c>
      <c r="Y11" s="38" cm="1">
        <f t="array" aca="1" ref="Y11" ca="1">TREND($K11:$P11,$K$1:$P$1,Y$1)</f>
        <v>3.2399999999999964E-4</v>
      </c>
      <c r="Z11" s="38" cm="1">
        <f t="array" aca="1" ref="Z11" ca="1">TREND($K11:$P11,$K$1:$P$1,Z$1)</f>
        <v>3.3000000000000043E-4</v>
      </c>
      <c r="AA11" s="38" cm="1">
        <f t="array" aca="1" ref="AA11" ca="1">TREND($K11:$P11,$K$1:$P$1,AA$1)</f>
        <v>3.3599999999999949E-4</v>
      </c>
      <c r="AB11" s="38" cm="1">
        <f t="array" aca="1" ref="AB11" ca="1">TREND($K11:$P11,$K$1:$P$1,AB$1)</f>
        <v>3.4200000000000029E-4</v>
      </c>
      <c r="AC11" s="38" cm="1">
        <f t="array" aca="1" ref="AC11" ca="1">TREND($K11:$P11,$K$1:$P$1,AC$1)</f>
        <v>3.4799999999999935E-4</v>
      </c>
      <c r="AD11" s="38" cm="1">
        <f t="array" aca="1" ref="AD11" ca="1">TREND($K11:$P11,$K$1:$P$1,AD$1)</f>
        <v>3.5400000000000015E-4</v>
      </c>
      <c r="AE11" s="38" cm="1">
        <f t="array" aca="1" ref="AE11" ca="1">TREND($K11:$P11,$K$1:$P$1,AE$1)</f>
        <v>3.5999999999999921E-4</v>
      </c>
      <c r="AF11" s="38" cm="1">
        <f t="array" aca="1" ref="AF11" ca="1">TREND($K11:$P11,$K$1:$P$1,AF$1)</f>
        <v>3.6600000000000001E-4</v>
      </c>
      <c r="AG11" s="38" cm="1">
        <f t="array" aca="1" ref="AG11" ca="1">TREND($K11:$P11,$K$1:$P$1,AG$1)</f>
        <v>3.7199999999999907E-4</v>
      </c>
      <c r="AH11" s="38" cm="1">
        <f t="array" aca="1" ref="AH11" ca="1">TREND($K11:$P11,$K$1:$P$1,AH$1)</f>
        <v>3.7799999999999986E-4</v>
      </c>
      <c r="AI11" s="38" cm="1">
        <f t="array" aca="1" ref="AI11" ca="1">TREND($K11:$P11,$K$1:$P$1,AI$1)</f>
        <v>3.8400000000000066E-4</v>
      </c>
      <c r="AJ11" s="38" cm="1">
        <f t="array" aca="1" ref="AJ11" ca="1">TREND($K11:$P11,$K$1:$P$1,AJ$1)</f>
        <v>3.8999999999999972E-4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9.5199999999999994E-4</v>
      </c>
      <c r="C12" s="38">
        <f t="shared" ca="1" si="3"/>
        <v>9.6874999999999999E-4</v>
      </c>
      <c r="D12" s="38">
        <f t="shared" ca="1" si="0"/>
        <v>9.8549999999999983E-4</v>
      </c>
      <c r="E12" s="38">
        <f t="shared" ca="1" si="0"/>
        <v>1.0022499999999999E-3</v>
      </c>
      <c r="F12" s="40">
        <f ca="1">SUM(INDIRECT(CONCATENATE("'",HLOOKUP(F$1,$B$21:$E$23,3,FALSE),"'!",$B$25,ROW($A12)+5,":",$B$25,ROW($A12)+6)))*About!$A$27</f>
        <v>1.0189999999999999E-3</v>
      </c>
      <c r="G12" s="38">
        <f t="shared" ca="1" si="4"/>
        <v>1.0372000000000001E-3</v>
      </c>
      <c r="H12" s="38">
        <f t="shared" ca="1" si="1"/>
        <v>1.0554E-3</v>
      </c>
      <c r="I12" s="38">
        <f t="shared" ca="1" si="1"/>
        <v>1.0736000000000001E-3</v>
      </c>
      <c r="J12" s="38">
        <f t="shared" ca="1" si="1"/>
        <v>1.0918E-3</v>
      </c>
      <c r="K12" s="40">
        <f ca="1">SUM(INDIRECT(CONCATENATE("'",HLOOKUP(K$1,$B$21:$E$23,3,FALSE),"'!",$B$25,ROW($A12)+5,":",$B$25,ROW($A12)+6)))*About!$A$27</f>
        <v>1.1100000000000001E-3</v>
      </c>
      <c r="L12" s="38">
        <f t="shared" ca="1" si="5"/>
        <v>1.1320000000000002E-3</v>
      </c>
      <c r="M12" s="38">
        <f t="shared" ca="1" si="2"/>
        <v>1.1540000000000001E-3</v>
      </c>
      <c r="N12" s="38">
        <f t="shared" ca="1" si="2"/>
        <v>1.1760000000000002E-3</v>
      </c>
      <c r="O12" s="38">
        <f t="shared" ca="1" si="2"/>
        <v>1.1980000000000001E-3</v>
      </c>
      <c r="P12" s="40">
        <f ca="1">SUM(INDIRECT(CONCATENATE("'",HLOOKUP(P$1,$B$21:$E$23,3,FALSE),"'!",$B$25,ROW($A12)+5,":",$B$25,ROW($A12)+6)))*About!$A$27</f>
        <v>1.2200000000000002E-3</v>
      </c>
      <c r="Q12" s="38" cm="1">
        <f t="array" aca="1" ref="Q12" ca="1">TREND($K12:$P12,$K$1:$P$1,Q$1)</f>
        <v>1.242E-3</v>
      </c>
      <c r="R12" s="38" cm="1">
        <f t="array" aca="1" ref="R12" ca="1">TREND($K12:$P12,$K$1:$P$1,R$1)</f>
        <v>1.2640000000000012E-3</v>
      </c>
      <c r="S12" s="38" cm="1">
        <f t="array" aca="1" ref="S12" ca="1">TREND($K12:$P12,$K$1:$P$1,S$1)</f>
        <v>1.2860000000000024E-3</v>
      </c>
      <c r="T12" s="38" cm="1">
        <f t="array" aca="1" ref="T12" ca="1">TREND($K12:$P12,$K$1:$P$1,T$1)</f>
        <v>1.3079999999999967E-3</v>
      </c>
      <c r="U12" s="38" cm="1">
        <f t="array" aca="1" ref="U12" ca="1">TREND($K12:$P12,$K$1:$P$1,U$1)</f>
        <v>1.3299999999999979E-3</v>
      </c>
      <c r="V12" s="38" cm="1">
        <f t="array" aca="1" ref="V12" ca="1">TREND($K12:$P12,$K$1:$P$1,V$1)</f>
        <v>1.351999999999999E-3</v>
      </c>
      <c r="W12" s="38" cm="1">
        <f t="array" aca="1" ref="W12" ca="1">TREND($K12:$P12,$K$1:$P$1,W$1)</f>
        <v>1.3740000000000002E-3</v>
      </c>
      <c r="X12" s="38" cm="1">
        <f t="array" aca="1" ref="X12" ca="1">TREND($K12:$P12,$K$1:$P$1,X$1)</f>
        <v>1.3960000000000014E-3</v>
      </c>
      <c r="Y12" s="38" cm="1">
        <f t="array" aca="1" ref="Y12" ca="1">TREND($K12:$P12,$K$1:$P$1,Y$1)</f>
        <v>1.4180000000000026E-3</v>
      </c>
      <c r="Z12" s="38" cm="1">
        <f t="array" aca="1" ref="Z12" ca="1">TREND($K12:$P12,$K$1:$P$1,Z$1)</f>
        <v>1.4399999999999968E-3</v>
      </c>
      <c r="AA12" s="38" cm="1">
        <f t="array" aca="1" ref="AA12" ca="1">TREND($K12:$P12,$K$1:$P$1,AA$1)</f>
        <v>1.461999999999998E-3</v>
      </c>
      <c r="AB12" s="38" cm="1">
        <f t="array" aca="1" ref="AB12" ca="1">TREND($K12:$P12,$K$1:$P$1,AB$1)</f>
        <v>1.4839999999999992E-3</v>
      </c>
      <c r="AC12" s="38" cm="1">
        <f t="array" aca="1" ref="AC12" ca="1">TREND($K12:$P12,$K$1:$P$1,AC$1)</f>
        <v>1.5060000000000004E-3</v>
      </c>
      <c r="AD12" s="38" cm="1">
        <f t="array" aca="1" ref="AD12" ca="1">TREND($K12:$P12,$K$1:$P$1,AD$1)</f>
        <v>1.5280000000000016E-3</v>
      </c>
      <c r="AE12" s="38" cm="1">
        <f t="array" aca="1" ref="AE12" ca="1">TREND($K12:$P12,$K$1:$P$1,AE$1)</f>
        <v>1.5500000000000028E-3</v>
      </c>
      <c r="AF12" s="38" cm="1">
        <f t="array" aca="1" ref="AF12" ca="1">TREND($K12:$P12,$K$1:$P$1,AF$1)</f>
        <v>1.571999999999997E-3</v>
      </c>
      <c r="AG12" s="38" cm="1">
        <f t="array" aca="1" ref="AG12" ca="1">TREND($K12:$P12,$K$1:$P$1,AG$1)</f>
        <v>1.5939999999999982E-3</v>
      </c>
      <c r="AH12" s="38" cm="1">
        <f t="array" aca="1" ref="AH12" ca="1">TREND($K12:$P12,$K$1:$P$1,AH$1)</f>
        <v>1.6159999999999994E-3</v>
      </c>
      <c r="AI12" s="38" cm="1">
        <f t="array" aca="1" ref="AI12" ca="1">TREND($K12:$P12,$K$1:$P$1,AI$1)</f>
        <v>1.6380000000000006E-3</v>
      </c>
      <c r="AJ12" s="38" cm="1">
        <f t="array" aca="1" ref="AJ12" ca="1">TREND($K12:$P12,$K$1:$P$1,AJ$1)</f>
        <v>1.6600000000000018E-3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HOIpTP-buildings-NOx</v>
      </c>
    </row>
    <row r="18" spans="1:5" x14ac:dyDescent="0.25">
      <c r="A18" t="s">
        <v>114</v>
      </c>
      <c r="B18" t="str">
        <f ca="1">RIGHT(B17,LEN(B17)-7)</f>
        <v>buildings-NOx</v>
      </c>
    </row>
    <row r="19" spans="1:5" x14ac:dyDescent="0.25">
      <c r="A19" t="s">
        <v>115</v>
      </c>
      <c r="B19" t="str">
        <f ca="1">LEFT(B18,FIND("-",B18)-1)</f>
        <v>buildings</v>
      </c>
    </row>
    <row r="20" spans="1:5" x14ac:dyDescent="0.25">
      <c r="A20" t="s">
        <v>122</v>
      </c>
      <c r="B20" t="str">
        <f ca="1">VLOOKUP($B$19,Mappings!$A$22:$B$26,COLUMN(Mappings!$B$21),FALSE)</f>
        <v>area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11</v>
      </c>
      <c r="C22" s="32">
        <f ca="1">VLOOKUP($B$20,Mappings!$A$3:$E$19,COLUMN(Mappings!C$2),FALSE)</f>
        <v>28</v>
      </c>
      <c r="D22" s="32">
        <f ca="1">VLOOKUP($B$20,Mappings!$A$3:$E$19,COLUMN(Mappings!D$2),FALSE)</f>
        <v>45</v>
      </c>
      <c r="E22" s="33">
        <f ca="1">VLOOKUP($B$20,Mappings!$A$3:$E$19,COLUMN(Mappings!E$2),FALSE)</f>
        <v>62</v>
      </c>
    </row>
    <row r="23" spans="1:5" x14ac:dyDescent="0.25">
      <c r="A23" s="34" t="s">
        <v>113</v>
      </c>
      <c r="B23" s="35" t="str">
        <f ca="1">CONCATENATE("Table ",B22)</f>
        <v>Table 11</v>
      </c>
      <c r="C23" s="35" t="str">
        <f ca="1">CONCATENATE("Table ",C22)</f>
        <v>Table 28</v>
      </c>
      <c r="D23" s="35" t="str">
        <f ca="1">CONCATENATE("Table ",D22)</f>
        <v>Table 45</v>
      </c>
      <c r="E23" s="36" t="str">
        <f ca="1">CONCATENATE("Table ",E22)</f>
        <v>Table 62</v>
      </c>
    </row>
    <row r="24" spans="1:5" x14ac:dyDescent="0.25">
      <c r="A24" t="s">
        <v>116</v>
      </c>
      <c r="B24" t="str">
        <f ca="1">REPLACE(B18,1,FIND("-",B18),"")</f>
        <v>NOx</v>
      </c>
    </row>
    <row r="25" spans="1:5" x14ac:dyDescent="0.25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6E45-BCA1-429D-8362-2E1F29922109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3.7999999999999999E-2</v>
      </c>
      <c r="C2" s="38">
        <f ca="1">$B2+($F2-$B2)*(C$1-$B$1)/($F$1-$B$1)</f>
        <v>3.85E-2</v>
      </c>
      <c r="D2" s="38">
        <f t="shared" ref="D2:E12" ca="1" si="0">$B2+($F2-$B2)*(D$1-$B$1)/($F$1-$B$1)</f>
        <v>3.9E-2</v>
      </c>
      <c r="E2" s="38">
        <f t="shared" ca="1" si="0"/>
        <v>3.95E-2</v>
      </c>
      <c r="F2" s="37" cm="1">
        <f t="array" aca="1" ref="F2" ca="1">INDIRECT(CONCATENATE("'",HLOOKUP(F$1,$B$21:$E$23,3,FALSE),"'!",$B$25,ROW($A2)+3))*About!$A$27</f>
        <v>0.04</v>
      </c>
      <c r="G2" s="38">
        <f ca="1">$F2+($K2-$F2)*(G$1-$F$1)/($K$1-$F$1)</f>
        <v>4.0599999999999997E-2</v>
      </c>
      <c r="H2" s="38">
        <f t="shared" ref="H2:J12" ca="1" si="1">$F2+($K2-$F2)*(H$1-$F$1)/($K$1-$F$1)</f>
        <v>4.1200000000000001E-2</v>
      </c>
      <c r="I2" s="38">
        <f t="shared" ca="1" si="1"/>
        <v>4.1799999999999997E-2</v>
      </c>
      <c r="J2" s="38">
        <f t="shared" ca="1" si="1"/>
        <v>4.24E-2</v>
      </c>
      <c r="K2" s="37" cm="1">
        <f t="array" aca="1" ref="K2" ca="1">INDIRECT(CONCATENATE("'",HLOOKUP(K$1,$B$21:$E$23,3,FALSE),"'!",$B$25,ROW($A2)+3))*About!$A$27</f>
        <v>4.2999999999999997E-2</v>
      </c>
      <c r="L2" s="38">
        <f ca="1">$K2+($P2-$K2)*(L$1-$K$1)/($P$1-$K$1)</f>
        <v>4.36E-2</v>
      </c>
      <c r="M2" s="38">
        <f t="shared" ref="M2:O12" ca="1" si="2">$K2+($P2-$K2)*(M$1-$K$1)/($P$1-$K$1)</f>
        <v>4.4199999999999996E-2</v>
      </c>
      <c r="N2" s="38">
        <f t="shared" ca="1" si="2"/>
        <v>4.48E-2</v>
      </c>
      <c r="O2" s="38">
        <f t="shared" ca="1" si="2"/>
        <v>4.5399999999999996E-2</v>
      </c>
      <c r="P2" s="37" cm="1">
        <f t="array" aca="1" ref="P2" ca="1">INDIRECT(CONCATENATE("'",HLOOKUP(P$1,$B$21:$E$23,3,FALSE),"'!",$B$25,ROW($A2)+3))*About!$A$27</f>
        <v>4.5999999999999999E-2</v>
      </c>
      <c r="Q2" s="38" cm="1">
        <f t="array" aca="1" ref="Q2" ca="1">TREND($K2:$P2,$K$1:$P$1,Q$1)</f>
        <v>4.6599999999999975E-2</v>
      </c>
      <c r="R2" s="38" cm="1">
        <f t="array" aca="1" ref="R2" ca="1">TREND($K2:$P2,$K$1:$P$1,R$1)</f>
        <v>4.7199999999999909E-2</v>
      </c>
      <c r="S2" s="38" cm="1">
        <f t="array" aca="1" ref="S2" ca="1">TREND($K2:$P2,$K$1:$P$1,S$1)</f>
        <v>4.7800000000000065E-2</v>
      </c>
      <c r="T2" s="38" cm="1">
        <f t="array" aca="1" ref="T2" ca="1">TREND($K2:$P2,$K$1:$P$1,T$1)</f>
        <v>4.8399999999999999E-2</v>
      </c>
      <c r="U2" s="38" cm="1">
        <f t="array" aca="1" ref="U2" ca="1">TREND($K2:$P2,$K$1:$P$1,U$1)</f>
        <v>4.8999999999999932E-2</v>
      </c>
      <c r="V2" s="38" cm="1">
        <f t="array" aca="1" ref="V2" ca="1">TREND($K2:$P2,$K$1:$P$1,V$1)</f>
        <v>4.9599999999999866E-2</v>
      </c>
      <c r="W2" s="38" cm="1">
        <f t="array" aca="1" ref="W2" ca="1">TREND($K2:$P2,$K$1:$P$1,W$1)</f>
        <v>5.0200000000000022E-2</v>
      </c>
      <c r="X2" s="38" cm="1">
        <f t="array" aca="1" ref="X2" ca="1">TREND($K2:$P2,$K$1:$P$1,X$1)</f>
        <v>5.0799999999999956E-2</v>
      </c>
      <c r="Y2" s="38" cm="1">
        <f t="array" aca="1" ref="Y2" ca="1">TREND($K2:$P2,$K$1:$P$1,Y$1)</f>
        <v>5.139999999999989E-2</v>
      </c>
      <c r="Z2" s="38" cm="1">
        <f t="array" aca="1" ref="Z2" ca="1">TREND($K2:$P2,$K$1:$P$1,Z$1)</f>
        <v>5.2000000000000046E-2</v>
      </c>
      <c r="AA2" s="38" cm="1">
        <f t="array" aca="1" ref="AA2" ca="1">TREND($K2:$P2,$K$1:$P$1,AA$1)</f>
        <v>5.259999999999998E-2</v>
      </c>
      <c r="AB2" s="38" cm="1">
        <f t="array" aca="1" ref="AB2" ca="1">TREND($K2:$P2,$K$1:$P$1,AB$1)</f>
        <v>5.3199999999999914E-2</v>
      </c>
      <c r="AC2" s="38" cm="1">
        <f t="array" aca="1" ref="AC2" ca="1">TREND($K2:$P2,$K$1:$P$1,AC$1)</f>
        <v>5.380000000000007E-2</v>
      </c>
      <c r="AD2" s="38" cm="1">
        <f t="array" aca="1" ref="AD2" ca="1">TREND($K2:$P2,$K$1:$P$1,AD$1)</f>
        <v>5.4400000000000004E-2</v>
      </c>
      <c r="AE2" s="38" cm="1">
        <f t="array" aca="1" ref="AE2" ca="1">TREND($K2:$P2,$K$1:$P$1,AE$1)</f>
        <v>5.4999999999999938E-2</v>
      </c>
      <c r="AF2" s="38" cm="1">
        <f t="array" aca="1" ref="AF2" ca="1">TREND($K2:$P2,$K$1:$P$1,AF$1)</f>
        <v>5.5599999999999872E-2</v>
      </c>
      <c r="AG2" s="38" cm="1">
        <f t="array" aca="1" ref="AG2" ca="1">TREND($K2:$P2,$K$1:$P$1,AG$1)</f>
        <v>5.6200000000000028E-2</v>
      </c>
      <c r="AH2" s="38" cm="1">
        <f t="array" aca="1" ref="AH2" ca="1">TREND($K2:$P2,$K$1:$P$1,AH$1)</f>
        <v>5.6799999999999962E-2</v>
      </c>
      <c r="AI2" s="38" cm="1">
        <f t="array" aca="1" ref="AI2" ca="1">TREND($K2:$P2,$K$1:$P$1,AI$1)</f>
        <v>5.7399999999999896E-2</v>
      </c>
      <c r="AJ2" s="38" cm="1">
        <f t="array" aca="1" ref="AJ2" ca="1">TREND($K2:$P2,$K$1:$P$1,AJ$1)</f>
        <v>5.8000000000000052E-2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2.1999999999999999E-2</v>
      </c>
      <c r="C3" s="38">
        <f t="shared" ref="C3:C12" ca="1" si="3">$B3+($F3-$B3)*(C$1-$B$1)/($F$1-$B$1)</f>
        <v>2.2249999999999999E-2</v>
      </c>
      <c r="D3" s="38">
        <f t="shared" ca="1" si="0"/>
        <v>2.2499999999999999E-2</v>
      </c>
      <c r="E3" s="38">
        <f t="shared" ca="1" si="0"/>
        <v>2.2749999999999999E-2</v>
      </c>
      <c r="F3" s="39" cm="1">
        <f t="array" aca="1" ref="F3" ca="1">INDIRECT(CONCATENATE("'",HLOOKUP(F$1,$B$21:$E$23,3,FALSE),"'!",$B$25,ROW($A3)+5))*About!$A$27</f>
        <v>2.3E-2</v>
      </c>
      <c r="G3" s="38">
        <f t="shared" ref="G3:G12" ca="1" si="4">$F3+($K3-$F3)*(G$1-$F$1)/($K$1-$F$1)</f>
        <v>2.3199999999999998E-2</v>
      </c>
      <c r="H3" s="38">
        <f t="shared" ca="1" si="1"/>
        <v>2.3400000000000001E-2</v>
      </c>
      <c r="I3" s="38">
        <f t="shared" ca="1" si="1"/>
        <v>2.3599999999999999E-2</v>
      </c>
      <c r="J3" s="38">
        <f t="shared" ca="1" si="1"/>
        <v>2.3800000000000002E-2</v>
      </c>
      <c r="K3" s="39" cm="1">
        <f t="array" aca="1" ref="K3" ca="1">INDIRECT(CONCATENATE("'",HLOOKUP(K$1,$B$21:$E$23,3,FALSE),"'!",$B$25,ROW($A3)+5))*About!$A$27</f>
        <v>2.4E-2</v>
      </c>
      <c r="L3" s="38">
        <f t="shared" ref="L3:L12" ca="1" si="5">$K3+($P3-$K3)*(L$1-$K$1)/($P$1-$K$1)</f>
        <v>2.4199999999999999E-2</v>
      </c>
      <c r="M3" s="38">
        <f t="shared" ca="1" si="2"/>
        <v>2.4400000000000002E-2</v>
      </c>
      <c r="N3" s="38">
        <f t="shared" ca="1" si="2"/>
        <v>2.46E-2</v>
      </c>
      <c r="O3" s="38">
        <f t="shared" ca="1" si="2"/>
        <v>2.4800000000000003E-2</v>
      </c>
      <c r="P3" s="39" cm="1">
        <f t="array" aca="1" ref="P3" ca="1">INDIRECT(CONCATENATE("'",HLOOKUP(P$1,$B$21:$E$23,3,FALSE),"'!",$B$25,ROW($A3)+5))*About!$A$27</f>
        <v>2.5000000000000001E-2</v>
      </c>
      <c r="Q3" s="38" cm="1">
        <f t="array" aca="1" ref="Q3" ca="1">TREND($K3:$P3,$K$1:$P$1,Q$1)</f>
        <v>2.52E-2</v>
      </c>
      <c r="R3" s="38" cm="1">
        <f t="array" aca="1" ref="R3" ca="1">TREND($K3:$P3,$K$1:$P$1,R$1)</f>
        <v>2.5400000000000034E-2</v>
      </c>
      <c r="S3" s="38" cm="1">
        <f t="array" aca="1" ref="S3" ca="1">TREND($K3:$P3,$K$1:$P$1,S$1)</f>
        <v>2.5600000000000012E-2</v>
      </c>
      <c r="T3" s="38" cm="1">
        <f t="array" aca="1" ref="T3" ca="1">TREND($K3:$P3,$K$1:$P$1,T$1)</f>
        <v>2.579999999999999E-2</v>
      </c>
      <c r="U3" s="38" cm="1">
        <f t="array" aca="1" ref="U3" ca="1">TREND($K3:$P3,$K$1:$P$1,U$1)</f>
        <v>2.6000000000000023E-2</v>
      </c>
      <c r="V3" s="38" cm="1">
        <f t="array" aca="1" ref="V3" ca="1">TREND($K3:$P3,$K$1:$P$1,V$1)</f>
        <v>2.6200000000000001E-2</v>
      </c>
      <c r="W3" s="38" cm="1">
        <f t="array" aca="1" ref="W3" ca="1">TREND($K3:$P3,$K$1:$P$1,W$1)</f>
        <v>2.6400000000000035E-2</v>
      </c>
      <c r="X3" s="38" cm="1">
        <f t="array" aca="1" ref="X3" ca="1">TREND($K3:$P3,$K$1:$P$1,X$1)</f>
        <v>2.6600000000000013E-2</v>
      </c>
      <c r="Y3" s="38" cm="1">
        <f t="array" aca="1" ref="Y3" ca="1">TREND($K3:$P3,$K$1:$P$1,Y$1)</f>
        <v>2.679999999999999E-2</v>
      </c>
      <c r="Z3" s="38" cm="1">
        <f t="array" aca="1" ref="Z3" ca="1">TREND($K3:$P3,$K$1:$P$1,Z$1)</f>
        <v>2.7000000000000024E-2</v>
      </c>
      <c r="AA3" s="38" cm="1">
        <f t="array" aca="1" ref="AA3" ca="1">TREND($K3:$P3,$K$1:$P$1,AA$1)</f>
        <v>2.7200000000000002E-2</v>
      </c>
      <c r="AB3" s="38" cm="1">
        <f t="array" aca="1" ref="AB3" ca="1">TREND($K3:$P3,$K$1:$P$1,AB$1)</f>
        <v>2.7400000000000035E-2</v>
      </c>
      <c r="AC3" s="38" cm="1">
        <f t="array" aca="1" ref="AC3" ca="1">TREND($K3:$P3,$K$1:$P$1,AC$1)</f>
        <v>2.7600000000000013E-2</v>
      </c>
      <c r="AD3" s="38" cm="1">
        <f t="array" aca="1" ref="AD3" ca="1">TREND($K3:$P3,$K$1:$P$1,AD$1)</f>
        <v>2.7799999999999991E-2</v>
      </c>
      <c r="AE3" s="38" cm="1">
        <f t="array" aca="1" ref="AE3" ca="1">TREND($K3:$P3,$K$1:$P$1,AE$1)</f>
        <v>2.8000000000000025E-2</v>
      </c>
      <c r="AF3" s="38" cm="1">
        <f t="array" aca="1" ref="AF3" ca="1">TREND($K3:$P3,$K$1:$P$1,AF$1)</f>
        <v>2.8200000000000003E-2</v>
      </c>
      <c r="AG3" s="38" cm="1">
        <f t="array" aca="1" ref="AG3" ca="1">TREND($K3:$P3,$K$1:$P$1,AG$1)</f>
        <v>2.8400000000000036E-2</v>
      </c>
      <c r="AH3" s="38" cm="1">
        <f t="array" aca="1" ref="AH3" ca="1">TREND($K3:$P3,$K$1:$P$1,AH$1)</f>
        <v>2.8600000000000014E-2</v>
      </c>
      <c r="AI3" s="38" cm="1">
        <f t="array" aca="1" ref="AI3" ca="1">TREND($K3:$P3,$K$1:$P$1,AI$1)</f>
        <v>2.8799999999999992E-2</v>
      </c>
      <c r="AJ3" s="38" cm="1">
        <f t="array" aca="1" ref="AJ3" ca="1">TREND($K3:$P3,$K$1:$P$1,AJ$1)</f>
        <v>2.9000000000000026E-2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5.3999999999999999E-2</v>
      </c>
      <c r="C4" s="38">
        <f t="shared" ca="1" si="3"/>
        <v>5.3999999999999999E-2</v>
      </c>
      <c r="D4" s="38">
        <f t="shared" ca="1" si="0"/>
        <v>5.3999999999999999E-2</v>
      </c>
      <c r="E4" s="38">
        <f t="shared" ca="1" si="0"/>
        <v>5.3999999999999999E-2</v>
      </c>
      <c r="F4" s="39" cm="1">
        <f t="array" aca="1" ref="F4" ca="1">INDIRECT(CONCATENATE("'",HLOOKUP(F$1,$B$21:$E$23,3,FALSE),"'!",$B$25,ROW($A4)+5))*About!$A$27</f>
        <v>5.3999999999999999E-2</v>
      </c>
      <c r="G4" s="38">
        <f t="shared" ca="1" si="4"/>
        <v>5.4600000000000003E-2</v>
      </c>
      <c r="H4" s="38">
        <f t="shared" ca="1" si="1"/>
        <v>5.5199999999999999E-2</v>
      </c>
      <c r="I4" s="38">
        <f t="shared" ca="1" si="1"/>
        <v>5.5800000000000002E-2</v>
      </c>
      <c r="J4" s="38">
        <f t="shared" ca="1" si="1"/>
        <v>5.6399999999999999E-2</v>
      </c>
      <c r="K4" s="39" cm="1">
        <f t="array" aca="1" ref="K4" ca="1">INDIRECT(CONCATENATE("'",HLOOKUP(K$1,$B$21:$E$23,3,FALSE),"'!",$B$25,ROW($A4)+5))*About!$A$27</f>
        <v>5.7000000000000002E-2</v>
      </c>
      <c r="L4" s="38">
        <f t="shared" ca="1" si="5"/>
        <v>5.8000000000000003E-2</v>
      </c>
      <c r="M4" s="38">
        <f t="shared" ca="1" si="2"/>
        <v>5.9000000000000004E-2</v>
      </c>
      <c r="N4" s="38">
        <f t="shared" ca="1" si="2"/>
        <v>0.06</v>
      </c>
      <c r="O4" s="38">
        <f t="shared" ca="1" si="2"/>
        <v>6.0999999999999999E-2</v>
      </c>
      <c r="P4" s="39" cm="1">
        <f t="array" aca="1" ref="P4" ca="1">INDIRECT(CONCATENATE("'",HLOOKUP(P$1,$B$21:$E$23,3,FALSE),"'!",$B$25,ROW($A4)+5))*About!$A$27</f>
        <v>6.2E-2</v>
      </c>
      <c r="Q4" s="38" cm="1">
        <f t="array" aca="1" ref="Q4" ca="1">TREND($K4:$P4,$K$1:$P$1,Q$1)</f>
        <v>6.3000000000000389E-2</v>
      </c>
      <c r="R4" s="38" cm="1">
        <f t="array" aca="1" ref="R4" ca="1">TREND($K4:$P4,$K$1:$P$1,R$1)</f>
        <v>6.4000000000000279E-2</v>
      </c>
      <c r="S4" s="38" cm="1">
        <f t="array" aca="1" ref="S4" ca="1">TREND($K4:$P4,$K$1:$P$1,S$1)</f>
        <v>6.5000000000000169E-2</v>
      </c>
      <c r="T4" s="38" cm="1">
        <f t="array" aca="1" ref="T4" ca="1">TREND($K4:$P4,$K$1:$P$1,T$1)</f>
        <v>6.6000000000000503E-2</v>
      </c>
      <c r="U4" s="38" cm="1">
        <f t="array" aca="1" ref="U4" ca="1">TREND($K4:$P4,$K$1:$P$1,U$1)</f>
        <v>6.7000000000000393E-2</v>
      </c>
      <c r="V4" s="38" cm="1">
        <f t="array" aca="1" ref="V4" ca="1">TREND($K4:$P4,$K$1:$P$1,V$1)</f>
        <v>6.8000000000000282E-2</v>
      </c>
      <c r="W4" s="38" cm="1">
        <f t="array" aca="1" ref="W4" ca="1">TREND($K4:$P4,$K$1:$P$1,W$1)</f>
        <v>6.9000000000000172E-2</v>
      </c>
      <c r="X4" s="38" cm="1">
        <f t="array" aca="1" ref="X4" ca="1">TREND($K4:$P4,$K$1:$P$1,X$1)</f>
        <v>7.0000000000000506E-2</v>
      </c>
      <c r="Y4" s="38" cm="1">
        <f t="array" aca="1" ref="Y4" ca="1">TREND($K4:$P4,$K$1:$P$1,Y$1)</f>
        <v>7.1000000000000396E-2</v>
      </c>
      <c r="Z4" s="38" cm="1">
        <f t="array" aca="1" ref="Z4" ca="1">TREND($K4:$P4,$K$1:$P$1,Z$1)</f>
        <v>7.2000000000000286E-2</v>
      </c>
      <c r="AA4" s="38" cm="1">
        <f t="array" aca="1" ref="AA4" ca="1">TREND($K4:$P4,$K$1:$P$1,AA$1)</f>
        <v>7.3000000000000176E-2</v>
      </c>
      <c r="AB4" s="38" cm="1">
        <f t="array" aca="1" ref="AB4" ca="1">TREND($K4:$P4,$K$1:$P$1,AB$1)</f>
        <v>7.400000000000051E-2</v>
      </c>
      <c r="AC4" s="38" cm="1">
        <f t="array" aca="1" ref="AC4" ca="1">TREND($K4:$P4,$K$1:$P$1,AC$1)</f>
        <v>7.50000000000004E-2</v>
      </c>
      <c r="AD4" s="38" cm="1">
        <f t="array" aca="1" ref="AD4" ca="1">TREND($K4:$P4,$K$1:$P$1,AD$1)</f>
        <v>7.600000000000029E-2</v>
      </c>
      <c r="AE4" s="38" cm="1">
        <f t="array" aca="1" ref="AE4" ca="1">TREND($K4:$P4,$K$1:$P$1,AE$1)</f>
        <v>7.7000000000000179E-2</v>
      </c>
      <c r="AF4" s="38" cm="1">
        <f t="array" aca="1" ref="AF4" ca="1">TREND($K4:$P4,$K$1:$P$1,AF$1)</f>
        <v>7.8000000000000513E-2</v>
      </c>
      <c r="AG4" s="38" cm="1">
        <f t="array" aca="1" ref="AG4" ca="1">TREND($K4:$P4,$K$1:$P$1,AG$1)</f>
        <v>7.9000000000000403E-2</v>
      </c>
      <c r="AH4" s="38" cm="1">
        <f t="array" aca="1" ref="AH4" ca="1">TREND($K4:$P4,$K$1:$P$1,AH$1)</f>
        <v>8.0000000000000293E-2</v>
      </c>
      <c r="AI4" s="38" cm="1">
        <f t="array" aca="1" ref="AI4" ca="1">TREND($K4:$P4,$K$1:$P$1,AI$1)</f>
        <v>8.1000000000000183E-2</v>
      </c>
      <c r="AJ4" s="38" cm="1">
        <f t="array" aca="1" ref="AJ4" ca="1">TREND($K4:$P4,$K$1:$P$1,AJ$1)</f>
        <v>8.2000000000000073E-2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0.69</v>
      </c>
      <c r="C5" s="38">
        <f t="shared" ca="1" si="3"/>
        <v>0.69249999999999989</v>
      </c>
      <c r="D5" s="38">
        <f t="shared" ca="1" si="0"/>
        <v>0.69499999999999995</v>
      </c>
      <c r="E5" s="38">
        <f t="shared" ca="1" si="0"/>
        <v>0.69750000000000001</v>
      </c>
      <c r="F5" s="39" cm="1">
        <f t="array" aca="1" ref="F5" ca="1">INDIRECT(CONCATENATE("'",HLOOKUP(F$1,$B$21:$E$23,3,FALSE),"'!",$B$25,ROW($A5)+5))*About!$A$27</f>
        <v>0.7</v>
      </c>
      <c r="G5" s="38">
        <f t="shared" ca="1" si="4"/>
        <v>0.70599999999999996</v>
      </c>
      <c r="H5" s="38">
        <f t="shared" ca="1" si="1"/>
        <v>0.71199999999999997</v>
      </c>
      <c r="I5" s="38">
        <f t="shared" ca="1" si="1"/>
        <v>0.71799999999999997</v>
      </c>
      <c r="J5" s="38">
        <f t="shared" ca="1" si="1"/>
        <v>0.72399999999999998</v>
      </c>
      <c r="K5" s="39" cm="1">
        <f t="array" aca="1" ref="K5" ca="1">INDIRECT(CONCATENATE("'",HLOOKUP(K$1,$B$21:$E$23,3,FALSE),"'!",$B$25,ROW($A5)+5))*About!$A$27</f>
        <v>0.73</v>
      </c>
      <c r="L5" s="38">
        <f t="shared" ca="1" si="5"/>
        <v>0.74199999999999999</v>
      </c>
      <c r="M5" s="38">
        <f t="shared" ca="1" si="2"/>
        <v>0.754</v>
      </c>
      <c r="N5" s="38">
        <f t="shared" ca="1" si="2"/>
        <v>0.76600000000000001</v>
      </c>
      <c r="O5" s="38">
        <f t="shared" ca="1" si="2"/>
        <v>0.77800000000000002</v>
      </c>
      <c r="P5" s="39" cm="1">
        <f t="array" aca="1" ref="P5" ca="1">INDIRECT(CONCATENATE("'",HLOOKUP(P$1,$B$21:$E$23,3,FALSE),"'!",$B$25,ROW($A5)+5))*About!$A$27</f>
        <v>0.79</v>
      </c>
      <c r="Q5" s="38" cm="1">
        <f t="array" aca="1" ref="Q5" ca="1">TREND($K5:$P5,$K$1:$P$1,Q$1)</f>
        <v>0.8019999999999996</v>
      </c>
      <c r="R5" s="38" cm="1">
        <f t="array" aca="1" ref="R5" ca="1">TREND($K5:$P5,$K$1:$P$1,R$1)</f>
        <v>0.81400000000000006</v>
      </c>
      <c r="S5" s="38" cm="1">
        <f t="array" aca="1" ref="S5" ca="1">TREND($K5:$P5,$K$1:$P$1,S$1)</f>
        <v>0.82600000000000051</v>
      </c>
      <c r="T5" s="38" cm="1">
        <f t="array" aca="1" ref="T5" ca="1">TREND($K5:$P5,$K$1:$P$1,T$1)</f>
        <v>0.83800000000000097</v>
      </c>
      <c r="U5" s="38" cm="1">
        <f t="array" aca="1" ref="U5" ca="1">TREND($K5:$P5,$K$1:$P$1,U$1)</f>
        <v>0.85000000000000142</v>
      </c>
      <c r="V5" s="38" cm="1">
        <f t="array" aca="1" ref="V5" ca="1">TREND($K5:$P5,$K$1:$P$1,V$1)</f>
        <v>0.86199999999999832</v>
      </c>
      <c r="W5" s="38" cm="1">
        <f t="array" aca="1" ref="W5" ca="1">TREND($K5:$P5,$K$1:$P$1,W$1)</f>
        <v>0.87399999999999878</v>
      </c>
      <c r="X5" s="38" cm="1">
        <f t="array" aca="1" ref="X5" ca="1">TREND($K5:$P5,$K$1:$P$1,X$1)</f>
        <v>0.88599999999999923</v>
      </c>
      <c r="Y5" s="38" cm="1">
        <f t="array" aca="1" ref="Y5" ca="1">TREND($K5:$P5,$K$1:$P$1,Y$1)</f>
        <v>0.89799999999999969</v>
      </c>
      <c r="Z5" s="38" cm="1">
        <f t="array" aca="1" ref="Z5" ca="1">TREND($K5:$P5,$K$1:$P$1,Z$1)</f>
        <v>0.91000000000000014</v>
      </c>
      <c r="AA5" s="38" cm="1">
        <f t="array" aca="1" ref="AA5" ca="1">TREND($K5:$P5,$K$1:$P$1,AA$1)</f>
        <v>0.9220000000000006</v>
      </c>
      <c r="AB5" s="38" cm="1">
        <f t="array" aca="1" ref="AB5" ca="1">TREND($K5:$P5,$K$1:$P$1,AB$1)</f>
        <v>0.93400000000000105</v>
      </c>
      <c r="AC5" s="38" cm="1">
        <f t="array" aca="1" ref="AC5" ca="1">TREND($K5:$P5,$K$1:$P$1,AC$1)</f>
        <v>0.94600000000000151</v>
      </c>
      <c r="AD5" s="38" cm="1">
        <f t="array" aca="1" ref="AD5" ca="1">TREND($K5:$P5,$K$1:$P$1,AD$1)</f>
        <v>0.95799999999999841</v>
      </c>
      <c r="AE5" s="38" cm="1">
        <f t="array" aca="1" ref="AE5" ca="1">TREND($K5:$P5,$K$1:$P$1,AE$1)</f>
        <v>0.96999999999999886</v>
      </c>
      <c r="AF5" s="38" cm="1">
        <f t="array" aca="1" ref="AF5" ca="1">TREND($K5:$P5,$K$1:$P$1,AF$1)</f>
        <v>0.98199999999999932</v>
      </c>
      <c r="AG5" s="38" cm="1">
        <f t="array" aca="1" ref="AG5" ca="1">TREND($K5:$P5,$K$1:$P$1,AG$1)</f>
        <v>0.99399999999999977</v>
      </c>
      <c r="AH5" s="38" cm="1">
        <f t="array" aca="1" ref="AH5" ca="1">TREND($K5:$P5,$K$1:$P$1,AH$1)</f>
        <v>1.0060000000000002</v>
      </c>
      <c r="AI5" s="38" cm="1">
        <f t="array" aca="1" ref="AI5" ca="1">TREND($K5:$P5,$K$1:$P$1,AI$1)</f>
        <v>1.0180000000000007</v>
      </c>
      <c r="AJ5" s="38" cm="1">
        <f t="array" aca="1" ref="AJ5" ca="1">TREND($K5:$P5,$K$1:$P$1,AJ$1)</f>
        <v>1.0300000000000011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0.99</v>
      </c>
      <c r="C6" s="38">
        <f t="shared" ca="1" si="3"/>
        <v>0.99249999999999994</v>
      </c>
      <c r="D6" s="38">
        <f t="shared" ca="1" si="0"/>
        <v>0.995</v>
      </c>
      <c r="E6" s="38">
        <f t="shared" ca="1" si="0"/>
        <v>0.99750000000000005</v>
      </c>
      <c r="F6" s="39" cm="1">
        <f t="array" aca="1" ref="F6" ca="1">INDIRECT(CONCATENATE("'",HLOOKUP(F$1,$B$21:$E$23,3,FALSE),"'!",$B$25,ROW($A6)+5))*About!$A$27</f>
        <v>1</v>
      </c>
      <c r="G6" s="38">
        <f t="shared" ca="1" si="4"/>
        <v>1</v>
      </c>
      <c r="H6" s="38">
        <f t="shared" ca="1" si="1"/>
        <v>1</v>
      </c>
      <c r="I6" s="38">
        <f t="shared" ca="1" si="1"/>
        <v>1</v>
      </c>
      <c r="J6" s="38">
        <f t="shared" ca="1" si="1"/>
        <v>1</v>
      </c>
      <c r="K6" s="39" cm="1">
        <f t="array" aca="1" ref="K6" ca="1">INDIRECT(CONCATENATE("'",HLOOKUP(K$1,$B$21:$E$23,3,FALSE),"'!",$B$25,ROW($A6)+5))*About!$A$27</f>
        <v>1</v>
      </c>
      <c r="L6" s="38">
        <f t="shared" ca="1" si="5"/>
        <v>1.02</v>
      </c>
      <c r="M6" s="38">
        <f t="shared" ca="1" si="2"/>
        <v>1.04</v>
      </c>
      <c r="N6" s="38">
        <f t="shared" ca="1" si="2"/>
        <v>1.06</v>
      </c>
      <c r="O6" s="38">
        <f t="shared" ca="1" si="2"/>
        <v>1.08</v>
      </c>
      <c r="P6" s="39" cm="1">
        <f t="array" aca="1" ref="P6" ca="1">INDIRECT(CONCATENATE("'",HLOOKUP(P$1,$B$21:$E$23,3,FALSE),"'!",$B$25,ROW($A6)+5))*About!$A$27</f>
        <v>1.1000000000000001</v>
      </c>
      <c r="Q6" s="38" cm="1">
        <f t="array" aca="1" ref="Q6" ca="1">TREND($K6:$P6,$K$1:$P$1,Q$1)</f>
        <v>1.1199999999999974</v>
      </c>
      <c r="R6" s="38" cm="1">
        <f t="array" aca="1" ref="R6" ca="1">TREND($K6:$P6,$K$1:$P$1,R$1)</f>
        <v>1.1400000000000006</v>
      </c>
      <c r="S6" s="38" cm="1">
        <f t="array" aca="1" ref="S6" ca="1">TREND($K6:$P6,$K$1:$P$1,S$1)</f>
        <v>1.1600000000000037</v>
      </c>
      <c r="T6" s="38" cm="1">
        <f t="array" aca="1" ref="T6" ca="1">TREND($K6:$P6,$K$1:$P$1,T$1)</f>
        <v>1.1799999999999997</v>
      </c>
      <c r="U6" s="38" cm="1">
        <f t="array" aca="1" ref="U6" ca="1">TREND($K6:$P6,$K$1:$P$1,U$1)</f>
        <v>1.2000000000000028</v>
      </c>
      <c r="V6" s="38" cm="1">
        <f t="array" aca="1" ref="V6" ca="1">TREND($K6:$P6,$K$1:$P$1,V$1)</f>
        <v>1.2199999999999989</v>
      </c>
      <c r="W6" s="38" cm="1">
        <f t="array" aca="1" ref="W6" ca="1">TREND($K6:$P6,$K$1:$P$1,W$1)</f>
        <v>1.240000000000002</v>
      </c>
      <c r="X6" s="38" cm="1">
        <f t="array" aca="1" ref="X6" ca="1">TREND($K6:$P6,$K$1:$P$1,X$1)</f>
        <v>1.259999999999998</v>
      </c>
      <c r="Y6" s="38" cm="1">
        <f t="array" aca="1" ref="Y6" ca="1">TREND($K6:$P6,$K$1:$P$1,Y$1)</f>
        <v>1.2800000000000011</v>
      </c>
      <c r="Z6" s="38" cm="1">
        <f t="array" aca="1" ref="Z6" ca="1">TREND($K6:$P6,$K$1:$P$1,Z$1)</f>
        <v>1.3000000000000043</v>
      </c>
      <c r="AA6" s="38" cm="1">
        <f t="array" aca="1" ref="AA6" ca="1">TREND($K6:$P6,$K$1:$P$1,AA$1)</f>
        <v>1.3200000000000003</v>
      </c>
      <c r="AB6" s="38" cm="1">
        <f t="array" aca="1" ref="AB6" ca="1">TREND($K6:$P6,$K$1:$P$1,AB$1)</f>
        <v>1.3400000000000034</v>
      </c>
      <c r="AC6" s="38" cm="1">
        <f t="array" aca="1" ref="AC6" ca="1">TREND($K6:$P6,$K$1:$P$1,AC$1)</f>
        <v>1.3599999999999994</v>
      </c>
      <c r="AD6" s="38" cm="1">
        <f t="array" aca="1" ref="AD6" ca="1">TREND($K6:$P6,$K$1:$P$1,AD$1)</f>
        <v>1.3800000000000026</v>
      </c>
      <c r="AE6" s="38" cm="1">
        <f t="array" aca="1" ref="AE6" ca="1">TREND($K6:$P6,$K$1:$P$1,AE$1)</f>
        <v>1.3999999999999986</v>
      </c>
      <c r="AF6" s="38" cm="1">
        <f t="array" aca="1" ref="AF6" ca="1">TREND($K6:$P6,$K$1:$P$1,AF$1)</f>
        <v>1.4200000000000017</v>
      </c>
      <c r="AG6" s="38" cm="1">
        <f t="array" aca="1" ref="AG6" ca="1">TREND($K6:$P6,$K$1:$P$1,AG$1)</f>
        <v>1.4399999999999977</v>
      </c>
      <c r="AH6" s="38" cm="1">
        <f t="array" aca="1" ref="AH6" ca="1">TREND($K6:$P6,$K$1:$P$1,AH$1)</f>
        <v>1.4600000000000009</v>
      </c>
      <c r="AI6" s="38" cm="1">
        <f t="array" aca="1" ref="AI6" ca="1">TREND($K6:$P6,$K$1:$P$1,AI$1)</f>
        <v>1.480000000000004</v>
      </c>
      <c r="AJ6" s="38" cm="1">
        <f t="array" aca="1" ref="AJ6" ca="1">TREND($K6:$P6,$K$1:$P$1,AJ$1)</f>
        <v>1.5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30</v>
      </c>
      <c r="C7" s="38">
        <f t="shared" ca="1" si="3"/>
        <v>30</v>
      </c>
      <c r="D7" s="38">
        <f t="shared" ca="1" si="0"/>
        <v>30</v>
      </c>
      <c r="E7" s="38">
        <f t="shared" ca="1" si="0"/>
        <v>30</v>
      </c>
      <c r="F7" s="39" cm="1">
        <f t="array" aca="1" ref="F7" ca="1">INDIRECT(CONCATENATE("'",HLOOKUP(F$1,$B$21:$E$23,3,FALSE),"'!",$B$25,ROW($A7)+5))*About!$A$27</f>
        <v>30</v>
      </c>
      <c r="G7" s="38">
        <f t="shared" ca="1" si="4"/>
        <v>30.2</v>
      </c>
      <c r="H7" s="38">
        <f t="shared" ca="1" si="1"/>
        <v>30.4</v>
      </c>
      <c r="I7" s="38">
        <f t="shared" ca="1" si="1"/>
        <v>30.6</v>
      </c>
      <c r="J7" s="38">
        <f t="shared" ca="1" si="1"/>
        <v>30.8</v>
      </c>
      <c r="K7" s="39" cm="1">
        <f t="array" aca="1" ref="K7" ca="1">INDIRECT(CONCATENATE("'",HLOOKUP(K$1,$B$21:$E$23,3,FALSE),"'!",$B$25,ROW($A7)+5))*About!$A$27</f>
        <v>31</v>
      </c>
      <c r="L7" s="38">
        <f t="shared" ca="1" si="5"/>
        <v>31.2</v>
      </c>
      <c r="M7" s="38">
        <f t="shared" ca="1" si="2"/>
        <v>31.4</v>
      </c>
      <c r="N7" s="38">
        <f t="shared" ca="1" si="2"/>
        <v>31.6</v>
      </c>
      <c r="O7" s="38">
        <f t="shared" ca="1" si="2"/>
        <v>31.8</v>
      </c>
      <c r="P7" s="39" cm="1">
        <f t="array" aca="1" ref="P7" ca="1">INDIRECT(CONCATENATE("'",HLOOKUP(P$1,$B$21:$E$23,3,FALSE),"'!",$B$25,ROW($A7)+5))*About!$A$27</f>
        <v>32</v>
      </c>
      <c r="Q7" s="38" cm="1">
        <f t="array" aca="1" ref="Q7" ca="1">TREND($K7:$P7,$K$1:$P$1,Q$1)</f>
        <v>32.200000000000045</v>
      </c>
      <c r="R7" s="38" cm="1">
        <f t="array" aca="1" ref="R7" ca="1">TREND($K7:$P7,$K$1:$P$1,R$1)</f>
        <v>32.400000000000034</v>
      </c>
      <c r="S7" s="38" cm="1">
        <f t="array" aca="1" ref="S7" ca="1">TREND($K7:$P7,$K$1:$P$1,S$1)</f>
        <v>32.600000000000023</v>
      </c>
      <c r="T7" s="38" cm="1">
        <f t="array" aca="1" ref="T7" ca="1">TREND($K7:$P7,$K$1:$P$1,T$1)</f>
        <v>32.800000000000011</v>
      </c>
      <c r="U7" s="38" cm="1">
        <f t="array" aca="1" ref="U7" ca="1">TREND($K7:$P7,$K$1:$P$1,U$1)</f>
        <v>33</v>
      </c>
      <c r="V7" s="38" cm="1">
        <f t="array" aca="1" ref="V7" ca="1">TREND($K7:$P7,$K$1:$P$1,V$1)</f>
        <v>33.200000000000045</v>
      </c>
      <c r="W7" s="38" cm="1">
        <f t="array" aca="1" ref="W7" ca="1">TREND($K7:$P7,$K$1:$P$1,W$1)</f>
        <v>33.400000000000034</v>
      </c>
      <c r="X7" s="38" cm="1">
        <f t="array" aca="1" ref="X7" ca="1">TREND($K7:$P7,$K$1:$P$1,X$1)</f>
        <v>33.600000000000023</v>
      </c>
      <c r="Y7" s="38" cm="1">
        <f t="array" aca="1" ref="Y7" ca="1">TREND($K7:$P7,$K$1:$P$1,Y$1)</f>
        <v>33.800000000000011</v>
      </c>
      <c r="Z7" s="38" cm="1">
        <f t="array" aca="1" ref="Z7" ca="1">TREND($K7:$P7,$K$1:$P$1,Z$1)</f>
        <v>34</v>
      </c>
      <c r="AA7" s="38" cm="1">
        <f t="array" aca="1" ref="AA7" ca="1">TREND($K7:$P7,$K$1:$P$1,AA$1)</f>
        <v>34.200000000000045</v>
      </c>
      <c r="AB7" s="38" cm="1">
        <f t="array" aca="1" ref="AB7" ca="1">TREND($K7:$P7,$K$1:$P$1,AB$1)</f>
        <v>34.400000000000034</v>
      </c>
      <c r="AC7" s="38" cm="1">
        <f t="array" aca="1" ref="AC7" ca="1">TREND($K7:$P7,$K$1:$P$1,AC$1)</f>
        <v>34.600000000000023</v>
      </c>
      <c r="AD7" s="38" cm="1">
        <f t="array" aca="1" ref="AD7" ca="1">TREND($K7:$P7,$K$1:$P$1,AD$1)</f>
        <v>34.800000000000011</v>
      </c>
      <c r="AE7" s="38" cm="1">
        <f t="array" aca="1" ref="AE7" ca="1">TREND($K7:$P7,$K$1:$P$1,AE$1)</f>
        <v>35</v>
      </c>
      <c r="AF7" s="38" cm="1">
        <f t="array" aca="1" ref="AF7" ca="1">TREND($K7:$P7,$K$1:$P$1,AF$1)</f>
        <v>35.200000000000045</v>
      </c>
      <c r="AG7" s="38" cm="1">
        <f t="array" aca="1" ref="AG7" ca="1">TREND($K7:$P7,$K$1:$P$1,AG$1)</f>
        <v>35.400000000000034</v>
      </c>
      <c r="AH7" s="38" cm="1">
        <f t="array" aca="1" ref="AH7" ca="1">TREND($K7:$P7,$K$1:$P$1,AH$1)</f>
        <v>35.600000000000023</v>
      </c>
      <c r="AI7" s="38" cm="1">
        <f t="array" aca="1" ref="AI7" ca="1">TREND($K7:$P7,$K$1:$P$1,AI$1)</f>
        <v>35.800000000000011</v>
      </c>
      <c r="AJ7" s="38" cm="1">
        <f t="array" aca="1" ref="AJ7" ca="1">TREND($K7:$P7,$K$1:$P$1,AJ$1)</f>
        <v>36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5.0999999999999996</v>
      </c>
      <c r="C8" s="38">
        <f t="shared" ca="1" si="3"/>
        <v>5.125</v>
      </c>
      <c r="D8" s="38">
        <f t="shared" ca="1" si="0"/>
        <v>5.15</v>
      </c>
      <c r="E8" s="38">
        <f t="shared" ca="1" si="0"/>
        <v>5.1749999999999998</v>
      </c>
      <c r="F8" s="39" cm="1">
        <f t="array" aca="1" ref="F8" ca="1">INDIRECT(CONCATENATE("'",HLOOKUP(F$1,$B$21:$E$23,3,FALSE),"'!",$B$25,ROW($A8)+5))*About!$A$27</f>
        <v>5.2</v>
      </c>
      <c r="G8" s="38">
        <f t="shared" ca="1" si="4"/>
        <v>5.22</v>
      </c>
      <c r="H8" s="38">
        <f t="shared" ca="1" si="1"/>
        <v>5.24</v>
      </c>
      <c r="I8" s="38">
        <f t="shared" ca="1" si="1"/>
        <v>5.26</v>
      </c>
      <c r="J8" s="38">
        <f t="shared" ca="1" si="1"/>
        <v>5.28</v>
      </c>
      <c r="K8" s="39" cm="1">
        <f t="array" aca="1" ref="K8" ca="1">INDIRECT(CONCATENATE("'",HLOOKUP(K$1,$B$21:$E$23,3,FALSE),"'!",$B$25,ROW($A8)+5))*About!$A$27</f>
        <v>5.3</v>
      </c>
      <c r="L8" s="38">
        <f t="shared" ca="1" si="5"/>
        <v>5.32</v>
      </c>
      <c r="M8" s="38">
        <f t="shared" ca="1" si="2"/>
        <v>5.34</v>
      </c>
      <c r="N8" s="38">
        <f t="shared" ca="1" si="2"/>
        <v>5.36</v>
      </c>
      <c r="O8" s="38">
        <f t="shared" ca="1" si="2"/>
        <v>5.38</v>
      </c>
      <c r="P8" s="39" cm="1">
        <f t="array" aca="1" ref="P8" ca="1">INDIRECT(CONCATENATE("'",HLOOKUP(P$1,$B$21:$E$23,3,FALSE),"'!",$B$25,ROW($A8)+5))*About!$A$27</f>
        <v>5.4</v>
      </c>
      <c r="Q8" s="38" cm="1">
        <f t="array" aca="1" ref="Q8" ca="1">TREND($K8:$P8,$K$1:$P$1,Q$1)</f>
        <v>5.4200000000000017</v>
      </c>
      <c r="R8" s="38" cm="1">
        <f t="array" aca="1" ref="R8" ca="1">TREND($K8:$P8,$K$1:$P$1,R$1)</f>
        <v>5.4400000000000048</v>
      </c>
      <c r="S8" s="38" cm="1">
        <f t="array" aca="1" ref="S8" ca="1">TREND($K8:$P8,$K$1:$P$1,S$1)</f>
        <v>5.4600000000000009</v>
      </c>
      <c r="T8" s="38" cm="1">
        <f t="array" aca="1" ref="T8" ca="1">TREND($K8:$P8,$K$1:$P$1,T$1)</f>
        <v>5.480000000000004</v>
      </c>
      <c r="U8" s="38" cm="1">
        <f t="array" aca="1" ref="U8" ca="1">TREND($K8:$P8,$K$1:$P$1,U$1)</f>
        <v>5.5000000000000071</v>
      </c>
      <c r="V8" s="38" cm="1">
        <f t="array" aca="1" ref="V8" ca="1">TREND($K8:$P8,$K$1:$P$1,V$1)</f>
        <v>5.5200000000000031</v>
      </c>
      <c r="W8" s="38" cm="1">
        <f t="array" aca="1" ref="W8" ca="1">TREND($K8:$P8,$K$1:$P$1,W$1)</f>
        <v>5.5400000000000063</v>
      </c>
      <c r="X8" s="38" cm="1">
        <f t="array" aca="1" ref="X8" ca="1">TREND($K8:$P8,$K$1:$P$1,X$1)</f>
        <v>5.5600000000000023</v>
      </c>
      <c r="Y8" s="38" cm="1">
        <f t="array" aca="1" ref="Y8" ca="1">TREND($K8:$P8,$K$1:$P$1,Y$1)</f>
        <v>5.5800000000000054</v>
      </c>
      <c r="Z8" s="38" cm="1">
        <f t="array" aca="1" ref="Z8" ca="1">TREND($K8:$P8,$K$1:$P$1,Z$1)</f>
        <v>5.6000000000000014</v>
      </c>
      <c r="AA8" s="38" cm="1">
        <f t="array" aca="1" ref="AA8" ca="1">TREND($K8:$P8,$K$1:$P$1,AA$1)</f>
        <v>5.6200000000000045</v>
      </c>
      <c r="AB8" s="38" cm="1">
        <f t="array" aca="1" ref="AB8" ca="1">TREND($K8:$P8,$K$1:$P$1,AB$1)</f>
        <v>5.6400000000000077</v>
      </c>
      <c r="AC8" s="38" cm="1">
        <f t="array" aca="1" ref="AC8" ca="1">TREND($K8:$P8,$K$1:$P$1,AC$1)</f>
        <v>5.6600000000000037</v>
      </c>
      <c r="AD8" s="38" cm="1">
        <f t="array" aca="1" ref="AD8" ca="1">TREND($K8:$P8,$K$1:$P$1,AD$1)</f>
        <v>5.6800000000000068</v>
      </c>
      <c r="AE8" s="38" cm="1">
        <f t="array" aca="1" ref="AE8" ca="1">TREND($K8:$P8,$K$1:$P$1,AE$1)</f>
        <v>5.7000000000000028</v>
      </c>
      <c r="AF8" s="38" cm="1">
        <f t="array" aca="1" ref="AF8" ca="1">TREND($K8:$P8,$K$1:$P$1,AF$1)</f>
        <v>5.720000000000006</v>
      </c>
      <c r="AG8" s="38" cm="1">
        <f t="array" aca="1" ref="AG8" ca="1">TREND($K8:$P8,$K$1:$P$1,AG$1)</f>
        <v>5.740000000000002</v>
      </c>
      <c r="AH8" s="38" cm="1">
        <f t="array" aca="1" ref="AH8" ca="1">TREND($K8:$P8,$K$1:$P$1,AH$1)</f>
        <v>5.7600000000000051</v>
      </c>
      <c r="AI8" s="38" cm="1">
        <f t="array" aca="1" ref="AI8" ca="1">TREND($K8:$P8,$K$1:$P$1,AI$1)</f>
        <v>5.7800000000000082</v>
      </c>
      <c r="AJ8" s="38" cm="1">
        <f t="array" aca="1" ref="AJ8" ca="1">TREND($K8:$P8,$K$1:$P$1,AJ$1)</f>
        <v>5.8000000000000043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1.2</v>
      </c>
      <c r="C9" s="38">
        <f t="shared" ca="1" si="3"/>
        <v>1.2</v>
      </c>
      <c r="D9" s="38">
        <f t="shared" ca="1" si="0"/>
        <v>1.2</v>
      </c>
      <c r="E9" s="38">
        <f t="shared" ca="1" si="0"/>
        <v>1.2</v>
      </c>
      <c r="F9" s="39" cm="1">
        <f t="array" aca="1" ref="F9" ca="1">INDIRECT(CONCATENATE("'",HLOOKUP(F$1,$B$21:$E$23,3,FALSE),"'!",$B$25,ROW($A9)+5))*About!$A$27</f>
        <v>1.2</v>
      </c>
      <c r="G9" s="38">
        <f t="shared" ca="1" si="4"/>
        <v>1.2</v>
      </c>
      <c r="H9" s="38">
        <f t="shared" ca="1" si="1"/>
        <v>1.2</v>
      </c>
      <c r="I9" s="38">
        <f t="shared" ca="1" si="1"/>
        <v>1.2</v>
      </c>
      <c r="J9" s="38">
        <f t="shared" ca="1" si="1"/>
        <v>1.2</v>
      </c>
      <c r="K9" s="39" cm="1">
        <f t="array" aca="1" ref="K9" ca="1">INDIRECT(CONCATENATE("'",HLOOKUP(K$1,$B$21:$E$23,3,FALSE),"'!",$B$25,ROW($A9)+5))*About!$A$27</f>
        <v>1.2</v>
      </c>
      <c r="L9" s="38">
        <f t="shared" ca="1" si="5"/>
        <v>1.22</v>
      </c>
      <c r="M9" s="38">
        <f t="shared" ca="1" si="2"/>
        <v>1.24</v>
      </c>
      <c r="N9" s="38">
        <f t="shared" ca="1" si="2"/>
        <v>1.26</v>
      </c>
      <c r="O9" s="38">
        <f t="shared" ca="1" si="2"/>
        <v>1.28</v>
      </c>
      <c r="P9" s="39" cm="1">
        <f t="array" aca="1" ref="P9" ca="1">INDIRECT(CONCATENATE("'",HLOOKUP(P$1,$B$21:$E$23,3,FALSE),"'!",$B$25,ROW($A9)+5))*About!$A$27</f>
        <v>1.3</v>
      </c>
      <c r="Q9" s="38" cm="1">
        <f t="array" aca="1" ref="Q9" ca="1">TREND($K9:$P9,$K$1:$P$1,Q$1)</f>
        <v>1.3200000000000003</v>
      </c>
      <c r="R9" s="38" cm="1">
        <f t="array" aca="1" ref="R9" ca="1">TREND($K9:$P9,$K$1:$P$1,R$1)</f>
        <v>1.3400000000000034</v>
      </c>
      <c r="S9" s="38" cm="1">
        <f t="array" aca="1" ref="S9" ca="1">TREND($K9:$P9,$K$1:$P$1,S$1)</f>
        <v>1.3600000000000065</v>
      </c>
      <c r="T9" s="38" cm="1">
        <f t="array" aca="1" ref="T9" ca="1">TREND($K9:$P9,$K$1:$P$1,T$1)</f>
        <v>1.3800000000000026</v>
      </c>
      <c r="U9" s="38" cm="1">
        <f t="array" aca="1" ref="U9" ca="1">TREND($K9:$P9,$K$1:$P$1,U$1)</f>
        <v>1.4000000000000057</v>
      </c>
      <c r="V9" s="38" cm="1">
        <f t="array" aca="1" ref="V9" ca="1">TREND($K9:$P9,$K$1:$P$1,V$1)</f>
        <v>1.4200000000000017</v>
      </c>
      <c r="W9" s="38" cm="1">
        <f t="array" aca="1" ref="W9" ca="1">TREND($K9:$P9,$K$1:$P$1,W$1)</f>
        <v>1.4400000000000048</v>
      </c>
      <c r="X9" s="38" cm="1">
        <f t="array" aca="1" ref="X9" ca="1">TREND($K9:$P9,$K$1:$P$1,X$1)</f>
        <v>1.4600000000000009</v>
      </c>
      <c r="Y9" s="38" cm="1">
        <f t="array" aca="1" ref="Y9" ca="1">TREND($K9:$P9,$K$1:$P$1,Y$1)</f>
        <v>1.480000000000004</v>
      </c>
      <c r="Z9" s="38" cm="1">
        <f t="array" aca="1" ref="Z9" ca="1">TREND($K9:$P9,$K$1:$P$1,Z$1)</f>
        <v>1.5000000000000071</v>
      </c>
      <c r="AA9" s="38" cm="1">
        <f t="array" aca="1" ref="AA9" ca="1">TREND($K9:$P9,$K$1:$P$1,AA$1)</f>
        <v>1.5200000000000031</v>
      </c>
      <c r="AB9" s="38" cm="1">
        <f t="array" aca="1" ref="AB9" ca="1">TREND($K9:$P9,$K$1:$P$1,AB$1)</f>
        <v>1.5400000000000063</v>
      </c>
      <c r="AC9" s="38" cm="1">
        <f t="array" aca="1" ref="AC9" ca="1">TREND($K9:$P9,$K$1:$P$1,AC$1)</f>
        <v>1.5600000000000023</v>
      </c>
      <c r="AD9" s="38" cm="1">
        <f t="array" aca="1" ref="AD9" ca="1">TREND($K9:$P9,$K$1:$P$1,AD$1)</f>
        <v>1.5800000000000054</v>
      </c>
      <c r="AE9" s="38" cm="1">
        <f t="array" aca="1" ref="AE9" ca="1">TREND($K9:$P9,$K$1:$P$1,AE$1)</f>
        <v>1.6000000000000014</v>
      </c>
      <c r="AF9" s="38" cm="1">
        <f t="array" aca="1" ref="AF9" ca="1">TREND($K9:$P9,$K$1:$P$1,AF$1)</f>
        <v>1.6200000000000045</v>
      </c>
      <c r="AG9" s="38" cm="1">
        <f t="array" aca="1" ref="AG9" ca="1">TREND($K9:$P9,$K$1:$P$1,AG$1)</f>
        <v>1.6400000000000006</v>
      </c>
      <c r="AH9" s="38" cm="1">
        <f t="array" aca="1" ref="AH9" ca="1">TREND($K9:$P9,$K$1:$P$1,AH$1)</f>
        <v>1.6600000000000037</v>
      </c>
      <c r="AI9" s="38" cm="1">
        <f t="array" aca="1" ref="AI9" ca="1">TREND($K9:$P9,$K$1:$P$1,AI$1)</f>
        <v>1.6800000000000068</v>
      </c>
      <c r="AJ9" s="38" cm="1">
        <f t="array" aca="1" ref="AJ9" ca="1">TREND($K9:$P9,$K$1:$P$1,AJ$1)</f>
        <v>1.7000000000000028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9.1000000000000004E-3</v>
      </c>
      <c r="C10" s="38">
        <f t="shared" ca="1" si="3"/>
        <v>9.2750000000000003E-3</v>
      </c>
      <c r="D10" s="38">
        <f t="shared" ca="1" si="0"/>
        <v>9.4500000000000001E-3</v>
      </c>
      <c r="E10" s="38">
        <f t="shared" ca="1" si="0"/>
        <v>9.6249999999999999E-3</v>
      </c>
      <c r="F10" s="39" cm="1">
        <f t="array" aca="1" ref="F10" ca="1">INDIRECT(CONCATENATE("'",HLOOKUP(F$1,$B$21:$E$23,3,FALSE),"'!",$B$25,ROW($A10)+5))*About!$A$27</f>
        <v>9.7999999999999997E-3</v>
      </c>
      <c r="G10" s="38">
        <f t="shared" ca="1" si="4"/>
        <v>1.004E-2</v>
      </c>
      <c r="H10" s="38">
        <f t="shared" ca="1" si="1"/>
        <v>1.0279999999999999E-2</v>
      </c>
      <c r="I10" s="38">
        <f t="shared" ca="1" si="1"/>
        <v>1.052E-2</v>
      </c>
      <c r="J10" s="38">
        <f t="shared" ca="1" si="1"/>
        <v>1.0759999999999999E-2</v>
      </c>
      <c r="K10" s="39" cm="1">
        <f t="array" aca="1" ref="K10" ca="1">INDIRECT(CONCATENATE("'",HLOOKUP(K$1,$B$21:$E$23,3,FALSE),"'!",$B$25,ROW($A10)+5))*About!$A$27</f>
        <v>1.0999999999999999E-2</v>
      </c>
      <c r="L10" s="38">
        <f t="shared" ca="1" si="5"/>
        <v>1.12E-2</v>
      </c>
      <c r="M10" s="38">
        <f t="shared" ca="1" si="2"/>
        <v>1.14E-2</v>
      </c>
      <c r="N10" s="38">
        <f t="shared" ca="1" si="2"/>
        <v>1.1599999999999999E-2</v>
      </c>
      <c r="O10" s="38">
        <f t="shared" ca="1" si="2"/>
        <v>1.18E-2</v>
      </c>
      <c r="P10" s="39" cm="1">
        <f t="array" aca="1" ref="P10" ca="1">INDIRECT(CONCATENATE("'",HLOOKUP(P$1,$B$21:$E$23,3,FALSE),"'!",$B$25,ROW($A10)+5))*About!$A$27</f>
        <v>1.2E-2</v>
      </c>
      <c r="Q10" s="38" cm="1">
        <f t="array" aca="1" ref="Q10" ca="1">TREND($K10:$P10,$K$1:$P$1,Q$1)</f>
        <v>1.2199999999999989E-2</v>
      </c>
      <c r="R10" s="38" cm="1">
        <f t="array" aca="1" ref="R10" ca="1">TREND($K10:$P10,$K$1:$P$1,R$1)</f>
        <v>1.2400000000000022E-2</v>
      </c>
      <c r="S10" s="38" cm="1">
        <f t="array" aca="1" ref="S10" ca="1">TREND($K10:$P10,$K$1:$P$1,S$1)</f>
        <v>1.26E-2</v>
      </c>
      <c r="T10" s="38" cm="1">
        <f t="array" aca="1" ref="T10" ca="1">TREND($K10:$P10,$K$1:$P$1,T$1)</f>
        <v>1.2799999999999978E-2</v>
      </c>
      <c r="U10" s="38" cm="1">
        <f t="array" aca="1" ref="U10" ca="1">TREND($K10:$P10,$K$1:$P$1,U$1)</f>
        <v>1.3000000000000012E-2</v>
      </c>
      <c r="V10" s="38" cm="1">
        <f t="array" aca="1" ref="V10" ca="1">TREND($K10:$P10,$K$1:$P$1,V$1)</f>
        <v>1.319999999999999E-2</v>
      </c>
      <c r="W10" s="38" cm="1">
        <f t="array" aca="1" ref="W10" ca="1">TREND($K10:$P10,$K$1:$P$1,W$1)</f>
        <v>1.3400000000000023E-2</v>
      </c>
      <c r="X10" s="38" cm="1">
        <f t="array" aca="1" ref="X10" ca="1">TREND($K10:$P10,$K$1:$P$1,X$1)</f>
        <v>1.3600000000000001E-2</v>
      </c>
      <c r="Y10" s="38" cm="1">
        <f t="array" aca="1" ref="Y10" ca="1">TREND($K10:$P10,$K$1:$P$1,Y$1)</f>
        <v>1.3799999999999979E-2</v>
      </c>
      <c r="Z10" s="38" cm="1">
        <f t="array" aca="1" ref="Z10" ca="1">TREND($K10:$P10,$K$1:$P$1,Z$1)</f>
        <v>1.4000000000000012E-2</v>
      </c>
      <c r="AA10" s="38" cm="1">
        <f t="array" aca="1" ref="AA10" ca="1">TREND($K10:$P10,$K$1:$P$1,AA$1)</f>
        <v>1.419999999999999E-2</v>
      </c>
      <c r="AB10" s="38" cm="1">
        <f t="array" aca="1" ref="AB10" ca="1">TREND($K10:$P10,$K$1:$P$1,AB$1)</f>
        <v>1.4400000000000024E-2</v>
      </c>
      <c r="AC10" s="38" cm="1">
        <f t="array" aca="1" ref="AC10" ca="1">TREND($K10:$P10,$K$1:$P$1,AC$1)</f>
        <v>1.4600000000000002E-2</v>
      </c>
      <c r="AD10" s="38" cm="1">
        <f t="array" aca="1" ref="AD10" ca="1">TREND($K10:$P10,$K$1:$P$1,AD$1)</f>
        <v>1.479999999999998E-2</v>
      </c>
      <c r="AE10" s="38" cm="1">
        <f t="array" aca="1" ref="AE10" ca="1">TREND($K10:$P10,$K$1:$P$1,AE$1)</f>
        <v>1.5000000000000013E-2</v>
      </c>
      <c r="AF10" s="38" cm="1">
        <f t="array" aca="1" ref="AF10" ca="1">TREND($K10:$P10,$K$1:$P$1,AF$1)</f>
        <v>1.5199999999999991E-2</v>
      </c>
      <c r="AG10" s="38" cm="1">
        <f t="array" aca="1" ref="AG10" ca="1">TREND($K10:$P10,$K$1:$P$1,AG$1)</f>
        <v>1.5400000000000025E-2</v>
      </c>
      <c r="AH10" s="38" cm="1">
        <f t="array" aca="1" ref="AH10" ca="1">TREND($K10:$P10,$K$1:$P$1,AH$1)</f>
        <v>1.5600000000000003E-2</v>
      </c>
      <c r="AI10" s="38" cm="1">
        <f t="array" aca="1" ref="AI10" ca="1">TREND($K10:$P10,$K$1:$P$1,AI$1)</f>
        <v>1.5799999999999981E-2</v>
      </c>
      <c r="AJ10" s="38" cm="1">
        <f t="array" aca="1" ref="AJ10" ca="1">TREND($K10:$P10,$K$1:$P$1,AJ$1)</f>
        <v>1.6000000000000014E-2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8.6E-3</v>
      </c>
      <c r="C11" s="38">
        <f t="shared" ca="1" si="3"/>
        <v>8.8000000000000005E-3</v>
      </c>
      <c r="D11" s="38">
        <f t="shared" ca="1" si="0"/>
        <v>9.0000000000000011E-3</v>
      </c>
      <c r="E11" s="38">
        <f t="shared" ca="1" si="0"/>
        <v>9.1999999999999998E-3</v>
      </c>
      <c r="F11" s="39" cm="1">
        <f t="array" aca="1" ref="F11" ca="1">INDIRECT(CONCATENATE("'",HLOOKUP(F$1,$B$21:$E$23,3,FALSE),"'!",$B$25,ROW($A11)+5))*About!$A$27</f>
        <v>9.4000000000000004E-3</v>
      </c>
      <c r="G11" s="38">
        <f t="shared" ca="1" si="4"/>
        <v>9.7199999999999995E-3</v>
      </c>
      <c r="H11" s="38">
        <f t="shared" ca="1" si="1"/>
        <v>1.004E-2</v>
      </c>
      <c r="I11" s="38">
        <f t="shared" ca="1" si="1"/>
        <v>1.0359999999999999E-2</v>
      </c>
      <c r="J11" s="38">
        <f t="shared" ca="1" si="1"/>
        <v>1.068E-2</v>
      </c>
      <c r="K11" s="39" cm="1">
        <f t="array" aca="1" ref="K11" ca="1">INDIRECT(CONCATENATE("'",HLOOKUP(K$1,$B$21:$E$23,3,FALSE),"'!",$B$25,ROW($A11)+5))*About!$A$27</f>
        <v>1.0999999999999999E-2</v>
      </c>
      <c r="L11" s="38">
        <f t="shared" ca="1" si="5"/>
        <v>1.12E-2</v>
      </c>
      <c r="M11" s="38">
        <f t="shared" ca="1" si="2"/>
        <v>1.14E-2</v>
      </c>
      <c r="N11" s="38">
        <f t="shared" ca="1" si="2"/>
        <v>1.1599999999999999E-2</v>
      </c>
      <c r="O11" s="38">
        <f t="shared" ca="1" si="2"/>
        <v>1.18E-2</v>
      </c>
      <c r="P11" s="39" cm="1">
        <f t="array" aca="1" ref="P11" ca="1">INDIRECT(CONCATENATE("'",HLOOKUP(P$1,$B$21:$E$23,3,FALSE),"'!",$B$25,ROW($A11)+5))*About!$A$27</f>
        <v>1.2E-2</v>
      </c>
      <c r="Q11" s="38" cm="1">
        <f t="array" aca="1" ref="Q11" ca="1">TREND($K11:$P11,$K$1:$P$1,Q$1)</f>
        <v>1.2199999999999989E-2</v>
      </c>
      <c r="R11" s="38" cm="1">
        <f t="array" aca="1" ref="R11" ca="1">TREND($K11:$P11,$K$1:$P$1,R$1)</f>
        <v>1.2400000000000022E-2</v>
      </c>
      <c r="S11" s="38" cm="1">
        <f t="array" aca="1" ref="S11" ca="1">TREND($K11:$P11,$K$1:$P$1,S$1)</f>
        <v>1.26E-2</v>
      </c>
      <c r="T11" s="38" cm="1">
        <f t="array" aca="1" ref="T11" ca="1">TREND($K11:$P11,$K$1:$P$1,T$1)</f>
        <v>1.2799999999999978E-2</v>
      </c>
      <c r="U11" s="38" cm="1">
        <f t="array" aca="1" ref="U11" ca="1">TREND($K11:$P11,$K$1:$P$1,U$1)</f>
        <v>1.3000000000000012E-2</v>
      </c>
      <c r="V11" s="38" cm="1">
        <f t="array" aca="1" ref="V11" ca="1">TREND($K11:$P11,$K$1:$P$1,V$1)</f>
        <v>1.319999999999999E-2</v>
      </c>
      <c r="W11" s="38" cm="1">
        <f t="array" aca="1" ref="W11" ca="1">TREND($K11:$P11,$K$1:$P$1,W$1)</f>
        <v>1.3400000000000023E-2</v>
      </c>
      <c r="X11" s="38" cm="1">
        <f t="array" aca="1" ref="X11" ca="1">TREND($K11:$P11,$K$1:$P$1,X$1)</f>
        <v>1.3600000000000001E-2</v>
      </c>
      <c r="Y11" s="38" cm="1">
        <f t="array" aca="1" ref="Y11" ca="1">TREND($K11:$P11,$K$1:$P$1,Y$1)</f>
        <v>1.3799999999999979E-2</v>
      </c>
      <c r="Z11" s="38" cm="1">
        <f t="array" aca="1" ref="Z11" ca="1">TREND($K11:$P11,$K$1:$P$1,Z$1)</f>
        <v>1.4000000000000012E-2</v>
      </c>
      <c r="AA11" s="38" cm="1">
        <f t="array" aca="1" ref="AA11" ca="1">TREND($K11:$P11,$K$1:$P$1,AA$1)</f>
        <v>1.419999999999999E-2</v>
      </c>
      <c r="AB11" s="38" cm="1">
        <f t="array" aca="1" ref="AB11" ca="1">TREND($K11:$P11,$K$1:$P$1,AB$1)</f>
        <v>1.4400000000000024E-2</v>
      </c>
      <c r="AC11" s="38" cm="1">
        <f t="array" aca="1" ref="AC11" ca="1">TREND($K11:$P11,$K$1:$P$1,AC$1)</f>
        <v>1.4600000000000002E-2</v>
      </c>
      <c r="AD11" s="38" cm="1">
        <f t="array" aca="1" ref="AD11" ca="1">TREND($K11:$P11,$K$1:$P$1,AD$1)</f>
        <v>1.479999999999998E-2</v>
      </c>
      <c r="AE11" s="38" cm="1">
        <f t="array" aca="1" ref="AE11" ca="1">TREND($K11:$P11,$K$1:$P$1,AE$1)</f>
        <v>1.5000000000000013E-2</v>
      </c>
      <c r="AF11" s="38" cm="1">
        <f t="array" aca="1" ref="AF11" ca="1">TREND($K11:$P11,$K$1:$P$1,AF$1)</f>
        <v>1.5199999999999991E-2</v>
      </c>
      <c r="AG11" s="38" cm="1">
        <f t="array" aca="1" ref="AG11" ca="1">TREND($K11:$P11,$K$1:$P$1,AG$1)</f>
        <v>1.5400000000000025E-2</v>
      </c>
      <c r="AH11" s="38" cm="1">
        <f t="array" aca="1" ref="AH11" ca="1">TREND($K11:$P11,$K$1:$P$1,AH$1)</f>
        <v>1.5600000000000003E-2</v>
      </c>
      <c r="AI11" s="38" cm="1">
        <f t="array" aca="1" ref="AI11" ca="1">TREND($K11:$P11,$K$1:$P$1,AI$1)</f>
        <v>1.5799999999999981E-2</v>
      </c>
      <c r="AJ11" s="38" cm="1">
        <f t="array" aca="1" ref="AJ11" ca="1">TREND($K11:$P11,$K$1:$P$1,AJ$1)</f>
        <v>1.6000000000000014E-2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3.9899999999999998E-2</v>
      </c>
      <c r="C12" s="38">
        <f t="shared" ca="1" si="3"/>
        <v>4.0724999999999997E-2</v>
      </c>
      <c r="D12" s="38">
        <f t="shared" ca="1" si="0"/>
        <v>4.1550000000000004E-2</v>
      </c>
      <c r="E12" s="38">
        <f t="shared" ca="1" si="0"/>
        <v>4.2375000000000003E-2</v>
      </c>
      <c r="F12" s="40">
        <f ca="1">SUM(INDIRECT(CONCATENATE("'",HLOOKUP(F$1,$B$21:$E$23,3,FALSE),"'!",$B$25,ROW($A12)+5,":",$B$25,ROW($A12)+6)))*About!$A$27</f>
        <v>4.3200000000000002E-2</v>
      </c>
      <c r="G12" s="38">
        <f t="shared" ca="1" si="4"/>
        <v>4.41E-2</v>
      </c>
      <c r="H12" s="38">
        <f t="shared" ca="1" si="1"/>
        <v>4.4999999999999998E-2</v>
      </c>
      <c r="I12" s="38">
        <f t="shared" ca="1" si="1"/>
        <v>4.5900000000000003E-2</v>
      </c>
      <c r="J12" s="38">
        <f t="shared" ca="1" si="1"/>
        <v>4.6800000000000001E-2</v>
      </c>
      <c r="K12" s="40">
        <f ca="1">SUM(INDIRECT(CONCATENATE("'",HLOOKUP(K$1,$B$21:$E$23,3,FALSE),"'!",$B$25,ROW($A12)+5,":",$B$25,ROW($A12)+6)))*About!$A$27</f>
        <v>4.7699999999999999E-2</v>
      </c>
      <c r="L12" s="38">
        <f t="shared" ca="1" si="5"/>
        <v>4.8579999999999998E-2</v>
      </c>
      <c r="M12" s="38">
        <f t="shared" ca="1" si="2"/>
        <v>4.9459999999999997E-2</v>
      </c>
      <c r="N12" s="38">
        <f t="shared" ca="1" si="2"/>
        <v>5.0340000000000003E-2</v>
      </c>
      <c r="O12" s="38">
        <f t="shared" ca="1" si="2"/>
        <v>5.1220000000000002E-2</v>
      </c>
      <c r="P12" s="40">
        <f ca="1">SUM(INDIRECT(CONCATENATE("'",HLOOKUP(P$1,$B$21:$E$23,3,FALSE),"'!",$B$25,ROW($A12)+5,":",$B$25,ROW($A12)+6)))*About!$A$27</f>
        <v>5.21E-2</v>
      </c>
      <c r="Q12" s="38" cm="1">
        <f t="array" aca="1" ref="Q12" ca="1">TREND($K12:$P12,$K$1:$P$1,Q$1)</f>
        <v>5.2980000000000027E-2</v>
      </c>
      <c r="R12" s="38" cm="1">
        <f t="array" aca="1" ref="R12" ca="1">TREND($K12:$P12,$K$1:$P$1,R$1)</f>
        <v>5.3860000000000019E-2</v>
      </c>
      <c r="S12" s="38" cm="1">
        <f t="array" aca="1" ref="S12" ca="1">TREND($K12:$P12,$K$1:$P$1,S$1)</f>
        <v>5.4740000000000011E-2</v>
      </c>
      <c r="T12" s="38" cm="1">
        <f t="array" aca="1" ref="T12" ca="1">TREND($K12:$P12,$K$1:$P$1,T$1)</f>
        <v>5.5620000000000003E-2</v>
      </c>
      <c r="U12" s="38" cm="1">
        <f t="array" aca="1" ref="U12" ca="1">TREND($K12:$P12,$K$1:$P$1,U$1)</f>
        <v>5.6499999999999995E-2</v>
      </c>
      <c r="V12" s="38" cm="1">
        <f t="array" aca="1" ref="V12" ca="1">TREND($K12:$P12,$K$1:$P$1,V$1)</f>
        <v>5.7380000000000209E-2</v>
      </c>
      <c r="W12" s="38" cm="1">
        <f t="array" aca="1" ref="W12" ca="1">TREND($K12:$P12,$K$1:$P$1,W$1)</f>
        <v>5.8260000000000201E-2</v>
      </c>
      <c r="X12" s="38" cm="1">
        <f t="array" aca="1" ref="X12" ca="1">TREND($K12:$P12,$K$1:$P$1,X$1)</f>
        <v>5.9140000000000192E-2</v>
      </c>
      <c r="Y12" s="38" cm="1">
        <f t="array" aca="1" ref="Y12" ca="1">TREND($K12:$P12,$K$1:$P$1,Y$1)</f>
        <v>6.0020000000000184E-2</v>
      </c>
      <c r="Z12" s="38" cm="1">
        <f t="array" aca="1" ref="Z12" ca="1">TREND($K12:$P12,$K$1:$P$1,Z$1)</f>
        <v>6.0900000000000176E-2</v>
      </c>
      <c r="AA12" s="38" cm="1">
        <f t="array" aca="1" ref="AA12" ca="1">TREND($K12:$P12,$K$1:$P$1,AA$1)</f>
        <v>6.1780000000000168E-2</v>
      </c>
      <c r="AB12" s="38" cm="1">
        <f t="array" aca="1" ref="AB12" ca="1">TREND($K12:$P12,$K$1:$P$1,AB$1)</f>
        <v>6.266000000000016E-2</v>
      </c>
      <c r="AC12" s="38" cm="1">
        <f t="array" aca="1" ref="AC12" ca="1">TREND($K12:$P12,$K$1:$P$1,AC$1)</f>
        <v>6.3540000000000152E-2</v>
      </c>
      <c r="AD12" s="38" cm="1">
        <f t="array" aca="1" ref="AD12" ca="1">TREND($K12:$P12,$K$1:$P$1,AD$1)</f>
        <v>6.4420000000000144E-2</v>
      </c>
      <c r="AE12" s="38" cm="1">
        <f t="array" aca="1" ref="AE12" ca="1">TREND($K12:$P12,$K$1:$P$1,AE$1)</f>
        <v>6.5300000000000136E-2</v>
      </c>
      <c r="AF12" s="38" cm="1">
        <f t="array" aca="1" ref="AF12" ca="1">TREND($K12:$P12,$K$1:$P$1,AF$1)</f>
        <v>6.6180000000000128E-2</v>
      </c>
      <c r="AG12" s="38" cm="1">
        <f t="array" aca="1" ref="AG12" ca="1">TREND($K12:$P12,$K$1:$P$1,AG$1)</f>
        <v>6.706000000000012E-2</v>
      </c>
      <c r="AH12" s="38" cm="1">
        <f t="array" aca="1" ref="AH12" ca="1">TREND($K12:$P12,$K$1:$P$1,AH$1)</f>
        <v>6.7940000000000111E-2</v>
      </c>
      <c r="AI12" s="38" cm="1">
        <f t="array" aca="1" ref="AI12" ca="1">TREND($K12:$P12,$K$1:$P$1,AI$1)</f>
        <v>6.8820000000000103E-2</v>
      </c>
      <c r="AJ12" s="38" cm="1">
        <f t="array" aca="1" ref="AJ12" ca="1">TREND($K12:$P12,$K$1:$P$1,AJ$1)</f>
        <v>6.9700000000000095E-2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HOIpTP-buildings-PM25</v>
      </c>
    </row>
    <row r="18" spans="1:5" x14ac:dyDescent="0.25">
      <c r="A18" t="s">
        <v>114</v>
      </c>
      <c r="B18" t="str">
        <f ca="1">RIGHT(B17,LEN(B17)-7)</f>
        <v>buildings-PM25</v>
      </c>
    </row>
    <row r="19" spans="1:5" x14ac:dyDescent="0.25">
      <c r="A19" t="s">
        <v>115</v>
      </c>
      <c r="B19" t="str">
        <f ca="1">LEFT(B18,FIND("-",B18)-1)</f>
        <v>buildings</v>
      </c>
    </row>
    <row r="20" spans="1:5" x14ac:dyDescent="0.25">
      <c r="A20" t="s">
        <v>122</v>
      </c>
      <c r="B20" t="str">
        <f ca="1">VLOOKUP($B$19,Mappings!$A$22:$B$26,COLUMN(Mappings!$B$21),FALSE)</f>
        <v>area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11</v>
      </c>
      <c r="C22" s="32">
        <f ca="1">VLOOKUP($B$20,Mappings!$A$3:$E$19,COLUMN(Mappings!C$2),FALSE)</f>
        <v>28</v>
      </c>
      <c r="D22" s="32">
        <f ca="1">VLOOKUP($B$20,Mappings!$A$3:$E$19,COLUMN(Mappings!D$2),FALSE)</f>
        <v>45</v>
      </c>
      <c r="E22" s="33">
        <f ca="1">VLOOKUP($B$20,Mappings!$A$3:$E$19,COLUMN(Mappings!E$2),FALSE)</f>
        <v>62</v>
      </c>
    </row>
    <row r="23" spans="1:5" x14ac:dyDescent="0.25">
      <c r="A23" s="34" t="s">
        <v>113</v>
      </c>
      <c r="B23" s="35" t="str">
        <f ca="1">CONCATENATE("Table ",B22)</f>
        <v>Table 11</v>
      </c>
      <c r="C23" s="35" t="str">
        <f ca="1">CONCATENATE("Table ",C22)</f>
        <v>Table 28</v>
      </c>
      <c r="D23" s="35" t="str">
        <f ca="1">CONCATENATE("Table ",D22)</f>
        <v>Table 45</v>
      </c>
      <c r="E23" s="36" t="str">
        <f ca="1">CONCATENATE("Table ",E22)</f>
        <v>Table 62</v>
      </c>
    </row>
    <row r="24" spans="1:5" x14ac:dyDescent="0.25">
      <c r="A24" t="s">
        <v>116</v>
      </c>
      <c r="B24" t="str">
        <f ca="1">REPLACE(B18,1,FIND("-",B18),"")</f>
        <v>PM25</v>
      </c>
    </row>
    <row r="25" spans="1:5" x14ac:dyDescent="0.25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BAB8-13FD-4F3B-9BA2-4767544296D3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5.7999999999999996E-3</v>
      </c>
      <c r="C2" s="38">
        <f ca="1">$B2+($F2-$B2)*(C$1-$B$1)/($F$1-$B$1)</f>
        <v>5.8499999999999993E-3</v>
      </c>
      <c r="D2" s="38">
        <f t="shared" ref="D2:E12" ca="1" si="0">$B2+($F2-$B2)*(D$1-$B$1)/($F$1-$B$1)</f>
        <v>5.8999999999999999E-3</v>
      </c>
      <c r="E2" s="38">
        <f t="shared" ca="1" si="0"/>
        <v>5.9500000000000004E-3</v>
      </c>
      <c r="F2" s="37" cm="1">
        <f t="array" aca="1" ref="F2" ca="1">INDIRECT(CONCATENATE("'",HLOOKUP(F$1,$B$21:$E$23,3,FALSE),"'!",$B$25,ROW($A2)+3))*About!$A$27</f>
        <v>6.0000000000000001E-3</v>
      </c>
      <c r="G2" s="38">
        <f ca="1">$F2+($K2-$F2)*(G$1-$F$1)/($K$1-$F$1)</f>
        <v>6.0800000000000003E-3</v>
      </c>
      <c r="H2" s="38">
        <f t="shared" ref="H2:J12" ca="1" si="1">$F2+($K2-$F2)*(H$1-$F$1)/($K$1-$F$1)</f>
        <v>6.1600000000000005E-3</v>
      </c>
      <c r="I2" s="38">
        <f t="shared" ca="1" si="1"/>
        <v>6.2399999999999999E-3</v>
      </c>
      <c r="J2" s="38">
        <f t="shared" ca="1" si="1"/>
        <v>6.3200000000000001E-3</v>
      </c>
      <c r="K2" s="37" cm="1">
        <f t="array" aca="1" ref="K2" ca="1">INDIRECT(CONCATENATE("'",HLOOKUP(K$1,$B$21:$E$23,3,FALSE),"'!",$B$25,ROW($A2)+3))*About!$A$27</f>
        <v>6.4000000000000003E-3</v>
      </c>
      <c r="L2" s="38">
        <f ca="1">$K2+($P2-$K2)*(L$1-$K$1)/($P$1-$K$1)</f>
        <v>6.4800000000000005E-3</v>
      </c>
      <c r="M2" s="38">
        <f t="shared" ref="M2:O12" ca="1" si="2">$K2+($P2-$K2)*(M$1-$K$1)/($P$1-$K$1)</f>
        <v>6.5599999999999999E-3</v>
      </c>
      <c r="N2" s="38">
        <f t="shared" ca="1" si="2"/>
        <v>6.6400000000000001E-3</v>
      </c>
      <c r="O2" s="38">
        <f t="shared" ca="1" si="2"/>
        <v>6.7199999999999994E-3</v>
      </c>
      <c r="P2" s="37" cm="1">
        <f t="array" aca="1" ref="P2" ca="1">INDIRECT(CONCATENATE("'",HLOOKUP(P$1,$B$21:$E$23,3,FALSE),"'!",$B$25,ROW($A2)+3))*About!$A$27</f>
        <v>6.7999999999999996E-3</v>
      </c>
      <c r="Q2" s="38" cm="1">
        <f t="array" aca="1" ref="Q2" ca="1">TREND($K2:$P2,$K$1:$P$1,Q$1)</f>
        <v>6.8799999999999972E-3</v>
      </c>
      <c r="R2" s="38" cm="1">
        <f t="array" aca="1" ref="R2" ca="1">TREND($K2:$P2,$K$1:$P$1,R$1)</f>
        <v>6.959999999999994E-3</v>
      </c>
      <c r="S2" s="38" cm="1">
        <f t="array" aca="1" ref="S2" ca="1">TREND($K2:$P2,$K$1:$P$1,S$1)</f>
        <v>7.0399999999999907E-3</v>
      </c>
      <c r="T2" s="38" cm="1">
        <f t="array" aca="1" ref="T2" ca="1">TREND($K2:$P2,$K$1:$P$1,T$1)</f>
        <v>7.1199999999999875E-3</v>
      </c>
      <c r="U2" s="38" cm="1">
        <f t="array" aca="1" ref="U2" ca="1">TREND($K2:$P2,$K$1:$P$1,U$1)</f>
        <v>7.2000000000000119E-3</v>
      </c>
      <c r="V2" s="38" cm="1">
        <f t="array" aca="1" ref="V2" ca="1">TREND($K2:$P2,$K$1:$P$1,V$1)</f>
        <v>7.2800000000000087E-3</v>
      </c>
      <c r="W2" s="38" cm="1">
        <f t="array" aca="1" ref="W2" ca="1">TREND($K2:$P2,$K$1:$P$1,W$1)</f>
        <v>7.3600000000000054E-3</v>
      </c>
      <c r="X2" s="38" cm="1">
        <f t="array" aca="1" ref="X2" ca="1">TREND($K2:$P2,$K$1:$P$1,X$1)</f>
        <v>7.4400000000000022E-3</v>
      </c>
      <c r="Y2" s="38" cm="1">
        <f t="array" aca="1" ref="Y2" ca="1">TREND($K2:$P2,$K$1:$P$1,Y$1)</f>
        <v>7.5199999999999989E-3</v>
      </c>
      <c r="Z2" s="38" cm="1">
        <f t="array" aca="1" ref="Z2" ca="1">TREND($K2:$P2,$K$1:$P$1,Z$1)</f>
        <v>7.5999999999999956E-3</v>
      </c>
      <c r="AA2" s="38" cm="1">
        <f t="array" aca="1" ref="AA2" ca="1">TREND($K2:$P2,$K$1:$P$1,AA$1)</f>
        <v>7.6799999999999924E-3</v>
      </c>
      <c r="AB2" s="38" cm="1">
        <f t="array" aca="1" ref="AB2" ca="1">TREND($K2:$P2,$K$1:$P$1,AB$1)</f>
        <v>7.7599999999999891E-3</v>
      </c>
      <c r="AC2" s="38" cm="1">
        <f t="array" aca="1" ref="AC2" ca="1">TREND($K2:$P2,$K$1:$P$1,AC$1)</f>
        <v>7.8399999999999859E-3</v>
      </c>
      <c r="AD2" s="38" cm="1">
        <f t="array" aca="1" ref="AD2" ca="1">TREND($K2:$P2,$K$1:$P$1,AD$1)</f>
        <v>7.9200000000000104E-3</v>
      </c>
      <c r="AE2" s="38" cm="1">
        <f t="array" aca="1" ref="AE2" ca="1">TREND($K2:$P2,$K$1:$P$1,AE$1)</f>
        <v>8.0000000000000071E-3</v>
      </c>
      <c r="AF2" s="38" cm="1">
        <f t="array" aca="1" ref="AF2" ca="1">TREND($K2:$P2,$K$1:$P$1,AF$1)</f>
        <v>8.0800000000000038E-3</v>
      </c>
      <c r="AG2" s="38" cm="1">
        <f t="array" aca="1" ref="AG2" ca="1">TREND($K2:$P2,$K$1:$P$1,AG$1)</f>
        <v>8.1600000000000006E-3</v>
      </c>
      <c r="AH2" s="38" cm="1">
        <f t="array" aca="1" ref="AH2" ca="1">TREND($K2:$P2,$K$1:$P$1,AH$1)</f>
        <v>8.2399999999999973E-3</v>
      </c>
      <c r="AI2" s="38" cm="1">
        <f t="array" aca="1" ref="AI2" ca="1">TREND($K2:$P2,$K$1:$P$1,AI$1)</f>
        <v>8.3199999999999941E-3</v>
      </c>
      <c r="AJ2" s="38" cm="1">
        <f t="array" aca="1" ref="AJ2" ca="1">TREND($K2:$P2,$K$1:$P$1,AJ$1)</f>
        <v>8.3999999999999908E-3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3.3999999999999998E-3</v>
      </c>
      <c r="C3" s="38">
        <f t="shared" ref="C3:C12" ca="1" si="3">$B3+($F3-$B3)*(C$1-$B$1)/($F$1-$B$1)</f>
        <v>3.4250000000000001E-3</v>
      </c>
      <c r="D3" s="38">
        <f t="shared" ca="1" si="0"/>
        <v>3.4499999999999999E-3</v>
      </c>
      <c r="E3" s="38">
        <f t="shared" ca="1" si="0"/>
        <v>3.4749999999999998E-3</v>
      </c>
      <c r="F3" s="39" cm="1">
        <f t="array" aca="1" ref="F3" ca="1">INDIRECT(CONCATENATE("'",HLOOKUP(F$1,$B$21:$E$23,3,FALSE),"'!",$B$25,ROW($A3)+5))*About!$A$27</f>
        <v>3.5000000000000001E-3</v>
      </c>
      <c r="G3" s="38">
        <f t="shared" ref="G3:G12" ca="1" si="4">$F3+($K3-$F3)*(G$1-$F$1)/($K$1-$F$1)</f>
        <v>3.5400000000000002E-3</v>
      </c>
      <c r="H3" s="38">
        <f t="shared" ca="1" si="1"/>
        <v>3.5800000000000003E-3</v>
      </c>
      <c r="I3" s="38">
        <f t="shared" ca="1" si="1"/>
        <v>3.62E-3</v>
      </c>
      <c r="J3" s="38">
        <f t="shared" ca="1" si="1"/>
        <v>3.6600000000000001E-3</v>
      </c>
      <c r="K3" s="39" cm="1">
        <f t="array" aca="1" ref="K3" ca="1">INDIRECT(CONCATENATE("'",HLOOKUP(K$1,$B$21:$E$23,3,FALSE),"'!",$B$25,ROW($A3)+5))*About!$A$27</f>
        <v>3.7000000000000002E-3</v>
      </c>
      <c r="L3" s="38">
        <f t="shared" ref="L3:L12" ca="1" si="5">$K3+($P3-$K3)*(L$1-$K$1)/($P$1-$K$1)</f>
        <v>3.7200000000000002E-3</v>
      </c>
      <c r="M3" s="38">
        <f t="shared" ca="1" si="2"/>
        <v>3.7400000000000003E-3</v>
      </c>
      <c r="N3" s="38">
        <f t="shared" ca="1" si="2"/>
        <v>3.7599999999999999E-3</v>
      </c>
      <c r="O3" s="38">
        <f t="shared" ca="1" si="2"/>
        <v>3.7799999999999999E-3</v>
      </c>
      <c r="P3" s="39" cm="1">
        <f t="array" aca="1" ref="P3" ca="1">INDIRECT(CONCATENATE("'",HLOOKUP(P$1,$B$21:$E$23,3,FALSE),"'!",$B$25,ROW($A3)+5))*About!$A$27</f>
        <v>3.8E-3</v>
      </c>
      <c r="Q3" s="38" cm="1">
        <f t="array" aca="1" ref="Q3" ca="1">TREND($K3:$P3,$K$1:$P$1,Q$1)</f>
        <v>3.8200000000000039E-3</v>
      </c>
      <c r="R3" s="38" cm="1">
        <f t="array" aca="1" ref="R3" ca="1">TREND($K3:$P3,$K$1:$P$1,R$1)</f>
        <v>3.8400000000000031E-3</v>
      </c>
      <c r="S3" s="38" cm="1">
        <f t="array" aca="1" ref="S3" ca="1">TREND($K3:$P3,$K$1:$P$1,S$1)</f>
        <v>3.8600000000000023E-3</v>
      </c>
      <c r="T3" s="38" cm="1">
        <f t="array" aca="1" ref="T3" ca="1">TREND($K3:$P3,$K$1:$P$1,T$1)</f>
        <v>3.8800000000000015E-3</v>
      </c>
      <c r="U3" s="38" cm="1">
        <f t="array" aca="1" ref="U3" ca="1">TREND($K3:$P3,$K$1:$P$1,U$1)</f>
        <v>3.9000000000000076E-3</v>
      </c>
      <c r="V3" s="38" cm="1">
        <f t="array" aca="1" ref="V3" ca="1">TREND($K3:$P3,$K$1:$P$1,V$1)</f>
        <v>3.9200000000000068E-3</v>
      </c>
      <c r="W3" s="38" cm="1">
        <f t="array" aca="1" ref="W3" ca="1">TREND($K3:$P3,$K$1:$P$1,W$1)</f>
        <v>3.940000000000006E-3</v>
      </c>
      <c r="X3" s="38" cm="1">
        <f t="array" aca="1" ref="X3" ca="1">TREND($K3:$P3,$K$1:$P$1,X$1)</f>
        <v>3.9600000000000052E-3</v>
      </c>
      <c r="Y3" s="38" cm="1">
        <f t="array" aca="1" ref="Y3" ca="1">TREND($K3:$P3,$K$1:$P$1,Y$1)</f>
        <v>3.9800000000000044E-3</v>
      </c>
      <c r="Z3" s="38" cm="1">
        <f t="array" aca="1" ref="Z3" ca="1">TREND($K3:$P3,$K$1:$P$1,Z$1)</f>
        <v>4.0000000000000036E-3</v>
      </c>
      <c r="AA3" s="38" cm="1">
        <f t="array" aca="1" ref="AA3" ca="1">TREND($K3:$P3,$K$1:$P$1,AA$1)</f>
        <v>4.0200000000000027E-3</v>
      </c>
      <c r="AB3" s="38" cm="1">
        <f t="array" aca="1" ref="AB3" ca="1">TREND($K3:$P3,$K$1:$P$1,AB$1)</f>
        <v>4.0400000000000019E-3</v>
      </c>
      <c r="AC3" s="38" cm="1">
        <f t="array" aca="1" ref="AC3" ca="1">TREND($K3:$P3,$K$1:$P$1,AC$1)</f>
        <v>4.0600000000000011E-3</v>
      </c>
      <c r="AD3" s="38" cm="1">
        <f t="array" aca="1" ref="AD3" ca="1">TREND($K3:$P3,$K$1:$P$1,AD$1)</f>
        <v>4.0800000000000072E-3</v>
      </c>
      <c r="AE3" s="38" cm="1">
        <f t="array" aca="1" ref="AE3" ca="1">TREND($K3:$P3,$K$1:$P$1,AE$1)</f>
        <v>4.1000000000000064E-3</v>
      </c>
      <c r="AF3" s="38" cm="1">
        <f t="array" aca="1" ref="AF3" ca="1">TREND($K3:$P3,$K$1:$P$1,AF$1)</f>
        <v>4.1200000000000056E-3</v>
      </c>
      <c r="AG3" s="38" cm="1">
        <f t="array" aca="1" ref="AG3" ca="1">TREND($K3:$P3,$K$1:$P$1,AG$1)</f>
        <v>4.1400000000000048E-3</v>
      </c>
      <c r="AH3" s="38" cm="1">
        <f t="array" aca="1" ref="AH3" ca="1">TREND($K3:$P3,$K$1:$P$1,AH$1)</f>
        <v>4.160000000000004E-3</v>
      </c>
      <c r="AI3" s="38" cm="1">
        <f t="array" aca="1" ref="AI3" ca="1">TREND($K3:$P3,$K$1:$P$1,AI$1)</f>
        <v>4.1800000000000032E-3</v>
      </c>
      <c r="AJ3" s="38" cm="1">
        <f t="array" aca="1" ref="AJ3" ca="1">TREND($K3:$P3,$K$1:$P$1,AJ$1)</f>
        <v>4.2000000000000023E-3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7.9000000000000008E-3</v>
      </c>
      <c r="C4" s="38">
        <f t="shared" ca="1" si="3"/>
        <v>7.9250000000000015E-3</v>
      </c>
      <c r="D4" s="38">
        <f t="shared" ca="1" si="0"/>
        <v>7.9500000000000005E-3</v>
      </c>
      <c r="E4" s="38">
        <f t="shared" ca="1" si="0"/>
        <v>7.9749999999999995E-3</v>
      </c>
      <c r="F4" s="39" cm="1">
        <f t="array" aca="1" ref="F4" ca="1">INDIRECT(CONCATENATE("'",HLOOKUP(F$1,$B$21:$E$23,3,FALSE),"'!",$B$25,ROW($A4)+5))*About!$A$27</f>
        <v>8.0000000000000002E-3</v>
      </c>
      <c r="G4" s="38">
        <f t="shared" ca="1" si="4"/>
        <v>8.0800000000000004E-3</v>
      </c>
      <c r="H4" s="38">
        <f t="shared" ca="1" si="1"/>
        <v>8.1600000000000006E-3</v>
      </c>
      <c r="I4" s="38">
        <f t="shared" ca="1" si="1"/>
        <v>8.2399999999999991E-3</v>
      </c>
      <c r="J4" s="38">
        <f t="shared" ca="1" si="1"/>
        <v>8.3199999999999993E-3</v>
      </c>
      <c r="K4" s="39" cm="1">
        <f t="array" aca="1" ref="K4" ca="1">INDIRECT(CONCATENATE("'",HLOOKUP(K$1,$B$21:$E$23,3,FALSE),"'!",$B$25,ROW($A4)+5))*About!$A$27</f>
        <v>8.3999999999999995E-3</v>
      </c>
      <c r="L4" s="38">
        <f t="shared" ca="1" si="5"/>
        <v>8.5199999999999998E-3</v>
      </c>
      <c r="M4" s="38">
        <f t="shared" ca="1" si="2"/>
        <v>8.6400000000000001E-3</v>
      </c>
      <c r="N4" s="38">
        <f t="shared" ca="1" si="2"/>
        <v>8.7599999999999987E-3</v>
      </c>
      <c r="O4" s="38">
        <f t="shared" ca="1" si="2"/>
        <v>8.879999999999999E-3</v>
      </c>
      <c r="P4" s="39" cm="1">
        <f t="array" aca="1" ref="P4" ca="1">INDIRECT(CONCATENATE("'",HLOOKUP(P$1,$B$21:$E$23,3,FALSE),"'!",$B$25,ROW($A4)+5))*About!$A$27</f>
        <v>8.9999999999999993E-3</v>
      </c>
      <c r="Q4" s="38" cm="1">
        <f t="array" aca="1" ref="Q4" ca="1">TREND($K4:$P4,$K$1:$P$1,Q$1)</f>
        <v>9.120000000000017E-3</v>
      </c>
      <c r="R4" s="38" cm="1">
        <f t="array" aca="1" ref="R4" ca="1">TREND($K4:$P4,$K$1:$P$1,R$1)</f>
        <v>9.2399999999999982E-3</v>
      </c>
      <c r="S4" s="38" cm="1">
        <f t="array" aca="1" ref="S4" ca="1">TREND($K4:$P4,$K$1:$P$1,S$1)</f>
        <v>9.3600000000000072E-3</v>
      </c>
      <c r="T4" s="38" cm="1">
        <f t="array" aca="1" ref="T4" ca="1">TREND($K4:$P4,$K$1:$P$1,T$1)</f>
        <v>9.4800000000000162E-3</v>
      </c>
      <c r="U4" s="38" cm="1">
        <f t="array" aca="1" ref="U4" ca="1">TREND($K4:$P4,$K$1:$P$1,U$1)</f>
        <v>9.5999999999999974E-3</v>
      </c>
      <c r="V4" s="38" cm="1">
        <f t="array" aca="1" ref="V4" ca="1">TREND($K4:$P4,$K$1:$P$1,V$1)</f>
        <v>9.7200000000000064E-3</v>
      </c>
      <c r="W4" s="38" cm="1">
        <f t="array" aca="1" ref="W4" ca="1">TREND($K4:$P4,$K$1:$P$1,W$1)</f>
        <v>9.8400000000000154E-3</v>
      </c>
      <c r="X4" s="38" cm="1">
        <f t="array" aca="1" ref="X4" ca="1">TREND($K4:$P4,$K$1:$P$1,X$1)</f>
        <v>9.9599999999999966E-3</v>
      </c>
      <c r="Y4" s="38" cm="1">
        <f t="array" aca="1" ref="Y4" ca="1">TREND($K4:$P4,$K$1:$P$1,Y$1)</f>
        <v>1.0080000000000006E-2</v>
      </c>
      <c r="Z4" s="38" cm="1">
        <f t="array" aca="1" ref="Z4" ca="1">TREND($K4:$P4,$K$1:$P$1,Z$1)</f>
        <v>1.0200000000000015E-2</v>
      </c>
      <c r="AA4" s="38" cm="1">
        <f t="array" aca="1" ref="AA4" ca="1">TREND($K4:$P4,$K$1:$P$1,AA$1)</f>
        <v>1.0319999999999996E-2</v>
      </c>
      <c r="AB4" s="38" cm="1">
        <f t="array" aca="1" ref="AB4" ca="1">TREND($K4:$P4,$K$1:$P$1,AB$1)</f>
        <v>1.0440000000000005E-2</v>
      </c>
      <c r="AC4" s="38" cm="1">
        <f t="array" aca="1" ref="AC4" ca="1">TREND($K4:$P4,$K$1:$P$1,AC$1)</f>
        <v>1.0560000000000014E-2</v>
      </c>
      <c r="AD4" s="38" cm="1">
        <f t="array" aca="1" ref="AD4" ca="1">TREND($K4:$P4,$K$1:$P$1,AD$1)</f>
        <v>1.0679999999999995E-2</v>
      </c>
      <c r="AE4" s="38" cm="1">
        <f t="array" aca="1" ref="AE4" ca="1">TREND($K4:$P4,$K$1:$P$1,AE$1)</f>
        <v>1.0800000000000004E-2</v>
      </c>
      <c r="AF4" s="38" cm="1">
        <f t="array" aca="1" ref="AF4" ca="1">TREND($K4:$P4,$K$1:$P$1,AF$1)</f>
        <v>1.0920000000000013E-2</v>
      </c>
      <c r="AG4" s="38" cm="1">
        <f t="array" aca="1" ref="AG4" ca="1">TREND($K4:$P4,$K$1:$P$1,AG$1)</f>
        <v>1.1039999999999994E-2</v>
      </c>
      <c r="AH4" s="38" cm="1">
        <f t="array" aca="1" ref="AH4" ca="1">TREND($K4:$P4,$K$1:$P$1,AH$1)</f>
        <v>1.1160000000000003E-2</v>
      </c>
      <c r="AI4" s="38" cm="1">
        <f t="array" aca="1" ref="AI4" ca="1">TREND($K4:$P4,$K$1:$P$1,AI$1)</f>
        <v>1.1280000000000012E-2</v>
      </c>
      <c r="AJ4" s="38" cm="1">
        <f t="array" aca="1" ref="AJ4" ca="1">TREND($K4:$P4,$K$1:$P$1,AJ$1)</f>
        <v>1.1399999999999993E-2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0.1</v>
      </c>
      <c r="C5" s="38">
        <f t="shared" ca="1" si="3"/>
        <v>0.1</v>
      </c>
      <c r="D5" s="38">
        <f t="shared" ca="1" si="0"/>
        <v>0.1</v>
      </c>
      <c r="E5" s="38">
        <f t="shared" ca="1" si="0"/>
        <v>0.1</v>
      </c>
      <c r="F5" s="39" cm="1">
        <f t="array" aca="1" ref="F5" ca="1">INDIRECT(CONCATENATE("'",HLOOKUP(F$1,$B$21:$E$23,3,FALSE),"'!",$B$25,ROW($A5)+5))*About!$A$27</f>
        <v>0.1</v>
      </c>
      <c r="G5" s="38">
        <f t="shared" ca="1" si="4"/>
        <v>0.10200000000000001</v>
      </c>
      <c r="H5" s="38">
        <f t="shared" ca="1" si="1"/>
        <v>0.10400000000000001</v>
      </c>
      <c r="I5" s="38">
        <f t="shared" ca="1" si="1"/>
        <v>0.106</v>
      </c>
      <c r="J5" s="38">
        <f t="shared" ca="1" si="1"/>
        <v>0.108</v>
      </c>
      <c r="K5" s="39" cm="1">
        <f t="array" aca="1" ref="K5" ca="1">INDIRECT(CONCATENATE("'",HLOOKUP(K$1,$B$21:$E$23,3,FALSE),"'!",$B$25,ROW($A5)+5))*About!$A$27</f>
        <v>0.11</v>
      </c>
      <c r="L5" s="38">
        <f t="shared" ca="1" si="5"/>
        <v>0.112</v>
      </c>
      <c r="M5" s="38">
        <f t="shared" ca="1" si="2"/>
        <v>0.114</v>
      </c>
      <c r="N5" s="38">
        <f t="shared" ca="1" si="2"/>
        <v>0.11599999999999999</v>
      </c>
      <c r="O5" s="38">
        <f t="shared" ca="1" si="2"/>
        <v>0.11799999999999999</v>
      </c>
      <c r="P5" s="39" cm="1">
        <f t="array" aca="1" ref="P5" ca="1">INDIRECT(CONCATENATE("'",HLOOKUP(P$1,$B$21:$E$23,3,FALSE),"'!",$B$25,ROW($A5)+5))*About!$A$27</f>
        <v>0.12</v>
      </c>
      <c r="Q5" s="38" cm="1">
        <f t="array" aca="1" ref="Q5" ca="1">TREND($K5:$P5,$K$1:$P$1,Q$1)</f>
        <v>0.12200000000000077</v>
      </c>
      <c r="R5" s="38" cm="1">
        <f t="array" aca="1" ref="R5" ca="1">TREND($K5:$P5,$K$1:$P$1,R$1)</f>
        <v>0.12400000000000055</v>
      </c>
      <c r="S5" s="38" cm="1">
        <f t="array" aca="1" ref="S5" ca="1">TREND($K5:$P5,$K$1:$P$1,S$1)</f>
        <v>0.12600000000000033</v>
      </c>
      <c r="T5" s="38" cm="1">
        <f t="array" aca="1" ref="T5" ca="1">TREND($K5:$P5,$K$1:$P$1,T$1)</f>
        <v>0.128000000000001</v>
      </c>
      <c r="U5" s="38" cm="1">
        <f t="array" aca="1" ref="U5" ca="1">TREND($K5:$P5,$K$1:$P$1,U$1)</f>
        <v>0.13000000000000078</v>
      </c>
      <c r="V5" s="38" cm="1">
        <f t="array" aca="1" ref="V5" ca="1">TREND($K5:$P5,$K$1:$P$1,V$1)</f>
        <v>0.13200000000000056</v>
      </c>
      <c r="W5" s="38" cm="1">
        <f t="array" aca="1" ref="W5" ca="1">TREND($K5:$P5,$K$1:$P$1,W$1)</f>
        <v>0.13400000000000034</v>
      </c>
      <c r="X5" s="38" cm="1">
        <f t="array" aca="1" ref="X5" ca="1">TREND($K5:$P5,$K$1:$P$1,X$1)</f>
        <v>0.13600000000000101</v>
      </c>
      <c r="Y5" s="38" cm="1">
        <f t="array" aca="1" ref="Y5" ca="1">TREND($K5:$P5,$K$1:$P$1,Y$1)</f>
        <v>0.13800000000000079</v>
      </c>
      <c r="Z5" s="38" cm="1">
        <f t="array" aca="1" ref="Z5" ca="1">TREND($K5:$P5,$K$1:$P$1,Z$1)</f>
        <v>0.14000000000000057</v>
      </c>
      <c r="AA5" s="38" cm="1">
        <f t="array" aca="1" ref="AA5" ca="1">TREND($K5:$P5,$K$1:$P$1,AA$1)</f>
        <v>0.14200000000000035</v>
      </c>
      <c r="AB5" s="38" cm="1">
        <f t="array" aca="1" ref="AB5" ca="1">TREND($K5:$P5,$K$1:$P$1,AB$1)</f>
        <v>0.14400000000000102</v>
      </c>
      <c r="AC5" s="38" cm="1">
        <f t="array" aca="1" ref="AC5" ca="1">TREND($K5:$P5,$K$1:$P$1,AC$1)</f>
        <v>0.1460000000000008</v>
      </c>
      <c r="AD5" s="38" cm="1">
        <f t="array" aca="1" ref="AD5" ca="1">TREND($K5:$P5,$K$1:$P$1,AD$1)</f>
        <v>0.14800000000000058</v>
      </c>
      <c r="AE5" s="38" cm="1">
        <f t="array" aca="1" ref="AE5" ca="1">TREND($K5:$P5,$K$1:$P$1,AE$1)</f>
        <v>0.15000000000000036</v>
      </c>
      <c r="AF5" s="38" cm="1">
        <f t="array" aca="1" ref="AF5" ca="1">TREND($K5:$P5,$K$1:$P$1,AF$1)</f>
        <v>0.15200000000000102</v>
      </c>
      <c r="AG5" s="38" cm="1">
        <f t="array" aca="1" ref="AG5" ca="1">TREND($K5:$P5,$K$1:$P$1,AG$1)</f>
        <v>0.1540000000000008</v>
      </c>
      <c r="AH5" s="38" cm="1">
        <f t="array" aca="1" ref="AH5" ca="1">TREND($K5:$P5,$K$1:$P$1,AH$1)</f>
        <v>0.15600000000000058</v>
      </c>
      <c r="AI5" s="38" cm="1">
        <f t="array" aca="1" ref="AI5" ca="1">TREND($K5:$P5,$K$1:$P$1,AI$1)</f>
        <v>0.15800000000000036</v>
      </c>
      <c r="AJ5" s="38" cm="1">
        <f t="array" aca="1" ref="AJ5" ca="1">TREND($K5:$P5,$K$1:$P$1,AJ$1)</f>
        <v>0.16000000000000014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0.15</v>
      </c>
      <c r="C6" s="38">
        <f t="shared" ca="1" si="3"/>
        <v>0.15</v>
      </c>
      <c r="D6" s="38">
        <f t="shared" ca="1" si="0"/>
        <v>0.15</v>
      </c>
      <c r="E6" s="38">
        <f t="shared" ca="1" si="0"/>
        <v>0.15</v>
      </c>
      <c r="F6" s="39" cm="1">
        <f t="array" aca="1" ref="F6" ca="1">INDIRECT(CONCATENATE("'",HLOOKUP(F$1,$B$21:$E$23,3,FALSE),"'!",$B$25,ROW($A6)+5))*About!$A$27</f>
        <v>0.15</v>
      </c>
      <c r="G6" s="38">
        <f t="shared" ca="1" si="4"/>
        <v>0.15</v>
      </c>
      <c r="H6" s="38">
        <f t="shared" ca="1" si="1"/>
        <v>0.15</v>
      </c>
      <c r="I6" s="38">
        <f t="shared" ca="1" si="1"/>
        <v>0.15</v>
      </c>
      <c r="J6" s="38">
        <f t="shared" ca="1" si="1"/>
        <v>0.15</v>
      </c>
      <c r="K6" s="39" cm="1">
        <f t="array" aca="1" ref="K6" ca="1">INDIRECT(CONCATENATE("'",HLOOKUP(K$1,$B$21:$E$23,3,FALSE),"'!",$B$25,ROW($A6)+5))*About!$A$27</f>
        <v>0.15</v>
      </c>
      <c r="L6" s="38">
        <f t="shared" ca="1" si="5"/>
        <v>0.154</v>
      </c>
      <c r="M6" s="38">
        <f t="shared" ca="1" si="2"/>
        <v>0.158</v>
      </c>
      <c r="N6" s="38">
        <f t="shared" ca="1" si="2"/>
        <v>0.16200000000000001</v>
      </c>
      <c r="O6" s="38">
        <f t="shared" ca="1" si="2"/>
        <v>0.16600000000000001</v>
      </c>
      <c r="P6" s="39" cm="1">
        <f t="array" aca="1" ref="P6" ca="1">INDIRECT(CONCATENATE("'",HLOOKUP(P$1,$B$21:$E$23,3,FALSE),"'!",$B$25,ROW($A6)+5))*About!$A$27</f>
        <v>0.17</v>
      </c>
      <c r="Q6" s="38" cm="1">
        <f t="array" aca="1" ref="Q6" ca="1">TREND($K6:$P6,$K$1:$P$1,Q$1)</f>
        <v>0.17400000000000126</v>
      </c>
      <c r="R6" s="38" cm="1">
        <f t="array" aca="1" ref="R6" ca="1">TREND($K6:$P6,$K$1:$P$1,R$1)</f>
        <v>0.17800000000000082</v>
      </c>
      <c r="S6" s="38" cm="1">
        <f t="array" aca="1" ref="S6" ca="1">TREND($K6:$P6,$K$1:$P$1,S$1)</f>
        <v>0.18200000000000038</v>
      </c>
      <c r="T6" s="38" cm="1">
        <f t="array" aca="1" ref="T6" ca="1">TREND($K6:$P6,$K$1:$P$1,T$1)</f>
        <v>0.18599999999999994</v>
      </c>
      <c r="U6" s="38" cm="1">
        <f t="array" aca="1" ref="U6" ca="1">TREND($K6:$P6,$K$1:$P$1,U$1)</f>
        <v>0.19000000000000128</v>
      </c>
      <c r="V6" s="38" cm="1">
        <f t="array" aca="1" ref="V6" ca="1">TREND($K6:$P6,$K$1:$P$1,V$1)</f>
        <v>0.19400000000000084</v>
      </c>
      <c r="W6" s="38" cm="1">
        <f t="array" aca="1" ref="W6" ca="1">TREND($K6:$P6,$K$1:$P$1,W$1)</f>
        <v>0.1980000000000004</v>
      </c>
      <c r="X6" s="38" cm="1">
        <f t="array" aca="1" ref="X6" ca="1">TREND($K6:$P6,$K$1:$P$1,X$1)</f>
        <v>0.20200000000000173</v>
      </c>
      <c r="Y6" s="38" cm="1">
        <f t="array" aca="1" ref="Y6" ca="1">TREND($K6:$P6,$K$1:$P$1,Y$1)</f>
        <v>0.20600000000000129</v>
      </c>
      <c r="Z6" s="38" cm="1">
        <f t="array" aca="1" ref="Z6" ca="1">TREND($K6:$P6,$K$1:$P$1,Z$1)</f>
        <v>0.21000000000000085</v>
      </c>
      <c r="AA6" s="38" cm="1">
        <f t="array" aca="1" ref="AA6" ca="1">TREND($K6:$P6,$K$1:$P$1,AA$1)</f>
        <v>0.21400000000000041</v>
      </c>
      <c r="AB6" s="38" cm="1">
        <f t="array" aca="1" ref="AB6" ca="1">TREND($K6:$P6,$K$1:$P$1,AB$1)</f>
        <v>0.21799999999999997</v>
      </c>
      <c r="AC6" s="38" cm="1">
        <f t="array" aca="1" ref="AC6" ca="1">TREND($K6:$P6,$K$1:$P$1,AC$1)</f>
        <v>0.22200000000000131</v>
      </c>
      <c r="AD6" s="38" cm="1">
        <f t="array" aca="1" ref="AD6" ca="1">TREND($K6:$P6,$K$1:$P$1,AD$1)</f>
        <v>0.22600000000000087</v>
      </c>
      <c r="AE6" s="38" cm="1">
        <f t="array" aca="1" ref="AE6" ca="1">TREND($K6:$P6,$K$1:$P$1,AE$1)</f>
        <v>0.23000000000000043</v>
      </c>
      <c r="AF6" s="38" cm="1">
        <f t="array" aca="1" ref="AF6" ca="1">TREND($K6:$P6,$K$1:$P$1,AF$1)</f>
        <v>0.23400000000000176</v>
      </c>
      <c r="AG6" s="38" cm="1">
        <f t="array" aca="1" ref="AG6" ca="1">TREND($K6:$P6,$K$1:$P$1,AG$1)</f>
        <v>0.23800000000000132</v>
      </c>
      <c r="AH6" s="38" cm="1">
        <f t="array" aca="1" ref="AH6" ca="1">TREND($K6:$P6,$K$1:$P$1,AH$1)</f>
        <v>0.24200000000000088</v>
      </c>
      <c r="AI6" s="38" cm="1">
        <f t="array" aca="1" ref="AI6" ca="1">TREND($K6:$P6,$K$1:$P$1,AI$1)</f>
        <v>0.24600000000000044</v>
      </c>
      <c r="AJ6" s="38" cm="1">
        <f t="array" aca="1" ref="AJ6" ca="1">TREND($K6:$P6,$K$1:$P$1,AJ$1)</f>
        <v>0.25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4.4000000000000004</v>
      </c>
      <c r="C7" s="38">
        <f t="shared" ca="1" si="3"/>
        <v>4.4250000000000007</v>
      </c>
      <c r="D7" s="38">
        <f t="shared" ca="1" si="0"/>
        <v>4.45</v>
      </c>
      <c r="E7" s="38">
        <f t="shared" ca="1" si="0"/>
        <v>4.4749999999999996</v>
      </c>
      <c r="F7" s="39" cm="1">
        <f t="array" aca="1" ref="F7" ca="1">INDIRECT(CONCATENATE("'",HLOOKUP(F$1,$B$21:$E$23,3,FALSE),"'!",$B$25,ROW($A7)+5))*About!$A$27</f>
        <v>4.5</v>
      </c>
      <c r="G7" s="38">
        <f t="shared" ca="1" si="4"/>
        <v>4.5</v>
      </c>
      <c r="H7" s="38">
        <f t="shared" ca="1" si="1"/>
        <v>4.5</v>
      </c>
      <c r="I7" s="38">
        <f t="shared" ca="1" si="1"/>
        <v>4.5</v>
      </c>
      <c r="J7" s="38">
        <f t="shared" ca="1" si="1"/>
        <v>4.5</v>
      </c>
      <c r="K7" s="39" cm="1">
        <f t="array" aca="1" ref="K7" ca="1">INDIRECT(CONCATENATE("'",HLOOKUP(K$1,$B$21:$E$23,3,FALSE),"'!",$B$25,ROW($A7)+5))*About!$A$27</f>
        <v>4.5</v>
      </c>
      <c r="L7" s="38">
        <f t="shared" ca="1" si="5"/>
        <v>4.5199999999999996</v>
      </c>
      <c r="M7" s="38">
        <f t="shared" ca="1" si="2"/>
        <v>4.54</v>
      </c>
      <c r="N7" s="38">
        <f t="shared" ca="1" si="2"/>
        <v>4.5599999999999996</v>
      </c>
      <c r="O7" s="38">
        <f t="shared" ca="1" si="2"/>
        <v>4.58</v>
      </c>
      <c r="P7" s="39" cm="1">
        <f t="array" aca="1" ref="P7" ca="1">INDIRECT(CONCATENATE("'",HLOOKUP(P$1,$B$21:$E$23,3,FALSE),"'!",$B$25,ROW($A7)+5))*About!$A$27</f>
        <v>4.5999999999999996</v>
      </c>
      <c r="Q7" s="38" cm="1">
        <f t="array" aca="1" ref="Q7" ca="1">TREND($K7:$P7,$K$1:$P$1,Q$1)</f>
        <v>4.6199999999999974</v>
      </c>
      <c r="R7" s="38" cm="1">
        <f t="array" aca="1" ref="R7" ca="1">TREND($K7:$P7,$K$1:$P$1,R$1)</f>
        <v>4.6399999999999935</v>
      </c>
      <c r="S7" s="38" cm="1">
        <f t="array" aca="1" ref="S7" ca="1">TREND($K7:$P7,$K$1:$P$1,S$1)</f>
        <v>4.6599999999999966</v>
      </c>
      <c r="T7" s="38" cm="1">
        <f t="array" aca="1" ref="T7" ca="1">TREND($K7:$P7,$K$1:$P$1,T$1)</f>
        <v>4.6799999999999926</v>
      </c>
      <c r="U7" s="38" cm="1">
        <f t="array" aca="1" ref="U7" ca="1">TREND($K7:$P7,$K$1:$P$1,U$1)</f>
        <v>4.6999999999999957</v>
      </c>
      <c r="V7" s="38" cm="1">
        <f t="array" aca="1" ref="V7" ca="1">TREND($K7:$P7,$K$1:$P$1,V$1)</f>
        <v>4.7199999999999918</v>
      </c>
      <c r="W7" s="38" cm="1">
        <f t="array" aca="1" ref="W7" ca="1">TREND($K7:$P7,$K$1:$P$1,W$1)</f>
        <v>4.7399999999999949</v>
      </c>
      <c r="X7" s="38" cm="1">
        <f t="array" aca="1" ref="X7" ca="1">TREND($K7:$P7,$K$1:$P$1,X$1)</f>
        <v>4.7599999999999909</v>
      </c>
      <c r="Y7" s="38" cm="1">
        <f t="array" aca="1" ref="Y7" ca="1">TREND($K7:$P7,$K$1:$P$1,Y$1)</f>
        <v>4.779999999999994</v>
      </c>
      <c r="Z7" s="38" cm="1">
        <f t="array" aca="1" ref="Z7" ca="1">TREND($K7:$P7,$K$1:$P$1,Z$1)</f>
        <v>4.7999999999999972</v>
      </c>
      <c r="AA7" s="38" cm="1">
        <f t="array" aca="1" ref="AA7" ca="1">TREND($K7:$P7,$K$1:$P$1,AA$1)</f>
        <v>4.8199999999999932</v>
      </c>
      <c r="AB7" s="38" cm="1">
        <f t="array" aca="1" ref="AB7" ca="1">TREND($K7:$P7,$K$1:$P$1,AB$1)</f>
        <v>4.8399999999999963</v>
      </c>
      <c r="AC7" s="38" cm="1">
        <f t="array" aca="1" ref="AC7" ca="1">TREND($K7:$P7,$K$1:$P$1,AC$1)</f>
        <v>4.8599999999999923</v>
      </c>
      <c r="AD7" s="38" cm="1">
        <f t="array" aca="1" ref="AD7" ca="1">TREND($K7:$P7,$K$1:$P$1,AD$1)</f>
        <v>4.8799999999999955</v>
      </c>
      <c r="AE7" s="38" cm="1">
        <f t="array" aca="1" ref="AE7" ca="1">TREND($K7:$P7,$K$1:$P$1,AE$1)</f>
        <v>4.8999999999999915</v>
      </c>
      <c r="AF7" s="38" cm="1">
        <f t="array" aca="1" ref="AF7" ca="1">TREND($K7:$P7,$K$1:$P$1,AF$1)</f>
        <v>4.9199999999999946</v>
      </c>
      <c r="AG7" s="38" cm="1">
        <f t="array" aca="1" ref="AG7" ca="1">TREND($K7:$P7,$K$1:$P$1,AG$1)</f>
        <v>4.9399999999999906</v>
      </c>
      <c r="AH7" s="38" cm="1">
        <f t="array" aca="1" ref="AH7" ca="1">TREND($K7:$P7,$K$1:$P$1,AH$1)</f>
        <v>4.9599999999999937</v>
      </c>
      <c r="AI7" s="38" cm="1">
        <f t="array" aca="1" ref="AI7" ca="1">TREND($K7:$P7,$K$1:$P$1,AI$1)</f>
        <v>4.9799999999999969</v>
      </c>
      <c r="AJ7" s="38" cm="1">
        <f t="array" aca="1" ref="AJ7" ca="1">TREND($K7:$P7,$K$1:$P$1,AJ$1)</f>
        <v>4.9999999999999929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0.74</v>
      </c>
      <c r="C8" s="38">
        <f t="shared" ca="1" si="3"/>
        <v>0.745</v>
      </c>
      <c r="D8" s="38">
        <f t="shared" ca="1" si="0"/>
        <v>0.75</v>
      </c>
      <c r="E8" s="38">
        <f t="shared" ca="1" si="0"/>
        <v>0.755</v>
      </c>
      <c r="F8" s="39" cm="1">
        <f t="array" aca="1" ref="F8" ca="1">INDIRECT(CONCATENATE("'",HLOOKUP(F$1,$B$21:$E$23,3,FALSE),"'!",$B$25,ROW($A8)+5))*About!$A$27</f>
        <v>0.76</v>
      </c>
      <c r="G8" s="38">
        <f t="shared" ca="1" si="4"/>
        <v>0.76200000000000001</v>
      </c>
      <c r="H8" s="38">
        <f t="shared" ca="1" si="1"/>
        <v>0.76400000000000001</v>
      </c>
      <c r="I8" s="38">
        <f t="shared" ca="1" si="1"/>
        <v>0.76600000000000001</v>
      </c>
      <c r="J8" s="38">
        <f t="shared" ca="1" si="1"/>
        <v>0.76800000000000002</v>
      </c>
      <c r="K8" s="39" cm="1">
        <f t="array" aca="1" ref="K8" ca="1">INDIRECT(CONCATENATE("'",HLOOKUP(K$1,$B$21:$E$23,3,FALSE),"'!",$B$25,ROW($A8)+5))*About!$A$27</f>
        <v>0.77</v>
      </c>
      <c r="L8" s="38">
        <f t="shared" ca="1" si="5"/>
        <v>0.77400000000000002</v>
      </c>
      <c r="M8" s="38">
        <f t="shared" ca="1" si="2"/>
        <v>0.77800000000000002</v>
      </c>
      <c r="N8" s="38">
        <f t="shared" ca="1" si="2"/>
        <v>0.78200000000000003</v>
      </c>
      <c r="O8" s="38">
        <f t="shared" ca="1" si="2"/>
        <v>0.78600000000000003</v>
      </c>
      <c r="P8" s="39" cm="1">
        <f t="array" aca="1" ref="P8" ca="1">INDIRECT(CONCATENATE("'",HLOOKUP(P$1,$B$21:$E$23,3,FALSE),"'!",$B$25,ROW($A8)+5))*About!$A$27</f>
        <v>0.79</v>
      </c>
      <c r="Q8" s="38" cm="1">
        <f t="array" aca="1" ref="Q8" ca="1">TREND($K8:$P8,$K$1:$P$1,Q$1)</f>
        <v>0.79400000000000137</v>
      </c>
      <c r="R8" s="38" cm="1">
        <f t="array" aca="1" ref="R8" ca="1">TREND($K8:$P8,$K$1:$P$1,R$1)</f>
        <v>0.79800000000000093</v>
      </c>
      <c r="S8" s="38" cm="1">
        <f t="array" aca="1" ref="S8" ca="1">TREND($K8:$P8,$K$1:$P$1,S$1)</f>
        <v>0.80200000000000049</v>
      </c>
      <c r="T8" s="38" cm="1">
        <f t="array" aca="1" ref="T8" ca="1">TREND($K8:$P8,$K$1:$P$1,T$1)</f>
        <v>0.80600000000000005</v>
      </c>
      <c r="U8" s="38" cm="1">
        <f t="array" aca="1" ref="U8" ca="1">TREND($K8:$P8,$K$1:$P$1,U$1)</f>
        <v>0.81000000000000139</v>
      </c>
      <c r="V8" s="38" cm="1">
        <f t="array" aca="1" ref="V8" ca="1">TREND($K8:$P8,$K$1:$P$1,V$1)</f>
        <v>0.81400000000000095</v>
      </c>
      <c r="W8" s="38" cm="1">
        <f t="array" aca="1" ref="W8" ca="1">TREND($K8:$P8,$K$1:$P$1,W$1)</f>
        <v>0.8180000000000005</v>
      </c>
      <c r="X8" s="38" cm="1">
        <f t="array" aca="1" ref="X8" ca="1">TREND($K8:$P8,$K$1:$P$1,X$1)</f>
        <v>0.82200000000000184</v>
      </c>
      <c r="Y8" s="38" cm="1">
        <f t="array" aca="1" ref="Y8" ca="1">TREND($K8:$P8,$K$1:$P$1,Y$1)</f>
        <v>0.8260000000000014</v>
      </c>
      <c r="Z8" s="38" cm="1">
        <f t="array" aca="1" ref="Z8" ca="1">TREND($K8:$P8,$K$1:$P$1,Z$1)</f>
        <v>0.83000000000000096</v>
      </c>
      <c r="AA8" s="38" cm="1">
        <f t="array" aca="1" ref="AA8" ca="1">TREND($K8:$P8,$K$1:$P$1,AA$1)</f>
        <v>0.83400000000000052</v>
      </c>
      <c r="AB8" s="38" cm="1">
        <f t="array" aca="1" ref="AB8" ca="1">TREND($K8:$P8,$K$1:$P$1,AB$1)</f>
        <v>0.83800000000000008</v>
      </c>
      <c r="AC8" s="38" cm="1">
        <f t="array" aca="1" ref="AC8" ca="1">TREND($K8:$P8,$K$1:$P$1,AC$1)</f>
        <v>0.84200000000000141</v>
      </c>
      <c r="AD8" s="38" cm="1">
        <f t="array" aca="1" ref="AD8" ca="1">TREND($K8:$P8,$K$1:$P$1,AD$1)</f>
        <v>0.84600000000000097</v>
      </c>
      <c r="AE8" s="38" cm="1">
        <f t="array" aca="1" ref="AE8" ca="1">TREND($K8:$P8,$K$1:$P$1,AE$1)</f>
        <v>0.85000000000000053</v>
      </c>
      <c r="AF8" s="38" cm="1">
        <f t="array" aca="1" ref="AF8" ca="1">TREND($K8:$P8,$K$1:$P$1,AF$1)</f>
        <v>0.85400000000000187</v>
      </c>
      <c r="AG8" s="38" cm="1">
        <f t="array" aca="1" ref="AG8" ca="1">TREND($K8:$P8,$K$1:$P$1,AG$1)</f>
        <v>0.85800000000000143</v>
      </c>
      <c r="AH8" s="38" cm="1">
        <f t="array" aca="1" ref="AH8" ca="1">TREND($K8:$P8,$K$1:$P$1,AH$1)</f>
        <v>0.86200000000000099</v>
      </c>
      <c r="AI8" s="38" cm="1">
        <f t="array" aca="1" ref="AI8" ca="1">TREND($K8:$P8,$K$1:$P$1,AI$1)</f>
        <v>0.86600000000000055</v>
      </c>
      <c r="AJ8" s="38" cm="1">
        <f t="array" aca="1" ref="AJ8" ca="1">TREND($K8:$P8,$K$1:$P$1,AJ$1)</f>
        <v>0.87000000000000011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0.17</v>
      </c>
      <c r="C9" s="38">
        <f t="shared" ca="1" si="3"/>
        <v>0.17</v>
      </c>
      <c r="D9" s="38">
        <f t="shared" ca="1" si="0"/>
        <v>0.17</v>
      </c>
      <c r="E9" s="38">
        <f t="shared" ca="1" si="0"/>
        <v>0.17</v>
      </c>
      <c r="F9" s="39" cm="1">
        <f t="array" aca="1" ref="F9" ca="1">INDIRECT(CONCATENATE("'",HLOOKUP(F$1,$B$21:$E$23,3,FALSE),"'!",$B$25,ROW($A9)+5))*About!$A$27</f>
        <v>0.17</v>
      </c>
      <c r="G9" s="38">
        <f t="shared" ca="1" si="4"/>
        <v>0.17200000000000001</v>
      </c>
      <c r="H9" s="38">
        <f t="shared" ca="1" si="1"/>
        <v>0.17400000000000002</v>
      </c>
      <c r="I9" s="38">
        <f t="shared" ca="1" si="1"/>
        <v>0.17599999999999999</v>
      </c>
      <c r="J9" s="38">
        <f t="shared" ca="1" si="1"/>
        <v>0.17799999999999999</v>
      </c>
      <c r="K9" s="39" cm="1">
        <f t="array" aca="1" ref="K9" ca="1">INDIRECT(CONCATENATE("'",HLOOKUP(K$1,$B$21:$E$23,3,FALSE),"'!",$B$25,ROW($A9)+5))*About!$A$27</f>
        <v>0.18</v>
      </c>
      <c r="L9" s="38">
        <f t="shared" ca="1" si="5"/>
        <v>0.182</v>
      </c>
      <c r="M9" s="38">
        <f t="shared" ca="1" si="2"/>
        <v>0.184</v>
      </c>
      <c r="N9" s="38">
        <f t="shared" ca="1" si="2"/>
        <v>0.186</v>
      </c>
      <c r="O9" s="38">
        <f t="shared" ca="1" si="2"/>
        <v>0.188</v>
      </c>
      <c r="P9" s="39" cm="1">
        <f t="array" aca="1" ref="P9" ca="1">INDIRECT(CONCATENATE("'",HLOOKUP(P$1,$B$21:$E$23,3,FALSE),"'!",$B$25,ROW($A9)+5))*About!$A$27</f>
        <v>0.19</v>
      </c>
      <c r="Q9" s="38" cm="1">
        <f t="array" aca="1" ref="Q9" ca="1">TREND($K9:$P9,$K$1:$P$1,Q$1)</f>
        <v>0.19200000000000061</v>
      </c>
      <c r="R9" s="38" cm="1">
        <f t="array" aca="1" ref="R9" ca="1">TREND($K9:$P9,$K$1:$P$1,R$1)</f>
        <v>0.19400000000000039</v>
      </c>
      <c r="S9" s="38" cm="1">
        <f t="array" aca="1" ref="S9" ca="1">TREND($K9:$P9,$K$1:$P$1,S$1)</f>
        <v>0.19600000000000017</v>
      </c>
      <c r="T9" s="38" cm="1">
        <f t="array" aca="1" ref="T9" ca="1">TREND($K9:$P9,$K$1:$P$1,T$1)</f>
        <v>0.19799999999999995</v>
      </c>
      <c r="U9" s="38" cm="1">
        <f t="array" aca="1" ref="U9" ca="1">TREND($K9:$P9,$K$1:$P$1,U$1)</f>
        <v>0.20000000000000062</v>
      </c>
      <c r="V9" s="38" cm="1">
        <f t="array" aca="1" ref="V9" ca="1">TREND($K9:$P9,$K$1:$P$1,V$1)</f>
        <v>0.2020000000000004</v>
      </c>
      <c r="W9" s="38" cm="1">
        <f t="array" aca="1" ref="W9" ca="1">TREND($K9:$P9,$K$1:$P$1,W$1)</f>
        <v>0.20400000000000018</v>
      </c>
      <c r="X9" s="38" cm="1">
        <f t="array" aca="1" ref="X9" ca="1">TREND($K9:$P9,$K$1:$P$1,X$1)</f>
        <v>0.20599999999999996</v>
      </c>
      <c r="Y9" s="38" cm="1">
        <f t="array" aca="1" ref="Y9" ca="1">TREND($K9:$P9,$K$1:$P$1,Y$1)</f>
        <v>0.20800000000000063</v>
      </c>
      <c r="Z9" s="38" cm="1">
        <f t="array" aca="1" ref="Z9" ca="1">TREND($K9:$P9,$K$1:$P$1,Z$1)</f>
        <v>0.21000000000000041</v>
      </c>
      <c r="AA9" s="38" cm="1">
        <f t="array" aca="1" ref="AA9" ca="1">TREND($K9:$P9,$K$1:$P$1,AA$1)</f>
        <v>0.21200000000000019</v>
      </c>
      <c r="AB9" s="38" cm="1">
        <f t="array" aca="1" ref="AB9" ca="1">TREND($K9:$P9,$K$1:$P$1,AB$1)</f>
        <v>0.21399999999999997</v>
      </c>
      <c r="AC9" s="38" cm="1">
        <f t="array" aca="1" ref="AC9" ca="1">TREND($K9:$P9,$K$1:$P$1,AC$1)</f>
        <v>0.21600000000000064</v>
      </c>
      <c r="AD9" s="38" cm="1">
        <f t="array" aca="1" ref="AD9" ca="1">TREND($K9:$P9,$K$1:$P$1,AD$1)</f>
        <v>0.21800000000000042</v>
      </c>
      <c r="AE9" s="38" cm="1">
        <f t="array" aca="1" ref="AE9" ca="1">TREND($K9:$P9,$K$1:$P$1,AE$1)</f>
        <v>0.2200000000000002</v>
      </c>
      <c r="AF9" s="38" cm="1">
        <f t="array" aca="1" ref="AF9" ca="1">TREND($K9:$P9,$K$1:$P$1,AF$1)</f>
        <v>0.22199999999999998</v>
      </c>
      <c r="AG9" s="38" cm="1">
        <f t="array" aca="1" ref="AG9" ca="1">TREND($K9:$P9,$K$1:$P$1,AG$1)</f>
        <v>0.22400000000000064</v>
      </c>
      <c r="AH9" s="38" cm="1">
        <f t="array" aca="1" ref="AH9" ca="1">TREND($K9:$P9,$K$1:$P$1,AH$1)</f>
        <v>0.22600000000000042</v>
      </c>
      <c r="AI9" s="38" cm="1">
        <f t="array" aca="1" ref="AI9" ca="1">TREND($K9:$P9,$K$1:$P$1,AI$1)</f>
        <v>0.2280000000000002</v>
      </c>
      <c r="AJ9" s="38" cm="1">
        <f t="array" aca="1" ref="AJ9" ca="1">TREND($K9:$P9,$K$1:$P$1,AJ$1)</f>
        <v>0.23000000000000087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1.4E-3</v>
      </c>
      <c r="C10" s="38">
        <f t="shared" ca="1" si="3"/>
        <v>1.4250000000000001E-3</v>
      </c>
      <c r="D10" s="38">
        <f t="shared" ca="1" si="0"/>
        <v>1.4499999999999999E-3</v>
      </c>
      <c r="E10" s="38">
        <f t="shared" ca="1" si="0"/>
        <v>1.475E-3</v>
      </c>
      <c r="F10" s="39" cm="1">
        <f t="array" aca="1" ref="F10" ca="1">INDIRECT(CONCATENATE("'",HLOOKUP(F$1,$B$21:$E$23,3,FALSE),"'!",$B$25,ROW($A10)+5))*About!$A$27</f>
        <v>1.5E-3</v>
      </c>
      <c r="G10" s="38">
        <f t="shared" ca="1" si="4"/>
        <v>1.5399999999999999E-3</v>
      </c>
      <c r="H10" s="38">
        <f t="shared" ca="1" si="1"/>
        <v>1.58E-3</v>
      </c>
      <c r="I10" s="38">
        <f t="shared" ca="1" si="1"/>
        <v>1.6199999999999999E-3</v>
      </c>
      <c r="J10" s="38">
        <f t="shared" ca="1" si="1"/>
        <v>1.66E-3</v>
      </c>
      <c r="K10" s="39" cm="1">
        <f t="array" aca="1" ref="K10" ca="1">INDIRECT(CONCATENATE("'",HLOOKUP(K$1,$B$21:$E$23,3,FALSE),"'!",$B$25,ROW($A10)+5))*About!$A$27</f>
        <v>1.6999999999999999E-3</v>
      </c>
      <c r="L10" s="38">
        <f t="shared" ca="1" si="5"/>
        <v>1.72E-3</v>
      </c>
      <c r="M10" s="38">
        <f t="shared" ca="1" si="2"/>
        <v>1.74E-3</v>
      </c>
      <c r="N10" s="38">
        <f t="shared" ca="1" si="2"/>
        <v>1.7599999999999998E-3</v>
      </c>
      <c r="O10" s="38">
        <f t="shared" ca="1" si="2"/>
        <v>1.7799999999999999E-3</v>
      </c>
      <c r="P10" s="39" cm="1">
        <f t="array" aca="1" ref="P10" ca="1">INDIRECT(CONCATENATE("'",HLOOKUP(P$1,$B$21:$E$23,3,FALSE),"'!",$B$25,ROW($A10)+5))*About!$A$27</f>
        <v>1.8E-3</v>
      </c>
      <c r="Q10" s="38" cm="1">
        <f t="array" aca="1" ref="Q10" ca="1">TREND($K10:$P10,$K$1:$P$1,Q$1)</f>
        <v>1.8200000000000022E-3</v>
      </c>
      <c r="R10" s="38" cm="1">
        <f t="array" aca="1" ref="R10" ca="1">TREND($K10:$P10,$K$1:$P$1,R$1)</f>
        <v>1.8400000000000014E-3</v>
      </c>
      <c r="S10" s="38" cm="1">
        <f t="array" aca="1" ref="S10" ca="1">TREND($K10:$P10,$K$1:$P$1,S$1)</f>
        <v>1.8600000000000005E-3</v>
      </c>
      <c r="T10" s="38" cm="1">
        <f t="array" aca="1" ref="T10" ca="1">TREND($K10:$P10,$K$1:$P$1,T$1)</f>
        <v>1.8799999999999997E-3</v>
      </c>
      <c r="U10" s="38" cm="1">
        <f t="array" aca="1" ref="U10" ca="1">TREND($K10:$P10,$K$1:$P$1,U$1)</f>
        <v>1.8999999999999989E-3</v>
      </c>
      <c r="V10" s="38" cm="1">
        <f t="array" aca="1" ref="V10" ca="1">TREND($K10:$P10,$K$1:$P$1,V$1)</f>
        <v>1.920000000000005E-3</v>
      </c>
      <c r="W10" s="38" cm="1">
        <f t="array" aca="1" ref="W10" ca="1">TREND($K10:$P10,$K$1:$P$1,W$1)</f>
        <v>1.9400000000000042E-3</v>
      </c>
      <c r="X10" s="38" cm="1">
        <f t="array" aca="1" ref="X10" ca="1">TREND($K10:$P10,$K$1:$P$1,X$1)</f>
        <v>1.9600000000000034E-3</v>
      </c>
      <c r="Y10" s="38" cm="1">
        <f t="array" aca="1" ref="Y10" ca="1">TREND($K10:$P10,$K$1:$P$1,Y$1)</f>
        <v>1.9800000000000026E-3</v>
      </c>
      <c r="Z10" s="38" cm="1">
        <f t="array" aca="1" ref="Z10" ca="1">TREND($K10:$P10,$K$1:$P$1,Z$1)</f>
        <v>2.0000000000000018E-3</v>
      </c>
      <c r="AA10" s="38" cm="1">
        <f t="array" aca="1" ref="AA10" ca="1">TREND($K10:$P10,$K$1:$P$1,AA$1)</f>
        <v>2.020000000000001E-3</v>
      </c>
      <c r="AB10" s="38" cm="1">
        <f t="array" aca="1" ref="AB10" ca="1">TREND($K10:$P10,$K$1:$P$1,AB$1)</f>
        <v>2.0400000000000001E-3</v>
      </c>
      <c r="AC10" s="38" cm="1">
        <f t="array" aca="1" ref="AC10" ca="1">TREND($K10:$P10,$K$1:$P$1,AC$1)</f>
        <v>2.0599999999999993E-3</v>
      </c>
      <c r="AD10" s="38" cm="1">
        <f t="array" aca="1" ref="AD10" ca="1">TREND($K10:$P10,$K$1:$P$1,AD$1)</f>
        <v>2.0800000000000055E-3</v>
      </c>
      <c r="AE10" s="38" cm="1">
        <f t="array" aca="1" ref="AE10" ca="1">TREND($K10:$P10,$K$1:$P$1,AE$1)</f>
        <v>2.1000000000000046E-3</v>
      </c>
      <c r="AF10" s="38" cm="1">
        <f t="array" aca="1" ref="AF10" ca="1">TREND($K10:$P10,$K$1:$P$1,AF$1)</f>
        <v>2.1200000000000038E-3</v>
      </c>
      <c r="AG10" s="38" cm="1">
        <f t="array" aca="1" ref="AG10" ca="1">TREND($K10:$P10,$K$1:$P$1,AG$1)</f>
        <v>2.140000000000003E-3</v>
      </c>
      <c r="AH10" s="38" cm="1">
        <f t="array" aca="1" ref="AH10" ca="1">TREND($K10:$P10,$K$1:$P$1,AH$1)</f>
        <v>2.1600000000000022E-3</v>
      </c>
      <c r="AI10" s="38" cm="1">
        <f t="array" aca="1" ref="AI10" ca="1">TREND($K10:$P10,$K$1:$P$1,AI$1)</f>
        <v>2.1800000000000014E-3</v>
      </c>
      <c r="AJ10" s="38" cm="1">
        <f t="array" aca="1" ref="AJ10" ca="1">TREND($K10:$P10,$K$1:$P$1,AJ$1)</f>
        <v>2.2000000000000006E-3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1.2999999999999999E-3</v>
      </c>
      <c r="C11" s="38">
        <f t="shared" ca="1" si="3"/>
        <v>1.3500000000000001E-3</v>
      </c>
      <c r="D11" s="38">
        <f t="shared" ca="1" si="0"/>
        <v>1.4E-3</v>
      </c>
      <c r="E11" s="38">
        <f t="shared" ca="1" si="0"/>
        <v>1.4499999999999999E-3</v>
      </c>
      <c r="F11" s="39" cm="1">
        <f t="array" aca="1" ref="F11" ca="1">INDIRECT(CONCATENATE("'",HLOOKUP(F$1,$B$21:$E$23,3,FALSE),"'!",$B$25,ROW($A11)+5))*About!$A$27</f>
        <v>1.5E-3</v>
      </c>
      <c r="G11" s="38">
        <f t="shared" ca="1" si="4"/>
        <v>1.5200000000000001E-3</v>
      </c>
      <c r="H11" s="38">
        <f t="shared" ca="1" si="1"/>
        <v>1.5400000000000001E-3</v>
      </c>
      <c r="I11" s="38">
        <f t="shared" ca="1" si="1"/>
        <v>1.56E-3</v>
      </c>
      <c r="J11" s="38">
        <f t="shared" ca="1" si="1"/>
        <v>1.58E-3</v>
      </c>
      <c r="K11" s="39" cm="1">
        <f t="array" aca="1" ref="K11" ca="1">INDIRECT(CONCATENATE("'",HLOOKUP(K$1,$B$21:$E$23,3,FALSE),"'!",$B$25,ROW($A11)+5))*About!$A$27</f>
        <v>1.6000000000000001E-3</v>
      </c>
      <c r="L11" s="38">
        <f t="shared" ca="1" si="5"/>
        <v>1.64E-3</v>
      </c>
      <c r="M11" s="38">
        <f t="shared" ca="1" si="2"/>
        <v>1.6800000000000001E-3</v>
      </c>
      <c r="N11" s="38">
        <f t="shared" ca="1" si="2"/>
        <v>1.72E-3</v>
      </c>
      <c r="O11" s="38">
        <f t="shared" ca="1" si="2"/>
        <v>1.7600000000000001E-3</v>
      </c>
      <c r="P11" s="39" cm="1">
        <f t="array" aca="1" ref="P11" ca="1">INDIRECT(CONCATENATE("'",HLOOKUP(P$1,$B$21:$E$23,3,FALSE),"'!",$B$25,ROW($A11)+5))*About!$A$27</f>
        <v>1.8E-3</v>
      </c>
      <c r="Q11" s="38" cm="1">
        <f t="array" aca="1" ref="Q11" ca="1">TREND($K11:$P11,$K$1:$P$1,Q$1)</f>
        <v>1.8399999999999944E-3</v>
      </c>
      <c r="R11" s="38" cm="1">
        <f t="array" aca="1" ref="R11" ca="1">TREND($K11:$P11,$K$1:$P$1,R$1)</f>
        <v>1.8799999999999928E-3</v>
      </c>
      <c r="S11" s="38" cm="1">
        <f t="array" aca="1" ref="S11" ca="1">TREND($K11:$P11,$K$1:$P$1,S$1)</f>
        <v>1.9199999999999912E-3</v>
      </c>
      <c r="T11" s="38" cm="1">
        <f t="array" aca="1" ref="T11" ca="1">TREND($K11:$P11,$K$1:$P$1,T$1)</f>
        <v>1.9599999999999895E-3</v>
      </c>
      <c r="U11" s="38" cm="1">
        <f t="array" aca="1" ref="U11" ca="1">TREND($K11:$P11,$K$1:$P$1,U$1)</f>
        <v>1.9999999999999879E-3</v>
      </c>
      <c r="V11" s="38" cm="1">
        <f t="array" aca="1" ref="V11" ca="1">TREND($K11:$P11,$K$1:$P$1,V$1)</f>
        <v>2.0400000000000001E-3</v>
      </c>
      <c r="W11" s="38" cm="1">
        <f t="array" aca="1" ref="W11" ca="1">TREND($K11:$P11,$K$1:$P$1,W$1)</f>
        <v>2.0799999999999985E-3</v>
      </c>
      <c r="X11" s="38" cm="1">
        <f t="array" aca="1" ref="X11" ca="1">TREND($K11:$P11,$K$1:$P$1,X$1)</f>
        <v>2.1199999999999969E-3</v>
      </c>
      <c r="Y11" s="38" cm="1">
        <f t="array" aca="1" ref="Y11" ca="1">TREND($K11:$P11,$K$1:$P$1,Y$1)</f>
        <v>2.1599999999999953E-3</v>
      </c>
      <c r="Z11" s="38" cm="1">
        <f t="array" aca="1" ref="Z11" ca="1">TREND($K11:$P11,$K$1:$P$1,Z$1)</f>
        <v>2.1999999999999936E-3</v>
      </c>
      <c r="AA11" s="38" cm="1">
        <f t="array" aca="1" ref="AA11" ca="1">TREND($K11:$P11,$K$1:$P$1,AA$1)</f>
        <v>2.239999999999992E-3</v>
      </c>
      <c r="AB11" s="38" cm="1">
        <f t="array" aca="1" ref="AB11" ca="1">TREND($K11:$P11,$K$1:$P$1,AB$1)</f>
        <v>2.2799999999999904E-3</v>
      </c>
      <c r="AC11" s="38" cm="1">
        <f t="array" aca="1" ref="AC11" ca="1">TREND($K11:$P11,$K$1:$P$1,AC$1)</f>
        <v>2.3199999999999887E-3</v>
      </c>
      <c r="AD11" s="38" cm="1">
        <f t="array" aca="1" ref="AD11" ca="1">TREND($K11:$P11,$K$1:$P$1,AD$1)</f>
        <v>2.360000000000001E-3</v>
      </c>
      <c r="AE11" s="38" cm="1">
        <f t="array" aca="1" ref="AE11" ca="1">TREND($K11:$P11,$K$1:$P$1,AE$1)</f>
        <v>2.3999999999999994E-3</v>
      </c>
      <c r="AF11" s="38" cm="1">
        <f t="array" aca="1" ref="AF11" ca="1">TREND($K11:$P11,$K$1:$P$1,AF$1)</f>
        <v>2.4399999999999977E-3</v>
      </c>
      <c r="AG11" s="38" cm="1">
        <f t="array" aca="1" ref="AG11" ca="1">TREND($K11:$P11,$K$1:$P$1,AG$1)</f>
        <v>2.4799999999999961E-3</v>
      </c>
      <c r="AH11" s="38" cm="1">
        <f t="array" aca="1" ref="AH11" ca="1">TREND($K11:$P11,$K$1:$P$1,AH$1)</f>
        <v>2.5199999999999945E-3</v>
      </c>
      <c r="AI11" s="38" cm="1">
        <f t="array" aca="1" ref="AI11" ca="1">TREND($K11:$P11,$K$1:$P$1,AI$1)</f>
        <v>2.5599999999999928E-3</v>
      </c>
      <c r="AJ11" s="38" cm="1">
        <f t="array" aca="1" ref="AJ11" ca="1">TREND($K11:$P11,$K$1:$P$1,AJ$1)</f>
        <v>2.5999999999999912E-3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6.0999999999999995E-3</v>
      </c>
      <c r="C12" s="38">
        <f t="shared" ca="1" si="3"/>
        <v>6.2375E-3</v>
      </c>
      <c r="D12" s="38">
        <f t="shared" ca="1" si="0"/>
        <v>6.3749999999999996E-3</v>
      </c>
      <c r="E12" s="38">
        <f t="shared" ca="1" si="0"/>
        <v>6.5124999999999992E-3</v>
      </c>
      <c r="F12" s="40">
        <f ca="1">SUM(INDIRECT(CONCATENATE("'",HLOOKUP(F$1,$B$21:$E$23,3,FALSE),"'!",$B$25,ROW($A12)+5,":",$B$25,ROW($A12)+6)))*About!$A$27</f>
        <v>6.6499999999999997E-3</v>
      </c>
      <c r="G12" s="38">
        <f t="shared" ca="1" si="4"/>
        <v>6.7619999999999998E-3</v>
      </c>
      <c r="H12" s="38">
        <f t="shared" ca="1" si="1"/>
        <v>6.8739999999999999E-3</v>
      </c>
      <c r="I12" s="38">
        <f t="shared" ca="1" si="1"/>
        <v>6.9859999999999992E-3</v>
      </c>
      <c r="J12" s="38">
        <f t="shared" ca="1" si="1"/>
        <v>7.0979999999999993E-3</v>
      </c>
      <c r="K12" s="40">
        <f ca="1">SUM(INDIRECT(CONCATENATE("'",HLOOKUP(K$1,$B$21:$E$23,3,FALSE),"'!",$B$25,ROW($A12)+5,":",$B$25,ROW($A12)+6)))*About!$A$27</f>
        <v>7.2099999999999994E-3</v>
      </c>
      <c r="L12" s="38">
        <f t="shared" ca="1" si="5"/>
        <v>7.3419999999999996E-3</v>
      </c>
      <c r="M12" s="38">
        <f t="shared" ca="1" si="2"/>
        <v>7.4739999999999997E-3</v>
      </c>
      <c r="N12" s="38">
        <f t="shared" ca="1" si="2"/>
        <v>7.6059999999999999E-3</v>
      </c>
      <c r="O12" s="38">
        <f t="shared" ca="1" si="2"/>
        <v>7.7380000000000001E-3</v>
      </c>
      <c r="P12" s="40">
        <f ca="1">SUM(INDIRECT(CONCATENATE("'",HLOOKUP(P$1,$B$21:$E$23,3,FALSE),"'!",$B$25,ROW($A12)+5,":",$B$25,ROW($A12)+6)))*About!$A$27</f>
        <v>7.8700000000000003E-3</v>
      </c>
      <c r="Q12" s="38" cm="1">
        <f t="array" aca="1" ref="Q12" ca="1">TREND($K12:$P12,$K$1:$P$1,Q$1)</f>
        <v>8.0019999999999536E-3</v>
      </c>
      <c r="R12" s="38" cm="1">
        <f t="array" aca="1" ref="R12" ca="1">TREND($K12:$P12,$K$1:$P$1,R$1)</f>
        <v>8.1339999999999746E-3</v>
      </c>
      <c r="S12" s="38" cm="1">
        <f t="array" aca="1" ref="S12" ca="1">TREND($K12:$P12,$K$1:$P$1,S$1)</f>
        <v>8.2659999999999956E-3</v>
      </c>
      <c r="T12" s="38" cm="1">
        <f t="array" aca="1" ref="T12" ca="1">TREND($K12:$P12,$K$1:$P$1,T$1)</f>
        <v>8.3979999999999611E-3</v>
      </c>
      <c r="U12" s="38" cm="1">
        <f t="array" aca="1" ref="U12" ca="1">TREND($K12:$P12,$K$1:$P$1,U$1)</f>
        <v>8.529999999999982E-3</v>
      </c>
      <c r="V12" s="38" cm="1">
        <f t="array" aca="1" ref="V12" ca="1">TREND($K12:$P12,$K$1:$P$1,V$1)</f>
        <v>8.662000000000003E-3</v>
      </c>
      <c r="W12" s="38" cm="1">
        <f t="array" aca="1" ref="W12" ca="1">TREND($K12:$P12,$K$1:$P$1,W$1)</f>
        <v>8.7939999999999685E-3</v>
      </c>
      <c r="X12" s="38" cm="1">
        <f t="array" aca="1" ref="X12" ca="1">TREND($K12:$P12,$K$1:$P$1,X$1)</f>
        <v>8.9259999999999895E-3</v>
      </c>
      <c r="Y12" s="38" cm="1">
        <f t="array" aca="1" ref="Y12" ca="1">TREND($K12:$P12,$K$1:$P$1,Y$1)</f>
        <v>9.057999999999955E-3</v>
      </c>
      <c r="Z12" s="38" cm="1">
        <f t="array" aca="1" ref="Z12" ca="1">TREND($K12:$P12,$K$1:$P$1,Z$1)</f>
        <v>9.189999999999976E-3</v>
      </c>
      <c r="AA12" s="38" cm="1">
        <f t="array" aca="1" ref="AA12" ca="1">TREND($K12:$P12,$K$1:$P$1,AA$1)</f>
        <v>9.321999999999997E-3</v>
      </c>
      <c r="AB12" s="38" cm="1">
        <f t="array" aca="1" ref="AB12" ca="1">TREND($K12:$P12,$K$1:$P$1,AB$1)</f>
        <v>9.4539999999999624E-3</v>
      </c>
      <c r="AC12" s="38" cm="1">
        <f t="array" aca="1" ref="AC12" ca="1">TREND($K12:$P12,$K$1:$P$1,AC$1)</f>
        <v>9.5859999999999834E-3</v>
      </c>
      <c r="AD12" s="38" cm="1">
        <f t="array" aca="1" ref="AD12" ca="1">TREND($K12:$P12,$K$1:$P$1,AD$1)</f>
        <v>9.7180000000000044E-3</v>
      </c>
      <c r="AE12" s="38" cm="1">
        <f t="array" aca="1" ref="AE12" ca="1">TREND($K12:$P12,$K$1:$P$1,AE$1)</f>
        <v>9.8499999999999699E-3</v>
      </c>
      <c r="AF12" s="38" cm="1">
        <f t="array" aca="1" ref="AF12" ca="1">TREND($K12:$P12,$K$1:$P$1,AF$1)</f>
        <v>9.9819999999999909E-3</v>
      </c>
      <c r="AG12" s="38" cm="1">
        <f t="array" aca="1" ref="AG12" ca="1">TREND($K12:$P12,$K$1:$P$1,AG$1)</f>
        <v>1.0113999999999956E-2</v>
      </c>
      <c r="AH12" s="38" cm="1">
        <f t="array" aca="1" ref="AH12" ca="1">TREND($K12:$P12,$K$1:$P$1,AH$1)</f>
        <v>1.0245999999999977E-2</v>
      </c>
      <c r="AI12" s="38" cm="1">
        <f t="array" aca="1" ref="AI12" ca="1">TREND($K12:$P12,$K$1:$P$1,AI$1)</f>
        <v>1.0377999999999998E-2</v>
      </c>
      <c r="AJ12" s="38" cm="1">
        <f t="array" aca="1" ref="AJ12" ca="1">TREND($K12:$P12,$K$1:$P$1,AJ$1)</f>
        <v>1.0509999999999964E-2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HOIpTP-buildings-SO2</v>
      </c>
    </row>
    <row r="18" spans="1:5" x14ac:dyDescent="0.25">
      <c r="A18" t="s">
        <v>114</v>
      </c>
      <c r="B18" t="str">
        <f ca="1">RIGHT(B17,LEN(B17)-7)</f>
        <v>buildings-SO2</v>
      </c>
    </row>
    <row r="19" spans="1:5" x14ac:dyDescent="0.25">
      <c r="A19" t="s">
        <v>115</v>
      </c>
      <c r="B19" t="str">
        <f ca="1">LEFT(B18,FIND("-",B18)-1)</f>
        <v>buildings</v>
      </c>
    </row>
    <row r="20" spans="1:5" x14ac:dyDescent="0.25">
      <c r="A20" t="s">
        <v>122</v>
      </c>
      <c r="B20" t="str">
        <f ca="1">VLOOKUP($B$19,Mappings!$A$22:$B$26,COLUMN(Mappings!$B$21),FALSE)</f>
        <v>area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11</v>
      </c>
      <c r="C22" s="32">
        <f ca="1">VLOOKUP($B$20,Mappings!$A$3:$E$19,COLUMN(Mappings!C$2),FALSE)</f>
        <v>28</v>
      </c>
      <c r="D22" s="32">
        <f ca="1">VLOOKUP($B$20,Mappings!$A$3:$E$19,COLUMN(Mappings!D$2),FALSE)</f>
        <v>45</v>
      </c>
      <c r="E22" s="33">
        <f ca="1">VLOOKUP($B$20,Mappings!$A$3:$E$19,COLUMN(Mappings!E$2),FALSE)</f>
        <v>62</v>
      </c>
    </row>
    <row r="23" spans="1:5" x14ac:dyDescent="0.25">
      <c r="A23" s="34" t="s">
        <v>113</v>
      </c>
      <c r="B23" s="35" t="str">
        <f ca="1">CONCATENATE("Table ",B22)</f>
        <v>Table 11</v>
      </c>
      <c r="C23" s="35" t="str">
        <f ca="1">CONCATENATE("Table ",C22)</f>
        <v>Table 28</v>
      </c>
      <c r="D23" s="35" t="str">
        <f ca="1">CONCATENATE("Table ",D22)</f>
        <v>Table 45</v>
      </c>
      <c r="E23" s="36" t="str">
        <f ca="1">CONCATENATE("Table ",E22)</f>
        <v>Table 62</v>
      </c>
    </row>
    <row r="24" spans="1:5" x14ac:dyDescent="0.25">
      <c r="A24" t="s">
        <v>116</v>
      </c>
      <c r="B24" t="str">
        <f ca="1">REPLACE(B18,1,FIND("-",B18),"")</f>
        <v>SO2</v>
      </c>
    </row>
    <row r="25" spans="1:5" x14ac:dyDescent="0.25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0E1B-F56C-446B-8F62-1098191A6865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7.6000000000000004E-4</v>
      </c>
      <c r="C2" s="38">
        <f ca="1">$B2+($F2-$B2)*(C$1-$B$1)/($F$1-$B$1)</f>
        <v>7.6500000000000005E-4</v>
      </c>
      <c r="D2" s="38">
        <f t="shared" ref="D2:E12" ca="1" si="0">$B2+($F2-$B2)*(D$1-$B$1)/($F$1-$B$1)</f>
        <v>7.7000000000000007E-4</v>
      </c>
      <c r="E2" s="38">
        <f t="shared" ca="1" si="0"/>
        <v>7.7499999999999997E-4</v>
      </c>
      <c r="F2" s="37" cm="1">
        <f t="array" aca="1" ref="F2" ca="1">INDIRECT(CONCATENATE("'",HLOOKUP(F$1,$B$21:$E$23,3,FALSE),"'!",$B$25,ROW($A2)+3))*About!$A$27</f>
        <v>7.7999999999999999E-4</v>
      </c>
      <c r="G2" s="38">
        <f ca="1">$F2+($K2-$F2)*(G$1-$F$1)/($K$1-$F$1)</f>
        <v>7.8799999999999996E-4</v>
      </c>
      <c r="H2" s="38">
        <f t="shared" ref="H2:J12" ca="1" si="1">$F2+($K2-$F2)*(H$1-$F$1)/($K$1-$F$1)</f>
        <v>7.9599999999999994E-4</v>
      </c>
      <c r="I2" s="38">
        <f t="shared" ca="1" si="1"/>
        <v>8.0400000000000003E-4</v>
      </c>
      <c r="J2" s="38">
        <f t="shared" ca="1" si="1"/>
        <v>8.12E-4</v>
      </c>
      <c r="K2" s="37" cm="1">
        <f t="array" aca="1" ref="K2" ca="1">INDIRECT(CONCATENATE("'",HLOOKUP(K$1,$B$21:$E$23,3,FALSE),"'!",$B$25,ROW($A2)+3))*About!$A$27</f>
        <v>8.1999999999999998E-4</v>
      </c>
      <c r="L2" s="38">
        <f ca="1">$K2+($P2-$K2)*(L$1-$K$1)/($P$1-$K$1)</f>
        <v>8.3199999999999995E-4</v>
      </c>
      <c r="M2" s="38">
        <f t="shared" ref="M2:O12" ca="1" si="2">$K2+($P2-$K2)*(M$1-$K$1)/($P$1-$K$1)</f>
        <v>8.4400000000000002E-4</v>
      </c>
      <c r="N2" s="38">
        <f t="shared" ca="1" si="2"/>
        <v>8.5599999999999999E-4</v>
      </c>
      <c r="O2" s="38">
        <f t="shared" ca="1" si="2"/>
        <v>8.6800000000000006E-4</v>
      </c>
      <c r="P2" s="37" cm="1">
        <f t="array" aca="1" ref="P2" ca="1">INDIRECT(CONCATENATE("'",HLOOKUP(P$1,$B$21:$E$23,3,FALSE),"'!",$B$25,ROW($A2)+3))*About!$A$27</f>
        <v>8.8000000000000003E-4</v>
      </c>
      <c r="Q2" s="38" cm="1">
        <f t="array" aca="1" ref="Q2" ca="1">TREND($K2:$P2,$K$1:$P$1,Q$1)</f>
        <v>8.9200000000000043E-4</v>
      </c>
      <c r="R2" s="38" cm="1">
        <f t="array" aca="1" ref="R2" ca="1">TREND($K2:$P2,$K$1:$P$1,R$1)</f>
        <v>9.0399999999999855E-4</v>
      </c>
      <c r="S2" s="38" cm="1">
        <f t="array" aca="1" ref="S2" ca="1">TREND($K2:$P2,$K$1:$P$1,S$1)</f>
        <v>9.1600000000000015E-4</v>
      </c>
      <c r="T2" s="38" cm="1">
        <f t="array" aca="1" ref="T2" ca="1">TREND($K2:$P2,$K$1:$P$1,T$1)</f>
        <v>9.2799999999999827E-4</v>
      </c>
      <c r="U2" s="38" cm="1">
        <f t="array" aca="1" ref="U2" ca="1">TREND($K2:$P2,$K$1:$P$1,U$1)</f>
        <v>9.3999999999999986E-4</v>
      </c>
      <c r="V2" s="38" cm="1">
        <f t="array" aca="1" ref="V2" ca="1">TREND($K2:$P2,$K$1:$P$1,V$1)</f>
        <v>9.5199999999999799E-4</v>
      </c>
      <c r="W2" s="38" cm="1">
        <f t="array" aca="1" ref="W2" ca="1">TREND($K2:$P2,$K$1:$P$1,W$1)</f>
        <v>9.6399999999999958E-4</v>
      </c>
      <c r="X2" s="38" cm="1">
        <f t="array" aca="1" ref="X2" ca="1">TREND($K2:$P2,$K$1:$P$1,X$1)</f>
        <v>9.7600000000000117E-4</v>
      </c>
      <c r="Y2" s="38" cm="1">
        <f t="array" aca="1" ref="Y2" ca="1">TREND($K2:$P2,$K$1:$P$1,Y$1)</f>
        <v>9.879999999999993E-4</v>
      </c>
      <c r="Z2" s="38" cm="1">
        <f t="array" aca="1" ref="Z2" ca="1">TREND($K2:$P2,$K$1:$P$1,Z$1)</f>
        <v>1.0000000000000009E-3</v>
      </c>
      <c r="AA2" s="38" cm="1">
        <f t="array" aca="1" ref="AA2" ca="1">TREND($K2:$P2,$K$1:$P$1,AA$1)</f>
        <v>1.011999999999999E-3</v>
      </c>
      <c r="AB2" s="38" cm="1">
        <f t="array" aca="1" ref="AB2" ca="1">TREND($K2:$P2,$K$1:$P$1,AB$1)</f>
        <v>1.0240000000000006E-3</v>
      </c>
      <c r="AC2" s="38" cm="1">
        <f t="array" aca="1" ref="AC2" ca="1">TREND($K2:$P2,$K$1:$P$1,AC$1)</f>
        <v>1.0359999999999987E-3</v>
      </c>
      <c r="AD2" s="38" cm="1">
        <f t="array" aca="1" ref="AD2" ca="1">TREND($K2:$P2,$K$1:$P$1,AD$1)</f>
        <v>1.0480000000000003E-3</v>
      </c>
      <c r="AE2" s="38" cm="1">
        <f t="array" aca="1" ref="AE2" ca="1">TREND($K2:$P2,$K$1:$P$1,AE$1)</f>
        <v>1.0599999999999984E-3</v>
      </c>
      <c r="AF2" s="38" cm="1">
        <f t="array" aca="1" ref="AF2" ca="1">TREND($K2:$P2,$K$1:$P$1,AF$1)</f>
        <v>1.072E-3</v>
      </c>
      <c r="AG2" s="38" cm="1">
        <f t="array" aca="1" ref="AG2" ca="1">TREND($K2:$P2,$K$1:$P$1,AG$1)</f>
        <v>1.0839999999999982E-3</v>
      </c>
      <c r="AH2" s="38" cm="1">
        <f t="array" aca="1" ref="AH2" ca="1">TREND($K2:$P2,$K$1:$P$1,AH$1)</f>
        <v>1.0959999999999998E-3</v>
      </c>
      <c r="AI2" s="38" cm="1">
        <f t="array" aca="1" ref="AI2" ca="1">TREND($K2:$P2,$K$1:$P$1,AI$1)</f>
        <v>1.1080000000000013E-3</v>
      </c>
      <c r="AJ2" s="38" cm="1">
        <f t="array" aca="1" ref="AJ2" ca="1">TREND($K2:$P2,$K$1:$P$1,AJ$1)</f>
        <v>1.1199999999999995E-3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4.0000000000000002E-4</v>
      </c>
      <c r="C3" s="38">
        <f t="shared" ref="C3:C12" ca="1" si="3">$B3+($F3-$B3)*(C$1-$B$1)/($F$1-$B$1)</f>
        <v>4.0250000000000003E-4</v>
      </c>
      <c r="D3" s="38">
        <f t="shared" ca="1" si="0"/>
        <v>4.0499999999999998E-4</v>
      </c>
      <c r="E3" s="38">
        <f t="shared" ca="1" si="0"/>
        <v>4.0749999999999998E-4</v>
      </c>
      <c r="F3" s="39" cm="1">
        <f t="array" aca="1" ref="F3" ca="1">INDIRECT(CONCATENATE("'",HLOOKUP(F$1,$B$21:$E$23,3,FALSE),"'!",$B$25,ROW($A3)+5))*About!$A$27</f>
        <v>4.0999999999999999E-4</v>
      </c>
      <c r="G3" s="38">
        <f t="shared" ref="G3:G12" ca="1" si="4">$F3+($K3-$F3)*(G$1-$F$1)/($K$1-$F$1)</f>
        <v>4.1199999999999999E-4</v>
      </c>
      <c r="H3" s="38">
        <f t="shared" ca="1" si="1"/>
        <v>4.1399999999999998E-4</v>
      </c>
      <c r="I3" s="38">
        <f t="shared" ca="1" si="1"/>
        <v>4.1600000000000003E-4</v>
      </c>
      <c r="J3" s="38">
        <f t="shared" ca="1" si="1"/>
        <v>4.1800000000000002E-4</v>
      </c>
      <c r="K3" s="39" cm="1">
        <f t="array" aca="1" ref="K3" ca="1">INDIRECT(CONCATENATE("'",HLOOKUP(K$1,$B$21:$E$23,3,FALSE),"'!",$B$25,ROW($A3)+5))*About!$A$27</f>
        <v>4.2000000000000002E-4</v>
      </c>
      <c r="L3" s="38">
        <f t="shared" ref="L3:L12" ca="1" si="5">$K3+($P3-$K3)*(L$1-$K$1)/($P$1-$K$1)</f>
        <v>4.2200000000000001E-4</v>
      </c>
      <c r="M3" s="38">
        <f t="shared" ca="1" si="2"/>
        <v>4.2400000000000001E-4</v>
      </c>
      <c r="N3" s="38">
        <f t="shared" ca="1" si="2"/>
        <v>4.26E-4</v>
      </c>
      <c r="O3" s="38">
        <f t="shared" ca="1" si="2"/>
        <v>4.28E-4</v>
      </c>
      <c r="P3" s="39" cm="1">
        <f t="array" aca="1" ref="P3" ca="1">INDIRECT(CONCATENATE("'",HLOOKUP(P$1,$B$21:$E$23,3,FALSE),"'!",$B$25,ROW($A3)+5))*About!$A$27</f>
        <v>4.2999999999999999E-4</v>
      </c>
      <c r="Q3" s="38" cm="1">
        <f t="array" aca="1" ref="Q3" ca="1">TREND($K3:$P3,$K$1:$P$1,Q$1)</f>
        <v>4.3200000000000009E-4</v>
      </c>
      <c r="R3" s="38" cm="1">
        <f t="array" aca="1" ref="R3" ca="1">TREND($K3:$P3,$K$1:$P$1,R$1)</f>
        <v>4.3400000000000036E-4</v>
      </c>
      <c r="S3" s="38" cm="1">
        <f t="array" aca="1" ref="S3" ca="1">TREND($K3:$P3,$K$1:$P$1,S$1)</f>
        <v>4.3600000000000062E-4</v>
      </c>
      <c r="T3" s="38" cm="1">
        <f t="array" aca="1" ref="T3" ca="1">TREND($K3:$P3,$K$1:$P$1,T$1)</f>
        <v>4.3800000000000002E-4</v>
      </c>
      <c r="U3" s="38" cm="1">
        <f t="array" aca="1" ref="U3" ca="1">TREND($K3:$P3,$K$1:$P$1,U$1)</f>
        <v>4.4000000000000029E-4</v>
      </c>
      <c r="V3" s="38" cm="1">
        <f t="array" aca="1" ref="V3" ca="1">TREND($K3:$P3,$K$1:$P$1,V$1)</f>
        <v>4.4200000000000055E-4</v>
      </c>
      <c r="W3" s="38" cm="1">
        <f t="array" aca="1" ref="W3" ca="1">TREND($K3:$P3,$K$1:$P$1,W$1)</f>
        <v>4.4399999999999995E-4</v>
      </c>
      <c r="X3" s="38" cm="1">
        <f t="array" aca="1" ref="X3" ca="1">TREND($K3:$P3,$K$1:$P$1,X$1)</f>
        <v>4.4600000000000022E-4</v>
      </c>
      <c r="Y3" s="38" cm="1">
        <f t="array" aca="1" ref="Y3" ca="1">TREND($K3:$P3,$K$1:$P$1,Y$1)</f>
        <v>4.4800000000000048E-4</v>
      </c>
      <c r="Z3" s="38" cm="1">
        <f t="array" aca="1" ref="Z3" ca="1">TREND($K3:$P3,$K$1:$P$1,Z$1)</f>
        <v>4.5000000000000075E-4</v>
      </c>
      <c r="AA3" s="38" cm="1">
        <f t="array" aca="1" ref="AA3" ca="1">TREND($K3:$P3,$K$1:$P$1,AA$1)</f>
        <v>4.5200000000000014E-4</v>
      </c>
      <c r="AB3" s="38" cm="1">
        <f t="array" aca="1" ref="AB3" ca="1">TREND($K3:$P3,$K$1:$P$1,AB$1)</f>
        <v>4.5400000000000041E-4</v>
      </c>
      <c r="AC3" s="38" cm="1">
        <f t="array" aca="1" ref="AC3" ca="1">TREND($K3:$P3,$K$1:$P$1,AC$1)</f>
        <v>4.5600000000000068E-4</v>
      </c>
      <c r="AD3" s="38" cm="1">
        <f t="array" aca="1" ref="AD3" ca="1">TREND($K3:$P3,$K$1:$P$1,AD$1)</f>
        <v>4.5800000000000007E-4</v>
      </c>
      <c r="AE3" s="38" cm="1">
        <f t="array" aca="1" ref="AE3" ca="1">TREND($K3:$P3,$K$1:$P$1,AE$1)</f>
        <v>4.6000000000000034E-4</v>
      </c>
      <c r="AF3" s="38" cm="1">
        <f t="array" aca="1" ref="AF3" ca="1">TREND($K3:$P3,$K$1:$P$1,AF$1)</f>
        <v>4.620000000000006E-4</v>
      </c>
      <c r="AG3" s="38" cm="1">
        <f t="array" aca="1" ref="AG3" ca="1">TREND($K3:$P3,$K$1:$P$1,AG$1)</f>
        <v>4.64E-4</v>
      </c>
      <c r="AH3" s="38" cm="1">
        <f t="array" aca="1" ref="AH3" ca="1">TREND($K3:$P3,$K$1:$P$1,AH$1)</f>
        <v>4.6600000000000027E-4</v>
      </c>
      <c r="AI3" s="38" cm="1">
        <f t="array" aca="1" ref="AI3" ca="1">TREND($K3:$P3,$K$1:$P$1,AI$1)</f>
        <v>4.6800000000000053E-4</v>
      </c>
      <c r="AJ3" s="38" cm="1">
        <f t="array" aca="1" ref="AJ3" ca="1">TREND($K3:$P3,$K$1:$P$1,AJ$1)</f>
        <v>4.6999999999999993E-4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1.1000000000000001E-3</v>
      </c>
      <c r="C4" s="38">
        <f t="shared" ca="1" si="3"/>
        <v>1.1000000000000001E-3</v>
      </c>
      <c r="D4" s="38">
        <f t="shared" ca="1" si="0"/>
        <v>1.1000000000000001E-3</v>
      </c>
      <c r="E4" s="38">
        <f t="shared" ca="1" si="0"/>
        <v>1.1000000000000001E-3</v>
      </c>
      <c r="F4" s="39" cm="1">
        <f t="array" aca="1" ref="F4" ca="1">INDIRECT(CONCATENATE("'",HLOOKUP(F$1,$B$21:$E$23,3,FALSE),"'!",$B$25,ROW($A4)+5))*About!$A$27</f>
        <v>1.1000000000000001E-3</v>
      </c>
      <c r="G4" s="38">
        <f t="shared" ca="1" si="4"/>
        <v>1.1000000000000001E-3</v>
      </c>
      <c r="H4" s="38">
        <f t="shared" ca="1" si="1"/>
        <v>1.1000000000000001E-3</v>
      </c>
      <c r="I4" s="38">
        <f t="shared" ca="1" si="1"/>
        <v>1.1000000000000001E-3</v>
      </c>
      <c r="J4" s="38">
        <f t="shared" ca="1" si="1"/>
        <v>1.1000000000000001E-3</v>
      </c>
      <c r="K4" s="39" cm="1">
        <f t="array" aca="1" ref="K4" ca="1">INDIRECT(CONCATENATE("'",HLOOKUP(K$1,$B$21:$E$23,3,FALSE),"'!",$B$25,ROW($A4)+5))*About!$A$27</f>
        <v>1.1000000000000001E-3</v>
      </c>
      <c r="L4" s="38">
        <f t="shared" ca="1" si="5"/>
        <v>1.1200000000000001E-3</v>
      </c>
      <c r="M4" s="38">
        <f t="shared" ca="1" si="2"/>
        <v>1.14E-3</v>
      </c>
      <c r="N4" s="38">
        <f t="shared" ca="1" si="2"/>
        <v>1.16E-3</v>
      </c>
      <c r="O4" s="38">
        <f t="shared" ca="1" si="2"/>
        <v>1.1799999999999998E-3</v>
      </c>
      <c r="P4" s="39" cm="1">
        <f t="array" aca="1" ref="P4" ca="1">INDIRECT(CONCATENATE("'",HLOOKUP(P$1,$B$21:$E$23,3,FALSE),"'!",$B$25,ROW($A4)+5))*About!$A$27</f>
        <v>1.1999999999999999E-3</v>
      </c>
      <c r="Q4" s="38" cm="1">
        <f t="array" aca="1" ref="Q4" ca="1">TREND($K4:$P4,$K$1:$P$1,Q$1)</f>
        <v>1.2199999999999989E-3</v>
      </c>
      <c r="R4" s="38" cm="1">
        <f t="array" aca="1" ref="R4" ca="1">TREND($K4:$P4,$K$1:$P$1,R$1)</f>
        <v>1.239999999999998E-3</v>
      </c>
      <c r="S4" s="38" cm="1">
        <f t="array" aca="1" ref="S4" ca="1">TREND($K4:$P4,$K$1:$P$1,S$1)</f>
        <v>1.2599999999999972E-3</v>
      </c>
      <c r="T4" s="38" cm="1">
        <f t="array" aca="1" ref="T4" ca="1">TREND($K4:$P4,$K$1:$P$1,T$1)</f>
        <v>1.2799999999999964E-3</v>
      </c>
      <c r="U4" s="38" cm="1">
        <f t="array" aca="1" ref="U4" ca="1">TREND($K4:$P4,$K$1:$P$1,U$1)</f>
        <v>1.3000000000000025E-3</v>
      </c>
      <c r="V4" s="38" cm="1">
        <f t="array" aca="1" ref="V4" ca="1">TREND($K4:$P4,$K$1:$P$1,V$1)</f>
        <v>1.3200000000000017E-3</v>
      </c>
      <c r="W4" s="38" cm="1">
        <f t="array" aca="1" ref="W4" ca="1">TREND($K4:$P4,$K$1:$P$1,W$1)</f>
        <v>1.3400000000000009E-3</v>
      </c>
      <c r="X4" s="38" cm="1">
        <f t="array" aca="1" ref="X4" ca="1">TREND($K4:$P4,$K$1:$P$1,X$1)</f>
        <v>1.3600000000000001E-3</v>
      </c>
      <c r="Y4" s="38" cm="1">
        <f t="array" aca="1" ref="Y4" ca="1">TREND($K4:$P4,$K$1:$P$1,Y$1)</f>
        <v>1.3799999999999993E-3</v>
      </c>
      <c r="Z4" s="38" cm="1">
        <f t="array" aca="1" ref="Z4" ca="1">TREND($K4:$P4,$K$1:$P$1,Z$1)</f>
        <v>1.3999999999999985E-3</v>
      </c>
      <c r="AA4" s="38" cm="1">
        <f t="array" aca="1" ref="AA4" ca="1">TREND($K4:$P4,$K$1:$P$1,AA$1)</f>
        <v>1.4199999999999977E-3</v>
      </c>
      <c r="AB4" s="38" cm="1">
        <f t="array" aca="1" ref="AB4" ca="1">TREND($K4:$P4,$K$1:$P$1,AB$1)</f>
        <v>1.4399999999999968E-3</v>
      </c>
      <c r="AC4" s="38" cm="1">
        <f t="array" aca="1" ref="AC4" ca="1">TREND($K4:$P4,$K$1:$P$1,AC$1)</f>
        <v>1.459999999999996E-3</v>
      </c>
      <c r="AD4" s="38" cm="1">
        <f t="array" aca="1" ref="AD4" ca="1">TREND($K4:$P4,$K$1:$P$1,AD$1)</f>
        <v>1.4800000000000021E-3</v>
      </c>
      <c r="AE4" s="38" cm="1">
        <f t="array" aca="1" ref="AE4" ca="1">TREND($K4:$P4,$K$1:$P$1,AE$1)</f>
        <v>1.5000000000000013E-3</v>
      </c>
      <c r="AF4" s="38" cm="1">
        <f t="array" aca="1" ref="AF4" ca="1">TREND($K4:$P4,$K$1:$P$1,AF$1)</f>
        <v>1.5200000000000005E-3</v>
      </c>
      <c r="AG4" s="38" cm="1">
        <f t="array" aca="1" ref="AG4" ca="1">TREND($K4:$P4,$K$1:$P$1,AG$1)</f>
        <v>1.5399999999999997E-3</v>
      </c>
      <c r="AH4" s="38" cm="1">
        <f t="array" aca="1" ref="AH4" ca="1">TREND($K4:$P4,$K$1:$P$1,AH$1)</f>
        <v>1.5599999999999989E-3</v>
      </c>
      <c r="AI4" s="38" cm="1">
        <f t="array" aca="1" ref="AI4" ca="1">TREND($K4:$P4,$K$1:$P$1,AI$1)</f>
        <v>1.5799999999999981E-3</v>
      </c>
      <c r="AJ4" s="38" cm="1">
        <f t="array" aca="1" ref="AJ4" ca="1">TREND($K4:$P4,$K$1:$P$1,AJ$1)</f>
        <v>1.5999999999999973E-3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1.4E-2</v>
      </c>
      <c r="C5" s="38">
        <f t="shared" ca="1" si="3"/>
        <v>1.4E-2</v>
      </c>
      <c r="D5" s="38">
        <f t="shared" ca="1" si="0"/>
        <v>1.4E-2</v>
      </c>
      <c r="E5" s="38">
        <f t="shared" ca="1" si="0"/>
        <v>1.4E-2</v>
      </c>
      <c r="F5" s="39" cm="1">
        <f t="array" aca="1" ref="F5" ca="1">INDIRECT(CONCATENATE("'",HLOOKUP(F$1,$B$21:$E$23,3,FALSE),"'!",$B$25,ROW($A5)+5))*About!$A$27</f>
        <v>1.4E-2</v>
      </c>
      <c r="G5" s="38">
        <f t="shared" ca="1" si="4"/>
        <v>1.4E-2</v>
      </c>
      <c r="H5" s="38">
        <f t="shared" ca="1" si="1"/>
        <v>1.4E-2</v>
      </c>
      <c r="I5" s="38">
        <f t="shared" ca="1" si="1"/>
        <v>1.4E-2</v>
      </c>
      <c r="J5" s="38">
        <f t="shared" ca="1" si="1"/>
        <v>1.4E-2</v>
      </c>
      <c r="K5" s="39" cm="1">
        <f t="array" aca="1" ref="K5" ca="1">INDIRECT(CONCATENATE("'",HLOOKUP(K$1,$B$21:$E$23,3,FALSE),"'!",$B$25,ROW($A5)+5))*About!$A$27</f>
        <v>1.4E-2</v>
      </c>
      <c r="L5" s="38">
        <f t="shared" ca="1" si="5"/>
        <v>1.4200000000000001E-2</v>
      </c>
      <c r="M5" s="38">
        <f t="shared" ca="1" si="2"/>
        <v>1.44E-2</v>
      </c>
      <c r="N5" s="38">
        <f t="shared" ca="1" si="2"/>
        <v>1.46E-2</v>
      </c>
      <c r="O5" s="38">
        <f t="shared" ca="1" si="2"/>
        <v>1.4799999999999999E-2</v>
      </c>
      <c r="P5" s="39" cm="1">
        <f t="array" aca="1" ref="P5" ca="1">INDIRECT(CONCATENATE("'",HLOOKUP(P$1,$B$21:$E$23,3,FALSE),"'!",$B$25,ROW($A5)+5))*About!$A$27</f>
        <v>1.4999999999999999E-2</v>
      </c>
      <c r="Q5" s="38" cm="1">
        <f t="array" aca="1" ref="Q5" ca="1">TREND($K5:$P5,$K$1:$P$1,Q$1)</f>
        <v>1.5199999999999991E-2</v>
      </c>
      <c r="R5" s="38" cm="1">
        <f t="array" aca="1" ref="R5" ca="1">TREND($K5:$P5,$K$1:$P$1,R$1)</f>
        <v>1.5400000000000025E-2</v>
      </c>
      <c r="S5" s="38" cm="1">
        <f t="array" aca="1" ref="S5" ca="1">TREND($K5:$P5,$K$1:$P$1,S$1)</f>
        <v>1.5600000000000003E-2</v>
      </c>
      <c r="T5" s="38" cm="1">
        <f t="array" aca="1" ref="T5" ca="1">TREND($K5:$P5,$K$1:$P$1,T$1)</f>
        <v>1.5800000000000036E-2</v>
      </c>
      <c r="U5" s="38" cm="1">
        <f t="array" aca="1" ref="U5" ca="1">TREND($K5:$P5,$K$1:$P$1,U$1)</f>
        <v>1.6000000000000014E-2</v>
      </c>
      <c r="V5" s="38" cm="1">
        <f t="array" aca="1" ref="V5" ca="1">TREND($K5:$P5,$K$1:$P$1,V$1)</f>
        <v>1.6199999999999992E-2</v>
      </c>
      <c r="W5" s="38" cm="1">
        <f t="array" aca="1" ref="W5" ca="1">TREND($K5:$P5,$K$1:$P$1,W$1)</f>
        <v>1.6400000000000026E-2</v>
      </c>
      <c r="X5" s="38" cm="1">
        <f t="array" aca="1" ref="X5" ca="1">TREND($K5:$P5,$K$1:$P$1,X$1)</f>
        <v>1.6600000000000004E-2</v>
      </c>
      <c r="Y5" s="38" cm="1">
        <f t="array" aca="1" ref="Y5" ca="1">TREND($K5:$P5,$K$1:$P$1,Y$1)</f>
        <v>1.6799999999999982E-2</v>
      </c>
      <c r="Z5" s="38" cm="1">
        <f t="array" aca="1" ref="Z5" ca="1">TREND($K5:$P5,$K$1:$P$1,Z$1)</f>
        <v>1.7000000000000015E-2</v>
      </c>
      <c r="AA5" s="38" cm="1">
        <f t="array" aca="1" ref="AA5" ca="1">TREND($K5:$P5,$K$1:$P$1,AA$1)</f>
        <v>1.7199999999999993E-2</v>
      </c>
      <c r="AB5" s="38" cm="1">
        <f t="array" aca="1" ref="AB5" ca="1">TREND($K5:$P5,$K$1:$P$1,AB$1)</f>
        <v>1.7400000000000027E-2</v>
      </c>
      <c r="AC5" s="38" cm="1">
        <f t="array" aca="1" ref="AC5" ca="1">TREND($K5:$P5,$K$1:$P$1,AC$1)</f>
        <v>1.7600000000000005E-2</v>
      </c>
      <c r="AD5" s="38" cm="1">
        <f t="array" aca="1" ref="AD5" ca="1">TREND($K5:$P5,$K$1:$P$1,AD$1)</f>
        <v>1.7799999999999983E-2</v>
      </c>
      <c r="AE5" s="38" cm="1">
        <f t="array" aca="1" ref="AE5" ca="1">TREND($K5:$P5,$K$1:$P$1,AE$1)</f>
        <v>1.8000000000000016E-2</v>
      </c>
      <c r="AF5" s="38" cm="1">
        <f t="array" aca="1" ref="AF5" ca="1">TREND($K5:$P5,$K$1:$P$1,AF$1)</f>
        <v>1.8199999999999994E-2</v>
      </c>
      <c r="AG5" s="38" cm="1">
        <f t="array" aca="1" ref="AG5" ca="1">TREND($K5:$P5,$K$1:$P$1,AG$1)</f>
        <v>1.8400000000000027E-2</v>
      </c>
      <c r="AH5" s="38" cm="1">
        <f t="array" aca="1" ref="AH5" ca="1">TREND($K5:$P5,$K$1:$P$1,AH$1)</f>
        <v>1.8600000000000005E-2</v>
      </c>
      <c r="AI5" s="38" cm="1">
        <f t="array" aca="1" ref="AI5" ca="1">TREND($K5:$P5,$K$1:$P$1,AI$1)</f>
        <v>1.8799999999999983E-2</v>
      </c>
      <c r="AJ5" s="38" cm="1">
        <f t="array" aca="1" ref="AJ5" ca="1">TREND($K5:$P5,$K$1:$P$1,AJ$1)</f>
        <v>1.9000000000000017E-2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0.02</v>
      </c>
      <c r="C6" s="38">
        <f t="shared" ca="1" si="3"/>
        <v>0.02</v>
      </c>
      <c r="D6" s="38">
        <f t="shared" ca="1" si="0"/>
        <v>0.02</v>
      </c>
      <c r="E6" s="38">
        <f t="shared" ca="1" si="0"/>
        <v>0.02</v>
      </c>
      <c r="F6" s="39" cm="1">
        <f t="array" aca="1" ref="F6" ca="1">INDIRECT(CONCATENATE("'",HLOOKUP(F$1,$B$21:$E$23,3,FALSE),"'!",$B$25,ROW($A6)+5))*About!$A$27</f>
        <v>0.02</v>
      </c>
      <c r="G6" s="38">
        <f t="shared" ca="1" si="4"/>
        <v>0.02</v>
      </c>
      <c r="H6" s="38">
        <f t="shared" ca="1" si="1"/>
        <v>0.02</v>
      </c>
      <c r="I6" s="38">
        <f t="shared" ca="1" si="1"/>
        <v>0.02</v>
      </c>
      <c r="J6" s="38">
        <f t="shared" ca="1" si="1"/>
        <v>0.02</v>
      </c>
      <c r="K6" s="39" cm="1">
        <f t="array" aca="1" ref="K6" ca="1">INDIRECT(CONCATENATE("'",HLOOKUP(K$1,$B$21:$E$23,3,FALSE),"'!",$B$25,ROW($A6)+5))*About!$A$27</f>
        <v>0.02</v>
      </c>
      <c r="L6" s="38">
        <f t="shared" ca="1" si="5"/>
        <v>2.0400000000000001E-2</v>
      </c>
      <c r="M6" s="38">
        <f t="shared" ca="1" si="2"/>
        <v>2.0799999999999999E-2</v>
      </c>
      <c r="N6" s="38">
        <f t="shared" ca="1" si="2"/>
        <v>2.12E-2</v>
      </c>
      <c r="O6" s="38">
        <f t="shared" ca="1" si="2"/>
        <v>2.1599999999999998E-2</v>
      </c>
      <c r="P6" s="39" cm="1">
        <f t="array" aca="1" ref="P6" ca="1">INDIRECT(CONCATENATE("'",HLOOKUP(P$1,$B$21:$E$23,3,FALSE),"'!",$B$25,ROW($A6)+5))*About!$A$27</f>
        <v>2.1999999999999999E-2</v>
      </c>
      <c r="Q6" s="38" cm="1">
        <f t="array" aca="1" ref="Q6" ca="1">TREND($K6:$P6,$K$1:$P$1,Q$1)</f>
        <v>2.2399999999999975E-2</v>
      </c>
      <c r="R6" s="38" cm="1">
        <f t="array" aca="1" ref="R6" ca="1">TREND($K6:$P6,$K$1:$P$1,R$1)</f>
        <v>2.2800000000000042E-2</v>
      </c>
      <c r="S6" s="38" cm="1">
        <f t="array" aca="1" ref="S6" ca="1">TREND($K6:$P6,$K$1:$P$1,S$1)</f>
        <v>2.3199999999999998E-2</v>
      </c>
      <c r="T6" s="38" cm="1">
        <f t="array" aca="1" ref="T6" ca="1">TREND($K6:$P6,$K$1:$P$1,T$1)</f>
        <v>2.3600000000000065E-2</v>
      </c>
      <c r="U6" s="38" cm="1">
        <f t="array" aca="1" ref="U6" ca="1">TREND($K6:$P6,$K$1:$P$1,U$1)</f>
        <v>2.4000000000000021E-2</v>
      </c>
      <c r="V6" s="38" cm="1">
        <f t="array" aca="1" ref="V6" ca="1">TREND($K6:$P6,$K$1:$P$1,V$1)</f>
        <v>2.4399999999999977E-2</v>
      </c>
      <c r="W6" s="38" cm="1">
        <f t="array" aca="1" ref="W6" ca="1">TREND($K6:$P6,$K$1:$P$1,W$1)</f>
        <v>2.4800000000000044E-2</v>
      </c>
      <c r="X6" s="38" cm="1">
        <f t="array" aca="1" ref="X6" ca="1">TREND($K6:$P6,$K$1:$P$1,X$1)</f>
        <v>2.52E-2</v>
      </c>
      <c r="Y6" s="38" cm="1">
        <f t="array" aca="1" ref="Y6" ca="1">TREND($K6:$P6,$K$1:$P$1,Y$1)</f>
        <v>2.5599999999999956E-2</v>
      </c>
      <c r="Z6" s="38" cm="1">
        <f t="array" aca="1" ref="Z6" ca="1">TREND($K6:$P6,$K$1:$P$1,Z$1)</f>
        <v>2.6000000000000023E-2</v>
      </c>
      <c r="AA6" s="38" cm="1">
        <f t="array" aca="1" ref="AA6" ca="1">TREND($K6:$P6,$K$1:$P$1,AA$1)</f>
        <v>2.6399999999999979E-2</v>
      </c>
      <c r="AB6" s="38" cm="1">
        <f t="array" aca="1" ref="AB6" ca="1">TREND($K6:$P6,$K$1:$P$1,AB$1)</f>
        <v>2.6800000000000046E-2</v>
      </c>
      <c r="AC6" s="38" cm="1">
        <f t="array" aca="1" ref="AC6" ca="1">TREND($K6:$P6,$K$1:$P$1,AC$1)</f>
        <v>2.7200000000000002E-2</v>
      </c>
      <c r="AD6" s="38" cm="1">
        <f t="array" aca="1" ref="AD6" ca="1">TREND($K6:$P6,$K$1:$P$1,AD$1)</f>
        <v>2.7599999999999958E-2</v>
      </c>
      <c r="AE6" s="38" cm="1">
        <f t="array" aca="1" ref="AE6" ca="1">TREND($K6:$P6,$K$1:$P$1,AE$1)</f>
        <v>2.8000000000000025E-2</v>
      </c>
      <c r="AF6" s="38" cm="1">
        <f t="array" aca="1" ref="AF6" ca="1">TREND($K6:$P6,$K$1:$P$1,AF$1)</f>
        <v>2.8399999999999981E-2</v>
      </c>
      <c r="AG6" s="38" cm="1">
        <f t="array" aca="1" ref="AG6" ca="1">TREND($K6:$P6,$K$1:$P$1,AG$1)</f>
        <v>2.8800000000000048E-2</v>
      </c>
      <c r="AH6" s="38" cm="1">
        <f t="array" aca="1" ref="AH6" ca="1">TREND($K6:$P6,$K$1:$P$1,AH$1)</f>
        <v>2.9200000000000004E-2</v>
      </c>
      <c r="AI6" s="38" cm="1">
        <f t="array" aca="1" ref="AI6" ca="1">TREND($K6:$P6,$K$1:$P$1,AI$1)</f>
        <v>2.959999999999996E-2</v>
      </c>
      <c r="AJ6" s="38" cm="1">
        <f t="array" aca="1" ref="AJ6" ca="1">TREND($K6:$P6,$K$1:$P$1,AJ$1)</f>
        <v>3.0000000000000027E-2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0.56999999999999995</v>
      </c>
      <c r="C7" s="38">
        <f t="shared" ca="1" si="3"/>
        <v>0.56999999999999995</v>
      </c>
      <c r="D7" s="38">
        <f t="shared" ca="1" si="0"/>
        <v>0.56999999999999995</v>
      </c>
      <c r="E7" s="38">
        <f t="shared" ca="1" si="0"/>
        <v>0.56999999999999995</v>
      </c>
      <c r="F7" s="39" cm="1">
        <f t="array" aca="1" ref="F7" ca="1">INDIRECT(CONCATENATE("'",HLOOKUP(F$1,$B$21:$E$23,3,FALSE),"'!",$B$25,ROW($A7)+5))*About!$A$27</f>
        <v>0.56999999999999995</v>
      </c>
      <c r="G7" s="38">
        <f t="shared" ca="1" si="4"/>
        <v>0.57199999999999995</v>
      </c>
      <c r="H7" s="38">
        <f t="shared" ca="1" si="1"/>
        <v>0.57399999999999995</v>
      </c>
      <c r="I7" s="38">
        <f t="shared" ca="1" si="1"/>
        <v>0.57599999999999996</v>
      </c>
      <c r="J7" s="38">
        <f t="shared" ca="1" si="1"/>
        <v>0.57799999999999996</v>
      </c>
      <c r="K7" s="39" cm="1">
        <f t="array" aca="1" ref="K7" ca="1">INDIRECT(CONCATENATE("'",HLOOKUP(K$1,$B$21:$E$23,3,FALSE),"'!",$B$25,ROW($A7)+5))*About!$A$27</f>
        <v>0.57999999999999996</v>
      </c>
      <c r="L7" s="38">
        <f t="shared" ca="1" si="5"/>
        <v>0.57999999999999996</v>
      </c>
      <c r="M7" s="38">
        <f t="shared" ca="1" si="2"/>
        <v>0.57999999999999996</v>
      </c>
      <c r="N7" s="38">
        <f t="shared" ca="1" si="2"/>
        <v>0.57999999999999996</v>
      </c>
      <c r="O7" s="38">
        <f t="shared" ca="1" si="2"/>
        <v>0.57999999999999996</v>
      </c>
      <c r="P7" s="39" cm="1">
        <f t="array" aca="1" ref="P7" ca="1">INDIRECT(CONCATENATE("'",HLOOKUP(P$1,$B$21:$E$23,3,FALSE),"'!",$B$25,ROW($A7)+5))*About!$A$27</f>
        <v>0.57999999999999996</v>
      </c>
      <c r="Q7" s="38" cm="1">
        <f t="array" aca="1" ref="Q7" ca="1">TREND($K7:$P7,$K$1:$P$1,Q$1)</f>
        <v>0.57999999999999996</v>
      </c>
      <c r="R7" s="38" cm="1">
        <f t="array" aca="1" ref="R7" ca="1">TREND($K7:$P7,$K$1:$P$1,R$1)</f>
        <v>0.57999999999999996</v>
      </c>
      <c r="S7" s="38" cm="1">
        <f t="array" aca="1" ref="S7" ca="1">TREND($K7:$P7,$K$1:$P$1,S$1)</f>
        <v>0.57999999999999996</v>
      </c>
      <c r="T7" s="38" cm="1">
        <f t="array" aca="1" ref="T7" ca="1">TREND($K7:$P7,$K$1:$P$1,T$1)</f>
        <v>0.57999999999999996</v>
      </c>
      <c r="U7" s="38" cm="1">
        <f t="array" aca="1" ref="U7" ca="1">TREND($K7:$P7,$K$1:$P$1,U$1)</f>
        <v>0.57999999999999996</v>
      </c>
      <c r="V7" s="38" cm="1">
        <f t="array" aca="1" ref="V7" ca="1">TREND($K7:$P7,$K$1:$P$1,V$1)</f>
        <v>0.57999999999999996</v>
      </c>
      <c r="W7" s="38" cm="1">
        <f t="array" aca="1" ref="W7" ca="1">TREND($K7:$P7,$K$1:$P$1,W$1)</f>
        <v>0.57999999999999996</v>
      </c>
      <c r="X7" s="38" cm="1">
        <f t="array" aca="1" ref="X7" ca="1">TREND($K7:$P7,$K$1:$P$1,X$1)</f>
        <v>0.57999999999999996</v>
      </c>
      <c r="Y7" s="38" cm="1">
        <f t="array" aca="1" ref="Y7" ca="1">TREND($K7:$P7,$K$1:$P$1,Y$1)</f>
        <v>0.57999999999999996</v>
      </c>
      <c r="Z7" s="38" cm="1">
        <f t="array" aca="1" ref="Z7" ca="1">TREND($K7:$P7,$K$1:$P$1,Z$1)</f>
        <v>0.57999999999999996</v>
      </c>
      <c r="AA7" s="38" cm="1">
        <f t="array" aca="1" ref="AA7" ca="1">TREND($K7:$P7,$K$1:$P$1,AA$1)</f>
        <v>0.57999999999999996</v>
      </c>
      <c r="AB7" s="38" cm="1">
        <f t="array" aca="1" ref="AB7" ca="1">TREND($K7:$P7,$K$1:$P$1,AB$1)</f>
        <v>0.57999999999999996</v>
      </c>
      <c r="AC7" s="38" cm="1">
        <f t="array" aca="1" ref="AC7" ca="1">TREND($K7:$P7,$K$1:$P$1,AC$1)</f>
        <v>0.57999999999999996</v>
      </c>
      <c r="AD7" s="38" cm="1">
        <f t="array" aca="1" ref="AD7" ca="1">TREND($K7:$P7,$K$1:$P$1,AD$1)</f>
        <v>0.57999999999999996</v>
      </c>
      <c r="AE7" s="38" cm="1">
        <f t="array" aca="1" ref="AE7" ca="1">TREND($K7:$P7,$K$1:$P$1,AE$1)</f>
        <v>0.57999999999999996</v>
      </c>
      <c r="AF7" s="38" cm="1">
        <f t="array" aca="1" ref="AF7" ca="1">TREND($K7:$P7,$K$1:$P$1,AF$1)</f>
        <v>0.57999999999999996</v>
      </c>
      <c r="AG7" s="38" cm="1">
        <f t="array" aca="1" ref="AG7" ca="1">TREND($K7:$P7,$K$1:$P$1,AG$1)</f>
        <v>0.57999999999999996</v>
      </c>
      <c r="AH7" s="38" cm="1">
        <f t="array" aca="1" ref="AH7" ca="1">TREND($K7:$P7,$K$1:$P$1,AH$1)</f>
        <v>0.57999999999999996</v>
      </c>
      <c r="AI7" s="38" cm="1">
        <f t="array" aca="1" ref="AI7" ca="1">TREND($K7:$P7,$K$1:$P$1,AI$1)</f>
        <v>0.57999999999999996</v>
      </c>
      <c r="AJ7" s="38" cm="1">
        <f t="array" aca="1" ref="AJ7" ca="1">TREND($K7:$P7,$K$1:$P$1,AJ$1)</f>
        <v>0.57999999999999996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9.6000000000000002E-2</v>
      </c>
      <c r="C8" s="38">
        <f t="shared" ca="1" si="3"/>
        <v>9.6250000000000002E-2</v>
      </c>
      <c r="D8" s="38">
        <f t="shared" ca="1" si="0"/>
        <v>9.6500000000000002E-2</v>
      </c>
      <c r="E8" s="38">
        <f t="shared" ca="1" si="0"/>
        <v>9.6750000000000003E-2</v>
      </c>
      <c r="F8" s="39" cm="1">
        <f t="array" aca="1" ref="F8" ca="1">INDIRECT(CONCATENATE("'",HLOOKUP(F$1,$B$21:$E$23,3,FALSE),"'!",$B$25,ROW($A8)+5))*About!$A$27</f>
        <v>9.7000000000000003E-2</v>
      </c>
      <c r="G8" s="38">
        <f t="shared" ca="1" si="4"/>
        <v>9.7200000000000009E-2</v>
      </c>
      <c r="H8" s="38">
        <f t="shared" ca="1" si="1"/>
        <v>9.74E-2</v>
      </c>
      <c r="I8" s="38">
        <f t="shared" ca="1" si="1"/>
        <v>9.7600000000000006E-2</v>
      </c>
      <c r="J8" s="38">
        <f t="shared" ca="1" si="1"/>
        <v>9.7799999999999998E-2</v>
      </c>
      <c r="K8" s="39" cm="1">
        <f t="array" aca="1" ref="K8" ca="1">INDIRECT(CONCATENATE("'",HLOOKUP(K$1,$B$21:$E$23,3,FALSE),"'!",$B$25,ROW($A8)+5))*About!$A$27</f>
        <v>9.8000000000000004E-2</v>
      </c>
      <c r="L8" s="38">
        <f t="shared" ca="1" si="5"/>
        <v>9.820000000000001E-2</v>
      </c>
      <c r="M8" s="38">
        <f t="shared" ca="1" si="2"/>
        <v>9.8400000000000001E-2</v>
      </c>
      <c r="N8" s="38">
        <f t="shared" ca="1" si="2"/>
        <v>9.8600000000000007E-2</v>
      </c>
      <c r="O8" s="38">
        <f t="shared" ca="1" si="2"/>
        <v>9.8799999999999999E-2</v>
      </c>
      <c r="P8" s="39" cm="1">
        <f t="array" aca="1" ref="P8" ca="1">INDIRECT(CONCATENATE("'",HLOOKUP(P$1,$B$21:$E$23,3,FALSE),"'!",$B$25,ROW($A8)+5))*About!$A$27</f>
        <v>9.9000000000000005E-2</v>
      </c>
      <c r="Q8" s="38" cm="1">
        <f t="array" aca="1" ref="Q8" ca="1">TREND($K8:$P8,$K$1:$P$1,Q$1)</f>
        <v>9.920000000000001E-2</v>
      </c>
      <c r="R8" s="38" cm="1">
        <f t="array" aca="1" ref="R8" ca="1">TREND($K8:$P8,$K$1:$P$1,R$1)</f>
        <v>9.9400000000000044E-2</v>
      </c>
      <c r="S8" s="38" cm="1">
        <f t="array" aca="1" ref="S8" ca="1">TREND($K8:$P8,$K$1:$P$1,S$1)</f>
        <v>9.9600000000000022E-2</v>
      </c>
      <c r="T8" s="38" cm="1">
        <f t="array" aca="1" ref="T8" ca="1">TREND($K8:$P8,$K$1:$P$1,T$1)</f>
        <v>9.9800000000000055E-2</v>
      </c>
      <c r="U8" s="38" cm="1">
        <f t="array" aca="1" ref="U8" ca="1">TREND($K8:$P8,$K$1:$P$1,U$1)</f>
        <v>0.10000000000000003</v>
      </c>
      <c r="V8" s="38" cm="1">
        <f t="array" aca="1" ref="V8" ca="1">TREND($K8:$P8,$K$1:$P$1,V$1)</f>
        <v>0.10020000000000001</v>
      </c>
      <c r="W8" s="38" cm="1">
        <f t="array" aca="1" ref="W8" ca="1">TREND($K8:$P8,$K$1:$P$1,W$1)</f>
        <v>0.10040000000000004</v>
      </c>
      <c r="X8" s="38" cm="1">
        <f t="array" aca="1" ref="X8" ca="1">TREND($K8:$P8,$K$1:$P$1,X$1)</f>
        <v>0.10060000000000002</v>
      </c>
      <c r="Y8" s="38" cm="1">
        <f t="array" aca="1" ref="Y8" ca="1">TREND($K8:$P8,$K$1:$P$1,Y$1)</f>
        <v>0.10080000000000006</v>
      </c>
      <c r="Z8" s="38" cm="1">
        <f t="array" aca="1" ref="Z8" ca="1">TREND($K8:$P8,$K$1:$P$1,Z$1)</f>
        <v>0.10100000000000003</v>
      </c>
      <c r="AA8" s="38" cm="1">
        <f t="array" aca="1" ref="AA8" ca="1">TREND($K8:$P8,$K$1:$P$1,AA$1)</f>
        <v>0.10120000000000001</v>
      </c>
      <c r="AB8" s="38" cm="1">
        <f t="array" aca="1" ref="AB8" ca="1">TREND($K8:$P8,$K$1:$P$1,AB$1)</f>
        <v>0.10140000000000005</v>
      </c>
      <c r="AC8" s="38" cm="1">
        <f t="array" aca="1" ref="AC8" ca="1">TREND($K8:$P8,$K$1:$P$1,AC$1)</f>
        <v>0.10160000000000002</v>
      </c>
      <c r="AD8" s="38" cm="1">
        <f t="array" aca="1" ref="AD8" ca="1">TREND($K8:$P8,$K$1:$P$1,AD$1)</f>
        <v>0.1018</v>
      </c>
      <c r="AE8" s="38" cm="1">
        <f t="array" aca="1" ref="AE8" ca="1">TREND($K8:$P8,$K$1:$P$1,AE$1)</f>
        <v>0.10200000000000004</v>
      </c>
      <c r="AF8" s="38" cm="1">
        <f t="array" aca="1" ref="AF8" ca="1">TREND($K8:$P8,$K$1:$P$1,AF$1)</f>
        <v>0.10220000000000001</v>
      </c>
      <c r="AG8" s="38" cm="1">
        <f t="array" aca="1" ref="AG8" ca="1">TREND($K8:$P8,$K$1:$P$1,AG$1)</f>
        <v>0.10240000000000005</v>
      </c>
      <c r="AH8" s="38" cm="1">
        <f t="array" aca="1" ref="AH8" ca="1">TREND($K8:$P8,$K$1:$P$1,AH$1)</f>
        <v>0.10260000000000002</v>
      </c>
      <c r="AI8" s="38" cm="1">
        <f t="array" aca="1" ref="AI8" ca="1">TREND($K8:$P8,$K$1:$P$1,AI$1)</f>
        <v>0.1028</v>
      </c>
      <c r="AJ8" s="38" cm="1">
        <f t="array" aca="1" ref="AJ8" ca="1">TREND($K8:$P8,$K$1:$P$1,AJ$1)</f>
        <v>0.10300000000000004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2.3E-2</v>
      </c>
      <c r="C9" s="38">
        <f t="shared" ca="1" si="3"/>
        <v>2.3E-2</v>
      </c>
      <c r="D9" s="38">
        <f t="shared" ca="1" si="0"/>
        <v>2.3E-2</v>
      </c>
      <c r="E9" s="38">
        <f t="shared" ca="1" si="0"/>
        <v>2.3E-2</v>
      </c>
      <c r="F9" s="39" cm="1">
        <f t="array" aca="1" ref="F9" ca="1">INDIRECT(CONCATENATE("'",HLOOKUP(F$1,$B$21:$E$23,3,FALSE),"'!",$B$25,ROW($A9)+5))*About!$A$27</f>
        <v>2.3E-2</v>
      </c>
      <c r="G9" s="38">
        <f t="shared" ca="1" si="4"/>
        <v>2.3199999999999998E-2</v>
      </c>
      <c r="H9" s="38">
        <f t="shared" ca="1" si="1"/>
        <v>2.3400000000000001E-2</v>
      </c>
      <c r="I9" s="38">
        <f t="shared" ca="1" si="1"/>
        <v>2.3599999999999999E-2</v>
      </c>
      <c r="J9" s="38">
        <f t="shared" ca="1" si="1"/>
        <v>2.3800000000000002E-2</v>
      </c>
      <c r="K9" s="39" cm="1">
        <f t="array" aca="1" ref="K9" ca="1">INDIRECT(CONCATENATE("'",HLOOKUP(K$1,$B$21:$E$23,3,FALSE),"'!",$B$25,ROW($A9)+5))*About!$A$27</f>
        <v>2.4E-2</v>
      </c>
      <c r="L9" s="38">
        <f t="shared" ca="1" si="5"/>
        <v>2.4199999999999999E-2</v>
      </c>
      <c r="M9" s="38">
        <f t="shared" ca="1" si="2"/>
        <v>2.4400000000000002E-2</v>
      </c>
      <c r="N9" s="38">
        <f t="shared" ca="1" si="2"/>
        <v>2.46E-2</v>
      </c>
      <c r="O9" s="38">
        <f t="shared" ca="1" si="2"/>
        <v>2.4800000000000003E-2</v>
      </c>
      <c r="P9" s="39" cm="1">
        <f t="array" aca="1" ref="P9" ca="1">INDIRECT(CONCATENATE("'",HLOOKUP(P$1,$B$21:$E$23,3,FALSE),"'!",$B$25,ROW($A9)+5))*About!$A$27</f>
        <v>2.5000000000000001E-2</v>
      </c>
      <c r="Q9" s="38" cm="1">
        <f t="array" aca="1" ref="Q9" ca="1">TREND($K9:$P9,$K$1:$P$1,Q$1)</f>
        <v>2.52E-2</v>
      </c>
      <c r="R9" s="38" cm="1">
        <f t="array" aca="1" ref="R9" ca="1">TREND($K9:$P9,$K$1:$P$1,R$1)</f>
        <v>2.5400000000000034E-2</v>
      </c>
      <c r="S9" s="38" cm="1">
        <f t="array" aca="1" ref="S9" ca="1">TREND($K9:$P9,$K$1:$P$1,S$1)</f>
        <v>2.5600000000000012E-2</v>
      </c>
      <c r="T9" s="38" cm="1">
        <f t="array" aca="1" ref="T9" ca="1">TREND($K9:$P9,$K$1:$P$1,T$1)</f>
        <v>2.579999999999999E-2</v>
      </c>
      <c r="U9" s="38" cm="1">
        <f t="array" aca="1" ref="U9" ca="1">TREND($K9:$P9,$K$1:$P$1,U$1)</f>
        <v>2.6000000000000023E-2</v>
      </c>
      <c r="V9" s="38" cm="1">
        <f t="array" aca="1" ref="V9" ca="1">TREND($K9:$P9,$K$1:$P$1,V$1)</f>
        <v>2.6200000000000001E-2</v>
      </c>
      <c r="W9" s="38" cm="1">
        <f t="array" aca="1" ref="W9" ca="1">TREND($K9:$P9,$K$1:$P$1,W$1)</f>
        <v>2.6400000000000035E-2</v>
      </c>
      <c r="X9" s="38" cm="1">
        <f t="array" aca="1" ref="X9" ca="1">TREND($K9:$P9,$K$1:$P$1,X$1)</f>
        <v>2.6600000000000013E-2</v>
      </c>
      <c r="Y9" s="38" cm="1">
        <f t="array" aca="1" ref="Y9" ca="1">TREND($K9:$P9,$K$1:$P$1,Y$1)</f>
        <v>2.679999999999999E-2</v>
      </c>
      <c r="Z9" s="38" cm="1">
        <f t="array" aca="1" ref="Z9" ca="1">TREND($K9:$P9,$K$1:$P$1,Z$1)</f>
        <v>2.7000000000000024E-2</v>
      </c>
      <c r="AA9" s="38" cm="1">
        <f t="array" aca="1" ref="AA9" ca="1">TREND($K9:$P9,$K$1:$P$1,AA$1)</f>
        <v>2.7200000000000002E-2</v>
      </c>
      <c r="AB9" s="38" cm="1">
        <f t="array" aca="1" ref="AB9" ca="1">TREND($K9:$P9,$K$1:$P$1,AB$1)</f>
        <v>2.7400000000000035E-2</v>
      </c>
      <c r="AC9" s="38" cm="1">
        <f t="array" aca="1" ref="AC9" ca="1">TREND($K9:$P9,$K$1:$P$1,AC$1)</f>
        <v>2.7600000000000013E-2</v>
      </c>
      <c r="AD9" s="38" cm="1">
        <f t="array" aca="1" ref="AD9" ca="1">TREND($K9:$P9,$K$1:$P$1,AD$1)</f>
        <v>2.7799999999999991E-2</v>
      </c>
      <c r="AE9" s="38" cm="1">
        <f t="array" aca="1" ref="AE9" ca="1">TREND($K9:$P9,$K$1:$P$1,AE$1)</f>
        <v>2.8000000000000025E-2</v>
      </c>
      <c r="AF9" s="38" cm="1">
        <f t="array" aca="1" ref="AF9" ca="1">TREND($K9:$P9,$K$1:$P$1,AF$1)</f>
        <v>2.8200000000000003E-2</v>
      </c>
      <c r="AG9" s="38" cm="1">
        <f t="array" aca="1" ref="AG9" ca="1">TREND($K9:$P9,$K$1:$P$1,AG$1)</f>
        <v>2.8400000000000036E-2</v>
      </c>
      <c r="AH9" s="38" cm="1">
        <f t="array" aca="1" ref="AH9" ca="1">TREND($K9:$P9,$K$1:$P$1,AH$1)</f>
        <v>2.8600000000000014E-2</v>
      </c>
      <c r="AI9" s="38" cm="1">
        <f t="array" aca="1" ref="AI9" ca="1">TREND($K9:$P9,$K$1:$P$1,AI$1)</f>
        <v>2.8799999999999992E-2</v>
      </c>
      <c r="AJ9" s="38" cm="1">
        <f t="array" aca="1" ref="AJ9" ca="1">TREND($K9:$P9,$K$1:$P$1,AJ$1)</f>
        <v>2.9000000000000026E-2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1.7000000000000001E-4</v>
      </c>
      <c r="C10" s="38">
        <f t="shared" ca="1" si="3"/>
        <v>1.7500000000000003E-4</v>
      </c>
      <c r="D10" s="38">
        <f t="shared" ca="1" si="0"/>
        <v>1.8000000000000001E-4</v>
      </c>
      <c r="E10" s="38">
        <f t="shared" ca="1" si="0"/>
        <v>1.85E-4</v>
      </c>
      <c r="F10" s="39" cm="1">
        <f t="array" aca="1" ref="F10" ca="1">INDIRECT(CONCATENATE("'",HLOOKUP(F$1,$B$21:$E$23,3,FALSE),"'!",$B$25,ROW($A10)+5))*About!$A$27</f>
        <v>1.9000000000000001E-4</v>
      </c>
      <c r="G10" s="38">
        <f t="shared" ca="1" si="4"/>
        <v>1.92E-4</v>
      </c>
      <c r="H10" s="38">
        <f t="shared" ca="1" si="1"/>
        <v>1.94E-4</v>
      </c>
      <c r="I10" s="38">
        <f t="shared" ca="1" si="1"/>
        <v>1.9600000000000002E-4</v>
      </c>
      <c r="J10" s="38">
        <f t="shared" ca="1" si="1"/>
        <v>1.9800000000000002E-4</v>
      </c>
      <c r="K10" s="39" cm="1">
        <f t="array" aca="1" ref="K10" ca="1">INDIRECT(CONCATENATE("'",HLOOKUP(K$1,$B$21:$E$23,3,FALSE),"'!",$B$25,ROW($A10)+5))*About!$A$27</f>
        <v>2.0000000000000001E-4</v>
      </c>
      <c r="L10" s="38">
        <f t="shared" ca="1" si="5"/>
        <v>2.04E-4</v>
      </c>
      <c r="M10" s="38">
        <f t="shared" ca="1" si="2"/>
        <v>2.0800000000000001E-4</v>
      </c>
      <c r="N10" s="38">
        <f t="shared" ca="1" si="2"/>
        <v>2.12E-4</v>
      </c>
      <c r="O10" s="38">
        <f t="shared" ca="1" si="2"/>
        <v>2.1600000000000002E-4</v>
      </c>
      <c r="P10" s="39" cm="1">
        <f t="array" aca="1" ref="P10" ca="1">INDIRECT(CONCATENATE("'",HLOOKUP(P$1,$B$21:$E$23,3,FALSE),"'!",$B$25,ROW($A10)+5))*About!$A$27</f>
        <v>2.2000000000000001E-4</v>
      </c>
      <c r="Q10" s="38" cm="1">
        <f t="array" aca="1" ref="Q10" ca="1">TREND($K10:$P10,$K$1:$P$1,Q$1)</f>
        <v>2.2400000000000024E-4</v>
      </c>
      <c r="R10" s="38" cm="1">
        <f t="array" aca="1" ref="R10" ca="1">TREND($K10:$P10,$K$1:$P$1,R$1)</f>
        <v>2.2800000000000077E-4</v>
      </c>
      <c r="S10" s="38" cm="1">
        <f t="array" aca="1" ref="S10" ca="1">TREND($K10:$P10,$K$1:$P$1,S$1)</f>
        <v>2.320000000000013E-4</v>
      </c>
      <c r="T10" s="38" cm="1">
        <f t="array" aca="1" ref="T10" ca="1">TREND($K10:$P10,$K$1:$P$1,T$1)</f>
        <v>2.360000000000001E-4</v>
      </c>
      <c r="U10" s="38" cm="1">
        <f t="array" aca="1" ref="U10" ca="1">TREND($K10:$P10,$K$1:$P$1,U$1)</f>
        <v>2.4000000000000063E-4</v>
      </c>
      <c r="V10" s="38" cm="1">
        <f t="array" aca="1" ref="V10" ca="1">TREND($K10:$P10,$K$1:$P$1,V$1)</f>
        <v>2.4400000000000116E-4</v>
      </c>
      <c r="W10" s="38" cm="1">
        <f t="array" aca="1" ref="W10" ca="1">TREND($K10:$P10,$K$1:$P$1,W$1)</f>
        <v>2.4799999999999996E-4</v>
      </c>
      <c r="X10" s="38" cm="1">
        <f t="array" aca="1" ref="X10" ca="1">TREND($K10:$P10,$K$1:$P$1,X$1)</f>
        <v>2.5200000000000049E-4</v>
      </c>
      <c r="Y10" s="38" cm="1">
        <f t="array" aca="1" ref="Y10" ca="1">TREND($K10:$P10,$K$1:$P$1,Y$1)</f>
        <v>2.5600000000000102E-4</v>
      </c>
      <c r="Z10" s="38" cm="1">
        <f t="array" aca="1" ref="Z10" ca="1">TREND($K10:$P10,$K$1:$P$1,Z$1)</f>
        <v>2.5999999999999981E-4</v>
      </c>
      <c r="AA10" s="38" cm="1">
        <f t="array" aca="1" ref="AA10" ca="1">TREND($K10:$P10,$K$1:$P$1,AA$1)</f>
        <v>2.6400000000000035E-4</v>
      </c>
      <c r="AB10" s="38" cm="1">
        <f t="array" aca="1" ref="AB10" ca="1">TREND($K10:$P10,$K$1:$P$1,AB$1)</f>
        <v>2.6800000000000088E-4</v>
      </c>
      <c r="AC10" s="38" cm="1">
        <f t="array" aca="1" ref="AC10" ca="1">TREND($K10:$P10,$K$1:$P$1,AC$1)</f>
        <v>2.7200000000000141E-4</v>
      </c>
      <c r="AD10" s="38" cm="1">
        <f t="array" aca="1" ref="AD10" ca="1">TREND($K10:$P10,$K$1:$P$1,AD$1)</f>
        <v>2.760000000000002E-4</v>
      </c>
      <c r="AE10" s="38" cm="1">
        <f t="array" aca="1" ref="AE10" ca="1">TREND($K10:$P10,$K$1:$P$1,AE$1)</f>
        <v>2.8000000000000073E-4</v>
      </c>
      <c r="AF10" s="38" cm="1">
        <f t="array" aca="1" ref="AF10" ca="1">TREND($K10:$P10,$K$1:$P$1,AF$1)</f>
        <v>2.8400000000000127E-4</v>
      </c>
      <c r="AG10" s="38" cm="1">
        <f t="array" aca="1" ref="AG10" ca="1">TREND($K10:$P10,$K$1:$P$1,AG$1)</f>
        <v>2.8800000000000006E-4</v>
      </c>
      <c r="AH10" s="38" cm="1">
        <f t="array" aca="1" ref="AH10" ca="1">TREND($K10:$P10,$K$1:$P$1,AH$1)</f>
        <v>2.9200000000000059E-4</v>
      </c>
      <c r="AI10" s="38" cm="1">
        <f t="array" aca="1" ref="AI10" ca="1">TREND($K10:$P10,$K$1:$P$1,AI$1)</f>
        <v>2.9600000000000112E-4</v>
      </c>
      <c r="AJ10" s="38" cm="1">
        <f t="array" aca="1" ref="AJ10" ca="1">TREND($K10:$P10,$K$1:$P$1,AJ$1)</f>
        <v>2.9999999999999992E-4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1.7000000000000001E-4</v>
      </c>
      <c r="C11" s="38">
        <f t="shared" ca="1" si="3"/>
        <v>1.7250000000000002E-4</v>
      </c>
      <c r="D11" s="38">
        <f t="shared" ca="1" si="0"/>
        <v>1.7500000000000003E-4</v>
      </c>
      <c r="E11" s="38">
        <f t="shared" ca="1" si="0"/>
        <v>1.775E-4</v>
      </c>
      <c r="F11" s="39" cm="1">
        <f t="array" aca="1" ref="F11" ca="1">INDIRECT(CONCATENATE("'",HLOOKUP(F$1,$B$21:$E$23,3,FALSE),"'!",$B$25,ROW($A11)+5))*About!$A$27</f>
        <v>1.8000000000000001E-4</v>
      </c>
      <c r="G11" s="38">
        <f t="shared" ca="1" si="4"/>
        <v>1.84E-4</v>
      </c>
      <c r="H11" s="38">
        <f t="shared" ca="1" si="1"/>
        <v>1.8800000000000002E-4</v>
      </c>
      <c r="I11" s="38">
        <f t="shared" ca="1" si="1"/>
        <v>1.92E-4</v>
      </c>
      <c r="J11" s="38">
        <f t="shared" ca="1" si="1"/>
        <v>1.9600000000000002E-4</v>
      </c>
      <c r="K11" s="39" cm="1">
        <f t="array" aca="1" ref="K11" ca="1">INDIRECT(CONCATENATE("'",HLOOKUP(K$1,$B$21:$E$23,3,FALSE),"'!",$B$25,ROW($A11)+5))*About!$A$27</f>
        <v>2.0000000000000001E-4</v>
      </c>
      <c r="L11" s="38">
        <f t="shared" ca="1" si="5"/>
        <v>2.04E-4</v>
      </c>
      <c r="M11" s="38">
        <f t="shared" ca="1" si="2"/>
        <v>2.0800000000000001E-4</v>
      </c>
      <c r="N11" s="38">
        <f t="shared" ca="1" si="2"/>
        <v>2.12E-4</v>
      </c>
      <c r="O11" s="38">
        <f t="shared" ca="1" si="2"/>
        <v>2.1600000000000002E-4</v>
      </c>
      <c r="P11" s="39" cm="1">
        <f t="array" aca="1" ref="P11" ca="1">INDIRECT(CONCATENATE("'",HLOOKUP(P$1,$B$21:$E$23,3,FALSE),"'!",$B$25,ROW($A11)+5))*About!$A$27</f>
        <v>2.2000000000000001E-4</v>
      </c>
      <c r="Q11" s="38" cm="1">
        <f t="array" aca="1" ref="Q11" ca="1">TREND($K11:$P11,$K$1:$P$1,Q$1)</f>
        <v>2.2400000000000024E-4</v>
      </c>
      <c r="R11" s="38" cm="1">
        <f t="array" aca="1" ref="R11" ca="1">TREND($K11:$P11,$K$1:$P$1,R$1)</f>
        <v>2.2800000000000077E-4</v>
      </c>
      <c r="S11" s="38" cm="1">
        <f t="array" aca="1" ref="S11" ca="1">TREND($K11:$P11,$K$1:$P$1,S$1)</f>
        <v>2.320000000000013E-4</v>
      </c>
      <c r="T11" s="38" cm="1">
        <f t="array" aca="1" ref="T11" ca="1">TREND($K11:$P11,$K$1:$P$1,T$1)</f>
        <v>2.360000000000001E-4</v>
      </c>
      <c r="U11" s="38" cm="1">
        <f t="array" aca="1" ref="U11" ca="1">TREND($K11:$P11,$K$1:$P$1,U$1)</f>
        <v>2.4000000000000063E-4</v>
      </c>
      <c r="V11" s="38" cm="1">
        <f t="array" aca="1" ref="V11" ca="1">TREND($K11:$P11,$K$1:$P$1,V$1)</f>
        <v>2.4400000000000116E-4</v>
      </c>
      <c r="W11" s="38" cm="1">
        <f t="array" aca="1" ref="W11" ca="1">TREND($K11:$P11,$K$1:$P$1,W$1)</f>
        <v>2.4799999999999996E-4</v>
      </c>
      <c r="X11" s="38" cm="1">
        <f t="array" aca="1" ref="X11" ca="1">TREND($K11:$P11,$K$1:$P$1,X$1)</f>
        <v>2.5200000000000049E-4</v>
      </c>
      <c r="Y11" s="38" cm="1">
        <f t="array" aca="1" ref="Y11" ca="1">TREND($K11:$P11,$K$1:$P$1,Y$1)</f>
        <v>2.5600000000000102E-4</v>
      </c>
      <c r="Z11" s="38" cm="1">
        <f t="array" aca="1" ref="Z11" ca="1">TREND($K11:$P11,$K$1:$P$1,Z$1)</f>
        <v>2.5999999999999981E-4</v>
      </c>
      <c r="AA11" s="38" cm="1">
        <f t="array" aca="1" ref="AA11" ca="1">TREND($K11:$P11,$K$1:$P$1,AA$1)</f>
        <v>2.6400000000000035E-4</v>
      </c>
      <c r="AB11" s="38" cm="1">
        <f t="array" aca="1" ref="AB11" ca="1">TREND($K11:$P11,$K$1:$P$1,AB$1)</f>
        <v>2.6800000000000088E-4</v>
      </c>
      <c r="AC11" s="38" cm="1">
        <f t="array" aca="1" ref="AC11" ca="1">TREND($K11:$P11,$K$1:$P$1,AC$1)</f>
        <v>2.7200000000000141E-4</v>
      </c>
      <c r="AD11" s="38" cm="1">
        <f t="array" aca="1" ref="AD11" ca="1">TREND($K11:$P11,$K$1:$P$1,AD$1)</f>
        <v>2.760000000000002E-4</v>
      </c>
      <c r="AE11" s="38" cm="1">
        <f t="array" aca="1" ref="AE11" ca="1">TREND($K11:$P11,$K$1:$P$1,AE$1)</f>
        <v>2.8000000000000073E-4</v>
      </c>
      <c r="AF11" s="38" cm="1">
        <f t="array" aca="1" ref="AF11" ca="1">TREND($K11:$P11,$K$1:$P$1,AF$1)</f>
        <v>2.8400000000000127E-4</v>
      </c>
      <c r="AG11" s="38" cm="1">
        <f t="array" aca="1" ref="AG11" ca="1">TREND($K11:$P11,$K$1:$P$1,AG$1)</f>
        <v>2.8800000000000006E-4</v>
      </c>
      <c r="AH11" s="38" cm="1">
        <f t="array" aca="1" ref="AH11" ca="1">TREND($K11:$P11,$K$1:$P$1,AH$1)</f>
        <v>2.9200000000000059E-4</v>
      </c>
      <c r="AI11" s="38" cm="1">
        <f t="array" aca="1" ref="AI11" ca="1">TREND($K11:$P11,$K$1:$P$1,AI$1)</f>
        <v>2.9600000000000112E-4</v>
      </c>
      <c r="AJ11" s="38" cm="1">
        <f t="array" aca="1" ref="AJ11" ca="1">TREND($K11:$P11,$K$1:$P$1,AJ$1)</f>
        <v>2.9999999999999992E-4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7.8600000000000002E-4</v>
      </c>
      <c r="C12" s="38">
        <f t="shared" ca="1" si="3"/>
        <v>7.9725E-4</v>
      </c>
      <c r="D12" s="38">
        <f t="shared" ca="1" si="0"/>
        <v>8.0849999999999997E-4</v>
      </c>
      <c r="E12" s="38">
        <f t="shared" ca="1" si="0"/>
        <v>8.1975000000000006E-4</v>
      </c>
      <c r="F12" s="40">
        <f ca="1">SUM(INDIRECT(CONCATENATE("'",HLOOKUP(F$1,$B$21:$E$23,3,FALSE),"'!",$B$25,ROW($A12)+5,":",$B$25,ROW($A12)+6)))*About!$A$27</f>
        <v>8.3100000000000003E-4</v>
      </c>
      <c r="G12" s="38">
        <f t="shared" ca="1" si="4"/>
        <v>8.4639999999999997E-4</v>
      </c>
      <c r="H12" s="38">
        <f t="shared" ca="1" si="1"/>
        <v>8.6180000000000002E-4</v>
      </c>
      <c r="I12" s="38">
        <f t="shared" ca="1" si="1"/>
        <v>8.7719999999999996E-4</v>
      </c>
      <c r="J12" s="38">
        <f t="shared" ca="1" si="1"/>
        <v>8.9260000000000001E-4</v>
      </c>
      <c r="K12" s="40">
        <f ca="1">SUM(INDIRECT(CONCATENATE("'",HLOOKUP(K$1,$B$21:$E$23,3,FALSE),"'!",$B$25,ROW($A12)+5,":",$B$25,ROW($A12)+6)))*About!$A$27</f>
        <v>9.0799999999999995E-4</v>
      </c>
      <c r="L12" s="38">
        <f t="shared" ca="1" si="5"/>
        <v>9.235999999999999E-4</v>
      </c>
      <c r="M12" s="38">
        <f t="shared" ca="1" si="2"/>
        <v>9.3919999999999995E-4</v>
      </c>
      <c r="N12" s="38">
        <f t="shared" ca="1" si="2"/>
        <v>9.547999999999999E-4</v>
      </c>
      <c r="O12" s="38">
        <f t="shared" ca="1" si="2"/>
        <v>9.7039999999999995E-4</v>
      </c>
      <c r="P12" s="40">
        <f ca="1">SUM(INDIRECT(CONCATENATE("'",HLOOKUP(P$1,$B$21:$E$23,3,FALSE),"'!",$B$25,ROW($A12)+5,":",$B$25,ROW($A12)+6)))*About!$A$27</f>
        <v>9.859999999999999E-4</v>
      </c>
      <c r="Q12" s="38" cm="1">
        <f t="array" aca="1" ref="Q12" ca="1">TREND($K12:$P12,$K$1:$P$1,Q$1)</f>
        <v>1.0016000000000018E-3</v>
      </c>
      <c r="R12" s="38" cm="1">
        <f t="array" aca="1" ref="R12" ca="1">TREND($K12:$P12,$K$1:$P$1,R$1)</f>
        <v>1.0171999999999994E-3</v>
      </c>
      <c r="S12" s="38" cm="1">
        <f t="array" aca="1" ref="S12" ca="1">TREND($K12:$P12,$K$1:$P$1,S$1)</f>
        <v>1.0328000000000039E-3</v>
      </c>
      <c r="T12" s="38" cm="1">
        <f t="array" aca="1" ref="T12" ca="1">TREND($K12:$P12,$K$1:$P$1,T$1)</f>
        <v>1.0484000000000014E-3</v>
      </c>
      <c r="U12" s="38" cm="1">
        <f t="array" aca="1" ref="U12" ca="1">TREND($K12:$P12,$K$1:$P$1,U$1)</f>
        <v>1.063999999999999E-3</v>
      </c>
      <c r="V12" s="38" cm="1">
        <f t="array" aca="1" ref="V12" ca="1">TREND($K12:$P12,$K$1:$P$1,V$1)</f>
        <v>1.0796000000000035E-3</v>
      </c>
      <c r="W12" s="38" cm="1">
        <f t="array" aca="1" ref="W12" ca="1">TREND($K12:$P12,$K$1:$P$1,W$1)</f>
        <v>1.095200000000001E-3</v>
      </c>
      <c r="X12" s="38" cm="1">
        <f t="array" aca="1" ref="X12" ca="1">TREND($K12:$P12,$K$1:$P$1,X$1)</f>
        <v>1.1107999999999986E-3</v>
      </c>
      <c r="Y12" s="38" cm="1">
        <f t="array" aca="1" ref="Y12" ca="1">TREND($K12:$P12,$K$1:$P$1,Y$1)</f>
        <v>1.1264000000000031E-3</v>
      </c>
      <c r="Z12" s="38" cm="1">
        <f t="array" aca="1" ref="Z12" ca="1">TREND($K12:$P12,$K$1:$P$1,Z$1)</f>
        <v>1.1420000000000007E-3</v>
      </c>
      <c r="AA12" s="38" cm="1">
        <f t="array" aca="1" ref="AA12" ca="1">TREND($K12:$P12,$K$1:$P$1,AA$1)</f>
        <v>1.1576000000000052E-3</v>
      </c>
      <c r="AB12" s="38" cm="1">
        <f t="array" aca="1" ref="AB12" ca="1">TREND($K12:$P12,$K$1:$P$1,AB$1)</f>
        <v>1.1732000000000027E-3</v>
      </c>
      <c r="AC12" s="38" cm="1">
        <f t="array" aca="1" ref="AC12" ca="1">TREND($K12:$P12,$K$1:$P$1,AC$1)</f>
        <v>1.1888000000000003E-3</v>
      </c>
      <c r="AD12" s="38" cm="1">
        <f t="array" aca="1" ref="AD12" ca="1">TREND($K12:$P12,$K$1:$P$1,AD$1)</f>
        <v>1.2044000000000048E-3</v>
      </c>
      <c r="AE12" s="38" cm="1">
        <f t="array" aca="1" ref="AE12" ca="1">TREND($K12:$P12,$K$1:$P$1,AE$1)</f>
        <v>1.2200000000000023E-3</v>
      </c>
      <c r="AF12" s="38" cm="1">
        <f t="array" aca="1" ref="AF12" ca="1">TREND($K12:$P12,$K$1:$P$1,AF$1)</f>
        <v>1.2355999999999999E-3</v>
      </c>
      <c r="AG12" s="38" cm="1">
        <f t="array" aca="1" ref="AG12" ca="1">TREND($K12:$P12,$K$1:$P$1,AG$1)</f>
        <v>1.2512000000000044E-3</v>
      </c>
      <c r="AH12" s="38" cm="1">
        <f t="array" aca="1" ref="AH12" ca="1">TREND($K12:$P12,$K$1:$P$1,AH$1)</f>
        <v>1.266800000000002E-3</v>
      </c>
      <c r="AI12" s="38" cm="1">
        <f t="array" aca="1" ref="AI12" ca="1">TREND($K12:$P12,$K$1:$P$1,AI$1)</f>
        <v>1.2823999999999995E-3</v>
      </c>
      <c r="AJ12" s="38" cm="1">
        <f t="array" aca="1" ref="AJ12" ca="1">TREND($K12:$P12,$K$1:$P$1,AJ$1)</f>
        <v>1.298000000000004E-3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HOIpTP-industry-NOx</v>
      </c>
    </row>
    <row r="18" spans="1:5" x14ac:dyDescent="0.25">
      <c r="A18" t="s">
        <v>114</v>
      </c>
      <c r="B18" t="str">
        <f ca="1">RIGHT(B17,LEN(B17)-7)</f>
        <v>industry-NOx</v>
      </c>
    </row>
    <row r="19" spans="1:5" x14ac:dyDescent="0.25">
      <c r="A19" t="s">
        <v>115</v>
      </c>
      <c r="B19" t="str">
        <f ca="1">LEFT(B18,FIND("-",B18)-1)</f>
        <v>industry</v>
      </c>
    </row>
    <row r="20" spans="1:5" x14ac:dyDescent="0.25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12</v>
      </c>
      <c r="C22" s="32">
        <f ca="1">VLOOKUP($B$20,Mappings!$A$3:$E$19,COLUMN(Mappings!C$2),FALSE)</f>
        <v>29</v>
      </c>
      <c r="D22" s="32">
        <f ca="1">VLOOKUP($B$20,Mappings!$A$3:$E$19,COLUMN(Mappings!D$2),FALSE)</f>
        <v>46</v>
      </c>
      <c r="E22" s="33">
        <f ca="1">VLOOKUP($B$20,Mappings!$A$3:$E$19,COLUMN(Mappings!E$2),FALSE)</f>
        <v>63</v>
      </c>
    </row>
    <row r="23" spans="1:5" x14ac:dyDescent="0.25">
      <c r="A23" s="34" t="s">
        <v>113</v>
      </c>
      <c r="B23" s="35" t="str">
        <f ca="1">CONCATENATE("Table ",B22)</f>
        <v>Table 12</v>
      </c>
      <c r="C23" s="35" t="str">
        <f ca="1">CONCATENATE("Table ",C22)</f>
        <v>Table 29</v>
      </c>
      <c r="D23" s="35" t="str">
        <f ca="1">CONCATENATE("Table ",D22)</f>
        <v>Table 46</v>
      </c>
      <c r="E23" s="36" t="str">
        <f ca="1">CONCATENATE("Table ",E22)</f>
        <v>Table 63</v>
      </c>
    </row>
    <row r="24" spans="1:5" x14ac:dyDescent="0.25">
      <c r="A24" t="s">
        <v>116</v>
      </c>
      <c r="B24" t="str">
        <f ca="1">REPLACE(B18,1,FIND("-",B18),"")</f>
        <v>NOx</v>
      </c>
    </row>
    <row r="25" spans="1:5" x14ac:dyDescent="0.25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2845-1FFB-4C94-BF0D-65AC3E006328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3.1E-2</v>
      </c>
      <c r="C2" s="38">
        <f ca="1">$B2+($F2-$B2)*(C$1-$B$1)/($F$1-$B$1)</f>
        <v>3.15E-2</v>
      </c>
      <c r="D2" s="38">
        <f t="shared" ref="D2:E12" ca="1" si="0">$B2+($F2-$B2)*(D$1-$B$1)/($F$1-$B$1)</f>
        <v>3.2000000000000001E-2</v>
      </c>
      <c r="E2" s="38">
        <f t="shared" ca="1" si="0"/>
        <v>3.2500000000000001E-2</v>
      </c>
      <c r="F2" s="37" cm="1">
        <f t="array" aca="1" ref="F2" ca="1">INDIRECT(CONCATENATE("'",HLOOKUP(F$1,$B$21:$E$23,3,FALSE),"'!",$B$25,ROW($A2)+3))*About!$A$27</f>
        <v>3.3000000000000002E-2</v>
      </c>
      <c r="G2" s="38">
        <f ca="1">$F2+($K2-$F2)*(G$1-$F$1)/($K$1-$F$1)</f>
        <v>3.3399999999999999E-2</v>
      </c>
      <c r="H2" s="38">
        <f t="shared" ref="H2:J12" ca="1" si="1">$F2+($K2-$F2)*(H$1-$F$1)/($K$1-$F$1)</f>
        <v>3.3800000000000004E-2</v>
      </c>
      <c r="I2" s="38">
        <f t="shared" ca="1" si="1"/>
        <v>3.4200000000000001E-2</v>
      </c>
      <c r="J2" s="38">
        <f t="shared" ca="1" si="1"/>
        <v>3.4600000000000006E-2</v>
      </c>
      <c r="K2" s="37" cm="1">
        <f t="array" aca="1" ref="K2" ca="1">INDIRECT(CONCATENATE("'",HLOOKUP(K$1,$B$21:$E$23,3,FALSE),"'!",$B$25,ROW($A2)+3))*About!$A$27</f>
        <v>3.5000000000000003E-2</v>
      </c>
      <c r="L2" s="38">
        <f ca="1">$K2+($P2-$K2)*(L$1-$K$1)/($P$1-$K$1)</f>
        <v>3.5400000000000001E-2</v>
      </c>
      <c r="M2" s="38">
        <f t="shared" ref="M2:O12" ca="1" si="2">$K2+($P2-$K2)*(M$1-$K$1)/($P$1-$K$1)</f>
        <v>3.5799999999999998E-2</v>
      </c>
      <c r="N2" s="38">
        <f t="shared" ca="1" si="2"/>
        <v>3.6200000000000003E-2</v>
      </c>
      <c r="O2" s="38">
        <f t="shared" ca="1" si="2"/>
        <v>3.6600000000000001E-2</v>
      </c>
      <c r="P2" s="37" cm="1">
        <f t="array" aca="1" ref="P2" ca="1">INDIRECT(CONCATENATE("'",HLOOKUP(P$1,$B$21:$E$23,3,FALSE),"'!",$B$25,ROW($A2)+3))*About!$A$27</f>
        <v>3.6999999999999998E-2</v>
      </c>
      <c r="Q2" s="38" cm="1">
        <f t="array" aca="1" ref="Q2" ca="1">TREND($K2:$P2,$K$1:$P$1,Q$1)</f>
        <v>3.7399999999999989E-2</v>
      </c>
      <c r="R2" s="38" cm="1">
        <f t="array" aca="1" ref="R2" ca="1">TREND($K2:$P2,$K$1:$P$1,R$1)</f>
        <v>3.7800000000000056E-2</v>
      </c>
      <c r="S2" s="38" cm="1">
        <f t="array" aca="1" ref="S2" ca="1">TREND($K2:$P2,$K$1:$P$1,S$1)</f>
        <v>3.8200000000000012E-2</v>
      </c>
      <c r="T2" s="38" cm="1">
        <f t="array" aca="1" ref="T2" ca="1">TREND($K2:$P2,$K$1:$P$1,T$1)</f>
        <v>3.8600000000000079E-2</v>
      </c>
      <c r="U2" s="38" cm="1">
        <f t="array" aca="1" ref="U2" ca="1">TREND($K2:$P2,$K$1:$P$1,U$1)</f>
        <v>3.9000000000000035E-2</v>
      </c>
      <c r="V2" s="38" cm="1">
        <f t="array" aca="1" ref="V2" ca="1">TREND($K2:$P2,$K$1:$P$1,V$1)</f>
        <v>3.9399999999999991E-2</v>
      </c>
      <c r="W2" s="38" cm="1">
        <f t="array" aca="1" ref="W2" ca="1">TREND($K2:$P2,$K$1:$P$1,W$1)</f>
        <v>3.9800000000000058E-2</v>
      </c>
      <c r="X2" s="38" cm="1">
        <f t="array" aca="1" ref="X2" ca="1">TREND($K2:$P2,$K$1:$P$1,X$1)</f>
        <v>4.0200000000000014E-2</v>
      </c>
      <c r="Y2" s="38" cm="1">
        <f t="array" aca="1" ref="Y2" ca="1">TREND($K2:$P2,$K$1:$P$1,Y$1)</f>
        <v>4.0599999999999969E-2</v>
      </c>
      <c r="Z2" s="38" cm="1">
        <f t="array" aca="1" ref="Z2" ca="1">TREND($K2:$P2,$K$1:$P$1,Z$1)</f>
        <v>4.1000000000000036E-2</v>
      </c>
      <c r="AA2" s="38" cm="1">
        <f t="array" aca="1" ref="AA2" ca="1">TREND($K2:$P2,$K$1:$P$1,AA$1)</f>
        <v>4.1399999999999992E-2</v>
      </c>
      <c r="AB2" s="38" cm="1">
        <f t="array" aca="1" ref="AB2" ca="1">TREND($K2:$P2,$K$1:$P$1,AB$1)</f>
        <v>4.1800000000000059E-2</v>
      </c>
      <c r="AC2" s="38" cm="1">
        <f t="array" aca="1" ref="AC2" ca="1">TREND($K2:$P2,$K$1:$P$1,AC$1)</f>
        <v>4.2200000000000015E-2</v>
      </c>
      <c r="AD2" s="38" cm="1">
        <f t="array" aca="1" ref="AD2" ca="1">TREND($K2:$P2,$K$1:$P$1,AD$1)</f>
        <v>4.2599999999999971E-2</v>
      </c>
      <c r="AE2" s="38" cm="1">
        <f t="array" aca="1" ref="AE2" ca="1">TREND($K2:$P2,$K$1:$P$1,AE$1)</f>
        <v>4.3000000000000038E-2</v>
      </c>
      <c r="AF2" s="38" cm="1">
        <f t="array" aca="1" ref="AF2" ca="1">TREND($K2:$P2,$K$1:$P$1,AF$1)</f>
        <v>4.3399999999999994E-2</v>
      </c>
      <c r="AG2" s="38" cm="1">
        <f t="array" aca="1" ref="AG2" ca="1">TREND($K2:$P2,$K$1:$P$1,AG$1)</f>
        <v>4.3800000000000061E-2</v>
      </c>
      <c r="AH2" s="38" cm="1">
        <f t="array" aca="1" ref="AH2" ca="1">TREND($K2:$P2,$K$1:$P$1,AH$1)</f>
        <v>4.4200000000000017E-2</v>
      </c>
      <c r="AI2" s="38" cm="1">
        <f t="array" aca="1" ref="AI2" ca="1">TREND($K2:$P2,$K$1:$P$1,AI$1)</f>
        <v>4.4599999999999973E-2</v>
      </c>
      <c r="AJ2" s="38" cm="1">
        <f t="array" aca="1" ref="AJ2" ca="1">TREND($K2:$P2,$K$1:$P$1,AJ$1)</f>
        <v>4.500000000000004E-2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1.7000000000000001E-2</v>
      </c>
      <c r="C3" s="38">
        <f t="shared" ref="C3:C12" ca="1" si="3">$B3+($F3-$B3)*(C$1-$B$1)/($F$1-$B$1)</f>
        <v>1.7000000000000001E-2</v>
      </c>
      <c r="D3" s="38">
        <f t="shared" ca="1" si="0"/>
        <v>1.7000000000000001E-2</v>
      </c>
      <c r="E3" s="38">
        <f t="shared" ca="1" si="0"/>
        <v>1.7000000000000001E-2</v>
      </c>
      <c r="F3" s="39" cm="1">
        <f t="array" aca="1" ref="F3" ca="1">INDIRECT(CONCATENATE("'",HLOOKUP(F$1,$B$21:$E$23,3,FALSE),"'!",$B$25,ROW($A3)+5))*About!$A$27</f>
        <v>1.7000000000000001E-2</v>
      </c>
      <c r="G3" s="38">
        <f t="shared" ref="G3:G12" ca="1" si="4">$F3+($K3-$F3)*(G$1-$F$1)/($K$1-$F$1)</f>
        <v>1.72E-2</v>
      </c>
      <c r="H3" s="38">
        <f t="shared" ca="1" si="1"/>
        <v>1.7399999999999999E-2</v>
      </c>
      <c r="I3" s="38">
        <f t="shared" ca="1" si="1"/>
        <v>1.7600000000000001E-2</v>
      </c>
      <c r="J3" s="38">
        <f t="shared" ca="1" si="1"/>
        <v>1.78E-2</v>
      </c>
      <c r="K3" s="39" cm="1">
        <f t="array" aca="1" ref="K3" ca="1">INDIRECT(CONCATENATE("'",HLOOKUP(K$1,$B$21:$E$23,3,FALSE),"'!",$B$25,ROW($A3)+5))*About!$A$27</f>
        <v>1.7999999999999999E-2</v>
      </c>
      <c r="L3" s="38">
        <f t="shared" ref="L3:L12" ca="1" si="5">$K3+($P3-$K3)*(L$1-$K$1)/($P$1-$K$1)</f>
        <v>1.8199999999999997E-2</v>
      </c>
      <c r="M3" s="38">
        <f t="shared" ca="1" si="2"/>
        <v>1.84E-2</v>
      </c>
      <c r="N3" s="38">
        <f t="shared" ca="1" si="2"/>
        <v>1.8599999999999998E-2</v>
      </c>
      <c r="O3" s="38">
        <f t="shared" ca="1" si="2"/>
        <v>1.8800000000000001E-2</v>
      </c>
      <c r="P3" s="39" cm="1">
        <f t="array" aca="1" ref="P3" ca="1">INDIRECT(CONCATENATE("'",HLOOKUP(P$1,$B$21:$E$23,3,FALSE),"'!",$B$25,ROW($A3)+5))*About!$A$27</f>
        <v>1.9E-2</v>
      </c>
      <c r="Q3" s="38" cm="1">
        <f t="array" aca="1" ref="Q3" ca="1">TREND($K3:$P3,$K$1:$P$1,Q$1)</f>
        <v>1.9199999999999995E-2</v>
      </c>
      <c r="R3" s="38" cm="1">
        <f t="array" aca="1" ref="R3" ca="1">TREND($K3:$P3,$K$1:$P$1,R$1)</f>
        <v>1.9400000000000028E-2</v>
      </c>
      <c r="S3" s="38" cm="1">
        <f t="array" aca="1" ref="S3" ca="1">TREND($K3:$P3,$K$1:$P$1,S$1)</f>
        <v>1.9600000000000006E-2</v>
      </c>
      <c r="T3" s="38" cm="1">
        <f t="array" aca="1" ref="T3" ca="1">TREND($K3:$P3,$K$1:$P$1,T$1)</f>
        <v>1.9799999999999984E-2</v>
      </c>
      <c r="U3" s="38" cm="1">
        <f t="array" aca="1" ref="U3" ca="1">TREND($K3:$P3,$K$1:$P$1,U$1)</f>
        <v>2.0000000000000018E-2</v>
      </c>
      <c r="V3" s="38" cm="1">
        <f t="array" aca="1" ref="V3" ca="1">TREND($K3:$P3,$K$1:$P$1,V$1)</f>
        <v>2.0199999999999996E-2</v>
      </c>
      <c r="W3" s="38" cm="1">
        <f t="array" aca="1" ref="W3" ca="1">TREND($K3:$P3,$K$1:$P$1,W$1)</f>
        <v>2.0400000000000029E-2</v>
      </c>
      <c r="X3" s="38" cm="1">
        <f t="array" aca="1" ref="X3" ca="1">TREND($K3:$P3,$K$1:$P$1,X$1)</f>
        <v>2.0600000000000007E-2</v>
      </c>
      <c r="Y3" s="38" cm="1">
        <f t="array" aca="1" ref="Y3" ca="1">TREND($K3:$P3,$K$1:$P$1,Y$1)</f>
        <v>2.0799999999999985E-2</v>
      </c>
      <c r="Z3" s="38" cm="1">
        <f t="array" aca="1" ref="Z3" ca="1">TREND($K3:$P3,$K$1:$P$1,Z$1)</f>
        <v>2.1000000000000019E-2</v>
      </c>
      <c r="AA3" s="38" cm="1">
        <f t="array" aca="1" ref="AA3" ca="1">TREND($K3:$P3,$K$1:$P$1,AA$1)</f>
        <v>2.1199999999999997E-2</v>
      </c>
      <c r="AB3" s="38" cm="1">
        <f t="array" aca="1" ref="AB3" ca="1">TREND($K3:$P3,$K$1:$P$1,AB$1)</f>
        <v>2.140000000000003E-2</v>
      </c>
      <c r="AC3" s="38" cm="1">
        <f t="array" aca="1" ref="AC3" ca="1">TREND($K3:$P3,$K$1:$P$1,AC$1)</f>
        <v>2.1600000000000008E-2</v>
      </c>
      <c r="AD3" s="38" cm="1">
        <f t="array" aca="1" ref="AD3" ca="1">TREND($K3:$P3,$K$1:$P$1,AD$1)</f>
        <v>2.1799999999999986E-2</v>
      </c>
      <c r="AE3" s="38" cm="1">
        <f t="array" aca="1" ref="AE3" ca="1">TREND($K3:$P3,$K$1:$P$1,AE$1)</f>
        <v>2.200000000000002E-2</v>
      </c>
      <c r="AF3" s="38" cm="1">
        <f t="array" aca="1" ref="AF3" ca="1">TREND($K3:$P3,$K$1:$P$1,AF$1)</f>
        <v>2.2199999999999998E-2</v>
      </c>
      <c r="AG3" s="38" cm="1">
        <f t="array" aca="1" ref="AG3" ca="1">TREND($K3:$P3,$K$1:$P$1,AG$1)</f>
        <v>2.2400000000000031E-2</v>
      </c>
      <c r="AH3" s="38" cm="1">
        <f t="array" aca="1" ref="AH3" ca="1">TREND($K3:$P3,$K$1:$P$1,AH$1)</f>
        <v>2.2600000000000009E-2</v>
      </c>
      <c r="AI3" s="38" cm="1">
        <f t="array" aca="1" ref="AI3" ca="1">TREND($K3:$P3,$K$1:$P$1,AI$1)</f>
        <v>2.2799999999999987E-2</v>
      </c>
      <c r="AJ3" s="38" cm="1">
        <f t="array" aca="1" ref="AJ3" ca="1">TREND($K3:$P3,$K$1:$P$1,AJ$1)</f>
        <v>2.300000000000002E-2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4.3999999999999997E-2</v>
      </c>
      <c r="C4" s="38">
        <f t="shared" ca="1" si="3"/>
        <v>4.3999999999999997E-2</v>
      </c>
      <c r="D4" s="38">
        <f t="shared" ca="1" si="0"/>
        <v>4.3999999999999997E-2</v>
      </c>
      <c r="E4" s="38">
        <f t="shared" ca="1" si="0"/>
        <v>4.3999999999999997E-2</v>
      </c>
      <c r="F4" s="39" cm="1">
        <f t="array" aca="1" ref="F4" ca="1">INDIRECT(CONCATENATE("'",HLOOKUP(F$1,$B$21:$E$23,3,FALSE),"'!",$B$25,ROW($A4)+5))*About!$A$27</f>
        <v>4.3999999999999997E-2</v>
      </c>
      <c r="G4" s="38">
        <f t="shared" ca="1" si="4"/>
        <v>4.4600000000000001E-2</v>
      </c>
      <c r="H4" s="38">
        <f t="shared" ca="1" si="1"/>
        <v>4.5199999999999997E-2</v>
      </c>
      <c r="I4" s="38">
        <f t="shared" ca="1" si="1"/>
        <v>4.58E-2</v>
      </c>
      <c r="J4" s="38">
        <f t="shared" ca="1" si="1"/>
        <v>4.6399999999999997E-2</v>
      </c>
      <c r="K4" s="39" cm="1">
        <f t="array" aca="1" ref="K4" ca="1">INDIRECT(CONCATENATE("'",HLOOKUP(K$1,$B$21:$E$23,3,FALSE),"'!",$B$25,ROW($A4)+5))*About!$A$27</f>
        <v>4.7E-2</v>
      </c>
      <c r="L4" s="38">
        <f t="shared" ca="1" si="5"/>
        <v>4.7600000000000003E-2</v>
      </c>
      <c r="M4" s="38">
        <f t="shared" ca="1" si="2"/>
        <v>4.82E-2</v>
      </c>
      <c r="N4" s="38">
        <f t="shared" ca="1" si="2"/>
        <v>4.8800000000000003E-2</v>
      </c>
      <c r="O4" s="38">
        <f t="shared" ca="1" si="2"/>
        <v>4.9399999999999999E-2</v>
      </c>
      <c r="P4" s="39" cm="1">
        <f t="array" aca="1" ref="P4" ca="1">INDIRECT(CONCATENATE("'",HLOOKUP(P$1,$B$21:$E$23,3,FALSE),"'!",$B$25,ROW($A4)+5))*About!$A$27</f>
        <v>0.05</v>
      </c>
      <c r="Q4" s="38" cm="1">
        <f t="array" aca="1" ref="Q4" ca="1">TREND($K4:$P4,$K$1:$P$1,Q$1)</f>
        <v>5.0599999999999978E-2</v>
      </c>
      <c r="R4" s="38" cm="1">
        <f t="array" aca="1" ref="R4" ca="1">TREND($K4:$P4,$K$1:$P$1,R$1)</f>
        <v>5.1199999999999912E-2</v>
      </c>
      <c r="S4" s="38" cm="1">
        <f t="array" aca="1" ref="S4" ca="1">TREND($K4:$P4,$K$1:$P$1,S$1)</f>
        <v>5.1800000000000068E-2</v>
      </c>
      <c r="T4" s="38" cm="1">
        <f t="array" aca="1" ref="T4" ca="1">TREND($K4:$P4,$K$1:$P$1,T$1)</f>
        <v>5.2400000000000002E-2</v>
      </c>
      <c r="U4" s="38" cm="1">
        <f t="array" aca="1" ref="U4" ca="1">TREND($K4:$P4,$K$1:$P$1,U$1)</f>
        <v>5.2999999999999936E-2</v>
      </c>
      <c r="V4" s="38" cm="1">
        <f t="array" aca="1" ref="V4" ca="1">TREND($K4:$P4,$K$1:$P$1,V$1)</f>
        <v>5.359999999999987E-2</v>
      </c>
      <c r="W4" s="38" cm="1">
        <f t="array" aca="1" ref="W4" ca="1">TREND($K4:$P4,$K$1:$P$1,W$1)</f>
        <v>5.4200000000000026E-2</v>
      </c>
      <c r="X4" s="38" cm="1">
        <f t="array" aca="1" ref="X4" ca="1">TREND($K4:$P4,$K$1:$P$1,X$1)</f>
        <v>5.479999999999996E-2</v>
      </c>
      <c r="Y4" s="38" cm="1">
        <f t="array" aca="1" ref="Y4" ca="1">TREND($K4:$P4,$K$1:$P$1,Y$1)</f>
        <v>5.5399999999999894E-2</v>
      </c>
      <c r="Z4" s="38" cm="1">
        <f t="array" aca="1" ref="Z4" ca="1">TREND($K4:$P4,$K$1:$P$1,Z$1)</f>
        <v>5.600000000000005E-2</v>
      </c>
      <c r="AA4" s="38" cm="1">
        <f t="array" aca="1" ref="AA4" ca="1">TREND($K4:$P4,$K$1:$P$1,AA$1)</f>
        <v>5.6599999999999984E-2</v>
      </c>
      <c r="AB4" s="38" cm="1">
        <f t="array" aca="1" ref="AB4" ca="1">TREND($K4:$P4,$K$1:$P$1,AB$1)</f>
        <v>5.7199999999999918E-2</v>
      </c>
      <c r="AC4" s="38" cm="1">
        <f t="array" aca="1" ref="AC4" ca="1">TREND($K4:$P4,$K$1:$P$1,AC$1)</f>
        <v>5.7800000000000074E-2</v>
      </c>
      <c r="AD4" s="38" cm="1">
        <f t="array" aca="1" ref="AD4" ca="1">TREND($K4:$P4,$K$1:$P$1,AD$1)</f>
        <v>5.8400000000000007E-2</v>
      </c>
      <c r="AE4" s="38" cm="1">
        <f t="array" aca="1" ref="AE4" ca="1">TREND($K4:$P4,$K$1:$P$1,AE$1)</f>
        <v>5.8999999999999941E-2</v>
      </c>
      <c r="AF4" s="38" cm="1">
        <f t="array" aca="1" ref="AF4" ca="1">TREND($K4:$P4,$K$1:$P$1,AF$1)</f>
        <v>5.9599999999999875E-2</v>
      </c>
      <c r="AG4" s="38" cm="1">
        <f t="array" aca="1" ref="AG4" ca="1">TREND($K4:$P4,$K$1:$P$1,AG$1)</f>
        <v>6.0200000000000031E-2</v>
      </c>
      <c r="AH4" s="38" cm="1">
        <f t="array" aca="1" ref="AH4" ca="1">TREND($K4:$P4,$K$1:$P$1,AH$1)</f>
        <v>6.0799999999999965E-2</v>
      </c>
      <c r="AI4" s="38" cm="1">
        <f t="array" aca="1" ref="AI4" ca="1">TREND($K4:$P4,$K$1:$P$1,AI$1)</f>
        <v>6.1399999999999899E-2</v>
      </c>
      <c r="AJ4" s="38" cm="1">
        <f t="array" aca="1" ref="AJ4" ca="1">TREND($K4:$P4,$K$1:$P$1,AJ$1)</f>
        <v>6.2000000000000055E-2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0.56000000000000005</v>
      </c>
      <c r="C5" s="38">
        <f t="shared" ca="1" si="3"/>
        <v>0.56000000000000005</v>
      </c>
      <c r="D5" s="38">
        <f t="shared" ca="1" si="0"/>
        <v>0.56000000000000005</v>
      </c>
      <c r="E5" s="38">
        <f t="shared" ca="1" si="0"/>
        <v>0.56000000000000005</v>
      </c>
      <c r="F5" s="39" cm="1">
        <f t="array" aca="1" ref="F5" ca="1">INDIRECT(CONCATENATE("'",HLOOKUP(F$1,$B$21:$E$23,3,FALSE),"'!",$B$25,ROW($A5)+5))*About!$A$27</f>
        <v>0.56000000000000005</v>
      </c>
      <c r="G5" s="38">
        <f t="shared" ca="1" si="4"/>
        <v>0.56600000000000006</v>
      </c>
      <c r="H5" s="38">
        <f t="shared" ca="1" si="1"/>
        <v>0.57200000000000006</v>
      </c>
      <c r="I5" s="38">
        <f t="shared" ca="1" si="1"/>
        <v>0.57799999999999996</v>
      </c>
      <c r="J5" s="38">
        <f t="shared" ca="1" si="1"/>
        <v>0.58399999999999996</v>
      </c>
      <c r="K5" s="39" cm="1">
        <f t="array" aca="1" ref="K5" ca="1">INDIRECT(CONCATENATE("'",HLOOKUP(K$1,$B$21:$E$23,3,FALSE),"'!",$B$25,ROW($A5)+5))*About!$A$27</f>
        <v>0.59</v>
      </c>
      <c r="L5" s="38">
        <f t="shared" ca="1" si="5"/>
        <v>0.6</v>
      </c>
      <c r="M5" s="38">
        <f t="shared" ca="1" si="2"/>
        <v>0.61</v>
      </c>
      <c r="N5" s="38">
        <f t="shared" ca="1" si="2"/>
        <v>0.62</v>
      </c>
      <c r="O5" s="38">
        <f t="shared" ca="1" si="2"/>
        <v>0.63</v>
      </c>
      <c r="P5" s="39" cm="1">
        <f t="array" aca="1" ref="P5" ca="1">INDIRECT(CONCATENATE("'",HLOOKUP(P$1,$B$21:$E$23,3,FALSE),"'!",$B$25,ROW($A5)+5))*About!$A$27</f>
        <v>0.64</v>
      </c>
      <c r="Q5" s="38" cm="1">
        <f t="array" aca="1" ref="Q5" ca="1">TREND($K5:$P5,$K$1:$P$1,Q$1)</f>
        <v>0.64999999999999858</v>
      </c>
      <c r="R5" s="38" cm="1">
        <f t="array" aca="1" ref="R5" ca="1">TREND($K5:$P5,$K$1:$P$1,R$1)</f>
        <v>0.66000000000000014</v>
      </c>
      <c r="S5" s="38" cm="1">
        <f t="array" aca="1" ref="S5" ca="1">TREND($K5:$P5,$K$1:$P$1,S$1)</f>
        <v>0.67000000000000171</v>
      </c>
      <c r="T5" s="38" cm="1">
        <f t="array" aca="1" ref="T5" ca="1">TREND($K5:$P5,$K$1:$P$1,T$1)</f>
        <v>0.67999999999999972</v>
      </c>
      <c r="U5" s="38" cm="1">
        <f t="array" aca="1" ref="U5" ca="1">TREND($K5:$P5,$K$1:$P$1,U$1)</f>
        <v>0.69000000000000128</v>
      </c>
      <c r="V5" s="38" cm="1">
        <f t="array" aca="1" ref="V5" ca="1">TREND($K5:$P5,$K$1:$P$1,V$1)</f>
        <v>0.69999999999999929</v>
      </c>
      <c r="W5" s="38" cm="1">
        <f t="array" aca="1" ref="W5" ca="1">TREND($K5:$P5,$K$1:$P$1,W$1)</f>
        <v>0.71000000000000085</v>
      </c>
      <c r="X5" s="38" cm="1">
        <f t="array" aca="1" ref="X5" ca="1">TREND($K5:$P5,$K$1:$P$1,X$1)</f>
        <v>0.71999999999999886</v>
      </c>
      <c r="Y5" s="38" cm="1">
        <f t="array" aca="1" ref="Y5" ca="1">TREND($K5:$P5,$K$1:$P$1,Y$1)</f>
        <v>0.73000000000000043</v>
      </c>
      <c r="Z5" s="38" cm="1">
        <f t="array" aca="1" ref="Z5" ca="1">TREND($K5:$P5,$K$1:$P$1,Z$1)</f>
        <v>0.74000000000000199</v>
      </c>
      <c r="AA5" s="38" cm="1">
        <f t="array" aca="1" ref="AA5" ca="1">TREND($K5:$P5,$K$1:$P$1,AA$1)</f>
        <v>0.75</v>
      </c>
      <c r="AB5" s="38" cm="1">
        <f t="array" aca="1" ref="AB5" ca="1">TREND($K5:$P5,$K$1:$P$1,AB$1)</f>
        <v>0.76000000000000156</v>
      </c>
      <c r="AC5" s="38" cm="1">
        <f t="array" aca="1" ref="AC5" ca="1">TREND($K5:$P5,$K$1:$P$1,AC$1)</f>
        <v>0.76999999999999957</v>
      </c>
      <c r="AD5" s="38" cm="1">
        <f t="array" aca="1" ref="AD5" ca="1">TREND($K5:$P5,$K$1:$P$1,AD$1)</f>
        <v>0.78000000000000114</v>
      </c>
      <c r="AE5" s="38" cm="1">
        <f t="array" aca="1" ref="AE5" ca="1">TREND($K5:$P5,$K$1:$P$1,AE$1)</f>
        <v>0.78999999999999915</v>
      </c>
      <c r="AF5" s="38" cm="1">
        <f t="array" aca="1" ref="AF5" ca="1">TREND($K5:$P5,$K$1:$P$1,AF$1)</f>
        <v>0.80000000000000071</v>
      </c>
      <c r="AG5" s="38" cm="1">
        <f t="array" aca="1" ref="AG5" ca="1">TREND($K5:$P5,$K$1:$P$1,AG$1)</f>
        <v>0.80999999999999872</v>
      </c>
      <c r="AH5" s="38" cm="1">
        <f t="array" aca="1" ref="AH5" ca="1">TREND($K5:$P5,$K$1:$P$1,AH$1)</f>
        <v>0.82000000000000028</v>
      </c>
      <c r="AI5" s="38" cm="1">
        <f t="array" aca="1" ref="AI5" ca="1">TREND($K5:$P5,$K$1:$P$1,AI$1)</f>
        <v>0.83000000000000185</v>
      </c>
      <c r="AJ5" s="38" cm="1">
        <f t="array" aca="1" ref="AJ5" ca="1">TREND($K5:$P5,$K$1:$P$1,AJ$1)</f>
        <v>0.83999999999999986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0.8</v>
      </c>
      <c r="C6" s="38">
        <f t="shared" ca="1" si="3"/>
        <v>0.80249999999999999</v>
      </c>
      <c r="D6" s="38">
        <f t="shared" ca="1" si="0"/>
        <v>0.80500000000000005</v>
      </c>
      <c r="E6" s="38">
        <f t="shared" ca="1" si="0"/>
        <v>0.80750000000000011</v>
      </c>
      <c r="F6" s="39" cm="1">
        <f t="array" aca="1" ref="F6" ca="1">INDIRECT(CONCATENATE("'",HLOOKUP(F$1,$B$21:$E$23,3,FALSE),"'!",$B$25,ROW($A6)+5))*About!$A$27</f>
        <v>0.81</v>
      </c>
      <c r="G6" s="38">
        <f t="shared" ca="1" si="4"/>
        <v>0.81600000000000006</v>
      </c>
      <c r="H6" s="38">
        <f t="shared" ca="1" si="1"/>
        <v>0.82200000000000006</v>
      </c>
      <c r="I6" s="38">
        <f t="shared" ca="1" si="1"/>
        <v>0.82799999999999996</v>
      </c>
      <c r="J6" s="38">
        <f t="shared" ca="1" si="1"/>
        <v>0.83399999999999996</v>
      </c>
      <c r="K6" s="39" cm="1">
        <f t="array" aca="1" ref="K6" ca="1">INDIRECT(CONCATENATE("'",HLOOKUP(K$1,$B$21:$E$23,3,FALSE),"'!",$B$25,ROW($A6)+5))*About!$A$27</f>
        <v>0.84</v>
      </c>
      <c r="L6" s="38">
        <f t="shared" ca="1" si="5"/>
        <v>0.85599999999999998</v>
      </c>
      <c r="M6" s="38">
        <f t="shared" ca="1" si="2"/>
        <v>0.872</v>
      </c>
      <c r="N6" s="38">
        <f t="shared" ca="1" si="2"/>
        <v>0.88800000000000001</v>
      </c>
      <c r="O6" s="38">
        <f t="shared" ca="1" si="2"/>
        <v>0.90400000000000003</v>
      </c>
      <c r="P6" s="39" cm="1">
        <f t="array" aca="1" ref="P6" ca="1">INDIRECT(CONCATENATE("'",HLOOKUP(P$1,$B$21:$E$23,3,FALSE),"'!",$B$25,ROW($A6)+5))*About!$A$27</f>
        <v>0.92</v>
      </c>
      <c r="Q6" s="38" cm="1">
        <f t="array" aca="1" ref="Q6" ca="1">TREND($K6:$P6,$K$1:$P$1,Q$1)</f>
        <v>0.9360000000000035</v>
      </c>
      <c r="R6" s="38" cm="1">
        <f t="array" aca="1" ref="R6" ca="1">TREND($K6:$P6,$K$1:$P$1,R$1)</f>
        <v>0.95200000000000173</v>
      </c>
      <c r="S6" s="38" cm="1">
        <f t="array" aca="1" ref="S6" ca="1">TREND($K6:$P6,$K$1:$P$1,S$1)</f>
        <v>0.96799999999999997</v>
      </c>
      <c r="T6" s="38" cm="1">
        <f t="array" aca="1" ref="T6" ca="1">TREND($K6:$P6,$K$1:$P$1,T$1)</f>
        <v>0.98399999999999821</v>
      </c>
      <c r="U6" s="38" cm="1">
        <f t="array" aca="1" ref="U6" ca="1">TREND($K6:$P6,$K$1:$P$1,U$1)</f>
        <v>1.0000000000000036</v>
      </c>
      <c r="V6" s="38" cm="1">
        <f t="array" aca="1" ref="V6" ca="1">TREND($K6:$P6,$K$1:$P$1,V$1)</f>
        <v>1.0160000000000018</v>
      </c>
      <c r="W6" s="38" cm="1">
        <f t="array" aca="1" ref="W6" ca="1">TREND($K6:$P6,$K$1:$P$1,W$1)</f>
        <v>1.032</v>
      </c>
      <c r="X6" s="38" cm="1">
        <f t="array" aca="1" ref="X6" ca="1">TREND($K6:$P6,$K$1:$P$1,X$1)</f>
        <v>1.0480000000000054</v>
      </c>
      <c r="Y6" s="38" cm="1">
        <f t="array" aca="1" ref="Y6" ca="1">TREND($K6:$P6,$K$1:$P$1,Y$1)</f>
        <v>1.0640000000000036</v>
      </c>
      <c r="Z6" s="38" cm="1">
        <f t="array" aca="1" ref="Z6" ca="1">TREND($K6:$P6,$K$1:$P$1,Z$1)</f>
        <v>1.0800000000000018</v>
      </c>
      <c r="AA6" s="38" cm="1">
        <f t="array" aca="1" ref="AA6" ca="1">TREND($K6:$P6,$K$1:$P$1,AA$1)</f>
        <v>1.0960000000000001</v>
      </c>
      <c r="AB6" s="38" cm="1">
        <f t="array" aca="1" ref="AB6" ca="1">TREND($K6:$P6,$K$1:$P$1,AB$1)</f>
        <v>1.1119999999999983</v>
      </c>
      <c r="AC6" s="38" cm="1">
        <f t="array" aca="1" ref="AC6" ca="1">TREND($K6:$P6,$K$1:$P$1,AC$1)</f>
        <v>1.1280000000000037</v>
      </c>
      <c r="AD6" s="38" cm="1">
        <f t="array" aca="1" ref="AD6" ca="1">TREND($K6:$P6,$K$1:$P$1,AD$1)</f>
        <v>1.1440000000000019</v>
      </c>
      <c r="AE6" s="38" cm="1">
        <f t="array" aca="1" ref="AE6" ca="1">TREND($K6:$P6,$K$1:$P$1,AE$1)</f>
        <v>1.1600000000000001</v>
      </c>
      <c r="AF6" s="38" cm="1">
        <f t="array" aca="1" ref="AF6" ca="1">TREND($K6:$P6,$K$1:$P$1,AF$1)</f>
        <v>1.1760000000000055</v>
      </c>
      <c r="AG6" s="38" cm="1">
        <f t="array" aca="1" ref="AG6" ca="1">TREND($K6:$P6,$K$1:$P$1,AG$1)</f>
        <v>1.1920000000000037</v>
      </c>
      <c r="AH6" s="38" cm="1">
        <f t="array" aca="1" ref="AH6" ca="1">TREND($K6:$P6,$K$1:$P$1,AH$1)</f>
        <v>1.208000000000002</v>
      </c>
      <c r="AI6" s="38" cm="1">
        <f t="array" aca="1" ref="AI6" ca="1">TREND($K6:$P6,$K$1:$P$1,AI$1)</f>
        <v>1.2240000000000002</v>
      </c>
      <c r="AJ6" s="38" cm="1">
        <f t="array" aca="1" ref="AJ6" ca="1">TREND($K6:$P6,$K$1:$P$1,AJ$1)</f>
        <v>1.2399999999999984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24</v>
      </c>
      <c r="C7" s="38">
        <f t="shared" ca="1" si="3"/>
        <v>24</v>
      </c>
      <c r="D7" s="38">
        <f t="shared" ca="1" si="0"/>
        <v>24</v>
      </c>
      <c r="E7" s="38">
        <f t="shared" ca="1" si="0"/>
        <v>24</v>
      </c>
      <c r="F7" s="39" cm="1">
        <f t="array" aca="1" ref="F7" ca="1">INDIRECT(CONCATENATE("'",HLOOKUP(F$1,$B$21:$E$23,3,FALSE),"'!",$B$25,ROW($A7)+5))*About!$A$27</f>
        <v>24</v>
      </c>
      <c r="G7" s="38">
        <f t="shared" ca="1" si="4"/>
        <v>24.2</v>
      </c>
      <c r="H7" s="38">
        <f t="shared" ca="1" si="1"/>
        <v>24.4</v>
      </c>
      <c r="I7" s="38">
        <f t="shared" ca="1" si="1"/>
        <v>24.6</v>
      </c>
      <c r="J7" s="38">
        <f t="shared" ca="1" si="1"/>
        <v>24.8</v>
      </c>
      <c r="K7" s="39" cm="1">
        <f t="array" aca="1" ref="K7" ca="1">INDIRECT(CONCATENATE("'",HLOOKUP(K$1,$B$21:$E$23,3,FALSE),"'!",$B$25,ROW($A7)+5))*About!$A$27</f>
        <v>25</v>
      </c>
      <c r="L7" s="38">
        <f t="shared" ca="1" si="5"/>
        <v>25</v>
      </c>
      <c r="M7" s="38">
        <f t="shared" ca="1" si="2"/>
        <v>25</v>
      </c>
      <c r="N7" s="38">
        <f t="shared" ca="1" si="2"/>
        <v>25</v>
      </c>
      <c r="O7" s="38">
        <f t="shared" ca="1" si="2"/>
        <v>25</v>
      </c>
      <c r="P7" s="39" cm="1">
        <f t="array" aca="1" ref="P7" ca="1">INDIRECT(CONCATENATE("'",HLOOKUP(P$1,$B$21:$E$23,3,FALSE),"'!",$B$25,ROW($A7)+5))*About!$A$27</f>
        <v>25</v>
      </c>
      <c r="Q7" s="38" cm="1">
        <f t="array" aca="1" ref="Q7" ca="1">TREND($K7:$P7,$K$1:$P$1,Q$1)</f>
        <v>25</v>
      </c>
      <c r="R7" s="38" cm="1">
        <f t="array" aca="1" ref="R7" ca="1">TREND($K7:$P7,$K$1:$P$1,R$1)</f>
        <v>25</v>
      </c>
      <c r="S7" s="38" cm="1">
        <f t="array" aca="1" ref="S7" ca="1">TREND($K7:$P7,$K$1:$P$1,S$1)</f>
        <v>25</v>
      </c>
      <c r="T7" s="38" cm="1">
        <f t="array" aca="1" ref="T7" ca="1">TREND($K7:$P7,$K$1:$P$1,T$1)</f>
        <v>25</v>
      </c>
      <c r="U7" s="38" cm="1">
        <f t="array" aca="1" ref="U7" ca="1">TREND($K7:$P7,$K$1:$P$1,U$1)</f>
        <v>25</v>
      </c>
      <c r="V7" s="38" cm="1">
        <f t="array" aca="1" ref="V7" ca="1">TREND($K7:$P7,$K$1:$P$1,V$1)</f>
        <v>25</v>
      </c>
      <c r="W7" s="38" cm="1">
        <f t="array" aca="1" ref="W7" ca="1">TREND($K7:$P7,$K$1:$P$1,W$1)</f>
        <v>25</v>
      </c>
      <c r="X7" s="38" cm="1">
        <f t="array" aca="1" ref="X7" ca="1">TREND($K7:$P7,$K$1:$P$1,X$1)</f>
        <v>25</v>
      </c>
      <c r="Y7" s="38" cm="1">
        <f t="array" aca="1" ref="Y7" ca="1">TREND($K7:$P7,$K$1:$P$1,Y$1)</f>
        <v>25</v>
      </c>
      <c r="Z7" s="38" cm="1">
        <f t="array" aca="1" ref="Z7" ca="1">TREND($K7:$P7,$K$1:$P$1,Z$1)</f>
        <v>25</v>
      </c>
      <c r="AA7" s="38" cm="1">
        <f t="array" aca="1" ref="AA7" ca="1">TREND($K7:$P7,$K$1:$P$1,AA$1)</f>
        <v>25</v>
      </c>
      <c r="AB7" s="38" cm="1">
        <f t="array" aca="1" ref="AB7" ca="1">TREND($K7:$P7,$K$1:$P$1,AB$1)</f>
        <v>25</v>
      </c>
      <c r="AC7" s="38" cm="1">
        <f t="array" aca="1" ref="AC7" ca="1">TREND($K7:$P7,$K$1:$P$1,AC$1)</f>
        <v>25</v>
      </c>
      <c r="AD7" s="38" cm="1">
        <f t="array" aca="1" ref="AD7" ca="1">TREND($K7:$P7,$K$1:$P$1,AD$1)</f>
        <v>25</v>
      </c>
      <c r="AE7" s="38" cm="1">
        <f t="array" aca="1" ref="AE7" ca="1">TREND($K7:$P7,$K$1:$P$1,AE$1)</f>
        <v>25</v>
      </c>
      <c r="AF7" s="38" cm="1">
        <f t="array" aca="1" ref="AF7" ca="1">TREND($K7:$P7,$K$1:$P$1,AF$1)</f>
        <v>25</v>
      </c>
      <c r="AG7" s="38" cm="1">
        <f t="array" aca="1" ref="AG7" ca="1">TREND($K7:$P7,$K$1:$P$1,AG$1)</f>
        <v>25</v>
      </c>
      <c r="AH7" s="38" cm="1">
        <f t="array" aca="1" ref="AH7" ca="1">TREND($K7:$P7,$K$1:$P$1,AH$1)</f>
        <v>25</v>
      </c>
      <c r="AI7" s="38" cm="1">
        <f t="array" aca="1" ref="AI7" ca="1">TREND($K7:$P7,$K$1:$P$1,AI$1)</f>
        <v>25</v>
      </c>
      <c r="AJ7" s="38" cm="1">
        <f t="array" aca="1" ref="AJ7" ca="1">TREND($K7:$P7,$K$1:$P$1,AJ$1)</f>
        <v>25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4</v>
      </c>
      <c r="C8" s="38">
        <f t="shared" ca="1" si="3"/>
        <v>4.0250000000000004</v>
      </c>
      <c r="D8" s="38">
        <f t="shared" ca="1" si="0"/>
        <v>4.05</v>
      </c>
      <c r="E8" s="38">
        <f t="shared" ca="1" si="0"/>
        <v>4.0749999999999993</v>
      </c>
      <c r="F8" s="39" cm="1">
        <f t="array" aca="1" ref="F8" ca="1">INDIRECT(CONCATENATE("'",HLOOKUP(F$1,$B$21:$E$23,3,FALSE),"'!",$B$25,ROW($A8)+5))*About!$A$27</f>
        <v>4.0999999999999996</v>
      </c>
      <c r="G8" s="38">
        <f t="shared" ca="1" si="4"/>
        <v>4.12</v>
      </c>
      <c r="H8" s="38">
        <f t="shared" ca="1" si="1"/>
        <v>4.1399999999999997</v>
      </c>
      <c r="I8" s="38">
        <f t="shared" ca="1" si="1"/>
        <v>4.16</v>
      </c>
      <c r="J8" s="38">
        <f t="shared" ca="1" si="1"/>
        <v>4.18</v>
      </c>
      <c r="K8" s="39" cm="1">
        <f t="array" aca="1" ref="K8" ca="1">INDIRECT(CONCATENATE("'",HLOOKUP(K$1,$B$21:$E$23,3,FALSE),"'!",$B$25,ROW($A8)+5))*About!$A$27</f>
        <v>4.2</v>
      </c>
      <c r="L8" s="38">
        <f t="shared" ca="1" si="5"/>
        <v>4.22</v>
      </c>
      <c r="M8" s="38">
        <f t="shared" ca="1" si="2"/>
        <v>4.24</v>
      </c>
      <c r="N8" s="38">
        <f t="shared" ca="1" si="2"/>
        <v>4.26</v>
      </c>
      <c r="O8" s="38">
        <f t="shared" ca="1" si="2"/>
        <v>4.28</v>
      </c>
      <c r="P8" s="39" cm="1">
        <f t="array" aca="1" ref="P8" ca="1">INDIRECT(CONCATENATE("'",HLOOKUP(P$1,$B$21:$E$23,3,FALSE),"'!",$B$25,ROW($A8)+5))*About!$A$27</f>
        <v>4.3</v>
      </c>
      <c r="Q8" s="38" cm="1">
        <f t="array" aca="1" ref="Q8" ca="1">TREND($K8:$P8,$K$1:$P$1,Q$1)</f>
        <v>4.32</v>
      </c>
      <c r="R8" s="38" cm="1">
        <f t="array" aca="1" ref="R8" ca="1">TREND($K8:$P8,$K$1:$P$1,R$1)</f>
        <v>4.3399999999999963</v>
      </c>
      <c r="S8" s="38" cm="1">
        <f t="array" aca="1" ref="S8" ca="1">TREND($K8:$P8,$K$1:$P$1,S$1)</f>
        <v>4.3599999999999994</v>
      </c>
      <c r="T8" s="38" cm="1">
        <f t="array" aca="1" ref="T8" ca="1">TREND($K8:$P8,$K$1:$P$1,T$1)</f>
        <v>4.3799999999999955</v>
      </c>
      <c r="U8" s="38" cm="1">
        <f t="array" aca="1" ref="U8" ca="1">TREND($K8:$P8,$K$1:$P$1,U$1)</f>
        <v>4.3999999999999986</v>
      </c>
      <c r="V8" s="38" cm="1">
        <f t="array" aca="1" ref="V8" ca="1">TREND($K8:$P8,$K$1:$P$1,V$1)</f>
        <v>4.4199999999999946</v>
      </c>
      <c r="W8" s="38" cm="1">
        <f t="array" aca="1" ref="W8" ca="1">TREND($K8:$P8,$K$1:$P$1,W$1)</f>
        <v>4.4399999999999977</v>
      </c>
      <c r="X8" s="38" cm="1">
        <f t="array" aca="1" ref="X8" ca="1">TREND($K8:$P8,$K$1:$P$1,X$1)</f>
        <v>4.4599999999999937</v>
      </c>
      <c r="Y8" s="38" cm="1">
        <f t="array" aca="1" ref="Y8" ca="1">TREND($K8:$P8,$K$1:$P$1,Y$1)</f>
        <v>4.4799999999999969</v>
      </c>
      <c r="Z8" s="38" cm="1">
        <f t="array" aca="1" ref="Z8" ca="1">TREND($K8:$P8,$K$1:$P$1,Z$1)</f>
        <v>4.5</v>
      </c>
      <c r="AA8" s="38" cm="1">
        <f t="array" aca="1" ref="AA8" ca="1">TREND($K8:$P8,$K$1:$P$1,AA$1)</f>
        <v>4.519999999999996</v>
      </c>
      <c r="AB8" s="38" cm="1">
        <f t="array" aca="1" ref="AB8" ca="1">TREND($K8:$P8,$K$1:$P$1,AB$1)</f>
        <v>4.5399999999999991</v>
      </c>
      <c r="AC8" s="38" cm="1">
        <f t="array" aca="1" ref="AC8" ca="1">TREND($K8:$P8,$K$1:$P$1,AC$1)</f>
        <v>4.5599999999999952</v>
      </c>
      <c r="AD8" s="38" cm="1">
        <f t="array" aca="1" ref="AD8" ca="1">TREND($K8:$P8,$K$1:$P$1,AD$1)</f>
        <v>4.5799999999999983</v>
      </c>
      <c r="AE8" s="38" cm="1">
        <f t="array" aca="1" ref="AE8" ca="1">TREND($K8:$P8,$K$1:$P$1,AE$1)</f>
        <v>4.5999999999999943</v>
      </c>
      <c r="AF8" s="38" cm="1">
        <f t="array" aca="1" ref="AF8" ca="1">TREND($K8:$P8,$K$1:$P$1,AF$1)</f>
        <v>4.6199999999999974</v>
      </c>
      <c r="AG8" s="38" cm="1">
        <f t="array" aca="1" ref="AG8" ca="1">TREND($K8:$P8,$K$1:$P$1,AG$1)</f>
        <v>4.6399999999999935</v>
      </c>
      <c r="AH8" s="38" cm="1">
        <f t="array" aca="1" ref="AH8" ca="1">TREND($K8:$P8,$K$1:$P$1,AH$1)</f>
        <v>4.6599999999999966</v>
      </c>
      <c r="AI8" s="38" cm="1">
        <f t="array" aca="1" ref="AI8" ca="1">TREND($K8:$P8,$K$1:$P$1,AI$1)</f>
        <v>4.68</v>
      </c>
      <c r="AJ8" s="38" cm="1">
        <f t="array" aca="1" ref="AJ8" ca="1">TREND($K8:$P8,$K$1:$P$1,AJ$1)</f>
        <v>4.6999999999999957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0.94</v>
      </c>
      <c r="C9" s="38">
        <f t="shared" ca="1" si="3"/>
        <v>0.94</v>
      </c>
      <c r="D9" s="38">
        <f t="shared" ca="1" si="0"/>
        <v>0.94</v>
      </c>
      <c r="E9" s="38">
        <f t="shared" ca="1" si="0"/>
        <v>0.94</v>
      </c>
      <c r="F9" s="39" cm="1">
        <f t="array" aca="1" ref="F9" ca="1">INDIRECT(CONCATENATE("'",HLOOKUP(F$1,$B$21:$E$23,3,FALSE),"'!",$B$25,ROW($A9)+5))*About!$A$27</f>
        <v>0.94</v>
      </c>
      <c r="G9" s="38">
        <f t="shared" ca="1" si="4"/>
        <v>0.95</v>
      </c>
      <c r="H9" s="38">
        <f t="shared" ca="1" si="1"/>
        <v>0.96</v>
      </c>
      <c r="I9" s="38">
        <f t="shared" ca="1" si="1"/>
        <v>0.97</v>
      </c>
      <c r="J9" s="38">
        <f t="shared" ca="1" si="1"/>
        <v>0.98</v>
      </c>
      <c r="K9" s="39" cm="1">
        <f t="array" aca="1" ref="K9" ca="1">INDIRECT(CONCATENATE("'",HLOOKUP(K$1,$B$21:$E$23,3,FALSE),"'!",$B$25,ROW($A9)+5))*About!$A$27</f>
        <v>0.99</v>
      </c>
      <c r="L9" s="38">
        <f t="shared" ca="1" si="5"/>
        <v>1.012</v>
      </c>
      <c r="M9" s="38">
        <f t="shared" ca="1" si="2"/>
        <v>1.034</v>
      </c>
      <c r="N9" s="38">
        <f t="shared" ca="1" si="2"/>
        <v>1.056</v>
      </c>
      <c r="O9" s="38">
        <f t="shared" ca="1" si="2"/>
        <v>1.0780000000000001</v>
      </c>
      <c r="P9" s="39" cm="1">
        <f t="array" aca="1" ref="P9" ca="1">INDIRECT(CONCATENATE("'",HLOOKUP(P$1,$B$21:$E$23,3,FALSE),"'!",$B$25,ROW($A9)+5))*About!$A$27</f>
        <v>1.1000000000000001</v>
      </c>
      <c r="Q9" s="38" cm="1">
        <f t="array" aca="1" ref="Q9" ca="1">TREND($K9:$P9,$K$1:$P$1,Q$1)</f>
        <v>1.1219999999999999</v>
      </c>
      <c r="R9" s="38" cm="1">
        <f t="array" aca="1" ref="R9" ca="1">TREND($K9:$P9,$K$1:$P$1,R$1)</f>
        <v>1.1439999999999984</v>
      </c>
      <c r="S9" s="38" cm="1">
        <f t="array" aca="1" ref="S9" ca="1">TREND($K9:$P9,$K$1:$P$1,S$1)</f>
        <v>1.1660000000000039</v>
      </c>
      <c r="T9" s="38" cm="1">
        <f t="array" aca="1" ref="T9" ca="1">TREND($K9:$P9,$K$1:$P$1,T$1)</f>
        <v>1.1880000000000024</v>
      </c>
      <c r="U9" s="38" cm="1">
        <f t="array" aca="1" ref="U9" ca="1">TREND($K9:$P9,$K$1:$P$1,U$1)</f>
        <v>1.2100000000000009</v>
      </c>
      <c r="V9" s="38" cm="1">
        <f t="array" aca="1" ref="V9" ca="1">TREND($K9:$P9,$K$1:$P$1,V$1)</f>
        <v>1.2319999999999993</v>
      </c>
      <c r="W9" s="38" cm="1">
        <f t="array" aca="1" ref="W9" ca="1">TREND($K9:$P9,$K$1:$P$1,W$1)</f>
        <v>1.2540000000000049</v>
      </c>
      <c r="X9" s="38" cm="1">
        <f t="array" aca="1" ref="X9" ca="1">TREND($K9:$P9,$K$1:$P$1,X$1)</f>
        <v>1.2760000000000034</v>
      </c>
      <c r="Y9" s="38" cm="1">
        <f t="array" aca="1" ref="Y9" ca="1">TREND($K9:$P9,$K$1:$P$1,Y$1)</f>
        <v>1.2980000000000018</v>
      </c>
      <c r="Z9" s="38" cm="1">
        <f t="array" aca="1" ref="Z9" ca="1">TREND($K9:$P9,$K$1:$P$1,Z$1)</f>
        <v>1.3200000000000003</v>
      </c>
      <c r="AA9" s="38" cm="1">
        <f t="array" aca="1" ref="AA9" ca="1">TREND($K9:$P9,$K$1:$P$1,AA$1)</f>
        <v>1.3419999999999987</v>
      </c>
      <c r="AB9" s="38" cm="1">
        <f t="array" aca="1" ref="AB9" ca="1">TREND($K9:$P9,$K$1:$P$1,AB$1)</f>
        <v>1.3640000000000043</v>
      </c>
      <c r="AC9" s="38" cm="1">
        <f t="array" aca="1" ref="AC9" ca="1">TREND($K9:$P9,$K$1:$P$1,AC$1)</f>
        <v>1.3860000000000028</v>
      </c>
      <c r="AD9" s="38" cm="1">
        <f t="array" aca="1" ref="AD9" ca="1">TREND($K9:$P9,$K$1:$P$1,AD$1)</f>
        <v>1.4080000000000013</v>
      </c>
      <c r="AE9" s="38" cm="1">
        <f t="array" aca="1" ref="AE9" ca="1">TREND($K9:$P9,$K$1:$P$1,AE$1)</f>
        <v>1.4299999999999997</v>
      </c>
      <c r="AF9" s="38" cm="1">
        <f t="array" aca="1" ref="AF9" ca="1">TREND($K9:$P9,$K$1:$P$1,AF$1)</f>
        <v>1.4520000000000053</v>
      </c>
      <c r="AG9" s="38" cm="1">
        <f t="array" aca="1" ref="AG9" ca="1">TREND($K9:$P9,$K$1:$P$1,AG$1)</f>
        <v>1.4740000000000038</v>
      </c>
      <c r="AH9" s="38" cm="1">
        <f t="array" aca="1" ref="AH9" ca="1">TREND($K9:$P9,$K$1:$P$1,AH$1)</f>
        <v>1.4960000000000022</v>
      </c>
      <c r="AI9" s="38" cm="1">
        <f t="array" aca="1" ref="AI9" ca="1">TREND($K9:$P9,$K$1:$P$1,AI$1)</f>
        <v>1.5180000000000007</v>
      </c>
      <c r="AJ9" s="38" cm="1">
        <f t="array" aca="1" ref="AJ9" ca="1">TREND($K9:$P9,$K$1:$P$1,AJ$1)</f>
        <v>1.5399999999999991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7.6E-3</v>
      </c>
      <c r="C10" s="38">
        <f t="shared" ca="1" si="3"/>
        <v>7.7499999999999999E-3</v>
      </c>
      <c r="D10" s="38">
        <f t="shared" ca="1" si="0"/>
        <v>7.9000000000000008E-3</v>
      </c>
      <c r="E10" s="38">
        <f t="shared" ca="1" si="0"/>
        <v>8.0499999999999999E-3</v>
      </c>
      <c r="F10" s="39" cm="1">
        <f t="array" aca="1" ref="F10" ca="1">INDIRECT(CONCATENATE("'",HLOOKUP(F$1,$B$21:$E$23,3,FALSE),"'!",$B$25,ROW($A10)+5))*About!$A$27</f>
        <v>8.2000000000000007E-3</v>
      </c>
      <c r="G10" s="38">
        <f t="shared" ca="1" si="4"/>
        <v>8.3800000000000003E-3</v>
      </c>
      <c r="H10" s="38">
        <f t="shared" ca="1" si="1"/>
        <v>8.5599999999999999E-3</v>
      </c>
      <c r="I10" s="38">
        <f t="shared" ca="1" si="1"/>
        <v>8.7400000000000012E-3</v>
      </c>
      <c r="J10" s="38">
        <f t="shared" ca="1" si="1"/>
        <v>8.9200000000000008E-3</v>
      </c>
      <c r="K10" s="39" cm="1">
        <f t="array" aca="1" ref="K10" ca="1">INDIRECT(CONCATENATE("'",HLOOKUP(K$1,$B$21:$E$23,3,FALSE),"'!",$B$25,ROW($A10)+5))*About!$A$27</f>
        <v>9.1000000000000004E-3</v>
      </c>
      <c r="L10" s="38">
        <f t="shared" ca="1" si="5"/>
        <v>9.2800000000000001E-3</v>
      </c>
      <c r="M10" s="38">
        <f t="shared" ca="1" si="2"/>
        <v>9.4599999999999997E-3</v>
      </c>
      <c r="N10" s="38">
        <f t="shared" ca="1" si="2"/>
        <v>9.640000000000001E-3</v>
      </c>
      <c r="O10" s="38">
        <f t="shared" ca="1" si="2"/>
        <v>9.8200000000000006E-3</v>
      </c>
      <c r="P10" s="39" cm="1">
        <f t="array" aca="1" ref="P10" ca="1">INDIRECT(CONCATENATE("'",HLOOKUP(P$1,$B$21:$E$23,3,FALSE),"'!",$B$25,ROW($A10)+5))*About!$A$27</f>
        <v>0.01</v>
      </c>
      <c r="Q10" s="38" cm="1">
        <f t="array" aca="1" ref="Q10" ca="1">TREND($K10:$P10,$K$1:$P$1,Q$1)</f>
        <v>1.0180000000000022E-2</v>
      </c>
      <c r="R10" s="38" cm="1">
        <f t="array" aca="1" ref="R10" ca="1">TREND($K10:$P10,$K$1:$P$1,R$1)</f>
        <v>1.0360000000000036E-2</v>
      </c>
      <c r="S10" s="38" cm="1">
        <f t="array" aca="1" ref="S10" ca="1">TREND($K10:$P10,$K$1:$P$1,S$1)</f>
        <v>1.0540000000000049E-2</v>
      </c>
      <c r="T10" s="38" cm="1">
        <f t="array" aca="1" ref="T10" ca="1">TREND($K10:$P10,$K$1:$P$1,T$1)</f>
        <v>1.0720000000000007E-2</v>
      </c>
      <c r="U10" s="38" cm="1">
        <f t="array" aca="1" ref="U10" ca="1">TREND($K10:$P10,$K$1:$P$1,U$1)</f>
        <v>1.0900000000000021E-2</v>
      </c>
      <c r="V10" s="38" cm="1">
        <f t="array" aca="1" ref="V10" ca="1">TREND($K10:$P10,$K$1:$P$1,V$1)</f>
        <v>1.1080000000000034E-2</v>
      </c>
      <c r="W10" s="38" cm="1">
        <f t="array" aca="1" ref="W10" ca="1">TREND($K10:$P10,$K$1:$P$1,W$1)</f>
        <v>1.1260000000000048E-2</v>
      </c>
      <c r="X10" s="38" cm="1">
        <f t="array" aca="1" ref="X10" ca="1">TREND($K10:$P10,$K$1:$P$1,X$1)</f>
        <v>1.1440000000000006E-2</v>
      </c>
      <c r="Y10" s="38" cm="1">
        <f t="array" aca="1" ref="Y10" ca="1">TREND($K10:$P10,$K$1:$P$1,Y$1)</f>
        <v>1.1620000000000019E-2</v>
      </c>
      <c r="Z10" s="38" cm="1">
        <f t="array" aca="1" ref="Z10" ca="1">TREND($K10:$P10,$K$1:$P$1,Z$1)</f>
        <v>1.1800000000000033E-2</v>
      </c>
      <c r="AA10" s="38" cm="1">
        <f t="array" aca="1" ref="AA10" ca="1">TREND($K10:$P10,$K$1:$P$1,AA$1)</f>
        <v>1.1980000000000046E-2</v>
      </c>
      <c r="AB10" s="38" cm="1">
        <f t="array" aca="1" ref="AB10" ca="1">TREND($K10:$P10,$K$1:$P$1,AB$1)</f>
        <v>1.2160000000000004E-2</v>
      </c>
      <c r="AC10" s="38" cm="1">
        <f t="array" aca="1" ref="AC10" ca="1">TREND($K10:$P10,$K$1:$P$1,AC$1)</f>
        <v>1.2340000000000018E-2</v>
      </c>
      <c r="AD10" s="38" cm="1">
        <f t="array" aca="1" ref="AD10" ca="1">TREND($K10:$P10,$K$1:$P$1,AD$1)</f>
        <v>1.2520000000000031E-2</v>
      </c>
      <c r="AE10" s="38" cm="1">
        <f t="array" aca="1" ref="AE10" ca="1">TREND($K10:$P10,$K$1:$P$1,AE$1)</f>
        <v>1.2700000000000045E-2</v>
      </c>
      <c r="AF10" s="38" cm="1">
        <f t="array" aca="1" ref="AF10" ca="1">TREND($K10:$P10,$K$1:$P$1,AF$1)</f>
        <v>1.2880000000000003E-2</v>
      </c>
      <c r="AG10" s="38" cm="1">
        <f t="array" aca="1" ref="AG10" ca="1">TREND($K10:$P10,$K$1:$P$1,AG$1)</f>
        <v>1.3060000000000016E-2</v>
      </c>
      <c r="AH10" s="38" cm="1">
        <f t="array" aca="1" ref="AH10" ca="1">TREND($K10:$P10,$K$1:$P$1,AH$1)</f>
        <v>1.324000000000003E-2</v>
      </c>
      <c r="AI10" s="38" cm="1">
        <f t="array" aca="1" ref="AI10" ca="1">TREND($K10:$P10,$K$1:$P$1,AI$1)</f>
        <v>1.3420000000000043E-2</v>
      </c>
      <c r="AJ10" s="38" cm="1">
        <f t="array" aca="1" ref="AJ10" ca="1">TREND($K10:$P10,$K$1:$P$1,AJ$1)</f>
        <v>1.3600000000000056E-2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7.1999999999999998E-3</v>
      </c>
      <c r="C11" s="38">
        <f t="shared" ca="1" si="3"/>
        <v>7.3749999999999996E-3</v>
      </c>
      <c r="D11" s="38">
        <f t="shared" ca="1" si="0"/>
        <v>7.5500000000000003E-3</v>
      </c>
      <c r="E11" s="38">
        <f t="shared" ca="1" si="0"/>
        <v>7.725000000000001E-3</v>
      </c>
      <c r="F11" s="39" cm="1">
        <f t="array" aca="1" ref="F11" ca="1">INDIRECT(CONCATENATE("'",HLOOKUP(F$1,$B$21:$E$23,3,FALSE),"'!",$B$25,ROW($A11)+5))*About!$A$27</f>
        <v>7.9000000000000008E-3</v>
      </c>
      <c r="G11" s="38">
        <f t="shared" ca="1" si="4"/>
        <v>8.0800000000000004E-3</v>
      </c>
      <c r="H11" s="38">
        <f t="shared" ca="1" si="1"/>
        <v>8.26E-3</v>
      </c>
      <c r="I11" s="38">
        <f t="shared" ca="1" si="1"/>
        <v>8.4400000000000013E-3</v>
      </c>
      <c r="J11" s="38">
        <f t="shared" ca="1" si="1"/>
        <v>8.6200000000000009E-3</v>
      </c>
      <c r="K11" s="39" cm="1">
        <f t="array" aca="1" ref="K11" ca="1">INDIRECT(CONCATENATE("'",HLOOKUP(K$1,$B$21:$E$23,3,FALSE),"'!",$B$25,ROW($A11)+5))*About!$A$27</f>
        <v>8.8000000000000005E-3</v>
      </c>
      <c r="L11" s="38">
        <f t="shared" ca="1" si="5"/>
        <v>9.0000000000000011E-3</v>
      </c>
      <c r="M11" s="38">
        <f t="shared" ca="1" si="2"/>
        <v>9.1999999999999998E-3</v>
      </c>
      <c r="N11" s="38">
        <f t="shared" ca="1" si="2"/>
        <v>9.4000000000000004E-3</v>
      </c>
      <c r="O11" s="38">
        <f t="shared" ca="1" si="2"/>
        <v>9.5999999999999992E-3</v>
      </c>
      <c r="P11" s="39" cm="1">
        <f t="array" aca="1" ref="P11" ca="1">INDIRECT(CONCATENATE("'",HLOOKUP(P$1,$B$21:$E$23,3,FALSE),"'!",$B$25,ROW($A11)+5))*About!$A$27</f>
        <v>9.7999999999999997E-3</v>
      </c>
      <c r="Q11" s="38" cm="1">
        <f t="array" aca="1" ref="Q11" ca="1">TREND($K11:$P11,$K$1:$P$1,Q$1)</f>
        <v>9.9999999999999534E-3</v>
      </c>
      <c r="R11" s="38" cm="1">
        <f t="array" aca="1" ref="R11" ca="1">TREND($K11:$P11,$K$1:$P$1,R$1)</f>
        <v>1.0199999999999987E-2</v>
      </c>
      <c r="S11" s="38" cm="1">
        <f t="array" aca="1" ref="S11" ca="1">TREND($K11:$P11,$K$1:$P$1,S$1)</f>
        <v>1.0399999999999965E-2</v>
      </c>
      <c r="T11" s="38" cm="1">
        <f t="array" aca="1" ref="T11" ca="1">TREND($K11:$P11,$K$1:$P$1,T$1)</f>
        <v>1.0599999999999998E-2</v>
      </c>
      <c r="U11" s="38" cm="1">
        <f t="array" aca="1" ref="U11" ca="1">TREND($K11:$P11,$K$1:$P$1,U$1)</f>
        <v>1.0799999999999976E-2</v>
      </c>
      <c r="V11" s="38" cm="1">
        <f t="array" aca="1" ref="V11" ca="1">TREND($K11:$P11,$K$1:$P$1,V$1)</f>
        <v>1.0999999999999954E-2</v>
      </c>
      <c r="W11" s="38" cm="1">
        <f t="array" aca="1" ref="W11" ca="1">TREND($K11:$P11,$K$1:$P$1,W$1)</f>
        <v>1.1199999999999988E-2</v>
      </c>
      <c r="X11" s="38" cm="1">
        <f t="array" aca="1" ref="X11" ca="1">TREND($K11:$P11,$K$1:$P$1,X$1)</f>
        <v>1.1399999999999966E-2</v>
      </c>
      <c r="Y11" s="38" cm="1">
        <f t="array" aca="1" ref="Y11" ca="1">TREND($K11:$P11,$K$1:$P$1,Y$1)</f>
        <v>1.1599999999999944E-2</v>
      </c>
      <c r="Z11" s="38" cm="1">
        <f t="array" aca="1" ref="Z11" ca="1">TREND($K11:$P11,$K$1:$P$1,Z$1)</f>
        <v>1.1799999999999977E-2</v>
      </c>
      <c r="AA11" s="38" cm="1">
        <f t="array" aca="1" ref="AA11" ca="1">TREND($K11:$P11,$K$1:$P$1,AA$1)</f>
        <v>1.1999999999999955E-2</v>
      </c>
      <c r="AB11" s="38" cm="1">
        <f t="array" aca="1" ref="AB11" ca="1">TREND($K11:$P11,$K$1:$P$1,AB$1)</f>
        <v>1.2199999999999989E-2</v>
      </c>
      <c r="AC11" s="38" cm="1">
        <f t="array" aca="1" ref="AC11" ca="1">TREND($K11:$P11,$K$1:$P$1,AC$1)</f>
        <v>1.2399999999999967E-2</v>
      </c>
      <c r="AD11" s="38" cm="1">
        <f t="array" aca="1" ref="AD11" ca="1">TREND($K11:$P11,$K$1:$P$1,AD$1)</f>
        <v>1.2599999999999945E-2</v>
      </c>
      <c r="AE11" s="38" cm="1">
        <f t="array" aca="1" ref="AE11" ca="1">TREND($K11:$P11,$K$1:$P$1,AE$1)</f>
        <v>1.2799999999999978E-2</v>
      </c>
      <c r="AF11" s="38" cm="1">
        <f t="array" aca="1" ref="AF11" ca="1">TREND($K11:$P11,$K$1:$P$1,AF$1)</f>
        <v>1.2999999999999956E-2</v>
      </c>
      <c r="AG11" s="38" cm="1">
        <f t="array" aca="1" ref="AG11" ca="1">TREND($K11:$P11,$K$1:$P$1,AG$1)</f>
        <v>1.319999999999999E-2</v>
      </c>
      <c r="AH11" s="38" cm="1">
        <f t="array" aca="1" ref="AH11" ca="1">TREND($K11:$P11,$K$1:$P$1,AH$1)</f>
        <v>1.3399999999999967E-2</v>
      </c>
      <c r="AI11" s="38" cm="1">
        <f t="array" aca="1" ref="AI11" ca="1">TREND($K11:$P11,$K$1:$P$1,AI$1)</f>
        <v>1.3599999999999945E-2</v>
      </c>
      <c r="AJ11" s="38" cm="1">
        <f t="array" aca="1" ref="AJ11" ca="1">TREND($K11:$P11,$K$1:$P$1,AJ$1)</f>
        <v>1.3799999999999979E-2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3.4299999999999997E-2</v>
      </c>
      <c r="C12" s="38">
        <f t="shared" ca="1" si="3"/>
        <v>3.4874999999999996E-2</v>
      </c>
      <c r="D12" s="38">
        <f t="shared" ca="1" si="0"/>
        <v>3.5449999999999995E-2</v>
      </c>
      <c r="E12" s="38">
        <f t="shared" ca="1" si="0"/>
        <v>3.6025000000000001E-2</v>
      </c>
      <c r="F12" s="40">
        <f ca="1">SUM(INDIRECT(CONCATENATE("'",HLOOKUP(F$1,$B$21:$E$23,3,FALSE),"'!",$B$25,ROW($A12)+5,":",$B$25,ROW($A12)+6)))*About!$A$27</f>
        <v>3.6600000000000001E-2</v>
      </c>
      <c r="G12" s="38">
        <f t="shared" ca="1" si="4"/>
        <v>3.7260000000000001E-2</v>
      </c>
      <c r="H12" s="38">
        <f t="shared" ca="1" si="1"/>
        <v>3.7920000000000002E-2</v>
      </c>
      <c r="I12" s="38">
        <f t="shared" ca="1" si="1"/>
        <v>3.8579999999999996E-2</v>
      </c>
      <c r="J12" s="38">
        <f t="shared" ca="1" si="1"/>
        <v>3.9239999999999997E-2</v>
      </c>
      <c r="K12" s="40">
        <f ca="1">SUM(INDIRECT(CONCATENATE("'",HLOOKUP(K$1,$B$21:$E$23,3,FALSE),"'!",$B$25,ROW($A12)+5,":",$B$25,ROW($A12)+6)))*About!$A$27</f>
        <v>3.9899999999999998E-2</v>
      </c>
      <c r="L12" s="38">
        <f t="shared" ca="1" si="5"/>
        <v>4.0779999999999997E-2</v>
      </c>
      <c r="M12" s="38">
        <f t="shared" ca="1" si="2"/>
        <v>4.1659999999999996E-2</v>
      </c>
      <c r="N12" s="38">
        <f t="shared" ca="1" si="2"/>
        <v>4.2540000000000001E-2</v>
      </c>
      <c r="O12" s="38">
        <f t="shared" ca="1" si="2"/>
        <v>4.342E-2</v>
      </c>
      <c r="P12" s="40">
        <f ca="1">SUM(INDIRECT(CONCATENATE("'",HLOOKUP(P$1,$B$21:$E$23,3,FALSE),"'!",$B$25,ROW($A12)+5,":",$B$25,ROW($A12)+6)))*About!$A$27</f>
        <v>4.4299999999999999E-2</v>
      </c>
      <c r="Q12" s="38" cm="1">
        <f t="array" aca="1" ref="Q12" ca="1">TREND($K12:$P12,$K$1:$P$1,Q$1)</f>
        <v>4.5179999999999998E-2</v>
      </c>
      <c r="R12" s="38" cm="1">
        <f t="array" aca="1" ref="R12" ca="1">TREND($K12:$P12,$K$1:$P$1,R$1)</f>
        <v>4.605999999999999E-2</v>
      </c>
      <c r="S12" s="38" cm="1">
        <f t="array" aca="1" ref="S12" ca="1">TREND($K12:$P12,$K$1:$P$1,S$1)</f>
        <v>4.6939999999999982E-2</v>
      </c>
      <c r="T12" s="38" cm="1">
        <f t="array" aca="1" ref="T12" ca="1">TREND($K12:$P12,$K$1:$P$1,T$1)</f>
        <v>4.7819999999999974E-2</v>
      </c>
      <c r="U12" s="38" cm="1">
        <f t="array" aca="1" ref="U12" ca="1">TREND($K12:$P12,$K$1:$P$1,U$1)</f>
        <v>4.8699999999999966E-2</v>
      </c>
      <c r="V12" s="38" cm="1">
        <f t="array" aca="1" ref="V12" ca="1">TREND($K12:$P12,$K$1:$P$1,V$1)</f>
        <v>4.9580000000000179E-2</v>
      </c>
      <c r="W12" s="38" cm="1">
        <f t="array" aca="1" ref="W12" ca="1">TREND($K12:$P12,$K$1:$P$1,W$1)</f>
        <v>5.0460000000000171E-2</v>
      </c>
      <c r="X12" s="38" cm="1">
        <f t="array" aca="1" ref="X12" ca="1">TREND($K12:$P12,$K$1:$P$1,X$1)</f>
        <v>5.1340000000000163E-2</v>
      </c>
      <c r="Y12" s="38" cm="1">
        <f t="array" aca="1" ref="Y12" ca="1">TREND($K12:$P12,$K$1:$P$1,Y$1)</f>
        <v>5.2220000000000155E-2</v>
      </c>
      <c r="Z12" s="38" cm="1">
        <f t="array" aca="1" ref="Z12" ca="1">TREND($K12:$P12,$K$1:$P$1,Z$1)</f>
        <v>5.3100000000000147E-2</v>
      </c>
      <c r="AA12" s="38" cm="1">
        <f t="array" aca="1" ref="AA12" ca="1">TREND($K12:$P12,$K$1:$P$1,AA$1)</f>
        <v>5.3980000000000139E-2</v>
      </c>
      <c r="AB12" s="38" cm="1">
        <f t="array" aca="1" ref="AB12" ca="1">TREND($K12:$P12,$K$1:$P$1,AB$1)</f>
        <v>5.4860000000000131E-2</v>
      </c>
      <c r="AC12" s="38" cm="1">
        <f t="array" aca="1" ref="AC12" ca="1">TREND($K12:$P12,$K$1:$P$1,AC$1)</f>
        <v>5.5740000000000123E-2</v>
      </c>
      <c r="AD12" s="38" cm="1">
        <f t="array" aca="1" ref="AD12" ca="1">TREND($K12:$P12,$K$1:$P$1,AD$1)</f>
        <v>5.6620000000000115E-2</v>
      </c>
      <c r="AE12" s="38" cm="1">
        <f t="array" aca="1" ref="AE12" ca="1">TREND($K12:$P12,$K$1:$P$1,AE$1)</f>
        <v>5.7500000000000107E-2</v>
      </c>
      <c r="AF12" s="38" cm="1">
        <f t="array" aca="1" ref="AF12" ca="1">TREND($K12:$P12,$K$1:$P$1,AF$1)</f>
        <v>5.8380000000000098E-2</v>
      </c>
      <c r="AG12" s="38" cm="1">
        <f t="array" aca="1" ref="AG12" ca="1">TREND($K12:$P12,$K$1:$P$1,AG$1)</f>
        <v>5.926000000000009E-2</v>
      </c>
      <c r="AH12" s="38" cm="1">
        <f t="array" aca="1" ref="AH12" ca="1">TREND($K12:$P12,$K$1:$P$1,AH$1)</f>
        <v>6.0140000000000082E-2</v>
      </c>
      <c r="AI12" s="38" cm="1">
        <f t="array" aca="1" ref="AI12" ca="1">TREND($K12:$P12,$K$1:$P$1,AI$1)</f>
        <v>6.1020000000000074E-2</v>
      </c>
      <c r="AJ12" s="38" cm="1">
        <f t="array" aca="1" ref="AJ12" ca="1">TREND($K12:$P12,$K$1:$P$1,AJ$1)</f>
        <v>6.1900000000000066E-2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HOIpTP-industry-PM25</v>
      </c>
    </row>
    <row r="18" spans="1:5" x14ac:dyDescent="0.25">
      <c r="A18" t="s">
        <v>114</v>
      </c>
      <c r="B18" t="str">
        <f ca="1">RIGHT(B17,LEN(B17)-7)</f>
        <v>industry-PM25</v>
      </c>
    </row>
    <row r="19" spans="1:5" x14ac:dyDescent="0.25">
      <c r="A19" t="s">
        <v>115</v>
      </c>
      <c r="B19" t="str">
        <f ca="1">LEFT(B18,FIND("-",B18)-1)</f>
        <v>industry</v>
      </c>
    </row>
    <row r="20" spans="1:5" x14ac:dyDescent="0.25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12</v>
      </c>
      <c r="C22" s="32">
        <f ca="1">VLOOKUP($B$20,Mappings!$A$3:$E$19,COLUMN(Mappings!C$2),FALSE)</f>
        <v>29</v>
      </c>
      <c r="D22" s="32">
        <f ca="1">VLOOKUP($B$20,Mappings!$A$3:$E$19,COLUMN(Mappings!D$2),FALSE)</f>
        <v>46</v>
      </c>
      <c r="E22" s="33">
        <f ca="1">VLOOKUP($B$20,Mappings!$A$3:$E$19,COLUMN(Mappings!E$2),FALSE)</f>
        <v>63</v>
      </c>
    </row>
    <row r="23" spans="1:5" x14ac:dyDescent="0.25">
      <c r="A23" s="34" t="s">
        <v>113</v>
      </c>
      <c r="B23" s="35" t="str">
        <f ca="1">CONCATENATE("Table ",B22)</f>
        <v>Table 12</v>
      </c>
      <c r="C23" s="35" t="str">
        <f ca="1">CONCATENATE("Table ",C22)</f>
        <v>Table 29</v>
      </c>
      <c r="D23" s="35" t="str">
        <f ca="1">CONCATENATE("Table ",D22)</f>
        <v>Table 46</v>
      </c>
      <c r="E23" s="36" t="str">
        <f ca="1">CONCATENATE("Table ",E22)</f>
        <v>Table 63</v>
      </c>
    </row>
    <row r="24" spans="1:5" x14ac:dyDescent="0.25">
      <c r="A24" t="s">
        <v>116</v>
      </c>
      <c r="B24" t="str">
        <f ca="1">REPLACE(B18,1,FIND("-",B18),"")</f>
        <v>PM25</v>
      </c>
    </row>
    <row r="25" spans="1:5" x14ac:dyDescent="0.25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5420-C192-410E-A762-AC413F5C5FE7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4.8999999999999998E-3</v>
      </c>
      <c r="C2" s="38">
        <f ca="1">$B2+($F2-$B2)*(C$1-$B$1)/($F$1-$B$1)</f>
        <v>4.9249999999999997E-3</v>
      </c>
      <c r="D2" s="38">
        <f t="shared" ref="D2:E12" ca="1" si="0">$B2+($F2-$B2)*(D$1-$B$1)/($F$1-$B$1)</f>
        <v>4.9499999999999995E-3</v>
      </c>
      <c r="E2" s="38">
        <f t="shared" ca="1" si="0"/>
        <v>4.9750000000000003E-3</v>
      </c>
      <c r="F2" s="37" cm="1">
        <f t="array" aca="1" ref="F2" ca="1">INDIRECT(CONCATENATE("'",HLOOKUP(F$1,$B$21:$E$23,3,FALSE),"'!",$B$25,ROW($A2)+3))*About!$A$27</f>
        <v>5.0000000000000001E-3</v>
      </c>
      <c r="G2" s="38">
        <f ca="1">$F2+($K2-$F2)*(G$1-$F$1)/($K$1-$F$1)</f>
        <v>5.0800000000000003E-3</v>
      </c>
      <c r="H2" s="38">
        <f t="shared" ref="H2:J12" ca="1" si="1">$F2+($K2-$F2)*(H$1-$F$1)/($K$1-$F$1)</f>
        <v>5.1600000000000005E-3</v>
      </c>
      <c r="I2" s="38">
        <f t="shared" ca="1" si="1"/>
        <v>5.2399999999999999E-3</v>
      </c>
      <c r="J2" s="38">
        <f t="shared" ca="1" si="1"/>
        <v>5.3200000000000001E-3</v>
      </c>
      <c r="K2" s="37" cm="1">
        <f t="array" aca="1" ref="K2" ca="1">INDIRECT(CONCATENATE("'",HLOOKUP(K$1,$B$21:$E$23,3,FALSE),"'!",$B$25,ROW($A2)+3))*About!$A$27</f>
        <v>5.4000000000000003E-3</v>
      </c>
      <c r="L2" s="38">
        <f ca="1">$K2+($P2-$K2)*(L$1-$K$1)/($P$1-$K$1)</f>
        <v>5.4600000000000004E-3</v>
      </c>
      <c r="M2" s="38">
        <f t="shared" ref="M2:O12" ca="1" si="2">$K2+($P2-$K2)*(M$1-$K$1)/($P$1-$K$1)</f>
        <v>5.5200000000000006E-3</v>
      </c>
      <c r="N2" s="38">
        <f t="shared" ca="1" si="2"/>
        <v>5.5799999999999999E-3</v>
      </c>
      <c r="O2" s="38">
        <f t="shared" ca="1" si="2"/>
        <v>5.64E-3</v>
      </c>
      <c r="P2" s="37" cm="1">
        <f t="array" aca="1" ref="P2" ca="1">INDIRECT(CONCATENATE("'",HLOOKUP(P$1,$B$21:$E$23,3,FALSE),"'!",$B$25,ROW($A2)+3))*About!$A$27</f>
        <v>5.7000000000000002E-3</v>
      </c>
      <c r="Q2" s="38" cm="1">
        <f t="array" aca="1" ref="Q2" ca="1">TREND($K2:$P2,$K$1:$P$1,Q$1)</f>
        <v>5.7600000000000012E-3</v>
      </c>
      <c r="R2" s="38" cm="1">
        <f t="array" aca="1" ref="R2" ca="1">TREND($K2:$P2,$K$1:$P$1,R$1)</f>
        <v>5.8199999999999918E-3</v>
      </c>
      <c r="S2" s="38" cm="1">
        <f t="array" aca="1" ref="S2" ca="1">TREND($K2:$P2,$K$1:$P$1,S$1)</f>
        <v>5.8799999999999963E-3</v>
      </c>
      <c r="T2" s="38" cm="1">
        <f t="array" aca="1" ref="T2" ca="1">TREND($K2:$P2,$K$1:$P$1,T$1)</f>
        <v>5.9400000000000008E-3</v>
      </c>
      <c r="U2" s="38" cm="1">
        <f t="array" aca="1" ref="U2" ca="1">TREND($K2:$P2,$K$1:$P$1,U$1)</f>
        <v>5.9999999999999915E-3</v>
      </c>
      <c r="V2" s="38" cm="1">
        <f t="array" aca="1" ref="V2" ca="1">TREND($K2:$P2,$K$1:$P$1,V$1)</f>
        <v>6.0599999999999959E-3</v>
      </c>
      <c r="W2" s="38" cm="1">
        <f t="array" aca="1" ref="W2" ca="1">TREND($K2:$P2,$K$1:$P$1,W$1)</f>
        <v>6.1200000000000004E-3</v>
      </c>
      <c r="X2" s="38" cm="1">
        <f t="array" aca="1" ref="X2" ca="1">TREND($K2:$P2,$K$1:$P$1,X$1)</f>
        <v>6.1799999999999911E-3</v>
      </c>
      <c r="Y2" s="38" cm="1">
        <f t="array" aca="1" ref="Y2" ca="1">TREND($K2:$P2,$K$1:$P$1,Y$1)</f>
        <v>6.2399999999999956E-3</v>
      </c>
      <c r="Z2" s="38" cm="1">
        <f t="array" aca="1" ref="Z2" ca="1">TREND($K2:$P2,$K$1:$P$1,Z$1)</f>
        <v>6.3E-3</v>
      </c>
      <c r="AA2" s="38" cm="1">
        <f t="array" aca="1" ref="AA2" ca="1">TREND($K2:$P2,$K$1:$P$1,AA$1)</f>
        <v>6.3599999999999907E-3</v>
      </c>
      <c r="AB2" s="38" cm="1">
        <f t="array" aca="1" ref="AB2" ca="1">TREND($K2:$P2,$K$1:$P$1,AB$1)</f>
        <v>6.4199999999999952E-3</v>
      </c>
      <c r="AC2" s="38" cm="1">
        <f t="array" aca="1" ref="AC2" ca="1">TREND($K2:$P2,$K$1:$P$1,AC$1)</f>
        <v>6.4799999999999996E-3</v>
      </c>
      <c r="AD2" s="38" cm="1">
        <f t="array" aca="1" ref="AD2" ca="1">TREND($K2:$P2,$K$1:$P$1,AD$1)</f>
        <v>6.5399999999999903E-3</v>
      </c>
      <c r="AE2" s="38" cm="1">
        <f t="array" aca="1" ref="AE2" ca="1">TREND($K2:$P2,$K$1:$P$1,AE$1)</f>
        <v>6.5999999999999948E-3</v>
      </c>
      <c r="AF2" s="38" cm="1">
        <f t="array" aca="1" ref="AF2" ca="1">TREND($K2:$P2,$K$1:$P$1,AF$1)</f>
        <v>6.6599999999999993E-3</v>
      </c>
      <c r="AG2" s="38" cm="1">
        <f t="array" aca="1" ref="AG2" ca="1">TREND($K2:$P2,$K$1:$P$1,AG$1)</f>
        <v>6.7199999999999899E-3</v>
      </c>
      <c r="AH2" s="38" cm="1">
        <f t="array" aca="1" ref="AH2" ca="1">TREND($K2:$P2,$K$1:$P$1,AH$1)</f>
        <v>6.7799999999999944E-3</v>
      </c>
      <c r="AI2" s="38" cm="1">
        <f t="array" aca="1" ref="AI2" ca="1">TREND($K2:$P2,$K$1:$P$1,AI$1)</f>
        <v>6.8399999999999989E-3</v>
      </c>
      <c r="AJ2" s="38" cm="1">
        <f t="array" aca="1" ref="AJ2" ca="1">TREND($K2:$P2,$K$1:$P$1,AJ$1)</f>
        <v>6.8999999999999895E-3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2.5999999999999999E-3</v>
      </c>
      <c r="C3" s="38">
        <f t="shared" ref="C3:C12" ca="1" si="3">$B3+($F3-$B3)*(C$1-$B$1)/($F$1-$B$1)</f>
        <v>2.6249999999999997E-3</v>
      </c>
      <c r="D3" s="38">
        <f t="shared" ca="1" si="0"/>
        <v>2.65E-3</v>
      </c>
      <c r="E3" s="38">
        <f t="shared" ca="1" si="0"/>
        <v>2.6750000000000003E-3</v>
      </c>
      <c r="F3" s="39" cm="1">
        <f t="array" aca="1" ref="F3" ca="1">INDIRECT(CONCATENATE("'",HLOOKUP(F$1,$B$21:$E$23,3,FALSE),"'!",$B$25,ROW($A3)+5))*About!$A$27</f>
        <v>2.7000000000000001E-3</v>
      </c>
      <c r="G3" s="38">
        <f t="shared" ref="G3:G12" ca="1" si="4">$F3+($K3-$F3)*(G$1-$F$1)/($K$1-$F$1)</f>
        <v>2.7200000000000002E-3</v>
      </c>
      <c r="H3" s="38">
        <f t="shared" ca="1" si="1"/>
        <v>2.7400000000000002E-3</v>
      </c>
      <c r="I3" s="38">
        <f t="shared" ca="1" si="1"/>
        <v>2.7599999999999999E-3</v>
      </c>
      <c r="J3" s="38">
        <f t="shared" ca="1" si="1"/>
        <v>2.7799999999999999E-3</v>
      </c>
      <c r="K3" s="39" cm="1">
        <f t="array" aca="1" ref="K3" ca="1">INDIRECT(CONCATENATE("'",HLOOKUP(K$1,$B$21:$E$23,3,FALSE),"'!",$B$25,ROW($A3)+5))*About!$A$27</f>
        <v>2.8E-3</v>
      </c>
      <c r="L3" s="38">
        <f t="shared" ref="L3:L12" ca="1" si="5">$K3+($P3-$K3)*(L$1-$K$1)/($P$1-$K$1)</f>
        <v>2.82E-3</v>
      </c>
      <c r="M3" s="38">
        <f t="shared" ca="1" si="2"/>
        <v>2.8400000000000001E-3</v>
      </c>
      <c r="N3" s="38">
        <f t="shared" ca="1" si="2"/>
        <v>2.8599999999999997E-3</v>
      </c>
      <c r="O3" s="38">
        <f t="shared" ca="1" si="2"/>
        <v>2.8799999999999997E-3</v>
      </c>
      <c r="P3" s="39" cm="1">
        <f t="array" aca="1" ref="P3" ca="1">INDIRECT(CONCATENATE("'",HLOOKUP(P$1,$B$21:$E$23,3,FALSE),"'!",$B$25,ROW($A3)+5))*About!$A$27</f>
        <v>2.8999999999999998E-3</v>
      </c>
      <c r="Q3" s="38" cm="1">
        <f t="array" aca="1" ref="Q3" ca="1">TREND($K3:$P3,$K$1:$P$1,Q$1)</f>
        <v>2.919999999999999E-3</v>
      </c>
      <c r="R3" s="38" cm="1">
        <f t="array" aca="1" ref="R3" ca="1">TREND($K3:$P3,$K$1:$P$1,R$1)</f>
        <v>2.9399999999999982E-3</v>
      </c>
      <c r="S3" s="38" cm="1">
        <f t="array" aca="1" ref="S3" ca="1">TREND($K3:$P3,$K$1:$P$1,S$1)</f>
        <v>2.9599999999999974E-3</v>
      </c>
      <c r="T3" s="38" cm="1">
        <f t="array" aca="1" ref="T3" ca="1">TREND($K3:$P3,$K$1:$P$1,T$1)</f>
        <v>2.9799999999999965E-3</v>
      </c>
      <c r="U3" s="38" cm="1">
        <f t="array" aca="1" ref="U3" ca="1">TREND($K3:$P3,$K$1:$P$1,U$1)</f>
        <v>3.0000000000000027E-3</v>
      </c>
      <c r="V3" s="38" cm="1">
        <f t="array" aca="1" ref="V3" ca="1">TREND($K3:$P3,$K$1:$P$1,V$1)</f>
        <v>3.0200000000000018E-3</v>
      </c>
      <c r="W3" s="38" cm="1">
        <f t="array" aca="1" ref="W3" ca="1">TREND($K3:$P3,$K$1:$P$1,W$1)</f>
        <v>3.040000000000001E-3</v>
      </c>
      <c r="X3" s="38" cm="1">
        <f t="array" aca="1" ref="X3" ca="1">TREND($K3:$P3,$K$1:$P$1,X$1)</f>
        <v>3.0600000000000002E-3</v>
      </c>
      <c r="Y3" s="38" cm="1">
        <f t="array" aca="1" ref="Y3" ca="1">TREND($K3:$P3,$K$1:$P$1,Y$1)</f>
        <v>3.0799999999999994E-3</v>
      </c>
      <c r="Z3" s="38" cm="1">
        <f t="array" aca="1" ref="Z3" ca="1">TREND($K3:$P3,$K$1:$P$1,Z$1)</f>
        <v>3.0999999999999986E-3</v>
      </c>
      <c r="AA3" s="38" cm="1">
        <f t="array" aca="1" ref="AA3" ca="1">TREND($K3:$P3,$K$1:$P$1,AA$1)</f>
        <v>3.1199999999999978E-3</v>
      </c>
      <c r="AB3" s="38" cm="1">
        <f t="array" aca="1" ref="AB3" ca="1">TREND($K3:$P3,$K$1:$P$1,AB$1)</f>
        <v>3.139999999999997E-3</v>
      </c>
      <c r="AC3" s="38" cm="1">
        <f t="array" aca="1" ref="AC3" ca="1">TREND($K3:$P3,$K$1:$P$1,AC$1)</f>
        <v>3.1599999999999961E-3</v>
      </c>
      <c r="AD3" s="38" cm="1">
        <f t="array" aca="1" ref="AD3" ca="1">TREND($K3:$P3,$K$1:$P$1,AD$1)</f>
        <v>3.1800000000000023E-3</v>
      </c>
      <c r="AE3" s="38" cm="1">
        <f t="array" aca="1" ref="AE3" ca="1">TREND($K3:$P3,$K$1:$P$1,AE$1)</f>
        <v>3.2000000000000015E-3</v>
      </c>
      <c r="AF3" s="38" cm="1">
        <f t="array" aca="1" ref="AF3" ca="1">TREND($K3:$P3,$K$1:$P$1,AF$1)</f>
        <v>3.2200000000000006E-3</v>
      </c>
      <c r="AG3" s="38" cm="1">
        <f t="array" aca="1" ref="AG3" ca="1">TREND($K3:$P3,$K$1:$P$1,AG$1)</f>
        <v>3.2399999999999998E-3</v>
      </c>
      <c r="AH3" s="38" cm="1">
        <f t="array" aca="1" ref="AH3" ca="1">TREND($K3:$P3,$K$1:$P$1,AH$1)</f>
        <v>3.259999999999999E-3</v>
      </c>
      <c r="AI3" s="38" cm="1">
        <f t="array" aca="1" ref="AI3" ca="1">TREND($K3:$P3,$K$1:$P$1,AI$1)</f>
        <v>3.2799999999999982E-3</v>
      </c>
      <c r="AJ3" s="38" cm="1">
        <f t="array" aca="1" ref="AJ3" ca="1">TREND($K3:$P3,$K$1:$P$1,AJ$1)</f>
        <v>3.2999999999999974E-3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6.4000000000000003E-3</v>
      </c>
      <c r="C4" s="38">
        <f t="shared" ca="1" si="3"/>
        <v>6.4000000000000003E-3</v>
      </c>
      <c r="D4" s="38">
        <f t="shared" ca="1" si="0"/>
        <v>6.4000000000000003E-3</v>
      </c>
      <c r="E4" s="38">
        <f t="shared" ca="1" si="0"/>
        <v>6.4000000000000003E-3</v>
      </c>
      <c r="F4" s="39" cm="1">
        <f t="array" aca="1" ref="F4" ca="1">INDIRECT(CONCATENATE("'",HLOOKUP(F$1,$B$21:$E$23,3,FALSE),"'!",$B$25,ROW($A4)+5))*About!$A$27</f>
        <v>6.4000000000000003E-3</v>
      </c>
      <c r="G4" s="38">
        <f t="shared" ca="1" si="4"/>
        <v>6.4800000000000005E-3</v>
      </c>
      <c r="H4" s="38">
        <f t="shared" ca="1" si="1"/>
        <v>6.5599999999999999E-3</v>
      </c>
      <c r="I4" s="38">
        <f t="shared" ca="1" si="1"/>
        <v>6.6400000000000001E-3</v>
      </c>
      <c r="J4" s="38">
        <f t="shared" ca="1" si="1"/>
        <v>6.7199999999999994E-3</v>
      </c>
      <c r="K4" s="39" cm="1">
        <f t="array" aca="1" ref="K4" ca="1">INDIRECT(CONCATENATE("'",HLOOKUP(K$1,$B$21:$E$23,3,FALSE),"'!",$B$25,ROW($A4)+5))*About!$A$27</f>
        <v>6.7999999999999996E-3</v>
      </c>
      <c r="L4" s="38">
        <f t="shared" ca="1" si="5"/>
        <v>6.8999999999999999E-3</v>
      </c>
      <c r="M4" s="38">
        <f t="shared" ca="1" si="2"/>
        <v>7.0000000000000001E-3</v>
      </c>
      <c r="N4" s="38">
        <f t="shared" ca="1" si="2"/>
        <v>7.0999999999999995E-3</v>
      </c>
      <c r="O4" s="38">
        <f t="shared" ca="1" si="2"/>
        <v>7.1999999999999998E-3</v>
      </c>
      <c r="P4" s="39" cm="1">
        <f t="array" aca="1" ref="P4" ca="1">INDIRECT(CONCATENATE("'",HLOOKUP(P$1,$B$21:$E$23,3,FALSE),"'!",$B$25,ROW($A4)+5))*About!$A$27</f>
        <v>7.3000000000000001E-3</v>
      </c>
      <c r="Q4" s="38" cm="1">
        <f t="array" aca="1" ref="Q4" ca="1">TREND($K4:$P4,$K$1:$P$1,Q$1)</f>
        <v>7.3999999999999899E-3</v>
      </c>
      <c r="R4" s="38" cm="1">
        <f t="array" aca="1" ref="R4" ca="1">TREND($K4:$P4,$K$1:$P$1,R$1)</f>
        <v>7.5000000000000067E-3</v>
      </c>
      <c r="S4" s="38" cm="1">
        <f t="array" aca="1" ref="S4" ca="1">TREND($K4:$P4,$K$1:$P$1,S$1)</f>
        <v>7.5999999999999956E-3</v>
      </c>
      <c r="T4" s="38" cm="1">
        <f t="array" aca="1" ref="T4" ca="1">TREND($K4:$P4,$K$1:$P$1,T$1)</f>
        <v>7.6999999999999846E-3</v>
      </c>
      <c r="U4" s="38" cm="1">
        <f t="array" aca="1" ref="U4" ca="1">TREND($K4:$P4,$K$1:$P$1,U$1)</f>
        <v>7.8000000000000014E-3</v>
      </c>
      <c r="V4" s="38" cm="1">
        <f t="array" aca="1" ref="V4" ca="1">TREND($K4:$P4,$K$1:$P$1,V$1)</f>
        <v>7.8999999999999904E-3</v>
      </c>
      <c r="W4" s="38" cm="1">
        <f t="array" aca="1" ref="W4" ca="1">TREND($K4:$P4,$K$1:$P$1,W$1)</f>
        <v>8.0000000000000071E-3</v>
      </c>
      <c r="X4" s="38" cm="1">
        <f t="array" aca="1" ref="X4" ca="1">TREND($K4:$P4,$K$1:$P$1,X$1)</f>
        <v>8.0999999999999961E-3</v>
      </c>
      <c r="Y4" s="38" cm="1">
        <f t="array" aca="1" ref="Y4" ca="1">TREND($K4:$P4,$K$1:$P$1,Y$1)</f>
        <v>8.1999999999999851E-3</v>
      </c>
      <c r="Z4" s="38" cm="1">
        <f t="array" aca="1" ref="Z4" ca="1">TREND($K4:$P4,$K$1:$P$1,Z$1)</f>
        <v>8.3000000000000018E-3</v>
      </c>
      <c r="AA4" s="38" cm="1">
        <f t="array" aca="1" ref="AA4" ca="1">TREND($K4:$P4,$K$1:$P$1,AA$1)</f>
        <v>8.3999999999999908E-3</v>
      </c>
      <c r="AB4" s="38" cm="1">
        <f t="array" aca="1" ref="AB4" ca="1">TREND($K4:$P4,$K$1:$P$1,AB$1)</f>
        <v>8.5000000000000075E-3</v>
      </c>
      <c r="AC4" s="38" cm="1">
        <f t="array" aca="1" ref="AC4" ca="1">TREND($K4:$P4,$K$1:$P$1,AC$1)</f>
        <v>8.5999999999999965E-3</v>
      </c>
      <c r="AD4" s="38" cm="1">
        <f t="array" aca="1" ref="AD4" ca="1">TREND($K4:$P4,$K$1:$P$1,AD$1)</f>
        <v>8.6999999999999855E-3</v>
      </c>
      <c r="AE4" s="38" cm="1">
        <f t="array" aca="1" ref="AE4" ca="1">TREND($K4:$P4,$K$1:$P$1,AE$1)</f>
        <v>8.8000000000000023E-3</v>
      </c>
      <c r="AF4" s="38" cm="1">
        <f t="array" aca="1" ref="AF4" ca="1">TREND($K4:$P4,$K$1:$P$1,AF$1)</f>
        <v>8.8999999999999913E-3</v>
      </c>
      <c r="AG4" s="38" cm="1">
        <f t="array" aca="1" ref="AG4" ca="1">TREND($K4:$P4,$K$1:$P$1,AG$1)</f>
        <v>9.000000000000008E-3</v>
      </c>
      <c r="AH4" s="38" cm="1">
        <f t="array" aca="1" ref="AH4" ca="1">TREND($K4:$P4,$K$1:$P$1,AH$1)</f>
        <v>9.099999999999997E-3</v>
      </c>
      <c r="AI4" s="38" cm="1">
        <f t="array" aca="1" ref="AI4" ca="1">TREND($K4:$P4,$K$1:$P$1,AI$1)</f>
        <v>9.199999999999986E-3</v>
      </c>
      <c r="AJ4" s="38" cm="1">
        <f t="array" aca="1" ref="AJ4" ca="1">TREND($K4:$P4,$K$1:$P$1,AJ$1)</f>
        <v>9.3000000000000027E-3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8.2000000000000003E-2</v>
      </c>
      <c r="C5" s="38">
        <f t="shared" ca="1" si="3"/>
        <v>8.2000000000000003E-2</v>
      </c>
      <c r="D5" s="38">
        <f t="shared" ca="1" si="0"/>
        <v>8.2000000000000003E-2</v>
      </c>
      <c r="E5" s="38">
        <f t="shared" ca="1" si="0"/>
        <v>8.2000000000000003E-2</v>
      </c>
      <c r="F5" s="39" cm="1">
        <f t="array" aca="1" ref="F5" ca="1">INDIRECT(CONCATENATE("'",HLOOKUP(F$1,$B$21:$E$23,3,FALSE),"'!",$B$25,ROW($A5)+5))*About!$A$27</f>
        <v>8.2000000000000003E-2</v>
      </c>
      <c r="G5" s="38">
        <f t="shared" ca="1" si="4"/>
        <v>8.2799999999999999E-2</v>
      </c>
      <c r="H5" s="38">
        <f t="shared" ca="1" si="1"/>
        <v>8.3599999999999994E-2</v>
      </c>
      <c r="I5" s="38">
        <f t="shared" ca="1" si="1"/>
        <v>8.4400000000000003E-2</v>
      </c>
      <c r="J5" s="38">
        <f t="shared" ca="1" si="1"/>
        <v>8.5199999999999998E-2</v>
      </c>
      <c r="K5" s="39" cm="1">
        <f t="array" aca="1" ref="K5" ca="1">INDIRECT(CONCATENATE("'",HLOOKUP(K$1,$B$21:$E$23,3,FALSE),"'!",$B$25,ROW($A5)+5))*About!$A$27</f>
        <v>8.5999999999999993E-2</v>
      </c>
      <c r="L5" s="38">
        <f t="shared" ca="1" si="5"/>
        <v>8.7399999999999992E-2</v>
      </c>
      <c r="M5" s="38">
        <f t="shared" ca="1" si="2"/>
        <v>8.879999999999999E-2</v>
      </c>
      <c r="N5" s="38">
        <f t="shared" ca="1" si="2"/>
        <v>9.0200000000000002E-2</v>
      </c>
      <c r="O5" s="38">
        <f t="shared" ca="1" si="2"/>
        <v>9.1600000000000001E-2</v>
      </c>
      <c r="P5" s="39" cm="1">
        <f t="array" aca="1" ref="P5" ca="1">INDIRECT(CONCATENATE("'",HLOOKUP(P$1,$B$21:$E$23,3,FALSE),"'!",$B$25,ROW($A5)+5))*About!$A$27</f>
        <v>9.2999999999999999E-2</v>
      </c>
      <c r="Q5" s="38" cm="1">
        <f t="array" aca="1" ref="Q5" ca="1">TREND($K5:$P5,$K$1:$P$1,Q$1)</f>
        <v>9.4400000000000261E-2</v>
      </c>
      <c r="R5" s="38" cm="1">
        <f t="array" aca="1" ref="R5" ca="1">TREND($K5:$P5,$K$1:$P$1,R$1)</f>
        <v>9.5800000000000107E-2</v>
      </c>
      <c r="S5" s="38" cm="1">
        <f t="array" aca="1" ref="S5" ca="1">TREND($K5:$P5,$K$1:$P$1,S$1)</f>
        <v>9.7200000000000397E-2</v>
      </c>
      <c r="T5" s="38" cm="1">
        <f t="array" aca="1" ref="T5" ca="1">TREND($K5:$P5,$K$1:$P$1,T$1)</f>
        <v>9.8600000000000243E-2</v>
      </c>
      <c r="U5" s="38" cm="1">
        <f t="array" aca="1" ref="U5" ca="1">TREND($K5:$P5,$K$1:$P$1,U$1)</f>
        <v>0.10000000000000009</v>
      </c>
      <c r="V5" s="38" cm="1">
        <f t="array" aca="1" ref="V5" ca="1">TREND($K5:$P5,$K$1:$P$1,V$1)</f>
        <v>0.10140000000000038</v>
      </c>
      <c r="W5" s="38" cm="1">
        <f t="array" aca="1" ref="W5" ca="1">TREND($K5:$P5,$K$1:$P$1,W$1)</f>
        <v>0.10280000000000022</v>
      </c>
      <c r="X5" s="38" cm="1">
        <f t="array" aca="1" ref="X5" ca="1">TREND($K5:$P5,$K$1:$P$1,X$1)</f>
        <v>0.10420000000000007</v>
      </c>
      <c r="Y5" s="38" cm="1">
        <f t="array" aca="1" ref="Y5" ca="1">TREND($K5:$P5,$K$1:$P$1,Y$1)</f>
        <v>0.10560000000000036</v>
      </c>
      <c r="Z5" s="38" cm="1">
        <f t="array" aca="1" ref="Z5" ca="1">TREND($K5:$P5,$K$1:$P$1,Z$1)</f>
        <v>0.10700000000000021</v>
      </c>
      <c r="AA5" s="38" cm="1">
        <f t="array" aca="1" ref="AA5" ca="1">TREND($K5:$P5,$K$1:$P$1,AA$1)</f>
        <v>0.1084000000000005</v>
      </c>
      <c r="AB5" s="38" cm="1">
        <f t="array" aca="1" ref="AB5" ca="1">TREND($K5:$P5,$K$1:$P$1,AB$1)</f>
        <v>0.10980000000000034</v>
      </c>
      <c r="AC5" s="38" cm="1">
        <f t="array" aca="1" ref="AC5" ca="1">TREND($K5:$P5,$K$1:$P$1,AC$1)</f>
        <v>0.11120000000000019</v>
      </c>
      <c r="AD5" s="38" cm="1">
        <f t="array" aca="1" ref="AD5" ca="1">TREND($K5:$P5,$K$1:$P$1,AD$1)</f>
        <v>0.11260000000000048</v>
      </c>
      <c r="AE5" s="38" cm="1">
        <f t="array" aca="1" ref="AE5" ca="1">TREND($K5:$P5,$K$1:$P$1,AE$1)</f>
        <v>0.11400000000000032</v>
      </c>
      <c r="AF5" s="38" cm="1">
        <f t="array" aca="1" ref="AF5" ca="1">TREND($K5:$P5,$K$1:$P$1,AF$1)</f>
        <v>0.11540000000000017</v>
      </c>
      <c r="AG5" s="38" cm="1">
        <f t="array" aca="1" ref="AG5" ca="1">TREND($K5:$P5,$K$1:$P$1,AG$1)</f>
        <v>0.11680000000000046</v>
      </c>
      <c r="AH5" s="38" cm="1">
        <f t="array" aca="1" ref="AH5" ca="1">TREND($K5:$P5,$K$1:$P$1,AH$1)</f>
        <v>0.1182000000000003</v>
      </c>
      <c r="AI5" s="38" cm="1">
        <f t="array" aca="1" ref="AI5" ca="1">TREND($K5:$P5,$K$1:$P$1,AI$1)</f>
        <v>0.11960000000000015</v>
      </c>
      <c r="AJ5" s="38" cm="1">
        <f t="array" aca="1" ref="AJ5" ca="1">TREND($K5:$P5,$K$1:$P$1,AJ$1)</f>
        <v>0.12100000000000044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0.12</v>
      </c>
      <c r="C6" s="38">
        <f t="shared" ca="1" si="3"/>
        <v>0.12</v>
      </c>
      <c r="D6" s="38">
        <f t="shared" ca="1" si="0"/>
        <v>0.12</v>
      </c>
      <c r="E6" s="38">
        <f t="shared" ca="1" si="0"/>
        <v>0.12</v>
      </c>
      <c r="F6" s="39" cm="1">
        <f t="array" aca="1" ref="F6" ca="1">INDIRECT(CONCATENATE("'",HLOOKUP(F$1,$B$21:$E$23,3,FALSE),"'!",$B$25,ROW($A6)+5))*About!$A$27</f>
        <v>0.12</v>
      </c>
      <c r="G6" s="38">
        <f t="shared" ca="1" si="4"/>
        <v>0.12</v>
      </c>
      <c r="H6" s="38">
        <f t="shared" ca="1" si="1"/>
        <v>0.12</v>
      </c>
      <c r="I6" s="38">
        <f t="shared" ca="1" si="1"/>
        <v>0.12</v>
      </c>
      <c r="J6" s="38">
        <f t="shared" ca="1" si="1"/>
        <v>0.12</v>
      </c>
      <c r="K6" s="39" cm="1">
        <f t="array" aca="1" ref="K6" ca="1">INDIRECT(CONCATENATE("'",HLOOKUP(K$1,$B$21:$E$23,3,FALSE),"'!",$B$25,ROW($A6)+5))*About!$A$27</f>
        <v>0.12</v>
      </c>
      <c r="L6" s="38">
        <f t="shared" ca="1" si="5"/>
        <v>0.122</v>
      </c>
      <c r="M6" s="38">
        <f t="shared" ca="1" si="2"/>
        <v>0.124</v>
      </c>
      <c r="N6" s="38">
        <f t="shared" ca="1" si="2"/>
        <v>0.126</v>
      </c>
      <c r="O6" s="38">
        <f t="shared" ca="1" si="2"/>
        <v>0.128</v>
      </c>
      <c r="P6" s="39" cm="1">
        <f t="array" aca="1" ref="P6" ca="1">INDIRECT(CONCATENATE("'",HLOOKUP(P$1,$B$21:$E$23,3,FALSE),"'!",$B$25,ROW($A6)+5))*About!$A$27</f>
        <v>0.13</v>
      </c>
      <c r="Q6" s="38" cm="1">
        <f t="array" aca="1" ref="Q6" ca="1">TREND($K6:$P6,$K$1:$P$1,Q$1)</f>
        <v>0.13200000000000056</v>
      </c>
      <c r="R6" s="38" cm="1">
        <f t="array" aca="1" ref="R6" ca="1">TREND($K6:$P6,$K$1:$P$1,R$1)</f>
        <v>0.13400000000000034</v>
      </c>
      <c r="S6" s="38" cm="1">
        <f t="array" aca="1" ref="S6" ca="1">TREND($K6:$P6,$K$1:$P$1,S$1)</f>
        <v>0.13600000000000012</v>
      </c>
      <c r="T6" s="38" cm="1">
        <f t="array" aca="1" ref="T6" ca="1">TREND($K6:$P6,$K$1:$P$1,T$1)</f>
        <v>0.1379999999999999</v>
      </c>
      <c r="U6" s="38" cm="1">
        <f t="array" aca="1" ref="U6" ca="1">TREND($K6:$P6,$K$1:$P$1,U$1)</f>
        <v>0.14000000000000057</v>
      </c>
      <c r="V6" s="38" cm="1">
        <f t="array" aca="1" ref="V6" ca="1">TREND($K6:$P6,$K$1:$P$1,V$1)</f>
        <v>0.14200000000000035</v>
      </c>
      <c r="W6" s="38" cm="1">
        <f t="array" aca="1" ref="W6" ca="1">TREND($K6:$P6,$K$1:$P$1,W$1)</f>
        <v>0.14400000000000013</v>
      </c>
      <c r="X6" s="38" cm="1">
        <f t="array" aca="1" ref="X6" ca="1">TREND($K6:$P6,$K$1:$P$1,X$1)</f>
        <v>0.1460000000000008</v>
      </c>
      <c r="Y6" s="38" cm="1">
        <f t="array" aca="1" ref="Y6" ca="1">TREND($K6:$P6,$K$1:$P$1,Y$1)</f>
        <v>0.14800000000000058</v>
      </c>
      <c r="Z6" s="38" cm="1">
        <f t="array" aca="1" ref="Z6" ca="1">TREND($K6:$P6,$K$1:$P$1,Z$1)</f>
        <v>0.15000000000000036</v>
      </c>
      <c r="AA6" s="38" cm="1">
        <f t="array" aca="1" ref="AA6" ca="1">TREND($K6:$P6,$K$1:$P$1,AA$1)</f>
        <v>0.15200000000000014</v>
      </c>
      <c r="AB6" s="38" cm="1">
        <f t="array" aca="1" ref="AB6" ca="1">TREND($K6:$P6,$K$1:$P$1,AB$1)</f>
        <v>0.15399999999999991</v>
      </c>
      <c r="AC6" s="38" cm="1">
        <f t="array" aca="1" ref="AC6" ca="1">TREND($K6:$P6,$K$1:$P$1,AC$1)</f>
        <v>0.15600000000000058</v>
      </c>
      <c r="AD6" s="38" cm="1">
        <f t="array" aca="1" ref="AD6" ca="1">TREND($K6:$P6,$K$1:$P$1,AD$1)</f>
        <v>0.15800000000000036</v>
      </c>
      <c r="AE6" s="38" cm="1">
        <f t="array" aca="1" ref="AE6" ca="1">TREND($K6:$P6,$K$1:$P$1,AE$1)</f>
        <v>0.16000000000000014</v>
      </c>
      <c r="AF6" s="38" cm="1">
        <f t="array" aca="1" ref="AF6" ca="1">TREND($K6:$P6,$K$1:$P$1,AF$1)</f>
        <v>0.16200000000000081</v>
      </c>
      <c r="AG6" s="38" cm="1">
        <f t="array" aca="1" ref="AG6" ca="1">TREND($K6:$P6,$K$1:$P$1,AG$1)</f>
        <v>0.16400000000000059</v>
      </c>
      <c r="AH6" s="38" cm="1">
        <f t="array" aca="1" ref="AH6" ca="1">TREND($K6:$P6,$K$1:$P$1,AH$1)</f>
        <v>0.16600000000000037</v>
      </c>
      <c r="AI6" s="38" cm="1">
        <f t="array" aca="1" ref="AI6" ca="1">TREND($K6:$P6,$K$1:$P$1,AI$1)</f>
        <v>0.16800000000000015</v>
      </c>
      <c r="AJ6" s="38" cm="1">
        <f t="array" aca="1" ref="AJ6" ca="1">TREND($K6:$P6,$K$1:$P$1,AJ$1)</f>
        <v>0.16999999999999993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3.5</v>
      </c>
      <c r="C7" s="38">
        <f t="shared" ca="1" si="3"/>
        <v>3.5</v>
      </c>
      <c r="D7" s="38">
        <f t="shared" ca="1" si="0"/>
        <v>3.5</v>
      </c>
      <c r="E7" s="38">
        <f t="shared" ca="1" si="0"/>
        <v>3.5</v>
      </c>
      <c r="F7" s="39" cm="1">
        <f t="array" aca="1" ref="F7" ca="1">INDIRECT(CONCATENATE("'",HLOOKUP(F$1,$B$21:$E$23,3,FALSE),"'!",$B$25,ROW($A7)+5))*About!$A$27</f>
        <v>3.5</v>
      </c>
      <c r="G7" s="38">
        <f t="shared" ca="1" si="4"/>
        <v>3.52</v>
      </c>
      <c r="H7" s="38">
        <f t="shared" ca="1" si="1"/>
        <v>3.54</v>
      </c>
      <c r="I7" s="38">
        <f t="shared" ca="1" si="1"/>
        <v>3.56</v>
      </c>
      <c r="J7" s="38">
        <f t="shared" ca="1" si="1"/>
        <v>3.58</v>
      </c>
      <c r="K7" s="39" cm="1">
        <f t="array" aca="1" ref="K7" ca="1">INDIRECT(CONCATENATE("'",HLOOKUP(K$1,$B$21:$E$23,3,FALSE),"'!",$B$25,ROW($A7)+5))*About!$A$27</f>
        <v>3.6</v>
      </c>
      <c r="L7" s="38">
        <f t="shared" ca="1" si="5"/>
        <v>3.6</v>
      </c>
      <c r="M7" s="38">
        <f t="shared" ca="1" si="2"/>
        <v>3.6</v>
      </c>
      <c r="N7" s="38">
        <f t="shared" ca="1" si="2"/>
        <v>3.6</v>
      </c>
      <c r="O7" s="38">
        <f t="shared" ca="1" si="2"/>
        <v>3.6</v>
      </c>
      <c r="P7" s="39" cm="1">
        <f t="array" aca="1" ref="P7" ca="1">INDIRECT(CONCATENATE("'",HLOOKUP(P$1,$B$21:$E$23,3,FALSE),"'!",$B$25,ROW($A7)+5))*About!$A$27</f>
        <v>3.6</v>
      </c>
      <c r="Q7" s="38" cm="1">
        <f t="array" aca="1" ref="Q7" ca="1">TREND($K7:$P7,$K$1:$P$1,Q$1)</f>
        <v>3.6</v>
      </c>
      <c r="R7" s="38" cm="1">
        <f t="array" aca="1" ref="R7" ca="1">TREND($K7:$P7,$K$1:$P$1,R$1)</f>
        <v>3.6</v>
      </c>
      <c r="S7" s="38" cm="1">
        <f t="array" aca="1" ref="S7" ca="1">TREND($K7:$P7,$K$1:$P$1,S$1)</f>
        <v>3.6</v>
      </c>
      <c r="T7" s="38" cm="1">
        <f t="array" aca="1" ref="T7" ca="1">TREND($K7:$P7,$K$1:$P$1,T$1)</f>
        <v>3.6</v>
      </c>
      <c r="U7" s="38" cm="1">
        <f t="array" aca="1" ref="U7" ca="1">TREND($K7:$P7,$K$1:$P$1,U$1)</f>
        <v>3.6</v>
      </c>
      <c r="V7" s="38" cm="1">
        <f t="array" aca="1" ref="V7" ca="1">TREND($K7:$P7,$K$1:$P$1,V$1)</f>
        <v>3.6</v>
      </c>
      <c r="W7" s="38" cm="1">
        <f t="array" aca="1" ref="W7" ca="1">TREND($K7:$P7,$K$1:$P$1,W$1)</f>
        <v>3.6</v>
      </c>
      <c r="X7" s="38" cm="1">
        <f t="array" aca="1" ref="X7" ca="1">TREND($K7:$P7,$K$1:$P$1,X$1)</f>
        <v>3.6</v>
      </c>
      <c r="Y7" s="38" cm="1">
        <f t="array" aca="1" ref="Y7" ca="1">TREND($K7:$P7,$K$1:$P$1,Y$1)</f>
        <v>3.6</v>
      </c>
      <c r="Z7" s="38" cm="1">
        <f t="array" aca="1" ref="Z7" ca="1">TREND($K7:$P7,$K$1:$P$1,Z$1)</f>
        <v>3.6</v>
      </c>
      <c r="AA7" s="38" cm="1">
        <f t="array" aca="1" ref="AA7" ca="1">TREND($K7:$P7,$K$1:$P$1,AA$1)</f>
        <v>3.6</v>
      </c>
      <c r="AB7" s="38" cm="1">
        <f t="array" aca="1" ref="AB7" ca="1">TREND($K7:$P7,$K$1:$P$1,AB$1)</f>
        <v>3.6</v>
      </c>
      <c r="AC7" s="38" cm="1">
        <f t="array" aca="1" ref="AC7" ca="1">TREND($K7:$P7,$K$1:$P$1,AC$1)</f>
        <v>3.6</v>
      </c>
      <c r="AD7" s="38" cm="1">
        <f t="array" aca="1" ref="AD7" ca="1">TREND($K7:$P7,$K$1:$P$1,AD$1)</f>
        <v>3.6</v>
      </c>
      <c r="AE7" s="38" cm="1">
        <f t="array" aca="1" ref="AE7" ca="1">TREND($K7:$P7,$K$1:$P$1,AE$1)</f>
        <v>3.6</v>
      </c>
      <c r="AF7" s="38" cm="1">
        <f t="array" aca="1" ref="AF7" ca="1">TREND($K7:$P7,$K$1:$P$1,AF$1)</f>
        <v>3.6</v>
      </c>
      <c r="AG7" s="38" cm="1">
        <f t="array" aca="1" ref="AG7" ca="1">TREND($K7:$P7,$K$1:$P$1,AG$1)</f>
        <v>3.6</v>
      </c>
      <c r="AH7" s="38" cm="1">
        <f t="array" aca="1" ref="AH7" ca="1">TREND($K7:$P7,$K$1:$P$1,AH$1)</f>
        <v>3.6</v>
      </c>
      <c r="AI7" s="38" cm="1">
        <f t="array" aca="1" ref="AI7" ca="1">TREND($K7:$P7,$K$1:$P$1,AI$1)</f>
        <v>3.6</v>
      </c>
      <c r="AJ7" s="38" cm="1">
        <f t="array" aca="1" ref="AJ7" ca="1">TREND($K7:$P7,$K$1:$P$1,AJ$1)</f>
        <v>3.6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0.57999999999999996</v>
      </c>
      <c r="C8" s="38">
        <f t="shared" ca="1" si="3"/>
        <v>0.58250000000000002</v>
      </c>
      <c r="D8" s="38">
        <f t="shared" ca="1" si="0"/>
        <v>0.58499999999999996</v>
      </c>
      <c r="E8" s="38">
        <f t="shared" ca="1" si="0"/>
        <v>0.58749999999999991</v>
      </c>
      <c r="F8" s="39" cm="1">
        <f t="array" aca="1" ref="F8" ca="1">INDIRECT(CONCATENATE("'",HLOOKUP(F$1,$B$21:$E$23,3,FALSE),"'!",$B$25,ROW($A8)+5))*About!$A$27</f>
        <v>0.59</v>
      </c>
      <c r="G8" s="38">
        <f t="shared" ca="1" si="4"/>
        <v>0.59399999999999997</v>
      </c>
      <c r="H8" s="38">
        <f t="shared" ca="1" si="1"/>
        <v>0.59799999999999998</v>
      </c>
      <c r="I8" s="38">
        <f t="shared" ca="1" si="1"/>
        <v>0.60199999999999998</v>
      </c>
      <c r="J8" s="38">
        <f t="shared" ca="1" si="1"/>
        <v>0.60599999999999998</v>
      </c>
      <c r="K8" s="39" cm="1">
        <f t="array" aca="1" ref="K8" ca="1">INDIRECT(CONCATENATE("'",HLOOKUP(K$1,$B$21:$E$23,3,FALSE),"'!",$B$25,ROW($A8)+5))*About!$A$27</f>
        <v>0.61</v>
      </c>
      <c r="L8" s="38">
        <f t="shared" ca="1" si="5"/>
        <v>0.61199999999999999</v>
      </c>
      <c r="M8" s="38">
        <f t="shared" ca="1" si="2"/>
        <v>0.61399999999999999</v>
      </c>
      <c r="N8" s="38">
        <f t="shared" ca="1" si="2"/>
        <v>0.61599999999999999</v>
      </c>
      <c r="O8" s="38">
        <f t="shared" ca="1" si="2"/>
        <v>0.61799999999999999</v>
      </c>
      <c r="P8" s="39" cm="1">
        <f t="array" aca="1" ref="P8" ca="1">INDIRECT(CONCATENATE("'",HLOOKUP(P$1,$B$21:$E$23,3,FALSE),"'!",$B$25,ROW($A8)+5))*About!$A$27</f>
        <v>0.62</v>
      </c>
      <c r="Q8" s="38" cm="1">
        <f t="array" aca="1" ref="Q8" ca="1">TREND($K8:$P8,$K$1:$P$1,Q$1)</f>
        <v>0.62200000000000077</v>
      </c>
      <c r="R8" s="38" cm="1">
        <f t="array" aca="1" ref="R8" ca="1">TREND($K8:$P8,$K$1:$P$1,R$1)</f>
        <v>0.62400000000000055</v>
      </c>
      <c r="S8" s="38" cm="1">
        <f t="array" aca="1" ref="S8" ca="1">TREND($K8:$P8,$K$1:$P$1,S$1)</f>
        <v>0.62600000000000033</v>
      </c>
      <c r="T8" s="38" cm="1">
        <f t="array" aca="1" ref="T8" ca="1">TREND($K8:$P8,$K$1:$P$1,T$1)</f>
        <v>0.62800000000000011</v>
      </c>
      <c r="U8" s="38" cm="1">
        <f t="array" aca="1" ref="U8" ca="1">TREND($K8:$P8,$K$1:$P$1,U$1)</f>
        <v>0.63000000000000078</v>
      </c>
      <c r="V8" s="38" cm="1">
        <f t="array" aca="1" ref="V8" ca="1">TREND($K8:$P8,$K$1:$P$1,V$1)</f>
        <v>0.63200000000000056</v>
      </c>
      <c r="W8" s="38" cm="1">
        <f t="array" aca="1" ref="W8" ca="1">TREND($K8:$P8,$K$1:$P$1,W$1)</f>
        <v>0.63400000000000034</v>
      </c>
      <c r="X8" s="38" cm="1">
        <f t="array" aca="1" ref="X8" ca="1">TREND($K8:$P8,$K$1:$P$1,X$1)</f>
        <v>0.63600000000000101</v>
      </c>
      <c r="Y8" s="38" cm="1">
        <f t="array" aca="1" ref="Y8" ca="1">TREND($K8:$P8,$K$1:$P$1,Y$1)</f>
        <v>0.63800000000000079</v>
      </c>
      <c r="Z8" s="38" cm="1">
        <f t="array" aca="1" ref="Z8" ca="1">TREND($K8:$P8,$K$1:$P$1,Z$1)</f>
        <v>0.64000000000000057</v>
      </c>
      <c r="AA8" s="38" cm="1">
        <f t="array" aca="1" ref="AA8" ca="1">TREND($K8:$P8,$K$1:$P$1,AA$1)</f>
        <v>0.64200000000000035</v>
      </c>
      <c r="AB8" s="38" cm="1">
        <f t="array" aca="1" ref="AB8" ca="1">TREND($K8:$P8,$K$1:$P$1,AB$1)</f>
        <v>0.64400000000000013</v>
      </c>
      <c r="AC8" s="38" cm="1">
        <f t="array" aca="1" ref="AC8" ca="1">TREND($K8:$P8,$K$1:$P$1,AC$1)</f>
        <v>0.6460000000000008</v>
      </c>
      <c r="AD8" s="38" cm="1">
        <f t="array" aca="1" ref="AD8" ca="1">TREND($K8:$P8,$K$1:$P$1,AD$1)</f>
        <v>0.64800000000000058</v>
      </c>
      <c r="AE8" s="38" cm="1">
        <f t="array" aca="1" ref="AE8" ca="1">TREND($K8:$P8,$K$1:$P$1,AE$1)</f>
        <v>0.65000000000000036</v>
      </c>
      <c r="AF8" s="38" cm="1">
        <f t="array" aca="1" ref="AF8" ca="1">TREND($K8:$P8,$K$1:$P$1,AF$1)</f>
        <v>0.65200000000000102</v>
      </c>
      <c r="AG8" s="38" cm="1">
        <f t="array" aca="1" ref="AG8" ca="1">TREND($K8:$P8,$K$1:$P$1,AG$1)</f>
        <v>0.6540000000000008</v>
      </c>
      <c r="AH8" s="38" cm="1">
        <f t="array" aca="1" ref="AH8" ca="1">TREND($K8:$P8,$K$1:$P$1,AH$1)</f>
        <v>0.65600000000000058</v>
      </c>
      <c r="AI8" s="38" cm="1">
        <f t="array" aca="1" ref="AI8" ca="1">TREND($K8:$P8,$K$1:$P$1,AI$1)</f>
        <v>0.65800000000000036</v>
      </c>
      <c r="AJ8" s="38" cm="1">
        <f t="array" aca="1" ref="AJ8" ca="1">TREND($K8:$P8,$K$1:$P$1,AJ$1)</f>
        <v>0.66000000000000014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0.14000000000000001</v>
      </c>
      <c r="C9" s="38">
        <f t="shared" ca="1" si="3"/>
        <v>0.14000000000000001</v>
      </c>
      <c r="D9" s="38">
        <f t="shared" ca="1" si="0"/>
        <v>0.14000000000000001</v>
      </c>
      <c r="E9" s="38">
        <f t="shared" ca="1" si="0"/>
        <v>0.14000000000000001</v>
      </c>
      <c r="F9" s="39" cm="1">
        <f t="array" aca="1" ref="F9" ca="1">INDIRECT(CONCATENATE("'",HLOOKUP(F$1,$B$21:$E$23,3,FALSE),"'!",$B$25,ROW($A9)+5))*About!$A$27</f>
        <v>0.14000000000000001</v>
      </c>
      <c r="G9" s="38">
        <f t="shared" ca="1" si="4"/>
        <v>0.14000000000000001</v>
      </c>
      <c r="H9" s="38">
        <f t="shared" ca="1" si="1"/>
        <v>0.14000000000000001</v>
      </c>
      <c r="I9" s="38">
        <f t="shared" ca="1" si="1"/>
        <v>0.14000000000000001</v>
      </c>
      <c r="J9" s="38">
        <f t="shared" ca="1" si="1"/>
        <v>0.14000000000000001</v>
      </c>
      <c r="K9" s="39" cm="1">
        <f t="array" aca="1" ref="K9" ca="1">INDIRECT(CONCATENATE("'",HLOOKUP(K$1,$B$21:$E$23,3,FALSE),"'!",$B$25,ROW($A9)+5))*About!$A$27</f>
        <v>0.14000000000000001</v>
      </c>
      <c r="L9" s="38">
        <f t="shared" ca="1" si="5"/>
        <v>0.14200000000000002</v>
      </c>
      <c r="M9" s="38">
        <f t="shared" ca="1" si="2"/>
        <v>0.14400000000000002</v>
      </c>
      <c r="N9" s="38">
        <f t="shared" ca="1" si="2"/>
        <v>0.14599999999999999</v>
      </c>
      <c r="O9" s="38">
        <f t="shared" ca="1" si="2"/>
        <v>0.14799999999999999</v>
      </c>
      <c r="P9" s="39" cm="1">
        <f t="array" aca="1" ref="P9" ca="1">INDIRECT(CONCATENATE("'",HLOOKUP(P$1,$B$21:$E$23,3,FALSE),"'!",$B$25,ROW($A9)+5))*About!$A$27</f>
        <v>0.15</v>
      </c>
      <c r="Q9" s="38" cm="1">
        <f t="array" aca="1" ref="Q9" ca="1">TREND($K9:$P9,$K$1:$P$1,Q$1)</f>
        <v>0.15199999999999969</v>
      </c>
      <c r="R9" s="38" cm="1">
        <f t="array" aca="1" ref="R9" ca="1">TREND($K9:$P9,$K$1:$P$1,R$1)</f>
        <v>0.15399999999999947</v>
      </c>
      <c r="S9" s="38" cm="1">
        <f t="array" aca="1" ref="S9" ca="1">TREND($K9:$P9,$K$1:$P$1,S$1)</f>
        <v>0.15599999999999925</v>
      </c>
      <c r="T9" s="38" cm="1">
        <f t="array" aca="1" ref="T9" ca="1">TREND($K9:$P9,$K$1:$P$1,T$1)</f>
        <v>0.15799999999999992</v>
      </c>
      <c r="U9" s="38" cm="1">
        <f t="array" aca="1" ref="U9" ca="1">TREND($K9:$P9,$K$1:$P$1,U$1)</f>
        <v>0.1599999999999997</v>
      </c>
      <c r="V9" s="38" cm="1">
        <f t="array" aca="1" ref="V9" ca="1">TREND($K9:$P9,$K$1:$P$1,V$1)</f>
        <v>0.16199999999999948</v>
      </c>
      <c r="W9" s="38" cm="1">
        <f t="array" aca="1" ref="W9" ca="1">TREND($K9:$P9,$K$1:$P$1,W$1)</f>
        <v>0.16399999999999926</v>
      </c>
      <c r="X9" s="38" cm="1">
        <f t="array" aca="1" ref="X9" ca="1">TREND($K9:$P9,$K$1:$P$1,X$1)</f>
        <v>0.16599999999999993</v>
      </c>
      <c r="Y9" s="38" cm="1">
        <f t="array" aca="1" ref="Y9" ca="1">TREND($K9:$P9,$K$1:$P$1,Y$1)</f>
        <v>0.16799999999999971</v>
      </c>
      <c r="Z9" s="38" cm="1">
        <f t="array" aca="1" ref="Z9" ca="1">TREND($K9:$P9,$K$1:$P$1,Z$1)</f>
        <v>0.16999999999999948</v>
      </c>
      <c r="AA9" s="38" cm="1">
        <f t="array" aca="1" ref="AA9" ca="1">TREND($K9:$P9,$K$1:$P$1,AA$1)</f>
        <v>0.17199999999999926</v>
      </c>
      <c r="AB9" s="38" cm="1">
        <f t="array" aca="1" ref="AB9" ca="1">TREND($K9:$P9,$K$1:$P$1,AB$1)</f>
        <v>0.17399999999999993</v>
      </c>
      <c r="AC9" s="38" cm="1">
        <f t="array" aca="1" ref="AC9" ca="1">TREND($K9:$P9,$K$1:$P$1,AC$1)</f>
        <v>0.17599999999999971</v>
      </c>
      <c r="AD9" s="38" cm="1">
        <f t="array" aca="1" ref="AD9" ca="1">TREND($K9:$P9,$K$1:$P$1,AD$1)</f>
        <v>0.17799999999999949</v>
      </c>
      <c r="AE9" s="38" cm="1">
        <f t="array" aca="1" ref="AE9" ca="1">TREND($K9:$P9,$K$1:$P$1,AE$1)</f>
        <v>0.17999999999999927</v>
      </c>
      <c r="AF9" s="38" cm="1">
        <f t="array" aca="1" ref="AF9" ca="1">TREND($K9:$P9,$K$1:$P$1,AF$1)</f>
        <v>0.18199999999999994</v>
      </c>
      <c r="AG9" s="38" cm="1">
        <f t="array" aca="1" ref="AG9" ca="1">TREND($K9:$P9,$K$1:$P$1,AG$1)</f>
        <v>0.18399999999999972</v>
      </c>
      <c r="AH9" s="38" cm="1">
        <f t="array" aca="1" ref="AH9" ca="1">TREND($K9:$P9,$K$1:$P$1,AH$1)</f>
        <v>0.1859999999999995</v>
      </c>
      <c r="AI9" s="38" cm="1">
        <f t="array" aca="1" ref="AI9" ca="1">TREND($K9:$P9,$K$1:$P$1,AI$1)</f>
        <v>0.18799999999999928</v>
      </c>
      <c r="AJ9" s="38" cm="1">
        <f t="array" aca="1" ref="AJ9" ca="1">TREND($K9:$P9,$K$1:$P$1,AJ$1)</f>
        <v>0.18999999999999906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1.1999999999999999E-3</v>
      </c>
      <c r="C10" s="38">
        <f t="shared" ca="1" si="3"/>
        <v>1.225E-3</v>
      </c>
      <c r="D10" s="38">
        <f t="shared" ca="1" si="0"/>
        <v>1.2499999999999998E-3</v>
      </c>
      <c r="E10" s="38">
        <f t="shared" ca="1" si="0"/>
        <v>1.2749999999999999E-3</v>
      </c>
      <c r="F10" s="39" cm="1">
        <f t="array" aca="1" ref="F10" ca="1">INDIRECT(CONCATENATE("'",HLOOKUP(F$1,$B$21:$E$23,3,FALSE),"'!",$B$25,ROW($A10)+5))*About!$A$27</f>
        <v>1.2999999999999999E-3</v>
      </c>
      <c r="G10" s="38">
        <f t="shared" ca="1" si="4"/>
        <v>1.32E-3</v>
      </c>
      <c r="H10" s="38">
        <f t="shared" ca="1" si="1"/>
        <v>1.34E-3</v>
      </c>
      <c r="I10" s="38">
        <f t="shared" ca="1" si="1"/>
        <v>1.3599999999999999E-3</v>
      </c>
      <c r="J10" s="38">
        <f t="shared" ca="1" si="1"/>
        <v>1.3799999999999999E-3</v>
      </c>
      <c r="K10" s="39" cm="1">
        <f t="array" aca="1" ref="K10" ca="1">INDIRECT(CONCATENATE("'",HLOOKUP(K$1,$B$21:$E$23,3,FALSE),"'!",$B$25,ROW($A10)+5))*About!$A$27</f>
        <v>1.4E-3</v>
      </c>
      <c r="L10" s="38">
        <f t="shared" ca="1" si="5"/>
        <v>1.42E-3</v>
      </c>
      <c r="M10" s="38">
        <f t="shared" ca="1" si="2"/>
        <v>1.4400000000000001E-3</v>
      </c>
      <c r="N10" s="38">
        <f t="shared" ca="1" si="2"/>
        <v>1.4599999999999999E-3</v>
      </c>
      <c r="O10" s="38">
        <f t="shared" ca="1" si="2"/>
        <v>1.48E-3</v>
      </c>
      <c r="P10" s="39" cm="1">
        <f t="array" aca="1" ref="P10" ca="1">INDIRECT(CONCATENATE("'",HLOOKUP(P$1,$B$21:$E$23,3,FALSE),"'!",$B$25,ROW($A10)+5))*About!$A$27</f>
        <v>1.5E-3</v>
      </c>
      <c r="Q10" s="38" cm="1">
        <f t="array" aca="1" ref="Q10" ca="1">TREND($K10:$P10,$K$1:$P$1,Q$1)</f>
        <v>1.5200000000000005E-3</v>
      </c>
      <c r="R10" s="38" cm="1">
        <f t="array" aca="1" ref="R10" ca="1">TREND($K10:$P10,$K$1:$P$1,R$1)</f>
        <v>1.5399999999999997E-3</v>
      </c>
      <c r="S10" s="38" cm="1">
        <f t="array" aca="1" ref="S10" ca="1">TREND($K10:$P10,$K$1:$P$1,S$1)</f>
        <v>1.5599999999999989E-3</v>
      </c>
      <c r="T10" s="38" cm="1">
        <f t="array" aca="1" ref="T10" ca="1">TREND($K10:$P10,$K$1:$P$1,T$1)</f>
        <v>1.5799999999999981E-3</v>
      </c>
      <c r="U10" s="38" cm="1">
        <f t="array" aca="1" ref="U10" ca="1">TREND($K10:$P10,$K$1:$P$1,U$1)</f>
        <v>1.5999999999999973E-3</v>
      </c>
      <c r="V10" s="38" cm="1">
        <f t="array" aca="1" ref="V10" ca="1">TREND($K10:$P10,$K$1:$P$1,V$1)</f>
        <v>1.6200000000000034E-3</v>
      </c>
      <c r="W10" s="38" cm="1">
        <f t="array" aca="1" ref="W10" ca="1">TREND($K10:$P10,$K$1:$P$1,W$1)</f>
        <v>1.6400000000000026E-3</v>
      </c>
      <c r="X10" s="38" cm="1">
        <f t="array" aca="1" ref="X10" ca="1">TREND($K10:$P10,$K$1:$P$1,X$1)</f>
        <v>1.6600000000000018E-3</v>
      </c>
      <c r="Y10" s="38" cm="1">
        <f t="array" aca="1" ref="Y10" ca="1">TREND($K10:$P10,$K$1:$P$1,Y$1)</f>
        <v>1.6800000000000009E-3</v>
      </c>
      <c r="Z10" s="38" cm="1">
        <f t="array" aca="1" ref="Z10" ca="1">TREND($K10:$P10,$K$1:$P$1,Z$1)</f>
        <v>1.7000000000000001E-3</v>
      </c>
      <c r="AA10" s="38" cm="1">
        <f t="array" aca="1" ref="AA10" ca="1">TREND($K10:$P10,$K$1:$P$1,AA$1)</f>
        <v>1.7199999999999993E-3</v>
      </c>
      <c r="AB10" s="38" cm="1">
        <f t="array" aca="1" ref="AB10" ca="1">TREND($K10:$P10,$K$1:$P$1,AB$1)</f>
        <v>1.7399999999999985E-3</v>
      </c>
      <c r="AC10" s="38" cm="1">
        <f t="array" aca="1" ref="AC10" ca="1">TREND($K10:$P10,$K$1:$P$1,AC$1)</f>
        <v>1.7599999999999977E-3</v>
      </c>
      <c r="AD10" s="38" cm="1">
        <f t="array" aca="1" ref="AD10" ca="1">TREND($K10:$P10,$K$1:$P$1,AD$1)</f>
        <v>1.7800000000000038E-3</v>
      </c>
      <c r="AE10" s="38" cm="1">
        <f t="array" aca="1" ref="AE10" ca="1">TREND($K10:$P10,$K$1:$P$1,AE$1)</f>
        <v>1.800000000000003E-3</v>
      </c>
      <c r="AF10" s="38" cm="1">
        <f t="array" aca="1" ref="AF10" ca="1">TREND($K10:$P10,$K$1:$P$1,AF$1)</f>
        <v>1.8200000000000022E-3</v>
      </c>
      <c r="AG10" s="38" cm="1">
        <f t="array" aca="1" ref="AG10" ca="1">TREND($K10:$P10,$K$1:$P$1,AG$1)</f>
        <v>1.8400000000000014E-3</v>
      </c>
      <c r="AH10" s="38" cm="1">
        <f t="array" aca="1" ref="AH10" ca="1">TREND($K10:$P10,$K$1:$P$1,AH$1)</f>
        <v>1.8600000000000005E-3</v>
      </c>
      <c r="AI10" s="38" cm="1">
        <f t="array" aca="1" ref="AI10" ca="1">TREND($K10:$P10,$K$1:$P$1,AI$1)</f>
        <v>1.8799999999999997E-3</v>
      </c>
      <c r="AJ10" s="38" cm="1">
        <f t="array" aca="1" ref="AJ10" ca="1">TREND($K10:$P10,$K$1:$P$1,AJ$1)</f>
        <v>1.8999999999999989E-3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1.1000000000000001E-3</v>
      </c>
      <c r="C11" s="38">
        <f t="shared" ca="1" si="3"/>
        <v>1.1250000000000001E-3</v>
      </c>
      <c r="D11" s="38">
        <f t="shared" ca="1" si="0"/>
        <v>1.15E-3</v>
      </c>
      <c r="E11" s="38">
        <f t="shared" ca="1" si="0"/>
        <v>1.1749999999999998E-3</v>
      </c>
      <c r="F11" s="39" cm="1">
        <f t="array" aca="1" ref="F11" ca="1">INDIRECT(CONCATENATE("'",HLOOKUP(F$1,$B$21:$E$23,3,FALSE),"'!",$B$25,ROW($A11)+5))*About!$A$27</f>
        <v>1.1999999999999999E-3</v>
      </c>
      <c r="G11" s="38">
        <f t="shared" ca="1" si="4"/>
        <v>1.24E-3</v>
      </c>
      <c r="H11" s="38">
        <f t="shared" ca="1" si="1"/>
        <v>1.2799999999999999E-3</v>
      </c>
      <c r="I11" s="38">
        <f t="shared" ca="1" si="1"/>
        <v>1.32E-3</v>
      </c>
      <c r="J11" s="38">
        <f t="shared" ca="1" si="1"/>
        <v>1.3599999999999999E-3</v>
      </c>
      <c r="K11" s="39" cm="1">
        <f t="array" aca="1" ref="K11" ca="1">INDIRECT(CONCATENATE("'",HLOOKUP(K$1,$B$21:$E$23,3,FALSE),"'!",$B$25,ROW($A11)+5))*About!$A$27</f>
        <v>1.4E-3</v>
      </c>
      <c r="L11" s="38">
        <f t="shared" ca="1" si="5"/>
        <v>1.42E-3</v>
      </c>
      <c r="M11" s="38">
        <f t="shared" ca="1" si="2"/>
        <v>1.4400000000000001E-3</v>
      </c>
      <c r="N11" s="38">
        <f t="shared" ca="1" si="2"/>
        <v>1.4599999999999999E-3</v>
      </c>
      <c r="O11" s="38">
        <f t="shared" ca="1" si="2"/>
        <v>1.48E-3</v>
      </c>
      <c r="P11" s="39" cm="1">
        <f t="array" aca="1" ref="P11" ca="1">INDIRECT(CONCATENATE("'",HLOOKUP(P$1,$B$21:$E$23,3,FALSE),"'!",$B$25,ROW($A11)+5))*About!$A$27</f>
        <v>1.5E-3</v>
      </c>
      <c r="Q11" s="38" cm="1">
        <f t="array" aca="1" ref="Q11" ca="1">TREND($K11:$P11,$K$1:$P$1,Q$1)</f>
        <v>1.5200000000000005E-3</v>
      </c>
      <c r="R11" s="38" cm="1">
        <f t="array" aca="1" ref="R11" ca="1">TREND($K11:$P11,$K$1:$P$1,R$1)</f>
        <v>1.5399999999999997E-3</v>
      </c>
      <c r="S11" s="38" cm="1">
        <f t="array" aca="1" ref="S11" ca="1">TREND($K11:$P11,$K$1:$P$1,S$1)</f>
        <v>1.5599999999999989E-3</v>
      </c>
      <c r="T11" s="38" cm="1">
        <f t="array" aca="1" ref="T11" ca="1">TREND($K11:$P11,$K$1:$P$1,T$1)</f>
        <v>1.5799999999999981E-3</v>
      </c>
      <c r="U11" s="38" cm="1">
        <f t="array" aca="1" ref="U11" ca="1">TREND($K11:$P11,$K$1:$P$1,U$1)</f>
        <v>1.5999999999999973E-3</v>
      </c>
      <c r="V11" s="38" cm="1">
        <f t="array" aca="1" ref="V11" ca="1">TREND($K11:$P11,$K$1:$P$1,V$1)</f>
        <v>1.6200000000000034E-3</v>
      </c>
      <c r="W11" s="38" cm="1">
        <f t="array" aca="1" ref="W11" ca="1">TREND($K11:$P11,$K$1:$P$1,W$1)</f>
        <v>1.6400000000000026E-3</v>
      </c>
      <c r="X11" s="38" cm="1">
        <f t="array" aca="1" ref="X11" ca="1">TREND($K11:$P11,$K$1:$P$1,X$1)</f>
        <v>1.6600000000000018E-3</v>
      </c>
      <c r="Y11" s="38" cm="1">
        <f t="array" aca="1" ref="Y11" ca="1">TREND($K11:$P11,$K$1:$P$1,Y$1)</f>
        <v>1.6800000000000009E-3</v>
      </c>
      <c r="Z11" s="38" cm="1">
        <f t="array" aca="1" ref="Z11" ca="1">TREND($K11:$P11,$K$1:$P$1,Z$1)</f>
        <v>1.7000000000000001E-3</v>
      </c>
      <c r="AA11" s="38" cm="1">
        <f t="array" aca="1" ref="AA11" ca="1">TREND($K11:$P11,$K$1:$P$1,AA$1)</f>
        <v>1.7199999999999993E-3</v>
      </c>
      <c r="AB11" s="38" cm="1">
        <f t="array" aca="1" ref="AB11" ca="1">TREND($K11:$P11,$K$1:$P$1,AB$1)</f>
        <v>1.7399999999999985E-3</v>
      </c>
      <c r="AC11" s="38" cm="1">
        <f t="array" aca="1" ref="AC11" ca="1">TREND($K11:$P11,$K$1:$P$1,AC$1)</f>
        <v>1.7599999999999977E-3</v>
      </c>
      <c r="AD11" s="38" cm="1">
        <f t="array" aca="1" ref="AD11" ca="1">TREND($K11:$P11,$K$1:$P$1,AD$1)</f>
        <v>1.7800000000000038E-3</v>
      </c>
      <c r="AE11" s="38" cm="1">
        <f t="array" aca="1" ref="AE11" ca="1">TREND($K11:$P11,$K$1:$P$1,AE$1)</f>
        <v>1.800000000000003E-3</v>
      </c>
      <c r="AF11" s="38" cm="1">
        <f t="array" aca="1" ref="AF11" ca="1">TREND($K11:$P11,$K$1:$P$1,AF$1)</f>
        <v>1.8200000000000022E-3</v>
      </c>
      <c r="AG11" s="38" cm="1">
        <f t="array" aca="1" ref="AG11" ca="1">TREND($K11:$P11,$K$1:$P$1,AG$1)</f>
        <v>1.8400000000000014E-3</v>
      </c>
      <c r="AH11" s="38" cm="1">
        <f t="array" aca="1" ref="AH11" ca="1">TREND($K11:$P11,$K$1:$P$1,AH$1)</f>
        <v>1.8600000000000005E-3</v>
      </c>
      <c r="AI11" s="38" cm="1">
        <f t="array" aca="1" ref="AI11" ca="1">TREND($K11:$P11,$K$1:$P$1,AI$1)</f>
        <v>1.8799999999999997E-3</v>
      </c>
      <c r="AJ11" s="38" cm="1">
        <f t="array" aca="1" ref="AJ11" ca="1">TREND($K11:$P11,$K$1:$P$1,AJ$1)</f>
        <v>1.8999999999999989E-3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5.2100000000000002E-3</v>
      </c>
      <c r="C12" s="38">
        <f t="shared" ca="1" si="3"/>
        <v>5.3200000000000001E-3</v>
      </c>
      <c r="D12" s="38">
        <f t="shared" ca="1" si="0"/>
        <v>5.4300000000000008E-3</v>
      </c>
      <c r="E12" s="38">
        <f t="shared" ca="1" si="0"/>
        <v>5.5400000000000007E-3</v>
      </c>
      <c r="F12" s="40">
        <f ca="1">SUM(INDIRECT(CONCATENATE("'",HLOOKUP(F$1,$B$21:$E$23,3,FALSE),"'!",$B$25,ROW($A12)+5,":",$B$25,ROW($A12)+6)))*About!$A$27</f>
        <v>5.6500000000000005E-3</v>
      </c>
      <c r="G12" s="38">
        <f t="shared" ca="1" si="4"/>
        <v>5.7400000000000003E-3</v>
      </c>
      <c r="H12" s="38">
        <f t="shared" ca="1" si="1"/>
        <v>5.8300000000000001E-3</v>
      </c>
      <c r="I12" s="38">
        <f t="shared" ca="1" si="1"/>
        <v>5.9199999999999999E-3</v>
      </c>
      <c r="J12" s="38">
        <f t="shared" ca="1" si="1"/>
        <v>6.0099999999999997E-3</v>
      </c>
      <c r="K12" s="40">
        <f ca="1">SUM(INDIRECT(CONCATENATE("'",HLOOKUP(K$1,$B$21:$E$23,3,FALSE),"'!",$B$25,ROW($A12)+5,":",$B$25,ROW($A12)+6)))*About!$A$27</f>
        <v>6.0999999999999995E-3</v>
      </c>
      <c r="L12" s="38">
        <f t="shared" ca="1" si="5"/>
        <v>6.2099999999999994E-3</v>
      </c>
      <c r="M12" s="38">
        <f t="shared" ca="1" si="2"/>
        <v>6.3199999999999992E-3</v>
      </c>
      <c r="N12" s="38">
        <f t="shared" ca="1" si="2"/>
        <v>6.43E-3</v>
      </c>
      <c r="O12" s="38">
        <f t="shared" ca="1" si="2"/>
        <v>6.5399999999999998E-3</v>
      </c>
      <c r="P12" s="40">
        <f ca="1">SUM(INDIRECT(CONCATENATE("'",HLOOKUP(P$1,$B$21:$E$23,3,FALSE),"'!",$B$25,ROW($A12)+5,":",$B$25,ROW($A12)+6)))*About!$A$27</f>
        <v>6.6499999999999997E-3</v>
      </c>
      <c r="Q12" s="38" cm="1">
        <f t="array" aca="1" ref="Q12" ca="1">TREND($K12:$P12,$K$1:$P$1,Q$1)</f>
        <v>6.7599999999999882E-3</v>
      </c>
      <c r="R12" s="38" cm="1">
        <f t="array" aca="1" ref="R12" ca="1">TREND($K12:$P12,$K$1:$P$1,R$1)</f>
        <v>6.8699999999999872E-3</v>
      </c>
      <c r="S12" s="38" cm="1">
        <f t="array" aca="1" ref="S12" ca="1">TREND($K12:$P12,$K$1:$P$1,S$1)</f>
        <v>6.9799999999999862E-3</v>
      </c>
      <c r="T12" s="38" cm="1">
        <f t="array" aca="1" ref="T12" ca="1">TREND($K12:$P12,$K$1:$P$1,T$1)</f>
        <v>7.0899999999999852E-3</v>
      </c>
      <c r="U12" s="38" cm="1">
        <f t="array" aca="1" ref="U12" ca="1">TREND($K12:$P12,$K$1:$P$1,U$1)</f>
        <v>7.1999999999999842E-3</v>
      </c>
      <c r="V12" s="38" cm="1">
        <f t="array" aca="1" ref="V12" ca="1">TREND($K12:$P12,$K$1:$P$1,V$1)</f>
        <v>7.3100000000000109E-3</v>
      </c>
      <c r="W12" s="38" cm="1">
        <f t="array" aca="1" ref="W12" ca="1">TREND($K12:$P12,$K$1:$P$1,W$1)</f>
        <v>7.4200000000000099E-3</v>
      </c>
      <c r="X12" s="38" cm="1">
        <f t="array" aca="1" ref="X12" ca="1">TREND($K12:$P12,$K$1:$P$1,X$1)</f>
        <v>7.5300000000000089E-3</v>
      </c>
      <c r="Y12" s="38" cm="1">
        <f t="array" aca="1" ref="Y12" ca="1">TREND($K12:$P12,$K$1:$P$1,Y$1)</f>
        <v>7.6400000000000079E-3</v>
      </c>
      <c r="Z12" s="38" cm="1">
        <f t="array" aca="1" ref="Z12" ca="1">TREND($K12:$P12,$K$1:$P$1,Z$1)</f>
        <v>7.7500000000000069E-3</v>
      </c>
      <c r="AA12" s="38" cm="1">
        <f t="array" aca="1" ref="AA12" ca="1">TREND($K12:$P12,$K$1:$P$1,AA$1)</f>
        <v>7.8600000000000059E-3</v>
      </c>
      <c r="AB12" s="38" cm="1">
        <f t="array" aca="1" ref="AB12" ca="1">TREND($K12:$P12,$K$1:$P$1,AB$1)</f>
        <v>7.9700000000000049E-3</v>
      </c>
      <c r="AC12" s="38" cm="1">
        <f t="array" aca="1" ref="AC12" ca="1">TREND($K12:$P12,$K$1:$P$1,AC$1)</f>
        <v>8.0800000000000038E-3</v>
      </c>
      <c r="AD12" s="38" cm="1">
        <f t="array" aca="1" ref="AD12" ca="1">TREND($K12:$P12,$K$1:$P$1,AD$1)</f>
        <v>8.1900000000000028E-3</v>
      </c>
      <c r="AE12" s="38" cm="1">
        <f t="array" aca="1" ref="AE12" ca="1">TREND($K12:$P12,$K$1:$P$1,AE$1)</f>
        <v>8.3000000000000018E-3</v>
      </c>
      <c r="AF12" s="38" cm="1">
        <f t="array" aca="1" ref="AF12" ca="1">TREND($K12:$P12,$K$1:$P$1,AF$1)</f>
        <v>8.4100000000000008E-3</v>
      </c>
      <c r="AG12" s="38" cm="1">
        <f t="array" aca="1" ref="AG12" ca="1">TREND($K12:$P12,$K$1:$P$1,AG$1)</f>
        <v>8.5199999999999998E-3</v>
      </c>
      <c r="AH12" s="38" cm="1">
        <f t="array" aca="1" ref="AH12" ca="1">TREND($K12:$P12,$K$1:$P$1,AH$1)</f>
        <v>8.6299999999999988E-3</v>
      </c>
      <c r="AI12" s="38" cm="1">
        <f t="array" aca="1" ref="AI12" ca="1">TREND($K12:$P12,$K$1:$P$1,AI$1)</f>
        <v>8.7399999999999978E-3</v>
      </c>
      <c r="AJ12" s="38" cm="1">
        <f t="array" aca="1" ref="AJ12" ca="1">TREND($K12:$P12,$K$1:$P$1,AJ$1)</f>
        <v>8.8499999999999968E-3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HOIpTP-industry-SO2</v>
      </c>
    </row>
    <row r="18" spans="1:5" x14ac:dyDescent="0.25">
      <c r="A18" t="s">
        <v>114</v>
      </c>
      <c r="B18" t="str">
        <f ca="1">RIGHT(B17,LEN(B17)-7)</f>
        <v>industry-SO2</v>
      </c>
    </row>
    <row r="19" spans="1:5" x14ac:dyDescent="0.25">
      <c r="A19" t="s">
        <v>115</v>
      </c>
      <c r="B19" t="str">
        <f ca="1">LEFT(B18,FIND("-",B18)-1)</f>
        <v>industry</v>
      </c>
    </row>
    <row r="20" spans="1:5" x14ac:dyDescent="0.25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12</v>
      </c>
      <c r="C22" s="32">
        <f ca="1">VLOOKUP($B$20,Mappings!$A$3:$E$19,COLUMN(Mappings!C$2),FALSE)</f>
        <v>29</v>
      </c>
      <c r="D22" s="32">
        <f ca="1">VLOOKUP($B$20,Mappings!$A$3:$E$19,COLUMN(Mappings!D$2),FALSE)</f>
        <v>46</v>
      </c>
      <c r="E22" s="33">
        <f ca="1">VLOOKUP($B$20,Mappings!$A$3:$E$19,COLUMN(Mappings!E$2),FALSE)</f>
        <v>63</v>
      </c>
    </row>
    <row r="23" spans="1:5" x14ac:dyDescent="0.25">
      <c r="A23" s="34" t="s">
        <v>113</v>
      </c>
      <c r="B23" s="35" t="str">
        <f ca="1">CONCATENATE("Table ",B22)</f>
        <v>Table 12</v>
      </c>
      <c r="C23" s="35" t="str">
        <f ca="1">CONCATENATE("Table ",C22)</f>
        <v>Table 29</v>
      </c>
      <c r="D23" s="35" t="str">
        <f ca="1">CONCATENATE("Table ",D22)</f>
        <v>Table 46</v>
      </c>
      <c r="E23" s="36" t="str">
        <f ca="1">CONCATENATE("Table ",E22)</f>
        <v>Table 63</v>
      </c>
    </row>
    <row r="24" spans="1:5" x14ac:dyDescent="0.25">
      <c r="A24" t="s">
        <v>116</v>
      </c>
      <c r="B24" t="str">
        <f ca="1">REPLACE(B18,1,FIND("-",B18),"")</f>
        <v>SO2</v>
      </c>
    </row>
    <row r="25" spans="1:5" x14ac:dyDescent="0.25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2EC1-04D2-4053-8674-0DBD4D41DFB5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8.8999999999999995E-4</v>
      </c>
      <c r="C2" s="38">
        <f ca="1">$B2+($F2-$B2)*(C$1-$B$1)/($F$1-$B$1)</f>
        <v>8.9749999999999997E-4</v>
      </c>
      <c r="D2" s="38">
        <f t="shared" ref="D2:E12" ca="1" si="0">$B2+($F2-$B2)*(D$1-$B$1)/($F$1-$B$1)</f>
        <v>9.0499999999999999E-4</v>
      </c>
      <c r="E2" s="38">
        <f t="shared" ca="1" si="0"/>
        <v>9.1250000000000001E-4</v>
      </c>
      <c r="F2" s="37" cm="1">
        <f t="array" aca="1" ref="F2" ca="1">INDIRECT(CONCATENATE("'",HLOOKUP(F$1,$B$21:$E$23,3,FALSE),"'!",$B$25,ROW($A2)+3))*About!$A$27</f>
        <v>9.2000000000000003E-4</v>
      </c>
      <c r="G2" s="38">
        <f ca="1">$F2+($K2-$F2)*(G$1-$F$1)/($K$1-$F$1)</f>
        <v>9.3199999999999999E-4</v>
      </c>
      <c r="H2" s="38">
        <f t="shared" ref="H2:J12" ca="1" si="1">$F2+($K2-$F2)*(H$1-$F$1)/($K$1-$F$1)</f>
        <v>9.4399999999999996E-4</v>
      </c>
      <c r="I2" s="38">
        <f t="shared" ca="1" si="1"/>
        <v>9.5600000000000004E-4</v>
      </c>
      <c r="J2" s="38">
        <f t="shared" ca="1" si="1"/>
        <v>9.68E-4</v>
      </c>
      <c r="K2" s="37" cm="1">
        <f t="array" aca="1" ref="K2" ca="1">INDIRECT(CONCATENATE("'",HLOOKUP(K$1,$B$21:$E$23,3,FALSE),"'!",$B$25,ROW($A2)+3))*About!$A$27</f>
        <v>9.7999999999999997E-4</v>
      </c>
      <c r="L2" s="38">
        <f ca="1">$K2+($P2-$K2)*(L$1-$K$1)/($P$1-$K$1)</f>
        <v>9.8400000000000007E-4</v>
      </c>
      <c r="M2" s="38">
        <f t="shared" ref="M2:O12" ca="1" si="2">$K2+($P2-$K2)*(M$1-$K$1)/($P$1-$K$1)</f>
        <v>9.8799999999999995E-4</v>
      </c>
      <c r="N2" s="38">
        <f t="shared" ca="1" si="2"/>
        <v>9.9200000000000004E-4</v>
      </c>
      <c r="O2" s="38">
        <f t="shared" ca="1" si="2"/>
        <v>9.9599999999999992E-4</v>
      </c>
      <c r="P2" s="37" cm="1">
        <f t="array" aca="1" ref="P2" ca="1">INDIRECT(CONCATENATE("'",HLOOKUP(P$1,$B$21:$E$23,3,FALSE),"'!",$B$25,ROW($A2)+3))*About!$A$27</f>
        <v>1E-3</v>
      </c>
      <c r="Q2" s="38" cm="1">
        <f t="array" aca="1" ref="Q2" ca="1">TREND($K2:$P2,$K$1:$P$1,Q$1)</f>
        <v>1.0039999999999997E-3</v>
      </c>
      <c r="R2" s="38" cm="1">
        <f t="array" aca="1" ref="R2" ca="1">TREND($K2:$P2,$K$1:$P$1,R$1)</f>
        <v>1.0080000000000002E-3</v>
      </c>
      <c r="S2" s="38" cm="1">
        <f t="array" aca="1" ref="S2" ca="1">TREND($K2:$P2,$K$1:$P$1,S$1)</f>
        <v>1.0120000000000007E-3</v>
      </c>
      <c r="T2" s="38" cm="1">
        <f t="array" aca="1" ref="T2" ca="1">TREND($K2:$P2,$K$1:$P$1,T$1)</f>
        <v>1.0159999999999995E-3</v>
      </c>
      <c r="U2" s="38" cm="1">
        <f t="array" aca="1" ref="U2" ca="1">TREND($K2:$P2,$K$1:$P$1,U$1)</f>
        <v>1.0200000000000001E-3</v>
      </c>
      <c r="V2" s="38" cm="1">
        <f t="array" aca="1" ref="V2" ca="1">TREND($K2:$P2,$K$1:$P$1,V$1)</f>
        <v>1.0240000000000006E-3</v>
      </c>
      <c r="W2" s="38" cm="1">
        <f t="array" aca="1" ref="W2" ca="1">TREND($K2:$P2,$K$1:$P$1,W$1)</f>
        <v>1.0279999999999994E-3</v>
      </c>
      <c r="X2" s="38" cm="1">
        <f t="array" aca="1" ref="X2" ca="1">TREND($K2:$P2,$K$1:$P$1,X$1)</f>
        <v>1.0319999999999999E-3</v>
      </c>
      <c r="Y2" s="38" cm="1">
        <f t="array" aca="1" ref="Y2" ca="1">TREND($K2:$P2,$K$1:$P$1,Y$1)</f>
        <v>1.0360000000000005E-3</v>
      </c>
      <c r="Z2" s="38" cm="1">
        <f t="array" aca="1" ref="Z2" ca="1">TREND($K2:$P2,$K$1:$P$1,Z$1)</f>
        <v>1.0399999999999993E-3</v>
      </c>
      <c r="AA2" s="38" cm="1">
        <f t="array" aca="1" ref="AA2" ca="1">TREND($K2:$P2,$K$1:$P$1,AA$1)</f>
        <v>1.0439999999999998E-3</v>
      </c>
      <c r="AB2" s="38" cm="1">
        <f t="array" aca="1" ref="AB2" ca="1">TREND($K2:$P2,$K$1:$P$1,AB$1)</f>
        <v>1.0480000000000003E-3</v>
      </c>
      <c r="AC2" s="38" cm="1">
        <f t="array" aca="1" ref="AC2" ca="1">TREND($K2:$P2,$K$1:$P$1,AC$1)</f>
        <v>1.0520000000000009E-3</v>
      </c>
      <c r="AD2" s="38" cm="1">
        <f t="array" aca="1" ref="AD2" ca="1">TREND($K2:$P2,$K$1:$P$1,AD$1)</f>
        <v>1.0559999999999996E-3</v>
      </c>
      <c r="AE2" s="38" cm="1">
        <f t="array" aca="1" ref="AE2" ca="1">TREND($K2:$P2,$K$1:$P$1,AE$1)</f>
        <v>1.0600000000000002E-3</v>
      </c>
      <c r="AF2" s="38" cm="1">
        <f t="array" aca="1" ref="AF2" ca="1">TREND($K2:$P2,$K$1:$P$1,AF$1)</f>
        <v>1.0640000000000007E-3</v>
      </c>
      <c r="AG2" s="38" cm="1">
        <f t="array" aca="1" ref="AG2" ca="1">TREND($K2:$P2,$K$1:$P$1,AG$1)</f>
        <v>1.0679999999999995E-3</v>
      </c>
      <c r="AH2" s="38" cm="1">
        <f t="array" aca="1" ref="AH2" ca="1">TREND($K2:$P2,$K$1:$P$1,AH$1)</f>
        <v>1.072E-3</v>
      </c>
      <c r="AI2" s="38" cm="1">
        <f t="array" aca="1" ref="AI2" ca="1">TREND($K2:$P2,$K$1:$P$1,AI$1)</f>
        <v>1.0760000000000006E-3</v>
      </c>
      <c r="AJ2" s="38" cm="1">
        <f t="array" aca="1" ref="AJ2" ca="1">TREND($K2:$P2,$K$1:$P$1,AJ$1)</f>
        <v>1.0799999999999994E-3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4.8999999999999998E-4</v>
      </c>
      <c r="C3" s="38">
        <f t="shared" ref="C3:C12" ca="1" si="3">$B3+($F3-$B3)*(C$1-$B$1)/($F$1-$B$1)</f>
        <v>4.9249999999999999E-4</v>
      </c>
      <c r="D3" s="38">
        <f t="shared" ca="1" si="0"/>
        <v>4.95E-4</v>
      </c>
      <c r="E3" s="38">
        <f t="shared" ca="1" si="0"/>
        <v>4.975E-4</v>
      </c>
      <c r="F3" s="39" cm="1">
        <f t="array" aca="1" ref="F3" ca="1">INDIRECT(CONCATENATE("'",HLOOKUP(F$1,$B$21:$E$23,3,FALSE),"'!",$B$25,ROW($A3)+5))*About!$A$27</f>
        <v>5.0000000000000001E-4</v>
      </c>
      <c r="G3" s="38">
        <f t="shared" ref="G3:G12" ca="1" si="4">$F3+($K3-$F3)*(G$1-$F$1)/($K$1-$F$1)</f>
        <v>5.04E-4</v>
      </c>
      <c r="H3" s="38">
        <f t="shared" ca="1" si="1"/>
        <v>5.0799999999999999E-4</v>
      </c>
      <c r="I3" s="38">
        <f t="shared" ca="1" si="1"/>
        <v>5.1199999999999998E-4</v>
      </c>
      <c r="J3" s="38">
        <f t="shared" ca="1" si="1"/>
        <v>5.1599999999999997E-4</v>
      </c>
      <c r="K3" s="39" cm="1">
        <f t="array" aca="1" ref="K3" ca="1">INDIRECT(CONCATENATE("'",HLOOKUP(K$1,$B$21:$E$23,3,FALSE),"'!",$B$25,ROW($A3)+5))*About!$A$27</f>
        <v>5.1999999999999995E-4</v>
      </c>
      <c r="L3" s="38">
        <f t="shared" ref="L3:L12" ca="1" si="5">$K3+($P3-$K3)*(L$1-$K$1)/($P$1-$K$1)</f>
        <v>5.22E-4</v>
      </c>
      <c r="M3" s="38">
        <f t="shared" ca="1" si="2"/>
        <v>5.2399999999999994E-4</v>
      </c>
      <c r="N3" s="38">
        <f t="shared" ca="1" si="2"/>
        <v>5.2599999999999999E-4</v>
      </c>
      <c r="O3" s="38">
        <f t="shared" ca="1" si="2"/>
        <v>5.2799999999999993E-4</v>
      </c>
      <c r="P3" s="39" cm="1">
        <f t="array" aca="1" ref="P3" ca="1">INDIRECT(CONCATENATE("'",HLOOKUP(P$1,$B$21:$E$23,3,FALSE),"'!",$B$25,ROW($A3)+5))*About!$A$27</f>
        <v>5.2999999999999998E-4</v>
      </c>
      <c r="Q3" s="38" cm="1">
        <f t="array" aca="1" ref="Q3" ca="1">TREND($K3:$P3,$K$1:$P$1,Q$1)</f>
        <v>5.3199999999999992E-4</v>
      </c>
      <c r="R3" s="38" cm="1">
        <f t="array" aca="1" ref="R3" ca="1">TREND($K3:$P3,$K$1:$P$1,R$1)</f>
        <v>5.3400000000000019E-4</v>
      </c>
      <c r="S3" s="38" cm="1">
        <f t="array" aca="1" ref="S3" ca="1">TREND($K3:$P3,$K$1:$P$1,S$1)</f>
        <v>5.3600000000000045E-4</v>
      </c>
      <c r="T3" s="38" cm="1">
        <f t="array" aca="1" ref="T3" ca="1">TREND($K3:$P3,$K$1:$P$1,T$1)</f>
        <v>5.3799999999999985E-4</v>
      </c>
      <c r="U3" s="38" cm="1">
        <f t="array" aca="1" ref="U3" ca="1">TREND($K3:$P3,$K$1:$P$1,U$1)</f>
        <v>5.4000000000000012E-4</v>
      </c>
      <c r="V3" s="38" cm="1">
        <f t="array" aca="1" ref="V3" ca="1">TREND($K3:$P3,$K$1:$P$1,V$1)</f>
        <v>5.4200000000000038E-4</v>
      </c>
      <c r="W3" s="38" cm="1">
        <f t="array" aca="1" ref="W3" ca="1">TREND($K3:$P3,$K$1:$P$1,W$1)</f>
        <v>5.4399999999999978E-4</v>
      </c>
      <c r="X3" s="38" cm="1">
        <f t="array" aca="1" ref="X3" ca="1">TREND($K3:$P3,$K$1:$P$1,X$1)</f>
        <v>5.4600000000000004E-4</v>
      </c>
      <c r="Y3" s="38" cm="1">
        <f t="array" aca="1" ref="Y3" ca="1">TREND($K3:$P3,$K$1:$P$1,Y$1)</f>
        <v>5.4800000000000031E-4</v>
      </c>
      <c r="Z3" s="38" cm="1">
        <f t="array" aca="1" ref="Z3" ca="1">TREND($K3:$P3,$K$1:$P$1,Z$1)</f>
        <v>5.4999999999999971E-4</v>
      </c>
      <c r="AA3" s="38" cm="1">
        <f t="array" aca="1" ref="AA3" ca="1">TREND($K3:$P3,$K$1:$P$1,AA$1)</f>
        <v>5.5199999999999997E-4</v>
      </c>
      <c r="AB3" s="38" cm="1">
        <f t="array" aca="1" ref="AB3" ca="1">TREND($K3:$P3,$K$1:$P$1,AB$1)</f>
        <v>5.5400000000000024E-4</v>
      </c>
      <c r="AC3" s="38" cm="1">
        <f t="array" aca="1" ref="AC3" ca="1">TREND($K3:$P3,$K$1:$P$1,AC$1)</f>
        <v>5.560000000000005E-4</v>
      </c>
      <c r="AD3" s="38" cm="1">
        <f t="array" aca="1" ref="AD3" ca="1">TREND($K3:$P3,$K$1:$P$1,AD$1)</f>
        <v>5.579999999999999E-4</v>
      </c>
      <c r="AE3" s="38" cm="1">
        <f t="array" aca="1" ref="AE3" ca="1">TREND($K3:$P3,$K$1:$P$1,AE$1)</f>
        <v>5.6000000000000017E-4</v>
      </c>
      <c r="AF3" s="38" cm="1">
        <f t="array" aca="1" ref="AF3" ca="1">TREND($K3:$P3,$K$1:$P$1,AF$1)</f>
        <v>5.6200000000000043E-4</v>
      </c>
      <c r="AG3" s="38" cm="1">
        <f t="array" aca="1" ref="AG3" ca="1">TREND($K3:$P3,$K$1:$P$1,AG$1)</f>
        <v>5.6399999999999983E-4</v>
      </c>
      <c r="AH3" s="38" cm="1">
        <f t="array" aca="1" ref="AH3" ca="1">TREND($K3:$P3,$K$1:$P$1,AH$1)</f>
        <v>5.660000000000001E-4</v>
      </c>
      <c r="AI3" s="38" cm="1">
        <f t="array" aca="1" ref="AI3" ca="1">TREND($K3:$P3,$K$1:$P$1,AI$1)</f>
        <v>5.6800000000000036E-4</v>
      </c>
      <c r="AJ3" s="38" cm="1">
        <f t="array" aca="1" ref="AJ3" ca="1">TREND($K3:$P3,$K$1:$P$1,AJ$1)</f>
        <v>5.6999999999999976E-4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1.2999999999999999E-3</v>
      </c>
      <c r="C4" s="38">
        <f t="shared" ca="1" si="3"/>
        <v>1.2999999999999999E-3</v>
      </c>
      <c r="D4" s="38">
        <f t="shared" ca="1" si="0"/>
        <v>1.2999999999999999E-3</v>
      </c>
      <c r="E4" s="38">
        <f t="shared" ca="1" si="0"/>
        <v>1.2999999999999999E-3</v>
      </c>
      <c r="F4" s="39" cm="1">
        <f t="array" aca="1" ref="F4" ca="1">INDIRECT(CONCATENATE("'",HLOOKUP(F$1,$B$21:$E$23,3,FALSE),"'!",$B$25,ROW($A4)+5))*About!$A$27</f>
        <v>1.2999999999999999E-3</v>
      </c>
      <c r="G4" s="38">
        <f t="shared" ca="1" si="4"/>
        <v>1.2999999999999999E-3</v>
      </c>
      <c r="H4" s="38">
        <f t="shared" ca="1" si="1"/>
        <v>1.2999999999999999E-3</v>
      </c>
      <c r="I4" s="38">
        <f t="shared" ca="1" si="1"/>
        <v>1.2999999999999999E-3</v>
      </c>
      <c r="J4" s="38">
        <f t="shared" ca="1" si="1"/>
        <v>1.2999999999999999E-3</v>
      </c>
      <c r="K4" s="39" cm="1">
        <f t="array" aca="1" ref="K4" ca="1">INDIRECT(CONCATENATE("'",HLOOKUP(K$1,$B$21:$E$23,3,FALSE),"'!",$B$25,ROW($A4)+5))*About!$A$27</f>
        <v>1.2999999999999999E-3</v>
      </c>
      <c r="L4" s="38">
        <f t="shared" ca="1" si="5"/>
        <v>1.32E-3</v>
      </c>
      <c r="M4" s="38">
        <f t="shared" ca="1" si="2"/>
        <v>1.34E-3</v>
      </c>
      <c r="N4" s="38">
        <f t="shared" ca="1" si="2"/>
        <v>1.3599999999999999E-3</v>
      </c>
      <c r="O4" s="38">
        <f t="shared" ca="1" si="2"/>
        <v>1.3799999999999999E-3</v>
      </c>
      <c r="P4" s="39" cm="1">
        <f t="array" aca="1" ref="P4" ca="1">INDIRECT(CONCATENATE("'",HLOOKUP(P$1,$B$21:$E$23,3,FALSE),"'!",$B$25,ROW($A4)+5))*About!$A$27</f>
        <v>1.4E-3</v>
      </c>
      <c r="Q4" s="38" cm="1">
        <f t="array" aca="1" ref="Q4" ca="1">TREND($K4:$P4,$K$1:$P$1,Q$1)</f>
        <v>1.4199999999999977E-3</v>
      </c>
      <c r="R4" s="38" cm="1">
        <f t="array" aca="1" ref="R4" ca="1">TREND($K4:$P4,$K$1:$P$1,R$1)</f>
        <v>1.4399999999999968E-3</v>
      </c>
      <c r="S4" s="38" cm="1">
        <f t="array" aca="1" ref="S4" ca="1">TREND($K4:$P4,$K$1:$P$1,S$1)</f>
        <v>1.459999999999996E-3</v>
      </c>
      <c r="T4" s="38" cm="1">
        <f t="array" aca="1" ref="T4" ca="1">TREND($K4:$P4,$K$1:$P$1,T$1)</f>
        <v>1.4799999999999952E-3</v>
      </c>
      <c r="U4" s="38" cm="1">
        <f t="array" aca="1" ref="U4" ca="1">TREND($K4:$P4,$K$1:$P$1,U$1)</f>
        <v>1.4999999999999944E-3</v>
      </c>
      <c r="V4" s="38" cm="1">
        <f t="array" aca="1" ref="V4" ca="1">TREND($K4:$P4,$K$1:$P$1,V$1)</f>
        <v>1.5200000000000005E-3</v>
      </c>
      <c r="W4" s="38" cm="1">
        <f t="array" aca="1" ref="W4" ca="1">TREND($K4:$P4,$K$1:$P$1,W$1)</f>
        <v>1.5399999999999997E-3</v>
      </c>
      <c r="X4" s="38" cm="1">
        <f t="array" aca="1" ref="X4" ca="1">TREND($K4:$P4,$K$1:$P$1,X$1)</f>
        <v>1.5599999999999989E-3</v>
      </c>
      <c r="Y4" s="38" cm="1">
        <f t="array" aca="1" ref="Y4" ca="1">TREND($K4:$P4,$K$1:$P$1,Y$1)</f>
        <v>1.5799999999999981E-3</v>
      </c>
      <c r="Z4" s="38" cm="1">
        <f t="array" aca="1" ref="Z4" ca="1">TREND($K4:$P4,$K$1:$P$1,Z$1)</f>
        <v>1.5999999999999973E-3</v>
      </c>
      <c r="AA4" s="38" cm="1">
        <f t="array" aca="1" ref="AA4" ca="1">TREND($K4:$P4,$K$1:$P$1,AA$1)</f>
        <v>1.6199999999999964E-3</v>
      </c>
      <c r="AB4" s="38" cm="1">
        <f t="array" aca="1" ref="AB4" ca="1">TREND($K4:$P4,$K$1:$P$1,AB$1)</f>
        <v>1.6399999999999956E-3</v>
      </c>
      <c r="AC4" s="38" cm="1">
        <f t="array" aca="1" ref="AC4" ca="1">TREND($K4:$P4,$K$1:$P$1,AC$1)</f>
        <v>1.6599999999999948E-3</v>
      </c>
      <c r="AD4" s="38" cm="1">
        <f t="array" aca="1" ref="AD4" ca="1">TREND($K4:$P4,$K$1:$P$1,AD$1)</f>
        <v>1.6800000000000009E-3</v>
      </c>
      <c r="AE4" s="38" cm="1">
        <f t="array" aca="1" ref="AE4" ca="1">TREND($K4:$P4,$K$1:$P$1,AE$1)</f>
        <v>1.7000000000000001E-3</v>
      </c>
      <c r="AF4" s="38" cm="1">
        <f t="array" aca="1" ref="AF4" ca="1">TREND($K4:$P4,$K$1:$P$1,AF$1)</f>
        <v>1.7199999999999993E-3</v>
      </c>
      <c r="AG4" s="38" cm="1">
        <f t="array" aca="1" ref="AG4" ca="1">TREND($K4:$P4,$K$1:$P$1,AG$1)</f>
        <v>1.7399999999999985E-3</v>
      </c>
      <c r="AH4" s="38" cm="1">
        <f t="array" aca="1" ref="AH4" ca="1">TREND($K4:$P4,$K$1:$P$1,AH$1)</f>
        <v>1.7599999999999977E-3</v>
      </c>
      <c r="AI4" s="38" cm="1">
        <f t="array" aca="1" ref="AI4" ca="1">TREND($K4:$P4,$K$1:$P$1,AI$1)</f>
        <v>1.7799999999999969E-3</v>
      </c>
      <c r="AJ4" s="38" cm="1">
        <f t="array" aca="1" ref="AJ4" ca="1">TREND($K4:$P4,$K$1:$P$1,AJ$1)</f>
        <v>1.799999999999996E-3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1.6E-2</v>
      </c>
      <c r="C5" s="38">
        <f t="shared" ca="1" si="3"/>
        <v>1.6E-2</v>
      </c>
      <c r="D5" s="38">
        <f t="shared" ca="1" si="0"/>
        <v>1.6E-2</v>
      </c>
      <c r="E5" s="38">
        <f t="shared" ca="1" si="0"/>
        <v>1.6E-2</v>
      </c>
      <c r="F5" s="39" cm="1">
        <f t="array" aca="1" ref="F5" ca="1">INDIRECT(CONCATENATE("'",HLOOKUP(F$1,$B$21:$E$23,3,FALSE),"'!",$B$25,ROW($A5)+5))*About!$A$27</f>
        <v>1.6E-2</v>
      </c>
      <c r="G5" s="38">
        <f t="shared" ca="1" si="4"/>
        <v>1.6199999999999999E-2</v>
      </c>
      <c r="H5" s="38">
        <f t="shared" ca="1" si="1"/>
        <v>1.6400000000000001E-2</v>
      </c>
      <c r="I5" s="38">
        <f t="shared" ca="1" si="1"/>
        <v>1.66E-2</v>
      </c>
      <c r="J5" s="38">
        <f t="shared" ca="1" si="1"/>
        <v>1.6800000000000002E-2</v>
      </c>
      <c r="K5" s="39" cm="1">
        <f t="array" aca="1" ref="K5" ca="1">INDIRECT(CONCATENATE("'",HLOOKUP(K$1,$B$21:$E$23,3,FALSE),"'!",$B$25,ROW($A5)+5))*About!$A$27</f>
        <v>1.7000000000000001E-2</v>
      </c>
      <c r="L5" s="38">
        <f t="shared" ca="1" si="5"/>
        <v>1.72E-2</v>
      </c>
      <c r="M5" s="38">
        <f t="shared" ca="1" si="2"/>
        <v>1.7399999999999999E-2</v>
      </c>
      <c r="N5" s="38">
        <f t="shared" ca="1" si="2"/>
        <v>1.7600000000000001E-2</v>
      </c>
      <c r="O5" s="38">
        <f t="shared" ca="1" si="2"/>
        <v>1.78E-2</v>
      </c>
      <c r="P5" s="39" cm="1">
        <f t="array" aca="1" ref="P5" ca="1">INDIRECT(CONCATENATE("'",HLOOKUP(P$1,$B$21:$E$23,3,FALSE),"'!",$B$25,ROW($A5)+5))*About!$A$27</f>
        <v>1.7999999999999999E-2</v>
      </c>
      <c r="Q5" s="38" cm="1">
        <f t="array" aca="1" ref="Q5" ca="1">TREND($K5:$P5,$K$1:$P$1,Q$1)</f>
        <v>1.8199999999999994E-2</v>
      </c>
      <c r="R5" s="38" cm="1">
        <f t="array" aca="1" ref="R5" ca="1">TREND($K5:$P5,$K$1:$P$1,R$1)</f>
        <v>1.8400000000000027E-2</v>
      </c>
      <c r="S5" s="38" cm="1">
        <f t="array" aca="1" ref="S5" ca="1">TREND($K5:$P5,$K$1:$P$1,S$1)</f>
        <v>1.8600000000000005E-2</v>
      </c>
      <c r="T5" s="38" cm="1">
        <f t="array" aca="1" ref="T5" ca="1">TREND($K5:$P5,$K$1:$P$1,T$1)</f>
        <v>1.8800000000000039E-2</v>
      </c>
      <c r="U5" s="38" cm="1">
        <f t="array" aca="1" ref="U5" ca="1">TREND($K5:$P5,$K$1:$P$1,U$1)</f>
        <v>1.9000000000000017E-2</v>
      </c>
      <c r="V5" s="38" cm="1">
        <f t="array" aca="1" ref="V5" ca="1">TREND($K5:$P5,$K$1:$P$1,V$1)</f>
        <v>1.9199999999999995E-2</v>
      </c>
      <c r="W5" s="38" cm="1">
        <f t="array" aca="1" ref="W5" ca="1">TREND($K5:$P5,$K$1:$P$1,W$1)</f>
        <v>1.9400000000000028E-2</v>
      </c>
      <c r="X5" s="38" cm="1">
        <f t="array" aca="1" ref="X5" ca="1">TREND($K5:$P5,$K$1:$P$1,X$1)</f>
        <v>1.9600000000000006E-2</v>
      </c>
      <c r="Y5" s="38" cm="1">
        <f t="array" aca="1" ref="Y5" ca="1">TREND($K5:$P5,$K$1:$P$1,Y$1)</f>
        <v>1.9799999999999984E-2</v>
      </c>
      <c r="Z5" s="38" cm="1">
        <f t="array" aca="1" ref="Z5" ca="1">TREND($K5:$P5,$K$1:$P$1,Z$1)</f>
        <v>2.0000000000000018E-2</v>
      </c>
      <c r="AA5" s="38" cm="1">
        <f t="array" aca="1" ref="AA5" ca="1">TREND($K5:$P5,$K$1:$P$1,AA$1)</f>
        <v>2.0199999999999996E-2</v>
      </c>
      <c r="AB5" s="38" cm="1">
        <f t="array" aca="1" ref="AB5" ca="1">TREND($K5:$P5,$K$1:$P$1,AB$1)</f>
        <v>2.0400000000000029E-2</v>
      </c>
      <c r="AC5" s="38" cm="1">
        <f t="array" aca="1" ref="AC5" ca="1">TREND($K5:$P5,$K$1:$P$1,AC$1)</f>
        <v>2.0600000000000007E-2</v>
      </c>
      <c r="AD5" s="38" cm="1">
        <f t="array" aca="1" ref="AD5" ca="1">TREND($K5:$P5,$K$1:$P$1,AD$1)</f>
        <v>2.0799999999999985E-2</v>
      </c>
      <c r="AE5" s="38" cm="1">
        <f t="array" aca="1" ref="AE5" ca="1">TREND($K5:$P5,$K$1:$P$1,AE$1)</f>
        <v>2.1000000000000019E-2</v>
      </c>
      <c r="AF5" s="38" cm="1">
        <f t="array" aca="1" ref="AF5" ca="1">TREND($K5:$P5,$K$1:$P$1,AF$1)</f>
        <v>2.1199999999999997E-2</v>
      </c>
      <c r="AG5" s="38" cm="1">
        <f t="array" aca="1" ref="AG5" ca="1">TREND($K5:$P5,$K$1:$P$1,AG$1)</f>
        <v>2.140000000000003E-2</v>
      </c>
      <c r="AH5" s="38" cm="1">
        <f t="array" aca="1" ref="AH5" ca="1">TREND($K5:$P5,$K$1:$P$1,AH$1)</f>
        <v>2.1600000000000008E-2</v>
      </c>
      <c r="AI5" s="38" cm="1">
        <f t="array" aca="1" ref="AI5" ca="1">TREND($K5:$P5,$K$1:$P$1,AI$1)</f>
        <v>2.1799999999999986E-2</v>
      </c>
      <c r="AJ5" s="38" cm="1">
        <f t="array" aca="1" ref="AJ5" ca="1">TREND($K5:$P5,$K$1:$P$1,AJ$1)</f>
        <v>2.200000000000002E-2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2.4E-2</v>
      </c>
      <c r="C6" s="38">
        <f t="shared" ca="1" si="3"/>
        <v>2.4E-2</v>
      </c>
      <c r="D6" s="38">
        <f t="shared" ca="1" si="0"/>
        <v>2.4E-2</v>
      </c>
      <c r="E6" s="38">
        <f t="shared" ca="1" si="0"/>
        <v>2.4E-2</v>
      </c>
      <c r="F6" s="39" cm="1">
        <f t="array" aca="1" ref="F6" ca="1">INDIRECT(CONCATENATE("'",HLOOKUP(F$1,$B$21:$E$23,3,FALSE),"'!",$B$25,ROW($A6)+5))*About!$A$27</f>
        <v>2.4E-2</v>
      </c>
      <c r="G6" s="38">
        <f t="shared" ca="1" si="4"/>
        <v>2.4199999999999999E-2</v>
      </c>
      <c r="H6" s="38">
        <f t="shared" ca="1" si="1"/>
        <v>2.4400000000000002E-2</v>
      </c>
      <c r="I6" s="38">
        <f t="shared" ca="1" si="1"/>
        <v>2.46E-2</v>
      </c>
      <c r="J6" s="38">
        <f t="shared" ca="1" si="1"/>
        <v>2.4800000000000003E-2</v>
      </c>
      <c r="K6" s="39" cm="1">
        <f t="array" aca="1" ref="K6" ca="1">INDIRECT(CONCATENATE("'",HLOOKUP(K$1,$B$21:$E$23,3,FALSE),"'!",$B$25,ROW($A6)+5))*About!$A$27</f>
        <v>2.5000000000000001E-2</v>
      </c>
      <c r="L6" s="38">
        <f t="shared" ca="1" si="5"/>
        <v>2.52E-2</v>
      </c>
      <c r="M6" s="38">
        <f t="shared" ca="1" si="2"/>
        <v>2.5399999999999999E-2</v>
      </c>
      <c r="N6" s="38">
        <f t="shared" ca="1" si="2"/>
        <v>2.5600000000000001E-2</v>
      </c>
      <c r="O6" s="38">
        <f t="shared" ca="1" si="2"/>
        <v>2.58E-2</v>
      </c>
      <c r="P6" s="39" cm="1">
        <f t="array" aca="1" ref="P6" ca="1">INDIRECT(CONCATENATE("'",HLOOKUP(P$1,$B$21:$E$23,3,FALSE),"'!",$B$25,ROW($A6)+5))*About!$A$27</f>
        <v>2.5999999999999999E-2</v>
      </c>
      <c r="Q6" s="38" cm="1">
        <f t="array" aca="1" ref="Q6" ca="1">TREND($K6:$P6,$K$1:$P$1,Q$1)</f>
        <v>2.6200000000000001E-2</v>
      </c>
      <c r="R6" s="38" cm="1">
        <f t="array" aca="1" ref="R6" ca="1">TREND($K6:$P6,$K$1:$P$1,R$1)</f>
        <v>2.6400000000000035E-2</v>
      </c>
      <c r="S6" s="38" cm="1">
        <f t="array" aca="1" ref="S6" ca="1">TREND($K6:$P6,$K$1:$P$1,S$1)</f>
        <v>2.6600000000000013E-2</v>
      </c>
      <c r="T6" s="38" cm="1">
        <f t="array" aca="1" ref="T6" ca="1">TREND($K6:$P6,$K$1:$P$1,T$1)</f>
        <v>2.6800000000000046E-2</v>
      </c>
      <c r="U6" s="38" cm="1">
        <f t="array" aca="1" ref="U6" ca="1">TREND($K6:$P6,$K$1:$P$1,U$1)</f>
        <v>2.7000000000000024E-2</v>
      </c>
      <c r="V6" s="38" cm="1">
        <f t="array" aca="1" ref="V6" ca="1">TREND($K6:$P6,$K$1:$P$1,V$1)</f>
        <v>2.7200000000000002E-2</v>
      </c>
      <c r="W6" s="38" cm="1">
        <f t="array" aca="1" ref="W6" ca="1">TREND($K6:$P6,$K$1:$P$1,W$1)</f>
        <v>2.7400000000000035E-2</v>
      </c>
      <c r="X6" s="38" cm="1">
        <f t="array" aca="1" ref="X6" ca="1">TREND($K6:$P6,$K$1:$P$1,X$1)</f>
        <v>2.7600000000000013E-2</v>
      </c>
      <c r="Y6" s="38" cm="1">
        <f t="array" aca="1" ref="Y6" ca="1">TREND($K6:$P6,$K$1:$P$1,Y$1)</f>
        <v>2.7799999999999991E-2</v>
      </c>
      <c r="Z6" s="38" cm="1">
        <f t="array" aca="1" ref="Z6" ca="1">TREND($K6:$P6,$K$1:$P$1,Z$1)</f>
        <v>2.8000000000000025E-2</v>
      </c>
      <c r="AA6" s="38" cm="1">
        <f t="array" aca="1" ref="AA6" ca="1">TREND($K6:$P6,$K$1:$P$1,AA$1)</f>
        <v>2.8200000000000003E-2</v>
      </c>
      <c r="AB6" s="38" cm="1">
        <f t="array" aca="1" ref="AB6" ca="1">TREND($K6:$P6,$K$1:$P$1,AB$1)</f>
        <v>2.8400000000000036E-2</v>
      </c>
      <c r="AC6" s="38" cm="1">
        <f t="array" aca="1" ref="AC6" ca="1">TREND($K6:$P6,$K$1:$P$1,AC$1)</f>
        <v>2.8600000000000014E-2</v>
      </c>
      <c r="AD6" s="38" cm="1">
        <f t="array" aca="1" ref="AD6" ca="1">TREND($K6:$P6,$K$1:$P$1,AD$1)</f>
        <v>2.8799999999999992E-2</v>
      </c>
      <c r="AE6" s="38" cm="1">
        <f t="array" aca="1" ref="AE6" ca="1">TREND($K6:$P6,$K$1:$P$1,AE$1)</f>
        <v>2.9000000000000026E-2</v>
      </c>
      <c r="AF6" s="38" cm="1">
        <f t="array" aca="1" ref="AF6" ca="1">TREND($K6:$P6,$K$1:$P$1,AF$1)</f>
        <v>2.9200000000000004E-2</v>
      </c>
      <c r="AG6" s="38" cm="1">
        <f t="array" aca="1" ref="AG6" ca="1">TREND($K6:$P6,$K$1:$P$1,AG$1)</f>
        <v>2.9400000000000037E-2</v>
      </c>
      <c r="AH6" s="38" cm="1">
        <f t="array" aca="1" ref="AH6" ca="1">TREND($K6:$P6,$K$1:$P$1,AH$1)</f>
        <v>2.9600000000000015E-2</v>
      </c>
      <c r="AI6" s="38" cm="1">
        <f t="array" aca="1" ref="AI6" ca="1">TREND($K6:$P6,$K$1:$P$1,AI$1)</f>
        <v>2.9799999999999993E-2</v>
      </c>
      <c r="AJ6" s="38" cm="1">
        <f t="array" aca="1" ref="AJ6" ca="1">TREND($K6:$P6,$K$1:$P$1,AJ$1)</f>
        <v>3.0000000000000027E-2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0.69</v>
      </c>
      <c r="C7" s="38">
        <f t="shared" ca="1" si="3"/>
        <v>0.69249999999999989</v>
      </c>
      <c r="D7" s="38">
        <f t="shared" ca="1" si="0"/>
        <v>0.69499999999999995</v>
      </c>
      <c r="E7" s="38">
        <f t="shared" ca="1" si="0"/>
        <v>0.69750000000000001</v>
      </c>
      <c r="F7" s="39" cm="1">
        <f t="array" aca="1" ref="F7" ca="1">INDIRECT(CONCATENATE("'",HLOOKUP(F$1,$B$21:$E$23,3,FALSE),"'!",$B$25,ROW($A7)+5))*About!$A$27</f>
        <v>0.7</v>
      </c>
      <c r="G7" s="38">
        <f t="shared" ca="1" si="4"/>
        <v>0.7</v>
      </c>
      <c r="H7" s="38">
        <f t="shared" ca="1" si="1"/>
        <v>0.7</v>
      </c>
      <c r="I7" s="38">
        <f t="shared" ca="1" si="1"/>
        <v>0.7</v>
      </c>
      <c r="J7" s="38">
        <f t="shared" ca="1" si="1"/>
        <v>0.7</v>
      </c>
      <c r="K7" s="39" cm="1">
        <f t="array" aca="1" ref="K7" ca="1">INDIRECT(CONCATENATE("'",HLOOKUP(K$1,$B$21:$E$23,3,FALSE),"'!",$B$25,ROW($A7)+5))*About!$A$27</f>
        <v>0.7</v>
      </c>
      <c r="L7" s="38">
        <f t="shared" ca="1" si="5"/>
        <v>0.70199999999999996</v>
      </c>
      <c r="M7" s="38">
        <f t="shared" ca="1" si="2"/>
        <v>0.70399999999999996</v>
      </c>
      <c r="N7" s="38">
        <f t="shared" ca="1" si="2"/>
        <v>0.70599999999999996</v>
      </c>
      <c r="O7" s="38">
        <f t="shared" ca="1" si="2"/>
        <v>0.70799999999999996</v>
      </c>
      <c r="P7" s="39" cm="1">
        <f t="array" aca="1" ref="P7" ca="1">INDIRECT(CONCATENATE("'",HLOOKUP(P$1,$B$21:$E$23,3,FALSE),"'!",$B$25,ROW($A7)+5))*About!$A$27</f>
        <v>0.71</v>
      </c>
      <c r="Q7" s="38" cm="1">
        <f t="array" aca="1" ref="Q7" ca="1">TREND($K7:$P7,$K$1:$P$1,Q$1)</f>
        <v>0.71200000000000063</v>
      </c>
      <c r="R7" s="38" cm="1">
        <f t="array" aca="1" ref="R7" ca="1">TREND($K7:$P7,$K$1:$P$1,R$1)</f>
        <v>0.71400000000000041</v>
      </c>
      <c r="S7" s="38" cm="1">
        <f t="array" aca="1" ref="S7" ca="1">TREND($K7:$P7,$K$1:$P$1,S$1)</f>
        <v>0.71600000000000019</v>
      </c>
      <c r="T7" s="38" cm="1">
        <f t="array" aca="1" ref="T7" ca="1">TREND($K7:$P7,$K$1:$P$1,T$1)</f>
        <v>0.71799999999999997</v>
      </c>
      <c r="U7" s="38" cm="1">
        <f t="array" aca="1" ref="U7" ca="1">TREND($K7:$P7,$K$1:$P$1,U$1)</f>
        <v>0.72000000000000064</v>
      </c>
      <c r="V7" s="38" cm="1">
        <f t="array" aca="1" ref="V7" ca="1">TREND($K7:$P7,$K$1:$P$1,V$1)</f>
        <v>0.72200000000000042</v>
      </c>
      <c r="W7" s="38" cm="1">
        <f t="array" aca="1" ref="W7" ca="1">TREND($K7:$P7,$K$1:$P$1,W$1)</f>
        <v>0.7240000000000002</v>
      </c>
      <c r="X7" s="38" cm="1">
        <f t="array" aca="1" ref="X7" ca="1">TREND($K7:$P7,$K$1:$P$1,X$1)</f>
        <v>0.72600000000000087</v>
      </c>
      <c r="Y7" s="38" cm="1">
        <f t="array" aca="1" ref="Y7" ca="1">TREND($K7:$P7,$K$1:$P$1,Y$1)</f>
        <v>0.72800000000000065</v>
      </c>
      <c r="Z7" s="38" cm="1">
        <f t="array" aca="1" ref="Z7" ca="1">TREND($K7:$P7,$K$1:$P$1,Z$1)</f>
        <v>0.73000000000000043</v>
      </c>
      <c r="AA7" s="38" cm="1">
        <f t="array" aca="1" ref="AA7" ca="1">TREND($K7:$P7,$K$1:$P$1,AA$1)</f>
        <v>0.73200000000000021</v>
      </c>
      <c r="AB7" s="38" cm="1">
        <f t="array" aca="1" ref="AB7" ca="1">TREND($K7:$P7,$K$1:$P$1,AB$1)</f>
        <v>0.73399999999999999</v>
      </c>
      <c r="AC7" s="38" cm="1">
        <f t="array" aca="1" ref="AC7" ca="1">TREND($K7:$P7,$K$1:$P$1,AC$1)</f>
        <v>0.73600000000000065</v>
      </c>
      <c r="AD7" s="38" cm="1">
        <f t="array" aca="1" ref="AD7" ca="1">TREND($K7:$P7,$K$1:$P$1,AD$1)</f>
        <v>0.73800000000000043</v>
      </c>
      <c r="AE7" s="38" cm="1">
        <f t="array" aca="1" ref="AE7" ca="1">TREND($K7:$P7,$K$1:$P$1,AE$1)</f>
        <v>0.74000000000000021</v>
      </c>
      <c r="AF7" s="38" cm="1">
        <f t="array" aca="1" ref="AF7" ca="1">TREND($K7:$P7,$K$1:$P$1,AF$1)</f>
        <v>0.74200000000000088</v>
      </c>
      <c r="AG7" s="38" cm="1">
        <f t="array" aca="1" ref="AG7" ca="1">TREND($K7:$P7,$K$1:$P$1,AG$1)</f>
        <v>0.74400000000000066</v>
      </c>
      <c r="AH7" s="38" cm="1">
        <f t="array" aca="1" ref="AH7" ca="1">TREND($K7:$P7,$K$1:$P$1,AH$1)</f>
        <v>0.74600000000000044</v>
      </c>
      <c r="AI7" s="38" cm="1">
        <f t="array" aca="1" ref="AI7" ca="1">TREND($K7:$P7,$K$1:$P$1,AI$1)</f>
        <v>0.74800000000000022</v>
      </c>
      <c r="AJ7" s="38" cm="1">
        <f t="array" aca="1" ref="AJ7" ca="1">TREND($K7:$P7,$K$1:$P$1,AJ$1)</f>
        <v>0.75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0.12</v>
      </c>
      <c r="C8" s="38">
        <f t="shared" ca="1" si="3"/>
        <v>0.12</v>
      </c>
      <c r="D8" s="38">
        <f t="shared" ca="1" si="0"/>
        <v>0.12</v>
      </c>
      <c r="E8" s="38">
        <f t="shared" ca="1" si="0"/>
        <v>0.12</v>
      </c>
      <c r="F8" s="39" cm="1">
        <f t="array" aca="1" ref="F8" ca="1">INDIRECT(CONCATENATE("'",HLOOKUP(F$1,$B$21:$E$23,3,FALSE),"'!",$B$25,ROW($A8)+5))*About!$A$27</f>
        <v>0.12</v>
      </c>
      <c r="G8" s="38">
        <f t="shared" ca="1" si="4"/>
        <v>0.12</v>
      </c>
      <c r="H8" s="38">
        <f t="shared" ca="1" si="1"/>
        <v>0.12</v>
      </c>
      <c r="I8" s="38">
        <f t="shared" ca="1" si="1"/>
        <v>0.12</v>
      </c>
      <c r="J8" s="38">
        <f t="shared" ca="1" si="1"/>
        <v>0.12</v>
      </c>
      <c r="K8" s="39" cm="1">
        <f t="array" aca="1" ref="K8" ca="1">INDIRECT(CONCATENATE("'",HLOOKUP(K$1,$B$21:$E$23,3,FALSE),"'!",$B$25,ROW($A8)+5))*About!$A$27</f>
        <v>0.12</v>
      </c>
      <c r="L8" s="38">
        <f t="shared" ca="1" si="5"/>
        <v>0.12</v>
      </c>
      <c r="M8" s="38">
        <f t="shared" ca="1" si="2"/>
        <v>0.12</v>
      </c>
      <c r="N8" s="38">
        <f t="shared" ca="1" si="2"/>
        <v>0.12</v>
      </c>
      <c r="O8" s="38">
        <f t="shared" ca="1" si="2"/>
        <v>0.12</v>
      </c>
      <c r="P8" s="39" cm="1">
        <f t="array" aca="1" ref="P8" ca="1">INDIRECT(CONCATENATE("'",HLOOKUP(P$1,$B$21:$E$23,3,FALSE),"'!",$B$25,ROW($A8)+5))*About!$A$27</f>
        <v>0.12</v>
      </c>
      <c r="Q8" s="38" cm="1">
        <f t="array" aca="1" ref="Q8" ca="1">TREND($K8:$P8,$K$1:$P$1,Q$1)</f>
        <v>0.12</v>
      </c>
      <c r="R8" s="38" cm="1">
        <f t="array" aca="1" ref="R8" ca="1">TREND($K8:$P8,$K$1:$P$1,R$1)</f>
        <v>0.12</v>
      </c>
      <c r="S8" s="38" cm="1">
        <f t="array" aca="1" ref="S8" ca="1">TREND($K8:$P8,$K$1:$P$1,S$1)</f>
        <v>0.12</v>
      </c>
      <c r="T8" s="38" cm="1">
        <f t="array" aca="1" ref="T8" ca="1">TREND($K8:$P8,$K$1:$P$1,T$1)</f>
        <v>0.12</v>
      </c>
      <c r="U8" s="38" cm="1">
        <f t="array" aca="1" ref="U8" ca="1">TREND($K8:$P8,$K$1:$P$1,U$1)</f>
        <v>0.12</v>
      </c>
      <c r="V8" s="38" cm="1">
        <f t="array" aca="1" ref="V8" ca="1">TREND($K8:$P8,$K$1:$P$1,V$1)</f>
        <v>0.12</v>
      </c>
      <c r="W8" s="38" cm="1">
        <f t="array" aca="1" ref="W8" ca="1">TREND($K8:$P8,$K$1:$P$1,W$1)</f>
        <v>0.12</v>
      </c>
      <c r="X8" s="38" cm="1">
        <f t="array" aca="1" ref="X8" ca="1">TREND($K8:$P8,$K$1:$P$1,X$1)</f>
        <v>0.12</v>
      </c>
      <c r="Y8" s="38" cm="1">
        <f t="array" aca="1" ref="Y8" ca="1">TREND($K8:$P8,$K$1:$P$1,Y$1)</f>
        <v>0.12</v>
      </c>
      <c r="Z8" s="38" cm="1">
        <f t="array" aca="1" ref="Z8" ca="1">TREND($K8:$P8,$K$1:$P$1,Z$1)</f>
        <v>0.12</v>
      </c>
      <c r="AA8" s="38" cm="1">
        <f t="array" aca="1" ref="AA8" ca="1">TREND($K8:$P8,$K$1:$P$1,AA$1)</f>
        <v>0.12</v>
      </c>
      <c r="AB8" s="38" cm="1">
        <f t="array" aca="1" ref="AB8" ca="1">TREND($K8:$P8,$K$1:$P$1,AB$1)</f>
        <v>0.12</v>
      </c>
      <c r="AC8" s="38" cm="1">
        <f t="array" aca="1" ref="AC8" ca="1">TREND($K8:$P8,$K$1:$P$1,AC$1)</f>
        <v>0.12</v>
      </c>
      <c r="AD8" s="38" cm="1">
        <f t="array" aca="1" ref="AD8" ca="1">TREND($K8:$P8,$K$1:$P$1,AD$1)</f>
        <v>0.12</v>
      </c>
      <c r="AE8" s="38" cm="1">
        <f t="array" aca="1" ref="AE8" ca="1">TREND($K8:$P8,$K$1:$P$1,AE$1)</f>
        <v>0.12</v>
      </c>
      <c r="AF8" s="38" cm="1">
        <f t="array" aca="1" ref="AF8" ca="1">TREND($K8:$P8,$K$1:$P$1,AF$1)</f>
        <v>0.12</v>
      </c>
      <c r="AG8" s="38" cm="1">
        <f t="array" aca="1" ref="AG8" ca="1">TREND($K8:$P8,$K$1:$P$1,AG$1)</f>
        <v>0.12</v>
      </c>
      <c r="AH8" s="38" cm="1">
        <f t="array" aca="1" ref="AH8" ca="1">TREND($K8:$P8,$K$1:$P$1,AH$1)</f>
        <v>0.12</v>
      </c>
      <c r="AI8" s="38" cm="1">
        <f t="array" aca="1" ref="AI8" ca="1">TREND($K8:$P8,$K$1:$P$1,AI$1)</f>
        <v>0.12</v>
      </c>
      <c r="AJ8" s="38" cm="1">
        <f t="array" aca="1" ref="AJ8" ca="1">TREND($K8:$P8,$K$1:$P$1,AJ$1)</f>
        <v>0.12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2.8000000000000001E-2</v>
      </c>
      <c r="C9" s="38">
        <f t="shared" ca="1" si="3"/>
        <v>2.8000000000000001E-2</v>
      </c>
      <c r="D9" s="38">
        <f t="shared" ca="1" si="0"/>
        <v>2.8000000000000001E-2</v>
      </c>
      <c r="E9" s="38">
        <f t="shared" ca="1" si="0"/>
        <v>2.8000000000000001E-2</v>
      </c>
      <c r="F9" s="39" cm="1">
        <f t="array" aca="1" ref="F9" ca="1">INDIRECT(CONCATENATE("'",HLOOKUP(F$1,$B$21:$E$23,3,FALSE),"'!",$B$25,ROW($A9)+5))*About!$A$27</f>
        <v>2.8000000000000001E-2</v>
      </c>
      <c r="G9" s="38">
        <f t="shared" ca="1" si="4"/>
        <v>2.8199999999999999E-2</v>
      </c>
      <c r="H9" s="38">
        <f t="shared" ca="1" si="1"/>
        <v>2.8400000000000002E-2</v>
      </c>
      <c r="I9" s="38">
        <f t="shared" ca="1" si="1"/>
        <v>2.86E-2</v>
      </c>
      <c r="J9" s="38">
        <f t="shared" ca="1" si="1"/>
        <v>2.8800000000000003E-2</v>
      </c>
      <c r="K9" s="39" cm="1">
        <f t="array" aca="1" ref="K9" ca="1">INDIRECT(CONCATENATE("'",HLOOKUP(K$1,$B$21:$E$23,3,FALSE),"'!",$B$25,ROW($A9)+5))*About!$A$27</f>
        <v>2.9000000000000001E-2</v>
      </c>
      <c r="L9" s="38">
        <f t="shared" ca="1" si="5"/>
        <v>2.9400000000000003E-2</v>
      </c>
      <c r="M9" s="38">
        <f t="shared" ca="1" si="2"/>
        <v>2.98E-2</v>
      </c>
      <c r="N9" s="38">
        <f t="shared" ca="1" si="2"/>
        <v>3.0200000000000001E-2</v>
      </c>
      <c r="O9" s="38">
        <f t="shared" ca="1" si="2"/>
        <v>3.0599999999999999E-2</v>
      </c>
      <c r="P9" s="39" cm="1">
        <f t="array" aca="1" ref="P9" ca="1">INDIRECT(CONCATENATE("'",HLOOKUP(P$1,$B$21:$E$23,3,FALSE),"'!",$B$25,ROW($A9)+5))*About!$A$27</f>
        <v>3.1E-2</v>
      </c>
      <c r="Q9" s="38" cm="1">
        <f t="array" aca="1" ref="Q9" ca="1">TREND($K9:$P9,$K$1:$P$1,Q$1)</f>
        <v>3.1399999999999983E-2</v>
      </c>
      <c r="R9" s="38" cm="1">
        <f t="array" aca="1" ref="R9" ca="1">TREND($K9:$P9,$K$1:$P$1,R$1)</f>
        <v>3.180000000000005E-2</v>
      </c>
      <c r="S9" s="38" cm="1">
        <f t="array" aca="1" ref="S9" ca="1">TREND($K9:$P9,$K$1:$P$1,S$1)</f>
        <v>3.2200000000000006E-2</v>
      </c>
      <c r="T9" s="38" cm="1">
        <f t="array" aca="1" ref="T9" ca="1">TREND($K9:$P9,$K$1:$P$1,T$1)</f>
        <v>3.2600000000000073E-2</v>
      </c>
      <c r="U9" s="38" cm="1">
        <f t="array" aca="1" ref="U9" ca="1">TREND($K9:$P9,$K$1:$P$1,U$1)</f>
        <v>3.3000000000000029E-2</v>
      </c>
      <c r="V9" s="38" cm="1">
        <f t="array" aca="1" ref="V9" ca="1">TREND($K9:$P9,$K$1:$P$1,V$1)</f>
        <v>3.3399999999999985E-2</v>
      </c>
      <c r="W9" s="38" cm="1">
        <f t="array" aca="1" ref="W9" ca="1">TREND($K9:$P9,$K$1:$P$1,W$1)</f>
        <v>3.3800000000000052E-2</v>
      </c>
      <c r="X9" s="38" cm="1">
        <f t="array" aca="1" ref="X9" ca="1">TREND($K9:$P9,$K$1:$P$1,X$1)</f>
        <v>3.4200000000000008E-2</v>
      </c>
      <c r="Y9" s="38" cm="1">
        <f t="array" aca="1" ref="Y9" ca="1">TREND($K9:$P9,$K$1:$P$1,Y$1)</f>
        <v>3.4599999999999964E-2</v>
      </c>
      <c r="Z9" s="38" cm="1">
        <f t="array" aca="1" ref="Z9" ca="1">TREND($K9:$P9,$K$1:$P$1,Z$1)</f>
        <v>3.5000000000000031E-2</v>
      </c>
      <c r="AA9" s="38" cm="1">
        <f t="array" aca="1" ref="AA9" ca="1">TREND($K9:$P9,$K$1:$P$1,AA$1)</f>
        <v>3.5399999999999987E-2</v>
      </c>
      <c r="AB9" s="38" cm="1">
        <f t="array" aca="1" ref="AB9" ca="1">TREND($K9:$P9,$K$1:$P$1,AB$1)</f>
        <v>3.5800000000000054E-2</v>
      </c>
      <c r="AC9" s="38" cm="1">
        <f t="array" aca="1" ref="AC9" ca="1">TREND($K9:$P9,$K$1:$P$1,AC$1)</f>
        <v>3.620000000000001E-2</v>
      </c>
      <c r="AD9" s="38" cm="1">
        <f t="array" aca="1" ref="AD9" ca="1">TREND($K9:$P9,$K$1:$P$1,AD$1)</f>
        <v>3.6599999999999966E-2</v>
      </c>
      <c r="AE9" s="38" cm="1">
        <f t="array" aca="1" ref="AE9" ca="1">TREND($K9:$P9,$K$1:$P$1,AE$1)</f>
        <v>3.7000000000000033E-2</v>
      </c>
      <c r="AF9" s="38" cm="1">
        <f t="array" aca="1" ref="AF9" ca="1">TREND($K9:$P9,$K$1:$P$1,AF$1)</f>
        <v>3.7399999999999989E-2</v>
      </c>
      <c r="AG9" s="38" cm="1">
        <f t="array" aca="1" ref="AG9" ca="1">TREND($K9:$P9,$K$1:$P$1,AG$1)</f>
        <v>3.7800000000000056E-2</v>
      </c>
      <c r="AH9" s="38" cm="1">
        <f t="array" aca="1" ref="AH9" ca="1">TREND($K9:$P9,$K$1:$P$1,AH$1)</f>
        <v>3.8200000000000012E-2</v>
      </c>
      <c r="AI9" s="38" cm="1">
        <f t="array" aca="1" ref="AI9" ca="1">TREND($K9:$P9,$K$1:$P$1,AI$1)</f>
        <v>3.8599999999999968E-2</v>
      </c>
      <c r="AJ9" s="38" cm="1">
        <f t="array" aca="1" ref="AJ9" ca="1">TREND($K9:$P9,$K$1:$P$1,AJ$1)</f>
        <v>3.9000000000000035E-2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2.1000000000000001E-4</v>
      </c>
      <c r="C10" s="38">
        <f t="shared" ca="1" si="3"/>
        <v>2.1250000000000002E-4</v>
      </c>
      <c r="D10" s="38">
        <f t="shared" ca="1" si="0"/>
        <v>2.1500000000000002E-4</v>
      </c>
      <c r="E10" s="38">
        <f t="shared" ca="1" si="0"/>
        <v>2.175E-4</v>
      </c>
      <c r="F10" s="39" cm="1">
        <f t="array" aca="1" ref="F10" ca="1">INDIRECT(CONCATENATE("'",HLOOKUP(F$1,$B$21:$E$23,3,FALSE),"'!",$B$25,ROW($A10)+5))*About!$A$27</f>
        <v>2.2000000000000001E-4</v>
      </c>
      <c r="G10" s="38">
        <f t="shared" ca="1" si="4"/>
        <v>2.2600000000000002E-4</v>
      </c>
      <c r="H10" s="38">
        <f t="shared" ca="1" si="1"/>
        <v>2.32E-4</v>
      </c>
      <c r="I10" s="38">
        <f t="shared" ca="1" si="1"/>
        <v>2.3800000000000001E-4</v>
      </c>
      <c r="J10" s="38">
        <f t="shared" ca="1" si="1"/>
        <v>2.4399999999999999E-4</v>
      </c>
      <c r="K10" s="39" cm="1">
        <f t="array" aca="1" ref="K10" ca="1">INDIRECT(CONCATENATE("'",HLOOKUP(K$1,$B$21:$E$23,3,FALSE),"'!",$B$25,ROW($A10)+5))*About!$A$27</f>
        <v>2.5000000000000001E-4</v>
      </c>
      <c r="L10" s="38">
        <f t="shared" ca="1" si="5"/>
        <v>2.5399999999999999E-4</v>
      </c>
      <c r="M10" s="38">
        <f t="shared" ca="1" si="2"/>
        <v>2.5799999999999998E-4</v>
      </c>
      <c r="N10" s="38">
        <f t="shared" ca="1" si="2"/>
        <v>2.6200000000000003E-4</v>
      </c>
      <c r="O10" s="38">
        <f t="shared" ca="1" si="2"/>
        <v>2.6600000000000001E-4</v>
      </c>
      <c r="P10" s="39" cm="1">
        <f t="array" aca="1" ref="P10" ca="1">INDIRECT(CONCATENATE("'",HLOOKUP(P$1,$B$21:$E$23,3,FALSE),"'!",$B$25,ROW($A10)+5))*About!$A$27</f>
        <v>2.7E-4</v>
      </c>
      <c r="Q10" s="38" cm="1">
        <f t="array" aca="1" ref="Q10" ca="1">TREND($K10:$P10,$K$1:$P$1,Q$1)</f>
        <v>2.7399999999999994E-4</v>
      </c>
      <c r="R10" s="38" cm="1">
        <f t="array" aca="1" ref="R10" ca="1">TREND($K10:$P10,$K$1:$P$1,R$1)</f>
        <v>2.7800000000000047E-4</v>
      </c>
      <c r="S10" s="38" cm="1">
        <f t="array" aca="1" ref="S10" ca="1">TREND($K10:$P10,$K$1:$P$1,S$1)</f>
        <v>2.82000000000001E-4</v>
      </c>
      <c r="T10" s="38" cm="1">
        <f t="array" aca="1" ref="T10" ca="1">TREND($K10:$P10,$K$1:$P$1,T$1)</f>
        <v>2.859999999999998E-4</v>
      </c>
      <c r="U10" s="38" cm="1">
        <f t="array" aca="1" ref="U10" ca="1">TREND($K10:$P10,$K$1:$P$1,U$1)</f>
        <v>2.9000000000000033E-4</v>
      </c>
      <c r="V10" s="38" cm="1">
        <f t="array" aca="1" ref="V10" ca="1">TREND($K10:$P10,$K$1:$P$1,V$1)</f>
        <v>2.9400000000000086E-4</v>
      </c>
      <c r="W10" s="38" cm="1">
        <f t="array" aca="1" ref="W10" ca="1">TREND($K10:$P10,$K$1:$P$1,W$1)</f>
        <v>2.9799999999999965E-4</v>
      </c>
      <c r="X10" s="38" cm="1">
        <f t="array" aca="1" ref="X10" ca="1">TREND($K10:$P10,$K$1:$P$1,X$1)</f>
        <v>3.0200000000000018E-4</v>
      </c>
      <c r="Y10" s="38" cm="1">
        <f t="array" aca="1" ref="Y10" ca="1">TREND($K10:$P10,$K$1:$P$1,Y$1)</f>
        <v>3.0600000000000072E-4</v>
      </c>
      <c r="Z10" s="38" cm="1">
        <f t="array" aca="1" ref="Z10" ca="1">TREND($K10:$P10,$K$1:$P$1,Z$1)</f>
        <v>3.0999999999999951E-4</v>
      </c>
      <c r="AA10" s="38" cm="1">
        <f t="array" aca="1" ref="AA10" ca="1">TREND($K10:$P10,$K$1:$P$1,AA$1)</f>
        <v>3.1400000000000004E-4</v>
      </c>
      <c r="AB10" s="38" cm="1">
        <f t="array" aca="1" ref="AB10" ca="1">TREND($K10:$P10,$K$1:$P$1,AB$1)</f>
        <v>3.1800000000000057E-4</v>
      </c>
      <c r="AC10" s="38" cm="1">
        <f t="array" aca="1" ref="AC10" ca="1">TREND($K10:$P10,$K$1:$P$1,AC$1)</f>
        <v>3.220000000000011E-4</v>
      </c>
      <c r="AD10" s="38" cm="1">
        <f t="array" aca="1" ref="AD10" ca="1">TREND($K10:$P10,$K$1:$P$1,AD$1)</f>
        <v>3.259999999999999E-4</v>
      </c>
      <c r="AE10" s="38" cm="1">
        <f t="array" aca="1" ref="AE10" ca="1">TREND($K10:$P10,$K$1:$P$1,AE$1)</f>
        <v>3.3000000000000043E-4</v>
      </c>
      <c r="AF10" s="38" cm="1">
        <f t="array" aca="1" ref="AF10" ca="1">TREND($K10:$P10,$K$1:$P$1,AF$1)</f>
        <v>3.3400000000000096E-4</v>
      </c>
      <c r="AG10" s="38" cm="1">
        <f t="array" aca="1" ref="AG10" ca="1">TREND($K10:$P10,$K$1:$P$1,AG$1)</f>
        <v>3.3799999999999976E-4</v>
      </c>
      <c r="AH10" s="38" cm="1">
        <f t="array" aca="1" ref="AH10" ca="1">TREND($K10:$P10,$K$1:$P$1,AH$1)</f>
        <v>3.4200000000000029E-4</v>
      </c>
      <c r="AI10" s="38" cm="1">
        <f t="array" aca="1" ref="AI10" ca="1">TREND($K10:$P10,$K$1:$P$1,AI$1)</f>
        <v>3.4600000000000082E-4</v>
      </c>
      <c r="AJ10" s="38" cm="1">
        <f t="array" aca="1" ref="AJ10" ca="1">TREND($K10:$P10,$K$1:$P$1,AJ$1)</f>
        <v>3.4999999999999962E-4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2.0000000000000001E-4</v>
      </c>
      <c r="C11" s="38">
        <f t="shared" ca="1" si="3"/>
        <v>2.0250000000000002E-4</v>
      </c>
      <c r="D11" s="38">
        <f t="shared" ca="1" si="0"/>
        <v>2.05E-4</v>
      </c>
      <c r="E11" s="38">
        <f t="shared" ca="1" si="0"/>
        <v>2.075E-4</v>
      </c>
      <c r="F11" s="39" cm="1">
        <f t="array" aca="1" ref="F11" ca="1">INDIRECT(CONCATENATE("'",HLOOKUP(F$1,$B$21:$E$23,3,FALSE),"'!",$B$25,ROW($A11)+5))*About!$A$27</f>
        <v>2.1000000000000001E-4</v>
      </c>
      <c r="G11" s="38">
        <f t="shared" ca="1" si="4"/>
        <v>2.1600000000000002E-4</v>
      </c>
      <c r="H11" s="38">
        <f t="shared" ca="1" si="1"/>
        <v>2.22E-4</v>
      </c>
      <c r="I11" s="38">
        <f t="shared" ca="1" si="1"/>
        <v>2.2800000000000001E-4</v>
      </c>
      <c r="J11" s="38">
        <f t="shared" ca="1" si="1"/>
        <v>2.34E-4</v>
      </c>
      <c r="K11" s="39" cm="1">
        <f t="array" aca="1" ref="K11" ca="1">INDIRECT(CONCATENATE("'",HLOOKUP(K$1,$B$21:$E$23,3,FALSE),"'!",$B$25,ROW($A11)+5))*About!$A$27</f>
        <v>2.4000000000000001E-4</v>
      </c>
      <c r="L11" s="38">
        <f t="shared" ca="1" si="5"/>
        <v>2.4399999999999999E-4</v>
      </c>
      <c r="M11" s="38">
        <f t="shared" ca="1" si="2"/>
        <v>2.4800000000000001E-4</v>
      </c>
      <c r="N11" s="38">
        <f t="shared" ca="1" si="2"/>
        <v>2.52E-4</v>
      </c>
      <c r="O11" s="38">
        <f t="shared" ca="1" si="2"/>
        <v>2.5599999999999999E-4</v>
      </c>
      <c r="P11" s="39" cm="1">
        <f t="array" aca="1" ref="P11" ca="1">INDIRECT(CONCATENATE("'",HLOOKUP(P$1,$B$21:$E$23,3,FALSE),"'!",$B$25,ROW($A11)+5))*About!$A$27</f>
        <v>2.5999999999999998E-4</v>
      </c>
      <c r="Q11" s="38" cm="1">
        <f t="array" aca="1" ref="Q11" ca="1">TREND($K11:$P11,$K$1:$P$1,Q$1)</f>
        <v>2.6400000000000035E-4</v>
      </c>
      <c r="R11" s="38" cm="1">
        <f t="array" aca="1" ref="R11" ca="1">TREND($K11:$P11,$K$1:$P$1,R$1)</f>
        <v>2.6800000000000088E-4</v>
      </c>
      <c r="S11" s="38" cm="1">
        <f t="array" aca="1" ref="S11" ca="1">TREND($K11:$P11,$K$1:$P$1,S$1)</f>
        <v>2.7200000000000141E-4</v>
      </c>
      <c r="T11" s="38" cm="1">
        <f t="array" aca="1" ref="T11" ca="1">TREND($K11:$P11,$K$1:$P$1,T$1)</f>
        <v>2.760000000000002E-4</v>
      </c>
      <c r="U11" s="38" cm="1">
        <f t="array" aca="1" ref="U11" ca="1">TREND($K11:$P11,$K$1:$P$1,U$1)</f>
        <v>2.8000000000000073E-4</v>
      </c>
      <c r="V11" s="38" cm="1">
        <f t="array" aca="1" ref="V11" ca="1">TREND($K11:$P11,$K$1:$P$1,V$1)</f>
        <v>2.8400000000000127E-4</v>
      </c>
      <c r="W11" s="38" cm="1">
        <f t="array" aca="1" ref="W11" ca="1">TREND($K11:$P11,$K$1:$P$1,W$1)</f>
        <v>2.8800000000000006E-4</v>
      </c>
      <c r="X11" s="38" cm="1">
        <f t="array" aca="1" ref="X11" ca="1">TREND($K11:$P11,$K$1:$P$1,X$1)</f>
        <v>2.9200000000000059E-4</v>
      </c>
      <c r="Y11" s="38" cm="1">
        <f t="array" aca="1" ref="Y11" ca="1">TREND($K11:$P11,$K$1:$P$1,Y$1)</f>
        <v>2.9600000000000112E-4</v>
      </c>
      <c r="Z11" s="38" cm="1">
        <f t="array" aca="1" ref="Z11" ca="1">TREND($K11:$P11,$K$1:$P$1,Z$1)</f>
        <v>2.9999999999999992E-4</v>
      </c>
      <c r="AA11" s="38" cm="1">
        <f t="array" aca="1" ref="AA11" ca="1">TREND($K11:$P11,$K$1:$P$1,AA$1)</f>
        <v>3.0400000000000045E-4</v>
      </c>
      <c r="AB11" s="38" cm="1">
        <f t="array" aca="1" ref="AB11" ca="1">TREND($K11:$P11,$K$1:$P$1,AB$1)</f>
        <v>3.0800000000000098E-4</v>
      </c>
      <c r="AC11" s="38" cm="1">
        <f t="array" aca="1" ref="AC11" ca="1">TREND($K11:$P11,$K$1:$P$1,AC$1)</f>
        <v>3.1200000000000151E-4</v>
      </c>
      <c r="AD11" s="38" cm="1">
        <f t="array" aca="1" ref="AD11" ca="1">TREND($K11:$P11,$K$1:$P$1,AD$1)</f>
        <v>3.1600000000000031E-4</v>
      </c>
      <c r="AE11" s="38" cm="1">
        <f t="array" aca="1" ref="AE11" ca="1">TREND($K11:$P11,$K$1:$P$1,AE$1)</f>
        <v>3.2000000000000084E-4</v>
      </c>
      <c r="AF11" s="38" cm="1">
        <f t="array" aca="1" ref="AF11" ca="1">TREND($K11:$P11,$K$1:$P$1,AF$1)</f>
        <v>3.2400000000000137E-4</v>
      </c>
      <c r="AG11" s="38" cm="1">
        <f t="array" aca="1" ref="AG11" ca="1">TREND($K11:$P11,$K$1:$P$1,AG$1)</f>
        <v>3.2800000000000017E-4</v>
      </c>
      <c r="AH11" s="38" cm="1">
        <f t="array" aca="1" ref="AH11" ca="1">TREND($K11:$P11,$K$1:$P$1,AH$1)</f>
        <v>3.320000000000007E-4</v>
      </c>
      <c r="AI11" s="38" cm="1">
        <f t="array" aca="1" ref="AI11" ca="1">TREND($K11:$P11,$K$1:$P$1,AI$1)</f>
        <v>3.3600000000000123E-4</v>
      </c>
      <c r="AJ11" s="38" cm="1">
        <f t="array" aca="1" ref="AJ11" ca="1">TREND($K11:$P11,$K$1:$P$1,AJ$1)</f>
        <v>3.4000000000000002E-4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9.3100000000000008E-4</v>
      </c>
      <c r="C12" s="38">
        <f t="shared" ca="1" si="3"/>
        <v>9.475000000000001E-4</v>
      </c>
      <c r="D12" s="38">
        <f t="shared" ca="1" si="0"/>
        <v>9.6400000000000001E-4</v>
      </c>
      <c r="E12" s="38">
        <f t="shared" ca="1" si="0"/>
        <v>9.8050000000000003E-4</v>
      </c>
      <c r="F12" s="40">
        <f ca="1">SUM(INDIRECT(CONCATENATE("'",HLOOKUP(F$1,$B$21:$E$23,3,FALSE),"'!",$B$25,ROW($A12)+5,":",$B$25,ROW($A12)+6)))*About!$A$27</f>
        <v>9.9700000000000006E-4</v>
      </c>
      <c r="G12" s="38">
        <f t="shared" ca="1" si="4"/>
        <v>1.0156E-3</v>
      </c>
      <c r="H12" s="38">
        <f t="shared" ca="1" si="1"/>
        <v>1.0342000000000001E-3</v>
      </c>
      <c r="I12" s="38">
        <f t="shared" ca="1" si="1"/>
        <v>1.0528E-3</v>
      </c>
      <c r="J12" s="38">
        <f t="shared" ca="1" si="1"/>
        <v>1.0714000000000001E-3</v>
      </c>
      <c r="K12" s="40">
        <f ca="1">SUM(INDIRECT(CONCATENATE("'",HLOOKUP(K$1,$B$21:$E$23,3,FALSE),"'!",$B$25,ROW($A12)+5,":",$B$25,ROW($A12)+6)))*About!$A$27</f>
        <v>1.09E-3</v>
      </c>
      <c r="L12" s="38">
        <f t="shared" ca="1" si="5"/>
        <v>1.114E-3</v>
      </c>
      <c r="M12" s="38">
        <f t="shared" ca="1" si="2"/>
        <v>1.1380000000000001E-3</v>
      </c>
      <c r="N12" s="38">
        <f t="shared" ca="1" si="2"/>
        <v>1.1620000000000001E-3</v>
      </c>
      <c r="O12" s="38">
        <f t="shared" ca="1" si="2"/>
        <v>1.1860000000000002E-3</v>
      </c>
      <c r="P12" s="40">
        <f ca="1">SUM(INDIRECT(CONCATENATE("'",HLOOKUP(P$1,$B$21:$E$23,3,FALSE),"'!",$B$25,ROW($A12)+5,":",$B$25,ROW($A12)+6)))*About!$A$27</f>
        <v>1.2100000000000001E-3</v>
      </c>
      <c r="Q12" s="38" cm="1">
        <f t="array" aca="1" ref="Q12" ca="1">TREND($K12:$P12,$K$1:$P$1,Q$1)</f>
        <v>1.233999999999999E-3</v>
      </c>
      <c r="R12" s="38" cm="1">
        <f t="array" aca="1" ref="R12" ca="1">TREND($K12:$P12,$K$1:$P$1,R$1)</f>
        <v>1.2579999999999952E-3</v>
      </c>
      <c r="S12" s="38" cm="1">
        <f t="array" aca="1" ref="S12" ca="1">TREND($K12:$P12,$K$1:$P$1,S$1)</f>
        <v>1.2819999999999984E-3</v>
      </c>
      <c r="T12" s="38" cm="1">
        <f t="array" aca="1" ref="T12" ca="1">TREND($K12:$P12,$K$1:$P$1,T$1)</f>
        <v>1.3059999999999947E-3</v>
      </c>
      <c r="U12" s="38" cm="1">
        <f t="array" aca="1" ref="U12" ca="1">TREND($K12:$P12,$K$1:$P$1,U$1)</f>
        <v>1.3299999999999979E-3</v>
      </c>
      <c r="V12" s="38" cm="1">
        <f t="array" aca="1" ref="V12" ca="1">TREND($K12:$P12,$K$1:$P$1,V$1)</f>
        <v>1.3539999999999941E-3</v>
      </c>
      <c r="W12" s="38" cm="1">
        <f t="array" aca="1" ref="W12" ca="1">TREND($K12:$P12,$K$1:$P$1,W$1)</f>
        <v>1.3779999999999973E-3</v>
      </c>
      <c r="X12" s="38" cm="1">
        <f t="array" aca="1" ref="X12" ca="1">TREND($K12:$P12,$K$1:$P$1,X$1)</f>
        <v>1.4020000000000005E-3</v>
      </c>
      <c r="Y12" s="38" cm="1">
        <f t="array" aca="1" ref="Y12" ca="1">TREND($K12:$P12,$K$1:$P$1,Y$1)</f>
        <v>1.4259999999999967E-3</v>
      </c>
      <c r="Z12" s="38" cm="1">
        <f t="array" aca="1" ref="Z12" ca="1">TREND($K12:$P12,$K$1:$P$1,Z$1)</f>
        <v>1.4499999999999999E-3</v>
      </c>
      <c r="AA12" s="38" cm="1">
        <f t="array" aca="1" ref="AA12" ca="1">TREND($K12:$P12,$K$1:$P$1,AA$1)</f>
        <v>1.4739999999999961E-3</v>
      </c>
      <c r="AB12" s="38" cm="1">
        <f t="array" aca="1" ref="AB12" ca="1">TREND($K12:$P12,$K$1:$P$1,AB$1)</f>
        <v>1.4979999999999993E-3</v>
      </c>
      <c r="AC12" s="38" cm="1">
        <f t="array" aca="1" ref="AC12" ca="1">TREND($K12:$P12,$K$1:$P$1,AC$1)</f>
        <v>1.5219999999999956E-3</v>
      </c>
      <c r="AD12" s="38" cm="1">
        <f t="array" aca="1" ref="AD12" ca="1">TREND($K12:$P12,$K$1:$P$1,AD$1)</f>
        <v>1.5459999999999988E-3</v>
      </c>
      <c r="AE12" s="38" cm="1">
        <f t="array" aca="1" ref="AE12" ca="1">TREND($K12:$P12,$K$1:$P$1,AE$1)</f>
        <v>1.569999999999995E-3</v>
      </c>
      <c r="AF12" s="38" cm="1">
        <f t="array" aca="1" ref="AF12" ca="1">TREND($K12:$P12,$K$1:$P$1,AF$1)</f>
        <v>1.5939999999999982E-3</v>
      </c>
      <c r="AG12" s="38" cm="1">
        <f t="array" aca="1" ref="AG12" ca="1">TREND($K12:$P12,$K$1:$P$1,AG$1)</f>
        <v>1.6179999999999944E-3</v>
      </c>
      <c r="AH12" s="38" cm="1">
        <f t="array" aca="1" ref="AH12" ca="1">TREND($K12:$P12,$K$1:$P$1,AH$1)</f>
        <v>1.6419999999999976E-3</v>
      </c>
      <c r="AI12" s="38" cm="1">
        <f t="array" aca="1" ref="AI12" ca="1">TREND($K12:$P12,$K$1:$P$1,AI$1)</f>
        <v>1.6660000000000008E-3</v>
      </c>
      <c r="AJ12" s="38" cm="1">
        <f t="array" aca="1" ref="AJ12" ca="1">TREND($K12:$P12,$K$1:$P$1,AJ$1)</f>
        <v>1.6899999999999971E-3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HOIpTP-LULUCF-NOx</v>
      </c>
    </row>
    <row r="18" spans="1:5" x14ac:dyDescent="0.25">
      <c r="A18" t="s">
        <v>114</v>
      </c>
      <c r="B18" t="str">
        <f ca="1">RIGHT(B17,LEN(B17)-7)</f>
        <v>LULUCF-NOx</v>
      </c>
    </row>
    <row r="19" spans="1:5" x14ac:dyDescent="0.25">
      <c r="A19" t="s">
        <v>115</v>
      </c>
      <c r="B19" t="str">
        <f ca="1">LEFT(B18,FIND("-",B18)-1)</f>
        <v>LULUCF</v>
      </c>
    </row>
    <row r="20" spans="1:5" x14ac:dyDescent="0.25">
      <c r="A20" t="s">
        <v>122</v>
      </c>
      <c r="B20" t="str">
        <f ca="1">VLOOKUP($B$19,Mappings!$A$22:$B$26,COLUMN(Mappings!$B$21),FALSE)</f>
        <v>on-road mobile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15</v>
      </c>
      <c r="C22" s="32">
        <f ca="1">VLOOKUP($B$20,Mappings!$A$3:$E$19,COLUMN(Mappings!C$2),FALSE)</f>
        <v>32</v>
      </c>
      <c r="D22" s="32">
        <f ca="1">VLOOKUP($B$20,Mappings!$A$3:$E$19,COLUMN(Mappings!D$2),FALSE)</f>
        <v>49</v>
      </c>
      <c r="E22" s="33">
        <f ca="1">VLOOKUP($B$20,Mappings!$A$3:$E$19,COLUMN(Mappings!E$2),FALSE)</f>
        <v>66</v>
      </c>
    </row>
    <row r="23" spans="1:5" x14ac:dyDescent="0.25">
      <c r="A23" s="34" t="s">
        <v>113</v>
      </c>
      <c r="B23" s="35" t="str">
        <f ca="1">CONCATENATE("Table ",B22)</f>
        <v>Table 15</v>
      </c>
      <c r="C23" s="35" t="str">
        <f ca="1">CONCATENATE("Table ",C22)</f>
        <v>Table 32</v>
      </c>
      <c r="D23" s="35" t="str">
        <f ca="1">CONCATENATE("Table ",D22)</f>
        <v>Table 49</v>
      </c>
      <c r="E23" s="36" t="str">
        <f ca="1">CONCATENATE("Table ",E22)</f>
        <v>Table 66</v>
      </c>
    </row>
    <row r="24" spans="1:5" x14ac:dyDescent="0.25">
      <c r="A24" t="s">
        <v>116</v>
      </c>
      <c r="B24" t="str">
        <f ca="1">REPLACE(B18,1,FIND("-",B18),"")</f>
        <v>NOx</v>
      </c>
    </row>
    <row r="25" spans="1:5" x14ac:dyDescent="0.25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528A-A838-4DA0-8F41-C3BEAD5D3470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4.2999999999999997E-2</v>
      </c>
      <c r="C2" s="38">
        <f ca="1">$B2+($F2-$B2)*(C$1-$B$1)/($F$1-$B$1)</f>
        <v>4.3249999999999997E-2</v>
      </c>
      <c r="D2" s="38">
        <f t="shared" ref="D2:E12" ca="1" si="0">$B2+($F2-$B2)*(D$1-$B$1)/($F$1-$B$1)</f>
        <v>4.3499999999999997E-2</v>
      </c>
      <c r="E2" s="38">
        <f t="shared" ca="1" si="0"/>
        <v>4.3749999999999997E-2</v>
      </c>
      <c r="F2" s="37" cm="1">
        <f t="array" aca="1" ref="F2" ca="1">INDIRECT(CONCATENATE("'",HLOOKUP(F$1,$B$21:$E$23,3,FALSE),"'!",$B$25,ROW($A2)+3))*About!$A$27</f>
        <v>4.3999999999999997E-2</v>
      </c>
      <c r="G2" s="38">
        <f ca="1">$F2+($K2-$F2)*(G$1-$F$1)/($K$1-$F$1)</f>
        <v>4.48E-2</v>
      </c>
      <c r="H2" s="38">
        <f t="shared" ref="H2:J12" ca="1" si="1">$F2+($K2-$F2)*(H$1-$F$1)/($K$1-$F$1)</f>
        <v>4.5600000000000002E-2</v>
      </c>
      <c r="I2" s="38">
        <f t="shared" ca="1" si="1"/>
        <v>4.6399999999999997E-2</v>
      </c>
      <c r="J2" s="38">
        <f t="shared" ca="1" si="1"/>
        <v>4.7199999999999999E-2</v>
      </c>
      <c r="K2" s="37" cm="1">
        <f t="array" aca="1" ref="K2" ca="1">INDIRECT(CONCATENATE("'",HLOOKUP(K$1,$B$21:$E$23,3,FALSE),"'!",$B$25,ROW($A2)+3))*About!$A$27</f>
        <v>4.8000000000000001E-2</v>
      </c>
      <c r="L2" s="38">
        <f ca="1">$K2+($P2-$K2)*(L$1-$K$1)/($P$1-$K$1)</f>
        <v>4.8599999999999997E-2</v>
      </c>
      <c r="M2" s="38">
        <f t="shared" ref="M2:O12" ca="1" si="2">$K2+($P2-$K2)*(M$1-$K$1)/($P$1-$K$1)</f>
        <v>4.9200000000000001E-2</v>
      </c>
      <c r="N2" s="38">
        <f t="shared" ca="1" si="2"/>
        <v>4.9799999999999997E-2</v>
      </c>
      <c r="O2" s="38">
        <f t="shared" ca="1" si="2"/>
        <v>5.04E-2</v>
      </c>
      <c r="P2" s="37" cm="1">
        <f t="array" aca="1" ref="P2" ca="1">INDIRECT(CONCATENATE("'",HLOOKUP(P$1,$B$21:$E$23,3,FALSE),"'!",$B$25,ROW($A2)+3))*About!$A$27</f>
        <v>5.0999999999999997E-2</v>
      </c>
      <c r="Q2" s="38" cm="1">
        <f t="array" aca="1" ref="Q2" ca="1">TREND($K2:$P2,$K$1:$P$1,Q$1)</f>
        <v>5.160000000000009E-2</v>
      </c>
      <c r="R2" s="38" cm="1">
        <f t="array" aca="1" ref="R2" ca="1">TREND($K2:$P2,$K$1:$P$1,R$1)</f>
        <v>5.2200000000000024E-2</v>
      </c>
      <c r="S2" s="38" cm="1">
        <f t="array" aca="1" ref="S2" ca="1">TREND($K2:$P2,$K$1:$P$1,S$1)</f>
        <v>5.280000000000018E-2</v>
      </c>
      <c r="T2" s="38" cm="1">
        <f t="array" aca="1" ref="T2" ca="1">TREND($K2:$P2,$K$1:$P$1,T$1)</f>
        <v>5.3400000000000114E-2</v>
      </c>
      <c r="U2" s="38" cm="1">
        <f t="array" aca="1" ref="U2" ca="1">TREND($K2:$P2,$K$1:$P$1,U$1)</f>
        <v>5.4000000000000048E-2</v>
      </c>
      <c r="V2" s="38" cm="1">
        <f t="array" aca="1" ref="V2" ca="1">TREND($K2:$P2,$K$1:$P$1,V$1)</f>
        <v>5.4599999999999982E-2</v>
      </c>
      <c r="W2" s="38" cm="1">
        <f t="array" aca="1" ref="W2" ca="1">TREND($K2:$P2,$K$1:$P$1,W$1)</f>
        <v>5.5200000000000138E-2</v>
      </c>
      <c r="X2" s="38" cm="1">
        <f t="array" aca="1" ref="X2" ca="1">TREND($K2:$P2,$K$1:$P$1,X$1)</f>
        <v>5.5800000000000072E-2</v>
      </c>
      <c r="Y2" s="38" cm="1">
        <f t="array" aca="1" ref="Y2" ca="1">TREND($K2:$P2,$K$1:$P$1,Y$1)</f>
        <v>5.6400000000000006E-2</v>
      </c>
      <c r="Z2" s="38" cm="1">
        <f t="array" aca="1" ref="Z2" ca="1">TREND($K2:$P2,$K$1:$P$1,Z$1)</f>
        <v>5.7000000000000162E-2</v>
      </c>
      <c r="AA2" s="38" cm="1">
        <f t="array" aca="1" ref="AA2" ca="1">TREND($K2:$P2,$K$1:$P$1,AA$1)</f>
        <v>5.7600000000000096E-2</v>
      </c>
      <c r="AB2" s="38" cm="1">
        <f t="array" aca="1" ref="AB2" ca="1">TREND($K2:$P2,$K$1:$P$1,AB$1)</f>
        <v>5.8200000000000029E-2</v>
      </c>
      <c r="AC2" s="38" cm="1">
        <f t="array" aca="1" ref="AC2" ca="1">TREND($K2:$P2,$K$1:$P$1,AC$1)</f>
        <v>5.8800000000000185E-2</v>
      </c>
      <c r="AD2" s="38" cm="1">
        <f t="array" aca="1" ref="AD2" ca="1">TREND($K2:$P2,$K$1:$P$1,AD$1)</f>
        <v>5.9400000000000119E-2</v>
      </c>
      <c r="AE2" s="38" cm="1">
        <f t="array" aca="1" ref="AE2" ca="1">TREND($K2:$P2,$K$1:$P$1,AE$1)</f>
        <v>6.0000000000000053E-2</v>
      </c>
      <c r="AF2" s="38" cm="1">
        <f t="array" aca="1" ref="AF2" ca="1">TREND($K2:$P2,$K$1:$P$1,AF$1)</f>
        <v>6.0599999999999987E-2</v>
      </c>
      <c r="AG2" s="38" cm="1">
        <f t="array" aca="1" ref="AG2" ca="1">TREND($K2:$P2,$K$1:$P$1,AG$1)</f>
        <v>6.1200000000000143E-2</v>
      </c>
      <c r="AH2" s="38" cm="1">
        <f t="array" aca="1" ref="AH2" ca="1">TREND($K2:$P2,$K$1:$P$1,AH$1)</f>
        <v>6.1800000000000077E-2</v>
      </c>
      <c r="AI2" s="38" cm="1">
        <f t="array" aca="1" ref="AI2" ca="1">TREND($K2:$P2,$K$1:$P$1,AI$1)</f>
        <v>6.2400000000000011E-2</v>
      </c>
      <c r="AJ2" s="38" cm="1">
        <f t="array" aca="1" ref="AJ2" ca="1">TREND($K2:$P2,$K$1:$P$1,AJ$1)</f>
        <v>6.3000000000000167E-2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2.5000000000000001E-2</v>
      </c>
      <c r="C3" s="38">
        <f t="shared" ref="C3:C12" ca="1" si="3">$B3+($F3-$B3)*(C$1-$B$1)/($F$1-$B$1)</f>
        <v>2.5250000000000002E-2</v>
      </c>
      <c r="D3" s="38">
        <f t="shared" ca="1" si="0"/>
        <v>2.5500000000000002E-2</v>
      </c>
      <c r="E3" s="38">
        <f t="shared" ca="1" si="0"/>
        <v>2.5749999999999999E-2</v>
      </c>
      <c r="F3" s="39" cm="1">
        <f t="array" aca="1" ref="F3" ca="1">INDIRECT(CONCATENATE("'",HLOOKUP(F$1,$B$21:$E$23,3,FALSE),"'!",$B$25,ROW($A3)+5))*About!$A$27</f>
        <v>2.5999999999999999E-2</v>
      </c>
      <c r="G3" s="38">
        <f t="shared" ref="G3:G12" ca="1" si="4">$F3+($K3-$F3)*(G$1-$F$1)/($K$1-$F$1)</f>
        <v>2.6199999999999998E-2</v>
      </c>
      <c r="H3" s="38">
        <f t="shared" ca="1" si="1"/>
        <v>2.64E-2</v>
      </c>
      <c r="I3" s="38">
        <f t="shared" ca="1" si="1"/>
        <v>2.6599999999999999E-2</v>
      </c>
      <c r="J3" s="38">
        <f t="shared" ca="1" si="1"/>
        <v>2.6800000000000001E-2</v>
      </c>
      <c r="K3" s="39" cm="1">
        <f t="array" aca="1" ref="K3" ca="1">INDIRECT(CONCATENATE("'",HLOOKUP(K$1,$B$21:$E$23,3,FALSE),"'!",$B$25,ROW($A3)+5))*About!$A$27</f>
        <v>2.7E-2</v>
      </c>
      <c r="L3" s="38">
        <f t="shared" ref="L3:L12" ca="1" si="5">$K3+($P3-$K3)*(L$1-$K$1)/($P$1-$K$1)</f>
        <v>2.7199999999999998E-2</v>
      </c>
      <c r="M3" s="38">
        <f t="shared" ca="1" si="2"/>
        <v>2.7400000000000001E-2</v>
      </c>
      <c r="N3" s="38">
        <f t="shared" ca="1" si="2"/>
        <v>2.76E-2</v>
      </c>
      <c r="O3" s="38">
        <f t="shared" ca="1" si="2"/>
        <v>2.7800000000000002E-2</v>
      </c>
      <c r="P3" s="39" cm="1">
        <f t="array" aca="1" ref="P3" ca="1">INDIRECT(CONCATENATE("'",HLOOKUP(P$1,$B$21:$E$23,3,FALSE),"'!",$B$25,ROW($A3)+5))*About!$A$27</f>
        <v>2.8000000000000001E-2</v>
      </c>
      <c r="Q3" s="38" cm="1">
        <f t="array" aca="1" ref="Q3" ca="1">TREND($K3:$P3,$K$1:$P$1,Q$1)</f>
        <v>2.8200000000000003E-2</v>
      </c>
      <c r="R3" s="38" cm="1">
        <f t="array" aca="1" ref="R3" ca="1">TREND($K3:$P3,$K$1:$P$1,R$1)</f>
        <v>2.8400000000000036E-2</v>
      </c>
      <c r="S3" s="38" cm="1">
        <f t="array" aca="1" ref="S3" ca="1">TREND($K3:$P3,$K$1:$P$1,S$1)</f>
        <v>2.8600000000000014E-2</v>
      </c>
      <c r="T3" s="38" cm="1">
        <f t="array" aca="1" ref="T3" ca="1">TREND($K3:$P3,$K$1:$P$1,T$1)</f>
        <v>2.8799999999999992E-2</v>
      </c>
      <c r="U3" s="38" cm="1">
        <f t="array" aca="1" ref="U3" ca="1">TREND($K3:$P3,$K$1:$P$1,U$1)</f>
        <v>2.9000000000000026E-2</v>
      </c>
      <c r="V3" s="38" cm="1">
        <f t="array" aca="1" ref="V3" ca="1">TREND($K3:$P3,$K$1:$P$1,V$1)</f>
        <v>2.9200000000000004E-2</v>
      </c>
      <c r="W3" s="38" cm="1">
        <f t="array" aca="1" ref="W3" ca="1">TREND($K3:$P3,$K$1:$P$1,W$1)</f>
        <v>2.9400000000000037E-2</v>
      </c>
      <c r="X3" s="38" cm="1">
        <f t="array" aca="1" ref="X3" ca="1">TREND($K3:$P3,$K$1:$P$1,X$1)</f>
        <v>2.9600000000000015E-2</v>
      </c>
      <c r="Y3" s="38" cm="1">
        <f t="array" aca="1" ref="Y3" ca="1">TREND($K3:$P3,$K$1:$P$1,Y$1)</f>
        <v>2.9799999999999993E-2</v>
      </c>
      <c r="Z3" s="38" cm="1">
        <f t="array" aca="1" ref="Z3" ca="1">TREND($K3:$P3,$K$1:$P$1,Z$1)</f>
        <v>3.0000000000000027E-2</v>
      </c>
      <c r="AA3" s="38" cm="1">
        <f t="array" aca="1" ref="AA3" ca="1">TREND($K3:$P3,$K$1:$P$1,AA$1)</f>
        <v>3.0200000000000005E-2</v>
      </c>
      <c r="AB3" s="38" cm="1">
        <f t="array" aca="1" ref="AB3" ca="1">TREND($K3:$P3,$K$1:$P$1,AB$1)</f>
        <v>3.0400000000000038E-2</v>
      </c>
      <c r="AC3" s="38" cm="1">
        <f t="array" aca="1" ref="AC3" ca="1">TREND($K3:$P3,$K$1:$P$1,AC$1)</f>
        <v>3.0600000000000016E-2</v>
      </c>
      <c r="AD3" s="38" cm="1">
        <f t="array" aca="1" ref="AD3" ca="1">TREND($K3:$P3,$K$1:$P$1,AD$1)</f>
        <v>3.0799999999999994E-2</v>
      </c>
      <c r="AE3" s="38" cm="1">
        <f t="array" aca="1" ref="AE3" ca="1">TREND($K3:$P3,$K$1:$P$1,AE$1)</f>
        <v>3.1000000000000028E-2</v>
      </c>
      <c r="AF3" s="38" cm="1">
        <f t="array" aca="1" ref="AF3" ca="1">TREND($K3:$P3,$K$1:$P$1,AF$1)</f>
        <v>3.1200000000000006E-2</v>
      </c>
      <c r="AG3" s="38" cm="1">
        <f t="array" aca="1" ref="AG3" ca="1">TREND($K3:$P3,$K$1:$P$1,AG$1)</f>
        <v>3.1400000000000039E-2</v>
      </c>
      <c r="AH3" s="38" cm="1">
        <f t="array" aca="1" ref="AH3" ca="1">TREND($K3:$P3,$K$1:$P$1,AH$1)</f>
        <v>3.1600000000000017E-2</v>
      </c>
      <c r="AI3" s="38" cm="1">
        <f t="array" aca="1" ref="AI3" ca="1">TREND($K3:$P3,$K$1:$P$1,AI$1)</f>
        <v>3.1799999999999995E-2</v>
      </c>
      <c r="AJ3" s="38" cm="1">
        <f t="array" aca="1" ref="AJ3" ca="1">TREND($K3:$P3,$K$1:$P$1,AJ$1)</f>
        <v>3.2000000000000028E-2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6.4000000000000001E-2</v>
      </c>
      <c r="C4" s="38">
        <f t="shared" ca="1" si="3"/>
        <v>6.4000000000000001E-2</v>
      </c>
      <c r="D4" s="38">
        <f t="shared" ca="1" si="0"/>
        <v>6.4000000000000001E-2</v>
      </c>
      <c r="E4" s="38">
        <f t="shared" ca="1" si="0"/>
        <v>6.4000000000000001E-2</v>
      </c>
      <c r="F4" s="39" cm="1">
        <f t="array" aca="1" ref="F4" ca="1">INDIRECT(CONCATENATE("'",HLOOKUP(F$1,$B$21:$E$23,3,FALSE),"'!",$B$25,ROW($A4)+5))*About!$A$27</f>
        <v>6.4000000000000001E-2</v>
      </c>
      <c r="G4" s="38">
        <f t="shared" ca="1" si="4"/>
        <v>6.4600000000000005E-2</v>
      </c>
      <c r="H4" s="38">
        <f t="shared" ca="1" si="1"/>
        <v>6.5200000000000008E-2</v>
      </c>
      <c r="I4" s="38">
        <f t="shared" ca="1" si="1"/>
        <v>6.5799999999999997E-2</v>
      </c>
      <c r="J4" s="38">
        <f t="shared" ca="1" si="1"/>
        <v>6.6400000000000001E-2</v>
      </c>
      <c r="K4" s="39" cm="1">
        <f t="array" aca="1" ref="K4" ca="1">INDIRECT(CONCATENATE("'",HLOOKUP(K$1,$B$21:$E$23,3,FALSE),"'!",$B$25,ROW($A4)+5))*About!$A$27</f>
        <v>6.7000000000000004E-2</v>
      </c>
      <c r="L4" s="38">
        <f t="shared" ca="1" si="5"/>
        <v>6.8199999999999997E-2</v>
      </c>
      <c r="M4" s="38">
        <f t="shared" ca="1" si="2"/>
        <v>6.9400000000000003E-2</v>
      </c>
      <c r="N4" s="38">
        <f t="shared" ca="1" si="2"/>
        <v>7.0599999999999996E-2</v>
      </c>
      <c r="O4" s="38">
        <f t="shared" ca="1" si="2"/>
        <v>7.1800000000000003E-2</v>
      </c>
      <c r="P4" s="39" cm="1">
        <f t="array" aca="1" ref="P4" ca="1">INDIRECT(CONCATENATE("'",HLOOKUP(P$1,$B$21:$E$23,3,FALSE),"'!",$B$25,ROW($A4)+5))*About!$A$27</f>
        <v>7.2999999999999995E-2</v>
      </c>
      <c r="Q4" s="38" cm="1">
        <f t="array" aca="1" ref="Q4" ca="1">TREND($K4:$P4,$K$1:$P$1,Q$1)</f>
        <v>7.4199999999999822E-2</v>
      </c>
      <c r="R4" s="38" cm="1">
        <f t="array" aca="1" ref="R4" ca="1">TREND($K4:$P4,$K$1:$P$1,R$1)</f>
        <v>7.5399999999999689E-2</v>
      </c>
      <c r="S4" s="38" cm="1">
        <f t="array" aca="1" ref="S4" ca="1">TREND($K4:$P4,$K$1:$P$1,S$1)</f>
        <v>7.6600000000000001E-2</v>
      </c>
      <c r="T4" s="38" cm="1">
        <f t="array" aca="1" ref="T4" ca="1">TREND($K4:$P4,$K$1:$P$1,T$1)</f>
        <v>7.7799999999999869E-2</v>
      </c>
      <c r="U4" s="38" cm="1">
        <f t="array" aca="1" ref="U4" ca="1">TREND($K4:$P4,$K$1:$P$1,U$1)</f>
        <v>7.8999999999999737E-2</v>
      </c>
      <c r="V4" s="38" cm="1">
        <f t="array" aca="1" ref="V4" ca="1">TREND($K4:$P4,$K$1:$P$1,V$1)</f>
        <v>8.0199999999999605E-2</v>
      </c>
      <c r="W4" s="38" cm="1">
        <f t="array" aca="1" ref="W4" ca="1">TREND($K4:$P4,$K$1:$P$1,W$1)</f>
        <v>8.1399999999999917E-2</v>
      </c>
      <c r="X4" s="38" cm="1">
        <f t="array" aca="1" ref="X4" ca="1">TREND($K4:$P4,$K$1:$P$1,X$1)</f>
        <v>8.2599999999999785E-2</v>
      </c>
      <c r="Y4" s="38" cm="1">
        <f t="array" aca="1" ref="Y4" ca="1">TREND($K4:$P4,$K$1:$P$1,Y$1)</f>
        <v>8.3799999999999653E-2</v>
      </c>
      <c r="Z4" s="38" cm="1">
        <f t="array" aca="1" ref="Z4" ca="1">TREND($K4:$P4,$K$1:$P$1,Z$1)</f>
        <v>8.4999999999999964E-2</v>
      </c>
      <c r="AA4" s="38" cm="1">
        <f t="array" aca="1" ref="AA4" ca="1">TREND($K4:$P4,$K$1:$P$1,AA$1)</f>
        <v>8.6199999999999832E-2</v>
      </c>
      <c r="AB4" s="38" cm="1">
        <f t="array" aca="1" ref="AB4" ca="1">TREND($K4:$P4,$K$1:$P$1,AB$1)</f>
        <v>8.73999999999997E-2</v>
      </c>
      <c r="AC4" s="38" cm="1">
        <f t="array" aca="1" ref="AC4" ca="1">TREND($K4:$P4,$K$1:$P$1,AC$1)</f>
        <v>8.8600000000000012E-2</v>
      </c>
      <c r="AD4" s="38" cm="1">
        <f t="array" aca="1" ref="AD4" ca="1">TREND($K4:$P4,$K$1:$P$1,AD$1)</f>
        <v>8.979999999999988E-2</v>
      </c>
      <c r="AE4" s="38" cm="1">
        <f t="array" aca="1" ref="AE4" ca="1">TREND($K4:$P4,$K$1:$P$1,AE$1)</f>
        <v>9.0999999999999748E-2</v>
      </c>
      <c r="AF4" s="38" cm="1">
        <f t="array" aca="1" ref="AF4" ca="1">TREND($K4:$P4,$K$1:$P$1,AF$1)</f>
        <v>9.2199999999999616E-2</v>
      </c>
      <c r="AG4" s="38" cm="1">
        <f t="array" aca="1" ref="AG4" ca="1">TREND($K4:$P4,$K$1:$P$1,AG$1)</f>
        <v>9.3399999999999928E-2</v>
      </c>
      <c r="AH4" s="38" cm="1">
        <f t="array" aca="1" ref="AH4" ca="1">TREND($K4:$P4,$K$1:$P$1,AH$1)</f>
        <v>9.4599999999999795E-2</v>
      </c>
      <c r="AI4" s="38" cm="1">
        <f t="array" aca="1" ref="AI4" ca="1">TREND($K4:$P4,$K$1:$P$1,AI$1)</f>
        <v>9.5799999999999663E-2</v>
      </c>
      <c r="AJ4" s="38" cm="1">
        <f t="array" aca="1" ref="AJ4" ca="1">TREND($K4:$P4,$K$1:$P$1,AJ$1)</f>
        <v>9.6999999999999975E-2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0.81</v>
      </c>
      <c r="C5" s="38">
        <f t="shared" ca="1" si="3"/>
        <v>0.8125</v>
      </c>
      <c r="D5" s="38">
        <f t="shared" ca="1" si="0"/>
        <v>0.81499999999999995</v>
      </c>
      <c r="E5" s="38">
        <f t="shared" ca="1" si="0"/>
        <v>0.8175</v>
      </c>
      <c r="F5" s="39" cm="1">
        <f t="array" aca="1" ref="F5" ca="1">INDIRECT(CONCATENATE("'",HLOOKUP(F$1,$B$21:$E$23,3,FALSE),"'!",$B$25,ROW($A5)+5))*About!$A$27</f>
        <v>0.82</v>
      </c>
      <c r="G5" s="38">
        <f t="shared" ca="1" si="4"/>
        <v>0.82799999999999996</v>
      </c>
      <c r="H5" s="38">
        <f t="shared" ca="1" si="1"/>
        <v>0.83599999999999997</v>
      </c>
      <c r="I5" s="38">
        <f t="shared" ca="1" si="1"/>
        <v>0.84399999999999997</v>
      </c>
      <c r="J5" s="38">
        <f t="shared" ca="1" si="1"/>
        <v>0.85199999999999998</v>
      </c>
      <c r="K5" s="39" cm="1">
        <f t="array" aca="1" ref="K5" ca="1">INDIRECT(CONCATENATE("'",HLOOKUP(K$1,$B$21:$E$23,3,FALSE),"'!",$B$25,ROW($A5)+5))*About!$A$27</f>
        <v>0.86</v>
      </c>
      <c r="L5" s="38">
        <f t="shared" ca="1" si="5"/>
        <v>0.874</v>
      </c>
      <c r="M5" s="38">
        <f t="shared" ca="1" si="2"/>
        <v>0.88800000000000001</v>
      </c>
      <c r="N5" s="38">
        <f t="shared" ca="1" si="2"/>
        <v>0.90200000000000002</v>
      </c>
      <c r="O5" s="38">
        <f t="shared" ca="1" si="2"/>
        <v>0.91600000000000004</v>
      </c>
      <c r="P5" s="39" cm="1">
        <f t="array" aca="1" ref="P5" ca="1">INDIRECT(CONCATENATE("'",HLOOKUP(P$1,$B$21:$E$23,3,FALSE),"'!",$B$25,ROW($A5)+5))*About!$A$27</f>
        <v>0.93</v>
      </c>
      <c r="Q5" s="38" cm="1">
        <f t="array" aca="1" ref="Q5" ca="1">TREND($K5:$P5,$K$1:$P$1,Q$1)</f>
        <v>0.94399999999999906</v>
      </c>
      <c r="R5" s="38" cm="1">
        <f t="array" aca="1" ref="R5" ca="1">TREND($K5:$P5,$K$1:$P$1,R$1)</f>
        <v>0.95799999999999841</v>
      </c>
      <c r="S5" s="38" cm="1">
        <f t="array" aca="1" ref="S5" ca="1">TREND($K5:$P5,$K$1:$P$1,S$1)</f>
        <v>0.97199999999999775</v>
      </c>
      <c r="T5" s="38" cm="1">
        <f t="array" aca="1" ref="T5" ca="1">TREND($K5:$P5,$K$1:$P$1,T$1)</f>
        <v>0.9859999999999971</v>
      </c>
      <c r="U5" s="38" cm="1">
        <f t="array" aca="1" ref="U5" ca="1">TREND($K5:$P5,$K$1:$P$1,U$1)</f>
        <v>1</v>
      </c>
      <c r="V5" s="38" cm="1">
        <f t="array" aca="1" ref="V5" ca="1">TREND($K5:$P5,$K$1:$P$1,V$1)</f>
        <v>1.0139999999999993</v>
      </c>
      <c r="W5" s="38" cm="1">
        <f t="array" aca="1" ref="W5" ca="1">TREND($K5:$P5,$K$1:$P$1,W$1)</f>
        <v>1.0279999999999987</v>
      </c>
      <c r="X5" s="38" cm="1">
        <f t="array" aca="1" ref="X5" ca="1">TREND($K5:$P5,$K$1:$P$1,X$1)</f>
        <v>1.041999999999998</v>
      </c>
      <c r="Y5" s="38" cm="1">
        <f t="array" aca="1" ref="Y5" ca="1">TREND($K5:$P5,$K$1:$P$1,Y$1)</f>
        <v>1.0559999999999974</v>
      </c>
      <c r="Z5" s="38" cm="1">
        <f t="array" aca="1" ref="Z5" ca="1">TREND($K5:$P5,$K$1:$P$1,Z$1)</f>
        <v>1.0699999999999967</v>
      </c>
      <c r="AA5" s="38" cm="1">
        <f t="array" aca="1" ref="AA5" ca="1">TREND($K5:$P5,$K$1:$P$1,AA$1)</f>
        <v>1.0839999999999996</v>
      </c>
      <c r="AB5" s="38" cm="1">
        <f t="array" aca="1" ref="AB5" ca="1">TREND($K5:$P5,$K$1:$P$1,AB$1)</f>
        <v>1.097999999999999</v>
      </c>
      <c r="AC5" s="38" cm="1">
        <f t="array" aca="1" ref="AC5" ca="1">TREND($K5:$P5,$K$1:$P$1,AC$1)</f>
        <v>1.1119999999999983</v>
      </c>
      <c r="AD5" s="38" cm="1">
        <f t="array" aca="1" ref="AD5" ca="1">TREND($K5:$P5,$K$1:$P$1,AD$1)</f>
        <v>1.1259999999999977</v>
      </c>
      <c r="AE5" s="38" cm="1">
        <f t="array" aca="1" ref="AE5" ca="1">TREND($K5:$P5,$K$1:$P$1,AE$1)</f>
        <v>1.139999999999997</v>
      </c>
      <c r="AF5" s="38" cm="1">
        <f t="array" aca="1" ref="AF5" ca="1">TREND($K5:$P5,$K$1:$P$1,AF$1)</f>
        <v>1.1539999999999999</v>
      </c>
      <c r="AG5" s="38" cm="1">
        <f t="array" aca="1" ref="AG5" ca="1">TREND($K5:$P5,$K$1:$P$1,AG$1)</f>
        <v>1.1679999999999993</v>
      </c>
      <c r="AH5" s="38" cm="1">
        <f t="array" aca="1" ref="AH5" ca="1">TREND($K5:$P5,$K$1:$P$1,AH$1)</f>
        <v>1.1819999999999986</v>
      </c>
      <c r="AI5" s="38" cm="1">
        <f t="array" aca="1" ref="AI5" ca="1">TREND($K5:$P5,$K$1:$P$1,AI$1)</f>
        <v>1.195999999999998</v>
      </c>
      <c r="AJ5" s="38" cm="1">
        <f t="array" aca="1" ref="AJ5" ca="1">TREND($K5:$P5,$K$1:$P$1,AJ$1)</f>
        <v>1.2099999999999973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1.2</v>
      </c>
      <c r="C6" s="38">
        <f t="shared" ca="1" si="3"/>
        <v>1.2</v>
      </c>
      <c r="D6" s="38">
        <f t="shared" ca="1" si="0"/>
        <v>1.2</v>
      </c>
      <c r="E6" s="38">
        <f t="shared" ca="1" si="0"/>
        <v>1.2</v>
      </c>
      <c r="F6" s="39" cm="1">
        <f t="array" aca="1" ref="F6" ca="1">INDIRECT(CONCATENATE("'",HLOOKUP(F$1,$B$21:$E$23,3,FALSE),"'!",$B$25,ROW($A6)+5))*About!$A$27</f>
        <v>1.2</v>
      </c>
      <c r="G6" s="38">
        <f t="shared" ca="1" si="4"/>
        <v>1.2</v>
      </c>
      <c r="H6" s="38">
        <f t="shared" ca="1" si="1"/>
        <v>1.2</v>
      </c>
      <c r="I6" s="38">
        <f t="shared" ca="1" si="1"/>
        <v>1.2</v>
      </c>
      <c r="J6" s="38">
        <f t="shared" ca="1" si="1"/>
        <v>1.2</v>
      </c>
      <c r="K6" s="39" cm="1">
        <f t="array" aca="1" ref="K6" ca="1">INDIRECT(CONCATENATE("'",HLOOKUP(K$1,$B$21:$E$23,3,FALSE),"'!",$B$25,ROW($A6)+5))*About!$A$27</f>
        <v>1.2</v>
      </c>
      <c r="L6" s="38">
        <f t="shared" ca="1" si="5"/>
        <v>1.22</v>
      </c>
      <c r="M6" s="38">
        <f t="shared" ca="1" si="2"/>
        <v>1.24</v>
      </c>
      <c r="N6" s="38">
        <f t="shared" ca="1" si="2"/>
        <v>1.26</v>
      </c>
      <c r="O6" s="38">
        <f t="shared" ca="1" si="2"/>
        <v>1.28</v>
      </c>
      <c r="P6" s="39" cm="1">
        <f t="array" aca="1" ref="P6" ca="1">INDIRECT(CONCATENATE("'",HLOOKUP(P$1,$B$21:$E$23,3,FALSE),"'!",$B$25,ROW($A6)+5))*About!$A$27</f>
        <v>1.3</v>
      </c>
      <c r="Q6" s="38" cm="1">
        <f t="array" aca="1" ref="Q6" ca="1">TREND($K6:$P6,$K$1:$P$1,Q$1)</f>
        <v>1.3200000000000003</v>
      </c>
      <c r="R6" s="38" cm="1">
        <f t="array" aca="1" ref="R6" ca="1">TREND($K6:$P6,$K$1:$P$1,R$1)</f>
        <v>1.3400000000000034</v>
      </c>
      <c r="S6" s="38" cm="1">
        <f t="array" aca="1" ref="S6" ca="1">TREND($K6:$P6,$K$1:$P$1,S$1)</f>
        <v>1.3600000000000065</v>
      </c>
      <c r="T6" s="38" cm="1">
        <f t="array" aca="1" ref="T6" ca="1">TREND($K6:$P6,$K$1:$P$1,T$1)</f>
        <v>1.3800000000000026</v>
      </c>
      <c r="U6" s="38" cm="1">
        <f t="array" aca="1" ref="U6" ca="1">TREND($K6:$P6,$K$1:$P$1,U$1)</f>
        <v>1.4000000000000057</v>
      </c>
      <c r="V6" s="38" cm="1">
        <f t="array" aca="1" ref="V6" ca="1">TREND($K6:$P6,$K$1:$P$1,V$1)</f>
        <v>1.4200000000000017</v>
      </c>
      <c r="W6" s="38" cm="1">
        <f t="array" aca="1" ref="W6" ca="1">TREND($K6:$P6,$K$1:$P$1,W$1)</f>
        <v>1.4400000000000048</v>
      </c>
      <c r="X6" s="38" cm="1">
        <f t="array" aca="1" ref="X6" ca="1">TREND($K6:$P6,$K$1:$P$1,X$1)</f>
        <v>1.4600000000000009</v>
      </c>
      <c r="Y6" s="38" cm="1">
        <f t="array" aca="1" ref="Y6" ca="1">TREND($K6:$P6,$K$1:$P$1,Y$1)</f>
        <v>1.480000000000004</v>
      </c>
      <c r="Z6" s="38" cm="1">
        <f t="array" aca="1" ref="Z6" ca="1">TREND($K6:$P6,$K$1:$P$1,Z$1)</f>
        <v>1.5000000000000071</v>
      </c>
      <c r="AA6" s="38" cm="1">
        <f t="array" aca="1" ref="AA6" ca="1">TREND($K6:$P6,$K$1:$P$1,AA$1)</f>
        <v>1.5200000000000031</v>
      </c>
      <c r="AB6" s="38" cm="1">
        <f t="array" aca="1" ref="AB6" ca="1">TREND($K6:$P6,$K$1:$P$1,AB$1)</f>
        <v>1.5400000000000063</v>
      </c>
      <c r="AC6" s="38" cm="1">
        <f t="array" aca="1" ref="AC6" ca="1">TREND($K6:$P6,$K$1:$P$1,AC$1)</f>
        <v>1.5600000000000023</v>
      </c>
      <c r="AD6" s="38" cm="1">
        <f t="array" aca="1" ref="AD6" ca="1">TREND($K6:$P6,$K$1:$P$1,AD$1)</f>
        <v>1.5800000000000054</v>
      </c>
      <c r="AE6" s="38" cm="1">
        <f t="array" aca="1" ref="AE6" ca="1">TREND($K6:$P6,$K$1:$P$1,AE$1)</f>
        <v>1.6000000000000014</v>
      </c>
      <c r="AF6" s="38" cm="1">
        <f t="array" aca="1" ref="AF6" ca="1">TREND($K6:$P6,$K$1:$P$1,AF$1)</f>
        <v>1.6200000000000045</v>
      </c>
      <c r="AG6" s="38" cm="1">
        <f t="array" aca="1" ref="AG6" ca="1">TREND($K6:$P6,$K$1:$P$1,AG$1)</f>
        <v>1.6400000000000006</v>
      </c>
      <c r="AH6" s="38" cm="1">
        <f t="array" aca="1" ref="AH6" ca="1">TREND($K6:$P6,$K$1:$P$1,AH$1)</f>
        <v>1.6600000000000037</v>
      </c>
      <c r="AI6" s="38" cm="1">
        <f t="array" aca="1" ref="AI6" ca="1">TREND($K6:$P6,$K$1:$P$1,AI$1)</f>
        <v>1.6800000000000068</v>
      </c>
      <c r="AJ6" s="38" cm="1">
        <f t="array" aca="1" ref="AJ6" ca="1">TREND($K6:$P6,$K$1:$P$1,AJ$1)</f>
        <v>1.7000000000000028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35</v>
      </c>
      <c r="C7" s="38">
        <f t="shared" ca="1" si="3"/>
        <v>35.25</v>
      </c>
      <c r="D7" s="38">
        <f t="shared" ca="1" si="0"/>
        <v>35.5</v>
      </c>
      <c r="E7" s="38">
        <f t="shared" ca="1" si="0"/>
        <v>35.75</v>
      </c>
      <c r="F7" s="39" cm="1">
        <f t="array" aca="1" ref="F7" ca="1">INDIRECT(CONCATENATE("'",HLOOKUP(F$1,$B$21:$E$23,3,FALSE),"'!",$B$25,ROW($A7)+5))*About!$A$27</f>
        <v>36</v>
      </c>
      <c r="G7" s="38">
        <f t="shared" ca="1" si="4"/>
        <v>36</v>
      </c>
      <c r="H7" s="38">
        <f t="shared" ca="1" si="1"/>
        <v>36</v>
      </c>
      <c r="I7" s="38">
        <f t="shared" ca="1" si="1"/>
        <v>36</v>
      </c>
      <c r="J7" s="38">
        <f t="shared" ca="1" si="1"/>
        <v>36</v>
      </c>
      <c r="K7" s="39" cm="1">
        <f t="array" aca="1" ref="K7" ca="1">INDIRECT(CONCATENATE("'",HLOOKUP(K$1,$B$21:$E$23,3,FALSE),"'!",$B$25,ROW($A7)+5))*About!$A$27</f>
        <v>36</v>
      </c>
      <c r="L7" s="38">
        <f t="shared" ca="1" si="5"/>
        <v>36.200000000000003</v>
      </c>
      <c r="M7" s="38">
        <f t="shared" ca="1" si="2"/>
        <v>36.4</v>
      </c>
      <c r="N7" s="38">
        <f t="shared" ca="1" si="2"/>
        <v>36.6</v>
      </c>
      <c r="O7" s="38">
        <f t="shared" ca="1" si="2"/>
        <v>36.799999999999997</v>
      </c>
      <c r="P7" s="39" cm="1">
        <f t="array" aca="1" ref="P7" ca="1">INDIRECT(CONCATENATE("'",HLOOKUP(P$1,$B$21:$E$23,3,FALSE),"'!",$B$25,ROW($A7)+5))*About!$A$27</f>
        <v>37</v>
      </c>
      <c r="Q7" s="38" cm="1">
        <f t="array" aca="1" ref="Q7" ca="1">TREND($K7:$P7,$K$1:$P$1,Q$1)</f>
        <v>37.199999999999989</v>
      </c>
      <c r="R7" s="38" cm="1">
        <f t="array" aca="1" ref="R7" ca="1">TREND($K7:$P7,$K$1:$P$1,R$1)</f>
        <v>37.399999999999977</v>
      </c>
      <c r="S7" s="38" cm="1">
        <f t="array" aca="1" ref="S7" ca="1">TREND($K7:$P7,$K$1:$P$1,S$1)</f>
        <v>37.599999999999966</v>
      </c>
      <c r="T7" s="38" cm="1">
        <f t="array" aca="1" ref="T7" ca="1">TREND($K7:$P7,$K$1:$P$1,T$1)</f>
        <v>37.799999999999955</v>
      </c>
      <c r="U7" s="38" cm="1">
        <f t="array" aca="1" ref="U7" ca="1">TREND($K7:$P7,$K$1:$P$1,U$1)</f>
        <v>37.999999999999943</v>
      </c>
      <c r="V7" s="38" cm="1">
        <f t="array" aca="1" ref="V7" ca="1">TREND($K7:$P7,$K$1:$P$1,V$1)</f>
        <v>38.199999999999989</v>
      </c>
      <c r="W7" s="38" cm="1">
        <f t="array" aca="1" ref="W7" ca="1">TREND($K7:$P7,$K$1:$P$1,W$1)</f>
        <v>38.399999999999977</v>
      </c>
      <c r="X7" s="38" cm="1">
        <f t="array" aca="1" ref="X7" ca="1">TREND($K7:$P7,$K$1:$P$1,X$1)</f>
        <v>38.599999999999966</v>
      </c>
      <c r="Y7" s="38" cm="1">
        <f t="array" aca="1" ref="Y7" ca="1">TREND($K7:$P7,$K$1:$P$1,Y$1)</f>
        <v>38.799999999999955</v>
      </c>
      <c r="Z7" s="38" cm="1">
        <f t="array" aca="1" ref="Z7" ca="1">TREND($K7:$P7,$K$1:$P$1,Z$1)</f>
        <v>38.999999999999943</v>
      </c>
      <c r="AA7" s="38" cm="1">
        <f t="array" aca="1" ref="AA7" ca="1">TREND($K7:$P7,$K$1:$P$1,AA$1)</f>
        <v>39.199999999999989</v>
      </c>
      <c r="AB7" s="38" cm="1">
        <f t="array" aca="1" ref="AB7" ca="1">TREND($K7:$P7,$K$1:$P$1,AB$1)</f>
        <v>39.399999999999977</v>
      </c>
      <c r="AC7" s="38" cm="1">
        <f t="array" aca="1" ref="AC7" ca="1">TREND($K7:$P7,$K$1:$P$1,AC$1)</f>
        <v>39.599999999999966</v>
      </c>
      <c r="AD7" s="38" cm="1">
        <f t="array" aca="1" ref="AD7" ca="1">TREND($K7:$P7,$K$1:$P$1,AD$1)</f>
        <v>39.799999999999955</v>
      </c>
      <c r="AE7" s="38" cm="1">
        <f t="array" aca="1" ref="AE7" ca="1">TREND($K7:$P7,$K$1:$P$1,AE$1)</f>
        <v>39.999999999999943</v>
      </c>
      <c r="AF7" s="38" cm="1">
        <f t="array" aca="1" ref="AF7" ca="1">TREND($K7:$P7,$K$1:$P$1,AF$1)</f>
        <v>40.199999999999989</v>
      </c>
      <c r="AG7" s="38" cm="1">
        <f t="array" aca="1" ref="AG7" ca="1">TREND($K7:$P7,$K$1:$P$1,AG$1)</f>
        <v>40.399999999999977</v>
      </c>
      <c r="AH7" s="38" cm="1">
        <f t="array" aca="1" ref="AH7" ca="1">TREND($K7:$P7,$K$1:$P$1,AH$1)</f>
        <v>40.599999999999966</v>
      </c>
      <c r="AI7" s="38" cm="1">
        <f t="array" aca="1" ref="AI7" ca="1">TREND($K7:$P7,$K$1:$P$1,AI$1)</f>
        <v>40.799999999999955</v>
      </c>
      <c r="AJ7" s="38" cm="1">
        <f t="array" aca="1" ref="AJ7" ca="1">TREND($K7:$P7,$K$1:$P$1,AJ$1)</f>
        <v>40.999999999999943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5.9</v>
      </c>
      <c r="C8" s="38">
        <f t="shared" ca="1" si="3"/>
        <v>5.95</v>
      </c>
      <c r="D8" s="38">
        <f t="shared" ca="1" si="0"/>
        <v>6</v>
      </c>
      <c r="E8" s="38">
        <f t="shared" ca="1" si="0"/>
        <v>6.05</v>
      </c>
      <c r="F8" s="39" cm="1">
        <f t="array" aca="1" ref="F8" ca="1">INDIRECT(CONCATENATE("'",HLOOKUP(F$1,$B$21:$E$23,3,FALSE),"'!",$B$25,ROW($A8)+5))*About!$A$27</f>
        <v>6.1</v>
      </c>
      <c r="G8" s="38">
        <f t="shared" ca="1" si="4"/>
        <v>6.12</v>
      </c>
      <c r="H8" s="38">
        <f t="shared" ca="1" si="1"/>
        <v>6.14</v>
      </c>
      <c r="I8" s="38">
        <f t="shared" ca="1" si="1"/>
        <v>6.16</v>
      </c>
      <c r="J8" s="38">
        <f t="shared" ca="1" si="1"/>
        <v>6.18</v>
      </c>
      <c r="K8" s="39" cm="1">
        <f t="array" aca="1" ref="K8" ca="1">INDIRECT(CONCATENATE("'",HLOOKUP(K$1,$B$21:$E$23,3,FALSE),"'!",$B$25,ROW($A8)+5))*About!$A$27</f>
        <v>6.2</v>
      </c>
      <c r="L8" s="38">
        <f t="shared" ca="1" si="5"/>
        <v>6.22</v>
      </c>
      <c r="M8" s="38">
        <f t="shared" ca="1" si="2"/>
        <v>6.24</v>
      </c>
      <c r="N8" s="38">
        <f t="shared" ca="1" si="2"/>
        <v>6.26</v>
      </c>
      <c r="O8" s="38">
        <f t="shared" ca="1" si="2"/>
        <v>6.28</v>
      </c>
      <c r="P8" s="39" cm="1">
        <f t="array" aca="1" ref="P8" ca="1">INDIRECT(CONCATENATE("'",HLOOKUP(P$1,$B$21:$E$23,3,FALSE),"'!",$B$25,ROW($A8)+5))*About!$A$27</f>
        <v>6.3</v>
      </c>
      <c r="Q8" s="38" cm="1">
        <f t="array" aca="1" ref="Q8" ca="1">TREND($K8:$P8,$K$1:$P$1,Q$1)</f>
        <v>6.32</v>
      </c>
      <c r="R8" s="38" cm="1">
        <f t="array" aca="1" ref="R8" ca="1">TREND($K8:$P8,$K$1:$P$1,R$1)</f>
        <v>6.3399999999999963</v>
      </c>
      <c r="S8" s="38" cm="1">
        <f t="array" aca="1" ref="S8" ca="1">TREND($K8:$P8,$K$1:$P$1,S$1)</f>
        <v>6.3599999999999994</v>
      </c>
      <c r="T8" s="38" cm="1">
        <f t="array" aca="1" ref="T8" ca="1">TREND($K8:$P8,$K$1:$P$1,T$1)</f>
        <v>6.3799999999999955</v>
      </c>
      <c r="U8" s="38" cm="1">
        <f t="array" aca="1" ref="U8" ca="1">TREND($K8:$P8,$K$1:$P$1,U$1)</f>
        <v>6.3999999999999986</v>
      </c>
      <c r="V8" s="38" cm="1">
        <f t="array" aca="1" ref="V8" ca="1">TREND($K8:$P8,$K$1:$P$1,V$1)</f>
        <v>6.4199999999999946</v>
      </c>
      <c r="W8" s="38" cm="1">
        <f t="array" aca="1" ref="W8" ca="1">TREND($K8:$P8,$K$1:$P$1,W$1)</f>
        <v>6.4399999999999977</v>
      </c>
      <c r="X8" s="38" cm="1">
        <f t="array" aca="1" ref="X8" ca="1">TREND($K8:$P8,$K$1:$P$1,X$1)</f>
        <v>6.4599999999999937</v>
      </c>
      <c r="Y8" s="38" cm="1">
        <f t="array" aca="1" ref="Y8" ca="1">TREND($K8:$P8,$K$1:$P$1,Y$1)</f>
        <v>6.4799999999999969</v>
      </c>
      <c r="Z8" s="38" cm="1">
        <f t="array" aca="1" ref="Z8" ca="1">TREND($K8:$P8,$K$1:$P$1,Z$1)</f>
        <v>6.5</v>
      </c>
      <c r="AA8" s="38" cm="1">
        <f t="array" aca="1" ref="AA8" ca="1">TREND($K8:$P8,$K$1:$P$1,AA$1)</f>
        <v>6.519999999999996</v>
      </c>
      <c r="AB8" s="38" cm="1">
        <f t="array" aca="1" ref="AB8" ca="1">TREND($K8:$P8,$K$1:$P$1,AB$1)</f>
        <v>6.5399999999999991</v>
      </c>
      <c r="AC8" s="38" cm="1">
        <f t="array" aca="1" ref="AC8" ca="1">TREND($K8:$P8,$K$1:$P$1,AC$1)</f>
        <v>6.5599999999999952</v>
      </c>
      <c r="AD8" s="38" cm="1">
        <f t="array" aca="1" ref="AD8" ca="1">TREND($K8:$P8,$K$1:$P$1,AD$1)</f>
        <v>6.5799999999999983</v>
      </c>
      <c r="AE8" s="38" cm="1">
        <f t="array" aca="1" ref="AE8" ca="1">TREND($K8:$P8,$K$1:$P$1,AE$1)</f>
        <v>6.5999999999999943</v>
      </c>
      <c r="AF8" s="38" cm="1">
        <f t="array" aca="1" ref="AF8" ca="1">TREND($K8:$P8,$K$1:$P$1,AF$1)</f>
        <v>6.6199999999999974</v>
      </c>
      <c r="AG8" s="38" cm="1">
        <f t="array" aca="1" ref="AG8" ca="1">TREND($K8:$P8,$K$1:$P$1,AG$1)</f>
        <v>6.6399999999999935</v>
      </c>
      <c r="AH8" s="38" cm="1">
        <f t="array" aca="1" ref="AH8" ca="1">TREND($K8:$P8,$K$1:$P$1,AH$1)</f>
        <v>6.6599999999999966</v>
      </c>
      <c r="AI8" s="38" cm="1">
        <f t="array" aca="1" ref="AI8" ca="1">TREND($K8:$P8,$K$1:$P$1,AI$1)</f>
        <v>6.68</v>
      </c>
      <c r="AJ8" s="38" cm="1">
        <f t="array" aca="1" ref="AJ8" ca="1">TREND($K8:$P8,$K$1:$P$1,AJ$1)</f>
        <v>6.6999999999999957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1.4</v>
      </c>
      <c r="C9" s="38">
        <f t="shared" ca="1" si="3"/>
        <v>1.4</v>
      </c>
      <c r="D9" s="38">
        <f t="shared" ca="1" si="0"/>
        <v>1.4</v>
      </c>
      <c r="E9" s="38">
        <f t="shared" ca="1" si="0"/>
        <v>1.4</v>
      </c>
      <c r="F9" s="39" cm="1">
        <f t="array" aca="1" ref="F9" ca="1">INDIRECT(CONCATENATE("'",HLOOKUP(F$1,$B$21:$E$23,3,FALSE),"'!",$B$25,ROW($A9)+5))*About!$A$27</f>
        <v>1.4</v>
      </c>
      <c r="G9" s="38">
        <f t="shared" ca="1" si="4"/>
        <v>1.4</v>
      </c>
      <c r="H9" s="38">
        <f t="shared" ca="1" si="1"/>
        <v>1.4</v>
      </c>
      <c r="I9" s="38">
        <f t="shared" ca="1" si="1"/>
        <v>1.4</v>
      </c>
      <c r="J9" s="38">
        <f t="shared" ca="1" si="1"/>
        <v>1.4</v>
      </c>
      <c r="K9" s="39" cm="1">
        <f t="array" aca="1" ref="K9" ca="1">INDIRECT(CONCATENATE("'",HLOOKUP(K$1,$B$21:$E$23,3,FALSE),"'!",$B$25,ROW($A9)+5))*About!$A$27</f>
        <v>1.4</v>
      </c>
      <c r="L9" s="38">
        <f t="shared" ca="1" si="5"/>
        <v>1.42</v>
      </c>
      <c r="M9" s="38">
        <f t="shared" ca="1" si="2"/>
        <v>1.44</v>
      </c>
      <c r="N9" s="38">
        <f t="shared" ca="1" si="2"/>
        <v>1.46</v>
      </c>
      <c r="O9" s="38">
        <f t="shared" ca="1" si="2"/>
        <v>1.48</v>
      </c>
      <c r="P9" s="39" cm="1">
        <f t="array" aca="1" ref="P9" ca="1">INDIRECT(CONCATENATE("'",HLOOKUP(P$1,$B$21:$E$23,3,FALSE),"'!",$B$25,ROW($A9)+5))*About!$A$27</f>
        <v>1.5</v>
      </c>
      <c r="Q9" s="38" cm="1">
        <f t="array" aca="1" ref="Q9" ca="1">TREND($K9:$P9,$K$1:$P$1,Q$1)</f>
        <v>1.5200000000000031</v>
      </c>
      <c r="R9" s="38" cm="1">
        <f t="array" aca="1" ref="R9" ca="1">TREND($K9:$P9,$K$1:$P$1,R$1)</f>
        <v>1.5400000000000063</v>
      </c>
      <c r="S9" s="38" cm="1">
        <f t="array" aca="1" ref="S9" ca="1">TREND($K9:$P9,$K$1:$P$1,S$1)</f>
        <v>1.5600000000000094</v>
      </c>
      <c r="T9" s="38" cm="1">
        <f t="array" aca="1" ref="T9" ca="1">TREND($K9:$P9,$K$1:$P$1,T$1)</f>
        <v>1.5800000000000054</v>
      </c>
      <c r="U9" s="38" cm="1">
        <f t="array" aca="1" ref="U9" ca="1">TREND($K9:$P9,$K$1:$P$1,U$1)</f>
        <v>1.6000000000000085</v>
      </c>
      <c r="V9" s="38" cm="1">
        <f t="array" aca="1" ref="V9" ca="1">TREND($K9:$P9,$K$1:$P$1,V$1)</f>
        <v>1.6200000000000045</v>
      </c>
      <c r="W9" s="38" cm="1">
        <f t="array" aca="1" ref="W9" ca="1">TREND($K9:$P9,$K$1:$P$1,W$1)</f>
        <v>1.6400000000000077</v>
      </c>
      <c r="X9" s="38" cm="1">
        <f t="array" aca="1" ref="X9" ca="1">TREND($K9:$P9,$K$1:$P$1,X$1)</f>
        <v>1.6600000000000037</v>
      </c>
      <c r="Y9" s="38" cm="1">
        <f t="array" aca="1" ref="Y9" ca="1">TREND($K9:$P9,$K$1:$P$1,Y$1)</f>
        <v>1.6800000000000068</v>
      </c>
      <c r="Z9" s="38" cm="1">
        <f t="array" aca="1" ref="Z9" ca="1">TREND($K9:$P9,$K$1:$P$1,Z$1)</f>
        <v>1.7000000000000099</v>
      </c>
      <c r="AA9" s="38" cm="1">
        <f t="array" aca="1" ref="AA9" ca="1">TREND($K9:$P9,$K$1:$P$1,AA$1)</f>
        <v>1.720000000000006</v>
      </c>
      <c r="AB9" s="38" cm="1">
        <f t="array" aca="1" ref="AB9" ca="1">TREND($K9:$P9,$K$1:$P$1,AB$1)</f>
        <v>1.7400000000000091</v>
      </c>
      <c r="AC9" s="38" cm="1">
        <f t="array" aca="1" ref="AC9" ca="1">TREND($K9:$P9,$K$1:$P$1,AC$1)</f>
        <v>1.7600000000000051</v>
      </c>
      <c r="AD9" s="38" cm="1">
        <f t="array" aca="1" ref="AD9" ca="1">TREND($K9:$P9,$K$1:$P$1,AD$1)</f>
        <v>1.7800000000000082</v>
      </c>
      <c r="AE9" s="38" cm="1">
        <f t="array" aca="1" ref="AE9" ca="1">TREND($K9:$P9,$K$1:$P$1,AE$1)</f>
        <v>1.8000000000000043</v>
      </c>
      <c r="AF9" s="38" cm="1">
        <f t="array" aca="1" ref="AF9" ca="1">TREND($K9:$P9,$K$1:$P$1,AF$1)</f>
        <v>1.8200000000000074</v>
      </c>
      <c r="AG9" s="38" cm="1">
        <f t="array" aca="1" ref="AG9" ca="1">TREND($K9:$P9,$K$1:$P$1,AG$1)</f>
        <v>1.8400000000000034</v>
      </c>
      <c r="AH9" s="38" cm="1">
        <f t="array" aca="1" ref="AH9" ca="1">TREND($K9:$P9,$K$1:$P$1,AH$1)</f>
        <v>1.8600000000000065</v>
      </c>
      <c r="AI9" s="38" cm="1">
        <f t="array" aca="1" ref="AI9" ca="1">TREND($K9:$P9,$K$1:$P$1,AI$1)</f>
        <v>1.8800000000000097</v>
      </c>
      <c r="AJ9" s="38" cm="1">
        <f t="array" aca="1" ref="AJ9" ca="1">TREND($K9:$P9,$K$1:$P$1,AJ$1)</f>
        <v>1.9000000000000057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0.01</v>
      </c>
      <c r="C10" s="38">
        <f t="shared" ca="1" si="3"/>
        <v>1.025E-2</v>
      </c>
      <c r="D10" s="38">
        <f t="shared" ca="1" si="0"/>
        <v>1.0499999999999999E-2</v>
      </c>
      <c r="E10" s="38">
        <f t="shared" ca="1" si="0"/>
        <v>1.0749999999999999E-2</v>
      </c>
      <c r="F10" s="39" cm="1">
        <f t="array" aca="1" ref="F10" ca="1">INDIRECT(CONCATENATE("'",HLOOKUP(F$1,$B$21:$E$23,3,FALSE),"'!",$B$25,ROW($A10)+5))*About!$A$27</f>
        <v>1.0999999999999999E-2</v>
      </c>
      <c r="G10" s="38">
        <f t="shared" ca="1" si="4"/>
        <v>1.12E-2</v>
      </c>
      <c r="H10" s="38">
        <f t="shared" ca="1" si="1"/>
        <v>1.14E-2</v>
      </c>
      <c r="I10" s="38">
        <f t="shared" ca="1" si="1"/>
        <v>1.1599999999999999E-2</v>
      </c>
      <c r="J10" s="38">
        <f t="shared" ca="1" si="1"/>
        <v>1.18E-2</v>
      </c>
      <c r="K10" s="39" cm="1">
        <f t="array" aca="1" ref="K10" ca="1">INDIRECT(CONCATENATE("'",HLOOKUP(K$1,$B$21:$E$23,3,FALSE),"'!",$B$25,ROW($A10)+5))*About!$A$27</f>
        <v>1.2E-2</v>
      </c>
      <c r="L10" s="38">
        <f t="shared" ca="1" si="5"/>
        <v>1.24E-2</v>
      </c>
      <c r="M10" s="38">
        <f t="shared" ca="1" si="2"/>
        <v>1.2800000000000001E-2</v>
      </c>
      <c r="N10" s="38">
        <f t="shared" ca="1" si="2"/>
        <v>1.32E-2</v>
      </c>
      <c r="O10" s="38">
        <f t="shared" ca="1" si="2"/>
        <v>1.3600000000000001E-2</v>
      </c>
      <c r="P10" s="39" cm="1">
        <f t="array" aca="1" ref="P10" ca="1">INDIRECT(CONCATENATE("'",HLOOKUP(P$1,$B$21:$E$23,3,FALSE),"'!",$B$25,ROW($A10)+5))*About!$A$27</f>
        <v>1.4E-2</v>
      </c>
      <c r="Q10" s="38" cm="1">
        <f t="array" aca="1" ref="Q10" ca="1">TREND($K10:$P10,$K$1:$P$1,Q$1)</f>
        <v>1.4399999999999968E-2</v>
      </c>
      <c r="R10" s="38" cm="1">
        <f t="array" aca="1" ref="R10" ca="1">TREND($K10:$P10,$K$1:$P$1,R$1)</f>
        <v>1.4800000000000035E-2</v>
      </c>
      <c r="S10" s="38" cm="1">
        <f t="array" aca="1" ref="S10" ca="1">TREND($K10:$P10,$K$1:$P$1,S$1)</f>
        <v>1.5199999999999991E-2</v>
      </c>
      <c r="T10" s="38" cm="1">
        <f t="array" aca="1" ref="T10" ca="1">TREND($K10:$P10,$K$1:$P$1,T$1)</f>
        <v>1.5599999999999947E-2</v>
      </c>
      <c r="U10" s="38" cm="1">
        <f t="array" aca="1" ref="U10" ca="1">TREND($K10:$P10,$K$1:$P$1,U$1)</f>
        <v>1.6000000000000014E-2</v>
      </c>
      <c r="V10" s="38" cm="1">
        <f t="array" aca="1" ref="V10" ca="1">TREND($K10:$P10,$K$1:$P$1,V$1)</f>
        <v>1.639999999999997E-2</v>
      </c>
      <c r="W10" s="38" cm="1">
        <f t="array" aca="1" ref="W10" ca="1">TREND($K10:$P10,$K$1:$P$1,W$1)</f>
        <v>1.6800000000000037E-2</v>
      </c>
      <c r="X10" s="38" cm="1">
        <f t="array" aca="1" ref="X10" ca="1">TREND($K10:$P10,$K$1:$P$1,X$1)</f>
        <v>1.7199999999999993E-2</v>
      </c>
      <c r="Y10" s="38" cm="1">
        <f t="array" aca="1" ref="Y10" ca="1">TREND($K10:$P10,$K$1:$P$1,Y$1)</f>
        <v>1.7599999999999949E-2</v>
      </c>
      <c r="Z10" s="38" cm="1">
        <f t="array" aca="1" ref="Z10" ca="1">TREND($K10:$P10,$K$1:$P$1,Z$1)</f>
        <v>1.8000000000000016E-2</v>
      </c>
      <c r="AA10" s="38" cm="1">
        <f t="array" aca="1" ref="AA10" ca="1">TREND($K10:$P10,$K$1:$P$1,AA$1)</f>
        <v>1.8399999999999972E-2</v>
      </c>
      <c r="AB10" s="38" cm="1">
        <f t="array" aca="1" ref="AB10" ca="1">TREND($K10:$P10,$K$1:$P$1,AB$1)</f>
        <v>1.8800000000000039E-2</v>
      </c>
      <c r="AC10" s="38" cm="1">
        <f t="array" aca="1" ref="AC10" ca="1">TREND($K10:$P10,$K$1:$P$1,AC$1)</f>
        <v>1.9199999999999995E-2</v>
      </c>
      <c r="AD10" s="38" cm="1">
        <f t="array" aca="1" ref="AD10" ca="1">TREND($K10:$P10,$K$1:$P$1,AD$1)</f>
        <v>1.9599999999999951E-2</v>
      </c>
      <c r="AE10" s="38" cm="1">
        <f t="array" aca="1" ref="AE10" ca="1">TREND($K10:$P10,$K$1:$P$1,AE$1)</f>
        <v>2.0000000000000018E-2</v>
      </c>
      <c r="AF10" s="38" cm="1">
        <f t="array" aca="1" ref="AF10" ca="1">TREND($K10:$P10,$K$1:$P$1,AF$1)</f>
        <v>2.0399999999999974E-2</v>
      </c>
      <c r="AG10" s="38" cm="1">
        <f t="array" aca="1" ref="AG10" ca="1">TREND($K10:$P10,$K$1:$P$1,AG$1)</f>
        <v>2.0800000000000041E-2</v>
      </c>
      <c r="AH10" s="38" cm="1">
        <f t="array" aca="1" ref="AH10" ca="1">TREND($K10:$P10,$K$1:$P$1,AH$1)</f>
        <v>2.1199999999999997E-2</v>
      </c>
      <c r="AI10" s="38" cm="1">
        <f t="array" aca="1" ref="AI10" ca="1">TREND($K10:$P10,$K$1:$P$1,AI$1)</f>
        <v>2.1599999999999953E-2</v>
      </c>
      <c r="AJ10" s="38" cm="1">
        <f t="array" aca="1" ref="AJ10" ca="1">TREND($K10:$P10,$K$1:$P$1,AJ$1)</f>
        <v>2.200000000000002E-2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9.7999999999999997E-3</v>
      </c>
      <c r="C11" s="38">
        <f t="shared" ca="1" si="3"/>
        <v>1.01E-2</v>
      </c>
      <c r="D11" s="38">
        <f t="shared" ca="1" si="0"/>
        <v>1.04E-2</v>
      </c>
      <c r="E11" s="38">
        <f t="shared" ca="1" si="0"/>
        <v>1.0699999999999999E-2</v>
      </c>
      <c r="F11" s="39" cm="1">
        <f t="array" aca="1" ref="F11" ca="1">INDIRECT(CONCATENATE("'",HLOOKUP(F$1,$B$21:$E$23,3,FALSE),"'!",$B$25,ROW($A11)+5))*About!$A$27</f>
        <v>1.0999999999999999E-2</v>
      </c>
      <c r="G11" s="38">
        <f t="shared" ca="1" si="4"/>
        <v>1.12E-2</v>
      </c>
      <c r="H11" s="38">
        <f t="shared" ca="1" si="1"/>
        <v>1.14E-2</v>
      </c>
      <c r="I11" s="38">
        <f t="shared" ca="1" si="1"/>
        <v>1.1599999999999999E-2</v>
      </c>
      <c r="J11" s="38">
        <f t="shared" ca="1" si="1"/>
        <v>1.18E-2</v>
      </c>
      <c r="K11" s="39" cm="1">
        <f t="array" aca="1" ref="K11" ca="1">INDIRECT(CONCATENATE("'",HLOOKUP(K$1,$B$21:$E$23,3,FALSE),"'!",$B$25,ROW($A11)+5))*About!$A$27</f>
        <v>1.2E-2</v>
      </c>
      <c r="L11" s="38">
        <f t="shared" ca="1" si="5"/>
        <v>1.2200000000000001E-2</v>
      </c>
      <c r="M11" s="38">
        <f t="shared" ca="1" si="2"/>
        <v>1.24E-2</v>
      </c>
      <c r="N11" s="38">
        <f t="shared" ca="1" si="2"/>
        <v>1.26E-2</v>
      </c>
      <c r="O11" s="38">
        <f t="shared" ca="1" si="2"/>
        <v>1.2799999999999999E-2</v>
      </c>
      <c r="P11" s="39" cm="1">
        <f t="array" aca="1" ref="P11" ca="1">INDIRECT(CONCATENATE("'",HLOOKUP(P$1,$B$21:$E$23,3,FALSE),"'!",$B$25,ROW($A11)+5))*About!$A$27</f>
        <v>1.2999999999999999E-2</v>
      </c>
      <c r="Q11" s="38" cm="1">
        <f t="array" aca="1" ref="Q11" ca="1">TREND($K11:$P11,$K$1:$P$1,Q$1)</f>
        <v>1.319999999999999E-2</v>
      </c>
      <c r="R11" s="38" cm="1">
        <f t="array" aca="1" ref="R11" ca="1">TREND($K11:$P11,$K$1:$P$1,R$1)</f>
        <v>1.3400000000000023E-2</v>
      </c>
      <c r="S11" s="38" cm="1">
        <f t="array" aca="1" ref="S11" ca="1">TREND($K11:$P11,$K$1:$P$1,S$1)</f>
        <v>1.3600000000000001E-2</v>
      </c>
      <c r="T11" s="38" cm="1">
        <f t="array" aca="1" ref="T11" ca="1">TREND($K11:$P11,$K$1:$P$1,T$1)</f>
        <v>1.3800000000000034E-2</v>
      </c>
      <c r="U11" s="38" cm="1">
        <f t="array" aca="1" ref="U11" ca="1">TREND($K11:$P11,$K$1:$P$1,U$1)</f>
        <v>1.4000000000000012E-2</v>
      </c>
      <c r="V11" s="38" cm="1">
        <f t="array" aca="1" ref="V11" ca="1">TREND($K11:$P11,$K$1:$P$1,V$1)</f>
        <v>1.419999999999999E-2</v>
      </c>
      <c r="W11" s="38" cm="1">
        <f t="array" aca="1" ref="W11" ca="1">TREND($K11:$P11,$K$1:$P$1,W$1)</f>
        <v>1.4400000000000024E-2</v>
      </c>
      <c r="X11" s="38" cm="1">
        <f t="array" aca="1" ref="X11" ca="1">TREND($K11:$P11,$K$1:$P$1,X$1)</f>
        <v>1.4600000000000002E-2</v>
      </c>
      <c r="Y11" s="38" cm="1">
        <f t="array" aca="1" ref="Y11" ca="1">TREND($K11:$P11,$K$1:$P$1,Y$1)</f>
        <v>1.479999999999998E-2</v>
      </c>
      <c r="Z11" s="38" cm="1">
        <f t="array" aca="1" ref="Z11" ca="1">TREND($K11:$P11,$K$1:$P$1,Z$1)</f>
        <v>1.5000000000000013E-2</v>
      </c>
      <c r="AA11" s="38" cm="1">
        <f t="array" aca="1" ref="AA11" ca="1">TREND($K11:$P11,$K$1:$P$1,AA$1)</f>
        <v>1.5199999999999991E-2</v>
      </c>
      <c r="AB11" s="38" cm="1">
        <f t="array" aca="1" ref="AB11" ca="1">TREND($K11:$P11,$K$1:$P$1,AB$1)</f>
        <v>1.5400000000000025E-2</v>
      </c>
      <c r="AC11" s="38" cm="1">
        <f t="array" aca="1" ref="AC11" ca="1">TREND($K11:$P11,$K$1:$P$1,AC$1)</f>
        <v>1.5600000000000003E-2</v>
      </c>
      <c r="AD11" s="38" cm="1">
        <f t="array" aca="1" ref="AD11" ca="1">TREND($K11:$P11,$K$1:$P$1,AD$1)</f>
        <v>1.5799999999999981E-2</v>
      </c>
      <c r="AE11" s="38" cm="1">
        <f t="array" aca="1" ref="AE11" ca="1">TREND($K11:$P11,$K$1:$P$1,AE$1)</f>
        <v>1.6000000000000014E-2</v>
      </c>
      <c r="AF11" s="38" cm="1">
        <f t="array" aca="1" ref="AF11" ca="1">TREND($K11:$P11,$K$1:$P$1,AF$1)</f>
        <v>1.6199999999999992E-2</v>
      </c>
      <c r="AG11" s="38" cm="1">
        <f t="array" aca="1" ref="AG11" ca="1">TREND($K11:$P11,$K$1:$P$1,AG$1)</f>
        <v>1.6400000000000026E-2</v>
      </c>
      <c r="AH11" s="38" cm="1">
        <f t="array" aca="1" ref="AH11" ca="1">TREND($K11:$P11,$K$1:$P$1,AH$1)</f>
        <v>1.6600000000000004E-2</v>
      </c>
      <c r="AI11" s="38" cm="1">
        <f t="array" aca="1" ref="AI11" ca="1">TREND($K11:$P11,$K$1:$P$1,AI$1)</f>
        <v>1.6799999999999982E-2</v>
      </c>
      <c r="AJ11" s="38" cm="1">
        <f t="array" aca="1" ref="AJ11" ca="1">TREND($K11:$P11,$K$1:$P$1,AJ$1)</f>
        <v>1.7000000000000015E-2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4.5499999999999999E-2</v>
      </c>
      <c r="C12" s="38">
        <f t="shared" ca="1" si="3"/>
        <v>4.6574999999999998E-2</v>
      </c>
      <c r="D12" s="38">
        <f t="shared" ca="1" si="0"/>
        <v>4.7649999999999998E-2</v>
      </c>
      <c r="E12" s="38">
        <f t="shared" ca="1" si="0"/>
        <v>4.8724999999999997E-2</v>
      </c>
      <c r="F12" s="40">
        <f ca="1">SUM(INDIRECT(CONCATENATE("'",HLOOKUP(F$1,$B$21:$E$23,3,FALSE),"'!",$B$25,ROW($A12)+5,":",$B$25,ROW($A12)+6)))*About!$A$27</f>
        <v>4.9799999999999997E-2</v>
      </c>
      <c r="G12" s="38">
        <f t="shared" ca="1" si="4"/>
        <v>5.0699999999999995E-2</v>
      </c>
      <c r="H12" s="38">
        <f t="shared" ca="1" si="1"/>
        <v>5.16E-2</v>
      </c>
      <c r="I12" s="38">
        <f t="shared" ca="1" si="1"/>
        <v>5.2499999999999998E-2</v>
      </c>
      <c r="J12" s="38">
        <f t="shared" ca="1" si="1"/>
        <v>5.3400000000000003E-2</v>
      </c>
      <c r="K12" s="40">
        <f ca="1">SUM(INDIRECT(CONCATENATE("'",HLOOKUP(K$1,$B$21:$E$23,3,FALSE),"'!",$B$25,ROW($A12)+5,":",$B$25,ROW($A12)+6)))*About!$A$27</f>
        <v>5.4300000000000001E-2</v>
      </c>
      <c r="L12" s="38">
        <f t="shared" ca="1" si="5"/>
        <v>5.5399999999999998E-2</v>
      </c>
      <c r="M12" s="38">
        <f t="shared" ca="1" si="2"/>
        <v>5.6500000000000002E-2</v>
      </c>
      <c r="N12" s="38">
        <f t="shared" ca="1" si="2"/>
        <v>5.7599999999999998E-2</v>
      </c>
      <c r="O12" s="38">
        <f t="shared" ca="1" si="2"/>
        <v>5.8700000000000002E-2</v>
      </c>
      <c r="P12" s="40">
        <f ca="1">SUM(INDIRECT(CONCATENATE("'",HLOOKUP(P$1,$B$21:$E$23,3,FALSE),"'!",$B$25,ROW($A12)+5,":",$B$25,ROW($A12)+6)))*About!$A$27</f>
        <v>5.9799999999999999E-2</v>
      </c>
      <c r="Q12" s="38" cm="1">
        <f t="array" aca="1" ref="Q12" ca="1">TREND($K12:$P12,$K$1:$P$1,Q$1)</f>
        <v>6.0899999999999732E-2</v>
      </c>
      <c r="R12" s="38" cm="1">
        <f t="array" aca="1" ref="R12" ca="1">TREND($K12:$P12,$K$1:$P$1,R$1)</f>
        <v>6.1999999999999833E-2</v>
      </c>
      <c r="S12" s="38" cm="1">
        <f t="array" aca="1" ref="S12" ca="1">TREND($K12:$P12,$K$1:$P$1,S$1)</f>
        <v>6.309999999999949E-2</v>
      </c>
      <c r="T12" s="38" cm="1">
        <f t="array" aca="1" ref="T12" ca="1">TREND($K12:$P12,$K$1:$P$1,T$1)</f>
        <v>6.4199999999999591E-2</v>
      </c>
      <c r="U12" s="38" cm="1">
        <f t="array" aca="1" ref="U12" ca="1">TREND($K12:$P12,$K$1:$P$1,U$1)</f>
        <v>6.5299999999999692E-2</v>
      </c>
      <c r="V12" s="38" cm="1">
        <f t="array" aca="1" ref="V12" ca="1">TREND($K12:$P12,$K$1:$P$1,V$1)</f>
        <v>6.6399999999999793E-2</v>
      </c>
      <c r="W12" s="38" cm="1">
        <f t="array" aca="1" ref="W12" ca="1">TREND($K12:$P12,$K$1:$P$1,W$1)</f>
        <v>6.7499999999999449E-2</v>
      </c>
      <c r="X12" s="38" cm="1">
        <f t="array" aca="1" ref="X12" ca="1">TREND($K12:$P12,$K$1:$P$1,X$1)</f>
        <v>6.859999999999955E-2</v>
      </c>
      <c r="Y12" s="38" cm="1">
        <f t="array" aca="1" ref="Y12" ca="1">TREND($K12:$P12,$K$1:$P$1,Y$1)</f>
        <v>6.9699999999999651E-2</v>
      </c>
      <c r="Z12" s="38" cm="1">
        <f t="array" aca="1" ref="Z12" ca="1">TREND($K12:$P12,$K$1:$P$1,Z$1)</f>
        <v>7.0799999999999752E-2</v>
      </c>
      <c r="AA12" s="38" cm="1">
        <f t="array" aca="1" ref="AA12" ca="1">TREND($K12:$P12,$K$1:$P$1,AA$1)</f>
        <v>7.1899999999999853E-2</v>
      </c>
      <c r="AB12" s="38" cm="1">
        <f t="array" aca="1" ref="AB12" ca="1">TREND($K12:$P12,$K$1:$P$1,AB$1)</f>
        <v>7.299999999999951E-2</v>
      </c>
      <c r="AC12" s="38" cm="1">
        <f t="array" aca="1" ref="AC12" ca="1">TREND($K12:$P12,$K$1:$P$1,AC$1)</f>
        <v>7.4099999999999611E-2</v>
      </c>
      <c r="AD12" s="38" cm="1">
        <f t="array" aca="1" ref="AD12" ca="1">TREND($K12:$P12,$K$1:$P$1,AD$1)</f>
        <v>7.5199999999999712E-2</v>
      </c>
      <c r="AE12" s="38" cm="1">
        <f t="array" aca="1" ref="AE12" ca="1">TREND($K12:$P12,$K$1:$P$1,AE$1)</f>
        <v>7.6299999999999812E-2</v>
      </c>
      <c r="AF12" s="38" cm="1">
        <f t="array" aca="1" ref="AF12" ca="1">TREND($K12:$P12,$K$1:$P$1,AF$1)</f>
        <v>7.7399999999999469E-2</v>
      </c>
      <c r="AG12" s="38" cm="1">
        <f t="array" aca="1" ref="AG12" ca="1">TREND($K12:$P12,$K$1:$P$1,AG$1)</f>
        <v>7.849999999999957E-2</v>
      </c>
      <c r="AH12" s="38" cm="1">
        <f t="array" aca="1" ref="AH12" ca="1">TREND($K12:$P12,$K$1:$P$1,AH$1)</f>
        <v>7.9599999999999671E-2</v>
      </c>
      <c r="AI12" s="38" cm="1">
        <f t="array" aca="1" ref="AI12" ca="1">TREND($K12:$P12,$K$1:$P$1,AI$1)</f>
        <v>8.0699999999999772E-2</v>
      </c>
      <c r="AJ12" s="38" cm="1">
        <f t="array" aca="1" ref="AJ12" ca="1">TREND($K12:$P12,$K$1:$P$1,AJ$1)</f>
        <v>8.1799999999999873E-2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HOIpTP-LULUCF-PM25</v>
      </c>
    </row>
    <row r="18" spans="1:5" x14ac:dyDescent="0.25">
      <c r="A18" t="s">
        <v>114</v>
      </c>
      <c r="B18" t="str">
        <f ca="1">RIGHT(B17,LEN(B17)-7)</f>
        <v>LULUCF-PM25</v>
      </c>
    </row>
    <row r="19" spans="1:5" x14ac:dyDescent="0.25">
      <c r="A19" t="s">
        <v>115</v>
      </c>
      <c r="B19" t="str">
        <f ca="1">LEFT(B18,FIND("-",B18)-1)</f>
        <v>LULUCF</v>
      </c>
    </row>
    <row r="20" spans="1:5" x14ac:dyDescent="0.25">
      <c r="A20" t="s">
        <v>122</v>
      </c>
      <c r="B20" t="str">
        <f ca="1">VLOOKUP($B$19,Mappings!$A$22:$B$26,COLUMN(Mappings!$B$21),FALSE)</f>
        <v>on-road mobile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15</v>
      </c>
      <c r="C22" s="32">
        <f ca="1">VLOOKUP($B$20,Mappings!$A$3:$E$19,COLUMN(Mappings!C$2),FALSE)</f>
        <v>32</v>
      </c>
      <c r="D22" s="32">
        <f ca="1">VLOOKUP($B$20,Mappings!$A$3:$E$19,COLUMN(Mappings!D$2),FALSE)</f>
        <v>49</v>
      </c>
      <c r="E22" s="33">
        <f ca="1">VLOOKUP($B$20,Mappings!$A$3:$E$19,COLUMN(Mappings!E$2),FALSE)</f>
        <v>66</v>
      </c>
    </row>
    <row r="23" spans="1:5" x14ac:dyDescent="0.25">
      <c r="A23" s="34" t="s">
        <v>113</v>
      </c>
      <c r="B23" s="35" t="str">
        <f ca="1">CONCATENATE("Table ",B22)</f>
        <v>Table 15</v>
      </c>
      <c r="C23" s="35" t="str">
        <f ca="1">CONCATENATE("Table ",C22)</f>
        <v>Table 32</v>
      </c>
      <c r="D23" s="35" t="str">
        <f ca="1">CONCATENATE("Table ",D22)</f>
        <v>Table 49</v>
      </c>
      <c r="E23" s="36" t="str">
        <f ca="1">CONCATENATE("Table ",E22)</f>
        <v>Table 66</v>
      </c>
    </row>
    <row r="24" spans="1:5" x14ac:dyDescent="0.25">
      <c r="A24" t="s">
        <v>116</v>
      </c>
      <c r="B24" t="str">
        <f ca="1">REPLACE(B18,1,FIND("-",B18),"")</f>
        <v>PM25</v>
      </c>
    </row>
    <row r="25" spans="1:5" x14ac:dyDescent="0.25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156B-D3F6-4121-BED7-F3065CFECF43}">
  <sheetPr>
    <tabColor theme="4" tint="-0.249977111117893"/>
  </sheetPr>
  <dimension ref="A1:AJ25"/>
  <sheetViews>
    <sheetView workbookViewId="0"/>
  </sheetViews>
  <sheetFormatPr defaultRowHeight="15" x14ac:dyDescent="0.25"/>
  <cols>
    <col min="1" max="1" width="33.85546875" customWidth="1"/>
  </cols>
  <sheetData>
    <row r="1" spans="1:36" s="1" customFormat="1" x14ac:dyDescent="0.25">
      <c r="A1" s="27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5">
      <c r="A2" t="s">
        <v>8</v>
      </c>
      <c r="B2" s="37" cm="1">
        <f t="array" aca="1" ref="B2" ca="1">INDIRECT(CONCATENATE("'",HLOOKUP(B$1,$B$21:$E$23,3,FALSE),"'!",$B$25,ROW($A2)+3))*About!$A$27</f>
        <v>2.3E-3</v>
      </c>
      <c r="C2" s="38">
        <f ca="1">$B2+($F2-$B2)*(C$1-$B$1)/($F$1-$B$1)</f>
        <v>2.3249999999999998E-3</v>
      </c>
      <c r="D2" s="38">
        <f t="shared" ref="D2:E12" ca="1" si="0">$B2+($F2-$B2)*(D$1-$B$1)/($F$1-$B$1)</f>
        <v>2.3499999999999997E-3</v>
      </c>
      <c r="E2" s="38">
        <f t="shared" ca="1" si="0"/>
        <v>2.3749999999999999E-3</v>
      </c>
      <c r="F2" s="37" cm="1">
        <f t="array" aca="1" ref="F2" ca="1">INDIRECT(CONCATENATE("'",HLOOKUP(F$1,$B$21:$E$23,3,FALSE),"'!",$B$25,ROW($A2)+3))*About!$A$27</f>
        <v>2.3999999999999998E-3</v>
      </c>
      <c r="G2" s="38">
        <f ca="1">$F2+($K2-$F2)*(G$1-$F$1)/($K$1-$F$1)</f>
        <v>2.4399999999999999E-3</v>
      </c>
      <c r="H2" s="38">
        <f t="shared" ref="H2:J12" ca="1" si="1">$F2+($K2-$F2)*(H$1-$F$1)/($K$1-$F$1)</f>
        <v>2.48E-3</v>
      </c>
      <c r="I2" s="38">
        <f t="shared" ca="1" si="1"/>
        <v>2.5199999999999997E-3</v>
      </c>
      <c r="J2" s="38">
        <f t="shared" ca="1" si="1"/>
        <v>2.5599999999999998E-3</v>
      </c>
      <c r="K2" s="37" cm="1">
        <f t="array" aca="1" ref="K2" ca="1">INDIRECT(CONCATENATE("'",HLOOKUP(K$1,$B$21:$E$23,3,FALSE),"'!",$B$25,ROW($A2)+3))*About!$A$27</f>
        <v>2.5999999999999999E-3</v>
      </c>
      <c r="L2" s="38">
        <f ca="1">$K2+($P2-$K2)*(L$1-$K$1)/($P$1-$K$1)</f>
        <v>2.66E-3</v>
      </c>
      <c r="M2" s="38">
        <f t="shared" ref="M2:O12" ca="1" si="2">$K2+($P2-$K2)*(M$1-$K$1)/($P$1-$K$1)</f>
        <v>2.7199999999999998E-3</v>
      </c>
      <c r="N2" s="38">
        <f t="shared" ca="1" si="2"/>
        <v>2.7799999999999999E-3</v>
      </c>
      <c r="O2" s="38">
        <f t="shared" ca="1" si="2"/>
        <v>2.8399999999999996E-3</v>
      </c>
      <c r="P2" s="37" cm="1">
        <f t="array" aca="1" ref="P2" ca="1">INDIRECT(CONCATENATE("'",HLOOKUP(P$1,$B$21:$E$23,3,FALSE),"'!",$B$25,ROW($A2)+3))*About!$A$27</f>
        <v>2.8999999999999998E-3</v>
      </c>
      <c r="Q2" s="38" cm="1">
        <f t="array" aca="1" ref="Q2" ca="1">TREND($K2:$P2,$K$1:$P$1,Q$1)</f>
        <v>2.9600000000000043E-3</v>
      </c>
      <c r="R2" s="38" cm="1">
        <f t="array" aca="1" ref="R2" ca="1">TREND($K2:$P2,$K$1:$P$1,R$1)</f>
        <v>3.0199999999999949E-3</v>
      </c>
      <c r="S2" s="38" cm="1">
        <f t="array" aca="1" ref="S2" ca="1">TREND($K2:$P2,$K$1:$P$1,S$1)</f>
        <v>3.0799999999999994E-3</v>
      </c>
      <c r="T2" s="38" cm="1">
        <f t="array" aca="1" ref="T2" ca="1">TREND($K2:$P2,$K$1:$P$1,T$1)</f>
        <v>3.1400000000000039E-3</v>
      </c>
      <c r="U2" s="38" cm="1">
        <f t="array" aca="1" ref="U2" ca="1">TREND($K2:$P2,$K$1:$P$1,U$1)</f>
        <v>3.1999999999999945E-3</v>
      </c>
      <c r="V2" s="38" cm="1">
        <f t="array" aca="1" ref="V2" ca="1">TREND($K2:$P2,$K$1:$P$1,V$1)</f>
        <v>3.259999999999999E-3</v>
      </c>
      <c r="W2" s="38" cm="1">
        <f t="array" aca="1" ref="W2" ca="1">TREND($K2:$P2,$K$1:$P$1,W$1)</f>
        <v>3.3200000000000035E-3</v>
      </c>
      <c r="X2" s="38" cm="1">
        <f t="array" aca="1" ref="X2" ca="1">TREND($K2:$P2,$K$1:$P$1,X$1)</f>
        <v>3.3799999999999941E-3</v>
      </c>
      <c r="Y2" s="38" cm="1">
        <f t="array" aca="1" ref="Y2" ca="1">TREND($K2:$P2,$K$1:$P$1,Y$1)</f>
        <v>3.4399999999999986E-3</v>
      </c>
      <c r="Z2" s="38" cm="1">
        <f t="array" aca="1" ref="Z2" ca="1">TREND($K2:$P2,$K$1:$P$1,Z$1)</f>
        <v>3.5000000000000031E-3</v>
      </c>
      <c r="AA2" s="38" cm="1">
        <f t="array" aca="1" ref="AA2" ca="1">TREND($K2:$P2,$K$1:$P$1,AA$1)</f>
        <v>3.5599999999999937E-3</v>
      </c>
      <c r="AB2" s="38" cm="1">
        <f t="array" aca="1" ref="AB2" ca="1">TREND($K2:$P2,$K$1:$P$1,AB$1)</f>
        <v>3.6199999999999982E-3</v>
      </c>
      <c r="AC2" s="38" cm="1">
        <f t="array" aca="1" ref="AC2" ca="1">TREND($K2:$P2,$K$1:$P$1,AC$1)</f>
        <v>3.6800000000000027E-3</v>
      </c>
      <c r="AD2" s="38" cm="1">
        <f t="array" aca="1" ref="AD2" ca="1">TREND($K2:$P2,$K$1:$P$1,AD$1)</f>
        <v>3.7399999999999933E-3</v>
      </c>
      <c r="AE2" s="38" cm="1">
        <f t="array" aca="1" ref="AE2" ca="1">TREND($K2:$P2,$K$1:$P$1,AE$1)</f>
        <v>3.7999999999999978E-3</v>
      </c>
      <c r="AF2" s="38" cm="1">
        <f t="array" aca="1" ref="AF2" ca="1">TREND($K2:$P2,$K$1:$P$1,AF$1)</f>
        <v>3.8600000000000023E-3</v>
      </c>
      <c r="AG2" s="38" cm="1">
        <f t="array" aca="1" ref="AG2" ca="1">TREND($K2:$P2,$K$1:$P$1,AG$1)</f>
        <v>3.9199999999999929E-3</v>
      </c>
      <c r="AH2" s="38" cm="1">
        <f t="array" aca="1" ref="AH2" ca="1">TREND($K2:$P2,$K$1:$P$1,AH$1)</f>
        <v>3.9799999999999974E-3</v>
      </c>
      <c r="AI2" s="38" cm="1">
        <f t="array" aca="1" ref="AI2" ca="1">TREND($K2:$P2,$K$1:$P$1,AI$1)</f>
        <v>4.0400000000000019E-3</v>
      </c>
      <c r="AJ2" s="38" cm="1">
        <f t="array" aca="1" ref="AJ2" ca="1">TREND($K2:$P2,$K$1:$P$1,AJ$1)</f>
        <v>4.0999999999999925E-3</v>
      </c>
    </row>
    <row r="3" spans="1:36" x14ac:dyDescent="0.25">
      <c r="A3" t="s">
        <v>14</v>
      </c>
      <c r="B3" s="39" cm="1">
        <f t="array" aca="1" ref="B3" ca="1">INDIRECT(CONCATENATE("'",HLOOKUP(B$1,$B$21:$E$23,3,FALSE),"'!",$B$25,ROW($A3)+5))*About!$A$27</f>
        <v>1.1999999999999999E-3</v>
      </c>
      <c r="C3" s="38">
        <f t="shared" ref="C3:C12" ca="1" si="3">$B3+($F3-$B3)*(C$1-$B$1)/($F$1-$B$1)</f>
        <v>1.225E-3</v>
      </c>
      <c r="D3" s="38">
        <f t="shared" ca="1" si="0"/>
        <v>1.2499999999999998E-3</v>
      </c>
      <c r="E3" s="38">
        <f t="shared" ca="1" si="0"/>
        <v>1.2749999999999999E-3</v>
      </c>
      <c r="F3" s="39" cm="1">
        <f t="array" aca="1" ref="F3" ca="1">INDIRECT(CONCATENATE("'",HLOOKUP(F$1,$B$21:$E$23,3,FALSE),"'!",$B$25,ROW($A3)+5))*About!$A$27</f>
        <v>1.2999999999999999E-3</v>
      </c>
      <c r="G3" s="38">
        <f t="shared" ref="G3:G12" ca="1" si="4">$F3+($K3-$F3)*(G$1-$F$1)/($K$1-$F$1)</f>
        <v>1.32E-3</v>
      </c>
      <c r="H3" s="38">
        <f t="shared" ca="1" si="1"/>
        <v>1.34E-3</v>
      </c>
      <c r="I3" s="38">
        <f t="shared" ca="1" si="1"/>
        <v>1.3599999999999999E-3</v>
      </c>
      <c r="J3" s="38">
        <f t="shared" ca="1" si="1"/>
        <v>1.3799999999999999E-3</v>
      </c>
      <c r="K3" s="39" cm="1">
        <f t="array" aca="1" ref="K3" ca="1">INDIRECT(CONCATENATE("'",HLOOKUP(K$1,$B$21:$E$23,3,FALSE),"'!",$B$25,ROW($A3)+5))*About!$A$27</f>
        <v>1.4E-3</v>
      </c>
      <c r="L3" s="38">
        <f t="shared" ref="L3:L12" ca="1" si="5">$K3+($P3-$K3)*(L$1-$K$1)/($P$1-$K$1)</f>
        <v>1.42E-3</v>
      </c>
      <c r="M3" s="38">
        <f t="shared" ca="1" si="2"/>
        <v>1.4400000000000001E-3</v>
      </c>
      <c r="N3" s="38">
        <f t="shared" ca="1" si="2"/>
        <v>1.4599999999999999E-3</v>
      </c>
      <c r="O3" s="38">
        <f t="shared" ca="1" si="2"/>
        <v>1.48E-3</v>
      </c>
      <c r="P3" s="39" cm="1">
        <f t="array" aca="1" ref="P3" ca="1">INDIRECT(CONCATENATE("'",HLOOKUP(P$1,$B$21:$E$23,3,FALSE),"'!",$B$25,ROW($A3)+5))*About!$A$27</f>
        <v>1.5E-3</v>
      </c>
      <c r="Q3" s="38" cm="1">
        <f t="array" aca="1" ref="Q3" ca="1">TREND($K3:$P3,$K$1:$P$1,Q$1)</f>
        <v>1.5200000000000005E-3</v>
      </c>
      <c r="R3" s="38" cm="1">
        <f t="array" aca="1" ref="R3" ca="1">TREND($K3:$P3,$K$1:$P$1,R$1)</f>
        <v>1.5399999999999997E-3</v>
      </c>
      <c r="S3" s="38" cm="1">
        <f t="array" aca="1" ref="S3" ca="1">TREND($K3:$P3,$K$1:$P$1,S$1)</f>
        <v>1.5599999999999989E-3</v>
      </c>
      <c r="T3" s="38" cm="1">
        <f t="array" aca="1" ref="T3" ca="1">TREND($K3:$P3,$K$1:$P$1,T$1)</f>
        <v>1.5799999999999981E-3</v>
      </c>
      <c r="U3" s="38" cm="1">
        <f t="array" aca="1" ref="U3" ca="1">TREND($K3:$P3,$K$1:$P$1,U$1)</f>
        <v>1.5999999999999973E-3</v>
      </c>
      <c r="V3" s="38" cm="1">
        <f t="array" aca="1" ref="V3" ca="1">TREND($K3:$P3,$K$1:$P$1,V$1)</f>
        <v>1.6200000000000034E-3</v>
      </c>
      <c r="W3" s="38" cm="1">
        <f t="array" aca="1" ref="W3" ca="1">TREND($K3:$P3,$K$1:$P$1,W$1)</f>
        <v>1.6400000000000026E-3</v>
      </c>
      <c r="X3" s="38" cm="1">
        <f t="array" aca="1" ref="X3" ca="1">TREND($K3:$P3,$K$1:$P$1,X$1)</f>
        <v>1.6600000000000018E-3</v>
      </c>
      <c r="Y3" s="38" cm="1">
        <f t="array" aca="1" ref="Y3" ca="1">TREND($K3:$P3,$K$1:$P$1,Y$1)</f>
        <v>1.6800000000000009E-3</v>
      </c>
      <c r="Z3" s="38" cm="1">
        <f t="array" aca="1" ref="Z3" ca="1">TREND($K3:$P3,$K$1:$P$1,Z$1)</f>
        <v>1.7000000000000001E-3</v>
      </c>
      <c r="AA3" s="38" cm="1">
        <f t="array" aca="1" ref="AA3" ca="1">TREND($K3:$P3,$K$1:$P$1,AA$1)</f>
        <v>1.7199999999999993E-3</v>
      </c>
      <c r="AB3" s="38" cm="1">
        <f t="array" aca="1" ref="AB3" ca="1">TREND($K3:$P3,$K$1:$P$1,AB$1)</f>
        <v>1.7399999999999985E-3</v>
      </c>
      <c r="AC3" s="38" cm="1">
        <f t="array" aca="1" ref="AC3" ca="1">TREND($K3:$P3,$K$1:$P$1,AC$1)</f>
        <v>1.7599999999999977E-3</v>
      </c>
      <c r="AD3" s="38" cm="1">
        <f t="array" aca="1" ref="AD3" ca="1">TREND($K3:$P3,$K$1:$P$1,AD$1)</f>
        <v>1.7800000000000038E-3</v>
      </c>
      <c r="AE3" s="38" cm="1">
        <f t="array" aca="1" ref="AE3" ca="1">TREND($K3:$P3,$K$1:$P$1,AE$1)</f>
        <v>1.800000000000003E-3</v>
      </c>
      <c r="AF3" s="38" cm="1">
        <f t="array" aca="1" ref="AF3" ca="1">TREND($K3:$P3,$K$1:$P$1,AF$1)</f>
        <v>1.8200000000000022E-3</v>
      </c>
      <c r="AG3" s="38" cm="1">
        <f t="array" aca="1" ref="AG3" ca="1">TREND($K3:$P3,$K$1:$P$1,AG$1)</f>
        <v>1.8400000000000014E-3</v>
      </c>
      <c r="AH3" s="38" cm="1">
        <f t="array" aca="1" ref="AH3" ca="1">TREND($K3:$P3,$K$1:$P$1,AH$1)</f>
        <v>1.8600000000000005E-3</v>
      </c>
      <c r="AI3" s="38" cm="1">
        <f t="array" aca="1" ref="AI3" ca="1">TREND($K3:$P3,$K$1:$P$1,AI$1)</f>
        <v>1.8799999999999997E-3</v>
      </c>
      <c r="AJ3" s="38" cm="1">
        <f t="array" aca="1" ref="AJ3" ca="1">TREND($K3:$P3,$K$1:$P$1,AJ$1)</f>
        <v>1.8999999999999989E-3</v>
      </c>
    </row>
    <row r="4" spans="1:36" x14ac:dyDescent="0.25">
      <c r="A4" t="s">
        <v>15</v>
      </c>
      <c r="B4" s="39" cm="1">
        <f t="array" aca="1" ref="B4" ca="1">INDIRECT(CONCATENATE("'",HLOOKUP(B$1,$B$21:$E$23,3,FALSE),"'!",$B$25,ROW($A4)+5))*About!$A$27</f>
        <v>3.8E-3</v>
      </c>
      <c r="C4" s="38">
        <f t="shared" ca="1" si="3"/>
        <v>3.8249999999999998E-3</v>
      </c>
      <c r="D4" s="38">
        <f t="shared" ca="1" si="0"/>
        <v>3.8500000000000001E-3</v>
      </c>
      <c r="E4" s="38">
        <f t="shared" ca="1" si="0"/>
        <v>3.875E-3</v>
      </c>
      <c r="F4" s="39" cm="1">
        <f t="array" aca="1" ref="F4" ca="1">INDIRECT(CONCATENATE("'",HLOOKUP(F$1,$B$21:$E$23,3,FALSE),"'!",$B$25,ROW($A4)+5))*About!$A$27</f>
        <v>3.8999999999999998E-3</v>
      </c>
      <c r="G4" s="38">
        <f t="shared" ca="1" si="4"/>
        <v>3.9399999999999999E-3</v>
      </c>
      <c r="H4" s="38">
        <f t="shared" ca="1" si="1"/>
        <v>3.98E-3</v>
      </c>
      <c r="I4" s="38">
        <f t="shared" ca="1" si="1"/>
        <v>4.0200000000000001E-3</v>
      </c>
      <c r="J4" s="38">
        <f t="shared" ca="1" si="1"/>
        <v>4.0600000000000002E-3</v>
      </c>
      <c r="K4" s="39" cm="1">
        <f t="array" aca="1" ref="K4" ca="1">INDIRECT(CONCATENATE("'",HLOOKUP(K$1,$B$21:$E$23,3,FALSE),"'!",$B$25,ROW($A4)+5))*About!$A$27</f>
        <v>4.1000000000000003E-3</v>
      </c>
      <c r="L4" s="38">
        <f t="shared" ca="1" si="5"/>
        <v>4.1800000000000006E-3</v>
      </c>
      <c r="M4" s="38">
        <f t="shared" ca="1" si="2"/>
        <v>4.2599999999999999E-3</v>
      </c>
      <c r="N4" s="38">
        <f t="shared" ca="1" si="2"/>
        <v>4.3400000000000001E-3</v>
      </c>
      <c r="O4" s="38">
        <f t="shared" ca="1" si="2"/>
        <v>4.4199999999999995E-3</v>
      </c>
      <c r="P4" s="39" cm="1">
        <f t="array" aca="1" ref="P4" ca="1">INDIRECT(CONCATENATE("'",HLOOKUP(P$1,$B$21:$E$23,3,FALSE),"'!",$B$25,ROW($A4)+5))*About!$A$27</f>
        <v>4.4999999999999997E-3</v>
      </c>
      <c r="Q4" s="38" cm="1">
        <f t="array" aca="1" ref="Q4" ca="1">TREND($K4:$P4,$K$1:$P$1,Q$1)</f>
        <v>4.5800000000000007E-3</v>
      </c>
      <c r="R4" s="38" cm="1">
        <f t="array" aca="1" ref="R4" ca="1">TREND($K4:$P4,$K$1:$P$1,R$1)</f>
        <v>4.6599999999999975E-3</v>
      </c>
      <c r="S4" s="38" cm="1">
        <f t="array" aca="1" ref="S4" ca="1">TREND($K4:$P4,$K$1:$P$1,S$1)</f>
        <v>4.7399999999999942E-3</v>
      </c>
      <c r="T4" s="38" cm="1">
        <f t="array" aca="1" ref="T4" ca="1">TREND($K4:$P4,$K$1:$P$1,T$1)</f>
        <v>4.819999999999991E-3</v>
      </c>
      <c r="U4" s="38" cm="1">
        <f t="array" aca="1" ref="U4" ca="1">TREND($K4:$P4,$K$1:$P$1,U$1)</f>
        <v>4.9000000000000155E-3</v>
      </c>
      <c r="V4" s="38" cm="1">
        <f t="array" aca="1" ref="V4" ca="1">TREND($K4:$P4,$K$1:$P$1,V$1)</f>
        <v>4.9800000000000122E-3</v>
      </c>
      <c r="W4" s="38" cm="1">
        <f t="array" aca="1" ref="W4" ca="1">TREND($K4:$P4,$K$1:$P$1,W$1)</f>
        <v>5.0600000000000089E-3</v>
      </c>
      <c r="X4" s="38" cm="1">
        <f t="array" aca="1" ref="X4" ca="1">TREND($K4:$P4,$K$1:$P$1,X$1)</f>
        <v>5.1400000000000057E-3</v>
      </c>
      <c r="Y4" s="38" cm="1">
        <f t="array" aca="1" ref="Y4" ca="1">TREND($K4:$P4,$K$1:$P$1,Y$1)</f>
        <v>5.2200000000000024E-3</v>
      </c>
      <c r="Z4" s="38" cm="1">
        <f t="array" aca="1" ref="Z4" ca="1">TREND($K4:$P4,$K$1:$P$1,Z$1)</f>
        <v>5.2999999999999992E-3</v>
      </c>
      <c r="AA4" s="38" cm="1">
        <f t="array" aca="1" ref="AA4" ca="1">TREND($K4:$P4,$K$1:$P$1,AA$1)</f>
        <v>5.3799999999999959E-3</v>
      </c>
      <c r="AB4" s="38" cm="1">
        <f t="array" aca="1" ref="AB4" ca="1">TREND($K4:$P4,$K$1:$P$1,AB$1)</f>
        <v>5.4599999999999926E-3</v>
      </c>
      <c r="AC4" s="38" cm="1">
        <f t="array" aca="1" ref="AC4" ca="1">TREND($K4:$P4,$K$1:$P$1,AC$1)</f>
        <v>5.5399999999999894E-3</v>
      </c>
      <c r="AD4" s="38" cm="1">
        <f t="array" aca="1" ref="AD4" ca="1">TREND($K4:$P4,$K$1:$P$1,AD$1)</f>
        <v>5.6200000000000139E-3</v>
      </c>
      <c r="AE4" s="38" cm="1">
        <f t="array" aca="1" ref="AE4" ca="1">TREND($K4:$P4,$K$1:$P$1,AE$1)</f>
        <v>5.7000000000000106E-3</v>
      </c>
      <c r="AF4" s="38" cm="1">
        <f t="array" aca="1" ref="AF4" ca="1">TREND($K4:$P4,$K$1:$P$1,AF$1)</f>
        <v>5.7800000000000074E-3</v>
      </c>
      <c r="AG4" s="38" cm="1">
        <f t="array" aca="1" ref="AG4" ca="1">TREND($K4:$P4,$K$1:$P$1,AG$1)</f>
        <v>5.8600000000000041E-3</v>
      </c>
      <c r="AH4" s="38" cm="1">
        <f t="array" aca="1" ref="AH4" ca="1">TREND($K4:$P4,$K$1:$P$1,AH$1)</f>
        <v>5.9400000000000008E-3</v>
      </c>
      <c r="AI4" s="38" cm="1">
        <f t="array" aca="1" ref="AI4" ca="1">TREND($K4:$P4,$K$1:$P$1,AI$1)</f>
        <v>6.0199999999999976E-3</v>
      </c>
      <c r="AJ4" s="38" cm="1">
        <f t="array" aca="1" ref="AJ4" ca="1">TREND($K4:$P4,$K$1:$P$1,AJ$1)</f>
        <v>6.0999999999999943E-3</v>
      </c>
    </row>
    <row r="5" spans="1:36" x14ac:dyDescent="0.25">
      <c r="A5" t="s">
        <v>16</v>
      </c>
      <c r="B5" s="39" cm="1">
        <f t="array" aca="1" ref="B5" ca="1">INDIRECT(CONCATENATE("'",HLOOKUP(B$1,$B$21:$E$23,3,FALSE),"'!",$B$25,ROW($A5)+5))*About!$A$27</f>
        <v>4.8000000000000001E-2</v>
      </c>
      <c r="C5" s="38">
        <f t="shared" ca="1" si="3"/>
        <v>4.8250000000000001E-2</v>
      </c>
      <c r="D5" s="38">
        <f t="shared" ca="1" si="0"/>
        <v>4.8500000000000001E-2</v>
      </c>
      <c r="E5" s="38">
        <f t="shared" ca="1" si="0"/>
        <v>4.8750000000000002E-2</v>
      </c>
      <c r="F5" s="39" cm="1">
        <f t="array" aca="1" ref="F5" ca="1">INDIRECT(CONCATENATE("'",HLOOKUP(F$1,$B$21:$E$23,3,FALSE),"'!",$B$25,ROW($A5)+5))*About!$A$27</f>
        <v>4.9000000000000002E-2</v>
      </c>
      <c r="G5" s="38">
        <f t="shared" ca="1" si="4"/>
        <v>4.9599999999999998E-2</v>
      </c>
      <c r="H5" s="38">
        <f t="shared" ca="1" si="1"/>
        <v>5.0200000000000002E-2</v>
      </c>
      <c r="I5" s="38">
        <f t="shared" ca="1" si="1"/>
        <v>5.0799999999999998E-2</v>
      </c>
      <c r="J5" s="38">
        <f t="shared" ca="1" si="1"/>
        <v>5.1400000000000001E-2</v>
      </c>
      <c r="K5" s="39" cm="1">
        <f t="array" aca="1" ref="K5" ca="1">INDIRECT(CONCATENATE("'",HLOOKUP(K$1,$B$21:$E$23,3,FALSE),"'!",$B$25,ROW($A5)+5))*About!$A$27</f>
        <v>5.1999999999999998E-2</v>
      </c>
      <c r="L5" s="38">
        <f t="shared" ca="1" si="5"/>
        <v>5.2999999999999999E-2</v>
      </c>
      <c r="M5" s="38">
        <f t="shared" ca="1" si="2"/>
        <v>5.3999999999999999E-2</v>
      </c>
      <c r="N5" s="38">
        <f t="shared" ca="1" si="2"/>
        <v>5.5E-2</v>
      </c>
      <c r="O5" s="38">
        <f t="shared" ca="1" si="2"/>
        <v>5.6000000000000001E-2</v>
      </c>
      <c r="P5" s="39" cm="1">
        <f t="array" aca="1" ref="P5" ca="1">INDIRECT(CONCATENATE("'",HLOOKUP(P$1,$B$21:$E$23,3,FALSE),"'!",$B$25,ROW($A5)+5))*About!$A$27</f>
        <v>5.7000000000000002E-2</v>
      </c>
      <c r="Q5" s="38" cm="1">
        <f t="array" aca="1" ref="Q5" ca="1">TREND($K5:$P5,$K$1:$P$1,Q$1)</f>
        <v>5.8000000000000274E-2</v>
      </c>
      <c r="R5" s="38" cm="1">
        <f t="array" aca="1" ref="R5" ca="1">TREND($K5:$P5,$K$1:$P$1,R$1)</f>
        <v>5.9000000000000163E-2</v>
      </c>
      <c r="S5" s="38" cm="1">
        <f t="array" aca="1" ref="S5" ca="1">TREND($K5:$P5,$K$1:$P$1,S$1)</f>
        <v>6.0000000000000053E-2</v>
      </c>
      <c r="T5" s="38" cm="1">
        <f t="array" aca="1" ref="T5" ca="1">TREND($K5:$P5,$K$1:$P$1,T$1)</f>
        <v>6.0999999999999943E-2</v>
      </c>
      <c r="U5" s="38" cm="1">
        <f t="array" aca="1" ref="U5" ca="1">TREND($K5:$P5,$K$1:$P$1,U$1)</f>
        <v>6.2000000000000277E-2</v>
      </c>
      <c r="V5" s="38" cm="1">
        <f t="array" aca="1" ref="V5" ca="1">TREND($K5:$P5,$K$1:$P$1,V$1)</f>
        <v>6.3000000000000167E-2</v>
      </c>
      <c r="W5" s="38" cm="1">
        <f t="array" aca="1" ref="W5" ca="1">TREND($K5:$P5,$K$1:$P$1,W$1)</f>
        <v>6.4000000000000057E-2</v>
      </c>
      <c r="X5" s="38" cm="1">
        <f t="array" aca="1" ref="X5" ca="1">TREND($K5:$P5,$K$1:$P$1,X$1)</f>
        <v>6.5000000000000391E-2</v>
      </c>
      <c r="Y5" s="38" cm="1">
        <f t="array" aca="1" ref="Y5" ca="1">TREND($K5:$P5,$K$1:$P$1,Y$1)</f>
        <v>6.6000000000000281E-2</v>
      </c>
      <c r="Z5" s="38" cm="1">
        <f t="array" aca="1" ref="Z5" ca="1">TREND($K5:$P5,$K$1:$P$1,Z$1)</f>
        <v>6.7000000000000171E-2</v>
      </c>
      <c r="AA5" s="38" cm="1">
        <f t="array" aca="1" ref="AA5" ca="1">TREND($K5:$P5,$K$1:$P$1,AA$1)</f>
        <v>6.800000000000006E-2</v>
      </c>
      <c r="AB5" s="38" cm="1">
        <f t="array" aca="1" ref="AB5" ca="1">TREND($K5:$P5,$K$1:$P$1,AB$1)</f>
        <v>6.899999999999995E-2</v>
      </c>
      <c r="AC5" s="38" cm="1">
        <f t="array" aca="1" ref="AC5" ca="1">TREND($K5:$P5,$K$1:$P$1,AC$1)</f>
        <v>7.0000000000000284E-2</v>
      </c>
      <c r="AD5" s="38" cm="1">
        <f t="array" aca="1" ref="AD5" ca="1">TREND($K5:$P5,$K$1:$P$1,AD$1)</f>
        <v>7.1000000000000174E-2</v>
      </c>
      <c r="AE5" s="38" cm="1">
        <f t="array" aca="1" ref="AE5" ca="1">TREND($K5:$P5,$K$1:$P$1,AE$1)</f>
        <v>7.2000000000000064E-2</v>
      </c>
      <c r="AF5" s="38" cm="1">
        <f t="array" aca="1" ref="AF5" ca="1">TREND($K5:$P5,$K$1:$P$1,AF$1)</f>
        <v>7.3000000000000398E-2</v>
      </c>
      <c r="AG5" s="38" cm="1">
        <f t="array" aca="1" ref="AG5" ca="1">TREND($K5:$P5,$K$1:$P$1,AG$1)</f>
        <v>7.4000000000000288E-2</v>
      </c>
      <c r="AH5" s="38" cm="1">
        <f t="array" aca="1" ref="AH5" ca="1">TREND($K5:$P5,$K$1:$P$1,AH$1)</f>
        <v>7.5000000000000178E-2</v>
      </c>
      <c r="AI5" s="38" cm="1">
        <f t="array" aca="1" ref="AI5" ca="1">TREND($K5:$P5,$K$1:$P$1,AI$1)</f>
        <v>7.6000000000000068E-2</v>
      </c>
      <c r="AJ5" s="38" cm="1">
        <f t="array" aca="1" ref="AJ5" ca="1">TREND($K5:$P5,$K$1:$P$1,AJ$1)</f>
        <v>7.6999999999999957E-2</v>
      </c>
    </row>
    <row r="6" spans="1:36" x14ac:dyDescent="0.25">
      <c r="A6" t="s">
        <v>17</v>
      </c>
      <c r="B6" s="39" cm="1">
        <f t="array" aca="1" ref="B6" ca="1">INDIRECT(CONCATENATE("'",HLOOKUP(B$1,$B$21:$E$23,3,FALSE),"'!",$B$25,ROW($A6)+5))*About!$A$27</f>
        <v>6.9000000000000006E-2</v>
      </c>
      <c r="C6" s="38">
        <f t="shared" ca="1" si="3"/>
        <v>6.9250000000000006E-2</v>
      </c>
      <c r="D6" s="38">
        <f t="shared" ca="1" si="0"/>
        <v>6.9500000000000006E-2</v>
      </c>
      <c r="E6" s="38">
        <f t="shared" ca="1" si="0"/>
        <v>6.9750000000000006E-2</v>
      </c>
      <c r="F6" s="39" cm="1">
        <f t="array" aca="1" ref="F6" ca="1">INDIRECT(CONCATENATE("'",HLOOKUP(F$1,$B$21:$E$23,3,FALSE),"'!",$B$25,ROW($A6)+5))*About!$A$27</f>
        <v>7.0000000000000007E-2</v>
      </c>
      <c r="G6" s="38">
        <f t="shared" ca="1" si="4"/>
        <v>7.0800000000000002E-2</v>
      </c>
      <c r="H6" s="38">
        <f t="shared" ca="1" si="1"/>
        <v>7.1599999999999997E-2</v>
      </c>
      <c r="I6" s="38">
        <f t="shared" ca="1" si="1"/>
        <v>7.2400000000000006E-2</v>
      </c>
      <c r="J6" s="38">
        <f t="shared" ca="1" si="1"/>
        <v>7.3200000000000001E-2</v>
      </c>
      <c r="K6" s="39" cm="1">
        <f t="array" aca="1" ref="K6" ca="1">INDIRECT(CONCATENATE("'",HLOOKUP(K$1,$B$21:$E$23,3,FALSE),"'!",$B$25,ROW($A6)+5))*About!$A$27</f>
        <v>7.3999999999999996E-2</v>
      </c>
      <c r="L6" s="38">
        <f t="shared" ca="1" si="5"/>
        <v>7.5600000000000001E-2</v>
      </c>
      <c r="M6" s="38">
        <f t="shared" ca="1" si="2"/>
        <v>7.7200000000000005E-2</v>
      </c>
      <c r="N6" s="38">
        <f t="shared" ca="1" si="2"/>
        <v>7.8799999999999995E-2</v>
      </c>
      <c r="O6" s="38">
        <f t="shared" ca="1" si="2"/>
        <v>8.0399999999999999E-2</v>
      </c>
      <c r="P6" s="39" cm="1">
        <f t="array" aca="1" ref="P6" ca="1">INDIRECT(CONCATENATE("'",HLOOKUP(P$1,$B$21:$E$23,3,FALSE),"'!",$B$25,ROW($A6)+5))*About!$A$27</f>
        <v>8.2000000000000003E-2</v>
      </c>
      <c r="Q6" s="38" cm="1">
        <f t="array" aca="1" ref="Q6" ca="1">TREND($K6:$P6,$K$1:$P$1,Q$1)</f>
        <v>8.3599999999999675E-2</v>
      </c>
      <c r="R6" s="38" cm="1">
        <f t="array" aca="1" ref="R6" ca="1">TREND($K6:$P6,$K$1:$P$1,R$1)</f>
        <v>8.5199999999999942E-2</v>
      </c>
      <c r="S6" s="38" cm="1">
        <f t="array" aca="1" ref="S6" ca="1">TREND($K6:$P6,$K$1:$P$1,S$1)</f>
        <v>8.6799999999999766E-2</v>
      </c>
      <c r="T6" s="38" cm="1">
        <f t="array" aca="1" ref="T6" ca="1">TREND($K6:$P6,$K$1:$P$1,T$1)</f>
        <v>8.839999999999959E-2</v>
      </c>
      <c r="U6" s="38" cm="1">
        <f t="array" aca="1" ref="U6" ca="1">TREND($K6:$P6,$K$1:$P$1,U$1)</f>
        <v>8.9999999999999858E-2</v>
      </c>
      <c r="V6" s="38" cm="1">
        <f t="array" aca="1" ref="V6" ca="1">TREND($K6:$P6,$K$1:$P$1,V$1)</f>
        <v>9.1599999999999682E-2</v>
      </c>
      <c r="W6" s="38" cm="1">
        <f t="array" aca="1" ref="W6" ca="1">TREND($K6:$P6,$K$1:$P$1,W$1)</f>
        <v>9.319999999999995E-2</v>
      </c>
      <c r="X6" s="38" cm="1">
        <f t="array" aca="1" ref="X6" ca="1">TREND($K6:$P6,$K$1:$P$1,X$1)</f>
        <v>9.4799999999999773E-2</v>
      </c>
      <c r="Y6" s="38" cm="1">
        <f t="array" aca="1" ref="Y6" ca="1">TREND($K6:$P6,$K$1:$P$1,Y$1)</f>
        <v>9.6399999999999597E-2</v>
      </c>
      <c r="Z6" s="38" cm="1">
        <f t="array" aca="1" ref="Z6" ca="1">TREND($K6:$P6,$K$1:$P$1,Z$1)</f>
        <v>9.7999999999999865E-2</v>
      </c>
      <c r="AA6" s="38" cm="1">
        <f t="array" aca="1" ref="AA6" ca="1">TREND($K6:$P6,$K$1:$P$1,AA$1)</f>
        <v>9.9599999999999689E-2</v>
      </c>
      <c r="AB6" s="38" cm="1">
        <f t="array" aca="1" ref="AB6" ca="1">TREND($K6:$P6,$K$1:$P$1,AB$1)</f>
        <v>0.10119999999999996</v>
      </c>
      <c r="AC6" s="38" cm="1">
        <f t="array" aca="1" ref="AC6" ca="1">TREND($K6:$P6,$K$1:$P$1,AC$1)</f>
        <v>0.10279999999999978</v>
      </c>
      <c r="AD6" s="38" cm="1">
        <f t="array" aca="1" ref="AD6" ca="1">TREND($K6:$P6,$K$1:$P$1,AD$1)</f>
        <v>0.1043999999999996</v>
      </c>
      <c r="AE6" s="38" cm="1">
        <f t="array" aca="1" ref="AE6" ca="1">TREND($K6:$P6,$K$1:$P$1,AE$1)</f>
        <v>0.10599999999999987</v>
      </c>
      <c r="AF6" s="38" cm="1">
        <f t="array" aca="1" ref="AF6" ca="1">TREND($K6:$P6,$K$1:$P$1,AF$1)</f>
        <v>0.1075999999999997</v>
      </c>
      <c r="AG6" s="38" cm="1">
        <f t="array" aca="1" ref="AG6" ca="1">TREND($K6:$P6,$K$1:$P$1,AG$1)</f>
        <v>0.10919999999999996</v>
      </c>
      <c r="AH6" s="38" cm="1">
        <f t="array" aca="1" ref="AH6" ca="1">TREND($K6:$P6,$K$1:$P$1,AH$1)</f>
        <v>0.11079999999999979</v>
      </c>
      <c r="AI6" s="38" cm="1">
        <f t="array" aca="1" ref="AI6" ca="1">TREND($K6:$P6,$K$1:$P$1,AI$1)</f>
        <v>0.11239999999999961</v>
      </c>
      <c r="AJ6" s="38" cm="1">
        <f t="array" aca="1" ref="AJ6" ca="1">TREND($K6:$P6,$K$1:$P$1,AJ$1)</f>
        <v>0.11399999999999988</v>
      </c>
    </row>
    <row r="7" spans="1:36" x14ac:dyDescent="0.25">
      <c r="A7" t="s">
        <v>163</v>
      </c>
      <c r="B7" s="39" cm="1">
        <f t="array" aca="1" ref="B7" ca="1">INDIRECT(CONCATENATE("'",HLOOKUP(B$1,$B$21:$E$23,3,FALSE),"'!",$B$25,ROW($A7)+5))*About!$A$27</f>
        <v>1.9</v>
      </c>
      <c r="C7" s="38">
        <f t="shared" ca="1" si="3"/>
        <v>1.9249999999999998</v>
      </c>
      <c r="D7" s="38">
        <f t="shared" ca="1" si="0"/>
        <v>1.95</v>
      </c>
      <c r="E7" s="38">
        <f t="shared" ca="1" si="0"/>
        <v>1.9750000000000001</v>
      </c>
      <c r="F7" s="39" cm="1">
        <f t="array" aca="1" ref="F7" ca="1">INDIRECT(CONCATENATE("'",HLOOKUP(F$1,$B$21:$E$23,3,FALSE),"'!",$B$25,ROW($A7)+5))*About!$A$27</f>
        <v>2</v>
      </c>
      <c r="G7" s="38">
        <f t="shared" ca="1" si="4"/>
        <v>2.02</v>
      </c>
      <c r="H7" s="38">
        <f t="shared" ca="1" si="1"/>
        <v>2.04</v>
      </c>
      <c r="I7" s="38">
        <f t="shared" ca="1" si="1"/>
        <v>2.06</v>
      </c>
      <c r="J7" s="38">
        <f t="shared" ca="1" si="1"/>
        <v>2.08</v>
      </c>
      <c r="K7" s="39" cm="1">
        <f t="array" aca="1" ref="K7" ca="1">INDIRECT(CONCATENATE("'",HLOOKUP(K$1,$B$21:$E$23,3,FALSE),"'!",$B$25,ROW($A7)+5))*About!$A$27</f>
        <v>2.1</v>
      </c>
      <c r="L7" s="38">
        <f t="shared" ca="1" si="5"/>
        <v>2.1</v>
      </c>
      <c r="M7" s="38">
        <f t="shared" ca="1" si="2"/>
        <v>2.1</v>
      </c>
      <c r="N7" s="38">
        <f t="shared" ca="1" si="2"/>
        <v>2.1</v>
      </c>
      <c r="O7" s="38">
        <f t="shared" ca="1" si="2"/>
        <v>2.1</v>
      </c>
      <c r="P7" s="39" cm="1">
        <f t="array" aca="1" ref="P7" ca="1">INDIRECT(CONCATENATE("'",HLOOKUP(P$1,$B$21:$E$23,3,FALSE),"'!",$B$25,ROW($A7)+5))*About!$A$27</f>
        <v>2.1</v>
      </c>
      <c r="Q7" s="38" cm="1">
        <f t="array" aca="1" ref="Q7" ca="1">TREND($K7:$P7,$K$1:$P$1,Q$1)</f>
        <v>2.1</v>
      </c>
      <c r="R7" s="38" cm="1">
        <f t="array" aca="1" ref="R7" ca="1">TREND($K7:$P7,$K$1:$P$1,R$1)</f>
        <v>2.1</v>
      </c>
      <c r="S7" s="38" cm="1">
        <f t="array" aca="1" ref="S7" ca="1">TREND($K7:$P7,$K$1:$P$1,S$1)</f>
        <v>2.1</v>
      </c>
      <c r="T7" s="38" cm="1">
        <f t="array" aca="1" ref="T7" ca="1">TREND($K7:$P7,$K$1:$P$1,T$1)</f>
        <v>2.1</v>
      </c>
      <c r="U7" s="38" cm="1">
        <f t="array" aca="1" ref="U7" ca="1">TREND($K7:$P7,$K$1:$P$1,U$1)</f>
        <v>2.1</v>
      </c>
      <c r="V7" s="38" cm="1">
        <f t="array" aca="1" ref="V7" ca="1">TREND($K7:$P7,$K$1:$P$1,V$1)</f>
        <v>2.1</v>
      </c>
      <c r="W7" s="38" cm="1">
        <f t="array" aca="1" ref="W7" ca="1">TREND($K7:$P7,$K$1:$P$1,W$1)</f>
        <v>2.1</v>
      </c>
      <c r="X7" s="38" cm="1">
        <f t="array" aca="1" ref="X7" ca="1">TREND($K7:$P7,$K$1:$P$1,X$1)</f>
        <v>2.1</v>
      </c>
      <c r="Y7" s="38" cm="1">
        <f t="array" aca="1" ref="Y7" ca="1">TREND($K7:$P7,$K$1:$P$1,Y$1)</f>
        <v>2.1</v>
      </c>
      <c r="Z7" s="38" cm="1">
        <f t="array" aca="1" ref="Z7" ca="1">TREND($K7:$P7,$K$1:$P$1,Z$1)</f>
        <v>2.1</v>
      </c>
      <c r="AA7" s="38" cm="1">
        <f t="array" aca="1" ref="AA7" ca="1">TREND($K7:$P7,$K$1:$P$1,AA$1)</f>
        <v>2.1</v>
      </c>
      <c r="AB7" s="38" cm="1">
        <f t="array" aca="1" ref="AB7" ca="1">TREND($K7:$P7,$K$1:$P$1,AB$1)</f>
        <v>2.1</v>
      </c>
      <c r="AC7" s="38" cm="1">
        <f t="array" aca="1" ref="AC7" ca="1">TREND($K7:$P7,$K$1:$P$1,AC$1)</f>
        <v>2.1</v>
      </c>
      <c r="AD7" s="38" cm="1">
        <f t="array" aca="1" ref="AD7" ca="1">TREND($K7:$P7,$K$1:$P$1,AD$1)</f>
        <v>2.1</v>
      </c>
      <c r="AE7" s="38" cm="1">
        <f t="array" aca="1" ref="AE7" ca="1">TREND($K7:$P7,$K$1:$P$1,AE$1)</f>
        <v>2.1</v>
      </c>
      <c r="AF7" s="38" cm="1">
        <f t="array" aca="1" ref="AF7" ca="1">TREND($K7:$P7,$K$1:$P$1,AF$1)</f>
        <v>2.1</v>
      </c>
      <c r="AG7" s="38" cm="1">
        <f t="array" aca="1" ref="AG7" ca="1">TREND($K7:$P7,$K$1:$P$1,AG$1)</f>
        <v>2.1</v>
      </c>
      <c r="AH7" s="38" cm="1">
        <f t="array" aca="1" ref="AH7" ca="1">TREND($K7:$P7,$K$1:$P$1,AH$1)</f>
        <v>2.1</v>
      </c>
      <c r="AI7" s="38" cm="1">
        <f t="array" aca="1" ref="AI7" ca="1">TREND($K7:$P7,$K$1:$P$1,AI$1)</f>
        <v>2.1</v>
      </c>
      <c r="AJ7" s="38" cm="1">
        <f t="array" aca="1" ref="AJ7" ca="1">TREND($K7:$P7,$K$1:$P$1,AJ$1)</f>
        <v>2.1</v>
      </c>
    </row>
    <row r="8" spans="1:36" x14ac:dyDescent="0.25">
      <c r="A8" t="s">
        <v>18</v>
      </c>
      <c r="B8" s="39" cm="1">
        <f t="array" aca="1" ref="B8" ca="1">INDIRECT(CONCATENATE("'",HLOOKUP(B$1,$B$21:$E$23,3,FALSE),"'!",$B$25,ROW($A8)+5))*About!$A$27</f>
        <v>0.33</v>
      </c>
      <c r="C8" s="38">
        <f t="shared" ca="1" si="3"/>
        <v>0.33250000000000002</v>
      </c>
      <c r="D8" s="38">
        <f t="shared" ca="1" si="0"/>
        <v>0.33500000000000002</v>
      </c>
      <c r="E8" s="38">
        <f t="shared" ca="1" si="0"/>
        <v>0.33750000000000002</v>
      </c>
      <c r="F8" s="39" cm="1">
        <f t="array" aca="1" ref="F8" ca="1">INDIRECT(CONCATENATE("'",HLOOKUP(F$1,$B$21:$E$23,3,FALSE),"'!",$B$25,ROW($A8)+5))*About!$A$27</f>
        <v>0.34</v>
      </c>
      <c r="G8" s="38">
        <f t="shared" ca="1" si="4"/>
        <v>0.34200000000000003</v>
      </c>
      <c r="H8" s="38">
        <f t="shared" ca="1" si="1"/>
        <v>0.34400000000000003</v>
      </c>
      <c r="I8" s="38">
        <f t="shared" ca="1" si="1"/>
        <v>0.34599999999999997</v>
      </c>
      <c r="J8" s="38">
        <f t="shared" ca="1" si="1"/>
        <v>0.34799999999999998</v>
      </c>
      <c r="K8" s="39" cm="1">
        <f t="array" aca="1" ref="K8" ca="1">INDIRECT(CONCATENATE("'",HLOOKUP(K$1,$B$21:$E$23,3,FALSE),"'!",$B$25,ROW($A8)+5))*About!$A$27</f>
        <v>0.35</v>
      </c>
      <c r="L8" s="38">
        <f t="shared" ca="1" si="5"/>
        <v>0.35399999999999998</v>
      </c>
      <c r="M8" s="38">
        <f t="shared" ca="1" si="2"/>
        <v>0.35799999999999998</v>
      </c>
      <c r="N8" s="38">
        <f t="shared" ca="1" si="2"/>
        <v>0.36199999999999999</v>
      </c>
      <c r="O8" s="38">
        <f t="shared" ca="1" si="2"/>
        <v>0.36599999999999999</v>
      </c>
      <c r="P8" s="39" cm="1">
        <f t="array" aca="1" ref="P8" ca="1">INDIRECT(CONCATENATE("'",HLOOKUP(P$1,$B$21:$E$23,3,FALSE),"'!",$B$25,ROW($A8)+5))*About!$A$27</f>
        <v>0.37</v>
      </c>
      <c r="Q8" s="38" cm="1">
        <f t="array" aca="1" ref="Q8" ca="1">TREND($K8:$P8,$K$1:$P$1,Q$1)</f>
        <v>0.37400000000000144</v>
      </c>
      <c r="R8" s="38" cm="1">
        <f t="array" aca="1" ref="R8" ca="1">TREND($K8:$P8,$K$1:$P$1,R$1)</f>
        <v>0.378000000000001</v>
      </c>
      <c r="S8" s="38" cm="1">
        <f t="array" aca="1" ref="S8" ca="1">TREND($K8:$P8,$K$1:$P$1,S$1)</f>
        <v>0.38200000000000056</v>
      </c>
      <c r="T8" s="38" cm="1">
        <f t="array" aca="1" ref="T8" ca="1">TREND($K8:$P8,$K$1:$P$1,T$1)</f>
        <v>0.38600000000000012</v>
      </c>
      <c r="U8" s="38" cm="1">
        <f t="array" aca="1" ref="U8" ca="1">TREND($K8:$P8,$K$1:$P$1,U$1)</f>
        <v>0.39000000000000146</v>
      </c>
      <c r="V8" s="38" cm="1">
        <f t="array" aca="1" ref="V8" ca="1">TREND($K8:$P8,$K$1:$P$1,V$1)</f>
        <v>0.39400000000000102</v>
      </c>
      <c r="W8" s="38" cm="1">
        <f t="array" aca="1" ref="W8" ca="1">TREND($K8:$P8,$K$1:$P$1,W$1)</f>
        <v>0.39800000000000058</v>
      </c>
      <c r="X8" s="38" cm="1">
        <f t="array" aca="1" ref="X8" ca="1">TREND($K8:$P8,$K$1:$P$1,X$1)</f>
        <v>0.40200000000000014</v>
      </c>
      <c r="Y8" s="38" cm="1">
        <f t="array" aca="1" ref="Y8" ca="1">TREND($K8:$P8,$K$1:$P$1,Y$1)</f>
        <v>0.40600000000000147</v>
      </c>
      <c r="Z8" s="38" cm="1">
        <f t="array" aca="1" ref="Z8" ca="1">TREND($K8:$P8,$K$1:$P$1,Z$1)</f>
        <v>0.41000000000000103</v>
      </c>
      <c r="AA8" s="38" cm="1">
        <f t="array" aca="1" ref="AA8" ca="1">TREND($K8:$P8,$K$1:$P$1,AA$1)</f>
        <v>0.41400000000000059</v>
      </c>
      <c r="AB8" s="38" cm="1">
        <f t="array" aca="1" ref="AB8" ca="1">TREND($K8:$P8,$K$1:$P$1,AB$1)</f>
        <v>0.41800000000000015</v>
      </c>
      <c r="AC8" s="38" cm="1">
        <f t="array" aca="1" ref="AC8" ca="1">TREND($K8:$P8,$K$1:$P$1,AC$1)</f>
        <v>0.42200000000000149</v>
      </c>
      <c r="AD8" s="38" cm="1">
        <f t="array" aca="1" ref="AD8" ca="1">TREND($K8:$P8,$K$1:$P$1,AD$1)</f>
        <v>0.42600000000000104</v>
      </c>
      <c r="AE8" s="38" cm="1">
        <f t="array" aca="1" ref="AE8" ca="1">TREND($K8:$P8,$K$1:$P$1,AE$1)</f>
        <v>0.4300000000000006</v>
      </c>
      <c r="AF8" s="38" cm="1">
        <f t="array" aca="1" ref="AF8" ca="1">TREND($K8:$P8,$K$1:$P$1,AF$1)</f>
        <v>0.43400000000000016</v>
      </c>
      <c r="AG8" s="38" cm="1">
        <f t="array" aca="1" ref="AG8" ca="1">TREND($K8:$P8,$K$1:$P$1,AG$1)</f>
        <v>0.4380000000000015</v>
      </c>
      <c r="AH8" s="38" cm="1">
        <f t="array" aca="1" ref="AH8" ca="1">TREND($K8:$P8,$K$1:$P$1,AH$1)</f>
        <v>0.44200000000000106</v>
      </c>
      <c r="AI8" s="38" cm="1">
        <f t="array" aca="1" ref="AI8" ca="1">TREND($K8:$P8,$K$1:$P$1,AI$1)</f>
        <v>0.44600000000000062</v>
      </c>
      <c r="AJ8" s="38" cm="1">
        <f t="array" aca="1" ref="AJ8" ca="1">TREND($K8:$P8,$K$1:$P$1,AJ$1)</f>
        <v>0.45000000000000195</v>
      </c>
    </row>
    <row r="9" spans="1:36" x14ac:dyDescent="0.25">
      <c r="A9" t="s">
        <v>19</v>
      </c>
      <c r="B9" s="39" cm="1">
        <f t="array" aca="1" ref="B9" ca="1">INDIRECT(CONCATENATE("'",HLOOKUP(B$1,$B$21:$E$23,3,FALSE),"'!",$B$25,ROW($A9)+5))*About!$A$27</f>
        <v>8.1000000000000003E-2</v>
      </c>
      <c r="C9" s="38">
        <f t="shared" ca="1" si="3"/>
        <v>8.1250000000000003E-2</v>
      </c>
      <c r="D9" s="38">
        <f t="shared" ca="1" si="0"/>
        <v>8.1500000000000003E-2</v>
      </c>
      <c r="E9" s="38">
        <f t="shared" ca="1" si="0"/>
        <v>8.1750000000000003E-2</v>
      </c>
      <c r="F9" s="39" cm="1">
        <f t="array" aca="1" ref="F9" ca="1">INDIRECT(CONCATENATE("'",HLOOKUP(F$1,$B$21:$E$23,3,FALSE),"'!",$B$25,ROW($A9)+5))*About!$A$27</f>
        <v>8.2000000000000003E-2</v>
      </c>
      <c r="G9" s="38">
        <f t="shared" ca="1" si="4"/>
        <v>8.3000000000000004E-2</v>
      </c>
      <c r="H9" s="38">
        <f t="shared" ca="1" si="1"/>
        <v>8.4000000000000005E-2</v>
      </c>
      <c r="I9" s="38">
        <f t="shared" ca="1" si="1"/>
        <v>8.4999999999999992E-2</v>
      </c>
      <c r="J9" s="38">
        <f t="shared" ca="1" si="1"/>
        <v>8.5999999999999993E-2</v>
      </c>
      <c r="K9" s="39" cm="1">
        <f t="array" aca="1" ref="K9" ca="1">INDIRECT(CONCATENATE("'",HLOOKUP(K$1,$B$21:$E$23,3,FALSE),"'!",$B$25,ROW($A9)+5))*About!$A$27</f>
        <v>8.6999999999999994E-2</v>
      </c>
      <c r="L9" s="38">
        <f t="shared" ca="1" si="5"/>
        <v>8.8399999999999992E-2</v>
      </c>
      <c r="M9" s="38">
        <f t="shared" ca="1" si="2"/>
        <v>8.9799999999999991E-2</v>
      </c>
      <c r="N9" s="38">
        <f t="shared" ca="1" si="2"/>
        <v>9.1200000000000003E-2</v>
      </c>
      <c r="O9" s="38">
        <f t="shared" ca="1" si="2"/>
        <v>9.2600000000000002E-2</v>
      </c>
      <c r="P9" s="39" cm="1">
        <f t="array" aca="1" ref="P9" ca="1">INDIRECT(CONCATENATE("'",HLOOKUP(P$1,$B$21:$E$23,3,FALSE),"'!",$B$25,ROW($A9)+5))*About!$A$27</f>
        <v>9.4E-2</v>
      </c>
      <c r="Q9" s="38" cm="1">
        <f t="array" aca="1" ref="Q9" ca="1">TREND($K9:$P9,$K$1:$P$1,Q$1)</f>
        <v>9.5400000000000151E-2</v>
      </c>
      <c r="R9" s="38" cm="1">
        <f t="array" aca="1" ref="R9" ca="1">TREND($K9:$P9,$K$1:$P$1,R$1)</f>
        <v>9.6799999999999997E-2</v>
      </c>
      <c r="S9" s="38" cm="1">
        <f t="array" aca="1" ref="S9" ca="1">TREND($K9:$P9,$K$1:$P$1,S$1)</f>
        <v>9.8200000000000287E-2</v>
      </c>
      <c r="T9" s="38" cm="1">
        <f t="array" aca="1" ref="T9" ca="1">TREND($K9:$P9,$K$1:$P$1,T$1)</f>
        <v>9.9600000000000133E-2</v>
      </c>
      <c r="U9" s="38" cm="1">
        <f t="array" aca="1" ref="U9" ca="1">TREND($K9:$P9,$K$1:$P$1,U$1)</f>
        <v>0.10099999999999998</v>
      </c>
      <c r="V9" s="38" cm="1">
        <f t="array" aca="1" ref="V9" ca="1">TREND($K9:$P9,$K$1:$P$1,V$1)</f>
        <v>0.10240000000000027</v>
      </c>
      <c r="W9" s="38" cm="1">
        <f t="array" aca="1" ref="W9" ca="1">TREND($K9:$P9,$K$1:$P$1,W$1)</f>
        <v>0.10380000000000011</v>
      </c>
      <c r="X9" s="38" cm="1">
        <f t="array" aca="1" ref="X9" ca="1">TREND($K9:$P9,$K$1:$P$1,X$1)</f>
        <v>0.10519999999999996</v>
      </c>
      <c r="Y9" s="38" cm="1">
        <f t="array" aca="1" ref="Y9" ca="1">TREND($K9:$P9,$K$1:$P$1,Y$1)</f>
        <v>0.10660000000000025</v>
      </c>
      <c r="Z9" s="38" cm="1">
        <f t="array" aca="1" ref="Z9" ca="1">TREND($K9:$P9,$K$1:$P$1,Z$1)</f>
        <v>0.1080000000000001</v>
      </c>
      <c r="AA9" s="38" cm="1">
        <f t="array" aca="1" ref="AA9" ca="1">TREND($K9:$P9,$K$1:$P$1,AA$1)</f>
        <v>0.10940000000000039</v>
      </c>
      <c r="AB9" s="38" cm="1">
        <f t="array" aca="1" ref="AB9" ca="1">TREND($K9:$P9,$K$1:$P$1,AB$1)</f>
        <v>0.11080000000000023</v>
      </c>
      <c r="AC9" s="38" cm="1">
        <f t="array" aca="1" ref="AC9" ca="1">TREND($K9:$P9,$K$1:$P$1,AC$1)</f>
        <v>0.11220000000000008</v>
      </c>
      <c r="AD9" s="38" cm="1">
        <f t="array" aca="1" ref="AD9" ca="1">TREND($K9:$P9,$K$1:$P$1,AD$1)</f>
        <v>0.11360000000000037</v>
      </c>
      <c r="AE9" s="38" cm="1">
        <f t="array" aca="1" ref="AE9" ca="1">TREND($K9:$P9,$K$1:$P$1,AE$1)</f>
        <v>0.11500000000000021</v>
      </c>
      <c r="AF9" s="38" cm="1">
        <f t="array" aca="1" ref="AF9" ca="1">TREND($K9:$P9,$K$1:$P$1,AF$1)</f>
        <v>0.11640000000000006</v>
      </c>
      <c r="AG9" s="38" cm="1">
        <f t="array" aca="1" ref="AG9" ca="1">TREND($K9:$P9,$K$1:$P$1,AG$1)</f>
        <v>0.11780000000000035</v>
      </c>
      <c r="AH9" s="38" cm="1">
        <f t="array" aca="1" ref="AH9" ca="1">TREND($K9:$P9,$K$1:$P$1,AH$1)</f>
        <v>0.11920000000000019</v>
      </c>
      <c r="AI9" s="38" cm="1">
        <f t="array" aca="1" ref="AI9" ca="1">TREND($K9:$P9,$K$1:$P$1,AI$1)</f>
        <v>0.12060000000000004</v>
      </c>
      <c r="AJ9" s="38" cm="1">
        <f t="array" aca="1" ref="AJ9" ca="1">TREND($K9:$P9,$K$1:$P$1,AJ$1)</f>
        <v>0.12200000000000033</v>
      </c>
    </row>
    <row r="10" spans="1:36" x14ac:dyDescent="0.25">
      <c r="A10" t="s">
        <v>20</v>
      </c>
      <c r="B10" s="39" cm="1">
        <f t="array" aca="1" ref="B10" ca="1">INDIRECT(CONCATENATE("'",HLOOKUP(B$1,$B$21:$E$23,3,FALSE),"'!",$B$25,ROW($A10)+5))*About!$A$27</f>
        <v>5.0000000000000001E-4</v>
      </c>
      <c r="C10" s="38">
        <f t="shared" ca="1" si="3"/>
        <v>5.1250000000000004E-4</v>
      </c>
      <c r="D10" s="38">
        <f t="shared" ca="1" si="0"/>
        <v>5.2500000000000008E-4</v>
      </c>
      <c r="E10" s="38">
        <f t="shared" ca="1" si="0"/>
        <v>5.375E-4</v>
      </c>
      <c r="F10" s="39" cm="1">
        <f t="array" aca="1" ref="F10" ca="1">INDIRECT(CONCATENATE("'",HLOOKUP(F$1,$B$21:$E$23,3,FALSE),"'!",$B$25,ROW($A10)+5))*About!$A$27</f>
        <v>5.5000000000000003E-4</v>
      </c>
      <c r="G10" s="38">
        <f t="shared" ca="1" si="4"/>
        <v>5.6400000000000005E-4</v>
      </c>
      <c r="H10" s="38">
        <f t="shared" ca="1" si="1"/>
        <v>5.7800000000000006E-4</v>
      </c>
      <c r="I10" s="38">
        <f t="shared" ca="1" si="1"/>
        <v>5.9199999999999997E-4</v>
      </c>
      <c r="J10" s="38">
        <f t="shared" ca="1" si="1"/>
        <v>6.0599999999999998E-4</v>
      </c>
      <c r="K10" s="39" cm="1">
        <f t="array" aca="1" ref="K10" ca="1">INDIRECT(CONCATENATE("'",HLOOKUP(K$1,$B$21:$E$23,3,FALSE),"'!",$B$25,ROW($A10)+5))*About!$A$27</f>
        <v>6.2E-4</v>
      </c>
      <c r="L10" s="38">
        <f t="shared" ca="1" si="5"/>
        <v>6.3599999999999996E-4</v>
      </c>
      <c r="M10" s="38">
        <f t="shared" ca="1" si="2"/>
        <v>6.5200000000000002E-4</v>
      </c>
      <c r="N10" s="38">
        <f t="shared" ca="1" si="2"/>
        <v>6.6799999999999997E-4</v>
      </c>
      <c r="O10" s="38">
        <f t="shared" ca="1" si="2"/>
        <v>6.8400000000000004E-4</v>
      </c>
      <c r="P10" s="39" cm="1">
        <f t="array" aca="1" ref="P10" ca="1">INDIRECT(CONCATENATE("'",HLOOKUP(P$1,$B$21:$E$23,3,FALSE),"'!",$B$25,ROW($A10)+5))*About!$A$27</f>
        <v>6.9999999999999999E-4</v>
      </c>
      <c r="Q10" s="38" cm="1">
        <f t="array" aca="1" ref="Q10" ca="1">TREND($K10:$P10,$K$1:$P$1,Q$1)</f>
        <v>7.1600000000000136E-4</v>
      </c>
      <c r="R10" s="38" cm="1">
        <f t="array" aca="1" ref="R10" ca="1">TREND($K10:$P10,$K$1:$P$1,R$1)</f>
        <v>7.3200000000000348E-4</v>
      </c>
      <c r="S10" s="38" cm="1">
        <f t="array" aca="1" ref="S10" ca="1">TREND($K10:$P10,$K$1:$P$1,S$1)</f>
        <v>7.480000000000056E-4</v>
      </c>
      <c r="T10" s="38" cm="1">
        <f t="array" aca="1" ref="T10" ca="1">TREND($K10:$P10,$K$1:$P$1,T$1)</f>
        <v>7.6400000000000079E-4</v>
      </c>
      <c r="U10" s="38" cm="1">
        <f t="array" aca="1" ref="U10" ca="1">TREND($K10:$P10,$K$1:$P$1,U$1)</f>
        <v>7.8000000000000291E-4</v>
      </c>
      <c r="V10" s="38" cm="1">
        <f t="array" aca="1" ref="V10" ca="1">TREND($K10:$P10,$K$1:$P$1,V$1)</f>
        <v>7.9600000000000504E-4</v>
      </c>
      <c r="W10" s="38" cm="1">
        <f t="array" aca="1" ref="W10" ca="1">TREND($K10:$P10,$K$1:$P$1,W$1)</f>
        <v>8.1200000000000022E-4</v>
      </c>
      <c r="X10" s="38" cm="1">
        <f t="array" aca="1" ref="X10" ca="1">TREND($K10:$P10,$K$1:$P$1,X$1)</f>
        <v>8.2800000000000235E-4</v>
      </c>
      <c r="Y10" s="38" cm="1">
        <f t="array" aca="1" ref="Y10" ca="1">TREND($K10:$P10,$K$1:$P$1,Y$1)</f>
        <v>8.4400000000000447E-4</v>
      </c>
      <c r="Z10" s="38" cm="1">
        <f t="array" aca="1" ref="Z10" ca="1">TREND($K10:$P10,$K$1:$P$1,Z$1)</f>
        <v>8.5999999999999965E-4</v>
      </c>
      <c r="AA10" s="38" cm="1">
        <f t="array" aca="1" ref="AA10" ca="1">TREND($K10:$P10,$K$1:$P$1,AA$1)</f>
        <v>8.7600000000000178E-4</v>
      </c>
      <c r="AB10" s="38" cm="1">
        <f t="array" aca="1" ref="AB10" ca="1">TREND($K10:$P10,$K$1:$P$1,AB$1)</f>
        <v>8.920000000000039E-4</v>
      </c>
      <c r="AC10" s="38" cm="1">
        <f t="array" aca="1" ref="AC10" ca="1">TREND($K10:$P10,$K$1:$P$1,AC$1)</f>
        <v>9.0800000000000602E-4</v>
      </c>
      <c r="AD10" s="38" cm="1">
        <f t="array" aca="1" ref="AD10" ca="1">TREND($K10:$P10,$K$1:$P$1,AD$1)</f>
        <v>9.2400000000000121E-4</v>
      </c>
      <c r="AE10" s="38" cm="1">
        <f t="array" aca="1" ref="AE10" ca="1">TREND($K10:$P10,$K$1:$P$1,AE$1)</f>
        <v>9.4000000000000333E-4</v>
      </c>
      <c r="AF10" s="38" cm="1">
        <f t="array" aca="1" ref="AF10" ca="1">TREND($K10:$P10,$K$1:$P$1,AF$1)</f>
        <v>9.5600000000000546E-4</v>
      </c>
      <c r="AG10" s="38" cm="1">
        <f t="array" aca="1" ref="AG10" ca="1">TREND($K10:$P10,$K$1:$P$1,AG$1)</f>
        <v>9.7200000000000064E-4</v>
      </c>
      <c r="AH10" s="38" cm="1">
        <f t="array" aca="1" ref="AH10" ca="1">TREND($K10:$P10,$K$1:$P$1,AH$1)</f>
        <v>9.8800000000000276E-4</v>
      </c>
      <c r="AI10" s="38" cm="1">
        <f t="array" aca="1" ref="AI10" ca="1">TREND($K10:$P10,$K$1:$P$1,AI$1)</f>
        <v>1.0040000000000049E-3</v>
      </c>
      <c r="AJ10" s="38" cm="1">
        <f t="array" aca="1" ref="AJ10" ca="1">TREND($K10:$P10,$K$1:$P$1,AJ$1)</f>
        <v>1.0200000000000001E-3</v>
      </c>
    </row>
    <row r="11" spans="1:36" x14ac:dyDescent="0.25">
      <c r="A11" t="s">
        <v>21</v>
      </c>
      <c r="B11" s="39" cm="1">
        <f t="array" aca="1" ref="B11" ca="1">INDIRECT(CONCATENATE("'",HLOOKUP(B$1,$B$21:$E$23,3,FALSE),"'!",$B$25,ROW($A11)+5))*About!$A$27</f>
        <v>4.8000000000000001E-4</v>
      </c>
      <c r="C11" s="38">
        <f t="shared" ca="1" si="3"/>
        <v>4.9249999999999999E-4</v>
      </c>
      <c r="D11" s="38">
        <f t="shared" ca="1" si="0"/>
        <v>5.0500000000000002E-4</v>
      </c>
      <c r="E11" s="38">
        <f t="shared" ca="1" si="0"/>
        <v>5.1749999999999995E-4</v>
      </c>
      <c r="F11" s="39" cm="1">
        <f t="array" aca="1" ref="F11" ca="1">INDIRECT(CONCATENATE("'",HLOOKUP(F$1,$B$21:$E$23,3,FALSE),"'!",$B$25,ROW($A11)+5))*About!$A$27</f>
        <v>5.2999999999999998E-4</v>
      </c>
      <c r="G11" s="38">
        <f t="shared" ca="1" si="4"/>
        <v>5.44E-4</v>
      </c>
      <c r="H11" s="38">
        <f t="shared" ca="1" si="1"/>
        <v>5.5800000000000001E-4</v>
      </c>
      <c r="I11" s="38">
        <f t="shared" ca="1" si="1"/>
        <v>5.7199999999999992E-4</v>
      </c>
      <c r="J11" s="38">
        <f t="shared" ca="1" si="1"/>
        <v>5.8599999999999993E-4</v>
      </c>
      <c r="K11" s="39" cm="1">
        <f t="array" aca="1" ref="K11" ca="1">INDIRECT(CONCATENATE("'",HLOOKUP(K$1,$B$21:$E$23,3,FALSE),"'!",$B$25,ROW($A11)+5))*About!$A$27</f>
        <v>5.9999999999999995E-4</v>
      </c>
      <c r="L11" s="38">
        <f t="shared" ca="1" si="5"/>
        <v>6.1600000000000001E-4</v>
      </c>
      <c r="M11" s="38">
        <f t="shared" ca="1" si="2"/>
        <v>6.3199999999999997E-4</v>
      </c>
      <c r="N11" s="38">
        <f t="shared" ca="1" si="2"/>
        <v>6.4800000000000003E-4</v>
      </c>
      <c r="O11" s="38">
        <f t="shared" ca="1" si="2"/>
        <v>6.6399999999999999E-4</v>
      </c>
      <c r="P11" s="39" cm="1">
        <f t="array" aca="1" ref="P11" ca="1">INDIRECT(CONCATENATE("'",HLOOKUP(P$1,$B$21:$E$23,3,FALSE),"'!",$B$25,ROW($A11)+5))*About!$A$27</f>
        <v>6.8000000000000005E-4</v>
      </c>
      <c r="Q11" s="38" cm="1">
        <f t="array" aca="1" ref="Q11" ca="1">TREND($K11:$P11,$K$1:$P$1,Q$1)</f>
        <v>6.9600000000000217E-4</v>
      </c>
      <c r="R11" s="38" cm="1">
        <f t="array" aca="1" ref="R11" ca="1">TREND($K11:$P11,$K$1:$P$1,R$1)</f>
        <v>7.120000000000043E-4</v>
      </c>
      <c r="S11" s="38" cm="1">
        <f t="array" aca="1" ref="S11" ca="1">TREND($K11:$P11,$K$1:$P$1,S$1)</f>
        <v>7.2800000000000642E-4</v>
      </c>
      <c r="T11" s="38" cm="1">
        <f t="array" aca="1" ref="T11" ca="1">TREND($K11:$P11,$K$1:$P$1,T$1)</f>
        <v>7.440000000000016E-4</v>
      </c>
      <c r="U11" s="38" cm="1">
        <f t="array" aca="1" ref="U11" ca="1">TREND($K11:$P11,$K$1:$P$1,U$1)</f>
        <v>7.6000000000000373E-4</v>
      </c>
      <c r="V11" s="38" cm="1">
        <f t="array" aca="1" ref="V11" ca="1">TREND($K11:$P11,$K$1:$P$1,V$1)</f>
        <v>7.7600000000000585E-4</v>
      </c>
      <c r="W11" s="38" cm="1">
        <f t="array" aca="1" ref="W11" ca="1">TREND($K11:$P11,$K$1:$P$1,W$1)</f>
        <v>7.9200000000000104E-4</v>
      </c>
      <c r="X11" s="38" cm="1">
        <f t="array" aca="1" ref="X11" ca="1">TREND($K11:$P11,$K$1:$P$1,X$1)</f>
        <v>8.0800000000000316E-4</v>
      </c>
      <c r="Y11" s="38" cm="1">
        <f t="array" aca="1" ref="Y11" ca="1">TREND($K11:$P11,$K$1:$P$1,Y$1)</f>
        <v>8.2400000000000528E-4</v>
      </c>
      <c r="Z11" s="38" cm="1">
        <f t="array" aca="1" ref="Z11" ca="1">TREND($K11:$P11,$K$1:$P$1,Z$1)</f>
        <v>8.4000000000000047E-4</v>
      </c>
      <c r="AA11" s="38" cm="1">
        <f t="array" aca="1" ref="AA11" ca="1">TREND($K11:$P11,$K$1:$P$1,AA$1)</f>
        <v>8.5600000000000259E-4</v>
      </c>
      <c r="AB11" s="38" cm="1">
        <f t="array" aca="1" ref="AB11" ca="1">TREND($K11:$P11,$K$1:$P$1,AB$1)</f>
        <v>8.7200000000000472E-4</v>
      </c>
      <c r="AC11" s="38" cm="1">
        <f t="array" aca="1" ref="AC11" ca="1">TREND($K11:$P11,$K$1:$P$1,AC$1)</f>
        <v>8.8800000000000684E-4</v>
      </c>
      <c r="AD11" s="38" cm="1">
        <f t="array" aca="1" ref="AD11" ca="1">TREND($K11:$P11,$K$1:$P$1,AD$1)</f>
        <v>9.0400000000000202E-4</v>
      </c>
      <c r="AE11" s="38" cm="1">
        <f t="array" aca="1" ref="AE11" ca="1">TREND($K11:$P11,$K$1:$P$1,AE$1)</f>
        <v>9.2000000000000415E-4</v>
      </c>
      <c r="AF11" s="38" cm="1">
        <f t="array" aca="1" ref="AF11" ca="1">TREND($K11:$P11,$K$1:$P$1,AF$1)</f>
        <v>9.3600000000000627E-4</v>
      </c>
      <c r="AG11" s="38" cm="1">
        <f t="array" aca="1" ref="AG11" ca="1">TREND($K11:$P11,$K$1:$P$1,AG$1)</f>
        <v>9.5200000000000146E-4</v>
      </c>
      <c r="AH11" s="38" cm="1">
        <f t="array" aca="1" ref="AH11" ca="1">TREND($K11:$P11,$K$1:$P$1,AH$1)</f>
        <v>9.6800000000000358E-4</v>
      </c>
      <c r="AI11" s="38" cm="1">
        <f t="array" aca="1" ref="AI11" ca="1">TREND($K11:$P11,$K$1:$P$1,AI$1)</f>
        <v>9.840000000000057E-4</v>
      </c>
      <c r="AJ11" s="38" cm="1">
        <f t="array" aca="1" ref="AJ11" ca="1">TREND($K11:$P11,$K$1:$P$1,AJ$1)</f>
        <v>1.0000000000000009E-3</v>
      </c>
    </row>
    <row r="12" spans="1:36" x14ac:dyDescent="0.25">
      <c r="A12" t="s">
        <v>112</v>
      </c>
      <c r="B12" s="40">
        <f ca="1">SUM(INDIRECT(CONCATENATE("'",HLOOKUP(B$1,$B$21:$E$23,3,FALSE),"'!",$B$25,ROW($A12)+5,":",$B$25,ROW($A12)+6)))*About!$A$27</f>
        <v>2.2200000000000002E-3</v>
      </c>
      <c r="C12" s="38">
        <f t="shared" ca="1" si="3"/>
        <v>2.2750000000000001E-3</v>
      </c>
      <c r="D12" s="38">
        <f t="shared" ca="1" si="0"/>
        <v>2.3300000000000005E-3</v>
      </c>
      <c r="E12" s="38">
        <f t="shared" ca="1" si="0"/>
        <v>2.3850000000000004E-3</v>
      </c>
      <c r="F12" s="40">
        <f ca="1">SUM(INDIRECT(CONCATENATE("'",HLOOKUP(F$1,$B$21:$E$23,3,FALSE),"'!",$B$25,ROW($A12)+5,":",$B$25,ROW($A12)+6)))*About!$A$27</f>
        <v>2.4400000000000003E-3</v>
      </c>
      <c r="G12" s="38">
        <f t="shared" ca="1" si="4"/>
        <v>2.5060000000000004E-3</v>
      </c>
      <c r="H12" s="38">
        <f t="shared" ca="1" si="1"/>
        <v>2.5720000000000001E-3</v>
      </c>
      <c r="I12" s="38">
        <f t="shared" ca="1" si="1"/>
        <v>2.6380000000000002E-3</v>
      </c>
      <c r="J12" s="38">
        <f t="shared" ca="1" si="1"/>
        <v>2.7039999999999998E-3</v>
      </c>
      <c r="K12" s="40">
        <f ca="1">SUM(INDIRECT(CONCATENATE("'",HLOOKUP(K$1,$B$21:$E$23,3,FALSE),"'!",$B$25,ROW($A12)+5,":",$B$25,ROW($A12)+6)))*About!$A$27</f>
        <v>2.7699999999999999E-3</v>
      </c>
      <c r="L12" s="38">
        <f t="shared" ca="1" si="5"/>
        <v>2.836E-3</v>
      </c>
      <c r="M12" s="38">
        <f t="shared" ca="1" si="2"/>
        <v>2.9020000000000001E-3</v>
      </c>
      <c r="N12" s="38">
        <f t="shared" ca="1" si="2"/>
        <v>2.9679999999999997E-3</v>
      </c>
      <c r="O12" s="38">
        <f t="shared" ca="1" si="2"/>
        <v>3.0339999999999998E-3</v>
      </c>
      <c r="P12" s="40">
        <f ca="1">SUM(INDIRECT(CONCATENATE("'",HLOOKUP(P$1,$B$21:$E$23,3,FALSE),"'!",$B$25,ROW($A12)+5,":",$B$25,ROW($A12)+6)))*About!$A$27</f>
        <v>3.0999999999999999E-3</v>
      </c>
      <c r="Q12" s="38" cm="1">
        <f t="array" aca="1" ref="Q12" ca="1">TREND($K12:$P12,$K$1:$P$1,Q$1)</f>
        <v>3.1659999999999744E-3</v>
      </c>
      <c r="R12" s="38" cm="1">
        <f t="array" aca="1" ref="R12" ca="1">TREND($K12:$P12,$K$1:$P$1,R$1)</f>
        <v>3.2319999999999849E-3</v>
      </c>
      <c r="S12" s="38" cm="1">
        <f t="array" aca="1" ref="S12" ca="1">TREND($K12:$P12,$K$1:$P$1,S$1)</f>
        <v>3.2979999999999954E-3</v>
      </c>
      <c r="T12" s="38" cm="1">
        <f t="array" aca="1" ref="T12" ca="1">TREND($K12:$P12,$K$1:$P$1,T$1)</f>
        <v>3.3639999999999781E-3</v>
      </c>
      <c r="U12" s="38" cm="1">
        <f t="array" aca="1" ref="U12" ca="1">TREND($K12:$P12,$K$1:$P$1,U$1)</f>
        <v>3.4299999999999886E-3</v>
      </c>
      <c r="V12" s="38" cm="1">
        <f t="array" aca="1" ref="V12" ca="1">TREND($K12:$P12,$K$1:$P$1,V$1)</f>
        <v>3.4959999999999991E-3</v>
      </c>
      <c r="W12" s="38" cm="1">
        <f t="array" aca="1" ref="W12" ca="1">TREND($K12:$P12,$K$1:$P$1,W$1)</f>
        <v>3.5619999999999818E-3</v>
      </c>
      <c r="X12" s="38" cm="1">
        <f t="array" aca="1" ref="X12" ca="1">TREND($K12:$P12,$K$1:$P$1,X$1)</f>
        <v>3.6279999999999923E-3</v>
      </c>
      <c r="Y12" s="38" cm="1">
        <f t="array" aca="1" ref="Y12" ca="1">TREND($K12:$P12,$K$1:$P$1,Y$1)</f>
        <v>3.6939999999999751E-3</v>
      </c>
      <c r="Z12" s="38" cm="1">
        <f t="array" aca="1" ref="Z12" ca="1">TREND($K12:$P12,$K$1:$P$1,Z$1)</f>
        <v>3.7599999999999856E-3</v>
      </c>
      <c r="AA12" s="38" cm="1">
        <f t="array" aca="1" ref="AA12" ca="1">TREND($K12:$P12,$K$1:$P$1,AA$1)</f>
        <v>3.8259999999999961E-3</v>
      </c>
      <c r="AB12" s="38" cm="1">
        <f t="array" aca="1" ref="AB12" ca="1">TREND($K12:$P12,$K$1:$P$1,AB$1)</f>
        <v>3.8919999999999788E-3</v>
      </c>
      <c r="AC12" s="38" cm="1">
        <f t="array" aca="1" ref="AC12" ca="1">TREND($K12:$P12,$K$1:$P$1,AC$1)</f>
        <v>3.9579999999999893E-3</v>
      </c>
      <c r="AD12" s="38" cm="1">
        <f t="array" aca="1" ref="AD12" ca="1">TREND($K12:$P12,$K$1:$P$1,AD$1)</f>
        <v>4.0239999999999998E-3</v>
      </c>
      <c r="AE12" s="38" cm="1">
        <f t="array" aca="1" ref="AE12" ca="1">TREND($K12:$P12,$K$1:$P$1,AE$1)</f>
        <v>4.0899999999999825E-3</v>
      </c>
      <c r="AF12" s="38" cm="1">
        <f t="array" aca="1" ref="AF12" ca="1">TREND($K12:$P12,$K$1:$P$1,AF$1)</f>
        <v>4.155999999999993E-3</v>
      </c>
      <c r="AG12" s="38" cm="1">
        <f t="array" aca="1" ref="AG12" ca="1">TREND($K12:$P12,$K$1:$P$1,AG$1)</f>
        <v>4.2219999999999758E-3</v>
      </c>
      <c r="AH12" s="38" cm="1">
        <f t="array" aca="1" ref="AH12" ca="1">TREND($K12:$P12,$K$1:$P$1,AH$1)</f>
        <v>4.2879999999999863E-3</v>
      </c>
      <c r="AI12" s="38" cm="1">
        <f t="array" aca="1" ref="AI12" ca="1">TREND($K12:$P12,$K$1:$P$1,AI$1)</f>
        <v>4.3539999999999968E-3</v>
      </c>
      <c r="AJ12" s="38" cm="1">
        <f t="array" aca="1" ref="AJ12" ca="1">TREND($K12:$P12,$K$1:$P$1,AJ$1)</f>
        <v>4.4199999999999795E-3</v>
      </c>
    </row>
    <row r="16" spans="1:36" x14ac:dyDescent="0.25">
      <c r="A16" s="22" t="s">
        <v>125</v>
      </c>
      <c r="B16" s="23"/>
      <c r="C16" s="23"/>
      <c r="D16" s="23"/>
    </row>
    <row r="17" spans="1:5" x14ac:dyDescent="0.25">
      <c r="A17" t="s">
        <v>113</v>
      </c>
      <c r="B17" t="str" cm="1">
        <f t="array" aca="1" ref="B17" ca="1">MID(CELL("filename",A17),FIND("]",CELL("filename",A17))+1,255)</f>
        <v>HOIpTP-LULUCF-SO2</v>
      </c>
    </row>
    <row r="18" spans="1:5" x14ac:dyDescent="0.25">
      <c r="A18" t="s">
        <v>114</v>
      </c>
      <c r="B18" t="str">
        <f ca="1">RIGHT(B17,LEN(B17)-7)</f>
        <v>LULUCF-SO2</v>
      </c>
    </row>
    <row r="19" spans="1:5" x14ac:dyDescent="0.25">
      <c r="A19" t="s">
        <v>115</v>
      </c>
      <c r="B19" t="str">
        <f ca="1">LEFT(B18,FIND("-",B18)-1)</f>
        <v>LULUCF</v>
      </c>
    </row>
    <row r="20" spans="1:5" x14ac:dyDescent="0.25">
      <c r="A20" t="s">
        <v>122</v>
      </c>
      <c r="B20" t="str">
        <f ca="1">VLOOKUP($B$19,Mappings!$A$22:$B$26,COLUMN(Mappings!$B$21),FALSE)</f>
        <v>on-road mobile sources</v>
      </c>
    </row>
    <row r="21" spans="1:5" x14ac:dyDescent="0.25">
      <c r="A21" s="28"/>
      <c r="B21" s="29">
        <v>2016</v>
      </c>
      <c r="C21" s="29">
        <v>2020</v>
      </c>
      <c r="D21" s="29">
        <v>2025</v>
      </c>
      <c r="E21" s="30">
        <v>2030</v>
      </c>
    </row>
    <row r="22" spans="1:5" x14ac:dyDescent="0.25">
      <c r="A22" s="31" t="s">
        <v>130</v>
      </c>
      <c r="B22" s="32">
        <f ca="1">VLOOKUP($B$20,Mappings!$A$3:$E$19,COLUMN(Mappings!B$2),FALSE)</f>
        <v>15</v>
      </c>
      <c r="C22" s="32">
        <f ca="1">VLOOKUP($B$20,Mappings!$A$3:$E$19,COLUMN(Mappings!C$2),FALSE)</f>
        <v>32</v>
      </c>
      <c r="D22" s="32">
        <f ca="1">VLOOKUP($B$20,Mappings!$A$3:$E$19,COLUMN(Mappings!D$2),FALSE)</f>
        <v>49</v>
      </c>
      <c r="E22" s="33">
        <f ca="1">VLOOKUP($B$20,Mappings!$A$3:$E$19,COLUMN(Mappings!E$2),FALSE)</f>
        <v>66</v>
      </c>
    </row>
    <row r="23" spans="1:5" x14ac:dyDescent="0.25">
      <c r="A23" s="34" t="s">
        <v>113</v>
      </c>
      <c r="B23" s="35" t="str">
        <f ca="1">CONCATENATE("Table ",B22)</f>
        <v>Table 15</v>
      </c>
      <c r="C23" s="35" t="str">
        <f ca="1">CONCATENATE("Table ",C22)</f>
        <v>Table 32</v>
      </c>
      <c r="D23" s="35" t="str">
        <f ca="1">CONCATENATE("Table ",D22)</f>
        <v>Table 49</v>
      </c>
      <c r="E23" s="36" t="str">
        <f ca="1">CONCATENATE("Table ",E22)</f>
        <v>Table 66</v>
      </c>
    </row>
    <row r="24" spans="1:5" x14ac:dyDescent="0.25">
      <c r="A24" t="s">
        <v>116</v>
      </c>
      <c r="B24" t="str">
        <f ca="1">REPLACE(B18,1,FIND("-",B18),"")</f>
        <v>SO2</v>
      </c>
    </row>
    <row r="25" spans="1:5" x14ac:dyDescent="0.25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66F7-AA2A-4ED8-A3BC-566EC5837B8D}">
  <dimension ref="A1:D21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33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6.8000000000000005E-4</v>
      </c>
      <c r="C5" s="10">
        <v>5.1999999999999998E-3</v>
      </c>
      <c r="D5" s="10">
        <v>4.2000000000000003E-2</v>
      </c>
    </row>
    <row r="6" spans="1:4" ht="15" customHeight="1" x14ac:dyDescent="0.25">
      <c r="A6" s="9" t="s">
        <v>6</v>
      </c>
      <c r="B6" s="10">
        <v>1.5E-3</v>
      </c>
      <c r="C6" s="10">
        <v>1.2E-2</v>
      </c>
      <c r="D6" s="10">
        <v>9.7000000000000003E-2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24" t="s">
        <v>14</v>
      </c>
      <c r="B8" s="10">
        <v>3.6999999999999999E-4</v>
      </c>
      <c r="C8" s="10">
        <v>2.8E-3</v>
      </c>
      <c r="D8" s="10">
        <v>2.3E-2</v>
      </c>
    </row>
    <row r="9" spans="1:4" ht="15" customHeight="1" x14ac:dyDescent="0.25">
      <c r="A9" s="24" t="s">
        <v>15</v>
      </c>
      <c r="B9" s="10">
        <v>9.6000000000000002E-4</v>
      </c>
      <c r="C9" s="10">
        <v>6.7000000000000002E-3</v>
      </c>
      <c r="D9" s="10">
        <v>6.3E-2</v>
      </c>
    </row>
    <row r="10" spans="1:4" ht="15" customHeight="1" x14ac:dyDescent="0.25">
      <c r="A10" s="24" t="s">
        <v>16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5">
      <c r="A11" s="24" t="s">
        <v>17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5">
      <c r="A12" s="24" t="s">
        <v>163</v>
      </c>
      <c r="B12" s="10">
        <v>0.51</v>
      </c>
      <c r="C12" s="10">
        <v>3.7</v>
      </c>
      <c r="D12" s="10">
        <v>33</v>
      </c>
    </row>
    <row r="13" spans="1:4" ht="15" customHeight="1" x14ac:dyDescent="0.25">
      <c r="A13" s="24" t="s">
        <v>18</v>
      </c>
      <c r="B13" s="10">
        <v>8.5999999999999993E-2</v>
      </c>
      <c r="C13" s="10">
        <v>0.61</v>
      </c>
      <c r="D13" s="10">
        <v>5.5</v>
      </c>
    </row>
    <row r="14" spans="1:4" ht="15" customHeight="1" x14ac:dyDescent="0.25">
      <c r="A14" s="24" t="s">
        <v>19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5">
      <c r="A15" s="24" t="s">
        <v>20</v>
      </c>
      <c r="B15" s="10">
        <v>1.6000000000000001E-4</v>
      </c>
      <c r="C15" s="10">
        <v>1.1999999999999999E-3</v>
      </c>
      <c r="D15" s="10">
        <v>9.9000000000000008E-3</v>
      </c>
    </row>
    <row r="16" spans="1:4" ht="15" customHeight="1" x14ac:dyDescent="0.25">
      <c r="A16" s="24" t="s">
        <v>21</v>
      </c>
      <c r="B16" s="10">
        <v>1.4999999999999999E-4</v>
      </c>
      <c r="C16" s="10">
        <v>1.1999999999999999E-3</v>
      </c>
      <c r="D16" s="10">
        <v>8.9999999999999993E-3</v>
      </c>
    </row>
    <row r="17" spans="1:4" ht="15" customHeight="1" x14ac:dyDescent="0.25">
      <c r="A17" s="24" t="s">
        <v>22</v>
      </c>
      <c r="B17" s="10">
        <v>6.3000000000000003E-4</v>
      </c>
      <c r="C17" s="10">
        <v>4.8999999999999998E-3</v>
      </c>
      <c r="D17" s="10">
        <v>4.1000000000000002E-2</v>
      </c>
    </row>
    <row r="18" spans="1:4" ht="15" customHeight="1" x14ac:dyDescent="0.25">
      <c r="A18" s="25" t="s">
        <v>23</v>
      </c>
      <c r="B18" s="13">
        <v>6.7999999999999999E-5</v>
      </c>
      <c r="C18" s="13">
        <v>5.2999999999999998E-4</v>
      </c>
      <c r="D18" s="13">
        <v>4.4000000000000003E-3</v>
      </c>
    </row>
    <row r="19" spans="1:4" x14ac:dyDescent="0.25">
      <c r="A19" s="26"/>
    </row>
    <row r="20" spans="1:4" x14ac:dyDescent="0.25">
      <c r="A20" s="26"/>
    </row>
    <row r="21" spans="1:4" x14ac:dyDescent="0.25">
      <c r="A21" s="26"/>
    </row>
  </sheetData>
  <mergeCells count="2">
    <mergeCell ref="B2:D2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5FE3-93E5-4401-B515-FC7BECD14F28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34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4.4999999999999999E-4</v>
      </c>
      <c r="C5" s="10">
        <v>5.4999999999999997E-3</v>
      </c>
      <c r="D5" s="10">
        <v>1.7999999999999999E-2</v>
      </c>
    </row>
    <row r="6" spans="1:4" ht="15" customHeight="1" x14ac:dyDescent="0.25">
      <c r="A6" s="9" t="s">
        <v>6</v>
      </c>
      <c r="B6" s="10">
        <v>1E-3</v>
      </c>
      <c r="C6" s="10">
        <v>1.2999999999999999E-2</v>
      </c>
      <c r="D6" s="10">
        <v>4.2000000000000003E-2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2.3000000000000001E-4</v>
      </c>
      <c r="C8" s="10">
        <v>2.7000000000000001E-3</v>
      </c>
      <c r="D8" s="10">
        <v>8.3000000000000001E-3</v>
      </c>
    </row>
    <row r="9" spans="1:4" ht="15" customHeight="1" x14ac:dyDescent="0.25">
      <c r="A9" s="9" t="s">
        <v>15</v>
      </c>
      <c r="B9" s="10">
        <v>5.8E-4</v>
      </c>
      <c r="C9" s="10">
        <v>6.7999999999999996E-3</v>
      </c>
      <c r="D9" s="10">
        <v>2.3E-2</v>
      </c>
    </row>
    <row r="10" spans="1:4" ht="15" customHeight="1" x14ac:dyDescent="0.25">
      <c r="A10" s="9" t="s">
        <v>16</v>
      </c>
      <c r="B10" s="10">
        <v>7.4000000000000003E-3</v>
      </c>
      <c r="C10" s="10">
        <v>8.6999999999999994E-2</v>
      </c>
      <c r="D10" s="10">
        <v>0.28999999999999998</v>
      </c>
    </row>
    <row r="11" spans="1:4" ht="15" customHeight="1" x14ac:dyDescent="0.25">
      <c r="A11" s="9" t="s">
        <v>17</v>
      </c>
      <c r="B11" s="10">
        <v>1.0999999999999999E-2</v>
      </c>
      <c r="C11" s="10">
        <v>0.12</v>
      </c>
      <c r="D11" s="10">
        <v>0.41</v>
      </c>
    </row>
    <row r="12" spans="1:4" ht="15" customHeight="1" x14ac:dyDescent="0.25">
      <c r="A12" s="9" t="s">
        <v>163</v>
      </c>
      <c r="B12" s="10">
        <v>0.32</v>
      </c>
      <c r="C12" s="10">
        <v>3.7</v>
      </c>
      <c r="D12" s="10">
        <v>12</v>
      </c>
    </row>
    <row r="13" spans="1:4" ht="15" customHeight="1" x14ac:dyDescent="0.25">
      <c r="A13" s="9" t="s">
        <v>18</v>
      </c>
      <c r="B13" s="10">
        <v>5.2999999999999999E-2</v>
      </c>
      <c r="C13" s="10">
        <v>0.62</v>
      </c>
      <c r="D13" s="10">
        <v>2</v>
      </c>
    </row>
    <row r="14" spans="1:4" ht="15" customHeight="1" x14ac:dyDescent="0.25">
      <c r="A14" s="9" t="s">
        <v>19</v>
      </c>
      <c r="B14" s="10">
        <v>1.2E-2</v>
      </c>
      <c r="C14" s="10">
        <v>0.15</v>
      </c>
      <c r="D14" s="10">
        <v>0.48</v>
      </c>
    </row>
    <row r="15" spans="1:4" ht="15" customHeight="1" x14ac:dyDescent="0.25">
      <c r="A15" s="9" t="s">
        <v>20</v>
      </c>
      <c r="B15" s="10">
        <v>1E-4</v>
      </c>
      <c r="C15" s="10">
        <v>1.2999999999999999E-3</v>
      </c>
      <c r="D15" s="10">
        <v>4.4000000000000003E-3</v>
      </c>
    </row>
    <row r="16" spans="1:4" ht="15" customHeight="1" x14ac:dyDescent="0.25">
      <c r="A16" s="9" t="s">
        <v>21</v>
      </c>
      <c r="B16" s="10">
        <v>9.5000000000000005E-5</v>
      </c>
      <c r="C16" s="10">
        <v>1.1999999999999999E-3</v>
      </c>
      <c r="D16" s="10">
        <v>4.1000000000000003E-3</v>
      </c>
    </row>
    <row r="17" spans="1:4" ht="15" customHeight="1" x14ac:dyDescent="0.25">
      <c r="A17" s="9" t="s">
        <v>22</v>
      </c>
      <c r="B17" s="10">
        <v>4.0999999999999999E-4</v>
      </c>
      <c r="C17" s="10">
        <v>5.3E-3</v>
      </c>
      <c r="D17" s="10">
        <v>1.7999999999999999E-2</v>
      </c>
    </row>
    <row r="18" spans="1:4" ht="15" customHeight="1" x14ac:dyDescent="0.25">
      <c r="A18" s="18" t="s">
        <v>23</v>
      </c>
      <c r="B18" s="13">
        <v>4.3999999999999999E-5</v>
      </c>
      <c r="C18" s="13">
        <v>5.6999999999999998E-4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357A-7531-4086-80A0-FBB67BDD17E0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8" t="s">
        <v>31</v>
      </c>
      <c r="B1" s="48"/>
      <c r="C1" s="48"/>
      <c r="D1" s="48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7.9000000000000001E-4</v>
      </c>
      <c r="C5" s="10">
        <v>7.9000000000000008E-3</v>
      </c>
      <c r="D5" s="10">
        <v>3.6999999999999998E-2</v>
      </c>
    </row>
    <row r="6" spans="1:4" ht="15" customHeight="1" x14ac:dyDescent="0.25">
      <c r="A6" s="9" t="s">
        <v>6</v>
      </c>
      <c r="B6" s="10">
        <v>1.8E-3</v>
      </c>
      <c r="C6" s="10">
        <v>1.7999999999999999E-2</v>
      </c>
      <c r="D6" s="10">
        <v>8.5000000000000006E-2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4.2000000000000002E-4</v>
      </c>
      <c r="C8" s="10">
        <v>4.4000000000000003E-3</v>
      </c>
      <c r="D8" s="10">
        <v>2.1999999999999999E-2</v>
      </c>
    </row>
    <row r="9" spans="1:4" ht="15" customHeight="1" x14ac:dyDescent="0.25">
      <c r="A9" s="9" t="s">
        <v>15</v>
      </c>
      <c r="B9" s="10">
        <v>1.1999999999999999E-3</v>
      </c>
      <c r="C9" s="10">
        <v>1.2E-2</v>
      </c>
      <c r="D9" s="10">
        <v>5.8000000000000003E-2</v>
      </c>
    </row>
    <row r="10" spans="1:4" ht="15" customHeight="1" x14ac:dyDescent="0.25">
      <c r="A10" s="9" t="s">
        <v>16</v>
      </c>
      <c r="B10" s="10">
        <v>1.6E-2</v>
      </c>
      <c r="C10" s="10">
        <v>0.16</v>
      </c>
      <c r="D10" s="10">
        <v>0.73</v>
      </c>
    </row>
    <row r="11" spans="1:4" ht="15" customHeight="1" x14ac:dyDescent="0.25">
      <c r="A11" s="9" t="s">
        <v>17</v>
      </c>
      <c r="B11" s="10">
        <v>2.1999999999999999E-2</v>
      </c>
      <c r="C11" s="10">
        <v>0.22</v>
      </c>
      <c r="D11" s="10">
        <v>1</v>
      </c>
    </row>
    <row r="12" spans="1:4" ht="15" customHeight="1" x14ac:dyDescent="0.25">
      <c r="A12" s="9" t="s">
        <v>163</v>
      </c>
      <c r="B12" s="10">
        <v>0.66</v>
      </c>
      <c r="C12" s="10">
        <v>6.6</v>
      </c>
      <c r="D12" s="10">
        <v>31</v>
      </c>
    </row>
    <row r="13" spans="1:4" ht="15" customHeight="1" x14ac:dyDescent="0.25">
      <c r="A13" s="9" t="s">
        <v>18</v>
      </c>
      <c r="B13" s="10">
        <v>0.11</v>
      </c>
      <c r="C13" s="10">
        <v>1.1000000000000001</v>
      </c>
      <c r="D13" s="10">
        <v>5.2</v>
      </c>
    </row>
    <row r="14" spans="1:4" ht="15" customHeight="1" x14ac:dyDescent="0.25">
      <c r="A14" s="9" t="s">
        <v>19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5">
      <c r="A15" s="9" t="s">
        <v>20</v>
      </c>
      <c r="B15" s="10">
        <v>1.9000000000000001E-4</v>
      </c>
      <c r="C15" s="10">
        <v>1.9E-3</v>
      </c>
      <c r="D15" s="10">
        <v>8.8000000000000005E-3</v>
      </c>
    </row>
    <row r="16" spans="1:4" ht="15" customHeight="1" x14ac:dyDescent="0.25">
      <c r="A16" s="9" t="s">
        <v>21</v>
      </c>
      <c r="B16" s="10">
        <v>1.8000000000000001E-4</v>
      </c>
      <c r="C16" s="10">
        <v>1.8E-3</v>
      </c>
      <c r="D16" s="10">
        <v>8.2000000000000007E-3</v>
      </c>
    </row>
    <row r="17" spans="1:4" ht="15" customHeight="1" x14ac:dyDescent="0.25">
      <c r="A17" s="9" t="s">
        <v>22</v>
      </c>
      <c r="B17" s="10">
        <v>7.5000000000000002E-4</v>
      </c>
      <c r="C17" s="10">
        <v>7.6E-3</v>
      </c>
      <c r="D17" s="10">
        <v>3.5000000000000003E-2</v>
      </c>
    </row>
    <row r="18" spans="1:4" ht="15" customHeight="1" x14ac:dyDescent="0.25">
      <c r="A18" s="18" t="s">
        <v>23</v>
      </c>
      <c r="B18" s="13">
        <v>8.0000000000000007E-5</v>
      </c>
      <c r="C18" s="13">
        <v>8.1999999999999998E-4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33D0-09F6-43B7-BC93-7A5A83D987BB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8" t="s">
        <v>30</v>
      </c>
      <c r="B1" s="48"/>
      <c r="C1" s="48"/>
      <c r="D1" s="48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1.2999999999999999E-3</v>
      </c>
      <c r="C5" s="10">
        <v>6.3E-3</v>
      </c>
      <c r="D5" s="10">
        <v>5.5E-2</v>
      </c>
    </row>
    <row r="6" spans="1:4" ht="15" customHeight="1" x14ac:dyDescent="0.25">
      <c r="A6" s="9" t="s">
        <v>6</v>
      </c>
      <c r="B6" s="10">
        <v>3.0000000000000001E-3</v>
      </c>
      <c r="C6" s="10">
        <v>1.4E-2</v>
      </c>
      <c r="D6" s="10">
        <v>0.13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6.8000000000000005E-4</v>
      </c>
      <c r="C8" s="10">
        <v>3.0000000000000001E-3</v>
      </c>
      <c r="D8" s="10">
        <v>2.5000000000000001E-2</v>
      </c>
    </row>
    <row r="9" spans="1:4" ht="15" customHeight="1" x14ac:dyDescent="0.25">
      <c r="A9" s="9" t="s">
        <v>15</v>
      </c>
      <c r="B9" s="10">
        <v>1.6000000000000001E-3</v>
      </c>
      <c r="C9" s="10">
        <v>7.6E-3</v>
      </c>
      <c r="D9" s="10">
        <v>6.3E-2</v>
      </c>
    </row>
    <row r="10" spans="1:4" ht="15" customHeight="1" x14ac:dyDescent="0.25">
      <c r="A10" s="9" t="s">
        <v>16</v>
      </c>
      <c r="B10" s="10">
        <v>0.02</v>
      </c>
      <c r="C10" s="10">
        <v>9.7000000000000003E-2</v>
      </c>
      <c r="D10" s="10">
        <v>0.8</v>
      </c>
    </row>
    <row r="11" spans="1:4" ht="15" customHeight="1" x14ac:dyDescent="0.25">
      <c r="A11" s="9" t="s">
        <v>17</v>
      </c>
      <c r="B11" s="10">
        <v>2.9000000000000001E-2</v>
      </c>
      <c r="C11" s="10">
        <v>0.14000000000000001</v>
      </c>
      <c r="D11" s="10">
        <v>1.1000000000000001</v>
      </c>
    </row>
    <row r="12" spans="1:4" ht="15" customHeight="1" x14ac:dyDescent="0.25">
      <c r="A12" s="9" t="s">
        <v>163</v>
      </c>
      <c r="B12" s="10">
        <v>0.88</v>
      </c>
      <c r="C12" s="10">
        <v>4.2</v>
      </c>
      <c r="D12" s="10">
        <v>35</v>
      </c>
    </row>
    <row r="13" spans="1:4" ht="15" customHeight="1" x14ac:dyDescent="0.25">
      <c r="A13" s="9" t="s">
        <v>18</v>
      </c>
      <c r="B13" s="10">
        <v>0.15</v>
      </c>
      <c r="C13" s="10">
        <v>0.7</v>
      </c>
      <c r="D13" s="10">
        <v>5.8</v>
      </c>
    </row>
    <row r="14" spans="1:4" ht="15" customHeight="1" x14ac:dyDescent="0.25">
      <c r="A14" s="9" t="s">
        <v>19</v>
      </c>
      <c r="B14" s="10">
        <v>3.4000000000000002E-2</v>
      </c>
      <c r="C14" s="10">
        <v>0.16</v>
      </c>
      <c r="D14" s="10">
        <v>1.3</v>
      </c>
    </row>
    <row r="15" spans="1:4" ht="15" customHeight="1" x14ac:dyDescent="0.25">
      <c r="A15" s="9" t="s">
        <v>20</v>
      </c>
      <c r="B15" s="10">
        <v>2.9999999999999997E-4</v>
      </c>
      <c r="C15" s="10">
        <v>1.5E-3</v>
      </c>
      <c r="D15" s="10">
        <v>1.2999999999999999E-2</v>
      </c>
    </row>
    <row r="16" spans="1:4" ht="15" customHeight="1" x14ac:dyDescent="0.25">
      <c r="A16" s="9" t="s">
        <v>21</v>
      </c>
      <c r="B16" s="10">
        <v>2.7999999999999998E-4</v>
      </c>
      <c r="C16" s="10">
        <v>1.4E-3</v>
      </c>
      <c r="D16" s="10">
        <v>1.2E-2</v>
      </c>
    </row>
    <row r="17" spans="1:4" ht="15" customHeight="1" x14ac:dyDescent="0.25">
      <c r="A17" s="9" t="s">
        <v>22</v>
      </c>
      <c r="B17" s="10">
        <v>1.1999999999999999E-3</v>
      </c>
      <c r="C17" s="10">
        <v>6.1000000000000004E-3</v>
      </c>
      <c r="D17" s="10">
        <v>5.0999999999999997E-2</v>
      </c>
    </row>
    <row r="18" spans="1:4" ht="15" customHeight="1" x14ac:dyDescent="0.25">
      <c r="A18" s="18" t="s">
        <v>23</v>
      </c>
      <c r="B18" s="13">
        <v>1.2999999999999999E-4</v>
      </c>
      <c r="C18" s="13">
        <v>6.6E-4</v>
      </c>
      <c r="D18" s="13">
        <v>5.4999999999999997E-3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B205-E3C4-4FA1-8032-6BA17437B6E2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35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1.9E-3</v>
      </c>
      <c r="C5" s="10">
        <v>4.9000000000000002E-2</v>
      </c>
      <c r="D5" s="10">
        <v>0.06</v>
      </c>
    </row>
    <row r="6" spans="1:4" ht="15" customHeight="1" x14ac:dyDescent="0.25">
      <c r="A6" s="9" t="s">
        <v>6</v>
      </c>
      <c r="B6" s="10">
        <v>4.4000000000000003E-3</v>
      </c>
      <c r="C6" s="10">
        <v>0.11</v>
      </c>
      <c r="D6" s="10">
        <v>0.14000000000000001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1.1000000000000001E-3</v>
      </c>
      <c r="C8" s="10">
        <v>2.4E-2</v>
      </c>
      <c r="D8" s="10">
        <v>2.9000000000000001E-2</v>
      </c>
    </row>
    <row r="9" spans="1:4" ht="15" customHeight="1" x14ac:dyDescent="0.25">
      <c r="A9" s="9" t="s">
        <v>15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5">
      <c r="A10" s="9" t="s">
        <v>16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5">
      <c r="A11" s="9" t="s">
        <v>17</v>
      </c>
      <c r="B11" s="10">
        <v>5.3999999999999999E-2</v>
      </c>
      <c r="C11" s="10">
        <v>1.1000000000000001</v>
      </c>
      <c r="D11" s="10">
        <v>1.5</v>
      </c>
    </row>
    <row r="12" spans="1:4" ht="15" customHeight="1" x14ac:dyDescent="0.25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5">
      <c r="A13" s="9" t="s">
        <v>18</v>
      </c>
      <c r="B13" s="10">
        <v>0.27</v>
      </c>
      <c r="C13" s="10">
        <v>5.9</v>
      </c>
      <c r="D13" s="10">
        <v>7.5</v>
      </c>
    </row>
    <row r="14" spans="1:4" ht="15" customHeight="1" x14ac:dyDescent="0.25">
      <c r="A14" s="9" t="s">
        <v>19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5">
      <c r="A15" s="9" t="s">
        <v>20</v>
      </c>
      <c r="B15" s="10">
        <v>4.6999999999999999E-4</v>
      </c>
      <c r="C15" s="10">
        <v>1.0999999999999999E-2</v>
      </c>
      <c r="D15" s="10">
        <v>1.4E-2</v>
      </c>
    </row>
    <row r="16" spans="1:4" ht="15" customHeight="1" x14ac:dyDescent="0.25">
      <c r="A16" s="9" t="s">
        <v>21</v>
      </c>
      <c r="B16" s="10">
        <v>4.4000000000000002E-4</v>
      </c>
      <c r="C16" s="10">
        <v>1.0999999999999999E-2</v>
      </c>
      <c r="D16" s="10">
        <v>1.4E-2</v>
      </c>
    </row>
    <row r="17" spans="1:4" ht="15" customHeight="1" x14ac:dyDescent="0.25">
      <c r="A17" s="9" t="s">
        <v>22</v>
      </c>
      <c r="B17" s="10">
        <v>1.9E-3</v>
      </c>
      <c r="C17" s="10">
        <v>4.7E-2</v>
      </c>
      <c r="D17" s="10">
        <v>5.8999999999999997E-2</v>
      </c>
    </row>
    <row r="18" spans="1:4" ht="15" customHeight="1" x14ac:dyDescent="0.25">
      <c r="A18" s="18" t="s">
        <v>23</v>
      </c>
      <c r="B18" s="13">
        <v>2.0000000000000001E-4</v>
      </c>
      <c r="C18" s="13">
        <v>5.0000000000000001E-3</v>
      </c>
      <c r="D18" s="13">
        <v>6.4000000000000003E-3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B367-D7BE-4A14-B662-7477992455C7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36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1.6000000000000001E-3</v>
      </c>
      <c r="C5" s="10">
        <v>1.0999999999999999E-2</v>
      </c>
      <c r="D5" s="10">
        <v>5.8999999999999997E-2</v>
      </c>
    </row>
    <row r="6" spans="1:4" ht="15" customHeight="1" x14ac:dyDescent="0.25">
      <c r="A6" s="9" t="s">
        <v>6</v>
      </c>
      <c r="B6" s="10">
        <v>3.8E-3</v>
      </c>
      <c r="C6" s="10">
        <v>2.4E-2</v>
      </c>
      <c r="D6" s="10">
        <v>0.13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8.3000000000000001E-4</v>
      </c>
      <c r="C8" s="10">
        <v>5.4999999999999997E-3</v>
      </c>
      <c r="D8" s="10">
        <v>2.8000000000000001E-2</v>
      </c>
    </row>
    <row r="9" spans="1:4" ht="15" customHeight="1" x14ac:dyDescent="0.25">
      <c r="A9" s="9" t="s">
        <v>15</v>
      </c>
      <c r="B9" s="10">
        <v>2.0999999999999999E-3</v>
      </c>
      <c r="C9" s="10">
        <v>1.2999999999999999E-2</v>
      </c>
      <c r="D9" s="10">
        <v>7.1999999999999995E-2</v>
      </c>
    </row>
    <row r="10" spans="1:4" ht="15" customHeight="1" x14ac:dyDescent="0.25">
      <c r="A10" s="9" t="s">
        <v>16</v>
      </c>
      <c r="B10" s="10">
        <v>2.5999999999999999E-2</v>
      </c>
      <c r="C10" s="10">
        <v>0.17</v>
      </c>
      <c r="D10" s="10">
        <v>0.91</v>
      </c>
    </row>
    <row r="11" spans="1:4" ht="15" customHeight="1" x14ac:dyDescent="0.25">
      <c r="A11" s="9" t="s">
        <v>17</v>
      </c>
      <c r="B11" s="10">
        <v>3.7999999999999999E-2</v>
      </c>
      <c r="C11" s="10">
        <v>0.24</v>
      </c>
      <c r="D11" s="10">
        <v>1.3</v>
      </c>
    </row>
    <row r="12" spans="1:4" ht="15" customHeight="1" x14ac:dyDescent="0.25">
      <c r="A12" s="9" t="s">
        <v>163</v>
      </c>
      <c r="B12" s="10">
        <v>1.1000000000000001</v>
      </c>
      <c r="C12" s="10">
        <v>7.2</v>
      </c>
      <c r="D12" s="10">
        <v>39</v>
      </c>
    </row>
    <row r="13" spans="1:4" ht="15" customHeight="1" x14ac:dyDescent="0.25">
      <c r="A13" s="9" t="s">
        <v>18</v>
      </c>
      <c r="B13" s="10">
        <v>0.19</v>
      </c>
      <c r="C13" s="10">
        <v>1.2</v>
      </c>
      <c r="D13" s="10">
        <v>6.5</v>
      </c>
    </row>
    <row r="14" spans="1:4" ht="15" customHeight="1" x14ac:dyDescent="0.25">
      <c r="A14" s="9" t="s">
        <v>19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5">
      <c r="A15" s="9" t="s">
        <v>20</v>
      </c>
      <c r="B15" s="10">
        <v>3.8000000000000002E-4</v>
      </c>
      <c r="C15" s="10">
        <v>2.5000000000000001E-3</v>
      </c>
      <c r="D15" s="10">
        <v>1.4E-2</v>
      </c>
    </row>
    <row r="16" spans="1:4" ht="15" customHeight="1" x14ac:dyDescent="0.25">
      <c r="A16" s="9" t="s">
        <v>21</v>
      </c>
      <c r="B16" s="10">
        <v>3.6000000000000002E-4</v>
      </c>
      <c r="C16" s="10">
        <v>2.5000000000000001E-3</v>
      </c>
      <c r="D16" s="10">
        <v>1.2999999999999999E-2</v>
      </c>
    </row>
    <row r="17" spans="1:4" ht="15" customHeight="1" x14ac:dyDescent="0.25">
      <c r="A17" s="9" t="s">
        <v>22</v>
      </c>
      <c r="B17" s="10">
        <v>1.5E-3</v>
      </c>
      <c r="C17" s="10">
        <v>0.01</v>
      </c>
      <c r="D17" s="10">
        <v>5.6000000000000001E-2</v>
      </c>
    </row>
    <row r="18" spans="1:4" ht="15" customHeight="1" x14ac:dyDescent="0.25">
      <c r="A18" s="18" t="s">
        <v>23</v>
      </c>
      <c r="B18" s="13">
        <v>1.6000000000000001E-4</v>
      </c>
      <c r="C18" s="13">
        <v>1.1000000000000001E-3</v>
      </c>
      <c r="D18" s="13">
        <v>6.0000000000000001E-3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F7F8-3CED-4E9D-8811-BA4E6FC26CB7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37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1.1999999999999999E-3</v>
      </c>
      <c r="C5" s="10">
        <v>9.7000000000000003E-3</v>
      </c>
      <c r="D5" s="10">
        <v>5.1999999999999998E-2</v>
      </c>
    </row>
    <row r="6" spans="1:4" ht="15" customHeight="1" x14ac:dyDescent="0.25">
      <c r="A6" s="9" t="s">
        <v>6</v>
      </c>
      <c r="B6" s="10">
        <v>2.7000000000000001E-3</v>
      </c>
      <c r="C6" s="10">
        <v>2.1999999999999999E-2</v>
      </c>
      <c r="D6" s="10">
        <v>0.12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6.4000000000000005E-4</v>
      </c>
      <c r="C8" s="10">
        <v>4.7000000000000002E-3</v>
      </c>
      <c r="D8" s="10">
        <v>2.5999999999999999E-2</v>
      </c>
    </row>
    <row r="9" spans="1:4" ht="15" customHeight="1" x14ac:dyDescent="0.25">
      <c r="A9" s="9" t="s">
        <v>15</v>
      </c>
      <c r="B9" s="10">
        <v>1.5E-3</v>
      </c>
      <c r="C9" s="10">
        <v>1.2E-2</v>
      </c>
      <c r="D9" s="10">
        <v>6.3E-2</v>
      </c>
    </row>
    <row r="10" spans="1:4" ht="15" customHeight="1" x14ac:dyDescent="0.25">
      <c r="A10" s="9" t="s">
        <v>16</v>
      </c>
      <c r="B10" s="10">
        <v>1.9E-2</v>
      </c>
      <c r="C10" s="10">
        <v>0.15</v>
      </c>
      <c r="D10" s="10">
        <v>0.8</v>
      </c>
    </row>
    <row r="11" spans="1:4" ht="15" customHeight="1" x14ac:dyDescent="0.25">
      <c r="A11" s="9" t="s">
        <v>17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5">
      <c r="A12" s="9" t="s">
        <v>163</v>
      </c>
      <c r="B12" s="10">
        <v>0.82</v>
      </c>
      <c r="C12" s="10">
        <v>6.4</v>
      </c>
      <c r="D12" s="10">
        <v>34</v>
      </c>
    </row>
    <row r="13" spans="1:4" ht="15" customHeight="1" x14ac:dyDescent="0.25">
      <c r="A13" s="9" t="s">
        <v>18</v>
      </c>
      <c r="B13" s="10">
        <v>0.14000000000000001</v>
      </c>
      <c r="C13" s="10">
        <v>1.1000000000000001</v>
      </c>
      <c r="D13" s="10">
        <v>5.7</v>
      </c>
    </row>
    <row r="14" spans="1:4" ht="15" customHeight="1" x14ac:dyDescent="0.25">
      <c r="A14" s="9" t="s">
        <v>19</v>
      </c>
      <c r="B14" s="10">
        <v>3.3000000000000002E-2</v>
      </c>
      <c r="C14" s="10">
        <v>0.25</v>
      </c>
      <c r="D14" s="10">
        <v>1.3</v>
      </c>
    </row>
    <row r="15" spans="1:4" ht="15" customHeight="1" x14ac:dyDescent="0.25">
      <c r="A15" s="9" t="s">
        <v>20</v>
      </c>
      <c r="B15" s="10">
        <v>2.7E-4</v>
      </c>
      <c r="C15" s="10">
        <v>2.3E-3</v>
      </c>
      <c r="D15" s="10">
        <v>1.2999999999999999E-2</v>
      </c>
    </row>
    <row r="16" spans="1:4" ht="15" customHeight="1" x14ac:dyDescent="0.25">
      <c r="A16" s="9" t="s">
        <v>21</v>
      </c>
      <c r="B16" s="10">
        <v>2.5999999999999998E-4</v>
      </c>
      <c r="C16" s="10">
        <v>2.3E-3</v>
      </c>
      <c r="D16" s="10">
        <v>1.2E-2</v>
      </c>
    </row>
    <row r="17" spans="1:4" ht="15" customHeight="1" x14ac:dyDescent="0.25">
      <c r="A17" s="9" t="s">
        <v>22</v>
      </c>
      <c r="B17" s="10">
        <v>1.1000000000000001E-3</v>
      </c>
      <c r="C17" s="10">
        <v>9.7999999999999997E-3</v>
      </c>
      <c r="D17" s="10">
        <v>5.3999999999999999E-2</v>
      </c>
    </row>
    <row r="18" spans="1:4" ht="15" customHeight="1" x14ac:dyDescent="0.25">
      <c r="A18" s="18" t="s">
        <v>23</v>
      </c>
      <c r="B18" s="13">
        <v>1.2E-4</v>
      </c>
      <c r="C18" s="13">
        <v>1.1000000000000001E-3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6888-297E-4AFB-A3BE-EE3F405B679C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38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7.5000000000000002E-4</v>
      </c>
      <c r="C5" s="10">
        <v>4.1000000000000003E-3</v>
      </c>
      <c r="D5" s="10">
        <v>0.01</v>
      </c>
    </row>
    <row r="6" spans="1:4" ht="15" customHeight="1" x14ac:dyDescent="0.25">
      <c r="A6" s="9" t="s">
        <v>6</v>
      </c>
      <c r="B6" s="10">
        <v>1.6999999999999999E-3</v>
      </c>
      <c r="C6" s="10">
        <v>9.4000000000000004E-3</v>
      </c>
      <c r="D6" s="10">
        <v>2.4E-2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3.5E-4</v>
      </c>
      <c r="C8" s="10">
        <v>1.9E-3</v>
      </c>
      <c r="D8" s="10">
        <v>4.3E-3</v>
      </c>
    </row>
    <row r="9" spans="1:4" ht="15" customHeight="1" x14ac:dyDescent="0.25">
      <c r="A9" s="9" t="s">
        <v>15</v>
      </c>
      <c r="B9" s="10">
        <v>9.6000000000000002E-4</v>
      </c>
      <c r="C9" s="10">
        <v>5.1000000000000004E-3</v>
      </c>
      <c r="D9" s="10">
        <v>1.2E-2</v>
      </c>
    </row>
    <row r="10" spans="1:4" ht="15" customHeight="1" x14ac:dyDescent="0.25">
      <c r="A10" s="9" t="s">
        <v>16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5">
      <c r="A11" s="9" t="s">
        <v>17</v>
      </c>
      <c r="B11" s="10">
        <v>1.7000000000000001E-2</v>
      </c>
      <c r="C11" s="10">
        <v>9.2999999999999999E-2</v>
      </c>
      <c r="D11" s="10">
        <v>0.22</v>
      </c>
    </row>
    <row r="12" spans="1:4" ht="15" customHeight="1" x14ac:dyDescent="0.25">
      <c r="A12" s="9" t="s">
        <v>163</v>
      </c>
      <c r="B12" s="10">
        <v>0.53</v>
      </c>
      <c r="C12" s="10">
        <v>2.8</v>
      </c>
      <c r="D12" s="10">
        <v>6.7</v>
      </c>
    </row>
    <row r="13" spans="1:4" ht="15" customHeight="1" x14ac:dyDescent="0.25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5">
      <c r="A14" s="9" t="s">
        <v>19</v>
      </c>
      <c r="B14" s="10">
        <v>0.02</v>
      </c>
      <c r="C14" s="10">
        <v>0.11</v>
      </c>
      <c r="D14" s="10">
        <v>0.26</v>
      </c>
    </row>
    <row r="15" spans="1:4" ht="15" customHeight="1" x14ac:dyDescent="0.25">
      <c r="A15" s="9" t="s">
        <v>20</v>
      </c>
      <c r="B15" s="10">
        <v>1.6000000000000001E-4</v>
      </c>
      <c r="C15" s="10">
        <v>9.2000000000000003E-4</v>
      </c>
      <c r="D15" s="10">
        <v>2.2000000000000001E-3</v>
      </c>
    </row>
    <row r="16" spans="1:4" ht="15" customHeight="1" x14ac:dyDescent="0.25">
      <c r="A16" s="9" t="s">
        <v>21</v>
      </c>
      <c r="B16" s="10">
        <v>1.4999999999999999E-4</v>
      </c>
      <c r="C16" s="10">
        <v>8.8000000000000003E-4</v>
      </c>
      <c r="D16" s="10">
        <v>2.0999999999999999E-3</v>
      </c>
    </row>
    <row r="17" spans="1:4" ht="15" customHeight="1" x14ac:dyDescent="0.25">
      <c r="A17" s="9" t="s">
        <v>22</v>
      </c>
      <c r="B17" s="10">
        <v>6.7000000000000002E-4</v>
      </c>
      <c r="C17" s="10">
        <v>3.8E-3</v>
      </c>
      <c r="D17" s="10">
        <v>9.5999999999999992E-3</v>
      </c>
    </row>
    <row r="18" spans="1:4" ht="15" customHeight="1" x14ac:dyDescent="0.25">
      <c r="A18" s="18" t="s">
        <v>23</v>
      </c>
      <c r="B18" s="13">
        <v>7.2000000000000002E-5</v>
      </c>
      <c r="C18" s="13">
        <v>4.0999999999999999E-4</v>
      </c>
      <c r="D18" s="13">
        <v>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3B8F-4773-43A3-8792-30489CDDFBD4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39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5.5000000000000003E-4</v>
      </c>
      <c r="C5" s="10">
        <v>5.4000000000000003E-3</v>
      </c>
      <c r="D5" s="10">
        <v>3.4000000000000002E-2</v>
      </c>
    </row>
    <row r="6" spans="1:4" ht="15" customHeight="1" x14ac:dyDescent="0.25">
      <c r="A6" s="9" t="s">
        <v>6</v>
      </c>
      <c r="B6" s="10">
        <v>1.2999999999999999E-3</v>
      </c>
      <c r="C6" s="10">
        <v>1.2E-2</v>
      </c>
      <c r="D6" s="10">
        <v>7.9000000000000001E-2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2.3000000000000001E-4</v>
      </c>
      <c r="C8" s="10">
        <v>2.3999999999999998E-3</v>
      </c>
      <c r="D8" s="10">
        <v>1.6E-2</v>
      </c>
    </row>
    <row r="9" spans="1:4" ht="15" customHeight="1" x14ac:dyDescent="0.25">
      <c r="A9" s="9" t="s">
        <v>15</v>
      </c>
      <c r="B9" s="10">
        <v>5.9999999999999995E-4</v>
      </c>
      <c r="C9" s="10">
        <v>6.3E-3</v>
      </c>
      <c r="D9" s="10">
        <v>0.04</v>
      </c>
    </row>
    <row r="10" spans="1:4" ht="15" customHeight="1" x14ac:dyDescent="0.25">
      <c r="A10" s="9" t="s">
        <v>16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5">
      <c r="A11" s="9" t="s">
        <v>17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5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5">
      <c r="A13" s="9" t="s">
        <v>18</v>
      </c>
      <c r="B13" s="10">
        <v>5.7000000000000002E-2</v>
      </c>
      <c r="C13" s="10">
        <v>0.57999999999999996</v>
      </c>
      <c r="D13" s="10">
        <v>3.7</v>
      </c>
    </row>
    <row r="14" spans="1:4" ht="15" customHeight="1" x14ac:dyDescent="0.25">
      <c r="A14" s="9" t="s">
        <v>19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5">
      <c r="A15" s="9" t="s">
        <v>20</v>
      </c>
      <c r="B15" s="10">
        <v>1.2E-4</v>
      </c>
      <c r="C15" s="10">
        <v>1.2999999999999999E-3</v>
      </c>
      <c r="D15" s="10">
        <v>8.0999999999999996E-3</v>
      </c>
    </row>
    <row r="16" spans="1:4" ht="15" customHeight="1" x14ac:dyDescent="0.25">
      <c r="A16" s="9" t="s">
        <v>21</v>
      </c>
      <c r="B16" s="10">
        <v>1.1E-4</v>
      </c>
      <c r="C16" s="10">
        <v>1.2999999999999999E-3</v>
      </c>
      <c r="D16" s="10">
        <v>7.9000000000000008E-3</v>
      </c>
    </row>
    <row r="17" spans="1:4" ht="15" customHeight="1" x14ac:dyDescent="0.25">
      <c r="A17" s="9" t="s">
        <v>22</v>
      </c>
      <c r="B17" s="10">
        <v>5.0000000000000001E-4</v>
      </c>
      <c r="C17" s="10">
        <v>5.4999999999999997E-3</v>
      </c>
      <c r="D17" s="10">
        <v>3.5000000000000003E-2</v>
      </c>
    </row>
    <row r="18" spans="1:4" ht="15" customHeight="1" x14ac:dyDescent="0.25">
      <c r="A18" s="18" t="s">
        <v>23</v>
      </c>
      <c r="B18" s="13">
        <v>5.3999999999999998E-5</v>
      </c>
      <c r="C18" s="13">
        <v>5.9000000000000003E-4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DCC2-4FED-427A-A75D-4E54B5C80527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40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1.6000000000000001E-3</v>
      </c>
      <c r="C5" s="10">
        <v>1.2E-2</v>
      </c>
      <c r="D5" s="10">
        <v>4.2999999999999997E-2</v>
      </c>
    </row>
    <row r="6" spans="1:4" ht="15" customHeight="1" x14ac:dyDescent="0.25">
      <c r="A6" s="9" t="s">
        <v>6</v>
      </c>
      <c r="B6" s="10">
        <v>3.5999999999999999E-3</v>
      </c>
      <c r="C6" s="10">
        <v>2.7E-2</v>
      </c>
      <c r="D6" s="10">
        <v>9.8000000000000004E-2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8.4999999999999995E-4</v>
      </c>
      <c r="C8" s="10">
        <v>6.0000000000000001E-3</v>
      </c>
      <c r="D8" s="10">
        <v>2.1999999999999999E-2</v>
      </c>
    </row>
    <row r="9" spans="1:4" ht="15" customHeight="1" x14ac:dyDescent="0.25">
      <c r="A9" s="9" t="s">
        <v>15</v>
      </c>
      <c r="B9" s="10">
        <v>2.3E-3</v>
      </c>
      <c r="C9" s="10">
        <v>1.6E-2</v>
      </c>
      <c r="D9" s="10">
        <v>6.0999999999999999E-2</v>
      </c>
    </row>
    <row r="10" spans="1:4" ht="15" customHeight="1" x14ac:dyDescent="0.25">
      <c r="A10" s="9" t="s">
        <v>16</v>
      </c>
      <c r="B10" s="10">
        <v>2.9000000000000001E-2</v>
      </c>
      <c r="C10" s="10">
        <v>0.21</v>
      </c>
      <c r="D10" s="10">
        <v>0.77</v>
      </c>
    </row>
    <row r="11" spans="1:4" ht="15" customHeight="1" x14ac:dyDescent="0.25">
      <c r="A11" s="9" t="s">
        <v>17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5">
      <c r="A12" s="9" t="s">
        <v>163</v>
      </c>
      <c r="B12" s="10">
        <v>1.2</v>
      </c>
      <c r="C12" s="10">
        <v>9.1999999999999993</v>
      </c>
      <c r="D12" s="10">
        <v>34</v>
      </c>
    </row>
    <row r="13" spans="1:4" ht="15" customHeight="1" x14ac:dyDescent="0.25">
      <c r="A13" s="9" t="s">
        <v>18</v>
      </c>
      <c r="B13" s="10">
        <v>0.21</v>
      </c>
      <c r="C13" s="10">
        <v>1.5</v>
      </c>
      <c r="D13" s="10">
        <v>5.7</v>
      </c>
    </row>
    <row r="14" spans="1:4" ht="15" customHeight="1" x14ac:dyDescent="0.25">
      <c r="A14" s="9" t="s">
        <v>19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5">
      <c r="A15" s="9" t="s">
        <v>20</v>
      </c>
      <c r="B15" s="10">
        <v>3.5E-4</v>
      </c>
      <c r="C15" s="10">
        <v>2.5999999999999999E-3</v>
      </c>
      <c r="D15" s="10">
        <v>9.5999999999999992E-3</v>
      </c>
    </row>
    <row r="16" spans="1:4" ht="15" customHeight="1" x14ac:dyDescent="0.25">
      <c r="A16" s="9" t="s">
        <v>21</v>
      </c>
      <c r="B16" s="10">
        <v>3.3E-4</v>
      </c>
      <c r="C16" s="10">
        <v>2.3999999999999998E-3</v>
      </c>
      <c r="D16" s="10">
        <v>8.8999999999999999E-3</v>
      </c>
    </row>
    <row r="17" spans="1:4" ht="15" customHeight="1" x14ac:dyDescent="0.25">
      <c r="A17" s="9" t="s">
        <v>22</v>
      </c>
      <c r="B17" s="10">
        <v>1.4E-3</v>
      </c>
      <c r="C17" s="10">
        <v>1.0999999999999999E-2</v>
      </c>
      <c r="D17" s="10">
        <v>3.9E-2</v>
      </c>
    </row>
    <row r="18" spans="1:4" ht="15" customHeight="1" x14ac:dyDescent="0.25">
      <c r="A18" s="18" t="s">
        <v>23</v>
      </c>
      <c r="B18" s="13">
        <v>1.6000000000000001E-4</v>
      </c>
      <c r="C18" s="13">
        <v>1.1000000000000001E-3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D357-2213-4A63-AAB3-3B4629B9178B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41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9.3000000000000005E-4</v>
      </c>
      <c r="C5" s="10">
        <v>5.7999999999999996E-3</v>
      </c>
      <c r="D5" s="10">
        <v>3.7999999999999999E-2</v>
      </c>
    </row>
    <row r="6" spans="1:4" ht="15" customHeight="1" x14ac:dyDescent="0.25">
      <c r="A6" s="15" t="s">
        <v>6</v>
      </c>
      <c r="B6" s="10">
        <v>2.0999999999999999E-3</v>
      </c>
      <c r="C6" s="10">
        <v>1.2999999999999999E-2</v>
      </c>
      <c r="D6" s="10">
        <v>8.6999999999999994E-2</v>
      </c>
    </row>
    <row r="7" spans="1:4" ht="15" customHeight="1" x14ac:dyDescent="0.25">
      <c r="A7" s="16" t="s">
        <v>7</v>
      </c>
      <c r="B7" s="17"/>
      <c r="C7" s="20"/>
      <c r="D7" s="14"/>
    </row>
    <row r="8" spans="1:4" ht="15" customHeight="1" x14ac:dyDescent="0.25">
      <c r="A8" s="9" t="s">
        <v>14</v>
      </c>
      <c r="B8" s="10">
        <v>5.1999999999999995E-4</v>
      </c>
      <c r="C8" s="10">
        <v>3.3999999999999998E-3</v>
      </c>
      <c r="D8" s="10">
        <v>2.1999999999999999E-2</v>
      </c>
    </row>
    <row r="9" spans="1:4" ht="15" customHeight="1" x14ac:dyDescent="0.25">
      <c r="A9" s="9" t="s">
        <v>15</v>
      </c>
      <c r="B9" s="10">
        <v>1.4E-3</v>
      </c>
      <c r="C9" s="10">
        <v>7.9000000000000008E-3</v>
      </c>
      <c r="D9" s="10">
        <v>5.3999999999999999E-2</v>
      </c>
    </row>
    <row r="10" spans="1:4" ht="15" customHeight="1" x14ac:dyDescent="0.25">
      <c r="A10" s="9" t="s">
        <v>16</v>
      </c>
      <c r="B10" s="10">
        <v>1.7000000000000001E-2</v>
      </c>
      <c r="C10" s="10">
        <v>0.1</v>
      </c>
      <c r="D10" s="10">
        <v>0.69</v>
      </c>
    </row>
    <row r="11" spans="1:4" ht="15" customHeight="1" x14ac:dyDescent="0.25">
      <c r="A11" s="9" t="s">
        <v>17</v>
      </c>
      <c r="B11" s="10">
        <v>2.5000000000000001E-2</v>
      </c>
      <c r="C11" s="10">
        <v>0.15</v>
      </c>
      <c r="D11" s="10">
        <v>0.99</v>
      </c>
    </row>
    <row r="12" spans="1:4" ht="15" customHeight="1" x14ac:dyDescent="0.25">
      <c r="A12" s="9" t="s">
        <v>163</v>
      </c>
      <c r="B12" s="10">
        <v>0.72</v>
      </c>
      <c r="C12" s="10">
        <v>4.4000000000000004</v>
      </c>
      <c r="D12" s="10">
        <v>30</v>
      </c>
    </row>
    <row r="13" spans="1:4" ht="15" customHeight="1" x14ac:dyDescent="0.25">
      <c r="A13" s="9" t="s">
        <v>18</v>
      </c>
      <c r="B13" s="10">
        <v>0.12</v>
      </c>
      <c r="C13" s="10">
        <v>0.74</v>
      </c>
      <c r="D13" s="10">
        <v>5.0999999999999996</v>
      </c>
    </row>
    <row r="14" spans="1:4" ht="15" customHeight="1" x14ac:dyDescent="0.25">
      <c r="A14" s="9" t="s">
        <v>19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5">
      <c r="A15" s="9" t="s">
        <v>20</v>
      </c>
      <c r="B15" s="10">
        <v>2.1000000000000001E-4</v>
      </c>
      <c r="C15" s="10">
        <v>1.4E-3</v>
      </c>
      <c r="D15" s="10">
        <v>9.1000000000000004E-3</v>
      </c>
    </row>
    <row r="16" spans="1:4" ht="15" customHeight="1" x14ac:dyDescent="0.25">
      <c r="A16" s="9" t="s">
        <v>21</v>
      </c>
      <c r="B16" s="10">
        <v>2.0000000000000001E-4</v>
      </c>
      <c r="C16" s="10">
        <v>1.2999999999999999E-3</v>
      </c>
      <c r="D16" s="10">
        <v>8.6E-3</v>
      </c>
    </row>
    <row r="17" spans="1:4" ht="15" customHeight="1" x14ac:dyDescent="0.25">
      <c r="A17" s="9" t="s">
        <v>22</v>
      </c>
      <c r="B17" s="10">
        <v>8.5999999999999998E-4</v>
      </c>
      <c r="C17" s="10">
        <v>5.4999999999999997E-3</v>
      </c>
      <c r="D17" s="10">
        <v>3.5999999999999997E-2</v>
      </c>
    </row>
    <row r="18" spans="1:4" ht="15" customHeight="1" x14ac:dyDescent="0.25">
      <c r="A18" s="18" t="s">
        <v>23</v>
      </c>
      <c r="B18" s="13">
        <v>9.2E-5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F75F-0F60-4AED-9F1C-00A1E83F8F61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42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7.6000000000000004E-4</v>
      </c>
      <c r="C5" s="10">
        <v>4.8999999999999998E-3</v>
      </c>
      <c r="D5" s="10">
        <v>3.1E-2</v>
      </c>
    </row>
    <row r="6" spans="1:4" ht="15" customHeight="1" x14ac:dyDescent="0.25">
      <c r="A6" s="9" t="s">
        <v>6</v>
      </c>
      <c r="B6" s="10">
        <v>1.6999999999999999E-3</v>
      </c>
      <c r="C6" s="10">
        <v>1.0999999999999999E-2</v>
      </c>
      <c r="D6" s="10">
        <v>7.1999999999999995E-2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4.0000000000000002E-4</v>
      </c>
      <c r="C8" s="10">
        <v>2.5999999999999999E-3</v>
      </c>
      <c r="D8" s="10">
        <v>1.7000000000000001E-2</v>
      </c>
    </row>
    <row r="9" spans="1:4" ht="15" customHeight="1" x14ac:dyDescent="0.25">
      <c r="A9" s="9" t="s">
        <v>15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5">
      <c r="A10" s="9" t="s">
        <v>16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5">
      <c r="A11" s="9" t="s">
        <v>17</v>
      </c>
      <c r="B11" s="10">
        <v>0.02</v>
      </c>
      <c r="C11" s="10">
        <v>0.12</v>
      </c>
      <c r="D11" s="10">
        <v>0.8</v>
      </c>
    </row>
    <row r="12" spans="1:4" ht="15" customHeight="1" x14ac:dyDescent="0.25">
      <c r="A12" s="9" t="s">
        <v>163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5">
      <c r="A13" s="9" t="s">
        <v>18</v>
      </c>
      <c r="B13" s="10">
        <v>9.6000000000000002E-2</v>
      </c>
      <c r="C13" s="10">
        <v>0.57999999999999996</v>
      </c>
      <c r="D13" s="10">
        <v>4</v>
      </c>
    </row>
    <row r="14" spans="1:4" ht="15" customHeight="1" x14ac:dyDescent="0.25">
      <c r="A14" s="9" t="s">
        <v>19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5">
      <c r="A15" s="9" t="s">
        <v>20</v>
      </c>
      <c r="B15" s="10">
        <v>1.7000000000000001E-4</v>
      </c>
      <c r="C15" s="10">
        <v>1.1999999999999999E-3</v>
      </c>
      <c r="D15" s="10">
        <v>7.6E-3</v>
      </c>
    </row>
    <row r="16" spans="1:4" ht="15" customHeight="1" x14ac:dyDescent="0.25">
      <c r="A16" s="9" t="s">
        <v>21</v>
      </c>
      <c r="B16" s="10">
        <v>1.7000000000000001E-4</v>
      </c>
      <c r="C16" s="10">
        <v>1.1000000000000001E-3</v>
      </c>
      <c r="D16" s="10">
        <v>7.1999999999999998E-3</v>
      </c>
    </row>
    <row r="17" spans="1:4" ht="15" customHeight="1" x14ac:dyDescent="0.25">
      <c r="A17" s="9" t="s">
        <v>22</v>
      </c>
      <c r="B17" s="10">
        <v>7.1000000000000002E-4</v>
      </c>
      <c r="C17" s="10">
        <v>4.7000000000000002E-3</v>
      </c>
      <c r="D17" s="10">
        <v>3.1E-2</v>
      </c>
    </row>
    <row r="18" spans="1:4" ht="15" customHeight="1" x14ac:dyDescent="0.25">
      <c r="A18" s="18" t="s">
        <v>23</v>
      </c>
      <c r="B18" s="13">
        <v>7.6000000000000004E-5</v>
      </c>
      <c r="C18" s="13">
        <v>5.1000000000000004E-4</v>
      </c>
      <c r="D18" s="13">
        <v>3.3E-3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9AB3-EC38-4D24-8D3C-3F31366FEB14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43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8.4000000000000003E-4</v>
      </c>
      <c r="C5" s="10">
        <v>9.5999999999999992E-3</v>
      </c>
      <c r="D5" s="10">
        <v>2.8000000000000001E-2</v>
      </c>
    </row>
    <row r="6" spans="1:4" ht="15" customHeight="1" x14ac:dyDescent="0.25">
      <c r="A6" s="9" t="s">
        <v>6</v>
      </c>
      <c r="B6" s="10">
        <v>1.9E-3</v>
      </c>
      <c r="C6" s="10">
        <v>2.1999999999999999E-2</v>
      </c>
      <c r="D6" s="10">
        <v>6.4000000000000001E-2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4.2999999999999999E-4</v>
      </c>
      <c r="C8" s="10">
        <v>5.1999999999999998E-3</v>
      </c>
      <c r="D8" s="10">
        <v>1.6E-2</v>
      </c>
    </row>
    <row r="9" spans="1:4" ht="15" customHeight="1" x14ac:dyDescent="0.25">
      <c r="A9" s="9" t="s">
        <v>15</v>
      </c>
      <c r="B9" s="10">
        <v>1.1999999999999999E-3</v>
      </c>
      <c r="C9" s="10">
        <v>1.7000000000000001E-2</v>
      </c>
      <c r="D9" s="10">
        <v>0.04</v>
      </c>
    </row>
    <row r="10" spans="1:4" ht="15" customHeight="1" x14ac:dyDescent="0.25">
      <c r="A10" s="9" t="s">
        <v>16</v>
      </c>
      <c r="B10" s="10">
        <v>1.6E-2</v>
      </c>
      <c r="C10" s="10">
        <v>0.22</v>
      </c>
      <c r="D10" s="10">
        <v>0.52</v>
      </c>
    </row>
    <row r="11" spans="1:4" ht="15" customHeight="1" x14ac:dyDescent="0.25">
      <c r="A11" s="9" t="s">
        <v>17</v>
      </c>
      <c r="B11" s="10">
        <v>2.1999999999999999E-2</v>
      </c>
      <c r="C11" s="10">
        <v>0.31</v>
      </c>
      <c r="D11" s="10">
        <v>0.74</v>
      </c>
    </row>
    <row r="12" spans="1:4" ht="15" customHeight="1" x14ac:dyDescent="0.25">
      <c r="A12" s="9" t="s">
        <v>163</v>
      </c>
      <c r="B12" s="10">
        <v>0.66</v>
      </c>
      <c r="C12" s="10">
        <v>9.6</v>
      </c>
      <c r="D12" s="10">
        <v>23</v>
      </c>
    </row>
    <row r="13" spans="1:4" ht="15" customHeight="1" x14ac:dyDescent="0.25">
      <c r="A13" s="9" t="s">
        <v>18</v>
      </c>
      <c r="B13" s="10">
        <v>0.11</v>
      </c>
      <c r="C13" s="10">
        <v>1.6</v>
      </c>
      <c r="D13" s="10">
        <v>3.9</v>
      </c>
    </row>
    <row r="14" spans="1:4" ht="15" customHeight="1" x14ac:dyDescent="0.25">
      <c r="A14" s="9" t="s">
        <v>19</v>
      </c>
      <c r="B14" s="10">
        <v>2.5999999999999999E-2</v>
      </c>
      <c r="C14" s="10">
        <v>0.37</v>
      </c>
      <c r="D14" s="10">
        <v>0.87</v>
      </c>
    </row>
    <row r="15" spans="1:4" ht="15" customHeight="1" x14ac:dyDescent="0.25">
      <c r="A15" s="9" t="s">
        <v>20</v>
      </c>
      <c r="B15" s="10">
        <v>2.0000000000000001E-4</v>
      </c>
      <c r="C15" s="10">
        <v>2.5000000000000001E-3</v>
      </c>
      <c r="D15" s="10">
        <v>6.7999999999999996E-3</v>
      </c>
    </row>
    <row r="16" spans="1:4" ht="15" customHeight="1" x14ac:dyDescent="0.25">
      <c r="A16" s="9" t="s">
        <v>21</v>
      </c>
      <c r="B16" s="10">
        <v>1.9000000000000001E-4</v>
      </c>
      <c r="C16" s="10">
        <v>2.2000000000000001E-3</v>
      </c>
      <c r="D16" s="10">
        <v>6.4000000000000003E-3</v>
      </c>
    </row>
    <row r="17" spans="1:4" ht="15" customHeight="1" x14ac:dyDescent="0.25">
      <c r="A17" s="9" t="s">
        <v>22</v>
      </c>
      <c r="B17" s="10">
        <v>8.0000000000000004E-4</v>
      </c>
      <c r="C17" s="10">
        <v>9.4999999999999998E-3</v>
      </c>
      <c r="D17" s="10">
        <v>2.7E-2</v>
      </c>
    </row>
    <row r="18" spans="1:4" ht="15" customHeight="1" x14ac:dyDescent="0.25">
      <c r="A18" s="18" t="s">
        <v>23</v>
      </c>
      <c r="B18" s="13">
        <v>8.6000000000000003E-5</v>
      </c>
      <c r="C18" s="13">
        <v>1E-3</v>
      </c>
      <c r="D18" s="13">
        <v>2.8999999999999998E-3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D342-6CF9-4A7E-BAB5-C302958F3E28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44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8.0000000000000004E-4</v>
      </c>
      <c r="C5" s="10">
        <v>5.1000000000000004E-3</v>
      </c>
      <c r="D5" s="10">
        <v>3.5999999999999997E-2</v>
      </c>
    </row>
    <row r="6" spans="1:4" ht="15" customHeight="1" x14ac:dyDescent="0.25">
      <c r="A6" s="9" t="s">
        <v>6</v>
      </c>
      <c r="B6" s="10">
        <v>1.8E-3</v>
      </c>
      <c r="C6" s="10">
        <v>1.2E-2</v>
      </c>
      <c r="D6" s="10">
        <v>8.3000000000000004E-2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4.4000000000000002E-4</v>
      </c>
      <c r="C8" s="10">
        <v>2.8E-3</v>
      </c>
      <c r="D8" s="10">
        <v>2.1999999999999999E-2</v>
      </c>
    </row>
    <row r="9" spans="1:4" ht="15" customHeight="1" x14ac:dyDescent="0.25">
      <c r="A9" s="9" t="s">
        <v>15</v>
      </c>
      <c r="B9" s="10">
        <v>1.1999999999999999E-3</v>
      </c>
      <c r="C9" s="10">
        <v>8.6999999999999994E-3</v>
      </c>
      <c r="D9" s="10">
        <v>5.2999999999999999E-2</v>
      </c>
    </row>
    <row r="10" spans="1:4" ht="15" customHeight="1" x14ac:dyDescent="0.25">
      <c r="A10" s="9" t="s">
        <v>16</v>
      </c>
      <c r="B10" s="10">
        <v>1.6E-2</v>
      </c>
      <c r="C10" s="10">
        <v>0.11</v>
      </c>
      <c r="D10" s="10">
        <v>0.68</v>
      </c>
    </row>
    <row r="11" spans="1:4" ht="15" customHeight="1" x14ac:dyDescent="0.25">
      <c r="A11" s="9" t="s">
        <v>17</v>
      </c>
      <c r="B11" s="10">
        <v>2.1999999999999999E-2</v>
      </c>
      <c r="C11" s="10">
        <v>0.16</v>
      </c>
      <c r="D11" s="10">
        <v>0.97</v>
      </c>
    </row>
    <row r="12" spans="1:4" ht="15" customHeight="1" x14ac:dyDescent="0.25">
      <c r="A12" s="9" t="s">
        <v>163</v>
      </c>
      <c r="B12" s="10">
        <v>0.65</v>
      </c>
      <c r="C12" s="10">
        <v>4.3</v>
      </c>
      <c r="D12" s="10">
        <v>30</v>
      </c>
    </row>
    <row r="13" spans="1:4" ht="15" customHeight="1" x14ac:dyDescent="0.25">
      <c r="A13" s="9" t="s">
        <v>18</v>
      </c>
      <c r="B13" s="10">
        <v>0.11</v>
      </c>
      <c r="C13" s="10">
        <v>0.73</v>
      </c>
      <c r="D13" s="10">
        <v>5</v>
      </c>
    </row>
    <row r="14" spans="1:4" ht="15" customHeight="1" x14ac:dyDescent="0.25">
      <c r="A14" s="9" t="s">
        <v>19</v>
      </c>
      <c r="B14" s="10">
        <v>2.5999999999999999E-2</v>
      </c>
      <c r="C14" s="10">
        <v>0.18</v>
      </c>
      <c r="D14" s="10">
        <v>1.1000000000000001</v>
      </c>
    </row>
    <row r="15" spans="1:4" ht="15" customHeight="1" x14ac:dyDescent="0.25">
      <c r="A15" s="9" t="s">
        <v>20</v>
      </c>
      <c r="B15" s="10">
        <v>1.9000000000000001E-4</v>
      </c>
      <c r="C15" s="10">
        <v>1.1000000000000001E-3</v>
      </c>
      <c r="D15" s="10">
        <v>8.8999999999999999E-3</v>
      </c>
    </row>
    <row r="16" spans="1:4" ht="15" customHeight="1" x14ac:dyDescent="0.25">
      <c r="A16" s="9" t="s">
        <v>21</v>
      </c>
      <c r="B16" s="10">
        <v>1.8000000000000001E-4</v>
      </c>
      <c r="C16" s="10">
        <v>1E-3</v>
      </c>
      <c r="D16" s="10">
        <v>8.3000000000000001E-3</v>
      </c>
    </row>
    <row r="17" spans="1:4" ht="15" customHeight="1" x14ac:dyDescent="0.25">
      <c r="A17" s="9" t="s">
        <v>22</v>
      </c>
      <c r="B17" s="10">
        <v>7.6000000000000004E-4</v>
      </c>
      <c r="C17" s="10">
        <v>4.4999999999999997E-3</v>
      </c>
      <c r="D17" s="10">
        <v>3.5000000000000003E-2</v>
      </c>
    </row>
    <row r="18" spans="1:4" ht="15" customHeight="1" x14ac:dyDescent="0.25">
      <c r="A18" s="18" t="s">
        <v>23</v>
      </c>
      <c r="B18" s="13">
        <v>8.2000000000000001E-5</v>
      </c>
      <c r="C18" s="13">
        <v>4.8999999999999998E-4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1797-D0DA-4CC6-862A-0C1CA7C13646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45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8.8999999999999995E-4</v>
      </c>
      <c r="C5" s="10">
        <v>2.3E-3</v>
      </c>
      <c r="D5" s="10">
        <v>4.2999999999999997E-2</v>
      </c>
    </row>
    <row r="6" spans="1:4" ht="15" customHeight="1" x14ac:dyDescent="0.25">
      <c r="A6" s="9" t="s">
        <v>6</v>
      </c>
      <c r="B6" s="10">
        <v>2E-3</v>
      </c>
      <c r="C6" s="10">
        <v>5.1999999999999998E-3</v>
      </c>
      <c r="D6" s="10">
        <v>9.7000000000000003E-2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4.8999999999999998E-4</v>
      </c>
      <c r="C8" s="10">
        <v>1.1999999999999999E-3</v>
      </c>
      <c r="D8" s="10">
        <v>2.5000000000000001E-2</v>
      </c>
    </row>
    <row r="9" spans="1:4" ht="15" customHeight="1" x14ac:dyDescent="0.25">
      <c r="A9" s="9" t="s">
        <v>15</v>
      </c>
      <c r="B9" s="10">
        <v>1.2999999999999999E-3</v>
      </c>
      <c r="C9" s="10">
        <v>3.8E-3</v>
      </c>
      <c r="D9" s="10">
        <v>6.4000000000000001E-2</v>
      </c>
    </row>
    <row r="10" spans="1:4" ht="15" customHeight="1" x14ac:dyDescent="0.25">
      <c r="A10" s="9" t="s">
        <v>16</v>
      </c>
      <c r="B10" s="10">
        <v>1.6E-2</v>
      </c>
      <c r="C10" s="10">
        <v>4.8000000000000001E-2</v>
      </c>
      <c r="D10" s="10">
        <v>0.81</v>
      </c>
    </row>
    <row r="11" spans="1:4" ht="15" customHeight="1" x14ac:dyDescent="0.25">
      <c r="A11" s="9" t="s">
        <v>17</v>
      </c>
      <c r="B11" s="10">
        <v>2.4E-2</v>
      </c>
      <c r="C11" s="10">
        <v>6.9000000000000006E-2</v>
      </c>
      <c r="D11" s="10">
        <v>1.2</v>
      </c>
    </row>
    <row r="12" spans="1:4" ht="15" customHeight="1" x14ac:dyDescent="0.25">
      <c r="A12" s="9" t="s">
        <v>163</v>
      </c>
      <c r="B12" s="10">
        <v>0.69</v>
      </c>
      <c r="C12" s="10">
        <v>1.9</v>
      </c>
      <c r="D12" s="10">
        <v>35</v>
      </c>
    </row>
    <row r="13" spans="1:4" ht="15" customHeight="1" x14ac:dyDescent="0.25">
      <c r="A13" s="9" t="s">
        <v>18</v>
      </c>
      <c r="B13" s="10">
        <v>0.12</v>
      </c>
      <c r="C13" s="10">
        <v>0.33</v>
      </c>
      <c r="D13" s="10">
        <v>5.9</v>
      </c>
    </row>
    <row r="14" spans="1:4" ht="15" customHeight="1" x14ac:dyDescent="0.25">
      <c r="A14" s="9" t="s">
        <v>19</v>
      </c>
      <c r="B14" s="10">
        <v>2.8000000000000001E-2</v>
      </c>
      <c r="C14" s="10">
        <v>8.1000000000000003E-2</v>
      </c>
      <c r="D14" s="10">
        <v>1.4</v>
      </c>
    </row>
    <row r="15" spans="1:4" ht="15" customHeight="1" x14ac:dyDescent="0.25">
      <c r="A15" s="9" t="s">
        <v>20</v>
      </c>
      <c r="B15" s="10">
        <v>2.1000000000000001E-4</v>
      </c>
      <c r="C15" s="10">
        <v>5.0000000000000001E-4</v>
      </c>
      <c r="D15" s="10">
        <v>0.01</v>
      </c>
    </row>
    <row r="16" spans="1:4" ht="15" customHeight="1" x14ac:dyDescent="0.25">
      <c r="A16" s="9" t="s">
        <v>21</v>
      </c>
      <c r="B16" s="10">
        <v>2.0000000000000001E-4</v>
      </c>
      <c r="C16" s="10">
        <v>4.8000000000000001E-4</v>
      </c>
      <c r="D16" s="10">
        <v>9.7999999999999997E-3</v>
      </c>
    </row>
    <row r="17" spans="1:4" ht="15" customHeight="1" x14ac:dyDescent="0.25">
      <c r="A17" s="9" t="s">
        <v>22</v>
      </c>
      <c r="B17" s="10">
        <v>8.4000000000000003E-4</v>
      </c>
      <c r="C17" s="10">
        <v>2E-3</v>
      </c>
      <c r="D17" s="10">
        <v>4.1000000000000002E-2</v>
      </c>
    </row>
    <row r="18" spans="1:4" ht="15" customHeight="1" x14ac:dyDescent="0.25">
      <c r="A18" s="18" t="s">
        <v>23</v>
      </c>
      <c r="B18" s="13">
        <v>9.1000000000000003E-5</v>
      </c>
      <c r="C18" s="13">
        <v>2.2000000000000001E-4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04B-56C2-4409-BE21-187E165E03E5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46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6.4999999999999997E-4</v>
      </c>
      <c r="C5" s="10">
        <v>4.4000000000000003E-3</v>
      </c>
      <c r="D5" s="10">
        <v>1.6E-2</v>
      </c>
    </row>
    <row r="6" spans="1:4" ht="15" customHeight="1" x14ac:dyDescent="0.25">
      <c r="A6" s="9" t="s">
        <v>6</v>
      </c>
      <c r="B6" s="10">
        <v>1.5E-3</v>
      </c>
      <c r="C6" s="10">
        <v>0.01</v>
      </c>
      <c r="D6" s="10">
        <v>3.5999999999999997E-2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3.2000000000000003E-4</v>
      </c>
      <c r="C8" s="10">
        <v>2.2000000000000001E-3</v>
      </c>
      <c r="D8" s="10">
        <v>8.8000000000000005E-3</v>
      </c>
    </row>
    <row r="9" spans="1:4" ht="15" customHeight="1" x14ac:dyDescent="0.25">
      <c r="A9" s="9" t="s">
        <v>15</v>
      </c>
      <c r="B9" s="10">
        <v>8.4999999999999995E-4</v>
      </c>
      <c r="C9" s="10">
        <v>5.4000000000000003E-3</v>
      </c>
      <c r="D9" s="10">
        <v>2.1000000000000001E-2</v>
      </c>
    </row>
    <row r="10" spans="1:4" ht="15" customHeight="1" x14ac:dyDescent="0.25">
      <c r="A10" s="9" t="s">
        <v>16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5">
      <c r="A11" s="9" t="s">
        <v>17</v>
      </c>
      <c r="B11" s="10">
        <v>1.6E-2</v>
      </c>
      <c r="C11" s="10">
        <v>0.1</v>
      </c>
      <c r="D11" s="10">
        <v>0.39</v>
      </c>
    </row>
    <row r="12" spans="1:4" ht="15" customHeight="1" x14ac:dyDescent="0.25">
      <c r="A12" s="9" t="s">
        <v>163</v>
      </c>
      <c r="B12" s="10">
        <v>0.45</v>
      </c>
      <c r="C12" s="10">
        <v>3</v>
      </c>
      <c r="D12" s="10">
        <v>12</v>
      </c>
    </row>
    <row r="13" spans="1:4" ht="15" customHeight="1" x14ac:dyDescent="0.25">
      <c r="A13" s="9" t="s">
        <v>18</v>
      </c>
      <c r="B13" s="10">
        <v>7.5999999999999998E-2</v>
      </c>
      <c r="C13" s="10">
        <v>0.5</v>
      </c>
      <c r="D13" s="10">
        <v>1.9</v>
      </c>
    </row>
    <row r="14" spans="1:4" ht="15" customHeight="1" x14ac:dyDescent="0.25">
      <c r="A14" s="9" t="s">
        <v>19</v>
      </c>
      <c r="B14" s="10">
        <v>1.7999999999999999E-2</v>
      </c>
      <c r="C14" s="10">
        <v>0.12</v>
      </c>
      <c r="D14" s="10">
        <v>0.45</v>
      </c>
    </row>
    <row r="15" spans="1:4" ht="15" customHeight="1" x14ac:dyDescent="0.25">
      <c r="A15" s="9" t="s">
        <v>20</v>
      </c>
      <c r="B15" s="10">
        <v>1.4999999999999999E-4</v>
      </c>
      <c r="C15" s="10">
        <v>1E-3</v>
      </c>
      <c r="D15" s="10">
        <v>3.7000000000000002E-3</v>
      </c>
    </row>
    <row r="16" spans="1:4" ht="15" customHeight="1" x14ac:dyDescent="0.25">
      <c r="A16" s="9" t="s">
        <v>21</v>
      </c>
      <c r="B16" s="10">
        <v>1.3999999999999999E-4</v>
      </c>
      <c r="C16" s="10">
        <v>1E-3</v>
      </c>
      <c r="D16" s="10">
        <v>3.5000000000000001E-3</v>
      </c>
    </row>
    <row r="17" spans="1:4" ht="15" customHeight="1" x14ac:dyDescent="0.25">
      <c r="A17" s="9" t="s">
        <v>22</v>
      </c>
      <c r="B17" s="10">
        <v>5.9999999999999995E-4</v>
      </c>
      <c r="C17" s="10">
        <v>4.1999999999999997E-3</v>
      </c>
      <c r="D17" s="10">
        <v>1.4999999999999999E-2</v>
      </c>
    </row>
    <row r="18" spans="1:4" ht="15" customHeight="1" x14ac:dyDescent="0.25">
      <c r="A18" s="18" t="s">
        <v>23</v>
      </c>
      <c r="B18" s="13">
        <v>6.3999999999999997E-5</v>
      </c>
      <c r="C18" s="13">
        <v>4.6000000000000001E-4</v>
      </c>
      <c r="D18" s="13">
        <v>1.6000000000000001E-3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3F4D-55B8-497D-9C95-FE4667991A44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47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2.1000000000000001E-4</v>
      </c>
      <c r="C5" s="10">
        <v>1.4E-3</v>
      </c>
      <c r="D5" s="10">
        <v>5.1999999999999998E-3</v>
      </c>
    </row>
    <row r="6" spans="1:4" ht="15" customHeight="1" x14ac:dyDescent="0.25">
      <c r="A6" s="9" t="s">
        <v>6</v>
      </c>
      <c r="B6" s="10">
        <v>4.8000000000000001E-4</v>
      </c>
      <c r="C6" s="10">
        <v>3.0999999999999999E-3</v>
      </c>
      <c r="D6" s="10">
        <v>1.2E-2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1.2999999999999999E-4</v>
      </c>
      <c r="C8" s="10">
        <v>7.6000000000000004E-4</v>
      </c>
      <c r="D8" s="10">
        <v>2.8999999999999998E-3</v>
      </c>
    </row>
    <row r="9" spans="1:4" ht="15" customHeight="1" x14ac:dyDescent="0.25">
      <c r="A9" s="9" t="s">
        <v>15</v>
      </c>
      <c r="B9" s="10">
        <v>3.6000000000000002E-4</v>
      </c>
      <c r="C9" s="10">
        <v>1.9E-3</v>
      </c>
      <c r="D9" s="10">
        <v>7.4999999999999997E-3</v>
      </c>
    </row>
    <row r="10" spans="1:4" ht="15" customHeight="1" x14ac:dyDescent="0.25">
      <c r="A10" s="9" t="s">
        <v>16</v>
      </c>
      <c r="B10" s="10">
        <v>4.5999999999999999E-3</v>
      </c>
      <c r="C10" s="10">
        <v>2.4E-2</v>
      </c>
      <c r="D10" s="10">
        <v>9.5000000000000001E-2</v>
      </c>
    </row>
    <row r="11" spans="1:4" ht="15" customHeight="1" x14ac:dyDescent="0.25">
      <c r="A11" s="9" t="s">
        <v>17</v>
      </c>
      <c r="B11" s="10">
        <v>6.6E-3</v>
      </c>
      <c r="C11" s="10">
        <v>3.4000000000000002E-2</v>
      </c>
      <c r="D11" s="10">
        <v>0.14000000000000001</v>
      </c>
    </row>
    <row r="12" spans="1:4" ht="15" customHeight="1" x14ac:dyDescent="0.25">
      <c r="A12" s="9" t="s">
        <v>163</v>
      </c>
      <c r="B12" s="10">
        <v>0.2</v>
      </c>
      <c r="C12" s="10">
        <v>1.1000000000000001</v>
      </c>
      <c r="D12" s="10">
        <v>4.3</v>
      </c>
    </row>
    <row r="13" spans="1:4" ht="15" customHeight="1" x14ac:dyDescent="0.25">
      <c r="A13" s="9" t="s">
        <v>18</v>
      </c>
      <c r="B13" s="10">
        <v>3.4000000000000002E-2</v>
      </c>
      <c r="C13" s="10">
        <v>0.18</v>
      </c>
      <c r="D13" s="10">
        <v>0.72</v>
      </c>
    </row>
    <row r="14" spans="1:4" ht="15" customHeight="1" x14ac:dyDescent="0.25">
      <c r="A14" s="9" t="s">
        <v>19</v>
      </c>
      <c r="B14" s="10">
        <v>7.7999999999999996E-3</v>
      </c>
      <c r="C14" s="10">
        <v>0.04</v>
      </c>
      <c r="D14" s="10">
        <v>0.16</v>
      </c>
    </row>
    <row r="15" spans="1:4" ht="15" customHeight="1" x14ac:dyDescent="0.25">
      <c r="A15" s="9" t="s">
        <v>20</v>
      </c>
      <c r="B15" s="10">
        <v>5.3999999999999998E-5</v>
      </c>
      <c r="C15" s="10">
        <v>3.4000000000000002E-4</v>
      </c>
      <c r="D15" s="10">
        <v>1.2999999999999999E-3</v>
      </c>
    </row>
    <row r="16" spans="1:4" ht="15" customHeight="1" x14ac:dyDescent="0.25">
      <c r="A16" s="9" t="s">
        <v>21</v>
      </c>
      <c r="B16" s="10">
        <v>5.0000000000000002E-5</v>
      </c>
      <c r="C16" s="10">
        <v>3.2000000000000003E-4</v>
      </c>
      <c r="D16" s="10">
        <v>1.1999999999999999E-3</v>
      </c>
    </row>
    <row r="17" spans="1:4" ht="15" customHeight="1" x14ac:dyDescent="0.25">
      <c r="A17" s="9" t="s">
        <v>22</v>
      </c>
      <c r="B17" s="10">
        <v>2.1000000000000001E-4</v>
      </c>
      <c r="C17" s="10">
        <v>1.2999999999999999E-3</v>
      </c>
      <c r="D17" s="10">
        <v>5.0000000000000001E-3</v>
      </c>
    </row>
    <row r="18" spans="1:4" ht="15" customHeight="1" x14ac:dyDescent="0.25">
      <c r="A18" s="18" t="s">
        <v>23</v>
      </c>
      <c r="B18" s="13">
        <v>2.3E-5</v>
      </c>
      <c r="C18" s="13">
        <v>1.3999999999999999E-4</v>
      </c>
      <c r="D18" s="13">
        <v>5.4000000000000001E-4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4A0E-10C6-4319-A8D5-B1EE3AA888EE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48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6.9999999999999999E-4</v>
      </c>
      <c r="C5" s="10">
        <v>5.4000000000000003E-3</v>
      </c>
      <c r="D5" s="10">
        <v>4.3999999999999997E-2</v>
      </c>
    </row>
    <row r="6" spans="1:4" ht="15" customHeight="1" x14ac:dyDescent="0.25">
      <c r="A6" s="9" t="s">
        <v>6</v>
      </c>
      <c r="B6" s="10">
        <v>1.6000000000000001E-3</v>
      </c>
      <c r="C6" s="10">
        <v>1.2E-2</v>
      </c>
      <c r="D6" s="10">
        <v>0.1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3.8000000000000002E-4</v>
      </c>
      <c r="C8" s="10">
        <v>2.8E-3</v>
      </c>
      <c r="D8" s="10">
        <v>2.3E-2</v>
      </c>
    </row>
    <row r="9" spans="1:4" ht="15" customHeight="1" x14ac:dyDescent="0.25">
      <c r="A9" s="9" t="s">
        <v>15</v>
      </c>
      <c r="B9" s="10">
        <v>9.6000000000000002E-4</v>
      </c>
      <c r="C9" s="10">
        <v>6.7999999999999996E-3</v>
      </c>
      <c r="D9" s="10">
        <v>6.4000000000000001E-2</v>
      </c>
    </row>
    <row r="10" spans="1:4" ht="15" customHeight="1" x14ac:dyDescent="0.25">
      <c r="A10" s="9" t="s">
        <v>16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5">
      <c r="A11" s="9" t="s">
        <v>17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5">
      <c r="A12" s="9" t="s">
        <v>163</v>
      </c>
      <c r="B12" s="10">
        <v>0.52</v>
      </c>
      <c r="C12" s="10">
        <v>3.7</v>
      </c>
      <c r="D12" s="10">
        <v>34</v>
      </c>
    </row>
    <row r="13" spans="1:4" ht="15" customHeight="1" x14ac:dyDescent="0.25">
      <c r="A13" s="9" t="s">
        <v>18</v>
      </c>
      <c r="B13" s="10">
        <v>8.7999999999999995E-2</v>
      </c>
      <c r="C13" s="10">
        <v>0.62</v>
      </c>
      <c r="D13" s="10">
        <v>5.7</v>
      </c>
    </row>
    <row r="14" spans="1:4" ht="15" customHeight="1" x14ac:dyDescent="0.25">
      <c r="A14" s="9" t="s">
        <v>19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5">
      <c r="A15" s="9" t="s">
        <v>20</v>
      </c>
      <c r="B15" s="10">
        <v>1.7000000000000001E-4</v>
      </c>
      <c r="C15" s="10">
        <v>1.2999999999999999E-3</v>
      </c>
      <c r="D15" s="10">
        <v>1.0999999999999999E-2</v>
      </c>
    </row>
    <row r="16" spans="1:4" ht="15" customHeight="1" x14ac:dyDescent="0.25">
      <c r="A16" s="9" t="s">
        <v>21</v>
      </c>
      <c r="B16" s="10">
        <v>1.6000000000000001E-4</v>
      </c>
      <c r="C16" s="10">
        <v>1.2999999999999999E-3</v>
      </c>
      <c r="D16" s="10">
        <v>9.9000000000000008E-3</v>
      </c>
    </row>
    <row r="17" spans="1:4" ht="15" customHeight="1" x14ac:dyDescent="0.25">
      <c r="A17" s="9" t="s">
        <v>22</v>
      </c>
      <c r="B17" s="10">
        <v>6.7000000000000002E-4</v>
      </c>
      <c r="C17" s="10">
        <v>5.3E-3</v>
      </c>
      <c r="D17" s="10">
        <v>4.3999999999999997E-2</v>
      </c>
    </row>
    <row r="18" spans="1:4" ht="15" customHeight="1" x14ac:dyDescent="0.25">
      <c r="A18" s="18" t="s">
        <v>23</v>
      </c>
      <c r="B18" s="13">
        <v>7.2000000000000002E-5</v>
      </c>
      <c r="C18" s="13">
        <v>5.6999999999999998E-4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EEC7-AF94-43AB-8D0F-03D0FC037BD5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49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4.6000000000000001E-4</v>
      </c>
      <c r="C5" s="10">
        <v>5.7000000000000002E-3</v>
      </c>
      <c r="D5" s="10">
        <v>1.9E-2</v>
      </c>
    </row>
    <row r="6" spans="1:4" ht="15" customHeight="1" x14ac:dyDescent="0.25">
      <c r="A6" s="9" t="s">
        <v>6</v>
      </c>
      <c r="B6" s="10">
        <v>1.1000000000000001E-3</v>
      </c>
      <c r="C6" s="10">
        <v>1.2999999999999999E-2</v>
      </c>
      <c r="D6" s="10">
        <v>4.2999999999999997E-2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2.4000000000000001E-4</v>
      </c>
      <c r="C8" s="10">
        <v>2.8E-3</v>
      </c>
      <c r="D8" s="10">
        <v>8.6E-3</v>
      </c>
    </row>
    <row r="9" spans="1:4" ht="15" customHeight="1" x14ac:dyDescent="0.25">
      <c r="A9" s="9" t="s">
        <v>15</v>
      </c>
      <c r="B9" s="10">
        <v>5.8E-4</v>
      </c>
      <c r="C9" s="10">
        <v>6.8999999999999999E-3</v>
      </c>
      <c r="D9" s="10">
        <v>2.3E-2</v>
      </c>
    </row>
    <row r="10" spans="1:4" ht="15" customHeight="1" x14ac:dyDescent="0.25">
      <c r="A10" s="9" t="s">
        <v>16</v>
      </c>
      <c r="B10" s="10">
        <v>7.4000000000000003E-3</v>
      </c>
      <c r="C10" s="10">
        <v>8.7999999999999995E-2</v>
      </c>
      <c r="D10" s="10">
        <v>0.28999999999999998</v>
      </c>
    </row>
    <row r="11" spans="1:4" ht="15" customHeight="1" x14ac:dyDescent="0.25">
      <c r="A11" s="9" t="s">
        <v>17</v>
      </c>
      <c r="B11" s="10">
        <v>1.0999999999999999E-2</v>
      </c>
      <c r="C11" s="10">
        <v>0.13</v>
      </c>
      <c r="D11" s="10">
        <v>0.42</v>
      </c>
    </row>
    <row r="12" spans="1:4" ht="15" customHeight="1" x14ac:dyDescent="0.25">
      <c r="A12" s="9" t="s">
        <v>163</v>
      </c>
      <c r="B12" s="10">
        <v>0.32</v>
      </c>
      <c r="C12" s="10">
        <v>3.8</v>
      </c>
      <c r="D12" s="10">
        <v>12</v>
      </c>
    </row>
    <row r="13" spans="1:4" ht="15" customHeight="1" x14ac:dyDescent="0.25">
      <c r="A13" s="9" t="s">
        <v>18</v>
      </c>
      <c r="B13" s="10">
        <v>5.3999999999999999E-2</v>
      </c>
      <c r="C13" s="10">
        <v>0.64</v>
      </c>
      <c r="D13" s="10">
        <v>2.1</v>
      </c>
    </row>
    <row r="14" spans="1:4" ht="15" customHeight="1" x14ac:dyDescent="0.25">
      <c r="A14" s="9" t="s">
        <v>19</v>
      </c>
      <c r="B14" s="10">
        <v>1.2E-2</v>
      </c>
      <c r="C14" s="10">
        <v>0.15</v>
      </c>
      <c r="D14" s="10">
        <v>0.48</v>
      </c>
    </row>
    <row r="15" spans="1:4" ht="15" customHeight="1" x14ac:dyDescent="0.25">
      <c r="A15" s="9" t="s">
        <v>20</v>
      </c>
      <c r="B15" s="10">
        <v>1.1E-4</v>
      </c>
      <c r="C15" s="10">
        <v>1.4E-3</v>
      </c>
      <c r="D15" s="10">
        <v>4.7000000000000002E-3</v>
      </c>
    </row>
    <row r="16" spans="1:4" ht="15" customHeight="1" x14ac:dyDescent="0.25">
      <c r="A16" s="9" t="s">
        <v>21</v>
      </c>
      <c r="B16" s="10">
        <v>1E-4</v>
      </c>
      <c r="C16" s="10">
        <v>1.4E-3</v>
      </c>
      <c r="D16" s="10">
        <v>4.4999999999999997E-3</v>
      </c>
    </row>
    <row r="17" spans="1:4" ht="15" customHeight="1" x14ac:dyDescent="0.25">
      <c r="A17" s="9" t="s">
        <v>22</v>
      </c>
      <c r="B17" s="10">
        <v>4.4000000000000002E-4</v>
      </c>
      <c r="C17" s="10">
        <v>5.7000000000000002E-3</v>
      </c>
      <c r="D17" s="10">
        <v>1.9E-2</v>
      </c>
    </row>
    <row r="18" spans="1:4" ht="15" customHeight="1" x14ac:dyDescent="0.25">
      <c r="A18" s="18" t="s">
        <v>23</v>
      </c>
      <c r="B18" s="13">
        <v>4.6999999999999997E-5</v>
      </c>
      <c r="C18" s="13">
        <v>6.2E-4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E6A1-3F60-4BD4-9687-A2D52E987FB7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8" t="s">
        <v>29</v>
      </c>
      <c r="B1" s="48"/>
      <c r="C1" s="48"/>
      <c r="D1" s="48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8.1999999999999998E-4</v>
      </c>
      <c r="C5" s="10">
        <v>8.2000000000000007E-3</v>
      </c>
      <c r="D5" s="10">
        <v>3.9E-2</v>
      </c>
    </row>
    <row r="6" spans="1:4" ht="15" customHeight="1" x14ac:dyDescent="0.25">
      <c r="A6" s="9" t="s">
        <v>6</v>
      </c>
      <c r="B6" s="10">
        <v>1.9E-3</v>
      </c>
      <c r="C6" s="10">
        <v>1.9E-2</v>
      </c>
      <c r="D6" s="10">
        <v>8.7999999999999995E-2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4.4000000000000002E-4</v>
      </c>
      <c r="C8" s="10">
        <v>4.4999999999999997E-3</v>
      </c>
      <c r="D8" s="10">
        <v>2.1999999999999999E-2</v>
      </c>
    </row>
    <row r="9" spans="1:4" ht="15" customHeight="1" x14ac:dyDescent="0.25">
      <c r="A9" s="9" t="s">
        <v>15</v>
      </c>
      <c r="B9" s="10">
        <v>1.1999999999999999E-3</v>
      </c>
      <c r="C9" s="10">
        <v>1.2E-2</v>
      </c>
      <c r="D9" s="10">
        <v>5.8999999999999997E-2</v>
      </c>
    </row>
    <row r="10" spans="1:4" ht="15" customHeight="1" x14ac:dyDescent="0.25">
      <c r="A10" s="9" t="s">
        <v>16</v>
      </c>
      <c r="B10" s="10">
        <v>1.6E-2</v>
      </c>
      <c r="C10" s="10">
        <v>0.16</v>
      </c>
      <c r="D10" s="10">
        <v>0.75</v>
      </c>
    </row>
    <row r="11" spans="1:4" ht="15" customHeight="1" x14ac:dyDescent="0.25">
      <c r="A11" s="9" t="s">
        <v>17</v>
      </c>
      <c r="B11" s="10">
        <v>2.3E-2</v>
      </c>
      <c r="C11" s="10">
        <v>0.22</v>
      </c>
      <c r="D11" s="10">
        <v>1.1000000000000001</v>
      </c>
    </row>
    <row r="12" spans="1:4" ht="15" customHeight="1" x14ac:dyDescent="0.25">
      <c r="A12" s="9" t="s">
        <v>163</v>
      </c>
      <c r="B12" s="10">
        <v>0.66</v>
      </c>
      <c r="C12" s="10">
        <v>6.7</v>
      </c>
      <c r="D12" s="10">
        <v>31</v>
      </c>
    </row>
    <row r="13" spans="1:4" ht="15" customHeight="1" x14ac:dyDescent="0.25">
      <c r="A13" s="9" t="s">
        <v>18</v>
      </c>
      <c r="B13" s="10">
        <v>0.11</v>
      </c>
      <c r="C13" s="10">
        <v>1.1000000000000001</v>
      </c>
      <c r="D13" s="10">
        <v>5.3</v>
      </c>
    </row>
    <row r="14" spans="1:4" ht="15" customHeight="1" x14ac:dyDescent="0.25">
      <c r="A14" s="9" t="s">
        <v>19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5">
      <c r="A15" s="9" t="s">
        <v>20</v>
      </c>
      <c r="B15" s="10">
        <v>2.0000000000000001E-4</v>
      </c>
      <c r="C15" s="10">
        <v>2.0999999999999999E-3</v>
      </c>
      <c r="D15" s="10">
        <v>9.4999999999999998E-3</v>
      </c>
    </row>
    <row r="16" spans="1:4" ht="15" customHeight="1" x14ac:dyDescent="0.25">
      <c r="A16" s="9" t="s">
        <v>21</v>
      </c>
      <c r="B16" s="10">
        <v>1.9000000000000001E-4</v>
      </c>
      <c r="C16" s="10">
        <v>2E-3</v>
      </c>
      <c r="D16" s="10">
        <v>8.8999999999999999E-3</v>
      </c>
    </row>
    <row r="17" spans="1:4" ht="15" customHeight="1" x14ac:dyDescent="0.25">
      <c r="A17" s="9" t="s">
        <v>22</v>
      </c>
      <c r="B17" s="10">
        <v>8.0000000000000004E-4</v>
      </c>
      <c r="C17" s="10">
        <v>8.2000000000000007E-3</v>
      </c>
      <c r="D17" s="10">
        <v>3.7999999999999999E-2</v>
      </c>
    </row>
    <row r="18" spans="1:4" ht="15" customHeight="1" x14ac:dyDescent="0.25">
      <c r="A18" s="18" t="s">
        <v>23</v>
      </c>
      <c r="B18" s="13">
        <v>8.7000000000000001E-5</v>
      </c>
      <c r="C18" s="13">
        <v>8.8999999999999995E-4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DE0-6663-4F97-A675-45578702863C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8" t="s">
        <v>28</v>
      </c>
      <c r="B1" s="48"/>
      <c r="C1" s="48"/>
      <c r="D1" s="48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1.2999999999999999E-3</v>
      </c>
      <c r="C5" s="10">
        <v>6.4000000000000003E-3</v>
      </c>
      <c r="D5" s="10">
        <v>5.6000000000000001E-2</v>
      </c>
    </row>
    <row r="6" spans="1:4" ht="15" customHeight="1" x14ac:dyDescent="0.25">
      <c r="A6" s="9" t="s">
        <v>6</v>
      </c>
      <c r="B6" s="10">
        <v>3.0000000000000001E-3</v>
      </c>
      <c r="C6" s="10">
        <v>1.4999999999999999E-2</v>
      </c>
      <c r="D6" s="10">
        <v>0.13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6.8999999999999997E-4</v>
      </c>
      <c r="C8" s="10">
        <v>3.0999999999999999E-3</v>
      </c>
      <c r="D8" s="10">
        <v>2.5000000000000001E-2</v>
      </c>
    </row>
    <row r="9" spans="1:4" ht="15" customHeight="1" x14ac:dyDescent="0.25">
      <c r="A9" s="9" t="s">
        <v>15</v>
      </c>
      <c r="B9" s="10">
        <v>1.6000000000000001E-3</v>
      </c>
      <c r="C9" s="10">
        <v>7.6E-3</v>
      </c>
      <c r="D9" s="10">
        <v>6.2E-2</v>
      </c>
    </row>
    <row r="10" spans="1:4" ht="15" customHeight="1" x14ac:dyDescent="0.25">
      <c r="A10" s="9" t="s">
        <v>16</v>
      </c>
      <c r="B10" s="10">
        <v>0.02</v>
      </c>
      <c r="C10" s="10">
        <v>9.6000000000000002E-2</v>
      </c>
      <c r="D10" s="10">
        <v>0.8</v>
      </c>
    </row>
    <row r="11" spans="1:4" ht="15" customHeight="1" x14ac:dyDescent="0.25">
      <c r="A11" s="9" t="s">
        <v>17</v>
      </c>
      <c r="B11" s="10">
        <v>2.8000000000000001E-2</v>
      </c>
      <c r="C11" s="10">
        <v>0.14000000000000001</v>
      </c>
      <c r="D11" s="10">
        <v>1.1000000000000001</v>
      </c>
    </row>
    <row r="12" spans="1:4" ht="15" customHeight="1" x14ac:dyDescent="0.25">
      <c r="A12" s="9" t="s">
        <v>163</v>
      </c>
      <c r="B12" s="10">
        <v>0.87</v>
      </c>
      <c r="C12" s="10">
        <v>4.2</v>
      </c>
      <c r="D12" s="10">
        <v>34</v>
      </c>
    </row>
    <row r="13" spans="1:4" ht="15" customHeight="1" x14ac:dyDescent="0.25">
      <c r="A13" s="9" t="s">
        <v>18</v>
      </c>
      <c r="B13" s="10">
        <v>0.15</v>
      </c>
      <c r="C13" s="10">
        <v>0.7</v>
      </c>
      <c r="D13" s="10">
        <v>5.8</v>
      </c>
    </row>
    <row r="14" spans="1:4" ht="15" customHeight="1" x14ac:dyDescent="0.25">
      <c r="A14" s="9" t="s">
        <v>19</v>
      </c>
      <c r="B14" s="10">
        <v>3.3000000000000002E-2</v>
      </c>
      <c r="C14" s="10">
        <v>0.16</v>
      </c>
      <c r="D14" s="10">
        <v>1.3</v>
      </c>
    </row>
    <row r="15" spans="1:4" ht="15" customHeight="1" x14ac:dyDescent="0.25">
      <c r="A15" s="9" t="s">
        <v>20</v>
      </c>
      <c r="B15" s="10">
        <v>3.1E-4</v>
      </c>
      <c r="C15" s="10">
        <v>1.6000000000000001E-3</v>
      </c>
      <c r="D15" s="10">
        <v>1.2999999999999999E-2</v>
      </c>
    </row>
    <row r="16" spans="1:4" ht="15" customHeight="1" x14ac:dyDescent="0.25">
      <c r="A16" s="9" t="s">
        <v>21</v>
      </c>
      <c r="B16" s="10">
        <v>2.9999999999999997E-4</v>
      </c>
      <c r="C16" s="10">
        <v>1.6000000000000001E-3</v>
      </c>
      <c r="D16" s="10">
        <v>1.2999999999999999E-2</v>
      </c>
    </row>
    <row r="17" spans="1:4" ht="15" customHeight="1" x14ac:dyDescent="0.25">
      <c r="A17" s="9" t="s">
        <v>22</v>
      </c>
      <c r="B17" s="10">
        <v>1.1999999999999999E-3</v>
      </c>
      <c r="C17" s="10">
        <v>6.4999999999999997E-3</v>
      </c>
      <c r="D17" s="10">
        <v>5.3999999999999999E-2</v>
      </c>
    </row>
    <row r="18" spans="1:4" ht="15" customHeight="1" x14ac:dyDescent="0.25">
      <c r="A18" s="18" t="s">
        <v>23</v>
      </c>
      <c r="B18" s="13">
        <v>1.2999999999999999E-4</v>
      </c>
      <c r="C18" s="13">
        <v>6.9999999999999999E-4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79FA-B898-4241-B083-BBAECFF03B43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50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2E-3</v>
      </c>
      <c r="C5" s="10">
        <v>0.05</v>
      </c>
      <c r="D5" s="10">
        <v>6.2E-2</v>
      </c>
    </row>
    <row r="6" spans="1:4" ht="15" customHeight="1" x14ac:dyDescent="0.25">
      <c r="A6" s="9" t="s">
        <v>6</v>
      </c>
      <c r="B6" s="10">
        <v>4.5999999999999999E-3</v>
      </c>
      <c r="C6" s="10">
        <v>0.11</v>
      </c>
      <c r="D6" s="10">
        <v>0.14000000000000001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1.1000000000000001E-3</v>
      </c>
      <c r="C8" s="10">
        <v>2.4E-2</v>
      </c>
      <c r="D8" s="10">
        <v>0.03</v>
      </c>
    </row>
    <row r="9" spans="1:4" ht="15" customHeight="1" x14ac:dyDescent="0.25">
      <c r="A9" s="9" t="s">
        <v>15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5">
      <c r="A10" s="9" t="s">
        <v>16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5">
      <c r="A11" s="9" t="s">
        <v>17</v>
      </c>
      <c r="B11" s="10">
        <v>5.5E-2</v>
      </c>
      <c r="C11" s="10">
        <v>1.1000000000000001</v>
      </c>
      <c r="D11" s="10">
        <v>1.5</v>
      </c>
    </row>
    <row r="12" spans="1:4" ht="15" customHeight="1" x14ac:dyDescent="0.25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5">
      <c r="A13" s="9" t="s">
        <v>18</v>
      </c>
      <c r="B13" s="10">
        <v>0.27</v>
      </c>
      <c r="C13" s="10">
        <v>5.9</v>
      </c>
      <c r="D13" s="10">
        <v>7.6</v>
      </c>
    </row>
    <row r="14" spans="1:4" ht="15" customHeight="1" x14ac:dyDescent="0.25">
      <c r="A14" s="9" t="s">
        <v>19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5">
      <c r="A15" s="9" t="s">
        <v>20</v>
      </c>
      <c r="B15" s="10">
        <v>5.1000000000000004E-4</v>
      </c>
      <c r="C15" s="10">
        <v>1.2E-2</v>
      </c>
      <c r="D15" s="10">
        <v>1.4999999999999999E-2</v>
      </c>
    </row>
    <row r="16" spans="1:4" ht="15" customHeight="1" x14ac:dyDescent="0.25">
      <c r="A16" s="9" t="s">
        <v>21</v>
      </c>
      <c r="B16" s="10">
        <v>4.8000000000000001E-4</v>
      </c>
      <c r="C16" s="10">
        <v>1.2E-2</v>
      </c>
      <c r="D16" s="10">
        <v>1.4999999999999999E-2</v>
      </c>
    </row>
    <row r="17" spans="1:4" ht="15" customHeight="1" x14ac:dyDescent="0.25">
      <c r="A17" s="9" t="s">
        <v>22</v>
      </c>
      <c r="B17" s="10">
        <v>2E-3</v>
      </c>
      <c r="C17" s="10">
        <v>0.05</v>
      </c>
      <c r="D17" s="10">
        <v>6.3E-2</v>
      </c>
    </row>
    <row r="18" spans="1:4" ht="15" customHeight="1" x14ac:dyDescent="0.25">
      <c r="A18" s="18" t="s">
        <v>23</v>
      </c>
      <c r="B18" s="13">
        <v>2.2000000000000001E-4</v>
      </c>
      <c r="C18" s="13">
        <v>5.4000000000000003E-3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A423-63AF-43BE-AE10-9D4726FDC396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51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1.6999999999999999E-3</v>
      </c>
      <c r="C5" s="10">
        <v>1.0999999999999999E-2</v>
      </c>
      <c r="D5" s="10">
        <v>5.8999999999999997E-2</v>
      </c>
    </row>
    <row r="6" spans="1:4" ht="15" customHeight="1" x14ac:dyDescent="0.25">
      <c r="A6" s="9" t="s">
        <v>6</v>
      </c>
      <c r="B6" s="10">
        <v>3.8E-3</v>
      </c>
      <c r="C6" s="10">
        <v>2.4E-2</v>
      </c>
      <c r="D6" s="10">
        <v>0.14000000000000001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8.4000000000000003E-4</v>
      </c>
      <c r="C8" s="10">
        <v>5.5999999999999999E-3</v>
      </c>
      <c r="D8" s="10">
        <v>2.9000000000000001E-2</v>
      </c>
    </row>
    <row r="9" spans="1:4" ht="15" customHeight="1" x14ac:dyDescent="0.25">
      <c r="A9" s="9" t="s">
        <v>15</v>
      </c>
      <c r="B9" s="10">
        <v>2.0999999999999999E-3</v>
      </c>
      <c r="C9" s="10">
        <v>1.2999999999999999E-2</v>
      </c>
      <c r="D9" s="10">
        <v>7.0999999999999994E-2</v>
      </c>
    </row>
    <row r="10" spans="1:4" ht="15" customHeight="1" x14ac:dyDescent="0.25">
      <c r="A10" s="9" t="s">
        <v>16</v>
      </c>
      <c r="B10" s="10">
        <v>2.5999999999999999E-2</v>
      </c>
      <c r="C10" s="10">
        <v>0.17</v>
      </c>
      <c r="D10" s="10">
        <v>0.9</v>
      </c>
    </row>
    <row r="11" spans="1:4" ht="15" customHeight="1" x14ac:dyDescent="0.25">
      <c r="A11" s="9" t="s">
        <v>17</v>
      </c>
      <c r="B11" s="10">
        <v>3.6999999999999998E-2</v>
      </c>
      <c r="C11" s="10">
        <v>0.24</v>
      </c>
      <c r="D11" s="10">
        <v>1.3</v>
      </c>
    </row>
    <row r="12" spans="1:4" ht="15" customHeight="1" x14ac:dyDescent="0.25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5">
      <c r="A13" s="9" t="s">
        <v>18</v>
      </c>
      <c r="B13" s="10">
        <v>0.19</v>
      </c>
      <c r="C13" s="10">
        <v>1.2</v>
      </c>
      <c r="D13" s="10">
        <v>6.5</v>
      </c>
    </row>
    <row r="14" spans="1:4" ht="15" customHeight="1" x14ac:dyDescent="0.25">
      <c r="A14" s="9" t="s">
        <v>19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5">
      <c r="A15" s="9" t="s">
        <v>20</v>
      </c>
      <c r="B15" s="10">
        <v>4.0000000000000002E-4</v>
      </c>
      <c r="C15" s="10">
        <v>2.7000000000000001E-3</v>
      </c>
      <c r="D15" s="10">
        <v>1.4999999999999999E-2</v>
      </c>
    </row>
    <row r="16" spans="1:4" ht="15" customHeight="1" x14ac:dyDescent="0.25">
      <c r="A16" s="9" t="s">
        <v>21</v>
      </c>
      <c r="B16" s="10">
        <v>3.8999999999999999E-4</v>
      </c>
      <c r="C16" s="10">
        <v>2.5999999999999999E-3</v>
      </c>
      <c r="D16" s="10">
        <v>1.4E-2</v>
      </c>
    </row>
    <row r="17" spans="1:4" ht="15" customHeight="1" x14ac:dyDescent="0.25">
      <c r="A17" s="9" t="s">
        <v>22</v>
      </c>
      <c r="B17" s="10">
        <v>1.6000000000000001E-3</v>
      </c>
      <c r="C17" s="10">
        <v>1.0999999999999999E-2</v>
      </c>
      <c r="D17" s="10">
        <v>5.8999999999999997E-2</v>
      </c>
    </row>
    <row r="18" spans="1:4" ht="15" customHeight="1" x14ac:dyDescent="0.25">
      <c r="A18" s="18" t="s">
        <v>23</v>
      </c>
      <c r="B18" s="13">
        <v>1.7000000000000001E-4</v>
      </c>
      <c r="C18" s="13">
        <v>1.1999999999999999E-3</v>
      </c>
      <c r="D18" s="13">
        <v>6.3E-3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8F10-4E87-4BCE-B58F-FA55D39CA19E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52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1.1999999999999999E-3</v>
      </c>
      <c r="C5" s="10">
        <v>9.9000000000000008E-3</v>
      </c>
      <c r="D5" s="10">
        <v>5.2999999999999999E-2</v>
      </c>
    </row>
    <row r="6" spans="1:4" ht="15" customHeight="1" x14ac:dyDescent="0.25">
      <c r="A6" s="9" t="s">
        <v>6</v>
      </c>
      <c r="B6" s="10">
        <v>2.7000000000000001E-3</v>
      </c>
      <c r="C6" s="10">
        <v>2.3E-2</v>
      </c>
      <c r="D6" s="10">
        <v>0.12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6.4999999999999997E-4</v>
      </c>
      <c r="C8" s="10">
        <v>4.7999999999999996E-3</v>
      </c>
      <c r="D8" s="10">
        <v>2.5999999999999999E-2</v>
      </c>
    </row>
    <row r="9" spans="1:4" ht="15" customHeight="1" x14ac:dyDescent="0.25">
      <c r="A9" s="9" t="s">
        <v>15</v>
      </c>
      <c r="B9" s="10">
        <v>1.5E-3</v>
      </c>
      <c r="C9" s="10">
        <v>1.2E-2</v>
      </c>
      <c r="D9" s="10">
        <v>6.3E-2</v>
      </c>
    </row>
    <row r="10" spans="1:4" ht="15" customHeight="1" x14ac:dyDescent="0.25">
      <c r="A10" s="9" t="s">
        <v>16</v>
      </c>
      <c r="B10" s="10">
        <v>1.9E-2</v>
      </c>
      <c r="C10" s="10">
        <v>0.15</v>
      </c>
      <c r="D10" s="10">
        <v>0.8</v>
      </c>
    </row>
    <row r="11" spans="1:4" ht="15" customHeight="1" x14ac:dyDescent="0.25">
      <c r="A11" s="9" t="s">
        <v>17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5">
      <c r="A12" s="9" t="s">
        <v>163</v>
      </c>
      <c r="B12" s="10">
        <v>0.83</v>
      </c>
      <c r="C12" s="10">
        <v>6.5</v>
      </c>
      <c r="D12" s="10">
        <v>34</v>
      </c>
    </row>
    <row r="13" spans="1:4" ht="15" customHeight="1" x14ac:dyDescent="0.25">
      <c r="A13" s="9" t="s">
        <v>18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5">
      <c r="A14" s="9" t="s">
        <v>19</v>
      </c>
      <c r="B14" s="10">
        <v>3.2000000000000001E-2</v>
      </c>
      <c r="C14" s="10">
        <v>0.25</v>
      </c>
      <c r="D14" s="10">
        <v>1.3</v>
      </c>
    </row>
    <row r="15" spans="1:4" ht="15" customHeight="1" x14ac:dyDescent="0.25">
      <c r="A15" s="9" t="s">
        <v>20</v>
      </c>
      <c r="B15" s="10">
        <v>2.9E-4</v>
      </c>
      <c r="C15" s="10">
        <v>2.5000000000000001E-3</v>
      </c>
      <c r="D15" s="10">
        <v>1.2999999999999999E-2</v>
      </c>
    </row>
    <row r="16" spans="1:4" ht="15" customHeight="1" x14ac:dyDescent="0.25">
      <c r="A16" s="9" t="s">
        <v>21</v>
      </c>
      <c r="B16" s="10">
        <v>2.7999999999999998E-4</v>
      </c>
      <c r="C16" s="10">
        <v>2.3999999999999998E-3</v>
      </c>
      <c r="D16" s="10">
        <v>1.2999999999999999E-2</v>
      </c>
    </row>
    <row r="17" spans="1:4" ht="15" customHeight="1" x14ac:dyDescent="0.25">
      <c r="A17" s="9" t="s">
        <v>22</v>
      </c>
      <c r="B17" s="10">
        <v>1.1999999999999999E-3</v>
      </c>
      <c r="C17" s="10">
        <v>0.01</v>
      </c>
      <c r="D17" s="10">
        <v>5.7000000000000002E-2</v>
      </c>
    </row>
    <row r="18" spans="1:4" ht="15" customHeight="1" x14ac:dyDescent="0.25">
      <c r="A18" s="18" t="s">
        <v>23</v>
      </c>
      <c r="B18" s="13">
        <v>1.2E-4</v>
      </c>
      <c r="C18" s="13">
        <v>1.1000000000000001E-3</v>
      </c>
      <c r="D18" s="13">
        <v>6.1999999999999998E-3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3D7E-9387-4529-9A1C-6ABE77322109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53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7.6999999999999996E-4</v>
      </c>
      <c r="C5" s="10">
        <v>4.1999999999999997E-3</v>
      </c>
      <c r="D5" s="10">
        <v>1.0999999999999999E-2</v>
      </c>
    </row>
    <row r="6" spans="1:4" ht="15" customHeight="1" x14ac:dyDescent="0.25">
      <c r="A6" s="9" t="s">
        <v>6</v>
      </c>
      <c r="B6" s="10">
        <v>1.8E-3</v>
      </c>
      <c r="C6" s="10">
        <v>9.5999999999999992E-3</v>
      </c>
      <c r="D6" s="10">
        <v>2.4E-2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3.6000000000000002E-4</v>
      </c>
      <c r="C8" s="10">
        <v>2E-3</v>
      </c>
      <c r="D8" s="10">
        <v>4.4000000000000003E-3</v>
      </c>
    </row>
    <row r="9" spans="1:4" ht="15" customHeight="1" x14ac:dyDescent="0.25">
      <c r="A9" s="9" t="s">
        <v>15</v>
      </c>
      <c r="B9" s="10">
        <v>9.5E-4</v>
      </c>
      <c r="C9" s="10">
        <v>5.1000000000000004E-3</v>
      </c>
      <c r="D9" s="10">
        <v>1.2E-2</v>
      </c>
    </row>
    <row r="10" spans="1:4" ht="15" customHeight="1" x14ac:dyDescent="0.25">
      <c r="A10" s="9" t="s">
        <v>16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5">
      <c r="A11" s="9" t="s">
        <v>17</v>
      </c>
      <c r="B11" s="10">
        <v>1.7000000000000001E-2</v>
      </c>
      <c r="C11" s="10">
        <v>9.1999999999999998E-2</v>
      </c>
      <c r="D11" s="10">
        <v>0.22</v>
      </c>
    </row>
    <row r="12" spans="1:4" ht="15" customHeight="1" x14ac:dyDescent="0.25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5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5">
      <c r="A14" s="9" t="s">
        <v>19</v>
      </c>
      <c r="B14" s="10">
        <v>0.02</v>
      </c>
      <c r="C14" s="10">
        <v>0.11</v>
      </c>
      <c r="D14" s="10">
        <v>0.26</v>
      </c>
    </row>
    <row r="15" spans="1:4" ht="15" customHeight="1" x14ac:dyDescent="0.25">
      <c r="A15" s="9" t="s">
        <v>20</v>
      </c>
      <c r="B15" s="10">
        <v>1.7000000000000001E-4</v>
      </c>
      <c r="C15" s="10">
        <v>9.8999999999999999E-4</v>
      </c>
      <c r="D15" s="10">
        <v>2.3999999999999998E-3</v>
      </c>
    </row>
    <row r="16" spans="1:4" ht="15" customHeight="1" x14ac:dyDescent="0.25">
      <c r="A16" s="9" t="s">
        <v>21</v>
      </c>
      <c r="B16" s="10">
        <v>1.6000000000000001E-4</v>
      </c>
      <c r="C16" s="10">
        <v>9.5E-4</v>
      </c>
      <c r="D16" s="10">
        <v>2.3E-3</v>
      </c>
    </row>
    <row r="17" spans="1:4" ht="15" customHeight="1" x14ac:dyDescent="0.25">
      <c r="A17" s="9" t="s">
        <v>22</v>
      </c>
      <c r="B17" s="10">
        <v>7.1000000000000002E-4</v>
      </c>
      <c r="C17" s="10">
        <v>4.1000000000000003E-3</v>
      </c>
      <c r="D17" s="10">
        <v>0.01</v>
      </c>
    </row>
    <row r="18" spans="1:4" ht="15" customHeight="1" x14ac:dyDescent="0.25">
      <c r="A18" s="18" t="s">
        <v>23</v>
      </c>
      <c r="B18" s="13">
        <v>7.6000000000000004E-5</v>
      </c>
      <c r="C18" s="13">
        <v>4.4000000000000002E-4</v>
      </c>
      <c r="D18" s="13">
        <v>1.1000000000000001E-3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E921-76AE-442F-BA84-627DDA229032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54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5.5999999999999995E-4</v>
      </c>
      <c r="C5" s="10">
        <v>5.5999999999999999E-3</v>
      </c>
      <c r="D5" s="10">
        <v>3.5000000000000003E-2</v>
      </c>
    </row>
    <row r="6" spans="1:4" ht="15" customHeight="1" x14ac:dyDescent="0.25">
      <c r="A6" s="9" t="s">
        <v>6</v>
      </c>
      <c r="B6" s="10">
        <v>1.2999999999999999E-3</v>
      </c>
      <c r="C6" s="10">
        <v>1.2999999999999999E-2</v>
      </c>
      <c r="D6" s="10">
        <v>0.08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2.3000000000000001E-4</v>
      </c>
      <c r="C8" s="10">
        <v>2.5000000000000001E-3</v>
      </c>
      <c r="D8" s="10">
        <v>1.6E-2</v>
      </c>
    </row>
    <row r="9" spans="1:4" ht="15" customHeight="1" x14ac:dyDescent="0.25">
      <c r="A9" s="9" t="s">
        <v>15</v>
      </c>
      <c r="B9" s="10">
        <v>5.9999999999999995E-4</v>
      </c>
      <c r="C9" s="10">
        <v>6.4000000000000003E-3</v>
      </c>
      <c r="D9" s="10">
        <v>0.04</v>
      </c>
    </row>
    <row r="10" spans="1:4" ht="15" customHeight="1" x14ac:dyDescent="0.25">
      <c r="A10" s="9" t="s">
        <v>16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5">
      <c r="A11" s="9" t="s">
        <v>17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5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5">
      <c r="A13" s="9" t="s">
        <v>18</v>
      </c>
      <c r="B13" s="10">
        <v>5.8000000000000003E-2</v>
      </c>
      <c r="C13" s="10">
        <v>0.59</v>
      </c>
      <c r="D13" s="10">
        <v>3.7</v>
      </c>
    </row>
    <row r="14" spans="1:4" ht="15" customHeight="1" x14ac:dyDescent="0.25">
      <c r="A14" s="9" t="s">
        <v>19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5">
      <c r="A15" s="9" t="s">
        <v>20</v>
      </c>
      <c r="B15" s="10">
        <v>1.2999999999999999E-4</v>
      </c>
      <c r="C15" s="10">
        <v>1.4E-3</v>
      </c>
      <c r="D15" s="10">
        <v>8.6E-3</v>
      </c>
    </row>
    <row r="16" spans="1:4" ht="15" customHeight="1" x14ac:dyDescent="0.25">
      <c r="A16" s="9" t="s">
        <v>21</v>
      </c>
      <c r="B16" s="10">
        <v>1.2E-4</v>
      </c>
      <c r="C16" s="10">
        <v>1.4E-3</v>
      </c>
      <c r="D16" s="10">
        <v>8.5000000000000006E-3</v>
      </c>
    </row>
    <row r="17" spans="1:4" ht="15" customHeight="1" x14ac:dyDescent="0.25">
      <c r="A17" s="9" t="s">
        <v>22</v>
      </c>
      <c r="B17" s="10">
        <v>5.2999999999999998E-4</v>
      </c>
      <c r="C17" s="10">
        <v>5.8999999999999999E-3</v>
      </c>
      <c r="D17" s="10">
        <v>3.6999999999999998E-2</v>
      </c>
    </row>
    <row r="18" spans="1:4" ht="15" customHeight="1" x14ac:dyDescent="0.25">
      <c r="A18" s="18" t="s">
        <v>23</v>
      </c>
      <c r="B18" s="13">
        <v>5.8E-5</v>
      </c>
      <c r="C18" s="13">
        <v>6.3000000000000003E-4</v>
      </c>
      <c r="D18" s="13">
        <v>4.0000000000000001E-3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2C81-7A2F-492C-8781-77F4BE3C2215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55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1.6000000000000001E-3</v>
      </c>
      <c r="C5" s="10">
        <v>1.2E-2</v>
      </c>
      <c r="D5" s="10">
        <v>4.4999999999999998E-2</v>
      </c>
    </row>
    <row r="6" spans="1:4" ht="15" customHeight="1" x14ac:dyDescent="0.25">
      <c r="A6" s="9" t="s">
        <v>6</v>
      </c>
      <c r="B6" s="10">
        <v>3.7000000000000002E-3</v>
      </c>
      <c r="C6" s="10">
        <v>2.8000000000000001E-2</v>
      </c>
      <c r="D6" s="10">
        <v>0.1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8.7000000000000001E-4</v>
      </c>
      <c r="C8" s="10">
        <v>6.1999999999999998E-3</v>
      </c>
      <c r="D8" s="10">
        <v>2.3E-2</v>
      </c>
    </row>
    <row r="9" spans="1:4" ht="15" customHeight="1" x14ac:dyDescent="0.25">
      <c r="A9" s="9" t="s">
        <v>15</v>
      </c>
      <c r="B9" s="10">
        <v>2.3E-3</v>
      </c>
      <c r="C9" s="10">
        <v>1.7000000000000001E-2</v>
      </c>
      <c r="D9" s="10">
        <v>6.0999999999999999E-2</v>
      </c>
    </row>
    <row r="10" spans="1:4" ht="15" customHeight="1" x14ac:dyDescent="0.25">
      <c r="A10" s="9" t="s">
        <v>16</v>
      </c>
      <c r="B10" s="10">
        <v>2.9000000000000001E-2</v>
      </c>
      <c r="C10" s="10">
        <v>0.21</v>
      </c>
      <c r="D10" s="10">
        <v>0.78</v>
      </c>
    </row>
    <row r="11" spans="1:4" ht="15" customHeight="1" x14ac:dyDescent="0.25">
      <c r="A11" s="9" t="s">
        <v>17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5">
      <c r="A12" s="9" t="s">
        <v>163</v>
      </c>
      <c r="B12" s="10">
        <v>1.2</v>
      </c>
      <c r="C12" s="10">
        <v>9.3000000000000007</v>
      </c>
      <c r="D12" s="10">
        <v>34</v>
      </c>
    </row>
    <row r="13" spans="1:4" ht="15" customHeight="1" x14ac:dyDescent="0.25">
      <c r="A13" s="9" t="s">
        <v>18</v>
      </c>
      <c r="B13" s="10">
        <v>0.21</v>
      </c>
      <c r="C13" s="10">
        <v>1.6</v>
      </c>
      <c r="D13" s="10">
        <v>5.8</v>
      </c>
    </row>
    <row r="14" spans="1:4" ht="15" customHeight="1" x14ac:dyDescent="0.25">
      <c r="A14" s="9" t="s">
        <v>19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5">
      <c r="A15" s="9" t="s">
        <v>20</v>
      </c>
      <c r="B15" s="10">
        <v>3.8000000000000002E-4</v>
      </c>
      <c r="C15" s="10">
        <v>2.8E-3</v>
      </c>
      <c r="D15" s="10">
        <v>0.01</v>
      </c>
    </row>
    <row r="16" spans="1:4" ht="15" customHeight="1" x14ac:dyDescent="0.25">
      <c r="A16" s="9" t="s">
        <v>21</v>
      </c>
      <c r="B16" s="10">
        <v>3.5E-4</v>
      </c>
      <c r="C16" s="10">
        <v>2.5999999999999999E-3</v>
      </c>
      <c r="D16" s="10">
        <v>9.7000000000000003E-3</v>
      </c>
    </row>
    <row r="17" spans="1:4" ht="15" customHeight="1" x14ac:dyDescent="0.25">
      <c r="A17" s="9" t="s">
        <v>22</v>
      </c>
      <c r="B17" s="10">
        <v>1.6000000000000001E-3</v>
      </c>
      <c r="C17" s="10">
        <v>1.2E-2</v>
      </c>
      <c r="D17" s="10">
        <v>4.2999999999999997E-2</v>
      </c>
    </row>
    <row r="18" spans="1:4" ht="15" customHeight="1" x14ac:dyDescent="0.25">
      <c r="A18" s="18" t="s">
        <v>23</v>
      </c>
      <c r="B18" s="13">
        <v>1.7000000000000001E-4</v>
      </c>
      <c r="C18" s="13">
        <v>1.1999999999999999E-3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5B9B-737E-4036-9A34-00BB9A711582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56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9.5E-4</v>
      </c>
      <c r="C5" s="10">
        <v>6.0000000000000001E-3</v>
      </c>
      <c r="D5" s="10">
        <v>0.04</v>
      </c>
    </row>
    <row r="6" spans="1:4" ht="15" customHeight="1" x14ac:dyDescent="0.25">
      <c r="A6" s="9" t="s">
        <v>6</v>
      </c>
      <c r="B6" s="10">
        <v>2.2000000000000001E-3</v>
      </c>
      <c r="C6" s="10">
        <v>1.4E-2</v>
      </c>
      <c r="D6" s="10">
        <v>0.09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5.2999999999999998E-4</v>
      </c>
      <c r="C8" s="10">
        <v>3.5000000000000001E-3</v>
      </c>
      <c r="D8" s="10">
        <v>2.3E-2</v>
      </c>
    </row>
    <row r="9" spans="1:4" ht="15" customHeight="1" x14ac:dyDescent="0.25">
      <c r="A9" s="9" t="s">
        <v>15</v>
      </c>
      <c r="B9" s="10">
        <v>1.4E-3</v>
      </c>
      <c r="C9" s="10">
        <v>8.0000000000000002E-3</v>
      </c>
      <c r="D9" s="10">
        <v>5.3999999999999999E-2</v>
      </c>
    </row>
    <row r="10" spans="1:4" ht="15" customHeight="1" x14ac:dyDescent="0.25">
      <c r="A10" s="9" t="s">
        <v>16</v>
      </c>
      <c r="B10" s="10">
        <v>1.7000000000000001E-2</v>
      </c>
      <c r="C10" s="10">
        <v>0.1</v>
      </c>
      <c r="D10" s="10">
        <v>0.7</v>
      </c>
    </row>
    <row r="11" spans="1:4" ht="15" customHeight="1" x14ac:dyDescent="0.25">
      <c r="A11" s="9" t="s">
        <v>17</v>
      </c>
      <c r="B11" s="10">
        <v>2.5000000000000001E-2</v>
      </c>
      <c r="C11" s="10">
        <v>0.15</v>
      </c>
      <c r="D11" s="10">
        <v>1</v>
      </c>
    </row>
    <row r="12" spans="1:4" ht="15" customHeight="1" x14ac:dyDescent="0.25">
      <c r="A12" s="9" t="s">
        <v>163</v>
      </c>
      <c r="B12" s="10">
        <v>0.73</v>
      </c>
      <c r="C12" s="10">
        <v>4.5</v>
      </c>
      <c r="D12" s="10">
        <v>30</v>
      </c>
    </row>
    <row r="13" spans="1:4" ht="15" customHeight="1" x14ac:dyDescent="0.25">
      <c r="A13" s="9" t="s">
        <v>18</v>
      </c>
      <c r="B13" s="10">
        <v>0.12</v>
      </c>
      <c r="C13" s="10">
        <v>0.76</v>
      </c>
      <c r="D13" s="10">
        <v>5.2</v>
      </c>
    </row>
    <row r="14" spans="1:4" ht="15" customHeight="1" x14ac:dyDescent="0.25">
      <c r="A14" s="9" t="s">
        <v>19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5">
      <c r="A15" s="9" t="s">
        <v>20</v>
      </c>
      <c r="B15" s="10">
        <v>2.3000000000000001E-4</v>
      </c>
      <c r="C15" s="10">
        <v>1.5E-3</v>
      </c>
      <c r="D15" s="10">
        <v>9.7999999999999997E-3</v>
      </c>
    </row>
    <row r="16" spans="1:4" ht="15" customHeight="1" x14ac:dyDescent="0.25">
      <c r="A16" s="9" t="s">
        <v>21</v>
      </c>
      <c r="B16" s="10">
        <v>2.2000000000000001E-4</v>
      </c>
      <c r="C16" s="10">
        <v>1.5E-3</v>
      </c>
      <c r="D16" s="10">
        <v>9.4000000000000004E-3</v>
      </c>
    </row>
    <row r="17" spans="1:4" ht="15" customHeight="1" x14ac:dyDescent="0.25">
      <c r="A17" s="9" t="s">
        <v>22</v>
      </c>
      <c r="B17" s="10">
        <v>9.2000000000000003E-4</v>
      </c>
      <c r="C17" s="10">
        <v>6.0000000000000001E-3</v>
      </c>
      <c r="D17" s="10">
        <v>3.9E-2</v>
      </c>
    </row>
    <row r="18" spans="1:4" ht="15" customHeight="1" x14ac:dyDescent="0.25">
      <c r="A18" s="18" t="s">
        <v>23</v>
      </c>
      <c r="B18" s="13">
        <v>9.8999999999999994E-5</v>
      </c>
      <c r="C18" s="13">
        <v>6.4999999999999997E-4</v>
      </c>
      <c r="D18" s="13">
        <v>4.1999999999999997E-3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25BF-DED2-4181-8117-A6AB59B5AD20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57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7.7999999999999999E-4</v>
      </c>
      <c r="C5" s="10">
        <v>5.0000000000000001E-3</v>
      </c>
      <c r="D5" s="10">
        <v>3.3000000000000002E-2</v>
      </c>
    </row>
    <row r="6" spans="1:4" ht="15" customHeight="1" x14ac:dyDescent="0.25">
      <c r="A6" s="9" t="s">
        <v>6</v>
      </c>
      <c r="B6" s="10">
        <v>1.8E-3</v>
      </c>
      <c r="C6" s="10">
        <v>1.0999999999999999E-2</v>
      </c>
      <c r="D6" s="10">
        <v>7.3999999999999996E-2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4.0999999999999999E-4</v>
      </c>
      <c r="C8" s="10">
        <v>2.7000000000000001E-3</v>
      </c>
      <c r="D8" s="10">
        <v>1.7000000000000001E-2</v>
      </c>
    </row>
    <row r="9" spans="1:4" ht="15" customHeight="1" x14ac:dyDescent="0.25">
      <c r="A9" s="9" t="s">
        <v>15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5">
      <c r="A10" s="9" t="s">
        <v>16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5">
      <c r="A11" s="9" t="s">
        <v>17</v>
      </c>
      <c r="B11" s="10">
        <v>0.02</v>
      </c>
      <c r="C11" s="10">
        <v>0.12</v>
      </c>
      <c r="D11" s="10">
        <v>0.81</v>
      </c>
    </row>
    <row r="12" spans="1:4" ht="15" customHeight="1" x14ac:dyDescent="0.25">
      <c r="A12" s="9" t="s">
        <v>163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5">
      <c r="A13" s="9" t="s">
        <v>18</v>
      </c>
      <c r="B13" s="10">
        <v>9.7000000000000003E-2</v>
      </c>
      <c r="C13" s="10">
        <v>0.59</v>
      </c>
      <c r="D13" s="10">
        <v>4.0999999999999996</v>
      </c>
    </row>
    <row r="14" spans="1:4" ht="15" customHeight="1" x14ac:dyDescent="0.25">
      <c r="A14" s="9" t="s">
        <v>19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5">
      <c r="A15" s="9" t="s">
        <v>20</v>
      </c>
      <c r="B15" s="10">
        <v>1.9000000000000001E-4</v>
      </c>
      <c r="C15" s="10">
        <v>1.2999999999999999E-3</v>
      </c>
      <c r="D15" s="10">
        <v>8.2000000000000007E-3</v>
      </c>
    </row>
    <row r="16" spans="1:4" ht="15" customHeight="1" x14ac:dyDescent="0.25">
      <c r="A16" s="9" t="s">
        <v>21</v>
      </c>
      <c r="B16" s="10">
        <v>1.8000000000000001E-4</v>
      </c>
      <c r="C16" s="10">
        <v>1.1999999999999999E-3</v>
      </c>
      <c r="D16" s="10">
        <v>7.9000000000000008E-3</v>
      </c>
    </row>
    <row r="17" spans="1:4" ht="15" customHeight="1" x14ac:dyDescent="0.25">
      <c r="A17" s="9" t="s">
        <v>22</v>
      </c>
      <c r="B17" s="10">
        <v>7.5000000000000002E-4</v>
      </c>
      <c r="C17" s="10">
        <v>5.1000000000000004E-3</v>
      </c>
      <c r="D17" s="10">
        <v>3.3000000000000002E-2</v>
      </c>
    </row>
    <row r="18" spans="1:4" ht="15" customHeight="1" x14ac:dyDescent="0.25">
      <c r="A18" s="18" t="s">
        <v>23</v>
      </c>
      <c r="B18" s="13">
        <v>8.1000000000000004E-5</v>
      </c>
      <c r="C18" s="13">
        <v>5.5000000000000003E-4</v>
      </c>
      <c r="D18" s="13">
        <v>3.5999999999999999E-3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EBE1-2766-4145-9CAC-0BB5BF083376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58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8.5999999999999998E-4</v>
      </c>
      <c r="C5" s="10">
        <v>0.01</v>
      </c>
      <c r="D5" s="10">
        <v>2.9000000000000001E-2</v>
      </c>
    </row>
    <row r="6" spans="1:4" ht="15" customHeight="1" x14ac:dyDescent="0.25">
      <c r="A6" s="9" t="s">
        <v>6</v>
      </c>
      <c r="B6" s="10">
        <v>2E-3</v>
      </c>
      <c r="C6" s="10">
        <v>2.3E-2</v>
      </c>
      <c r="D6" s="10">
        <v>6.7000000000000004E-2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4.4999999999999999E-4</v>
      </c>
      <c r="C8" s="10">
        <v>5.4000000000000003E-3</v>
      </c>
      <c r="D8" s="10">
        <v>1.6E-2</v>
      </c>
    </row>
    <row r="9" spans="1:4" ht="15" customHeight="1" x14ac:dyDescent="0.25">
      <c r="A9" s="9" t="s">
        <v>15</v>
      </c>
      <c r="B9" s="10">
        <v>1.1999999999999999E-3</v>
      </c>
      <c r="C9" s="10">
        <v>1.7999999999999999E-2</v>
      </c>
      <c r="D9" s="10">
        <v>4.1000000000000002E-2</v>
      </c>
    </row>
    <row r="10" spans="1:4" ht="15" customHeight="1" x14ac:dyDescent="0.25">
      <c r="A10" s="9" t="s">
        <v>16</v>
      </c>
      <c r="B10" s="10">
        <v>1.6E-2</v>
      </c>
      <c r="C10" s="10">
        <v>0.22</v>
      </c>
      <c r="D10" s="10">
        <v>0.52</v>
      </c>
    </row>
    <row r="11" spans="1:4" ht="15" customHeight="1" x14ac:dyDescent="0.25">
      <c r="A11" s="9" t="s">
        <v>17</v>
      </c>
      <c r="B11" s="10">
        <v>2.1999999999999999E-2</v>
      </c>
      <c r="C11" s="10">
        <v>0.32</v>
      </c>
      <c r="D11" s="10">
        <v>0.75</v>
      </c>
    </row>
    <row r="12" spans="1:4" ht="15" customHeight="1" x14ac:dyDescent="0.25">
      <c r="A12" s="9" t="s">
        <v>163</v>
      </c>
      <c r="B12" s="10">
        <v>0.67</v>
      </c>
      <c r="C12" s="10">
        <v>9.8000000000000007</v>
      </c>
      <c r="D12" s="10">
        <v>23</v>
      </c>
    </row>
    <row r="13" spans="1:4" ht="15" customHeight="1" x14ac:dyDescent="0.25">
      <c r="A13" s="9" t="s">
        <v>18</v>
      </c>
      <c r="B13" s="10">
        <v>0.11</v>
      </c>
      <c r="C13" s="10">
        <v>1.7</v>
      </c>
      <c r="D13" s="10">
        <v>3.9</v>
      </c>
    </row>
    <row r="14" spans="1:4" ht="15" customHeight="1" x14ac:dyDescent="0.25">
      <c r="A14" s="9" t="s">
        <v>19</v>
      </c>
      <c r="B14" s="10">
        <v>2.5999999999999999E-2</v>
      </c>
      <c r="C14" s="10">
        <v>0.37</v>
      </c>
      <c r="D14" s="10">
        <v>0.88</v>
      </c>
    </row>
    <row r="15" spans="1:4" ht="15" customHeight="1" x14ac:dyDescent="0.25">
      <c r="A15" s="9" t="s">
        <v>20</v>
      </c>
      <c r="B15" s="10">
        <v>2.1000000000000001E-4</v>
      </c>
      <c r="C15" s="10">
        <v>2.7000000000000001E-3</v>
      </c>
      <c r="D15" s="10">
        <v>7.3000000000000001E-3</v>
      </c>
    </row>
    <row r="16" spans="1:4" ht="15" customHeight="1" x14ac:dyDescent="0.25">
      <c r="A16" s="9" t="s">
        <v>21</v>
      </c>
      <c r="B16" s="10">
        <v>2.0000000000000001E-4</v>
      </c>
      <c r="C16" s="10">
        <v>2.5000000000000001E-3</v>
      </c>
      <c r="D16" s="10">
        <v>7.0000000000000001E-3</v>
      </c>
    </row>
    <row r="17" spans="1:4" ht="15" customHeight="1" x14ac:dyDescent="0.25">
      <c r="A17" s="9" t="s">
        <v>22</v>
      </c>
      <c r="B17" s="10">
        <v>8.5999999999999998E-4</v>
      </c>
      <c r="C17" s="10">
        <v>0.01</v>
      </c>
      <c r="D17" s="10">
        <v>2.9000000000000001E-2</v>
      </c>
    </row>
    <row r="18" spans="1:4" ht="15" customHeight="1" x14ac:dyDescent="0.25">
      <c r="A18" s="18" t="s">
        <v>23</v>
      </c>
      <c r="B18" s="13">
        <v>9.2E-5</v>
      </c>
      <c r="C18" s="13">
        <v>1.1000000000000001E-3</v>
      </c>
      <c r="D18" s="13">
        <v>3.0999999999999999E-3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CD5F-0113-4E0F-8D49-FD80D66ECCBB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59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8.1999999999999998E-4</v>
      </c>
      <c r="C5" s="10">
        <v>5.4000000000000003E-3</v>
      </c>
      <c r="D5" s="10">
        <v>3.7999999999999999E-2</v>
      </c>
    </row>
    <row r="6" spans="1:4" ht="15" customHeight="1" x14ac:dyDescent="0.25">
      <c r="A6" s="9" t="s">
        <v>6</v>
      </c>
      <c r="B6" s="10">
        <v>1.9E-3</v>
      </c>
      <c r="C6" s="10">
        <v>1.2E-2</v>
      </c>
      <c r="D6" s="10">
        <v>8.5999999999999993E-2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4.4999999999999999E-4</v>
      </c>
      <c r="C8" s="10">
        <v>3.0000000000000001E-3</v>
      </c>
      <c r="D8" s="10">
        <v>2.3E-2</v>
      </c>
    </row>
    <row r="9" spans="1:4" ht="15" customHeight="1" x14ac:dyDescent="0.25">
      <c r="A9" s="9" t="s">
        <v>15</v>
      </c>
      <c r="B9" s="10">
        <v>1.1999999999999999E-3</v>
      </c>
      <c r="C9" s="10">
        <v>8.8000000000000005E-3</v>
      </c>
      <c r="D9" s="10">
        <v>5.3999999999999999E-2</v>
      </c>
    </row>
    <row r="10" spans="1:4" ht="15" customHeight="1" x14ac:dyDescent="0.25">
      <c r="A10" s="9" t="s">
        <v>16</v>
      </c>
      <c r="B10" s="10">
        <v>1.6E-2</v>
      </c>
      <c r="C10" s="10">
        <v>0.11</v>
      </c>
      <c r="D10" s="10">
        <v>0.69</v>
      </c>
    </row>
    <row r="11" spans="1:4" ht="15" customHeight="1" x14ac:dyDescent="0.25">
      <c r="A11" s="9" t="s">
        <v>17</v>
      </c>
      <c r="B11" s="10">
        <v>2.1999999999999999E-2</v>
      </c>
      <c r="C11" s="10">
        <v>0.16</v>
      </c>
      <c r="D11" s="10">
        <v>0.98</v>
      </c>
    </row>
    <row r="12" spans="1:4" ht="15" customHeight="1" x14ac:dyDescent="0.25">
      <c r="A12" s="9" t="s">
        <v>163</v>
      </c>
      <c r="B12" s="10">
        <v>0.66</v>
      </c>
      <c r="C12" s="10">
        <v>4.5</v>
      </c>
      <c r="D12" s="10">
        <v>30</v>
      </c>
    </row>
    <row r="13" spans="1:4" ht="15" customHeight="1" x14ac:dyDescent="0.25">
      <c r="A13" s="9" t="s">
        <v>18</v>
      </c>
      <c r="B13" s="10">
        <v>0.11</v>
      </c>
      <c r="C13" s="10">
        <v>0.76</v>
      </c>
      <c r="D13" s="10">
        <v>5.0999999999999996</v>
      </c>
    </row>
    <row r="14" spans="1:4" ht="15" customHeight="1" x14ac:dyDescent="0.25">
      <c r="A14" s="9" t="s">
        <v>19</v>
      </c>
      <c r="B14" s="10">
        <v>2.5999999999999999E-2</v>
      </c>
      <c r="C14" s="10">
        <v>0.19</v>
      </c>
      <c r="D14" s="10">
        <v>1.2</v>
      </c>
    </row>
    <row r="15" spans="1:4" ht="15" customHeight="1" x14ac:dyDescent="0.25">
      <c r="A15" s="9" t="s">
        <v>20</v>
      </c>
      <c r="B15" s="10">
        <v>2.0000000000000001E-4</v>
      </c>
      <c r="C15" s="10">
        <v>1.1999999999999999E-3</v>
      </c>
      <c r="D15" s="10">
        <v>9.5999999999999992E-3</v>
      </c>
    </row>
    <row r="16" spans="1:4" ht="15" customHeight="1" x14ac:dyDescent="0.25">
      <c r="A16" s="9" t="s">
        <v>21</v>
      </c>
      <c r="B16" s="10">
        <v>1.9000000000000001E-4</v>
      </c>
      <c r="C16" s="10">
        <v>1.1000000000000001E-3</v>
      </c>
      <c r="D16" s="10">
        <v>8.9999999999999993E-3</v>
      </c>
    </row>
    <row r="17" spans="1:4" ht="15" customHeight="1" x14ac:dyDescent="0.25">
      <c r="A17" s="9" t="s">
        <v>22</v>
      </c>
      <c r="B17" s="10">
        <v>8.1999999999999998E-4</v>
      </c>
      <c r="C17" s="10">
        <v>5.0000000000000001E-3</v>
      </c>
      <c r="D17" s="10">
        <v>3.7999999999999999E-2</v>
      </c>
    </row>
    <row r="18" spans="1:4" ht="15" customHeight="1" x14ac:dyDescent="0.25">
      <c r="A18" s="18" t="s">
        <v>23</v>
      </c>
      <c r="B18" s="13">
        <v>8.7999999999999998E-5</v>
      </c>
      <c r="C18" s="13">
        <v>5.2999999999999998E-4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F65B-758F-426C-8EB1-28F6D7750742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60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9.2000000000000003E-4</v>
      </c>
      <c r="C5" s="10">
        <v>2.3999999999999998E-3</v>
      </c>
      <c r="D5" s="10">
        <v>4.3999999999999997E-2</v>
      </c>
    </row>
    <row r="6" spans="1:4" ht="15" customHeight="1" x14ac:dyDescent="0.25">
      <c r="A6" s="9" t="s">
        <v>6</v>
      </c>
      <c r="B6" s="10">
        <v>2.0999999999999999E-3</v>
      </c>
      <c r="C6" s="10">
        <v>5.4999999999999997E-3</v>
      </c>
      <c r="D6" s="10">
        <v>0.1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5.0000000000000001E-4</v>
      </c>
      <c r="C8" s="10">
        <v>1.2999999999999999E-3</v>
      </c>
      <c r="D8" s="10">
        <v>2.5999999999999999E-2</v>
      </c>
    </row>
    <row r="9" spans="1:4" ht="15" customHeight="1" x14ac:dyDescent="0.25">
      <c r="A9" s="9" t="s">
        <v>15</v>
      </c>
      <c r="B9" s="10">
        <v>1.2999999999999999E-3</v>
      </c>
      <c r="C9" s="10">
        <v>3.8999999999999998E-3</v>
      </c>
      <c r="D9" s="10">
        <v>6.4000000000000001E-2</v>
      </c>
    </row>
    <row r="10" spans="1:4" ht="15" customHeight="1" x14ac:dyDescent="0.25">
      <c r="A10" s="9" t="s">
        <v>16</v>
      </c>
      <c r="B10" s="10">
        <v>1.6E-2</v>
      </c>
      <c r="C10" s="10">
        <v>4.9000000000000002E-2</v>
      </c>
      <c r="D10" s="10">
        <v>0.82</v>
      </c>
    </row>
    <row r="11" spans="1:4" ht="15" customHeight="1" x14ac:dyDescent="0.25">
      <c r="A11" s="9" t="s">
        <v>17</v>
      </c>
      <c r="B11" s="10">
        <v>2.4E-2</v>
      </c>
      <c r="C11" s="10">
        <v>7.0000000000000007E-2</v>
      </c>
      <c r="D11" s="10">
        <v>1.2</v>
      </c>
    </row>
    <row r="12" spans="1:4" ht="15" customHeight="1" x14ac:dyDescent="0.25">
      <c r="A12" s="9" t="s">
        <v>163</v>
      </c>
      <c r="B12" s="10">
        <v>0.7</v>
      </c>
      <c r="C12" s="10">
        <v>2</v>
      </c>
      <c r="D12" s="10">
        <v>36</v>
      </c>
    </row>
    <row r="13" spans="1:4" ht="15" customHeight="1" x14ac:dyDescent="0.25">
      <c r="A13" s="9" t="s">
        <v>18</v>
      </c>
      <c r="B13" s="10">
        <v>0.12</v>
      </c>
      <c r="C13" s="10">
        <v>0.34</v>
      </c>
      <c r="D13" s="10">
        <v>6.1</v>
      </c>
    </row>
    <row r="14" spans="1:4" ht="15" customHeight="1" x14ac:dyDescent="0.25">
      <c r="A14" s="9" t="s">
        <v>19</v>
      </c>
      <c r="B14" s="10">
        <v>2.8000000000000001E-2</v>
      </c>
      <c r="C14" s="10">
        <v>8.2000000000000003E-2</v>
      </c>
      <c r="D14" s="10">
        <v>1.4</v>
      </c>
    </row>
    <row r="15" spans="1:4" ht="15" customHeight="1" x14ac:dyDescent="0.25">
      <c r="A15" s="9" t="s">
        <v>20</v>
      </c>
      <c r="B15" s="10">
        <v>2.2000000000000001E-4</v>
      </c>
      <c r="C15" s="10">
        <v>5.5000000000000003E-4</v>
      </c>
      <c r="D15" s="10">
        <v>1.0999999999999999E-2</v>
      </c>
    </row>
    <row r="16" spans="1:4" ht="15" customHeight="1" x14ac:dyDescent="0.25">
      <c r="A16" s="9" t="s">
        <v>21</v>
      </c>
      <c r="B16" s="10">
        <v>2.1000000000000001E-4</v>
      </c>
      <c r="C16" s="10">
        <v>5.2999999999999998E-4</v>
      </c>
      <c r="D16" s="10">
        <v>1.0999999999999999E-2</v>
      </c>
    </row>
    <row r="17" spans="1:4" ht="15" customHeight="1" x14ac:dyDescent="0.25">
      <c r="A17" s="9" t="s">
        <v>22</v>
      </c>
      <c r="B17" s="10">
        <v>8.9999999999999998E-4</v>
      </c>
      <c r="C17" s="10">
        <v>2.2000000000000001E-3</v>
      </c>
      <c r="D17" s="10">
        <v>4.4999999999999998E-2</v>
      </c>
    </row>
    <row r="18" spans="1:4" ht="15" customHeight="1" x14ac:dyDescent="0.25">
      <c r="A18" s="18" t="s">
        <v>23</v>
      </c>
      <c r="B18" s="13">
        <v>9.7E-5</v>
      </c>
      <c r="C18" s="13">
        <v>2.4000000000000001E-4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557E-9F09-4DD1-BD16-EB71A1E520CF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61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6.6E-4</v>
      </c>
      <c r="C5" s="10">
        <v>4.4999999999999997E-3</v>
      </c>
      <c r="D5" s="10">
        <v>1.6E-2</v>
      </c>
    </row>
    <row r="6" spans="1:4" ht="15" customHeight="1" x14ac:dyDescent="0.25">
      <c r="A6" s="9" t="s">
        <v>6</v>
      </c>
      <c r="B6" s="10">
        <v>1.5E-3</v>
      </c>
      <c r="C6" s="10">
        <v>0.01</v>
      </c>
      <c r="D6" s="10">
        <v>3.6999999999999998E-2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3.2000000000000003E-4</v>
      </c>
      <c r="C8" s="10">
        <v>2.2000000000000001E-3</v>
      </c>
      <c r="D8" s="10">
        <v>9.1000000000000004E-3</v>
      </c>
    </row>
    <row r="9" spans="1:4" ht="15" customHeight="1" x14ac:dyDescent="0.25">
      <c r="A9" s="9" t="s">
        <v>15</v>
      </c>
      <c r="B9" s="10">
        <v>8.4999999999999995E-4</v>
      </c>
      <c r="C9" s="10">
        <v>5.4999999999999997E-3</v>
      </c>
      <c r="D9" s="10">
        <v>2.1000000000000001E-2</v>
      </c>
    </row>
    <row r="10" spans="1:4" ht="15" customHeight="1" x14ac:dyDescent="0.25">
      <c r="A10" s="9" t="s">
        <v>16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5">
      <c r="A11" s="9" t="s">
        <v>17</v>
      </c>
      <c r="B11" s="10">
        <v>1.6E-2</v>
      </c>
      <c r="C11" s="10">
        <v>0.1</v>
      </c>
      <c r="D11" s="10">
        <v>0.39</v>
      </c>
    </row>
    <row r="12" spans="1:4" ht="15" customHeight="1" x14ac:dyDescent="0.25">
      <c r="A12" s="9" t="s">
        <v>163</v>
      </c>
      <c r="B12" s="10">
        <v>0.46</v>
      </c>
      <c r="C12" s="10">
        <v>3</v>
      </c>
      <c r="D12" s="10">
        <v>12</v>
      </c>
    </row>
    <row r="13" spans="1:4" ht="15" customHeight="1" x14ac:dyDescent="0.25">
      <c r="A13" s="9" t="s">
        <v>18</v>
      </c>
      <c r="B13" s="10">
        <v>7.6999999999999999E-2</v>
      </c>
      <c r="C13" s="10">
        <v>0.51</v>
      </c>
      <c r="D13" s="10">
        <v>2</v>
      </c>
    </row>
    <row r="14" spans="1:4" ht="15" customHeight="1" x14ac:dyDescent="0.25">
      <c r="A14" s="9" t="s">
        <v>19</v>
      </c>
      <c r="B14" s="10">
        <v>1.7999999999999999E-2</v>
      </c>
      <c r="C14" s="10">
        <v>0.12</v>
      </c>
      <c r="D14" s="10">
        <v>0.46</v>
      </c>
    </row>
    <row r="15" spans="1:4" ht="15" customHeight="1" x14ac:dyDescent="0.25">
      <c r="A15" s="9" t="s">
        <v>20</v>
      </c>
      <c r="B15" s="10">
        <v>1.6000000000000001E-4</v>
      </c>
      <c r="C15" s="10">
        <v>1.1000000000000001E-3</v>
      </c>
      <c r="D15" s="10">
        <v>4.0000000000000001E-3</v>
      </c>
    </row>
    <row r="16" spans="1:4" ht="15" customHeight="1" x14ac:dyDescent="0.25">
      <c r="A16" s="9" t="s">
        <v>21</v>
      </c>
      <c r="B16" s="10">
        <v>1.4999999999999999E-4</v>
      </c>
      <c r="C16" s="10">
        <v>1.1000000000000001E-3</v>
      </c>
      <c r="D16" s="10">
        <v>3.8E-3</v>
      </c>
    </row>
    <row r="17" spans="1:4" ht="15" customHeight="1" x14ac:dyDescent="0.25">
      <c r="A17" s="9" t="s">
        <v>22</v>
      </c>
      <c r="B17" s="10">
        <v>6.3000000000000003E-4</v>
      </c>
      <c r="C17" s="10">
        <v>4.4999999999999997E-3</v>
      </c>
      <c r="D17" s="10">
        <v>1.6E-2</v>
      </c>
    </row>
    <row r="18" spans="1:4" ht="15" customHeight="1" x14ac:dyDescent="0.25">
      <c r="A18" s="18" t="s">
        <v>23</v>
      </c>
      <c r="B18" s="13">
        <v>6.7999999999999999E-5</v>
      </c>
      <c r="C18" s="13">
        <v>4.8999999999999998E-4</v>
      </c>
      <c r="D18" s="13">
        <v>1.6999999999999999E-3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612C-5977-42D9-9D2A-CC7B4DC26E57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62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2.2000000000000001E-4</v>
      </c>
      <c r="C5" s="10">
        <v>1.4E-3</v>
      </c>
      <c r="D5" s="10">
        <v>5.4999999999999997E-3</v>
      </c>
    </row>
    <row r="6" spans="1:4" ht="15" customHeight="1" x14ac:dyDescent="0.25">
      <c r="A6" s="9" t="s">
        <v>6</v>
      </c>
      <c r="B6" s="10">
        <v>5.0000000000000001E-4</v>
      </c>
      <c r="C6" s="10">
        <v>3.3E-3</v>
      </c>
      <c r="D6" s="10">
        <v>1.2E-2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1.2999999999999999E-4</v>
      </c>
      <c r="C8" s="10">
        <v>7.9000000000000001E-4</v>
      </c>
      <c r="D8" s="10">
        <v>3.0000000000000001E-3</v>
      </c>
    </row>
    <row r="9" spans="1:4" ht="15" customHeight="1" x14ac:dyDescent="0.25">
      <c r="A9" s="9" t="s">
        <v>15</v>
      </c>
      <c r="B9" s="10">
        <v>3.6999999999999999E-4</v>
      </c>
      <c r="C9" s="10">
        <v>1.9E-3</v>
      </c>
      <c r="D9" s="10">
        <v>7.6E-3</v>
      </c>
    </row>
    <row r="10" spans="1:4" ht="15" customHeight="1" x14ac:dyDescent="0.25">
      <c r="A10" s="9" t="s">
        <v>16</v>
      </c>
      <c r="B10" s="10">
        <v>4.7000000000000002E-3</v>
      </c>
      <c r="C10" s="10">
        <v>2.4E-2</v>
      </c>
      <c r="D10" s="10">
        <v>9.7000000000000003E-2</v>
      </c>
    </row>
    <row r="11" spans="1:4" ht="15" customHeight="1" x14ac:dyDescent="0.25">
      <c r="A11" s="9" t="s">
        <v>17</v>
      </c>
      <c r="B11" s="10">
        <v>6.7000000000000002E-3</v>
      </c>
      <c r="C11" s="10">
        <v>3.5000000000000003E-2</v>
      </c>
      <c r="D11" s="10">
        <v>0.14000000000000001</v>
      </c>
    </row>
    <row r="12" spans="1:4" ht="15" customHeight="1" x14ac:dyDescent="0.25">
      <c r="A12" s="9" t="s">
        <v>163</v>
      </c>
      <c r="B12" s="10">
        <v>0.21</v>
      </c>
      <c r="C12" s="10">
        <v>1.1000000000000001</v>
      </c>
      <c r="D12" s="10">
        <v>4.3</v>
      </c>
    </row>
    <row r="13" spans="1:4" ht="15" customHeight="1" x14ac:dyDescent="0.25">
      <c r="A13" s="9" t="s">
        <v>18</v>
      </c>
      <c r="B13" s="10">
        <v>3.5000000000000003E-2</v>
      </c>
      <c r="C13" s="10">
        <v>0.19</v>
      </c>
      <c r="D13" s="10">
        <v>0.74</v>
      </c>
    </row>
    <row r="14" spans="1:4" ht="15" customHeight="1" x14ac:dyDescent="0.25">
      <c r="A14" s="9" t="s">
        <v>19</v>
      </c>
      <c r="B14" s="10">
        <v>7.7999999999999996E-3</v>
      </c>
      <c r="C14" s="10">
        <v>4.1000000000000002E-2</v>
      </c>
      <c r="D14" s="10">
        <v>0.16</v>
      </c>
    </row>
    <row r="15" spans="1:4" ht="15" customHeight="1" x14ac:dyDescent="0.25">
      <c r="A15" s="9" t="s">
        <v>20</v>
      </c>
      <c r="B15" s="10">
        <v>5.8999999999999998E-5</v>
      </c>
      <c r="C15" s="10">
        <v>3.6999999999999999E-4</v>
      </c>
      <c r="D15" s="10">
        <v>1.4E-3</v>
      </c>
    </row>
    <row r="16" spans="1:4" ht="15" customHeight="1" x14ac:dyDescent="0.25">
      <c r="A16" s="9" t="s">
        <v>21</v>
      </c>
      <c r="B16" s="10">
        <v>5.3999999999999998E-5</v>
      </c>
      <c r="C16" s="10">
        <v>3.5E-4</v>
      </c>
      <c r="D16" s="10">
        <v>1.2999999999999999E-3</v>
      </c>
    </row>
    <row r="17" spans="1:4" ht="15" customHeight="1" x14ac:dyDescent="0.25">
      <c r="A17" s="9" t="s">
        <v>22</v>
      </c>
      <c r="B17" s="10">
        <v>2.3000000000000001E-4</v>
      </c>
      <c r="C17" s="10">
        <v>1.4E-3</v>
      </c>
      <c r="D17" s="10">
        <v>5.4000000000000003E-3</v>
      </c>
    </row>
    <row r="18" spans="1:4" ht="15" customHeight="1" x14ac:dyDescent="0.25">
      <c r="A18" s="18" t="s">
        <v>23</v>
      </c>
      <c r="B18" s="13">
        <v>2.5000000000000001E-5</v>
      </c>
      <c r="C18" s="13">
        <v>1.4999999999999999E-4</v>
      </c>
      <c r="D18" s="13">
        <v>5.8E-4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D475-C4FB-4027-948D-3326CC8B69D7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63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7.3999999999999999E-4</v>
      </c>
      <c r="C5" s="10">
        <v>5.7000000000000002E-3</v>
      </c>
      <c r="D5" s="10">
        <v>4.8000000000000001E-2</v>
      </c>
    </row>
    <row r="6" spans="1:4" ht="15" customHeight="1" x14ac:dyDescent="0.25">
      <c r="A6" s="9" t="s">
        <v>6</v>
      </c>
      <c r="B6" s="10">
        <v>1.6999999999999999E-3</v>
      </c>
      <c r="C6" s="10">
        <v>1.2999999999999999E-2</v>
      </c>
      <c r="D6" s="10">
        <v>0.11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4.0000000000000002E-4</v>
      </c>
      <c r="C8" s="10">
        <v>2.8999999999999998E-3</v>
      </c>
      <c r="D8" s="10">
        <v>2.5000000000000001E-2</v>
      </c>
    </row>
    <row r="9" spans="1:4" ht="15" customHeight="1" x14ac:dyDescent="0.25">
      <c r="A9" s="9" t="s">
        <v>15</v>
      </c>
      <c r="B9" s="10">
        <v>1E-3</v>
      </c>
      <c r="C9" s="10">
        <v>7.1000000000000004E-3</v>
      </c>
      <c r="D9" s="10">
        <v>6.7000000000000004E-2</v>
      </c>
    </row>
    <row r="10" spans="1:4" ht="15" customHeight="1" x14ac:dyDescent="0.25">
      <c r="A10" s="9" t="s">
        <v>16</v>
      </c>
      <c r="B10" s="10">
        <v>1.2999999999999999E-2</v>
      </c>
      <c r="C10" s="10">
        <v>0.09</v>
      </c>
      <c r="D10" s="10">
        <v>0.85</v>
      </c>
    </row>
    <row r="11" spans="1:4" ht="15" customHeight="1" x14ac:dyDescent="0.25">
      <c r="A11" s="9" t="s">
        <v>17</v>
      </c>
      <c r="B11" s="10">
        <v>1.7999999999999999E-2</v>
      </c>
      <c r="C11" s="10">
        <v>0.13</v>
      </c>
      <c r="D11" s="10">
        <v>1.2</v>
      </c>
    </row>
    <row r="12" spans="1:4" ht="15" customHeight="1" x14ac:dyDescent="0.25">
      <c r="A12" s="9" t="s">
        <v>163</v>
      </c>
      <c r="B12" s="10">
        <v>0.52</v>
      </c>
      <c r="C12" s="10">
        <v>3.7</v>
      </c>
      <c r="D12" s="10">
        <v>35</v>
      </c>
    </row>
    <row r="13" spans="1:4" ht="15" customHeight="1" x14ac:dyDescent="0.25">
      <c r="A13" s="9" t="s">
        <v>18</v>
      </c>
      <c r="B13" s="10">
        <v>8.8999999999999996E-2</v>
      </c>
      <c r="C13" s="10">
        <v>0.64</v>
      </c>
      <c r="D13" s="10">
        <v>5.9</v>
      </c>
    </row>
    <row r="14" spans="1:4" ht="15" customHeight="1" x14ac:dyDescent="0.25">
      <c r="A14" s="9" t="s">
        <v>19</v>
      </c>
      <c r="B14" s="10">
        <v>2.1000000000000001E-2</v>
      </c>
      <c r="C14" s="10">
        <v>0.15</v>
      </c>
      <c r="D14" s="10">
        <v>1.4</v>
      </c>
    </row>
    <row r="15" spans="1:4" ht="15" customHeight="1" x14ac:dyDescent="0.25">
      <c r="A15" s="9" t="s">
        <v>20</v>
      </c>
      <c r="B15" s="10">
        <v>1.8000000000000001E-4</v>
      </c>
      <c r="C15" s="10">
        <v>1.5E-3</v>
      </c>
      <c r="D15" s="10">
        <v>1.2E-2</v>
      </c>
    </row>
    <row r="16" spans="1:4" ht="15" customHeight="1" x14ac:dyDescent="0.25">
      <c r="A16" s="9" t="s">
        <v>21</v>
      </c>
      <c r="B16" s="10">
        <v>1.8000000000000001E-4</v>
      </c>
      <c r="C16" s="10">
        <v>1.4E-3</v>
      </c>
      <c r="D16" s="10">
        <v>1.0999999999999999E-2</v>
      </c>
    </row>
    <row r="17" spans="1:4" ht="15" customHeight="1" x14ac:dyDescent="0.25">
      <c r="A17" s="9" t="s">
        <v>22</v>
      </c>
      <c r="B17" s="10">
        <v>7.2999999999999996E-4</v>
      </c>
      <c r="C17" s="10">
        <v>5.7999999999999996E-3</v>
      </c>
      <c r="D17" s="10">
        <v>4.9000000000000002E-2</v>
      </c>
    </row>
    <row r="18" spans="1:4" ht="15" customHeight="1" x14ac:dyDescent="0.25">
      <c r="A18" s="18" t="s">
        <v>23</v>
      </c>
      <c r="B18" s="13">
        <v>7.8999999999999996E-5</v>
      </c>
      <c r="C18" s="13">
        <v>6.2E-4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AFD3-DD57-461E-A92B-6A699979AE2D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64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4.8999999999999998E-4</v>
      </c>
      <c r="C5" s="10">
        <v>6.0000000000000001E-3</v>
      </c>
      <c r="D5" s="10">
        <v>0.02</v>
      </c>
    </row>
    <row r="6" spans="1:4" ht="15" customHeight="1" x14ac:dyDescent="0.25">
      <c r="A6" s="9" t="s">
        <v>6</v>
      </c>
      <c r="B6" s="10">
        <v>1.1000000000000001E-3</v>
      </c>
      <c r="C6" s="10">
        <v>1.4E-2</v>
      </c>
      <c r="D6" s="10">
        <v>4.5999999999999999E-2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2.4000000000000001E-4</v>
      </c>
      <c r="C8" s="10">
        <v>2.8999999999999998E-3</v>
      </c>
      <c r="D8" s="10">
        <v>8.9999999999999993E-3</v>
      </c>
    </row>
    <row r="9" spans="1:4" ht="15" customHeight="1" x14ac:dyDescent="0.25">
      <c r="A9" s="9" t="s">
        <v>15</v>
      </c>
      <c r="B9" s="10">
        <v>6.0999999999999997E-4</v>
      </c>
      <c r="C9" s="10">
        <v>7.1999999999999998E-3</v>
      </c>
      <c r="D9" s="10">
        <v>2.4E-2</v>
      </c>
    </row>
    <row r="10" spans="1:4" ht="15" customHeight="1" x14ac:dyDescent="0.25">
      <c r="A10" s="9" t="s">
        <v>16</v>
      </c>
      <c r="B10" s="10">
        <v>7.7999999999999996E-3</v>
      </c>
      <c r="C10" s="10">
        <v>9.1999999999999998E-2</v>
      </c>
      <c r="D10" s="10">
        <v>0.31</v>
      </c>
    </row>
    <row r="11" spans="1:4" ht="15" customHeight="1" x14ac:dyDescent="0.25">
      <c r="A11" s="9" t="s">
        <v>17</v>
      </c>
      <c r="B11" s="10">
        <v>1.0999999999999999E-2</v>
      </c>
      <c r="C11" s="10">
        <v>0.13</v>
      </c>
      <c r="D11" s="10">
        <v>0.43</v>
      </c>
    </row>
    <row r="12" spans="1:4" ht="15" customHeight="1" x14ac:dyDescent="0.25">
      <c r="A12" s="9" t="s">
        <v>163</v>
      </c>
      <c r="B12" s="10">
        <v>0.32</v>
      </c>
      <c r="C12" s="10">
        <v>3.8</v>
      </c>
      <c r="D12" s="10">
        <v>12</v>
      </c>
    </row>
    <row r="13" spans="1:4" ht="15" customHeight="1" x14ac:dyDescent="0.25">
      <c r="A13" s="9" t="s">
        <v>18</v>
      </c>
      <c r="B13" s="10">
        <v>5.3999999999999999E-2</v>
      </c>
      <c r="C13" s="10">
        <v>0.65</v>
      </c>
      <c r="D13" s="10">
        <v>2.1</v>
      </c>
    </row>
    <row r="14" spans="1:4" ht="15" customHeight="1" x14ac:dyDescent="0.25">
      <c r="A14" s="9" t="s">
        <v>19</v>
      </c>
      <c r="B14" s="10">
        <v>1.2999999999999999E-2</v>
      </c>
      <c r="C14" s="10">
        <v>0.15</v>
      </c>
      <c r="D14" s="10">
        <v>0.51</v>
      </c>
    </row>
    <row r="15" spans="1:4" ht="15" customHeight="1" x14ac:dyDescent="0.25">
      <c r="A15" s="9" t="s">
        <v>20</v>
      </c>
      <c r="B15" s="10">
        <v>1.2E-4</v>
      </c>
      <c r="C15" s="10">
        <v>1.6000000000000001E-3</v>
      </c>
      <c r="D15" s="10">
        <v>5.1999999999999998E-3</v>
      </c>
    </row>
    <row r="16" spans="1:4" ht="15" customHeight="1" x14ac:dyDescent="0.25">
      <c r="A16" s="9" t="s">
        <v>21</v>
      </c>
      <c r="B16" s="10">
        <v>1.1E-4</v>
      </c>
      <c r="C16" s="10">
        <v>1.5E-3</v>
      </c>
      <c r="D16" s="10">
        <v>5.0000000000000001E-3</v>
      </c>
    </row>
    <row r="17" spans="1:4" ht="15" customHeight="1" x14ac:dyDescent="0.25">
      <c r="A17" s="9" t="s">
        <v>22</v>
      </c>
      <c r="B17" s="10">
        <v>4.8000000000000001E-4</v>
      </c>
      <c r="C17" s="10">
        <v>6.3E-3</v>
      </c>
      <c r="D17" s="10">
        <v>2.1000000000000001E-2</v>
      </c>
    </row>
    <row r="18" spans="1:4" ht="15" customHeight="1" x14ac:dyDescent="0.25">
      <c r="A18" s="18" t="s">
        <v>23</v>
      </c>
      <c r="B18" s="13">
        <v>5.1999999999999997E-5</v>
      </c>
      <c r="C18" s="13">
        <v>6.7000000000000002E-4</v>
      </c>
      <c r="D18" s="13">
        <v>2.3E-3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7235-F982-4D40-82A2-D05B926FE0DE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8" t="s">
        <v>27</v>
      </c>
      <c r="B1" s="48"/>
      <c r="C1" s="48"/>
      <c r="D1" s="48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8.7000000000000001E-4</v>
      </c>
      <c r="C5" s="10">
        <v>8.8000000000000005E-3</v>
      </c>
      <c r="D5" s="10">
        <v>4.1000000000000002E-2</v>
      </c>
    </row>
    <row r="6" spans="1:4" ht="15" customHeight="1" x14ac:dyDescent="0.25">
      <c r="A6" s="9" t="s">
        <v>6</v>
      </c>
      <c r="B6" s="10">
        <v>2E-3</v>
      </c>
      <c r="C6" s="10">
        <v>0.02</v>
      </c>
      <c r="D6" s="10">
        <v>9.4E-2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4.4999999999999999E-4</v>
      </c>
      <c r="C8" s="10">
        <v>4.7000000000000002E-3</v>
      </c>
      <c r="D8" s="10">
        <v>2.3E-2</v>
      </c>
    </row>
    <row r="9" spans="1:4" ht="15" customHeight="1" x14ac:dyDescent="0.25">
      <c r="A9" s="9" t="s">
        <v>15</v>
      </c>
      <c r="B9" s="10">
        <v>1.2999999999999999E-3</v>
      </c>
      <c r="C9" s="10">
        <v>1.2999999999999999E-2</v>
      </c>
      <c r="D9" s="10">
        <v>6.0999999999999999E-2</v>
      </c>
    </row>
    <row r="10" spans="1:4" ht="15" customHeight="1" x14ac:dyDescent="0.25">
      <c r="A10" s="9" t="s">
        <v>16</v>
      </c>
      <c r="B10" s="10">
        <v>1.6E-2</v>
      </c>
      <c r="C10" s="10">
        <v>0.16</v>
      </c>
      <c r="D10" s="10">
        <v>0.78</v>
      </c>
    </row>
    <row r="11" spans="1:4" ht="15" customHeight="1" x14ac:dyDescent="0.25">
      <c r="A11" s="9" t="s">
        <v>17</v>
      </c>
      <c r="B11" s="10">
        <v>2.3E-2</v>
      </c>
      <c r="C11" s="10">
        <v>0.23</v>
      </c>
      <c r="D11" s="10">
        <v>1.1000000000000001</v>
      </c>
    </row>
    <row r="12" spans="1:4" ht="15" customHeight="1" x14ac:dyDescent="0.25">
      <c r="A12" s="9" t="s">
        <v>163</v>
      </c>
      <c r="B12" s="10">
        <v>0.67</v>
      </c>
      <c r="C12" s="10">
        <v>6.8</v>
      </c>
      <c r="D12" s="10">
        <v>32</v>
      </c>
    </row>
    <row r="13" spans="1:4" ht="15" customHeight="1" x14ac:dyDescent="0.25">
      <c r="A13" s="9" t="s">
        <v>18</v>
      </c>
      <c r="B13" s="10">
        <v>0.11</v>
      </c>
      <c r="C13" s="10">
        <v>1.2</v>
      </c>
      <c r="D13" s="10">
        <v>5.4</v>
      </c>
    </row>
    <row r="14" spans="1:4" ht="15" customHeight="1" x14ac:dyDescent="0.25">
      <c r="A14" s="9" t="s">
        <v>19</v>
      </c>
      <c r="B14" s="10">
        <v>2.7E-2</v>
      </c>
      <c r="C14" s="10">
        <v>0.28000000000000003</v>
      </c>
      <c r="D14" s="10">
        <v>1.3</v>
      </c>
    </row>
    <row r="15" spans="1:4" ht="15" customHeight="1" x14ac:dyDescent="0.25">
      <c r="A15" s="9" t="s">
        <v>20</v>
      </c>
      <c r="B15" s="10">
        <v>2.2000000000000001E-4</v>
      </c>
      <c r="C15" s="10">
        <v>2.3E-3</v>
      </c>
      <c r="D15" s="10">
        <v>0.01</v>
      </c>
    </row>
    <row r="16" spans="1:4" ht="15" customHeight="1" x14ac:dyDescent="0.25">
      <c r="A16" s="9" t="s">
        <v>21</v>
      </c>
      <c r="B16" s="10">
        <v>2.1000000000000001E-4</v>
      </c>
      <c r="C16" s="10">
        <v>2.2000000000000001E-3</v>
      </c>
      <c r="D16" s="10">
        <v>0.01</v>
      </c>
    </row>
    <row r="17" spans="1:4" ht="15" customHeight="1" x14ac:dyDescent="0.25">
      <c r="A17" s="9" t="s">
        <v>22</v>
      </c>
      <c r="B17" s="10">
        <v>8.8000000000000003E-4</v>
      </c>
      <c r="C17" s="10">
        <v>9.1000000000000004E-3</v>
      </c>
      <c r="D17" s="10">
        <v>4.1000000000000002E-2</v>
      </c>
    </row>
    <row r="18" spans="1:4" ht="15" customHeight="1" x14ac:dyDescent="0.25">
      <c r="A18" s="18" t="s">
        <v>23</v>
      </c>
      <c r="B18" s="13">
        <v>9.5000000000000005E-5</v>
      </c>
      <c r="C18" s="13">
        <v>9.8999999999999999E-4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7CDE-F5EB-445D-A3FE-92C443FC835C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8" t="s">
        <v>26</v>
      </c>
      <c r="B1" s="48"/>
      <c r="C1" s="48"/>
      <c r="D1" s="48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1.4E-3</v>
      </c>
      <c r="C5" s="10">
        <v>6.7000000000000002E-3</v>
      </c>
      <c r="D5" s="10">
        <v>5.8000000000000003E-2</v>
      </c>
    </row>
    <row r="6" spans="1:4" ht="15" customHeight="1" x14ac:dyDescent="0.25">
      <c r="A6" s="9" t="s">
        <v>6</v>
      </c>
      <c r="B6" s="10">
        <v>3.0999999999999999E-3</v>
      </c>
      <c r="C6" s="10">
        <v>1.4999999999999999E-2</v>
      </c>
      <c r="D6" s="10">
        <v>0.13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6.9999999999999999E-4</v>
      </c>
      <c r="C8" s="10">
        <v>3.2000000000000002E-3</v>
      </c>
      <c r="D8" s="10">
        <v>2.5000000000000001E-2</v>
      </c>
    </row>
    <row r="9" spans="1:4" ht="15" customHeight="1" x14ac:dyDescent="0.25">
      <c r="A9" s="9" t="s">
        <v>15</v>
      </c>
      <c r="B9" s="10">
        <v>1.6000000000000001E-3</v>
      </c>
      <c r="C9" s="10">
        <v>7.9000000000000008E-3</v>
      </c>
      <c r="D9" s="10">
        <v>6.5000000000000002E-2</v>
      </c>
    </row>
    <row r="10" spans="1:4" ht="15" customHeight="1" x14ac:dyDescent="0.25">
      <c r="A10" s="9" t="s">
        <v>16</v>
      </c>
      <c r="B10" s="10">
        <v>2.1000000000000001E-2</v>
      </c>
      <c r="C10" s="10">
        <v>0.1</v>
      </c>
      <c r="D10" s="10">
        <v>0.82</v>
      </c>
    </row>
    <row r="11" spans="1:4" ht="15" customHeight="1" x14ac:dyDescent="0.25">
      <c r="A11" s="9" t="s">
        <v>17</v>
      </c>
      <c r="B11" s="10">
        <v>2.9000000000000001E-2</v>
      </c>
      <c r="C11" s="10">
        <v>0.14000000000000001</v>
      </c>
      <c r="D11" s="10">
        <v>1.2</v>
      </c>
    </row>
    <row r="12" spans="1:4" ht="15" customHeight="1" x14ac:dyDescent="0.25">
      <c r="A12" s="9" t="s">
        <v>163</v>
      </c>
      <c r="B12" s="10">
        <v>0.86</v>
      </c>
      <c r="C12" s="10">
        <v>4.2</v>
      </c>
      <c r="D12" s="10">
        <v>34</v>
      </c>
    </row>
    <row r="13" spans="1:4" ht="15" customHeight="1" x14ac:dyDescent="0.25">
      <c r="A13" s="9" t="s">
        <v>18</v>
      </c>
      <c r="B13" s="10">
        <v>0.15</v>
      </c>
      <c r="C13" s="10">
        <v>0.71</v>
      </c>
      <c r="D13" s="10">
        <v>5.7</v>
      </c>
    </row>
    <row r="14" spans="1:4" ht="15" customHeight="1" x14ac:dyDescent="0.25">
      <c r="A14" s="9" t="s">
        <v>19</v>
      </c>
      <c r="B14" s="10">
        <v>3.5000000000000003E-2</v>
      </c>
      <c r="C14" s="10">
        <v>0.17</v>
      </c>
      <c r="D14" s="10">
        <v>1.4</v>
      </c>
    </row>
    <row r="15" spans="1:4" ht="15" customHeight="1" x14ac:dyDescent="0.25">
      <c r="A15" s="9" t="s">
        <v>20</v>
      </c>
      <c r="B15" s="10">
        <v>3.4000000000000002E-4</v>
      </c>
      <c r="C15" s="10">
        <v>1.6999999999999999E-3</v>
      </c>
      <c r="D15" s="10">
        <v>1.4E-2</v>
      </c>
    </row>
    <row r="16" spans="1:4" ht="15" customHeight="1" x14ac:dyDescent="0.25">
      <c r="A16" s="9" t="s">
        <v>21</v>
      </c>
      <c r="B16" s="10">
        <v>3.3E-4</v>
      </c>
      <c r="C16" s="10">
        <v>1.6999999999999999E-3</v>
      </c>
      <c r="D16" s="10">
        <v>1.4E-2</v>
      </c>
    </row>
    <row r="17" spans="1:4" ht="15" customHeight="1" x14ac:dyDescent="0.25">
      <c r="A17" s="9" t="s">
        <v>22</v>
      </c>
      <c r="B17" s="10">
        <v>1.2999999999999999E-3</v>
      </c>
      <c r="C17" s="10">
        <v>7.0000000000000001E-3</v>
      </c>
      <c r="D17" s="10">
        <v>5.7000000000000002E-2</v>
      </c>
    </row>
    <row r="18" spans="1:4" ht="15" customHeight="1" x14ac:dyDescent="0.25">
      <c r="A18" s="18" t="s">
        <v>23</v>
      </c>
      <c r="B18" s="13">
        <v>1.3999999999999999E-4</v>
      </c>
      <c r="C18" s="13">
        <v>7.5000000000000002E-4</v>
      </c>
      <c r="D18" s="13">
        <v>6.1000000000000004E-3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4C09-99B3-4FB2-87BA-CF6F679CA93C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65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2.0999999999999999E-3</v>
      </c>
      <c r="C5" s="10">
        <v>5.2999999999999999E-2</v>
      </c>
      <c r="D5" s="10">
        <v>6.5000000000000002E-2</v>
      </c>
    </row>
    <row r="6" spans="1:4" ht="15" customHeight="1" x14ac:dyDescent="0.25">
      <c r="A6" s="9" t="s">
        <v>6</v>
      </c>
      <c r="B6" s="10">
        <v>4.8999999999999998E-3</v>
      </c>
      <c r="C6" s="10">
        <v>0.12</v>
      </c>
      <c r="D6" s="10">
        <v>0.15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1.1000000000000001E-3</v>
      </c>
      <c r="C8" s="10">
        <v>2.5000000000000001E-2</v>
      </c>
      <c r="D8" s="10">
        <v>3.1E-2</v>
      </c>
    </row>
    <row r="9" spans="1:4" ht="15" customHeight="1" x14ac:dyDescent="0.25">
      <c r="A9" s="9" t="s">
        <v>15</v>
      </c>
      <c r="B9" s="10">
        <v>3.0999999999999999E-3</v>
      </c>
      <c r="C9" s="10">
        <v>6.6000000000000003E-2</v>
      </c>
      <c r="D9" s="10">
        <v>8.5999999999999993E-2</v>
      </c>
    </row>
    <row r="10" spans="1:4" ht="15" customHeight="1" x14ac:dyDescent="0.25">
      <c r="A10" s="9" t="s">
        <v>16</v>
      </c>
      <c r="B10" s="10">
        <v>0.04</v>
      </c>
      <c r="C10" s="10">
        <v>0.84</v>
      </c>
      <c r="D10" s="10">
        <v>1.1000000000000001</v>
      </c>
    </row>
    <row r="11" spans="1:4" ht="15" customHeight="1" x14ac:dyDescent="0.25">
      <c r="A11" s="9" t="s">
        <v>17</v>
      </c>
      <c r="B11" s="10">
        <v>5.6000000000000001E-2</v>
      </c>
      <c r="C11" s="10">
        <v>1.2</v>
      </c>
      <c r="D11" s="10">
        <v>1.6</v>
      </c>
    </row>
    <row r="12" spans="1:4" ht="15" customHeight="1" x14ac:dyDescent="0.25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5">
      <c r="A13" s="9" t="s">
        <v>18</v>
      </c>
      <c r="B13" s="10">
        <v>0.28000000000000003</v>
      </c>
      <c r="C13" s="10">
        <v>5.9</v>
      </c>
      <c r="D13" s="10">
        <v>7.7</v>
      </c>
    </row>
    <row r="14" spans="1:4" ht="15" customHeight="1" x14ac:dyDescent="0.25">
      <c r="A14" s="9" t="s">
        <v>19</v>
      </c>
      <c r="B14" s="10">
        <v>6.6000000000000003E-2</v>
      </c>
      <c r="C14" s="10">
        <v>1.4</v>
      </c>
      <c r="D14" s="10">
        <v>1.8</v>
      </c>
    </row>
    <row r="15" spans="1:4" ht="15" customHeight="1" x14ac:dyDescent="0.25">
      <c r="A15" s="9" t="s">
        <v>20</v>
      </c>
      <c r="B15" s="10">
        <v>5.5999999999999995E-4</v>
      </c>
      <c r="C15" s="10">
        <v>1.2999999999999999E-2</v>
      </c>
      <c r="D15" s="10">
        <v>1.7000000000000001E-2</v>
      </c>
    </row>
    <row r="16" spans="1:4" ht="15" customHeight="1" x14ac:dyDescent="0.25">
      <c r="A16" s="9" t="s">
        <v>21</v>
      </c>
      <c r="B16" s="10">
        <v>5.2999999999999998E-4</v>
      </c>
      <c r="C16" s="10">
        <v>1.2999999999999999E-2</v>
      </c>
      <c r="D16" s="10">
        <v>1.6E-2</v>
      </c>
    </row>
    <row r="17" spans="1:4" ht="15" customHeight="1" x14ac:dyDescent="0.25">
      <c r="A17" s="9" t="s">
        <v>22</v>
      </c>
      <c r="B17" s="10">
        <v>2.2000000000000001E-3</v>
      </c>
      <c r="C17" s="10">
        <v>5.3999999999999999E-2</v>
      </c>
      <c r="D17" s="10">
        <v>6.9000000000000006E-2</v>
      </c>
    </row>
    <row r="18" spans="1:4" ht="15" customHeight="1" x14ac:dyDescent="0.25">
      <c r="A18" s="18" t="s">
        <v>23</v>
      </c>
      <c r="B18" s="13">
        <v>2.4000000000000001E-4</v>
      </c>
      <c r="C18" s="13">
        <v>5.7999999999999996E-3</v>
      </c>
      <c r="D18" s="13">
        <v>7.4000000000000003E-3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8290-7FCB-4CA6-B192-398AC979EB8B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66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1.8E-3</v>
      </c>
      <c r="C5" s="10">
        <v>1.0999999999999999E-2</v>
      </c>
      <c r="D5" s="10">
        <v>6.2E-2</v>
      </c>
    </row>
    <row r="6" spans="1:4" ht="15" customHeight="1" x14ac:dyDescent="0.25">
      <c r="A6" s="9" t="s">
        <v>6</v>
      </c>
      <c r="B6" s="10">
        <v>4.0000000000000001E-3</v>
      </c>
      <c r="C6" s="10">
        <v>2.5999999999999999E-2</v>
      </c>
      <c r="D6" s="10">
        <v>0.14000000000000001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8.5999999999999998E-4</v>
      </c>
      <c r="C8" s="10">
        <v>5.7000000000000002E-3</v>
      </c>
      <c r="D8" s="10">
        <v>2.9000000000000001E-2</v>
      </c>
    </row>
    <row r="9" spans="1:4" ht="15" customHeight="1" x14ac:dyDescent="0.25">
      <c r="A9" s="9" t="s">
        <v>15</v>
      </c>
      <c r="B9" s="10">
        <v>2.0999999999999999E-3</v>
      </c>
      <c r="C9" s="10">
        <v>1.4E-2</v>
      </c>
      <c r="D9" s="10">
        <v>7.2999999999999995E-2</v>
      </c>
    </row>
    <row r="10" spans="1:4" ht="15" customHeight="1" x14ac:dyDescent="0.25">
      <c r="A10" s="9" t="s">
        <v>16</v>
      </c>
      <c r="B10" s="10">
        <v>2.7E-2</v>
      </c>
      <c r="C10" s="10">
        <v>0.17</v>
      </c>
      <c r="D10" s="10">
        <v>0.93</v>
      </c>
    </row>
    <row r="11" spans="1:4" ht="15" customHeight="1" x14ac:dyDescent="0.25">
      <c r="A11" s="9" t="s">
        <v>17</v>
      </c>
      <c r="B11" s="10">
        <v>3.7999999999999999E-2</v>
      </c>
      <c r="C11" s="10">
        <v>0.25</v>
      </c>
      <c r="D11" s="10">
        <v>1.3</v>
      </c>
    </row>
    <row r="12" spans="1:4" ht="15" customHeight="1" x14ac:dyDescent="0.25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5">
      <c r="A13" s="9" t="s">
        <v>18</v>
      </c>
      <c r="B13" s="10">
        <v>0.19</v>
      </c>
      <c r="C13" s="10">
        <v>1.2</v>
      </c>
      <c r="D13" s="10">
        <v>6.4</v>
      </c>
    </row>
    <row r="14" spans="1:4" ht="15" customHeight="1" x14ac:dyDescent="0.25">
      <c r="A14" s="9" t="s">
        <v>19</v>
      </c>
      <c r="B14" s="10">
        <v>4.4999999999999998E-2</v>
      </c>
      <c r="C14" s="10">
        <v>0.28999999999999998</v>
      </c>
      <c r="D14" s="10">
        <v>1.6</v>
      </c>
    </row>
    <row r="15" spans="1:4" ht="15" customHeight="1" x14ac:dyDescent="0.25">
      <c r="A15" s="9" t="s">
        <v>20</v>
      </c>
      <c r="B15" s="10">
        <v>4.4000000000000002E-4</v>
      </c>
      <c r="C15" s="10">
        <v>2.8999999999999998E-3</v>
      </c>
      <c r="D15" s="10">
        <v>1.6E-2</v>
      </c>
    </row>
    <row r="16" spans="1:4" ht="15" customHeight="1" x14ac:dyDescent="0.25">
      <c r="A16" s="9" t="s">
        <v>21</v>
      </c>
      <c r="B16" s="10">
        <v>4.2000000000000002E-4</v>
      </c>
      <c r="C16" s="10">
        <v>2.8999999999999998E-3</v>
      </c>
      <c r="D16" s="10">
        <v>1.4999999999999999E-2</v>
      </c>
    </row>
    <row r="17" spans="1:4" ht="15" customHeight="1" x14ac:dyDescent="0.25">
      <c r="A17" s="9" t="s">
        <v>22</v>
      </c>
      <c r="B17" s="10">
        <v>1.6999999999999999E-3</v>
      </c>
      <c r="C17" s="10">
        <v>1.2E-2</v>
      </c>
      <c r="D17" s="10">
        <v>6.3E-2</v>
      </c>
    </row>
    <row r="18" spans="1:4" ht="15" customHeight="1" x14ac:dyDescent="0.25">
      <c r="A18" s="18" t="s">
        <v>23</v>
      </c>
      <c r="B18" s="13">
        <v>1.9000000000000001E-4</v>
      </c>
      <c r="C18" s="13">
        <v>1.1999999999999999E-3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423C-55A4-45FC-B7DB-3FF5999E02EE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67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1.2999999999999999E-3</v>
      </c>
      <c r="C5" s="10">
        <v>0.01</v>
      </c>
      <c r="D5" s="10">
        <v>5.6000000000000001E-2</v>
      </c>
    </row>
    <row r="6" spans="1:4" ht="15" customHeight="1" x14ac:dyDescent="0.25">
      <c r="A6" s="9" t="s">
        <v>6</v>
      </c>
      <c r="B6" s="10">
        <v>2.8999999999999998E-3</v>
      </c>
      <c r="C6" s="10">
        <v>2.4E-2</v>
      </c>
      <c r="D6" s="10">
        <v>0.13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6.7000000000000002E-4</v>
      </c>
      <c r="C8" s="10">
        <v>5.0000000000000001E-3</v>
      </c>
      <c r="D8" s="10">
        <v>2.7E-2</v>
      </c>
    </row>
    <row r="9" spans="1:4" ht="15" customHeight="1" x14ac:dyDescent="0.25">
      <c r="A9" s="9" t="s">
        <v>15</v>
      </c>
      <c r="B9" s="10">
        <v>1.6000000000000001E-3</v>
      </c>
      <c r="C9" s="10">
        <v>1.2E-2</v>
      </c>
      <c r="D9" s="10">
        <v>6.6000000000000003E-2</v>
      </c>
    </row>
    <row r="10" spans="1:4" ht="15" customHeight="1" x14ac:dyDescent="0.25">
      <c r="A10" s="9" t="s">
        <v>16</v>
      </c>
      <c r="B10" s="10">
        <v>0.02</v>
      </c>
      <c r="C10" s="10">
        <v>0.16</v>
      </c>
      <c r="D10" s="10">
        <v>0.83</v>
      </c>
    </row>
    <row r="11" spans="1:4" ht="15" customHeight="1" x14ac:dyDescent="0.25">
      <c r="A11" s="9" t="s">
        <v>17</v>
      </c>
      <c r="B11" s="10">
        <v>2.9000000000000001E-2</v>
      </c>
      <c r="C11" s="10">
        <v>0.22</v>
      </c>
      <c r="D11" s="10">
        <v>1.2</v>
      </c>
    </row>
    <row r="12" spans="1:4" ht="15" customHeight="1" x14ac:dyDescent="0.25">
      <c r="A12" s="9" t="s">
        <v>163</v>
      </c>
      <c r="B12" s="10">
        <v>0.82</v>
      </c>
      <c r="C12" s="10">
        <v>6.5</v>
      </c>
      <c r="D12" s="10">
        <v>34</v>
      </c>
    </row>
    <row r="13" spans="1:4" ht="15" customHeight="1" x14ac:dyDescent="0.25">
      <c r="A13" s="9" t="s">
        <v>18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5">
      <c r="A14" s="9" t="s">
        <v>19</v>
      </c>
      <c r="B14" s="10">
        <v>3.4000000000000002E-2</v>
      </c>
      <c r="C14" s="10">
        <v>0.26</v>
      </c>
      <c r="D14" s="10">
        <v>1.4</v>
      </c>
    </row>
    <row r="15" spans="1:4" ht="15" customHeight="1" x14ac:dyDescent="0.25">
      <c r="A15" s="9" t="s">
        <v>20</v>
      </c>
      <c r="B15" s="10">
        <v>3.1E-4</v>
      </c>
      <c r="C15" s="10">
        <v>2.7000000000000001E-3</v>
      </c>
      <c r="D15" s="10">
        <v>1.4999999999999999E-2</v>
      </c>
    </row>
    <row r="16" spans="1:4" ht="15" customHeight="1" x14ac:dyDescent="0.25">
      <c r="A16" s="9" t="s">
        <v>21</v>
      </c>
      <c r="B16" s="10">
        <v>2.9999999999999997E-4</v>
      </c>
      <c r="C16" s="10">
        <v>2.7000000000000001E-3</v>
      </c>
      <c r="D16" s="10">
        <v>1.4E-2</v>
      </c>
    </row>
    <row r="17" spans="1:4" ht="15" customHeight="1" x14ac:dyDescent="0.25">
      <c r="A17" s="9" t="s">
        <v>22</v>
      </c>
      <c r="B17" s="10">
        <v>1.1999999999999999E-3</v>
      </c>
      <c r="C17" s="10">
        <v>1.0999999999999999E-2</v>
      </c>
      <c r="D17" s="10">
        <v>6.2E-2</v>
      </c>
    </row>
    <row r="18" spans="1:4" ht="15" customHeight="1" x14ac:dyDescent="0.25">
      <c r="A18" s="18" t="s">
        <v>23</v>
      </c>
      <c r="B18" s="13">
        <v>1.2999999999999999E-4</v>
      </c>
      <c r="C18" s="13">
        <v>1.1999999999999999E-3</v>
      </c>
      <c r="D18" s="13">
        <v>6.6E-3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8A03-F3E3-4DFD-8C7D-34FC35305A0C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68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8.0000000000000004E-4</v>
      </c>
      <c r="C5" s="10">
        <v>4.4999999999999997E-3</v>
      </c>
      <c r="D5" s="10">
        <v>1.0999999999999999E-2</v>
      </c>
    </row>
    <row r="6" spans="1:4" ht="15" customHeight="1" x14ac:dyDescent="0.25">
      <c r="A6" s="9" t="s">
        <v>6</v>
      </c>
      <c r="B6" s="10">
        <v>1.8E-3</v>
      </c>
      <c r="C6" s="10">
        <v>0.01</v>
      </c>
      <c r="D6" s="10">
        <v>2.5000000000000001E-2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3.6999999999999999E-4</v>
      </c>
      <c r="C8" s="10">
        <v>2E-3</v>
      </c>
      <c r="D8" s="10">
        <v>4.5999999999999999E-3</v>
      </c>
    </row>
    <row r="9" spans="1:4" ht="15" customHeight="1" x14ac:dyDescent="0.25">
      <c r="A9" s="9" t="s">
        <v>15</v>
      </c>
      <c r="B9" s="10">
        <v>1E-3</v>
      </c>
      <c r="C9" s="10">
        <v>5.3E-3</v>
      </c>
      <c r="D9" s="10">
        <v>1.2999999999999999E-2</v>
      </c>
    </row>
    <row r="10" spans="1:4" ht="15" customHeight="1" x14ac:dyDescent="0.25">
      <c r="A10" s="9" t="s">
        <v>16</v>
      </c>
      <c r="B10" s="10">
        <v>1.2999999999999999E-2</v>
      </c>
      <c r="C10" s="10">
        <v>6.7000000000000004E-2</v>
      </c>
      <c r="D10" s="10">
        <v>0.16</v>
      </c>
    </row>
    <row r="11" spans="1:4" ht="15" customHeight="1" x14ac:dyDescent="0.25">
      <c r="A11" s="9" t="s">
        <v>17</v>
      </c>
      <c r="B11" s="10">
        <v>1.7999999999999999E-2</v>
      </c>
      <c r="C11" s="10">
        <v>9.6000000000000002E-2</v>
      </c>
      <c r="D11" s="10">
        <v>0.23</v>
      </c>
    </row>
    <row r="12" spans="1:4" ht="15" customHeight="1" x14ac:dyDescent="0.25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5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5">
      <c r="A14" s="9" t="s">
        <v>19</v>
      </c>
      <c r="B14" s="10">
        <v>2.1000000000000001E-2</v>
      </c>
      <c r="C14" s="10">
        <v>0.11</v>
      </c>
      <c r="D14" s="10">
        <v>0.27</v>
      </c>
    </row>
    <row r="15" spans="1:4" ht="15" customHeight="1" x14ac:dyDescent="0.25">
      <c r="A15" s="9" t="s">
        <v>20</v>
      </c>
      <c r="B15" s="10">
        <v>1.9000000000000001E-4</v>
      </c>
      <c r="C15" s="10">
        <v>1.1000000000000001E-3</v>
      </c>
      <c r="D15" s="10">
        <v>2.5999999999999999E-3</v>
      </c>
    </row>
    <row r="16" spans="1:4" ht="15" customHeight="1" x14ac:dyDescent="0.25">
      <c r="A16" s="9" t="s">
        <v>21</v>
      </c>
      <c r="B16" s="10">
        <v>1.8000000000000001E-4</v>
      </c>
      <c r="C16" s="10">
        <v>1E-3</v>
      </c>
      <c r="D16" s="10">
        <v>2.5000000000000001E-3</v>
      </c>
    </row>
    <row r="17" spans="1:4" ht="15" customHeight="1" x14ac:dyDescent="0.25">
      <c r="A17" s="9" t="s">
        <v>22</v>
      </c>
      <c r="B17" s="10">
        <v>7.6999999999999996E-4</v>
      </c>
      <c r="C17" s="10">
        <v>4.4000000000000003E-3</v>
      </c>
      <c r="D17" s="10">
        <v>1.0999999999999999E-2</v>
      </c>
    </row>
    <row r="18" spans="1:4" ht="15" customHeight="1" x14ac:dyDescent="0.25">
      <c r="A18" s="18" t="s">
        <v>23</v>
      </c>
      <c r="B18" s="13">
        <v>8.2000000000000001E-5</v>
      </c>
      <c r="C18" s="13">
        <v>4.8000000000000001E-4</v>
      </c>
      <c r="D18" s="13">
        <v>1.1999999999999999E-3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3D03-4C0C-467D-B593-7B6D0F6CC623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69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5.9000000000000003E-4</v>
      </c>
      <c r="C5" s="10">
        <v>5.8999999999999999E-3</v>
      </c>
      <c r="D5" s="10">
        <v>3.6999999999999998E-2</v>
      </c>
    </row>
    <row r="6" spans="1:4" ht="15" customHeight="1" x14ac:dyDescent="0.25">
      <c r="A6" s="9" t="s">
        <v>6</v>
      </c>
      <c r="B6" s="10">
        <v>1.2999999999999999E-3</v>
      </c>
      <c r="C6" s="10">
        <v>1.2999999999999999E-2</v>
      </c>
      <c r="D6" s="10">
        <v>8.4000000000000005E-2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2.4000000000000001E-4</v>
      </c>
      <c r="C8" s="10">
        <v>2.5999999999999999E-3</v>
      </c>
      <c r="D8" s="10">
        <v>1.7000000000000001E-2</v>
      </c>
    </row>
    <row r="9" spans="1:4" ht="15" customHeight="1" x14ac:dyDescent="0.25">
      <c r="A9" s="9" t="s">
        <v>15</v>
      </c>
      <c r="B9" s="10">
        <v>6.3000000000000003E-4</v>
      </c>
      <c r="C9" s="10">
        <v>6.7000000000000002E-3</v>
      </c>
      <c r="D9" s="10">
        <v>4.2000000000000003E-2</v>
      </c>
    </row>
    <row r="10" spans="1:4" ht="15" customHeight="1" x14ac:dyDescent="0.25">
      <c r="A10" s="9" t="s">
        <v>16</v>
      </c>
      <c r="B10" s="10">
        <v>8.0000000000000002E-3</v>
      </c>
      <c r="C10" s="10">
        <v>8.5000000000000006E-2</v>
      </c>
      <c r="D10" s="10">
        <v>0.54</v>
      </c>
    </row>
    <row r="11" spans="1:4" ht="15" customHeight="1" x14ac:dyDescent="0.25">
      <c r="A11" s="9" t="s">
        <v>17</v>
      </c>
      <c r="B11" s="10">
        <v>1.0999999999999999E-2</v>
      </c>
      <c r="C11" s="10">
        <v>0.12</v>
      </c>
      <c r="D11" s="10">
        <v>0.76</v>
      </c>
    </row>
    <row r="12" spans="1:4" ht="15" customHeight="1" x14ac:dyDescent="0.25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5">
      <c r="A13" s="9" t="s">
        <v>18</v>
      </c>
      <c r="B13" s="10">
        <v>5.8000000000000003E-2</v>
      </c>
      <c r="C13" s="10">
        <v>0.6</v>
      </c>
      <c r="D13" s="10">
        <v>3.7</v>
      </c>
    </row>
    <row r="14" spans="1:4" ht="15" customHeight="1" x14ac:dyDescent="0.25">
      <c r="A14" s="9" t="s">
        <v>19</v>
      </c>
      <c r="B14" s="10">
        <v>1.2999999999999999E-2</v>
      </c>
      <c r="C14" s="10">
        <v>0.14000000000000001</v>
      </c>
      <c r="D14" s="10">
        <v>0.9</v>
      </c>
    </row>
    <row r="15" spans="1:4" ht="15" customHeight="1" x14ac:dyDescent="0.25">
      <c r="A15" s="9" t="s">
        <v>20</v>
      </c>
      <c r="B15" s="10">
        <v>1.3999999999999999E-4</v>
      </c>
      <c r="C15" s="10">
        <v>1.5E-3</v>
      </c>
      <c r="D15" s="10">
        <v>9.4000000000000004E-3</v>
      </c>
    </row>
    <row r="16" spans="1:4" ht="15" customHeight="1" x14ac:dyDescent="0.25">
      <c r="A16" s="9" t="s">
        <v>21</v>
      </c>
      <c r="B16" s="10">
        <v>1.3999999999999999E-4</v>
      </c>
      <c r="C16" s="10">
        <v>1.5E-3</v>
      </c>
      <c r="D16" s="10">
        <v>9.4000000000000004E-3</v>
      </c>
    </row>
    <row r="17" spans="1:4" ht="15" customHeight="1" x14ac:dyDescent="0.25">
      <c r="A17" s="9" t="s">
        <v>22</v>
      </c>
      <c r="B17" s="10">
        <v>5.8E-4</v>
      </c>
      <c r="C17" s="10">
        <v>6.4000000000000003E-3</v>
      </c>
      <c r="D17" s="10">
        <v>0.04</v>
      </c>
    </row>
    <row r="18" spans="1:4" ht="15" customHeight="1" x14ac:dyDescent="0.25">
      <c r="A18" s="18" t="s">
        <v>23</v>
      </c>
      <c r="B18" s="13">
        <v>6.2000000000000003E-5</v>
      </c>
      <c r="C18" s="13">
        <v>6.8999999999999997E-4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17B3-0E44-4182-A97C-5EFFDFD8838E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70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1.6999999999999999E-3</v>
      </c>
      <c r="C5" s="10">
        <v>1.2999999999999999E-2</v>
      </c>
      <c r="D5" s="10">
        <v>4.8000000000000001E-2</v>
      </c>
    </row>
    <row r="6" spans="1:4" ht="15" customHeight="1" x14ac:dyDescent="0.25">
      <c r="A6" s="9" t="s">
        <v>6</v>
      </c>
      <c r="B6" s="10">
        <v>4.0000000000000001E-3</v>
      </c>
      <c r="C6" s="10">
        <v>0.03</v>
      </c>
      <c r="D6" s="10">
        <v>0.11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8.9999999999999998E-4</v>
      </c>
      <c r="C8" s="10">
        <v>6.4999999999999997E-3</v>
      </c>
      <c r="D8" s="10">
        <v>2.4E-2</v>
      </c>
    </row>
    <row r="9" spans="1:4" ht="15" customHeight="1" x14ac:dyDescent="0.25">
      <c r="A9" s="9" t="s">
        <v>15</v>
      </c>
      <c r="B9" s="10">
        <v>2.3999999999999998E-3</v>
      </c>
      <c r="C9" s="10">
        <v>1.7000000000000001E-2</v>
      </c>
      <c r="D9" s="10">
        <v>6.4000000000000001E-2</v>
      </c>
    </row>
    <row r="10" spans="1:4" ht="15" customHeight="1" x14ac:dyDescent="0.25">
      <c r="A10" s="9" t="s">
        <v>16</v>
      </c>
      <c r="B10" s="10">
        <v>3.1E-2</v>
      </c>
      <c r="C10" s="10">
        <v>0.22</v>
      </c>
      <c r="D10" s="10">
        <v>0.82</v>
      </c>
    </row>
    <row r="11" spans="1:4" ht="15" customHeight="1" x14ac:dyDescent="0.25">
      <c r="A11" s="9" t="s">
        <v>17</v>
      </c>
      <c r="B11" s="10">
        <v>4.3999999999999997E-2</v>
      </c>
      <c r="C11" s="10">
        <v>0.31</v>
      </c>
      <c r="D11" s="10">
        <v>1.2</v>
      </c>
    </row>
    <row r="12" spans="1:4" ht="15" customHeight="1" x14ac:dyDescent="0.25">
      <c r="A12" s="9" t="s">
        <v>163</v>
      </c>
      <c r="B12" s="10">
        <v>1.3</v>
      </c>
      <c r="C12" s="10">
        <v>9.5</v>
      </c>
      <c r="D12" s="10">
        <v>35</v>
      </c>
    </row>
    <row r="13" spans="1:4" ht="15" customHeight="1" x14ac:dyDescent="0.25">
      <c r="A13" s="9" t="s">
        <v>18</v>
      </c>
      <c r="B13" s="10">
        <v>0.21</v>
      </c>
      <c r="C13" s="10">
        <v>1.6</v>
      </c>
      <c r="D13" s="10">
        <v>5.9</v>
      </c>
    </row>
    <row r="14" spans="1:4" ht="15" customHeight="1" x14ac:dyDescent="0.25">
      <c r="A14" s="9" t="s">
        <v>19</v>
      </c>
      <c r="B14" s="10">
        <v>5.0999999999999997E-2</v>
      </c>
      <c r="C14" s="10">
        <v>0.37</v>
      </c>
      <c r="D14" s="10">
        <v>1.4</v>
      </c>
    </row>
    <row r="15" spans="1:4" ht="15" customHeight="1" x14ac:dyDescent="0.25">
      <c r="A15" s="9" t="s">
        <v>20</v>
      </c>
      <c r="B15" s="10">
        <v>4.2000000000000002E-4</v>
      </c>
      <c r="C15" s="10">
        <v>3.0999999999999999E-3</v>
      </c>
      <c r="D15" s="10">
        <v>1.2E-2</v>
      </c>
    </row>
    <row r="16" spans="1:4" ht="15" customHeight="1" x14ac:dyDescent="0.25">
      <c r="A16" s="9" t="s">
        <v>21</v>
      </c>
      <c r="B16" s="10">
        <v>3.8999999999999999E-4</v>
      </c>
      <c r="C16" s="10">
        <v>2.8999999999999998E-3</v>
      </c>
      <c r="D16" s="10">
        <v>1.0999999999999999E-2</v>
      </c>
    </row>
    <row r="17" spans="1:4" ht="15" customHeight="1" x14ac:dyDescent="0.25">
      <c r="A17" s="9" t="s">
        <v>22</v>
      </c>
      <c r="B17" s="10">
        <v>1.6999999999999999E-3</v>
      </c>
      <c r="C17" s="10">
        <v>1.2999999999999999E-2</v>
      </c>
      <c r="D17" s="10">
        <v>4.7E-2</v>
      </c>
    </row>
    <row r="18" spans="1:4" ht="15" customHeight="1" x14ac:dyDescent="0.25">
      <c r="A18" s="18" t="s">
        <v>23</v>
      </c>
      <c r="B18" s="13">
        <v>1.8000000000000001E-4</v>
      </c>
      <c r="C18" s="13">
        <v>1.4E-3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2A9F-4C66-4140-9816-AB80D7B8B503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71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1E-3</v>
      </c>
      <c r="C5" s="10">
        <v>6.4000000000000003E-3</v>
      </c>
      <c r="D5" s="10">
        <v>4.2999999999999997E-2</v>
      </c>
    </row>
    <row r="6" spans="1:4" ht="15" customHeight="1" x14ac:dyDescent="0.25">
      <c r="A6" s="9" t="s">
        <v>6</v>
      </c>
      <c r="B6" s="10">
        <v>2.3E-3</v>
      </c>
      <c r="C6" s="10">
        <v>1.4999999999999999E-2</v>
      </c>
      <c r="D6" s="10">
        <v>9.6000000000000002E-2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5.5000000000000003E-4</v>
      </c>
      <c r="C8" s="10">
        <v>3.7000000000000002E-3</v>
      </c>
      <c r="D8" s="10">
        <v>2.4E-2</v>
      </c>
    </row>
    <row r="9" spans="1:4" ht="15" customHeight="1" x14ac:dyDescent="0.25">
      <c r="A9" s="9" t="s">
        <v>15</v>
      </c>
      <c r="B9" s="10">
        <v>1.4E-3</v>
      </c>
      <c r="C9" s="10">
        <v>8.3999999999999995E-3</v>
      </c>
      <c r="D9" s="10">
        <v>5.7000000000000002E-2</v>
      </c>
    </row>
    <row r="10" spans="1:4" ht="15" customHeight="1" x14ac:dyDescent="0.25">
      <c r="A10" s="9" t="s">
        <v>16</v>
      </c>
      <c r="B10" s="10">
        <v>1.7999999999999999E-2</v>
      </c>
      <c r="C10" s="10">
        <v>0.11</v>
      </c>
      <c r="D10" s="10">
        <v>0.73</v>
      </c>
    </row>
    <row r="11" spans="1:4" ht="15" customHeight="1" x14ac:dyDescent="0.25">
      <c r="A11" s="9" t="s">
        <v>17</v>
      </c>
      <c r="B11" s="10">
        <v>2.5999999999999999E-2</v>
      </c>
      <c r="C11" s="10">
        <v>0.15</v>
      </c>
      <c r="D11" s="10">
        <v>1</v>
      </c>
    </row>
    <row r="12" spans="1:4" ht="15" customHeight="1" x14ac:dyDescent="0.25">
      <c r="A12" s="9" t="s">
        <v>163</v>
      </c>
      <c r="B12" s="10">
        <v>0.73</v>
      </c>
      <c r="C12" s="10">
        <v>4.5</v>
      </c>
      <c r="D12" s="10">
        <v>31</v>
      </c>
    </row>
    <row r="13" spans="1:4" ht="15" customHeight="1" x14ac:dyDescent="0.25">
      <c r="A13" s="9" t="s">
        <v>18</v>
      </c>
      <c r="B13" s="10">
        <v>0.12</v>
      </c>
      <c r="C13" s="10">
        <v>0.77</v>
      </c>
      <c r="D13" s="10">
        <v>5.3</v>
      </c>
    </row>
    <row r="14" spans="1:4" ht="15" customHeight="1" x14ac:dyDescent="0.25">
      <c r="A14" s="9" t="s">
        <v>19</v>
      </c>
      <c r="B14" s="10">
        <v>0.03</v>
      </c>
      <c r="C14" s="10">
        <v>0.18</v>
      </c>
      <c r="D14" s="10">
        <v>1.2</v>
      </c>
    </row>
    <row r="15" spans="1:4" ht="15" customHeight="1" x14ac:dyDescent="0.25">
      <c r="A15" s="9" t="s">
        <v>20</v>
      </c>
      <c r="B15" s="10">
        <v>2.5000000000000001E-4</v>
      </c>
      <c r="C15" s="10">
        <v>1.6999999999999999E-3</v>
      </c>
      <c r="D15" s="10">
        <v>1.0999999999999999E-2</v>
      </c>
    </row>
    <row r="16" spans="1:4" ht="15" customHeight="1" x14ac:dyDescent="0.25">
      <c r="A16" s="9" t="s">
        <v>21</v>
      </c>
      <c r="B16" s="10">
        <v>2.4000000000000001E-4</v>
      </c>
      <c r="C16" s="10">
        <v>1.6000000000000001E-3</v>
      </c>
      <c r="D16" s="10">
        <v>1.0999999999999999E-2</v>
      </c>
    </row>
    <row r="17" spans="1:4" ht="15" customHeight="1" x14ac:dyDescent="0.25">
      <c r="A17" s="9" t="s">
        <v>22</v>
      </c>
      <c r="B17" s="10">
        <v>1E-3</v>
      </c>
      <c r="C17" s="10">
        <v>6.4999999999999997E-3</v>
      </c>
      <c r="D17" s="10">
        <v>4.2999999999999997E-2</v>
      </c>
    </row>
    <row r="18" spans="1:4" ht="15" customHeight="1" x14ac:dyDescent="0.25">
      <c r="A18" s="18" t="s">
        <v>23</v>
      </c>
      <c r="B18" s="13">
        <v>1.1E-4</v>
      </c>
      <c r="C18" s="13">
        <v>7.1000000000000002E-4</v>
      </c>
      <c r="D18" s="13">
        <v>4.7000000000000002E-3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D9F2-55D9-4961-BA6F-11382F4CA736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72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8.1999999999999998E-4</v>
      </c>
      <c r="C5" s="10">
        <v>5.4000000000000003E-3</v>
      </c>
      <c r="D5" s="10">
        <v>3.5000000000000003E-2</v>
      </c>
    </row>
    <row r="6" spans="1:4" ht="15" customHeight="1" x14ac:dyDescent="0.25">
      <c r="A6" s="9" t="s">
        <v>6</v>
      </c>
      <c r="B6" s="10">
        <v>1.9E-3</v>
      </c>
      <c r="C6" s="10">
        <v>1.2E-2</v>
      </c>
      <c r="D6" s="10">
        <v>7.9000000000000001E-2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4.2000000000000002E-4</v>
      </c>
      <c r="C8" s="10">
        <v>2.8E-3</v>
      </c>
      <c r="D8" s="10">
        <v>1.7999999999999999E-2</v>
      </c>
    </row>
    <row r="9" spans="1:4" ht="15" customHeight="1" x14ac:dyDescent="0.25">
      <c r="A9" s="9" t="s">
        <v>15</v>
      </c>
      <c r="B9" s="10">
        <v>1.1000000000000001E-3</v>
      </c>
      <c r="C9" s="10">
        <v>6.7999999999999996E-3</v>
      </c>
      <c r="D9" s="10">
        <v>4.7E-2</v>
      </c>
    </row>
    <row r="10" spans="1:4" ht="15" customHeight="1" x14ac:dyDescent="0.25">
      <c r="A10" s="9" t="s">
        <v>16</v>
      </c>
      <c r="B10" s="10">
        <v>1.4E-2</v>
      </c>
      <c r="C10" s="10">
        <v>8.5999999999999993E-2</v>
      </c>
      <c r="D10" s="10">
        <v>0.59</v>
      </c>
    </row>
    <row r="11" spans="1:4" ht="15" customHeight="1" x14ac:dyDescent="0.25">
      <c r="A11" s="9" t="s">
        <v>17</v>
      </c>
      <c r="B11" s="10">
        <v>0.02</v>
      </c>
      <c r="C11" s="10">
        <v>0.12</v>
      </c>
      <c r="D11" s="10">
        <v>0.84</v>
      </c>
    </row>
    <row r="12" spans="1:4" ht="15" customHeight="1" x14ac:dyDescent="0.25">
      <c r="A12" s="9" t="s">
        <v>163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5">
      <c r="A13" s="9" t="s">
        <v>18</v>
      </c>
      <c r="B13" s="10">
        <v>9.8000000000000004E-2</v>
      </c>
      <c r="C13" s="10">
        <v>0.61</v>
      </c>
      <c r="D13" s="10">
        <v>4.2</v>
      </c>
    </row>
    <row r="14" spans="1:4" ht="15" customHeight="1" x14ac:dyDescent="0.25">
      <c r="A14" s="9" t="s">
        <v>19</v>
      </c>
      <c r="B14" s="10">
        <v>2.4E-2</v>
      </c>
      <c r="C14" s="10">
        <v>0.14000000000000001</v>
      </c>
      <c r="D14" s="10">
        <v>0.99</v>
      </c>
    </row>
    <row r="15" spans="1:4" ht="15" customHeight="1" x14ac:dyDescent="0.25">
      <c r="A15" s="9" t="s">
        <v>20</v>
      </c>
      <c r="B15" s="10">
        <v>2.0000000000000001E-4</v>
      </c>
      <c r="C15" s="10">
        <v>1.4E-3</v>
      </c>
      <c r="D15" s="10">
        <v>9.1000000000000004E-3</v>
      </c>
    </row>
    <row r="16" spans="1:4" ht="15" customHeight="1" x14ac:dyDescent="0.25">
      <c r="A16" s="9" t="s">
        <v>21</v>
      </c>
      <c r="B16" s="10">
        <v>2.0000000000000001E-4</v>
      </c>
      <c r="C16" s="10">
        <v>1.4E-3</v>
      </c>
      <c r="D16" s="10">
        <v>8.8000000000000005E-3</v>
      </c>
    </row>
    <row r="17" spans="1:4" ht="15" customHeight="1" x14ac:dyDescent="0.25">
      <c r="A17" s="9" t="s">
        <v>22</v>
      </c>
      <c r="B17" s="10">
        <v>8.1999999999999998E-4</v>
      </c>
      <c r="C17" s="10">
        <v>5.4999999999999997E-3</v>
      </c>
      <c r="D17" s="10">
        <v>3.5999999999999997E-2</v>
      </c>
    </row>
    <row r="18" spans="1:4" ht="15" customHeight="1" x14ac:dyDescent="0.25">
      <c r="A18" s="18" t="s">
        <v>23</v>
      </c>
      <c r="B18" s="13">
        <v>8.7999999999999998E-5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59AC-4CC7-4A2C-B5C7-F77B9DF0E6E8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73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9.2000000000000003E-4</v>
      </c>
      <c r="C5" s="10">
        <v>1.0999999999999999E-2</v>
      </c>
      <c r="D5" s="10">
        <v>3.1E-2</v>
      </c>
    </row>
    <row r="6" spans="1:4" ht="15" customHeight="1" x14ac:dyDescent="0.25">
      <c r="A6" s="9" t="s">
        <v>6</v>
      </c>
      <c r="B6" s="10">
        <v>2.0999999999999999E-3</v>
      </c>
      <c r="C6" s="10">
        <v>2.5000000000000001E-2</v>
      </c>
      <c r="D6" s="10">
        <v>7.0999999999999994E-2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4.6000000000000001E-4</v>
      </c>
      <c r="C8" s="10">
        <v>5.7000000000000002E-3</v>
      </c>
      <c r="D8" s="10">
        <v>1.7000000000000001E-2</v>
      </c>
    </row>
    <row r="9" spans="1:4" ht="15" customHeight="1" x14ac:dyDescent="0.25">
      <c r="A9" s="9" t="s">
        <v>15</v>
      </c>
      <c r="B9" s="10">
        <v>1.2999999999999999E-3</v>
      </c>
      <c r="C9" s="10">
        <v>1.7999999999999999E-2</v>
      </c>
      <c r="D9" s="10">
        <v>4.2999999999999997E-2</v>
      </c>
    </row>
    <row r="10" spans="1:4" ht="15" customHeight="1" x14ac:dyDescent="0.25">
      <c r="A10" s="9" t="s">
        <v>16</v>
      </c>
      <c r="B10" s="10">
        <v>1.6E-2</v>
      </c>
      <c r="C10" s="10">
        <v>0.23</v>
      </c>
      <c r="D10" s="10">
        <v>0.55000000000000004</v>
      </c>
    </row>
    <row r="11" spans="1:4" ht="15" customHeight="1" x14ac:dyDescent="0.25">
      <c r="A11" s="9" t="s">
        <v>17</v>
      </c>
      <c r="B11" s="10">
        <v>2.3E-2</v>
      </c>
      <c r="C11" s="10">
        <v>0.33</v>
      </c>
      <c r="D11" s="10">
        <v>0.78</v>
      </c>
    </row>
    <row r="12" spans="1:4" ht="15" customHeight="1" x14ac:dyDescent="0.25">
      <c r="A12" s="9" t="s">
        <v>163</v>
      </c>
      <c r="B12" s="10">
        <v>0.67</v>
      </c>
      <c r="C12" s="10">
        <v>10</v>
      </c>
      <c r="D12" s="10">
        <v>23</v>
      </c>
    </row>
    <row r="13" spans="1:4" ht="15" customHeight="1" x14ac:dyDescent="0.25">
      <c r="A13" s="9" t="s">
        <v>18</v>
      </c>
      <c r="B13" s="10">
        <v>0.11</v>
      </c>
      <c r="C13" s="10">
        <v>1.7</v>
      </c>
      <c r="D13" s="10">
        <v>4</v>
      </c>
    </row>
    <row r="14" spans="1:4" ht="15" customHeight="1" x14ac:dyDescent="0.25">
      <c r="A14" s="9" t="s">
        <v>19</v>
      </c>
      <c r="B14" s="10">
        <v>2.7E-2</v>
      </c>
      <c r="C14" s="10">
        <v>0.39</v>
      </c>
      <c r="D14" s="10">
        <v>0.92</v>
      </c>
    </row>
    <row r="15" spans="1:4" ht="15" customHeight="1" x14ac:dyDescent="0.25">
      <c r="A15" s="9" t="s">
        <v>20</v>
      </c>
      <c r="B15" s="10">
        <v>2.3000000000000001E-4</v>
      </c>
      <c r="C15" s="10">
        <v>3.0999999999999999E-3</v>
      </c>
      <c r="D15" s="10">
        <v>8.0999999999999996E-3</v>
      </c>
    </row>
    <row r="16" spans="1:4" ht="15" customHeight="1" x14ac:dyDescent="0.25">
      <c r="A16" s="9" t="s">
        <v>21</v>
      </c>
      <c r="B16" s="10">
        <v>2.3000000000000001E-4</v>
      </c>
      <c r="C16" s="10">
        <v>2.8E-3</v>
      </c>
      <c r="D16" s="10">
        <v>7.7999999999999996E-3</v>
      </c>
    </row>
    <row r="17" spans="1:4" ht="15" customHeight="1" x14ac:dyDescent="0.25">
      <c r="A17" s="9" t="s">
        <v>22</v>
      </c>
      <c r="B17" s="10">
        <v>9.3999999999999997E-4</v>
      </c>
      <c r="C17" s="10">
        <v>1.2E-2</v>
      </c>
      <c r="D17" s="10">
        <v>3.2000000000000001E-2</v>
      </c>
    </row>
    <row r="18" spans="1:4" ht="15" customHeight="1" x14ac:dyDescent="0.25">
      <c r="A18" s="18" t="s">
        <v>23</v>
      </c>
      <c r="B18" s="13">
        <v>1E-4</v>
      </c>
      <c r="C18" s="13">
        <v>1.2999999999999999E-3</v>
      </c>
      <c r="D18" s="13">
        <v>3.3999999999999998E-3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3A82-068B-4C4E-81AF-125ED6670642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74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8.8000000000000003E-4</v>
      </c>
      <c r="C5" s="10">
        <v>5.8999999999999999E-3</v>
      </c>
      <c r="D5" s="10">
        <v>4.1000000000000002E-2</v>
      </c>
    </row>
    <row r="6" spans="1:4" ht="15" customHeight="1" x14ac:dyDescent="0.25">
      <c r="A6" s="9" t="s">
        <v>6</v>
      </c>
      <c r="B6" s="10">
        <v>2E-3</v>
      </c>
      <c r="C6" s="10">
        <v>1.2999999999999999E-2</v>
      </c>
      <c r="D6" s="10">
        <v>9.1999999999999998E-2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4.6999999999999999E-4</v>
      </c>
      <c r="C8" s="10">
        <v>3.2000000000000002E-3</v>
      </c>
      <c r="D8" s="10">
        <v>2.4E-2</v>
      </c>
    </row>
    <row r="9" spans="1:4" ht="15" customHeight="1" x14ac:dyDescent="0.25">
      <c r="A9" s="9" t="s">
        <v>15</v>
      </c>
      <c r="B9" s="10">
        <v>1.2999999999999999E-3</v>
      </c>
      <c r="C9" s="10">
        <v>9.2999999999999992E-3</v>
      </c>
      <c r="D9" s="10">
        <v>5.7000000000000002E-2</v>
      </c>
    </row>
    <row r="10" spans="1:4" ht="15" customHeight="1" x14ac:dyDescent="0.25">
      <c r="A10" s="9" t="s">
        <v>16</v>
      </c>
      <c r="B10" s="10">
        <v>1.6E-2</v>
      </c>
      <c r="C10" s="10">
        <v>0.12</v>
      </c>
      <c r="D10" s="10">
        <v>0.72</v>
      </c>
    </row>
    <row r="11" spans="1:4" ht="15" customHeight="1" x14ac:dyDescent="0.25">
      <c r="A11" s="9" t="s">
        <v>17</v>
      </c>
      <c r="B11" s="10">
        <v>2.3E-2</v>
      </c>
      <c r="C11" s="10">
        <v>0.17</v>
      </c>
      <c r="D11" s="10">
        <v>1</v>
      </c>
    </row>
    <row r="12" spans="1:4" ht="15" customHeight="1" x14ac:dyDescent="0.25">
      <c r="A12" s="9" t="s">
        <v>163</v>
      </c>
      <c r="B12" s="10">
        <v>0.67</v>
      </c>
      <c r="C12" s="10">
        <v>4.7</v>
      </c>
      <c r="D12" s="10">
        <v>31</v>
      </c>
    </row>
    <row r="13" spans="1:4" ht="15" customHeight="1" x14ac:dyDescent="0.25">
      <c r="A13" s="9" t="s">
        <v>18</v>
      </c>
      <c r="B13" s="10">
        <v>0.11</v>
      </c>
      <c r="C13" s="10">
        <v>0.8</v>
      </c>
      <c r="D13" s="10">
        <v>5.3</v>
      </c>
    </row>
    <row r="14" spans="1:4" ht="15" customHeight="1" x14ac:dyDescent="0.25">
      <c r="A14" s="9" t="s">
        <v>19</v>
      </c>
      <c r="B14" s="10">
        <v>2.7E-2</v>
      </c>
      <c r="C14" s="10">
        <v>0.2</v>
      </c>
      <c r="D14" s="10">
        <v>1.2</v>
      </c>
    </row>
    <row r="15" spans="1:4" ht="15" customHeight="1" x14ac:dyDescent="0.25">
      <c r="A15" s="9" t="s">
        <v>20</v>
      </c>
      <c r="B15" s="10">
        <v>2.2000000000000001E-4</v>
      </c>
      <c r="C15" s="10">
        <v>1.2999999999999999E-3</v>
      </c>
      <c r="D15" s="10">
        <v>1.0999999999999999E-2</v>
      </c>
    </row>
    <row r="16" spans="1:4" ht="15" customHeight="1" x14ac:dyDescent="0.25">
      <c r="A16" s="9" t="s">
        <v>21</v>
      </c>
      <c r="B16" s="10">
        <v>2.1000000000000001E-4</v>
      </c>
      <c r="C16" s="10">
        <v>1.2999999999999999E-3</v>
      </c>
      <c r="D16" s="10">
        <v>0.01</v>
      </c>
    </row>
    <row r="17" spans="1:4" ht="15" customHeight="1" x14ac:dyDescent="0.25">
      <c r="A17" s="9" t="s">
        <v>22</v>
      </c>
      <c r="B17" s="10">
        <v>8.9999999999999998E-4</v>
      </c>
      <c r="C17" s="10">
        <v>5.5999999999999999E-3</v>
      </c>
      <c r="D17" s="10">
        <v>4.1000000000000002E-2</v>
      </c>
    </row>
    <row r="18" spans="1:4" ht="15" customHeight="1" x14ac:dyDescent="0.25">
      <c r="A18" s="18" t="s">
        <v>23</v>
      </c>
      <c r="B18" s="13">
        <v>9.7E-5</v>
      </c>
      <c r="C18" s="13">
        <v>5.9999999999999995E-4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B416-EB77-4C21-AD57-94D5905FB3FE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75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9.7999999999999997E-4</v>
      </c>
      <c r="C5" s="10">
        <v>2.5999999999999999E-3</v>
      </c>
      <c r="D5" s="10">
        <v>4.8000000000000001E-2</v>
      </c>
    </row>
    <row r="6" spans="1:4" ht="15" customHeight="1" x14ac:dyDescent="0.25">
      <c r="A6" s="9" t="s">
        <v>6</v>
      </c>
      <c r="B6" s="10">
        <v>2.2000000000000001E-3</v>
      </c>
      <c r="C6" s="10">
        <v>6.0000000000000001E-3</v>
      </c>
      <c r="D6" s="10">
        <v>0.11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5.1999999999999995E-4</v>
      </c>
      <c r="C8" s="10">
        <v>1.4E-3</v>
      </c>
      <c r="D8" s="10">
        <v>2.7E-2</v>
      </c>
    </row>
    <row r="9" spans="1:4" ht="15" customHeight="1" x14ac:dyDescent="0.25">
      <c r="A9" s="9" t="s">
        <v>15</v>
      </c>
      <c r="B9" s="10">
        <v>1.2999999999999999E-3</v>
      </c>
      <c r="C9" s="10">
        <v>4.1000000000000003E-3</v>
      </c>
      <c r="D9" s="10">
        <v>6.7000000000000004E-2</v>
      </c>
    </row>
    <row r="10" spans="1:4" ht="15" customHeight="1" x14ac:dyDescent="0.25">
      <c r="A10" s="9" t="s">
        <v>16</v>
      </c>
      <c r="B10" s="10">
        <v>1.7000000000000001E-2</v>
      </c>
      <c r="C10" s="10">
        <v>5.1999999999999998E-2</v>
      </c>
      <c r="D10" s="10">
        <v>0.86</v>
      </c>
    </row>
    <row r="11" spans="1:4" ht="15" customHeight="1" x14ac:dyDescent="0.25">
      <c r="A11" s="9" t="s">
        <v>17</v>
      </c>
      <c r="B11" s="10">
        <v>2.5000000000000001E-2</v>
      </c>
      <c r="C11" s="10">
        <v>7.3999999999999996E-2</v>
      </c>
      <c r="D11" s="10">
        <v>1.2</v>
      </c>
    </row>
    <row r="12" spans="1:4" ht="15" customHeight="1" x14ac:dyDescent="0.25">
      <c r="A12" s="9" t="s">
        <v>163</v>
      </c>
      <c r="B12" s="10">
        <v>0.7</v>
      </c>
      <c r="C12" s="10">
        <v>2.1</v>
      </c>
      <c r="D12" s="10">
        <v>36</v>
      </c>
    </row>
    <row r="13" spans="1:4" ht="15" customHeight="1" x14ac:dyDescent="0.25">
      <c r="A13" s="9" t="s">
        <v>18</v>
      </c>
      <c r="B13" s="10">
        <v>0.12</v>
      </c>
      <c r="C13" s="10">
        <v>0.35</v>
      </c>
      <c r="D13" s="10">
        <v>6.2</v>
      </c>
    </row>
    <row r="14" spans="1:4" ht="15" customHeight="1" x14ac:dyDescent="0.25">
      <c r="A14" s="9" t="s">
        <v>19</v>
      </c>
      <c r="B14" s="10">
        <v>2.9000000000000001E-2</v>
      </c>
      <c r="C14" s="10">
        <v>8.6999999999999994E-2</v>
      </c>
      <c r="D14" s="10">
        <v>1.4</v>
      </c>
    </row>
    <row r="15" spans="1:4" ht="15" customHeight="1" x14ac:dyDescent="0.25">
      <c r="A15" s="9" t="s">
        <v>20</v>
      </c>
      <c r="B15" s="10">
        <v>2.5000000000000001E-4</v>
      </c>
      <c r="C15" s="10">
        <v>6.2E-4</v>
      </c>
      <c r="D15" s="10">
        <v>1.2E-2</v>
      </c>
    </row>
    <row r="16" spans="1:4" ht="15" customHeight="1" x14ac:dyDescent="0.25">
      <c r="A16" s="9" t="s">
        <v>21</v>
      </c>
      <c r="B16" s="10">
        <v>2.4000000000000001E-4</v>
      </c>
      <c r="C16" s="10">
        <v>5.9999999999999995E-4</v>
      </c>
      <c r="D16" s="10">
        <v>1.2E-2</v>
      </c>
    </row>
    <row r="17" spans="1:4" ht="15" customHeight="1" x14ac:dyDescent="0.25">
      <c r="A17" s="9" t="s">
        <v>22</v>
      </c>
      <c r="B17" s="10">
        <v>9.7999999999999997E-4</v>
      </c>
      <c r="C17" s="10">
        <v>2.5000000000000001E-3</v>
      </c>
      <c r="D17" s="10">
        <v>4.9000000000000002E-2</v>
      </c>
    </row>
    <row r="18" spans="1:4" ht="15" customHeight="1" x14ac:dyDescent="0.25">
      <c r="A18" s="18" t="s">
        <v>23</v>
      </c>
      <c r="B18" s="13">
        <v>1.1E-4</v>
      </c>
      <c r="C18" s="13">
        <v>2.7E-4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C6C5-1B48-4C4D-8759-BF473743C953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76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6.9999999999999999E-4</v>
      </c>
      <c r="C5" s="10">
        <v>4.7999999999999996E-3</v>
      </c>
      <c r="D5" s="10">
        <v>1.7000000000000001E-2</v>
      </c>
    </row>
    <row r="6" spans="1:4" ht="15" customHeight="1" x14ac:dyDescent="0.25">
      <c r="A6" s="9" t="s">
        <v>6</v>
      </c>
      <c r="B6" s="10">
        <v>1.6000000000000001E-3</v>
      </c>
      <c r="C6" s="10">
        <v>1.0999999999999999E-2</v>
      </c>
      <c r="D6" s="10">
        <v>3.9E-2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3.3E-4</v>
      </c>
      <c r="C8" s="10">
        <v>2.3E-3</v>
      </c>
      <c r="D8" s="10">
        <v>9.4000000000000004E-3</v>
      </c>
    </row>
    <row r="9" spans="1:4" ht="15" customHeight="1" x14ac:dyDescent="0.25">
      <c r="A9" s="9" t="s">
        <v>15</v>
      </c>
      <c r="B9" s="10">
        <v>8.8999999999999995E-4</v>
      </c>
      <c r="C9" s="10">
        <v>5.7000000000000002E-3</v>
      </c>
      <c r="D9" s="10">
        <v>2.1999999999999999E-2</v>
      </c>
    </row>
    <row r="10" spans="1:4" ht="15" customHeight="1" x14ac:dyDescent="0.25">
      <c r="A10" s="9" t="s">
        <v>16</v>
      </c>
      <c r="B10" s="10">
        <v>1.0999999999999999E-2</v>
      </c>
      <c r="C10" s="10">
        <v>7.2999999999999995E-2</v>
      </c>
      <c r="D10" s="10">
        <v>0.28999999999999998</v>
      </c>
    </row>
    <row r="11" spans="1:4" ht="15" customHeight="1" x14ac:dyDescent="0.25">
      <c r="A11" s="9" t="s">
        <v>17</v>
      </c>
      <c r="B11" s="10">
        <v>1.6E-2</v>
      </c>
      <c r="C11" s="10">
        <v>0.1</v>
      </c>
      <c r="D11" s="10">
        <v>0.41</v>
      </c>
    </row>
    <row r="12" spans="1:4" ht="15" customHeight="1" x14ac:dyDescent="0.25">
      <c r="A12" s="9" t="s">
        <v>163</v>
      </c>
      <c r="B12" s="10">
        <v>0.46</v>
      </c>
      <c r="C12" s="10">
        <v>3</v>
      </c>
      <c r="D12" s="10">
        <v>12</v>
      </c>
    </row>
    <row r="13" spans="1:4" ht="15" customHeight="1" x14ac:dyDescent="0.25">
      <c r="A13" s="9" t="s">
        <v>18</v>
      </c>
      <c r="B13" s="10">
        <v>7.6999999999999999E-2</v>
      </c>
      <c r="C13" s="10">
        <v>0.52</v>
      </c>
      <c r="D13" s="10">
        <v>2</v>
      </c>
    </row>
    <row r="14" spans="1:4" ht="15" customHeight="1" x14ac:dyDescent="0.25">
      <c r="A14" s="9" t="s">
        <v>19</v>
      </c>
      <c r="B14" s="10">
        <v>1.9E-2</v>
      </c>
      <c r="C14" s="10">
        <v>0.12</v>
      </c>
      <c r="D14" s="10">
        <v>0.48</v>
      </c>
    </row>
    <row r="15" spans="1:4" ht="15" customHeight="1" x14ac:dyDescent="0.25">
      <c r="A15" s="9" t="s">
        <v>20</v>
      </c>
      <c r="B15" s="10">
        <v>1.7000000000000001E-4</v>
      </c>
      <c r="C15" s="10">
        <v>1.1999999999999999E-3</v>
      </c>
      <c r="D15" s="10">
        <v>4.4000000000000003E-3</v>
      </c>
    </row>
    <row r="16" spans="1:4" ht="15" customHeight="1" x14ac:dyDescent="0.25">
      <c r="A16" s="9" t="s">
        <v>21</v>
      </c>
      <c r="B16" s="10">
        <v>1.7000000000000001E-4</v>
      </c>
      <c r="C16" s="10">
        <v>1.1999999999999999E-3</v>
      </c>
      <c r="D16" s="10">
        <v>4.3E-3</v>
      </c>
    </row>
    <row r="17" spans="1:4" ht="15" customHeight="1" x14ac:dyDescent="0.25">
      <c r="A17" s="9" t="s">
        <v>22</v>
      </c>
      <c r="B17" s="10">
        <v>6.8000000000000005E-4</v>
      </c>
      <c r="C17" s="10">
        <v>4.8999999999999998E-3</v>
      </c>
      <c r="D17" s="10">
        <v>1.7999999999999999E-2</v>
      </c>
    </row>
    <row r="18" spans="1:4" ht="15" customHeight="1" x14ac:dyDescent="0.25">
      <c r="A18" s="18" t="s">
        <v>23</v>
      </c>
      <c r="B18" s="13">
        <v>7.3999999999999996E-5</v>
      </c>
      <c r="C18" s="13">
        <v>5.4000000000000001E-4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91E4-3C1D-4007-A247-2746F525BCFB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77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2.4000000000000001E-4</v>
      </c>
      <c r="C5" s="10">
        <v>1.6000000000000001E-3</v>
      </c>
      <c r="D5" s="10">
        <v>5.8999999999999999E-3</v>
      </c>
    </row>
    <row r="6" spans="1:4" ht="15" customHeight="1" x14ac:dyDescent="0.25">
      <c r="A6" s="9" t="s">
        <v>6</v>
      </c>
      <c r="B6" s="10">
        <v>5.4000000000000001E-4</v>
      </c>
      <c r="C6" s="10">
        <v>3.5000000000000001E-3</v>
      </c>
      <c r="D6" s="10">
        <v>1.2999999999999999E-2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1.3999999999999999E-4</v>
      </c>
      <c r="C8" s="10">
        <v>8.4000000000000003E-4</v>
      </c>
      <c r="D8" s="10">
        <v>3.2000000000000002E-3</v>
      </c>
    </row>
    <row r="9" spans="1:4" ht="15" customHeight="1" x14ac:dyDescent="0.25">
      <c r="A9" s="9" t="s">
        <v>15</v>
      </c>
      <c r="B9" s="10">
        <v>3.8000000000000002E-4</v>
      </c>
      <c r="C9" s="10">
        <v>2E-3</v>
      </c>
      <c r="D9" s="10">
        <v>8.0000000000000002E-3</v>
      </c>
    </row>
    <row r="10" spans="1:4" ht="15" customHeight="1" x14ac:dyDescent="0.25">
      <c r="A10" s="9" t="s">
        <v>16</v>
      </c>
      <c r="B10" s="10">
        <v>4.8999999999999998E-3</v>
      </c>
      <c r="C10" s="10">
        <v>2.5999999999999999E-2</v>
      </c>
      <c r="D10" s="10">
        <v>0.1</v>
      </c>
    </row>
    <row r="11" spans="1:4" ht="15" customHeight="1" x14ac:dyDescent="0.25">
      <c r="A11" s="9" t="s">
        <v>17</v>
      </c>
      <c r="B11" s="10">
        <v>7.0000000000000001E-3</v>
      </c>
      <c r="C11" s="10">
        <v>3.6999999999999998E-2</v>
      </c>
      <c r="D11" s="10">
        <v>0.14000000000000001</v>
      </c>
    </row>
    <row r="12" spans="1:4" ht="15" customHeight="1" x14ac:dyDescent="0.25">
      <c r="A12" s="9" t="s">
        <v>163</v>
      </c>
      <c r="B12" s="10">
        <v>0.21</v>
      </c>
      <c r="C12" s="10">
        <v>1.1000000000000001</v>
      </c>
      <c r="D12" s="10">
        <v>4.4000000000000004</v>
      </c>
    </row>
    <row r="13" spans="1:4" ht="15" customHeight="1" x14ac:dyDescent="0.25">
      <c r="A13" s="9" t="s">
        <v>18</v>
      </c>
      <c r="B13" s="10">
        <v>3.5999999999999997E-2</v>
      </c>
      <c r="C13" s="10">
        <v>0.19</v>
      </c>
      <c r="D13" s="10">
        <v>0.75</v>
      </c>
    </row>
    <row r="14" spans="1:4" ht="15" customHeight="1" x14ac:dyDescent="0.25">
      <c r="A14" s="9" t="s">
        <v>19</v>
      </c>
      <c r="B14" s="10">
        <v>8.2000000000000007E-3</v>
      </c>
      <c r="C14" s="10">
        <v>4.2999999999999997E-2</v>
      </c>
      <c r="D14" s="10">
        <v>0.17</v>
      </c>
    </row>
    <row r="15" spans="1:4" ht="15" customHeight="1" x14ac:dyDescent="0.25">
      <c r="A15" s="9" t="s">
        <v>20</v>
      </c>
      <c r="B15" s="10">
        <v>6.6000000000000005E-5</v>
      </c>
      <c r="C15" s="10">
        <v>4.2000000000000002E-4</v>
      </c>
      <c r="D15" s="10">
        <v>1.5E-3</v>
      </c>
    </row>
    <row r="16" spans="1:4" ht="15" customHeight="1" x14ac:dyDescent="0.25">
      <c r="A16" s="9" t="s">
        <v>21</v>
      </c>
      <c r="B16" s="10">
        <v>6.2000000000000003E-5</v>
      </c>
      <c r="C16" s="10">
        <v>4.0000000000000002E-4</v>
      </c>
      <c r="D16" s="10">
        <v>1.4E-3</v>
      </c>
    </row>
    <row r="17" spans="1:4" ht="15" customHeight="1" x14ac:dyDescent="0.25">
      <c r="A17" s="9" t="s">
        <v>22</v>
      </c>
      <c r="B17" s="10">
        <v>2.5999999999999998E-4</v>
      </c>
      <c r="C17" s="10">
        <v>1.6000000000000001E-3</v>
      </c>
      <c r="D17" s="10">
        <v>6.0000000000000001E-3</v>
      </c>
    </row>
    <row r="18" spans="1:4" ht="15" customHeight="1" x14ac:dyDescent="0.25">
      <c r="A18" s="18" t="s">
        <v>23</v>
      </c>
      <c r="B18" s="13">
        <v>2.8E-5</v>
      </c>
      <c r="C18" s="13">
        <v>1.7000000000000001E-4</v>
      </c>
      <c r="D18" s="13">
        <v>6.4999999999999997E-4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0BE0-19D7-4309-B448-EA6F7FA60F9A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78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7.7999999999999999E-4</v>
      </c>
      <c r="C5" s="10">
        <v>6.1000000000000004E-3</v>
      </c>
      <c r="D5" s="10">
        <v>5.1999999999999998E-2</v>
      </c>
    </row>
    <row r="6" spans="1:4" ht="15" customHeight="1" x14ac:dyDescent="0.25">
      <c r="A6" s="9" t="s">
        <v>6</v>
      </c>
      <c r="B6" s="10">
        <v>1.8E-3</v>
      </c>
      <c r="C6" s="10">
        <v>1.4E-2</v>
      </c>
      <c r="D6" s="10">
        <v>0.12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4.0999999999999999E-4</v>
      </c>
      <c r="C8" s="10">
        <v>3.0999999999999999E-3</v>
      </c>
      <c r="D8" s="10">
        <v>2.5999999999999999E-2</v>
      </c>
    </row>
    <row r="9" spans="1:4" ht="15" customHeight="1" x14ac:dyDescent="0.25">
      <c r="A9" s="9" t="s">
        <v>15</v>
      </c>
      <c r="B9" s="10">
        <v>1.1000000000000001E-3</v>
      </c>
      <c r="C9" s="10">
        <v>7.7000000000000002E-3</v>
      </c>
      <c r="D9" s="10">
        <v>7.3999999999999996E-2</v>
      </c>
    </row>
    <row r="10" spans="1:4" ht="15" customHeight="1" x14ac:dyDescent="0.25">
      <c r="A10" s="9" t="s">
        <v>16</v>
      </c>
      <c r="B10" s="10">
        <v>1.4E-2</v>
      </c>
      <c r="C10" s="10">
        <v>9.8000000000000004E-2</v>
      </c>
      <c r="D10" s="10">
        <v>0.94</v>
      </c>
    </row>
    <row r="11" spans="1:4" ht="15" customHeight="1" x14ac:dyDescent="0.25">
      <c r="A11" s="9" t="s">
        <v>17</v>
      </c>
      <c r="B11" s="10">
        <v>0.02</v>
      </c>
      <c r="C11" s="10">
        <v>0.14000000000000001</v>
      </c>
      <c r="D11" s="10">
        <v>1.3</v>
      </c>
    </row>
    <row r="12" spans="1:4" ht="15" customHeight="1" x14ac:dyDescent="0.25">
      <c r="A12" s="9" t="s">
        <v>163</v>
      </c>
      <c r="B12" s="10">
        <v>0.53</v>
      </c>
      <c r="C12" s="10">
        <v>3.8</v>
      </c>
      <c r="D12" s="10">
        <v>36</v>
      </c>
    </row>
    <row r="13" spans="1:4" ht="15" customHeight="1" x14ac:dyDescent="0.25">
      <c r="A13" s="9" t="s">
        <v>18</v>
      </c>
      <c r="B13" s="10">
        <v>0.09</v>
      </c>
      <c r="C13" s="10">
        <v>0.65</v>
      </c>
      <c r="D13" s="10">
        <v>6.1</v>
      </c>
    </row>
    <row r="14" spans="1:4" ht="15" customHeight="1" x14ac:dyDescent="0.25">
      <c r="A14" s="9" t="s">
        <v>19</v>
      </c>
      <c r="B14" s="10">
        <v>2.3E-2</v>
      </c>
      <c r="C14" s="10">
        <v>0.16</v>
      </c>
      <c r="D14" s="10">
        <v>1.5</v>
      </c>
    </row>
    <row r="15" spans="1:4" ht="15" customHeight="1" x14ac:dyDescent="0.25">
      <c r="A15" s="9" t="s">
        <v>20</v>
      </c>
      <c r="B15" s="10">
        <v>2.0000000000000001E-4</v>
      </c>
      <c r="C15" s="10">
        <v>1.6000000000000001E-3</v>
      </c>
      <c r="D15" s="10">
        <v>1.2999999999999999E-2</v>
      </c>
    </row>
    <row r="16" spans="1:4" ht="15" customHeight="1" x14ac:dyDescent="0.25">
      <c r="A16" s="9" t="s">
        <v>21</v>
      </c>
      <c r="B16" s="10">
        <v>2.0000000000000001E-4</v>
      </c>
      <c r="C16" s="10">
        <v>1.5E-3</v>
      </c>
      <c r="D16" s="10">
        <v>1.2999999999999999E-2</v>
      </c>
    </row>
    <row r="17" spans="1:4" ht="15" customHeight="1" x14ac:dyDescent="0.25">
      <c r="A17" s="9" t="s">
        <v>22</v>
      </c>
      <c r="B17" s="10">
        <v>8.0000000000000004E-4</v>
      </c>
      <c r="C17" s="10">
        <v>6.3E-3</v>
      </c>
      <c r="D17" s="10">
        <v>5.5E-2</v>
      </c>
    </row>
    <row r="18" spans="1:4" ht="15" customHeight="1" x14ac:dyDescent="0.25">
      <c r="A18" s="18" t="s">
        <v>23</v>
      </c>
      <c r="B18" s="13">
        <v>8.6000000000000003E-5</v>
      </c>
      <c r="C18" s="13">
        <v>6.8000000000000005E-4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1E72-C283-45B7-B2E2-6AF5EE27ACF9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79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5.1999999999999995E-4</v>
      </c>
      <c r="C5" s="10">
        <v>6.4999999999999997E-3</v>
      </c>
      <c r="D5" s="10">
        <v>2.1000000000000001E-2</v>
      </c>
    </row>
    <row r="6" spans="1:4" ht="15" customHeight="1" x14ac:dyDescent="0.25">
      <c r="A6" s="9" t="s">
        <v>6</v>
      </c>
      <c r="B6" s="10">
        <v>1.1999999999999999E-3</v>
      </c>
      <c r="C6" s="10">
        <v>1.4999999999999999E-2</v>
      </c>
      <c r="D6" s="10">
        <v>4.9000000000000002E-2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2.5000000000000001E-4</v>
      </c>
      <c r="C8" s="10">
        <v>3.0000000000000001E-3</v>
      </c>
      <c r="D8" s="10">
        <v>9.2999999999999992E-3</v>
      </c>
    </row>
    <row r="9" spans="1:4" ht="15" customHeight="1" x14ac:dyDescent="0.25">
      <c r="A9" s="9" t="s">
        <v>15</v>
      </c>
      <c r="B9" s="10">
        <v>6.6E-4</v>
      </c>
      <c r="C9" s="10">
        <v>7.7999999999999996E-3</v>
      </c>
      <c r="D9" s="10">
        <v>2.5999999999999999E-2</v>
      </c>
    </row>
    <row r="10" spans="1:4" ht="15" customHeight="1" x14ac:dyDescent="0.25">
      <c r="A10" s="9" t="s">
        <v>16</v>
      </c>
      <c r="B10" s="10">
        <v>8.3999999999999995E-3</v>
      </c>
      <c r="C10" s="10">
        <v>0.1</v>
      </c>
      <c r="D10" s="10">
        <v>0.33</v>
      </c>
    </row>
    <row r="11" spans="1:4" ht="15" customHeight="1" x14ac:dyDescent="0.25">
      <c r="A11" s="9" t="s">
        <v>17</v>
      </c>
      <c r="B11" s="10">
        <v>1.2E-2</v>
      </c>
      <c r="C11" s="10">
        <v>0.14000000000000001</v>
      </c>
      <c r="D11" s="10">
        <v>0.47</v>
      </c>
    </row>
    <row r="12" spans="1:4" ht="15" customHeight="1" x14ac:dyDescent="0.25">
      <c r="A12" s="9" t="s">
        <v>163</v>
      </c>
      <c r="B12" s="10">
        <v>0.32</v>
      </c>
      <c r="C12" s="10">
        <v>3.9</v>
      </c>
      <c r="D12" s="10">
        <v>13</v>
      </c>
    </row>
    <row r="13" spans="1:4" ht="15" customHeight="1" x14ac:dyDescent="0.25">
      <c r="A13" s="9" t="s">
        <v>18</v>
      </c>
      <c r="B13" s="10">
        <v>5.5E-2</v>
      </c>
      <c r="C13" s="10">
        <v>0.67</v>
      </c>
      <c r="D13" s="10">
        <v>2.2000000000000002</v>
      </c>
    </row>
    <row r="14" spans="1:4" ht="15" customHeight="1" x14ac:dyDescent="0.25">
      <c r="A14" s="9" t="s">
        <v>19</v>
      </c>
      <c r="B14" s="10">
        <v>1.4E-2</v>
      </c>
      <c r="C14" s="10">
        <v>0.16</v>
      </c>
      <c r="D14" s="10">
        <v>0.54</v>
      </c>
    </row>
    <row r="15" spans="1:4" ht="15" customHeight="1" x14ac:dyDescent="0.25">
      <c r="A15" s="9" t="s">
        <v>20</v>
      </c>
      <c r="B15" s="10">
        <v>1.2999999999999999E-4</v>
      </c>
      <c r="C15" s="10">
        <v>1.6999999999999999E-3</v>
      </c>
      <c r="D15" s="10">
        <v>5.7000000000000002E-3</v>
      </c>
    </row>
    <row r="16" spans="1:4" ht="15" customHeight="1" x14ac:dyDescent="0.25">
      <c r="A16" s="9" t="s">
        <v>21</v>
      </c>
      <c r="B16" s="10">
        <v>1.2E-4</v>
      </c>
      <c r="C16" s="10">
        <v>1.6999999999999999E-3</v>
      </c>
      <c r="D16" s="10">
        <v>5.4999999999999997E-3</v>
      </c>
    </row>
    <row r="17" spans="1:4" ht="15" customHeight="1" x14ac:dyDescent="0.25">
      <c r="A17" s="9" t="s">
        <v>22</v>
      </c>
      <c r="B17" s="10">
        <v>5.1999999999999995E-4</v>
      </c>
      <c r="C17" s="10">
        <v>6.7999999999999996E-3</v>
      </c>
      <c r="D17" s="10">
        <v>2.3E-2</v>
      </c>
    </row>
    <row r="18" spans="1:4" ht="15" customHeight="1" x14ac:dyDescent="0.25">
      <c r="A18" s="18" t="s">
        <v>23</v>
      </c>
      <c r="B18" s="13">
        <v>5.5999999999999999E-5</v>
      </c>
      <c r="C18" s="13">
        <v>7.2999999999999996E-4</v>
      </c>
      <c r="D18" s="13">
        <v>2.5000000000000001E-3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3855-403F-480E-B65E-B197E579CA66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8" t="s">
        <v>25</v>
      </c>
      <c r="B1" s="48"/>
      <c r="C1" s="48"/>
      <c r="D1" s="48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9.3999999999999997E-4</v>
      </c>
      <c r="C5" s="10">
        <v>9.4999999999999998E-3</v>
      </c>
      <c r="D5" s="10">
        <v>4.3999999999999997E-2</v>
      </c>
    </row>
    <row r="6" spans="1:4" ht="15" customHeight="1" x14ac:dyDescent="0.25">
      <c r="A6" s="9" t="s">
        <v>6</v>
      </c>
      <c r="B6" s="10">
        <v>2.0999999999999999E-3</v>
      </c>
      <c r="C6" s="10">
        <v>2.1999999999999999E-2</v>
      </c>
      <c r="D6" s="10">
        <v>0.1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4.6999999999999999E-4</v>
      </c>
      <c r="C8" s="10">
        <v>4.8999999999999998E-3</v>
      </c>
      <c r="D8" s="10">
        <v>2.4E-2</v>
      </c>
    </row>
    <row r="9" spans="1:4" ht="15" customHeight="1" x14ac:dyDescent="0.25">
      <c r="A9" s="9" t="s">
        <v>15</v>
      </c>
      <c r="B9" s="10">
        <v>1.4E-3</v>
      </c>
      <c r="C9" s="10">
        <v>1.4E-2</v>
      </c>
      <c r="D9" s="10">
        <v>6.6000000000000003E-2</v>
      </c>
    </row>
    <row r="10" spans="1:4" ht="15" customHeight="1" x14ac:dyDescent="0.25">
      <c r="A10" s="9" t="s">
        <v>16</v>
      </c>
      <c r="B10" s="10">
        <v>1.7999999999999999E-2</v>
      </c>
      <c r="C10" s="10">
        <v>0.18</v>
      </c>
      <c r="D10" s="10">
        <v>0.84</v>
      </c>
    </row>
    <row r="11" spans="1:4" ht="15" customHeight="1" x14ac:dyDescent="0.25">
      <c r="A11" s="9" t="s">
        <v>17</v>
      </c>
      <c r="B11" s="10">
        <v>2.5000000000000001E-2</v>
      </c>
      <c r="C11" s="10">
        <v>0.25</v>
      </c>
      <c r="D11" s="10">
        <v>1.2</v>
      </c>
    </row>
    <row r="12" spans="1:4" ht="15" customHeight="1" x14ac:dyDescent="0.25">
      <c r="A12" s="9" t="s">
        <v>163</v>
      </c>
      <c r="B12" s="10">
        <v>0.68</v>
      </c>
      <c r="C12" s="10">
        <v>7</v>
      </c>
      <c r="D12" s="10">
        <v>33</v>
      </c>
    </row>
    <row r="13" spans="1:4" ht="15" customHeight="1" x14ac:dyDescent="0.25">
      <c r="A13" s="9" t="s">
        <v>18</v>
      </c>
      <c r="B13" s="10">
        <v>0.12</v>
      </c>
      <c r="C13" s="10">
        <v>1.2</v>
      </c>
      <c r="D13" s="10">
        <v>5.6</v>
      </c>
    </row>
    <row r="14" spans="1:4" ht="15" customHeight="1" x14ac:dyDescent="0.25">
      <c r="A14" s="9" t="s">
        <v>19</v>
      </c>
      <c r="B14" s="10">
        <v>2.9000000000000001E-2</v>
      </c>
      <c r="C14" s="10">
        <v>0.28999999999999998</v>
      </c>
      <c r="D14" s="10">
        <v>1.4</v>
      </c>
    </row>
    <row r="15" spans="1:4" ht="15" customHeight="1" x14ac:dyDescent="0.25">
      <c r="A15" s="9" t="s">
        <v>20</v>
      </c>
      <c r="B15" s="10">
        <v>2.5000000000000001E-4</v>
      </c>
      <c r="C15" s="10">
        <v>2.5999999999999999E-3</v>
      </c>
      <c r="D15" s="10">
        <v>1.2E-2</v>
      </c>
    </row>
    <row r="16" spans="1:4" ht="15" customHeight="1" x14ac:dyDescent="0.25">
      <c r="A16" s="9" t="s">
        <v>21</v>
      </c>
      <c r="B16" s="10">
        <v>2.4000000000000001E-4</v>
      </c>
      <c r="C16" s="10">
        <v>2.5000000000000001E-3</v>
      </c>
      <c r="D16" s="10">
        <v>1.0999999999999999E-2</v>
      </c>
    </row>
    <row r="17" spans="1:4" ht="15" customHeight="1" x14ac:dyDescent="0.25">
      <c r="A17" s="9" t="s">
        <v>22</v>
      </c>
      <c r="B17" s="10">
        <v>9.7000000000000005E-4</v>
      </c>
      <c r="C17" s="10">
        <v>0.01</v>
      </c>
      <c r="D17" s="10">
        <v>4.4999999999999998E-2</v>
      </c>
    </row>
    <row r="18" spans="1:4" ht="15" customHeight="1" x14ac:dyDescent="0.25">
      <c r="A18" s="18" t="s">
        <v>23</v>
      </c>
      <c r="B18" s="13">
        <v>1E-4</v>
      </c>
      <c r="C18" s="13">
        <v>1.1000000000000001E-3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D0F9-E3A4-4853-9F71-64C295318CC0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8" t="s">
        <v>24</v>
      </c>
      <c r="B1" s="48"/>
      <c r="C1" s="48"/>
      <c r="D1" s="48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1.4E-3</v>
      </c>
      <c r="C5" s="10">
        <v>7.1000000000000004E-3</v>
      </c>
      <c r="D5" s="10">
        <v>6.0999999999999999E-2</v>
      </c>
    </row>
    <row r="6" spans="1:4" ht="15" customHeight="1" x14ac:dyDescent="0.25">
      <c r="A6" s="9" t="s">
        <v>6</v>
      </c>
      <c r="B6" s="10">
        <v>3.3E-3</v>
      </c>
      <c r="C6" s="10">
        <v>1.6E-2</v>
      </c>
      <c r="D6" s="10">
        <v>0.14000000000000001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7.1000000000000002E-4</v>
      </c>
      <c r="C8" s="10">
        <v>3.3E-3</v>
      </c>
      <c r="D8" s="10">
        <v>2.5999999999999999E-2</v>
      </c>
    </row>
    <row r="9" spans="1:4" ht="15" customHeight="1" x14ac:dyDescent="0.25">
      <c r="A9" s="9" t="s">
        <v>15</v>
      </c>
      <c r="B9" s="10">
        <v>1.6999999999999999E-3</v>
      </c>
      <c r="C9" s="10">
        <v>8.3999999999999995E-3</v>
      </c>
      <c r="D9" s="10">
        <v>6.8000000000000005E-2</v>
      </c>
    </row>
    <row r="10" spans="1:4" ht="15" customHeight="1" x14ac:dyDescent="0.25">
      <c r="A10" s="9" t="s">
        <v>16</v>
      </c>
      <c r="B10" s="10">
        <v>2.1999999999999999E-2</v>
      </c>
      <c r="C10" s="10">
        <v>0.11</v>
      </c>
      <c r="D10" s="10">
        <v>0.87</v>
      </c>
    </row>
    <row r="11" spans="1:4" ht="15" customHeight="1" x14ac:dyDescent="0.25">
      <c r="A11" s="9" t="s">
        <v>17</v>
      </c>
      <c r="B11" s="10">
        <v>3.1E-2</v>
      </c>
      <c r="C11" s="10">
        <v>0.15</v>
      </c>
      <c r="D11" s="10">
        <v>1.2</v>
      </c>
    </row>
    <row r="12" spans="1:4" ht="15" customHeight="1" x14ac:dyDescent="0.25">
      <c r="A12" s="9" t="s">
        <v>163</v>
      </c>
      <c r="B12" s="10">
        <v>0.86</v>
      </c>
      <c r="C12" s="10">
        <v>4.2</v>
      </c>
      <c r="D12" s="10">
        <v>34</v>
      </c>
    </row>
    <row r="13" spans="1:4" ht="15" customHeight="1" x14ac:dyDescent="0.25">
      <c r="A13" s="9" t="s">
        <v>18</v>
      </c>
      <c r="B13" s="10">
        <v>0.15</v>
      </c>
      <c r="C13" s="10">
        <v>0.71</v>
      </c>
      <c r="D13" s="10">
        <v>5.7</v>
      </c>
    </row>
    <row r="14" spans="1:4" ht="15" customHeight="1" x14ac:dyDescent="0.25">
      <c r="A14" s="9" t="s">
        <v>19</v>
      </c>
      <c r="B14" s="10">
        <v>3.5999999999999997E-2</v>
      </c>
      <c r="C14" s="10">
        <v>0.18</v>
      </c>
      <c r="D14" s="10">
        <v>1.4</v>
      </c>
    </row>
    <row r="15" spans="1:4" ht="15" customHeight="1" x14ac:dyDescent="0.25">
      <c r="A15" s="9" t="s">
        <v>20</v>
      </c>
      <c r="B15" s="10">
        <v>3.6000000000000002E-4</v>
      </c>
      <c r="C15" s="10">
        <v>1.9E-3</v>
      </c>
      <c r="D15" s="10">
        <v>1.4999999999999999E-2</v>
      </c>
    </row>
    <row r="16" spans="1:4" ht="15" customHeight="1" x14ac:dyDescent="0.25">
      <c r="A16" s="9" t="s">
        <v>21</v>
      </c>
      <c r="B16" s="10">
        <v>3.6000000000000002E-4</v>
      </c>
      <c r="C16" s="10">
        <v>1.9E-3</v>
      </c>
      <c r="D16" s="10">
        <v>1.4999999999999999E-2</v>
      </c>
    </row>
    <row r="17" spans="1:4" ht="15" customHeight="1" x14ac:dyDescent="0.25">
      <c r="A17" s="9" t="s">
        <v>22</v>
      </c>
      <c r="B17" s="10">
        <v>1.4E-3</v>
      </c>
      <c r="C17" s="10">
        <v>7.4999999999999997E-3</v>
      </c>
      <c r="D17" s="10">
        <v>0.06</v>
      </c>
    </row>
    <row r="18" spans="1:4" ht="15" customHeight="1" x14ac:dyDescent="0.25">
      <c r="A18" s="18" t="s">
        <v>23</v>
      </c>
      <c r="B18" s="13">
        <v>1.4999999999999999E-4</v>
      </c>
      <c r="C18" s="13">
        <v>8.0999999999999996E-4</v>
      </c>
      <c r="D18" s="13">
        <v>6.4999999999999997E-3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C1AA-D34C-455B-B07E-8A06EBCE4710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80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2.3E-3</v>
      </c>
      <c r="C5" s="10">
        <v>5.6000000000000001E-2</v>
      </c>
      <c r="D5" s="10">
        <v>6.9000000000000006E-2</v>
      </c>
    </row>
    <row r="6" spans="1:4" ht="15" customHeight="1" x14ac:dyDescent="0.25">
      <c r="A6" s="9" t="s">
        <v>6</v>
      </c>
      <c r="B6" s="10">
        <v>5.1999999999999998E-3</v>
      </c>
      <c r="C6" s="10">
        <v>0.13</v>
      </c>
      <c r="D6" s="10">
        <v>0.16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1.1999999999999999E-3</v>
      </c>
      <c r="C8" s="10">
        <v>2.5999999999999999E-2</v>
      </c>
      <c r="D8" s="10">
        <v>3.2000000000000001E-2</v>
      </c>
    </row>
    <row r="9" spans="1:4" ht="15" customHeight="1" x14ac:dyDescent="0.25">
      <c r="A9" s="9" t="s">
        <v>15</v>
      </c>
      <c r="B9" s="10">
        <v>3.3E-3</v>
      </c>
      <c r="C9" s="10">
        <v>7.0000000000000007E-2</v>
      </c>
      <c r="D9" s="10">
        <v>9.1999999999999998E-2</v>
      </c>
    </row>
    <row r="10" spans="1:4" ht="15" customHeight="1" x14ac:dyDescent="0.25">
      <c r="A10" s="9" t="s">
        <v>16</v>
      </c>
      <c r="B10" s="10">
        <v>4.2000000000000003E-2</v>
      </c>
      <c r="C10" s="10">
        <v>0.9</v>
      </c>
      <c r="D10" s="10">
        <v>1.2</v>
      </c>
    </row>
    <row r="11" spans="1:4" ht="15" customHeight="1" x14ac:dyDescent="0.25">
      <c r="A11" s="9" t="s">
        <v>17</v>
      </c>
      <c r="B11" s="10">
        <v>6.0999999999999999E-2</v>
      </c>
      <c r="C11" s="10">
        <v>1.3</v>
      </c>
      <c r="D11" s="10">
        <v>1.7</v>
      </c>
    </row>
    <row r="12" spans="1:4" ht="15" customHeight="1" x14ac:dyDescent="0.25">
      <c r="A12" s="9" t="s">
        <v>163</v>
      </c>
      <c r="B12" s="10">
        <v>1.6</v>
      </c>
      <c r="C12" s="10">
        <v>35</v>
      </c>
      <c r="D12" s="10">
        <v>46</v>
      </c>
    </row>
    <row r="13" spans="1:4" ht="15" customHeight="1" x14ac:dyDescent="0.25">
      <c r="A13" s="9" t="s">
        <v>18</v>
      </c>
      <c r="B13" s="10">
        <v>0.28000000000000003</v>
      </c>
      <c r="C13" s="10">
        <v>6</v>
      </c>
      <c r="D13" s="10">
        <v>7.8</v>
      </c>
    </row>
    <row r="14" spans="1:4" ht="15" customHeight="1" x14ac:dyDescent="0.25">
      <c r="A14" s="9" t="s">
        <v>19</v>
      </c>
      <c r="B14" s="10">
        <v>7.0000000000000007E-2</v>
      </c>
      <c r="C14" s="10">
        <v>1.5</v>
      </c>
      <c r="D14" s="10">
        <v>1.9</v>
      </c>
    </row>
    <row r="15" spans="1:4" ht="15" customHeight="1" x14ac:dyDescent="0.25">
      <c r="A15" s="9" t="s">
        <v>20</v>
      </c>
      <c r="B15" s="10">
        <v>6.0999999999999997E-4</v>
      </c>
      <c r="C15" s="10">
        <v>1.4E-2</v>
      </c>
      <c r="D15" s="10">
        <v>1.7999999999999999E-2</v>
      </c>
    </row>
    <row r="16" spans="1:4" ht="15" customHeight="1" x14ac:dyDescent="0.25">
      <c r="A16" s="9" t="s">
        <v>21</v>
      </c>
      <c r="B16" s="10">
        <v>5.9000000000000003E-4</v>
      </c>
      <c r="C16" s="10">
        <v>1.4E-2</v>
      </c>
      <c r="D16" s="10">
        <v>1.7999999999999999E-2</v>
      </c>
    </row>
    <row r="17" spans="1:4" ht="15" customHeight="1" x14ac:dyDescent="0.25">
      <c r="A17" s="9" t="s">
        <v>22</v>
      </c>
      <c r="B17" s="10">
        <v>2.3999999999999998E-3</v>
      </c>
      <c r="C17" s="10">
        <v>5.8000000000000003E-2</v>
      </c>
      <c r="D17" s="10">
        <v>7.3999999999999996E-2</v>
      </c>
    </row>
    <row r="18" spans="1:4" ht="15" customHeight="1" x14ac:dyDescent="0.25">
      <c r="A18" s="18" t="s">
        <v>23</v>
      </c>
      <c r="B18" s="13">
        <v>2.5999999999999998E-4</v>
      </c>
      <c r="C18" s="13">
        <v>6.1999999999999998E-3</v>
      </c>
      <c r="D18" s="13">
        <v>8.0000000000000002E-3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4880-B9D2-442D-BDFA-1C1BEE693BA3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81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1.9E-3</v>
      </c>
      <c r="C5" s="10">
        <v>1.2E-2</v>
      </c>
      <c r="D5" s="10">
        <v>6.5000000000000002E-2</v>
      </c>
    </row>
    <row r="6" spans="1:4" ht="15" customHeight="1" x14ac:dyDescent="0.25">
      <c r="A6" s="9" t="s">
        <v>6</v>
      </c>
      <c r="B6" s="10">
        <v>4.1999999999999997E-3</v>
      </c>
      <c r="C6" s="10">
        <v>2.7E-2</v>
      </c>
      <c r="D6" s="10">
        <v>0.15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8.8000000000000003E-4</v>
      </c>
      <c r="C8" s="10">
        <v>5.7999999999999996E-3</v>
      </c>
      <c r="D8" s="10">
        <v>2.9000000000000001E-2</v>
      </c>
    </row>
    <row r="9" spans="1:4" ht="15" customHeight="1" x14ac:dyDescent="0.25">
      <c r="A9" s="9" t="s">
        <v>15</v>
      </c>
      <c r="B9" s="10">
        <v>2.3E-3</v>
      </c>
      <c r="C9" s="10">
        <v>1.4E-2</v>
      </c>
      <c r="D9" s="10">
        <v>7.6999999999999999E-2</v>
      </c>
    </row>
    <row r="10" spans="1:4" ht="15" customHeight="1" x14ac:dyDescent="0.25">
      <c r="A10" s="9" t="s">
        <v>16</v>
      </c>
      <c r="B10" s="10">
        <v>2.9000000000000001E-2</v>
      </c>
      <c r="C10" s="10">
        <v>0.18</v>
      </c>
      <c r="D10" s="10">
        <v>0.98</v>
      </c>
    </row>
    <row r="11" spans="1:4" ht="15" customHeight="1" x14ac:dyDescent="0.25">
      <c r="A11" s="9" t="s">
        <v>17</v>
      </c>
      <c r="B11" s="10">
        <v>4.1000000000000002E-2</v>
      </c>
      <c r="C11" s="10">
        <v>0.26</v>
      </c>
      <c r="D11" s="10">
        <v>1.4</v>
      </c>
    </row>
    <row r="12" spans="1:4" ht="15" customHeight="1" x14ac:dyDescent="0.25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5">
      <c r="A13" s="9" t="s">
        <v>18</v>
      </c>
      <c r="B13" s="10">
        <v>0.19</v>
      </c>
      <c r="C13" s="10">
        <v>1.2</v>
      </c>
      <c r="D13" s="10">
        <v>6.4</v>
      </c>
    </row>
    <row r="14" spans="1:4" ht="15" customHeight="1" x14ac:dyDescent="0.25">
      <c r="A14" s="9" t="s">
        <v>19</v>
      </c>
      <c r="B14" s="10">
        <v>4.7E-2</v>
      </c>
      <c r="C14" s="10">
        <v>0.3</v>
      </c>
      <c r="D14" s="10">
        <v>1.6</v>
      </c>
    </row>
    <row r="15" spans="1:4" ht="15" customHeight="1" x14ac:dyDescent="0.25">
      <c r="A15" s="9" t="s">
        <v>20</v>
      </c>
      <c r="B15" s="10">
        <v>4.6999999999999999E-4</v>
      </c>
      <c r="C15" s="10">
        <v>3.0999999999999999E-3</v>
      </c>
      <c r="D15" s="10">
        <v>1.7000000000000001E-2</v>
      </c>
    </row>
    <row r="16" spans="1:4" ht="15" customHeight="1" x14ac:dyDescent="0.25">
      <c r="A16" s="9" t="s">
        <v>21</v>
      </c>
      <c r="B16" s="10">
        <v>4.6000000000000001E-4</v>
      </c>
      <c r="C16" s="10">
        <v>3.0999999999999999E-3</v>
      </c>
      <c r="D16" s="10">
        <v>1.7000000000000001E-2</v>
      </c>
    </row>
    <row r="17" spans="1:4" ht="15" customHeight="1" x14ac:dyDescent="0.25">
      <c r="A17" s="9" t="s">
        <v>22</v>
      </c>
      <c r="B17" s="10">
        <v>1.9E-3</v>
      </c>
      <c r="C17" s="10">
        <v>1.2E-2</v>
      </c>
      <c r="D17" s="10">
        <v>6.6000000000000003E-2</v>
      </c>
    </row>
    <row r="18" spans="1:4" ht="15" customHeight="1" x14ac:dyDescent="0.25">
      <c r="A18" s="18" t="s">
        <v>23</v>
      </c>
      <c r="B18" s="13">
        <v>2.0000000000000001E-4</v>
      </c>
      <c r="C18" s="13">
        <v>1.2999999999999999E-3</v>
      </c>
      <c r="D18" s="13">
        <v>7.1999999999999998E-3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578C-DC77-4E73-BB3E-8CD147CFFD44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82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1.2999999999999999E-3</v>
      </c>
      <c r="C5" s="10">
        <v>1.0999999999999999E-2</v>
      </c>
      <c r="D5" s="10">
        <v>5.8999999999999997E-2</v>
      </c>
    </row>
    <row r="6" spans="1:4" ht="15" customHeight="1" x14ac:dyDescent="0.25">
      <c r="A6" s="9" t="s">
        <v>6</v>
      </c>
      <c r="B6" s="10">
        <v>3.0000000000000001E-3</v>
      </c>
      <c r="C6" s="10">
        <v>2.5000000000000001E-2</v>
      </c>
      <c r="D6" s="10">
        <v>0.13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6.8999999999999997E-4</v>
      </c>
      <c r="C8" s="10">
        <v>5.1999999999999998E-3</v>
      </c>
      <c r="D8" s="10">
        <v>2.8000000000000001E-2</v>
      </c>
    </row>
    <row r="9" spans="1:4" ht="15" customHeight="1" x14ac:dyDescent="0.25">
      <c r="A9" s="9" t="s">
        <v>15</v>
      </c>
      <c r="B9" s="10">
        <v>1.6999999999999999E-3</v>
      </c>
      <c r="C9" s="10">
        <v>1.2999999999999999E-2</v>
      </c>
      <c r="D9" s="10">
        <v>7.0000000000000007E-2</v>
      </c>
    </row>
    <row r="10" spans="1:4" ht="15" customHeight="1" x14ac:dyDescent="0.25">
      <c r="A10" s="9" t="s">
        <v>16</v>
      </c>
      <c r="B10" s="10">
        <v>2.1999999999999999E-2</v>
      </c>
      <c r="C10" s="10">
        <v>0.17</v>
      </c>
      <c r="D10" s="10">
        <v>0.9</v>
      </c>
    </row>
    <row r="11" spans="1:4" ht="15" customHeight="1" x14ac:dyDescent="0.25">
      <c r="A11" s="9" t="s">
        <v>17</v>
      </c>
      <c r="B11" s="10">
        <v>3.1E-2</v>
      </c>
      <c r="C11" s="10">
        <v>0.24</v>
      </c>
      <c r="D11" s="10">
        <v>1.3</v>
      </c>
    </row>
    <row r="12" spans="1:4" ht="15" customHeight="1" x14ac:dyDescent="0.25">
      <c r="A12" s="9" t="s">
        <v>163</v>
      </c>
      <c r="B12" s="10">
        <v>0.83</v>
      </c>
      <c r="C12" s="10">
        <v>6.6</v>
      </c>
      <c r="D12" s="10">
        <v>35</v>
      </c>
    </row>
    <row r="13" spans="1:4" ht="15" customHeight="1" x14ac:dyDescent="0.25">
      <c r="A13" s="9" t="s">
        <v>18</v>
      </c>
      <c r="B13" s="10">
        <v>0.14000000000000001</v>
      </c>
      <c r="C13" s="10">
        <v>1.1000000000000001</v>
      </c>
      <c r="D13" s="10">
        <v>5.9</v>
      </c>
    </row>
    <row r="14" spans="1:4" ht="15" customHeight="1" x14ac:dyDescent="0.25">
      <c r="A14" s="9" t="s">
        <v>19</v>
      </c>
      <c r="B14" s="10">
        <v>3.5999999999999997E-2</v>
      </c>
      <c r="C14" s="10">
        <v>0.28000000000000003</v>
      </c>
      <c r="D14" s="10">
        <v>1.5</v>
      </c>
    </row>
    <row r="15" spans="1:4" ht="15" customHeight="1" x14ac:dyDescent="0.25">
      <c r="A15" s="9" t="s">
        <v>20</v>
      </c>
      <c r="B15" s="10">
        <v>3.4000000000000002E-4</v>
      </c>
      <c r="C15" s="10">
        <v>2.8999999999999998E-3</v>
      </c>
      <c r="D15" s="10">
        <v>1.6E-2</v>
      </c>
    </row>
    <row r="16" spans="1:4" ht="15" customHeight="1" x14ac:dyDescent="0.25">
      <c r="A16" s="9" t="s">
        <v>21</v>
      </c>
      <c r="B16" s="10">
        <v>3.3E-4</v>
      </c>
      <c r="C16" s="10">
        <v>2.8999999999999998E-3</v>
      </c>
      <c r="D16" s="10">
        <v>1.6E-2</v>
      </c>
    </row>
    <row r="17" spans="1:4" ht="15" customHeight="1" x14ac:dyDescent="0.25">
      <c r="A17" s="9" t="s">
        <v>22</v>
      </c>
      <c r="B17" s="10">
        <v>1.2999999999999999E-3</v>
      </c>
      <c r="C17" s="10">
        <v>1.2E-2</v>
      </c>
      <c r="D17" s="10">
        <v>6.6000000000000003E-2</v>
      </c>
    </row>
    <row r="18" spans="1:4" ht="15" customHeight="1" x14ac:dyDescent="0.25">
      <c r="A18" s="18" t="s">
        <v>23</v>
      </c>
      <c r="B18" s="13">
        <v>1.3999999999999999E-4</v>
      </c>
      <c r="C18" s="13">
        <v>1.2999999999999999E-3</v>
      </c>
      <c r="D18" s="13">
        <v>7.1000000000000004E-3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805A-3ABE-4414-A28B-619393BB75CD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83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8.4999999999999995E-4</v>
      </c>
      <c r="C5" s="10">
        <v>4.7000000000000002E-3</v>
      </c>
      <c r="D5" s="10">
        <v>1.2E-2</v>
      </c>
    </row>
    <row r="6" spans="1:4" ht="15" customHeight="1" x14ac:dyDescent="0.25">
      <c r="A6" s="9" t="s">
        <v>6</v>
      </c>
      <c r="B6" s="10">
        <v>1.9E-3</v>
      </c>
      <c r="C6" s="10">
        <v>1.0999999999999999E-2</v>
      </c>
      <c r="D6" s="10">
        <v>2.7E-2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3.8000000000000002E-4</v>
      </c>
      <c r="C8" s="10">
        <v>2.0999999999999999E-3</v>
      </c>
      <c r="D8" s="10">
        <v>4.7000000000000002E-3</v>
      </c>
    </row>
    <row r="9" spans="1:4" ht="15" customHeight="1" x14ac:dyDescent="0.25">
      <c r="A9" s="9" t="s">
        <v>15</v>
      </c>
      <c r="B9" s="10">
        <v>1.1000000000000001E-3</v>
      </c>
      <c r="C9" s="10">
        <v>5.7000000000000002E-3</v>
      </c>
      <c r="D9" s="10">
        <v>1.4E-2</v>
      </c>
    </row>
    <row r="10" spans="1:4" ht="15" customHeight="1" x14ac:dyDescent="0.25">
      <c r="A10" s="9" t="s">
        <v>16</v>
      </c>
      <c r="B10" s="10">
        <v>1.4E-2</v>
      </c>
      <c r="C10" s="10">
        <v>7.1999999999999995E-2</v>
      </c>
      <c r="D10" s="10">
        <v>0.18</v>
      </c>
    </row>
    <row r="11" spans="1:4" ht="15" customHeight="1" x14ac:dyDescent="0.25">
      <c r="A11" s="9" t="s">
        <v>17</v>
      </c>
      <c r="B11" s="10">
        <v>1.9E-2</v>
      </c>
      <c r="C11" s="10">
        <v>0.1</v>
      </c>
      <c r="D11" s="10">
        <v>0.25</v>
      </c>
    </row>
    <row r="12" spans="1:4" ht="15" customHeight="1" x14ac:dyDescent="0.25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5">
      <c r="A13" s="9" t="s">
        <v>18</v>
      </c>
      <c r="B13" s="10">
        <v>8.7999999999999995E-2</v>
      </c>
      <c r="C13" s="10">
        <v>0.48</v>
      </c>
      <c r="D13" s="10">
        <v>1.1000000000000001</v>
      </c>
    </row>
    <row r="14" spans="1:4" ht="15" customHeight="1" x14ac:dyDescent="0.25">
      <c r="A14" s="9" t="s">
        <v>19</v>
      </c>
      <c r="B14" s="10">
        <v>2.1999999999999999E-2</v>
      </c>
      <c r="C14" s="10">
        <v>0.12</v>
      </c>
      <c r="D14" s="10">
        <v>0.28999999999999998</v>
      </c>
    </row>
    <row r="15" spans="1:4" ht="15" customHeight="1" x14ac:dyDescent="0.25">
      <c r="A15" s="9" t="s">
        <v>20</v>
      </c>
      <c r="B15" s="10">
        <v>2.0000000000000001E-4</v>
      </c>
      <c r="C15" s="10">
        <v>1.1999999999999999E-3</v>
      </c>
      <c r="D15" s="10">
        <v>2.8E-3</v>
      </c>
    </row>
    <row r="16" spans="1:4" ht="15" customHeight="1" x14ac:dyDescent="0.25">
      <c r="A16" s="9" t="s">
        <v>21</v>
      </c>
      <c r="B16" s="10">
        <v>1.9000000000000001E-4</v>
      </c>
      <c r="C16" s="10">
        <v>1.1999999999999999E-3</v>
      </c>
      <c r="D16" s="10">
        <v>2.8E-3</v>
      </c>
    </row>
    <row r="17" spans="1:4" ht="15" customHeight="1" x14ac:dyDescent="0.25">
      <c r="A17" s="9" t="s">
        <v>22</v>
      </c>
      <c r="B17" s="10">
        <v>8.1999999999999998E-4</v>
      </c>
      <c r="C17" s="10">
        <v>4.7999999999999996E-3</v>
      </c>
      <c r="D17" s="10">
        <v>1.2E-2</v>
      </c>
    </row>
    <row r="18" spans="1:4" ht="15" customHeight="1" x14ac:dyDescent="0.25">
      <c r="A18" s="18" t="s">
        <v>23</v>
      </c>
      <c r="B18" s="13">
        <v>8.8999999999999995E-5</v>
      </c>
      <c r="C18" s="13">
        <v>5.1999999999999995E-4</v>
      </c>
      <c r="D18" s="13">
        <v>1.2999999999999999E-3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C2C0-6788-4229-ACBB-0188F5570463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84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6.2E-4</v>
      </c>
      <c r="C5" s="10">
        <v>6.3E-3</v>
      </c>
      <c r="D5" s="10">
        <v>3.9E-2</v>
      </c>
    </row>
    <row r="6" spans="1:4" ht="15" customHeight="1" x14ac:dyDescent="0.25">
      <c r="A6" s="9" t="s">
        <v>6</v>
      </c>
      <c r="B6" s="10">
        <v>1.4E-3</v>
      </c>
      <c r="C6" s="10">
        <v>1.4E-2</v>
      </c>
      <c r="D6" s="10">
        <v>8.7999999999999995E-2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2.5000000000000001E-4</v>
      </c>
      <c r="C8" s="10">
        <v>2.7000000000000001E-3</v>
      </c>
      <c r="D8" s="10">
        <v>1.7000000000000001E-2</v>
      </c>
    </row>
    <row r="9" spans="1:4" ht="15" customHeight="1" x14ac:dyDescent="0.25">
      <c r="A9" s="9" t="s">
        <v>15</v>
      </c>
      <c r="B9" s="10">
        <v>6.8000000000000005E-4</v>
      </c>
      <c r="C9" s="10">
        <v>7.1999999999999998E-3</v>
      </c>
      <c r="D9" s="10">
        <v>4.4999999999999998E-2</v>
      </c>
    </row>
    <row r="10" spans="1:4" ht="15" customHeight="1" x14ac:dyDescent="0.25">
      <c r="A10" s="9" t="s">
        <v>16</v>
      </c>
      <c r="B10" s="10">
        <v>8.6E-3</v>
      </c>
      <c r="C10" s="10">
        <v>9.1999999999999998E-2</v>
      </c>
      <c r="D10" s="10">
        <v>0.57999999999999996</v>
      </c>
    </row>
    <row r="11" spans="1:4" ht="15" customHeight="1" x14ac:dyDescent="0.25">
      <c r="A11" s="9" t="s">
        <v>17</v>
      </c>
      <c r="B11" s="10">
        <v>1.2E-2</v>
      </c>
      <c r="C11" s="10">
        <v>0.13</v>
      </c>
      <c r="D11" s="10">
        <v>0.82</v>
      </c>
    </row>
    <row r="12" spans="1:4" ht="15" customHeight="1" x14ac:dyDescent="0.25">
      <c r="A12" s="9" t="s">
        <v>163</v>
      </c>
      <c r="B12" s="10">
        <v>0.34</v>
      </c>
      <c r="C12" s="10">
        <v>3.6</v>
      </c>
      <c r="D12" s="10">
        <v>22</v>
      </c>
    </row>
    <row r="13" spans="1:4" ht="15" customHeight="1" x14ac:dyDescent="0.25">
      <c r="A13" s="9" t="s">
        <v>18</v>
      </c>
      <c r="B13" s="10">
        <v>5.8000000000000003E-2</v>
      </c>
      <c r="C13" s="10">
        <v>0.61</v>
      </c>
      <c r="D13" s="10">
        <v>3.8</v>
      </c>
    </row>
    <row r="14" spans="1:4" ht="15" customHeight="1" x14ac:dyDescent="0.25">
      <c r="A14" s="9" t="s">
        <v>19</v>
      </c>
      <c r="B14" s="10">
        <v>1.4E-2</v>
      </c>
      <c r="C14" s="10">
        <v>0.15</v>
      </c>
      <c r="D14" s="10">
        <v>0.95</v>
      </c>
    </row>
    <row r="15" spans="1:4" ht="15" customHeight="1" x14ac:dyDescent="0.25">
      <c r="A15" s="9" t="s">
        <v>20</v>
      </c>
      <c r="B15" s="10">
        <v>1.4999999999999999E-4</v>
      </c>
      <c r="C15" s="10">
        <v>1.6999999999999999E-3</v>
      </c>
      <c r="D15" s="10">
        <v>0.01</v>
      </c>
    </row>
    <row r="16" spans="1:4" ht="15" customHeight="1" x14ac:dyDescent="0.25">
      <c r="A16" s="9" t="s">
        <v>21</v>
      </c>
      <c r="B16" s="10">
        <v>1.4999999999999999E-4</v>
      </c>
      <c r="C16" s="10">
        <v>1.6999999999999999E-3</v>
      </c>
      <c r="D16" s="10">
        <v>0.01</v>
      </c>
    </row>
    <row r="17" spans="1:4" ht="15" customHeight="1" x14ac:dyDescent="0.25">
      <c r="A17" s="9" t="s">
        <v>22</v>
      </c>
      <c r="B17" s="10">
        <v>6.2E-4</v>
      </c>
      <c r="C17" s="10">
        <v>6.8999999999999999E-3</v>
      </c>
      <c r="D17" s="10">
        <v>4.2999999999999997E-2</v>
      </c>
    </row>
    <row r="18" spans="1:4" ht="15" customHeight="1" x14ac:dyDescent="0.25">
      <c r="A18" s="18" t="s">
        <v>23</v>
      </c>
      <c r="B18" s="13">
        <v>6.7000000000000002E-5</v>
      </c>
      <c r="C18" s="13">
        <v>7.3999999999999999E-4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DFBC-15D5-4602-B9AD-901C130FD31D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85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1.9E-3</v>
      </c>
      <c r="C5" s="10">
        <v>1.4E-2</v>
      </c>
      <c r="D5" s="10">
        <v>5.1999999999999998E-2</v>
      </c>
    </row>
    <row r="6" spans="1:4" ht="15" customHeight="1" x14ac:dyDescent="0.25">
      <c r="A6" s="9" t="s">
        <v>6</v>
      </c>
      <c r="B6" s="10">
        <v>4.1999999999999997E-3</v>
      </c>
      <c r="C6" s="10">
        <v>3.2000000000000001E-2</v>
      </c>
      <c r="D6" s="10">
        <v>0.12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9.3000000000000005E-4</v>
      </c>
      <c r="C8" s="10">
        <v>6.7999999999999996E-3</v>
      </c>
      <c r="D8" s="10">
        <v>2.5000000000000001E-2</v>
      </c>
    </row>
    <row r="9" spans="1:4" ht="15" customHeight="1" x14ac:dyDescent="0.25">
      <c r="A9" s="9" t="s">
        <v>15</v>
      </c>
      <c r="B9" s="10">
        <v>2.5999999999999999E-3</v>
      </c>
      <c r="C9" s="10">
        <v>1.9E-2</v>
      </c>
      <c r="D9" s="10">
        <v>7.0000000000000007E-2</v>
      </c>
    </row>
    <row r="10" spans="1:4" ht="15" customHeight="1" x14ac:dyDescent="0.25">
      <c r="A10" s="9" t="s">
        <v>16</v>
      </c>
      <c r="B10" s="10">
        <v>3.3000000000000002E-2</v>
      </c>
      <c r="C10" s="10">
        <v>0.24</v>
      </c>
      <c r="D10" s="10">
        <v>0.89</v>
      </c>
    </row>
    <row r="11" spans="1:4" ht="15" customHeight="1" x14ac:dyDescent="0.25">
      <c r="A11" s="9" t="s">
        <v>17</v>
      </c>
      <c r="B11" s="10">
        <v>4.7E-2</v>
      </c>
      <c r="C11" s="10">
        <v>0.34</v>
      </c>
      <c r="D11" s="10">
        <v>1.3</v>
      </c>
    </row>
    <row r="12" spans="1:4" ht="15" customHeight="1" x14ac:dyDescent="0.25">
      <c r="A12" s="9" t="s">
        <v>163</v>
      </c>
      <c r="B12" s="10">
        <v>1.3</v>
      </c>
      <c r="C12" s="10">
        <v>9.6999999999999993</v>
      </c>
      <c r="D12" s="10">
        <v>35</v>
      </c>
    </row>
    <row r="13" spans="1:4" ht="15" customHeight="1" x14ac:dyDescent="0.25">
      <c r="A13" s="9" t="s">
        <v>18</v>
      </c>
      <c r="B13" s="10">
        <v>0.22</v>
      </c>
      <c r="C13" s="10">
        <v>1.6</v>
      </c>
      <c r="D13" s="10">
        <v>6</v>
      </c>
    </row>
    <row r="14" spans="1:4" ht="15" customHeight="1" x14ac:dyDescent="0.25">
      <c r="A14" s="9" t="s">
        <v>19</v>
      </c>
      <c r="B14" s="10">
        <v>5.3999999999999999E-2</v>
      </c>
      <c r="C14" s="10">
        <v>0.4</v>
      </c>
      <c r="D14" s="10">
        <v>1.5</v>
      </c>
    </row>
    <row r="15" spans="1:4" ht="15" customHeight="1" x14ac:dyDescent="0.25">
      <c r="A15" s="9" t="s">
        <v>20</v>
      </c>
      <c r="B15" s="10">
        <v>4.4999999999999999E-4</v>
      </c>
      <c r="C15" s="10">
        <v>3.3999999999999998E-3</v>
      </c>
      <c r="D15" s="10">
        <v>1.2999999999999999E-2</v>
      </c>
    </row>
    <row r="16" spans="1:4" ht="15" customHeight="1" x14ac:dyDescent="0.25">
      <c r="A16" s="9" t="s">
        <v>21</v>
      </c>
      <c r="B16" s="10">
        <v>4.2999999999999999E-4</v>
      </c>
      <c r="C16" s="10">
        <v>3.2000000000000002E-3</v>
      </c>
      <c r="D16" s="10">
        <v>1.2E-2</v>
      </c>
    </row>
    <row r="17" spans="1:4" ht="15" customHeight="1" x14ac:dyDescent="0.25">
      <c r="A17" s="9" t="s">
        <v>22</v>
      </c>
      <c r="B17" s="10">
        <v>1.8E-3</v>
      </c>
      <c r="C17" s="10">
        <v>1.4E-2</v>
      </c>
      <c r="D17" s="10">
        <v>5.0999999999999997E-2</v>
      </c>
    </row>
    <row r="18" spans="1:4" ht="15" customHeight="1" x14ac:dyDescent="0.25">
      <c r="A18" s="18" t="s">
        <v>23</v>
      </c>
      <c r="B18" s="13">
        <v>2.0000000000000001E-4</v>
      </c>
      <c r="C18" s="13">
        <v>1.5E-3</v>
      </c>
      <c r="D18" s="13">
        <v>5.5999999999999999E-3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6569-703F-4DFF-80D6-D233BF8EC1AC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86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1.1000000000000001E-3</v>
      </c>
      <c r="C5" s="10">
        <v>6.7999999999999996E-3</v>
      </c>
      <c r="D5" s="10">
        <v>4.5999999999999999E-2</v>
      </c>
    </row>
    <row r="6" spans="1:4" ht="15" customHeight="1" x14ac:dyDescent="0.25">
      <c r="A6" s="9" t="s">
        <v>6</v>
      </c>
      <c r="B6" s="10">
        <v>2.3999999999999998E-3</v>
      </c>
      <c r="C6" s="10">
        <v>1.4999999999999999E-2</v>
      </c>
      <c r="D6" s="10">
        <v>0.1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5.6999999999999998E-4</v>
      </c>
      <c r="C8" s="10">
        <v>3.8E-3</v>
      </c>
      <c r="D8" s="10">
        <v>2.5000000000000001E-2</v>
      </c>
    </row>
    <row r="9" spans="1:4" ht="15" customHeight="1" x14ac:dyDescent="0.25">
      <c r="A9" s="9" t="s">
        <v>15</v>
      </c>
      <c r="B9" s="10">
        <v>1.5E-3</v>
      </c>
      <c r="C9" s="10">
        <v>8.9999999999999993E-3</v>
      </c>
      <c r="D9" s="10">
        <v>6.2E-2</v>
      </c>
    </row>
    <row r="10" spans="1:4" ht="15" customHeight="1" x14ac:dyDescent="0.25">
      <c r="A10" s="9" t="s">
        <v>16</v>
      </c>
      <c r="B10" s="10">
        <v>0.02</v>
      </c>
      <c r="C10" s="10">
        <v>0.12</v>
      </c>
      <c r="D10" s="10">
        <v>0.79</v>
      </c>
    </row>
    <row r="11" spans="1:4" ht="15" customHeight="1" x14ac:dyDescent="0.25">
      <c r="A11" s="9" t="s">
        <v>17</v>
      </c>
      <c r="B11" s="10">
        <v>2.8000000000000001E-2</v>
      </c>
      <c r="C11" s="10">
        <v>0.17</v>
      </c>
      <c r="D11" s="10">
        <v>1.1000000000000001</v>
      </c>
    </row>
    <row r="12" spans="1:4" ht="15" customHeight="1" x14ac:dyDescent="0.25">
      <c r="A12" s="9" t="s">
        <v>163</v>
      </c>
      <c r="B12" s="10">
        <v>0.74</v>
      </c>
      <c r="C12" s="10">
        <v>4.5999999999999996</v>
      </c>
      <c r="D12" s="10">
        <v>32</v>
      </c>
    </row>
    <row r="13" spans="1:4" ht="15" customHeight="1" x14ac:dyDescent="0.25">
      <c r="A13" s="9" t="s">
        <v>18</v>
      </c>
      <c r="B13" s="10">
        <v>0.13</v>
      </c>
      <c r="C13" s="10">
        <v>0.79</v>
      </c>
      <c r="D13" s="10">
        <v>5.4</v>
      </c>
    </row>
    <row r="14" spans="1:4" ht="15" customHeight="1" x14ac:dyDescent="0.25">
      <c r="A14" s="9" t="s">
        <v>19</v>
      </c>
      <c r="B14" s="10">
        <v>3.2000000000000001E-2</v>
      </c>
      <c r="C14" s="10">
        <v>0.19</v>
      </c>
      <c r="D14" s="10">
        <v>1.3</v>
      </c>
    </row>
    <row r="15" spans="1:4" ht="15" customHeight="1" x14ac:dyDescent="0.25">
      <c r="A15" s="9" t="s">
        <v>20</v>
      </c>
      <c r="B15" s="10">
        <v>2.7E-4</v>
      </c>
      <c r="C15" s="10">
        <v>1.8E-3</v>
      </c>
      <c r="D15" s="10">
        <v>1.2E-2</v>
      </c>
    </row>
    <row r="16" spans="1:4" ht="15" customHeight="1" x14ac:dyDescent="0.25">
      <c r="A16" s="9" t="s">
        <v>21</v>
      </c>
      <c r="B16" s="10">
        <v>2.7E-4</v>
      </c>
      <c r="C16" s="10">
        <v>1.8E-3</v>
      </c>
      <c r="D16" s="10">
        <v>1.2E-2</v>
      </c>
    </row>
    <row r="17" spans="1:4" ht="15" customHeight="1" x14ac:dyDescent="0.25">
      <c r="A17" s="9" t="s">
        <v>22</v>
      </c>
      <c r="B17" s="10">
        <v>1.1000000000000001E-3</v>
      </c>
      <c r="C17" s="10">
        <v>7.1000000000000004E-3</v>
      </c>
      <c r="D17" s="10">
        <v>4.7E-2</v>
      </c>
    </row>
    <row r="18" spans="1:4" ht="15" customHeight="1" x14ac:dyDescent="0.25">
      <c r="A18" s="18" t="s">
        <v>23</v>
      </c>
      <c r="B18" s="13">
        <v>1.2E-4</v>
      </c>
      <c r="C18" s="13">
        <v>7.6999999999999996E-4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7D15-E52B-41AB-9BF2-200277E02849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87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8.8000000000000003E-4</v>
      </c>
      <c r="C5" s="10">
        <v>5.7000000000000002E-3</v>
      </c>
      <c r="D5" s="10">
        <v>3.6999999999999998E-2</v>
      </c>
    </row>
    <row r="6" spans="1:4" ht="15" customHeight="1" x14ac:dyDescent="0.25">
      <c r="A6" s="9" t="s">
        <v>6</v>
      </c>
      <c r="B6" s="10">
        <v>2E-3</v>
      </c>
      <c r="C6" s="10">
        <v>1.2999999999999999E-2</v>
      </c>
      <c r="D6" s="10">
        <v>8.5000000000000006E-2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4.2999999999999999E-4</v>
      </c>
      <c r="C8" s="10">
        <v>2.8999999999999998E-3</v>
      </c>
      <c r="D8" s="10">
        <v>1.9E-2</v>
      </c>
    </row>
    <row r="9" spans="1:4" ht="15" customHeight="1" x14ac:dyDescent="0.25">
      <c r="A9" s="9" t="s">
        <v>15</v>
      </c>
      <c r="B9" s="10">
        <v>1.1999999999999999E-3</v>
      </c>
      <c r="C9" s="10">
        <v>7.3000000000000001E-3</v>
      </c>
      <c r="D9" s="10">
        <v>0.05</v>
      </c>
    </row>
    <row r="10" spans="1:4" ht="15" customHeight="1" x14ac:dyDescent="0.25">
      <c r="A10" s="9" t="s">
        <v>16</v>
      </c>
      <c r="B10" s="10">
        <v>1.4999999999999999E-2</v>
      </c>
      <c r="C10" s="10">
        <v>9.2999999999999999E-2</v>
      </c>
      <c r="D10" s="10">
        <v>0.64</v>
      </c>
    </row>
    <row r="11" spans="1:4" ht="15" customHeight="1" x14ac:dyDescent="0.25">
      <c r="A11" s="9" t="s">
        <v>17</v>
      </c>
      <c r="B11" s="10">
        <v>2.1999999999999999E-2</v>
      </c>
      <c r="C11" s="10">
        <v>0.13</v>
      </c>
      <c r="D11" s="10">
        <v>0.92</v>
      </c>
    </row>
    <row r="12" spans="1:4" ht="15" customHeight="1" x14ac:dyDescent="0.25">
      <c r="A12" s="9" t="s">
        <v>163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5">
      <c r="A13" s="9" t="s">
        <v>18</v>
      </c>
      <c r="B13" s="10">
        <v>9.9000000000000005E-2</v>
      </c>
      <c r="C13" s="10">
        <v>0.62</v>
      </c>
      <c r="D13" s="10">
        <v>4.3</v>
      </c>
    </row>
    <row r="14" spans="1:4" ht="15" customHeight="1" x14ac:dyDescent="0.25">
      <c r="A14" s="9" t="s">
        <v>19</v>
      </c>
      <c r="B14" s="10">
        <v>2.5000000000000001E-2</v>
      </c>
      <c r="C14" s="10">
        <v>0.15</v>
      </c>
      <c r="D14" s="10">
        <v>1.1000000000000001</v>
      </c>
    </row>
    <row r="15" spans="1:4" ht="15" customHeight="1" x14ac:dyDescent="0.25">
      <c r="A15" s="9" t="s">
        <v>20</v>
      </c>
      <c r="B15" s="10">
        <v>2.2000000000000001E-4</v>
      </c>
      <c r="C15" s="10">
        <v>1.5E-3</v>
      </c>
      <c r="D15" s="10">
        <v>0.01</v>
      </c>
    </row>
    <row r="16" spans="1:4" ht="15" customHeight="1" x14ac:dyDescent="0.25">
      <c r="A16" s="9" t="s">
        <v>21</v>
      </c>
      <c r="B16" s="10">
        <v>2.2000000000000001E-4</v>
      </c>
      <c r="C16" s="10">
        <v>1.5E-3</v>
      </c>
      <c r="D16" s="10">
        <v>9.7999999999999997E-3</v>
      </c>
    </row>
    <row r="17" spans="1:4" ht="15" customHeight="1" x14ac:dyDescent="0.25">
      <c r="A17" s="9" t="s">
        <v>22</v>
      </c>
      <c r="B17" s="10">
        <v>8.8999999999999995E-4</v>
      </c>
      <c r="C17" s="10">
        <v>6.0000000000000001E-3</v>
      </c>
      <c r="D17" s="10">
        <v>0.04</v>
      </c>
    </row>
    <row r="18" spans="1:4" ht="15" customHeight="1" x14ac:dyDescent="0.25">
      <c r="A18" s="18" t="s">
        <v>23</v>
      </c>
      <c r="B18" s="13">
        <v>9.6000000000000002E-5</v>
      </c>
      <c r="C18" s="13">
        <v>6.4999999999999997E-4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999-D3B8-49CD-882F-F7E1D6B0A74B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88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9.7999999999999997E-4</v>
      </c>
      <c r="C5" s="10">
        <v>1.2E-2</v>
      </c>
      <c r="D5" s="10">
        <v>3.3000000000000002E-2</v>
      </c>
    </row>
    <row r="6" spans="1:4" ht="15" customHeight="1" x14ac:dyDescent="0.25">
      <c r="A6" s="9" t="s">
        <v>6</v>
      </c>
      <c r="B6" s="10">
        <v>2.2000000000000001E-3</v>
      </c>
      <c r="C6" s="10">
        <v>2.8000000000000001E-2</v>
      </c>
      <c r="D6" s="10">
        <v>7.5999999999999998E-2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4.8000000000000001E-4</v>
      </c>
      <c r="C8" s="10">
        <v>6.0000000000000001E-3</v>
      </c>
      <c r="D8" s="10">
        <v>1.7999999999999999E-2</v>
      </c>
    </row>
    <row r="9" spans="1:4" ht="15" customHeight="1" x14ac:dyDescent="0.25">
      <c r="A9" s="9" t="s">
        <v>15</v>
      </c>
      <c r="B9" s="10">
        <v>1.4E-3</v>
      </c>
      <c r="C9" s="10">
        <v>0.02</v>
      </c>
      <c r="D9" s="10">
        <v>4.5999999999999999E-2</v>
      </c>
    </row>
    <row r="10" spans="1:4" ht="15" customHeight="1" x14ac:dyDescent="0.25">
      <c r="A10" s="9" t="s">
        <v>16</v>
      </c>
      <c r="B10" s="10">
        <v>1.7999999999999999E-2</v>
      </c>
      <c r="C10" s="10">
        <v>0.25</v>
      </c>
      <c r="D10" s="10">
        <v>0.59</v>
      </c>
    </row>
    <row r="11" spans="1:4" ht="15" customHeight="1" x14ac:dyDescent="0.25">
      <c r="A11" s="9" t="s">
        <v>17</v>
      </c>
      <c r="B11" s="10">
        <v>2.5000000000000001E-2</v>
      </c>
      <c r="C11" s="10">
        <v>0.36</v>
      </c>
      <c r="D11" s="10">
        <v>0.84</v>
      </c>
    </row>
    <row r="12" spans="1:4" ht="15" customHeight="1" x14ac:dyDescent="0.25">
      <c r="A12" s="9" t="s">
        <v>163</v>
      </c>
      <c r="B12" s="10">
        <v>0.68</v>
      </c>
      <c r="C12" s="10">
        <v>10</v>
      </c>
      <c r="D12" s="10">
        <v>24</v>
      </c>
    </row>
    <row r="13" spans="1:4" ht="15" customHeight="1" x14ac:dyDescent="0.25">
      <c r="A13" s="9" t="s">
        <v>18</v>
      </c>
      <c r="B13" s="10">
        <v>0.12</v>
      </c>
      <c r="C13" s="10">
        <v>1.7</v>
      </c>
      <c r="D13" s="10">
        <v>4.0999999999999996</v>
      </c>
    </row>
    <row r="14" spans="1:4" ht="15" customHeight="1" x14ac:dyDescent="0.25">
      <c r="A14" s="9" t="s">
        <v>19</v>
      </c>
      <c r="B14" s="10">
        <v>2.9000000000000001E-2</v>
      </c>
      <c r="C14" s="10">
        <v>0.41</v>
      </c>
      <c r="D14" s="10">
        <v>0.98</v>
      </c>
    </row>
    <row r="15" spans="1:4" ht="15" customHeight="1" x14ac:dyDescent="0.25">
      <c r="A15" s="9" t="s">
        <v>20</v>
      </c>
      <c r="B15" s="10">
        <v>2.5999999999999998E-4</v>
      </c>
      <c r="C15" s="10">
        <v>3.5000000000000001E-3</v>
      </c>
      <c r="D15" s="10">
        <v>8.8999999999999999E-3</v>
      </c>
    </row>
    <row r="16" spans="1:4" ht="15" customHeight="1" x14ac:dyDescent="0.25">
      <c r="A16" s="9" t="s">
        <v>21</v>
      </c>
      <c r="B16" s="10">
        <v>2.5000000000000001E-4</v>
      </c>
      <c r="C16" s="10">
        <v>3.2000000000000002E-3</v>
      </c>
      <c r="D16" s="10">
        <v>8.6E-3</v>
      </c>
    </row>
    <row r="17" spans="1:4" ht="15" customHeight="1" x14ac:dyDescent="0.25">
      <c r="A17" s="9" t="s">
        <v>22</v>
      </c>
      <c r="B17" s="10">
        <v>1E-3</v>
      </c>
      <c r="C17" s="10">
        <v>1.2999999999999999E-2</v>
      </c>
      <c r="D17" s="10">
        <v>3.5000000000000003E-2</v>
      </c>
    </row>
    <row r="18" spans="1:4" ht="15" customHeight="1" x14ac:dyDescent="0.25">
      <c r="A18" s="18" t="s">
        <v>23</v>
      </c>
      <c r="B18" s="13">
        <v>1.1E-4</v>
      </c>
      <c r="C18" s="13">
        <v>1.4E-3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849D-8E62-4953-9280-A30398726579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89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9.3999999999999997E-4</v>
      </c>
      <c r="C5" s="10">
        <v>6.4999999999999997E-3</v>
      </c>
      <c r="D5" s="10">
        <v>4.3999999999999997E-2</v>
      </c>
    </row>
    <row r="6" spans="1:4" ht="15" customHeight="1" x14ac:dyDescent="0.25">
      <c r="A6" s="9" t="s">
        <v>6</v>
      </c>
      <c r="B6" s="10">
        <v>2.0999999999999999E-3</v>
      </c>
      <c r="C6" s="10">
        <v>1.4999999999999999E-2</v>
      </c>
      <c r="D6" s="10">
        <v>9.9000000000000005E-2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4.8000000000000001E-4</v>
      </c>
      <c r="C8" s="10">
        <v>3.3999999999999998E-3</v>
      </c>
      <c r="D8" s="10">
        <v>2.5000000000000001E-2</v>
      </c>
    </row>
    <row r="9" spans="1:4" ht="15" customHeight="1" x14ac:dyDescent="0.25">
      <c r="A9" s="9" t="s">
        <v>15</v>
      </c>
      <c r="B9" s="10">
        <v>1.4E-3</v>
      </c>
      <c r="C9" s="10">
        <v>0.01</v>
      </c>
      <c r="D9" s="10">
        <v>6.0999999999999999E-2</v>
      </c>
    </row>
    <row r="10" spans="1:4" ht="15" customHeight="1" x14ac:dyDescent="0.25">
      <c r="A10" s="9" t="s">
        <v>16</v>
      </c>
      <c r="B10" s="10">
        <v>1.7999999999999999E-2</v>
      </c>
      <c r="C10" s="10">
        <v>0.13</v>
      </c>
      <c r="D10" s="10">
        <v>0.78</v>
      </c>
    </row>
    <row r="11" spans="1:4" ht="15" customHeight="1" x14ac:dyDescent="0.25">
      <c r="A11" s="9" t="s">
        <v>17</v>
      </c>
      <c r="B11" s="10">
        <v>2.5000000000000001E-2</v>
      </c>
      <c r="C11" s="10">
        <v>0.19</v>
      </c>
      <c r="D11" s="10">
        <v>1.1000000000000001</v>
      </c>
    </row>
    <row r="12" spans="1:4" ht="15" customHeight="1" x14ac:dyDescent="0.25">
      <c r="A12" s="9" t="s">
        <v>163</v>
      </c>
      <c r="B12" s="10">
        <v>0.68</v>
      </c>
      <c r="C12" s="10">
        <v>4.9000000000000004</v>
      </c>
      <c r="D12" s="10">
        <v>32</v>
      </c>
    </row>
    <row r="13" spans="1:4" ht="15" customHeight="1" x14ac:dyDescent="0.25">
      <c r="A13" s="9" t="s">
        <v>18</v>
      </c>
      <c r="B13" s="10">
        <v>0.12</v>
      </c>
      <c r="C13" s="10">
        <v>0.84</v>
      </c>
      <c r="D13" s="10">
        <v>5.4</v>
      </c>
    </row>
    <row r="14" spans="1:4" ht="15" customHeight="1" x14ac:dyDescent="0.25">
      <c r="A14" s="9" t="s">
        <v>19</v>
      </c>
      <c r="B14" s="10">
        <v>2.9000000000000001E-2</v>
      </c>
      <c r="C14" s="10">
        <v>0.21</v>
      </c>
      <c r="D14" s="10">
        <v>1.3</v>
      </c>
    </row>
    <row r="15" spans="1:4" ht="15" customHeight="1" x14ac:dyDescent="0.25">
      <c r="A15" s="9" t="s">
        <v>20</v>
      </c>
      <c r="B15" s="10">
        <v>2.5000000000000001E-4</v>
      </c>
      <c r="C15" s="10">
        <v>1.5E-3</v>
      </c>
      <c r="D15" s="10">
        <v>1.2E-2</v>
      </c>
    </row>
    <row r="16" spans="1:4" ht="15" customHeight="1" x14ac:dyDescent="0.25">
      <c r="A16" s="9" t="s">
        <v>21</v>
      </c>
      <c r="B16" s="10">
        <v>2.4000000000000001E-4</v>
      </c>
      <c r="C16" s="10">
        <v>1.5E-3</v>
      </c>
      <c r="D16" s="10">
        <v>1.0999999999999999E-2</v>
      </c>
    </row>
    <row r="17" spans="1:4" ht="15" customHeight="1" x14ac:dyDescent="0.25">
      <c r="A17" s="9" t="s">
        <v>22</v>
      </c>
      <c r="B17" s="10">
        <v>9.7999999999999997E-4</v>
      </c>
      <c r="C17" s="10">
        <v>6.1999999999999998E-3</v>
      </c>
      <c r="D17" s="10">
        <v>4.4999999999999998E-2</v>
      </c>
    </row>
    <row r="18" spans="1:4" ht="15" customHeight="1" x14ac:dyDescent="0.25">
      <c r="A18" s="18" t="s">
        <v>23</v>
      </c>
      <c r="B18" s="13">
        <v>1.1E-4</v>
      </c>
      <c r="C18" s="13">
        <v>6.7000000000000002E-4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8747-DBCA-4D94-BA24-6EA89320BAC7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90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1E-3</v>
      </c>
      <c r="C5" s="10">
        <v>2.8999999999999998E-3</v>
      </c>
      <c r="D5" s="10">
        <v>5.0999999999999997E-2</v>
      </c>
    </row>
    <row r="6" spans="1:4" ht="15" customHeight="1" x14ac:dyDescent="0.25">
      <c r="A6" s="9" t="s">
        <v>6</v>
      </c>
      <c r="B6" s="10">
        <v>2.3999999999999998E-3</v>
      </c>
      <c r="C6" s="10">
        <v>6.4999999999999997E-3</v>
      </c>
      <c r="D6" s="10">
        <v>0.12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5.2999999999999998E-4</v>
      </c>
      <c r="C8" s="10">
        <v>1.5E-3</v>
      </c>
      <c r="D8" s="10">
        <v>2.8000000000000001E-2</v>
      </c>
    </row>
    <row r="9" spans="1:4" ht="15" customHeight="1" x14ac:dyDescent="0.25">
      <c r="A9" s="9" t="s">
        <v>15</v>
      </c>
      <c r="B9" s="10">
        <v>1.4E-3</v>
      </c>
      <c r="C9" s="10">
        <v>4.4999999999999997E-3</v>
      </c>
      <c r="D9" s="10">
        <v>7.2999999999999995E-2</v>
      </c>
    </row>
    <row r="10" spans="1:4" ht="15" customHeight="1" x14ac:dyDescent="0.25">
      <c r="A10" s="9" t="s">
        <v>16</v>
      </c>
      <c r="B10" s="10">
        <v>1.7999999999999999E-2</v>
      </c>
      <c r="C10" s="10">
        <v>5.7000000000000002E-2</v>
      </c>
      <c r="D10" s="10">
        <v>0.93</v>
      </c>
    </row>
    <row r="11" spans="1:4" ht="15" customHeight="1" x14ac:dyDescent="0.25">
      <c r="A11" s="9" t="s">
        <v>17</v>
      </c>
      <c r="B11" s="10">
        <v>2.5999999999999999E-2</v>
      </c>
      <c r="C11" s="10">
        <v>8.2000000000000003E-2</v>
      </c>
      <c r="D11" s="10">
        <v>1.3</v>
      </c>
    </row>
    <row r="12" spans="1:4" ht="15" customHeight="1" x14ac:dyDescent="0.25">
      <c r="A12" s="9" t="s">
        <v>163</v>
      </c>
      <c r="B12" s="10">
        <v>0.71</v>
      </c>
      <c r="C12" s="10">
        <v>2.1</v>
      </c>
      <c r="D12" s="10">
        <v>37</v>
      </c>
    </row>
    <row r="13" spans="1:4" ht="15" customHeight="1" x14ac:dyDescent="0.25">
      <c r="A13" s="9" t="s">
        <v>18</v>
      </c>
      <c r="B13" s="10">
        <v>0.12</v>
      </c>
      <c r="C13" s="10">
        <v>0.37</v>
      </c>
      <c r="D13" s="10">
        <v>6.3</v>
      </c>
    </row>
    <row r="14" spans="1:4" ht="15" customHeight="1" x14ac:dyDescent="0.25">
      <c r="A14" s="9" t="s">
        <v>19</v>
      </c>
      <c r="B14" s="10">
        <v>3.1E-2</v>
      </c>
      <c r="C14" s="10">
        <v>9.4E-2</v>
      </c>
      <c r="D14" s="10">
        <v>1.5</v>
      </c>
    </row>
    <row r="15" spans="1:4" ht="15" customHeight="1" x14ac:dyDescent="0.25">
      <c r="A15" s="9" t="s">
        <v>20</v>
      </c>
      <c r="B15" s="10">
        <v>2.7E-4</v>
      </c>
      <c r="C15" s="10">
        <v>6.9999999999999999E-4</v>
      </c>
      <c r="D15" s="10">
        <v>1.4E-2</v>
      </c>
    </row>
    <row r="16" spans="1:4" ht="15" customHeight="1" x14ac:dyDescent="0.25">
      <c r="A16" s="9" t="s">
        <v>21</v>
      </c>
      <c r="B16" s="10">
        <v>2.5999999999999998E-4</v>
      </c>
      <c r="C16" s="10">
        <v>6.8000000000000005E-4</v>
      </c>
      <c r="D16" s="10">
        <v>1.2999999999999999E-2</v>
      </c>
    </row>
    <row r="17" spans="1:4" ht="15" customHeight="1" x14ac:dyDescent="0.25">
      <c r="A17" s="9" t="s">
        <v>22</v>
      </c>
      <c r="B17" s="10">
        <v>1.1000000000000001E-3</v>
      </c>
      <c r="C17" s="10">
        <v>2.8E-3</v>
      </c>
      <c r="D17" s="10">
        <v>5.3999999999999999E-2</v>
      </c>
    </row>
    <row r="18" spans="1:4" ht="15" customHeight="1" x14ac:dyDescent="0.25">
      <c r="A18" s="18" t="s">
        <v>23</v>
      </c>
      <c r="B18" s="13">
        <v>1.1E-4</v>
      </c>
      <c r="C18" s="13">
        <v>2.9999999999999997E-4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3B23-BF6E-4D7B-9540-BAE382AEBFF7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91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7.3999999999999999E-4</v>
      </c>
      <c r="C5" s="10">
        <v>5.1000000000000004E-3</v>
      </c>
      <c r="D5" s="10">
        <v>1.7999999999999999E-2</v>
      </c>
    </row>
    <row r="6" spans="1:4" ht="15" customHeight="1" x14ac:dyDescent="0.25">
      <c r="A6" s="9" t="s">
        <v>6</v>
      </c>
      <c r="B6" s="10">
        <v>1.6999999999999999E-3</v>
      </c>
      <c r="C6" s="10">
        <v>1.0999999999999999E-2</v>
      </c>
      <c r="D6" s="10">
        <v>4.2000000000000003E-2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3.4000000000000002E-4</v>
      </c>
      <c r="C8" s="10">
        <v>2.3999999999999998E-3</v>
      </c>
      <c r="D8" s="10">
        <v>9.7999999999999997E-3</v>
      </c>
    </row>
    <row r="9" spans="1:4" ht="15" customHeight="1" x14ac:dyDescent="0.25">
      <c r="A9" s="9" t="s">
        <v>15</v>
      </c>
      <c r="B9" s="10">
        <v>9.6000000000000002E-4</v>
      </c>
      <c r="C9" s="10">
        <v>6.1999999999999998E-3</v>
      </c>
      <c r="D9" s="10">
        <v>2.4E-2</v>
      </c>
    </row>
    <row r="10" spans="1:4" ht="15" customHeight="1" x14ac:dyDescent="0.25">
      <c r="A10" s="9" t="s">
        <v>16</v>
      </c>
      <c r="B10" s="10">
        <v>1.2E-2</v>
      </c>
      <c r="C10" s="10">
        <v>7.9000000000000001E-2</v>
      </c>
      <c r="D10" s="10">
        <v>0.31</v>
      </c>
    </row>
    <row r="11" spans="1:4" ht="15" customHeight="1" x14ac:dyDescent="0.25">
      <c r="A11" s="9" t="s">
        <v>17</v>
      </c>
      <c r="B11" s="10">
        <v>1.7000000000000001E-2</v>
      </c>
      <c r="C11" s="10">
        <v>0.11</v>
      </c>
      <c r="D11" s="10">
        <v>0.44</v>
      </c>
    </row>
    <row r="12" spans="1:4" ht="15" customHeight="1" x14ac:dyDescent="0.25">
      <c r="A12" s="9" t="s">
        <v>163</v>
      </c>
      <c r="B12" s="10">
        <v>0.46</v>
      </c>
      <c r="C12" s="10">
        <v>3.1</v>
      </c>
      <c r="D12" s="10">
        <v>12</v>
      </c>
    </row>
    <row r="13" spans="1:4" ht="15" customHeight="1" x14ac:dyDescent="0.25">
      <c r="A13" s="9" t="s">
        <v>18</v>
      </c>
      <c r="B13" s="10">
        <v>7.8E-2</v>
      </c>
      <c r="C13" s="10">
        <v>0.53</v>
      </c>
      <c r="D13" s="10">
        <v>2.1</v>
      </c>
    </row>
    <row r="14" spans="1:4" ht="15" customHeight="1" x14ac:dyDescent="0.25">
      <c r="A14" s="9" t="s">
        <v>19</v>
      </c>
      <c r="B14" s="10">
        <v>0.02</v>
      </c>
      <c r="C14" s="10">
        <v>0.13</v>
      </c>
      <c r="D14" s="10">
        <v>0.51</v>
      </c>
    </row>
    <row r="15" spans="1:4" ht="15" customHeight="1" x14ac:dyDescent="0.25">
      <c r="A15" s="9" t="s">
        <v>20</v>
      </c>
      <c r="B15" s="10">
        <v>1.8000000000000001E-4</v>
      </c>
      <c r="C15" s="10">
        <v>1.4E-3</v>
      </c>
      <c r="D15" s="10">
        <v>4.7999999999999996E-3</v>
      </c>
    </row>
    <row r="16" spans="1:4" ht="15" customHeight="1" x14ac:dyDescent="0.25">
      <c r="A16" s="9" t="s">
        <v>21</v>
      </c>
      <c r="B16" s="10">
        <v>1.8000000000000001E-4</v>
      </c>
      <c r="C16" s="10">
        <v>1.2999999999999999E-3</v>
      </c>
      <c r="D16" s="10">
        <v>4.7000000000000002E-3</v>
      </c>
    </row>
    <row r="17" spans="1:4" ht="15" customHeight="1" x14ac:dyDescent="0.25">
      <c r="A17" s="9" t="s">
        <v>22</v>
      </c>
      <c r="B17" s="10">
        <v>7.3999999999999999E-4</v>
      </c>
      <c r="C17" s="10">
        <v>5.3E-3</v>
      </c>
      <c r="D17" s="10">
        <v>1.9E-2</v>
      </c>
    </row>
    <row r="18" spans="1:4" ht="15" customHeight="1" x14ac:dyDescent="0.25">
      <c r="A18" s="18" t="s">
        <v>23</v>
      </c>
      <c r="B18" s="13">
        <v>7.8999999999999996E-5</v>
      </c>
      <c r="C18" s="13">
        <v>5.8E-4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B7CC-6991-41E2-B3B2-C03FE774A01B}">
  <dimension ref="A1:D18"/>
  <sheetViews>
    <sheetView workbookViewId="0">
      <selection sqref="A1:D1"/>
    </sheetView>
  </sheetViews>
  <sheetFormatPr defaultRowHeight="15" x14ac:dyDescent="0.25"/>
  <cols>
    <col min="1" max="1" width="52" style="4" customWidth="1"/>
    <col min="2" max="2" width="15.7109375" style="4" customWidth="1"/>
    <col min="3" max="3" width="16.42578125" style="4" customWidth="1"/>
    <col min="4" max="4" width="17.85546875" style="4" customWidth="1"/>
    <col min="5" max="16384" width="9.140625" style="4"/>
  </cols>
  <sheetData>
    <row r="1" spans="1:4" ht="45" customHeight="1" x14ac:dyDescent="0.25">
      <c r="A1" s="47" t="s">
        <v>92</v>
      </c>
      <c r="B1" s="47"/>
      <c r="C1" s="47"/>
      <c r="D1" s="47"/>
    </row>
    <row r="2" spans="1:4" ht="15" customHeight="1" x14ac:dyDescent="0.25">
      <c r="A2" s="21"/>
      <c r="B2" s="46" t="s">
        <v>11</v>
      </c>
      <c r="C2" s="46"/>
      <c r="D2" s="46"/>
    </row>
    <row r="3" spans="1:4" ht="29.25" customHeight="1" x14ac:dyDescent="0.25">
      <c r="A3" s="5" t="s">
        <v>12</v>
      </c>
      <c r="B3" s="6" t="s">
        <v>9</v>
      </c>
      <c r="C3" s="6" t="s">
        <v>10</v>
      </c>
      <c r="D3" s="19" t="s">
        <v>32</v>
      </c>
    </row>
    <row r="4" spans="1:4" ht="15" customHeight="1" x14ac:dyDescent="0.25">
      <c r="A4" s="7" t="s">
        <v>8</v>
      </c>
      <c r="B4" s="8"/>
      <c r="C4" s="8"/>
      <c r="D4" s="8"/>
    </row>
    <row r="5" spans="1:4" ht="15" customHeight="1" x14ac:dyDescent="0.25">
      <c r="A5" s="9" t="s">
        <v>13</v>
      </c>
      <c r="B5" s="10">
        <v>2.5999999999999998E-4</v>
      </c>
      <c r="C5" s="10">
        <v>1.6999999999999999E-3</v>
      </c>
      <c r="D5" s="10">
        <v>6.4000000000000003E-3</v>
      </c>
    </row>
    <row r="6" spans="1:4" ht="15" customHeight="1" x14ac:dyDescent="0.25">
      <c r="A6" s="9" t="s">
        <v>6</v>
      </c>
      <c r="B6" s="10">
        <v>5.9000000000000003E-4</v>
      </c>
      <c r="C6" s="10">
        <v>3.8999999999999998E-3</v>
      </c>
      <c r="D6" s="10">
        <v>1.4999999999999999E-2</v>
      </c>
    </row>
    <row r="7" spans="1:4" ht="15" customHeight="1" x14ac:dyDescent="0.25">
      <c r="A7" s="11" t="s">
        <v>7</v>
      </c>
      <c r="B7" s="12"/>
      <c r="C7" s="12"/>
      <c r="D7" s="12"/>
    </row>
    <row r="8" spans="1:4" ht="15" customHeight="1" x14ac:dyDescent="0.25">
      <c r="A8" s="9" t="s">
        <v>14</v>
      </c>
      <c r="B8" s="10">
        <v>1.3999999999999999E-4</v>
      </c>
      <c r="C8" s="10">
        <v>8.8000000000000003E-4</v>
      </c>
      <c r="D8" s="10">
        <v>3.3E-3</v>
      </c>
    </row>
    <row r="9" spans="1:4" ht="15" customHeight="1" x14ac:dyDescent="0.25">
      <c r="A9" s="9" t="s">
        <v>15</v>
      </c>
      <c r="B9" s="10">
        <v>4.0999999999999999E-4</v>
      </c>
      <c r="C9" s="10">
        <v>2.2000000000000001E-3</v>
      </c>
      <c r="D9" s="10">
        <v>8.6E-3</v>
      </c>
    </row>
    <row r="10" spans="1:4" ht="15" customHeight="1" x14ac:dyDescent="0.25">
      <c r="A10" s="9" t="s">
        <v>16</v>
      </c>
      <c r="B10" s="10">
        <v>5.1999999999999998E-3</v>
      </c>
      <c r="C10" s="10">
        <v>2.8000000000000001E-2</v>
      </c>
      <c r="D10" s="10">
        <v>0.11</v>
      </c>
    </row>
    <row r="11" spans="1:4" ht="15" customHeight="1" x14ac:dyDescent="0.25">
      <c r="A11" s="9" t="s">
        <v>17</v>
      </c>
      <c r="B11" s="10">
        <v>7.4999999999999997E-3</v>
      </c>
      <c r="C11" s="10">
        <v>0.04</v>
      </c>
      <c r="D11" s="10">
        <v>0.16</v>
      </c>
    </row>
    <row r="12" spans="1:4" ht="15" customHeight="1" x14ac:dyDescent="0.25">
      <c r="A12" s="9" t="s">
        <v>163</v>
      </c>
      <c r="B12" s="10">
        <v>0.21</v>
      </c>
      <c r="C12" s="10">
        <v>1.2</v>
      </c>
      <c r="D12" s="10">
        <v>4.5</v>
      </c>
    </row>
    <row r="13" spans="1:4" ht="15" customHeight="1" x14ac:dyDescent="0.25">
      <c r="A13" s="9" t="s">
        <v>18</v>
      </c>
      <c r="B13" s="10">
        <v>3.5999999999999997E-2</v>
      </c>
      <c r="C13" s="10">
        <v>0.2</v>
      </c>
      <c r="D13" s="10">
        <v>0.77</v>
      </c>
    </row>
    <row r="14" spans="1:4" ht="15" customHeight="1" x14ac:dyDescent="0.25">
      <c r="A14" s="9" t="s">
        <v>19</v>
      </c>
      <c r="B14" s="10">
        <v>8.6E-3</v>
      </c>
      <c r="C14" s="10">
        <v>4.5999999999999999E-2</v>
      </c>
      <c r="D14" s="10">
        <v>0.18</v>
      </c>
    </row>
    <row r="15" spans="1:4" ht="15" customHeight="1" x14ac:dyDescent="0.25">
      <c r="A15" s="9" t="s">
        <v>20</v>
      </c>
      <c r="B15" s="10">
        <v>7.3999999999999996E-5</v>
      </c>
      <c r="C15" s="10">
        <v>4.6999999999999999E-4</v>
      </c>
      <c r="D15" s="10">
        <v>1.6999999999999999E-3</v>
      </c>
    </row>
    <row r="16" spans="1:4" ht="15" customHeight="1" x14ac:dyDescent="0.25">
      <c r="A16" s="9" t="s">
        <v>21</v>
      </c>
      <c r="B16" s="10">
        <v>6.9999999999999994E-5</v>
      </c>
      <c r="C16" s="10">
        <v>4.4999999999999999E-4</v>
      </c>
      <c r="D16" s="10">
        <v>1.6000000000000001E-3</v>
      </c>
    </row>
    <row r="17" spans="1:4" ht="15" customHeight="1" x14ac:dyDescent="0.25">
      <c r="A17" s="9" t="s">
        <v>22</v>
      </c>
      <c r="B17" s="10">
        <v>2.7999999999999998E-4</v>
      </c>
      <c r="C17" s="10">
        <v>1.8E-3</v>
      </c>
      <c r="D17" s="10">
        <v>6.6E-3</v>
      </c>
    </row>
    <row r="18" spans="1:4" ht="15" customHeight="1" x14ac:dyDescent="0.25">
      <c r="A18" s="18" t="s">
        <v>23</v>
      </c>
      <c r="B18" s="13">
        <v>3.1000000000000001E-5</v>
      </c>
      <c r="C18" s="13">
        <v>1.9000000000000001E-4</v>
      </c>
      <c r="D18" s="13">
        <v>7.1000000000000002E-4</v>
      </c>
    </row>
  </sheetData>
  <mergeCells count="2">
    <mergeCell ref="B2:D2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072E60-3BF4-4262-AEE5-ACCF64292921}"/>
</file>

<file path=customXml/itemProps2.xml><?xml version="1.0" encoding="utf-8"?>
<ds:datastoreItem xmlns:ds="http://schemas.openxmlformats.org/officeDocument/2006/customXml" ds:itemID="{A4A460E9-6A56-4E8F-88E0-EF10C8CDFCB9}"/>
</file>

<file path=customXml/itemProps3.xml><?xml version="1.0" encoding="utf-8"?>
<ds:datastoreItem xmlns:ds="http://schemas.openxmlformats.org/officeDocument/2006/customXml" ds:itemID="{79395D82-0053-42D2-B58D-1D2F8F974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About</vt:lpstr>
      <vt:lpstr>Mappings</vt:lpstr>
      <vt:lpstr>HOIpTP-transport-NOx</vt:lpstr>
      <vt:lpstr>HOIpTP-transport-PM25</vt:lpstr>
      <vt:lpstr>HOIpTP-transport-SO2</vt:lpstr>
      <vt:lpstr>HOIpTP-electricity-NOx</vt:lpstr>
      <vt:lpstr>HOIpTP-electricity-PM25</vt:lpstr>
      <vt:lpstr>HOIpTP-electricity-SO2</vt:lpstr>
      <vt:lpstr>HOIpTP-buildings-NOx</vt:lpstr>
      <vt:lpstr>HOIpTP-buildings-PM25</vt:lpstr>
      <vt:lpstr>HOIpTP-buildings-SO2</vt:lpstr>
      <vt:lpstr>HOIpTP-industry-NOx</vt:lpstr>
      <vt:lpstr>HOIpTP-industry-PM25</vt:lpstr>
      <vt:lpstr>HOIpTP-industry-SO2</vt:lpstr>
      <vt:lpstr>HOIpTP-LULUCF-NOx</vt:lpstr>
      <vt:lpstr>HOIpTP-LULUCF-PM25</vt:lpstr>
      <vt:lpstr>HOIpTP-LULUCF-SO2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2020-07-06T23:53:13Z</dcterms:created>
  <dcterms:modified xsi:type="dcterms:W3CDTF">2020-07-07T03:00:29Z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