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2026\01.EPS\05.EPS고도화\01.EPS 4.0.5 update\v4.0.5\add-outputs\"/>
    </mc:Choice>
  </mc:AlternateContent>
  <xr:revisionPtr revIDLastSave="0" documentId="13_ncr:1_{063B4943-9203-43ED-822B-4C5606365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out" sheetId="1" r:id="rId1"/>
    <sheet name="장래가구추계" sheetId="6" r:id="rId2"/>
    <sheet name="주민등록인구현황" sheetId="7" r:id="rId3"/>
    <sheet name="No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B2" i="3"/>
</calcChain>
</file>

<file path=xl/sharedStrings.xml><?xml version="1.0" encoding="utf-8"?>
<sst xmlns="http://schemas.openxmlformats.org/spreadsheetml/2006/main" count="102" uniqueCount="76">
  <si>
    <t>Source:</t>
  </si>
  <si>
    <t>NoH Number of Households</t>
  </si>
  <si>
    <t>Households</t>
  </si>
  <si>
    <t>Dmnl</t>
  </si>
  <si>
    <t>2022-2050</t>
  </si>
  <si>
    <t/>
  </si>
  <si>
    <t>가구주의 성별</t>
  </si>
  <si>
    <t>가구주의 연령별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</si>
  <si>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</si>
  <si>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</si>
  <si>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</si>
  <si>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</si>
  <si>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</si>
  <si>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</si>
  <si>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</si>
  <si>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</si>
  <si>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</si>
  <si>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</si>
  <si>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</si>
  <si>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</si>
  <si>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</si>
  <si>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</si>
  <si>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</si>
  <si>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</si>
  <si>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</si>
  <si>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</si>
  <si>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</si>
  <si>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</si>
  <si>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</si>
  <si>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</si>
  <si>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</si>
  <si>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</si>
  <si>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</si>
  <si>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</si>
  <si>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</si>
  <si>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</si>
  <si>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</si>
  <si>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</si>
  <si>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</si>
  <si>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</si>
  <si>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</si>
  <si>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계</t>
  </si>
  <si>
    <t>합계</t>
  </si>
  <si>
    <t>남자</t>
  </si>
  <si>
    <t>여자</t>
  </si>
  <si>
    <t>행정구역(시군구)별</t>
  </si>
  <si>
    <t>전국</t>
  </si>
  <si>
    <t>행정구역(시군구)별 주민등록세대수</t>
  </si>
  <si>
    <t>https://kosis.kr/statHtml/statHtml.do?orgId=101&amp;tblId=DT_1B040B3&amp;conn_path=I3</t>
  </si>
  <si>
    <t>「주민등록인구현황」, 행정안전부</t>
  </si>
  <si>
    <t>「장래가구추계」, 국가데이터처</t>
  </si>
  <si>
    <t>https://kosis.kr/statHtml/statHtml.do?orgId=101&amp;tblId=DT_1BZ05011&amp;conn_path=I3</t>
  </si>
  <si>
    <t>가구주의 성/연령별 추계가구-전국</t>
  </si>
  <si>
    <t>○ 통계표ID</t>
  </si>
  <si>
    <t>DT_1B040B3</t>
  </si>
  <si>
    <t>○ 통계표명</t>
  </si>
  <si>
    <t>행정구역(시군구)별 주민등록세대수</t>
    <phoneticPr fontId="21" type="noConversion"/>
  </si>
  <si>
    <t>○ 조회기간</t>
  </si>
  <si>
    <t xml:space="preserve">[년] 2020~2025  </t>
  </si>
  <si>
    <t>○ 출처</t>
  </si>
  <si>
    <t>○ 자료다운일자</t>
  </si>
  <si>
    <t>2026.03.13 14:55</t>
  </si>
  <si>
    <t>○ 통계표URL</t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</si>
  <si>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</si>
  <si>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</si>
  <si>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</si>
  <si>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</si>
  <si>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</si>
  <si>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</si>
  <si>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</si>
  <si>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DT_1BZ05011</t>
  </si>
  <si>
    <t>가구주의 성/연령별 추계가구-전국</t>
    <phoneticPr fontId="21" type="noConversion"/>
  </si>
  <si>
    <t xml:space="preserve">[년] 2020~2052  </t>
  </si>
  <si>
    <t>2026.03.13 14:39</t>
  </si>
  <si>
    <t>2022년 기준 추계로 2022~2052년 추계가구수 제공</t>
  </si>
  <si>
    <t>* 전국 장래가구추계는 2022년 기준, 시도 장래가구추계는 2020년 기준으로 작성되어 전국과 시도의 합이 불일치하므로 이용시 주의하시기 바랍니다(장래가구추계 시도편은 2024년 12월 공표 예정)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</si>
</sst>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9C65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/>
    <xf numFmtId="0" fontId="17" fillId="0" borderId="10">
      <alignment wrapText="1"/>
    </xf>
    <xf numFmtId="0" fontId="17" fillId="0" borderId="0"/>
    <xf numFmtId="0" fontId="17" fillId="0" borderId="11">
      <alignment wrapText="1"/>
    </xf>
    <xf numFmtId="0" fontId="18" fillId="0" borderId="12">
      <alignment wrapText="1"/>
    </xf>
    <xf numFmtId="0" fontId="18" fillId="0" borderId="13">
      <alignment wrapText="1"/>
    </xf>
    <xf numFmtId="0" fontId="19" fillId="0" borderId="0">
      <alignment horizontal="left"/>
    </xf>
    <xf numFmtId="0" fontId="2" fillId="0" borderId="0"/>
    <xf numFmtId="0" fontId="17" fillId="0" borderId="0"/>
    <xf numFmtId="0" fontId="17" fillId="0" borderId="10">
      <alignment wrapText="1"/>
    </xf>
    <xf numFmtId="0" fontId="17" fillId="0" borderId="0"/>
    <xf numFmtId="0" fontId="17" fillId="0" borderId="11">
      <alignment wrapText="1"/>
    </xf>
    <xf numFmtId="0" fontId="18" fillId="0" borderId="12">
      <alignment wrapText="1"/>
    </xf>
    <xf numFmtId="0" fontId="18" fillId="0" borderId="13">
      <alignment wrapText="1"/>
    </xf>
    <xf numFmtId="0" fontId="19" fillId="0" borderId="0">
      <alignment horizontal="left"/>
    </xf>
    <xf numFmtId="0" fontId="2" fillId="0" borderId="0"/>
    <xf numFmtId="0" fontId="17" fillId="0" borderId="0"/>
    <xf numFmtId="0" fontId="17" fillId="0" borderId="10">
      <alignment wrapText="1"/>
    </xf>
    <xf numFmtId="0" fontId="17" fillId="0" borderId="0"/>
    <xf numFmtId="0" fontId="17" fillId="0" borderId="11">
      <alignment wrapText="1"/>
    </xf>
    <xf numFmtId="0" fontId="18" fillId="0" borderId="12">
      <alignment wrapText="1"/>
    </xf>
    <xf numFmtId="0" fontId="18" fillId="0" borderId="13">
      <alignment wrapText="1"/>
    </xf>
    <xf numFmtId="0" fontId="19" fillId="0" borderId="0">
      <alignment horizontal="left"/>
    </xf>
    <xf numFmtId="0" fontId="2" fillId="0" borderId="0"/>
    <xf numFmtId="0" fontId="2" fillId="0" borderId="0"/>
    <xf numFmtId="0" fontId="2" fillId="0" borderId="0"/>
    <xf numFmtId="0" fontId="20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10" applyNumberFormat="0" applyFont="0" applyProtection="0">
      <alignment wrapText="1"/>
    </xf>
    <xf numFmtId="0" fontId="17" fillId="0" borderId="0" applyNumberFormat="0" applyFill="0" applyBorder="0" applyAlignment="0" applyProtection="0"/>
    <xf numFmtId="0" fontId="17" fillId="0" borderId="11" applyNumberFormat="0" applyProtection="0">
      <alignment wrapText="1"/>
    </xf>
    <xf numFmtId="0" fontId="18" fillId="0" borderId="12" applyNumberFormat="0" applyProtection="0">
      <alignment wrapText="1"/>
    </xf>
    <xf numFmtId="0" fontId="18" fillId="0" borderId="13" applyNumberFormat="0" applyProtection="0">
      <alignment wrapText="1"/>
    </xf>
    <xf numFmtId="0" fontId="19" fillId="0" borderId="0" applyNumberFormat="0" applyProtection="0">
      <alignment horizontal="left"/>
    </xf>
    <xf numFmtId="0" fontId="22" fillId="0" borderId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33" borderId="0" xfId="0" applyFill="1"/>
    <xf numFmtId="0" fontId="22" fillId="34" borderId="14" xfId="74" applyFill="1" applyBorder="1">
      <alignment vertical="center"/>
    </xf>
    <xf numFmtId="0" fontId="22" fillId="35" borderId="14" xfId="74" applyFill="1" applyBorder="1" applyAlignment="1"/>
    <xf numFmtId="0" fontId="22" fillId="0" borderId="0" xfId="74">
      <alignment vertical="center"/>
    </xf>
    <xf numFmtId="0" fontId="22" fillId="36" borderId="15" xfId="74" applyFill="1" applyBorder="1" applyAlignment="1"/>
    <xf numFmtId="3" fontId="22" fillId="0" borderId="14" xfId="74" applyNumberFormat="1" applyBorder="1" applyAlignment="1">
      <alignment horizontal="right"/>
    </xf>
    <xf numFmtId="0" fontId="22" fillId="36" borderId="14" xfId="74" applyFill="1" applyBorder="1" applyAlignment="1"/>
    <xf numFmtId="0" fontId="23" fillId="0" borderId="0" xfId="0" applyFont="1" applyAlignment="1">
      <alignment horizontal="left"/>
    </xf>
    <xf numFmtId="0" fontId="23" fillId="0" borderId="0" xfId="0" applyFont="1" applyAlignment="1">
      <alignment vertical="center"/>
    </xf>
    <xf numFmtId="3" fontId="0" fillId="0" borderId="0" xfId="0" applyNumberFormat="1"/>
  </cellXfs>
  <cellStyles count="75">
    <cellStyle name="20% - 강조색1" xfId="18" builtinId="30" customBuiltin="1"/>
    <cellStyle name="20% - 강조색2" xfId="21" builtinId="34" customBuiltin="1"/>
    <cellStyle name="20% - 강조색3" xfId="24" builtinId="38" customBuiltin="1"/>
    <cellStyle name="20% - 강조색4" xfId="27" builtinId="42" customBuiltin="1"/>
    <cellStyle name="20% - 강조색5" xfId="30" builtinId="46" customBuiltin="1"/>
    <cellStyle name="20% - 강조색6" xfId="33" builtinId="50" customBuiltin="1"/>
    <cellStyle name="40% - 강조색1" xfId="19" builtinId="31" customBuiltin="1"/>
    <cellStyle name="40% - 강조색2" xfId="22" builtinId="35" customBuiltin="1"/>
    <cellStyle name="40% - 강조색3" xfId="25" builtinId="39" customBuiltin="1"/>
    <cellStyle name="40% - 강조색4" xfId="28" builtinId="43" customBuiltin="1"/>
    <cellStyle name="40% - 강조색5" xfId="31" builtinId="47" customBuiltin="1"/>
    <cellStyle name="40% - 강조색6" xfId="34" builtinId="51" customBuiltin="1"/>
    <cellStyle name="60% - Accent1 2" xfId="62" xr:uid="{7D4913BE-1660-475B-88D4-714E8A641CFB}"/>
    <cellStyle name="60% - Accent2 2" xfId="63" xr:uid="{E18DA92F-95CC-4882-BBE6-08084463355B}"/>
    <cellStyle name="60% - Accent3 2" xfId="64" xr:uid="{3D7AA9D9-39BB-404D-82B7-1179141C06D3}"/>
    <cellStyle name="60% - Accent4 2" xfId="65" xr:uid="{AB77D1E1-0C03-48A6-82C6-F8C803DAB0D4}"/>
    <cellStyle name="60% - Accent5 2" xfId="66" xr:uid="{741B7963-9D58-462B-9B00-F2AFEE0DEE08}"/>
    <cellStyle name="60% - Accent6 2" xfId="67" xr:uid="{D898A326-A2CF-46B5-815E-CCFFA4AA3BA6}"/>
    <cellStyle name="Body: normal cell" xfId="36" xr:uid="{EA3F03DA-DAAC-4E67-9C48-32345E5792CA}"/>
    <cellStyle name="Body: normal cell 2" xfId="52" xr:uid="{08CD34FB-32D1-4D4E-B78E-6D9F0921375F}"/>
    <cellStyle name="Body: normal cell 3" xfId="44" xr:uid="{3455BC5E-F6FE-45B4-B515-07C1FF8A7B97}"/>
    <cellStyle name="Body: normal cell 4" xfId="68" xr:uid="{235B8F88-29E6-46ED-B2CB-1EE68DFFBB5C}"/>
    <cellStyle name="Font: Calibri, 9pt regular" xfId="37" xr:uid="{046FC022-7ADB-439F-AC6B-06F1FB0969A9}"/>
    <cellStyle name="Font: Calibri, 9pt regular 2" xfId="53" xr:uid="{F67B9D4D-81FC-422B-BE16-8FCFA80B6324}"/>
    <cellStyle name="Font: Calibri, 9pt regular 3" xfId="45" xr:uid="{B9AB311C-4622-44DC-95B7-A3EE560BED6E}"/>
    <cellStyle name="Font: Calibri, 9pt regular 4" xfId="69" xr:uid="{33D67280-C367-44AA-BF18-AC4AD176CDEA}"/>
    <cellStyle name="Footnotes: top row" xfId="38" xr:uid="{668B1DA9-A269-4C4B-AB8B-E4412D39AA5E}"/>
    <cellStyle name="Footnotes: top row 2" xfId="54" xr:uid="{FAE885D7-0ED1-4F57-9C86-3E57F5B776CA}"/>
    <cellStyle name="Footnotes: top row 3" xfId="46" xr:uid="{6D3A535B-FE51-41C9-A1AF-6CC2E6D28C13}"/>
    <cellStyle name="Footnotes: top row 4" xfId="70" xr:uid="{D55444D5-5FDB-452E-9A25-4FBC5024891F}"/>
    <cellStyle name="Header: bottom row" xfId="39" xr:uid="{1B3E9918-1BEB-4E26-9226-DDCFB4A4D031}"/>
    <cellStyle name="Header: bottom row 2" xfId="55" xr:uid="{4F80F3A6-0CFF-4FA5-96E2-ADE6F1F6B9E1}"/>
    <cellStyle name="Header: bottom row 3" xfId="47" xr:uid="{99198BBE-FF67-47E8-8D1B-44FF5F9DAF26}"/>
    <cellStyle name="Header: bottom row 4" xfId="71" xr:uid="{97A7D3E4-344A-41A0-A4B7-78E77DCD1453}"/>
    <cellStyle name="Neutral 2" xfId="61" xr:uid="{9752847A-6ACD-42F9-AFB4-C2A2E9213018}"/>
    <cellStyle name="Normal 2" xfId="51" xr:uid="{2F0F7E80-8BCA-4A78-8B67-35323ECD9B42}"/>
    <cellStyle name="Normal 3" xfId="50" xr:uid="{60154007-A150-4910-8900-986DA2B8C17E}"/>
    <cellStyle name="Normal 3 2" xfId="59" xr:uid="{7C665A8E-D301-430C-9E6F-6F85D41847C9}"/>
    <cellStyle name="Normal 4" xfId="43" xr:uid="{E1491568-9A2C-4286-86C9-1DA1BBF22958}"/>
    <cellStyle name="Normal 5" xfId="42" xr:uid="{ECE11EFF-A0E2-4BBF-86F5-5C6C3BC8BE27}"/>
    <cellStyle name="Normal 5 2" xfId="60" xr:uid="{801F20AC-8EC6-4D23-972B-E25ECAB445C9}"/>
    <cellStyle name="Normal 6" xfId="58" xr:uid="{963376A2-6DCB-443C-B7BC-658DC602F929}"/>
    <cellStyle name="Normal 7" xfId="35" xr:uid="{6F59A552-82E2-4373-88A6-95B1E6D451CC}"/>
    <cellStyle name="Parent row" xfId="40" xr:uid="{BB70FD24-CC8A-4059-A8FB-EF3473AEE5BF}"/>
    <cellStyle name="Parent row 2" xfId="56" xr:uid="{E64DB29F-0F99-4575-888E-643D4F638507}"/>
    <cellStyle name="Parent row 3" xfId="48" xr:uid="{E7854F2A-5513-4980-9AA1-ADA6421310AC}"/>
    <cellStyle name="Parent row 4" xfId="72" xr:uid="{40E6F94A-1F43-4CBB-A2FC-6ABCE1474C05}"/>
    <cellStyle name="Table title" xfId="41" xr:uid="{C69E9F71-E318-451E-9F0E-06C687F530F6}"/>
    <cellStyle name="Table title 2" xfId="57" xr:uid="{B08EF0C1-BB7F-43EF-93CB-237A779E958C}"/>
    <cellStyle name="Table title 3" xfId="49" xr:uid="{AB3CAFA1-44B0-47FC-9653-B91E22DB566D}"/>
    <cellStyle name="Table title 4" xfId="73" xr:uid="{DB43BB74-3283-438D-B986-0BAB8FC15190}"/>
    <cellStyle name="강조색1" xfId="17" builtinId="29" customBuiltin="1"/>
    <cellStyle name="강조색2" xfId="20" builtinId="33" customBuiltin="1"/>
    <cellStyle name="강조색3" xfId="23" builtinId="37" customBuiltin="1"/>
    <cellStyle name="강조색4" xfId="26" builtinId="41" customBuiltin="1"/>
    <cellStyle name="강조색5" xfId="29" builtinId="45" customBuiltin="1"/>
    <cellStyle name="강조색6" xfId="32" builtinId="49" customBuiltin="1"/>
    <cellStyle name="경고문" xfId="13" builtinId="11" customBuiltin="1"/>
    <cellStyle name="계산" xfId="10" builtinId="22" customBuiltin="1"/>
    <cellStyle name="나쁨" xfId="7" builtinId="27" customBuiltin="1"/>
    <cellStyle name="메모" xfId="14" builtinId="10" customBuiltin="1"/>
    <cellStyle name="설명 텍스트" xfId="15" builtinId="53" customBuiltin="1"/>
    <cellStyle name="셀 확인" xfId="12" builtinId="23" customBuiltin="1"/>
    <cellStyle name="연결된 셀" xfId="11" builtinId="24" customBuiltin="1"/>
    <cellStyle name="요약" xfId="16" builtinId="25" customBuiltin="1"/>
    <cellStyle name="입력" xfId="8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9" builtinId="21" customBuiltin="1"/>
    <cellStyle name="표준" xfId="0" builtinId="0"/>
    <cellStyle name="표준 2" xfId="74" xr:uid="{FC4CE50F-F1FC-43E8-8B43-8D39CDFDA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92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9F26E9-309F-4246-8D27-4FA1497A809C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3" sqref="A13"/>
    </sheetView>
  </sheetViews>
  <sheetFormatPr defaultRowHeight="16.5" x14ac:dyDescent="0.3"/>
  <cols>
    <col min="2" max="2" width="38.25" customWidth="1"/>
  </cols>
  <sheetData>
    <row r="1" spans="1:2" x14ac:dyDescent="0.3">
      <c r="A1" s="1" t="s">
        <v>1</v>
      </c>
    </row>
    <row r="3" spans="1:2" x14ac:dyDescent="0.3">
      <c r="A3" s="1" t="s">
        <v>0</v>
      </c>
      <c r="B3" s="4" t="s">
        <v>4</v>
      </c>
    </row>
    <row r="4" spans="1:2" x14ac:dyDescent="0.3">
      <c r="B4" s="2" t="s">
        <v>50</v>
      </c>
    </row>
    <row r="5" spans="1:2" x14ac:dyDescent="0.3">
      <c r="B5" s="2">
        <v>2026</v>
      </c>
    </row>
    <row r="6" spans="1:2" x14ac:dyDescent="0.3">
      <c r="B6" t="s">
        <v>52</v>
      </c>
    </row>
    <row r="7" spans="1:2" x14ac:dyDescent="0.3">
      <c r="B7" s="2" t="s">
        <v>51</v>
      </c>
    </row>
    <row r="9" spans="1:2" x14ac:dyDescent="0.3">
      <c r="B9" s="4">
        <v>2021</v>
      </c>
    </row>
    <row r="10" spans="1:2" x14ac:dyDescent="0.3">
      <c r="B10" s="2" t="s">
        <v>49</v>
      </c>
    </row>
    <row r="11" spans="1:2" x14ac:dyDescent="0.3">
      <c r="B11" s="2">
        <v>2026</v>
      </c>
    </row>
    <row r="12" spans="1:2" x14ac:dyDescent="0.3">
      <c r="B12" s="2" t="s">
        <v>47</v>
      </c>
    </row>
    <row r="13" spans="1:2" x14ac:dyDescent="0.3">
      <c r="B13" s="2" t="s">
        <v>48</v>
      </c>
    </row>
    <row r="14" spans="1:2" x14ac:dyDescent="0.3">
      <c r="B14" s="2"/>
    </row>
  </sheetData>
  <phoneticPr fontId="2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7776-1A7D-4F38-88D4-5A6404236C90}">
  <dimension ref="A1:AI17"/>
  <sheetViews>
    <sheetView workbookViewId="0">
      <selection activeCell="B28" sqref="B28"/>
    </sheetView>
  </sheetViews>
  <sheetFormatPr defaultColWidth="21" defaultRowHeight="16.5" x14ac:dyDescent="0.3"/>
  <cols>
    <col min="1" max="16384" width="21" style="7"/>
  </cols>
  <sheetData>
    <row r="1" spans="1:35" ht="20.100000000000001" customHeight="1" x14ac:dyDescent="0.3">
      <c r="A1" s="5" t="s">
        <v>6</v>
      </c>
      <c r="B1" s="5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</row>
    <row r="2" spans="1:35" ht="20.100000000000001" customHeight="1" x14ac:dyDescent="0.3">
      <c r="A2" s="8" t="s">
        <v>41</v>
      </c>
      <c r="B2" s="8" t="s">
        <v>42</v>
      </c>
      <c r="C2" s="9">
        <v>20730614</v>
      </c>
      <c r="D2" s="9">
        <v>21272581</v>
      </c>
      <c r="E2" s="9">
        <v>21663978</v>
      </c>
      <c r="F2" s="9">
        <v>21970523</v>
      </c>
      <c r="G2" s="9">
        <v>22179969</v>
      </c>
      <c r="H2" s="9">
        <v>22388821</v>
      </c>
      <c r="I2" s="9">
        <v>22597677</v>
      </c>
      <c r="J2" s="9">
        <v>22806529</v>
      </c>
      <c r="K2" s="9">
        <v>23000187</v>
      </c>
      <c r="L2" s="9">
        <v>23180688</v>
      </c>
      <c r="M2" s="9">
        <v>23348528</v>
      </c>
      <c r="N2" s="9">
        <v>23506021</v>
      </c>
      <c r="O2" s="9">
        <v>23651567</v>
      </c>
      <c r="P2" s="9">
        <v>23786407</v>
      </c>
      <c r="Q2" s="9">
        <v>23908631</v>
      </c>
      <c r="R2" s="9">
        <v>24019901</v>
      </c>
      <c r="S2" s="9">
        <v>24119593</v>
      </c>
      <c r="T2" s="9">
        <v>24204775</v>
      </c>
      <c r="U2" s="9">
        <v>24273745</v>
      </c>
      <c r="V2" s="9">
        <v>24325345</v>
      </c>
      <c r="W2" s="9">
        <v>24358286</v>
      </c>
      <c r="X2" s="9">
        <v>24371931</v>
      </c>
      <c r="Y2" s="9">
        <v>24365630</v>
      </c>
      <c r="Z2" s="9">
        <v>24338645</v>
      </c>
      <c r="AA2" s="9">
        <v>24290684</v>
      </c>
      <c r="AB2" s="9">
        <v>24221145</v>
      </c>
      <c r="AC2" s="9">
        <v>24131623</v>
      </c>
      <c r="AD2" s="9">
        <v>24023713</v>
      </c>
      <c r="AE2" s="9">
        <v>23899146</v>
      </c>
      <c r="AF2" s="9">
        <v>23760443</v>
      </c>
      <c r="AG2" s="9">
        <v>23609533</v>
      </c>
      <c r="AH2" s="9">
        <v>23447961</v>
      </c>
      <c r="AI2" s="9">
        <v>23277470</v>
      </c>
    </row>
    <row r="3" spans="1:35" ht="20.100000000000001" customHeight="1" x14ac:dyDescent="0.3">
      <c r="A3" s="8" t="s">
        <v>43</v>
      </c>
      <c r="B3" s="8" t="s">
        <v>42</v>
      </c>
      <c r="C3" s="9">
        <v>14009289</v>
      </c>
      <c r="D3" s="9">
        <v>14192205</v>
      </c>
      <c r="E3" s="9">
        <v>14313314</v>
      </c>
      <c r="F3" s="9">
        <v>14413852</v>
      </c>
      <c r="G3" s="9">
        <v>14455067</v>
      </c>
      <c r="H3" s="9">
        <v>14496150</v>
      </c>
      <c r="I3" s="9">
        <v>14537244</v>
      </c>
      <c r="J3" s="9">
        <v>14578324</v>
      </c>
      <c r="K3" s="9">
        <v>14619343</v>
      </c>
      <c r="L3" s="9">
        <v>14655309</v>
      </c>
      <c r="M3" s="9">
        <v>14685834</v>
      </c>
      <c r="N3" s="9">
        <v>14710683</v>
      </c>
      <c r="O3" s="9">
        <v>14729719</v>
      </c>
      <c r="P3" s="9">
        <v>14743899</v>
      </c>
      <c r="Q3" s="9">
        <v>14753391</v>
      </c>
      <c r="R3" s="9">
        <v>14758309</v>
      </c>
      <c r="S3" s="9">
        <v>14758526</v>
      </c>
      <c r="T3" s="9">
        <v>14753119</v>
      </c>
      <c r="U3" s="9">
        <v>14740922</v>
      </c>
      <c r="V3" s="9">
        <v>14721363</v>
      </c>
      <c r="W3" s="9">
        <v>14693440</v>
      </c>
      <c r="X3" s="9">
        <v>14656554</v>
      </c>
      <c r="Y3" s="9">
        <v>14610054</v>
      </c>
      <c r="Z3" s="9">
        <v>14553734</v>
      </c>
      <c r="AA3" s="9">
        <v>14487297</v>
      </c>
      <c r="AB3" s="9">
        <v>14410259</v>
      </c>
      <c r="AC3" s="9">
        <v>14323010</v>
      </c>
      <c r="AD3" s="9">
        <v>14225553</v>
      </c>
      <c r="AE3" s="9">
        <v>14118838</v>
      </c>
      <c r="AF3" s="9">
        <v>14004024</v>
      </c>
      <c r="AG3" s="9">
        <v>13881810</v>
      </c>
      <c r="AH3" s="9">
        <v>13753528</v>
      </c>
      <c r="AI3" s="9">
        <v>13620879</v>
      </c>
    </row>
    <row r="4" spans="1:35" ht="20.100000000000001" customHeight="1" x14ac:dyDescent="0.3">
      <c r="A4" s="10" t="s">
        <v>44</v>
      </c>
      <c r="B4" s="10" t="s">
        <v>42</v>
      </c>
      <c r="C4" s="9">
        <v>6721325</v>
      </c>
      <c r="D4" s="9">
        <v>7080376</v>
      </c>
      <c r="E4" s="9">
        <v>7350664</v>
      </c>
      <c r="F4" s="9">
        <v>7556671</v>
      </c>
      <c r="G4" s="9">
        <v>7724902</v>
      </c>
      <c r="H4" s="9">
        <v>7892671</v>
      </c>
      <c r="I4" s="9">
        <v>8060433</v>
      </c>
      <c r="J4" s="9">
        <v>8228205</v>
      </c>
      <c r="K4" s="9">
        <v>8380844</v>
      </c>
      <c r="L4" s="9">
        <v>8525379</v>
      </c>
      <c r="M4" s="9">
        <v>8662694</v>
      </c>
      <c r="N4" s="9">
        <v>8795338</v>
      </c>
      <c r="O4" s="9">
        <v>8921848</v>
      </c>
      <c r="P4" s="9">
        <v>9042508</v>
      </c>
      <c r="Q4" s="9">
        <v>9155240</v>
      </c>
      <c r="R4" s="9">
        <v>9261592</v>
      </c>
      <c r="S4" s="9">
        <v>9361067</v>
      </c>
      <c r="T4" s="9">
        <v>9451656</v>
      </c>
      <c r="U4" s="9">
        <v>9532823</v>
      </c>
      <c r="V4" s="9">
        <v>9603982</v>
      </c>
      <c r="W4" s="9">
        <v>9664846</v>
      </c>
      <c r="X4" s="9">
        <v>9715377</v>
      </c>
      <c r="Y4" s="9">
        <v>9755576</v>
      </c>
      <c r="Z4" s="9">
        <v>9784911</v>
      </c>
      <c r="AA4" s="9">
        <v>9803387</v>
      </c>
      <c r="AB4" s="9">
        <v>9810886</v>
      </c>
      <c r="AC4" s="9">
        <v>9808613</v>
      </c>
      <c r="AD4" s="9">
        <v>9798160</v>
      </c>
      <c r="AE4" s="9">
        <v>9780308</v>
      </c>
      <c r="AF4" s="9">
        <v>9756419</v>
      </c>
      <c r="AG4" s="9">
        <v>9727723</v>
      </c>
      <c r="AH4" s="9">
        <v>9694433</v>
      </c>
      <c r="AI4" s="9">
        <v>9656591</v>
      </c>
    </row>
    <row r="8" spans="1:35" x14ac:dyDescent="0.2">
      <c r="A8" s="11" t="s">
        <v>53</v>
      </c>
      <c r="B8" s="11" t="s">
        <v>70</v>
      </c>
      <c r="C8" s="12"/>
      <c r="D8" s="12"/>
    </row>
    <row r="9" spans="1:35" x14ac:dyDescent="0.2">
      <c r="A9" s="11" t="s">
        <v>55</v>
      </c>
      <c r="B9" s="11" t="s">
        <v>71</v>
      </c>
      <c r="C9" s="12"/>
      <c r="D9" s="12"/>
    </row>
    <row r="10" spans="1:35" x14ac:dyDescent="0.2">
      <c r="A10" s="11" t="s">
        <v>57</v>
      </c>
      <c r="B10" s="11" t="s">
        <v>72</v>
      </c>
      <c r="C10" s="12"/>
      <c r="D10" s="12"/>
    </row>
    <row r="11" spans="1:35" x14ac:dyDescent="0.2">
      <c r="A11" s="11" t="s">
        <v>59</v>
      </c>
      <c r="B11" s="11" t="s">
        <v>50</v>
      </c>
      <c r="C11" s="12"/>
      <c r="D11" s="12"/>
    </row>
    <row r="12" spans="1:35" x14ac:dyDescent="0.2">
      <c r="A12" s="11" t="s">
        <v>60</v>
      </c>
      <c r="B12" s="11" t="s">
        <v>73</v>
      </c>
      <c r="C12" s="12"/>
      <c r="D12" s="12"/>
    </row>
    <row r="13" spans="1:35" x14ac:dyDescent="0.2">
      <c r="A13" s="11" t="s">
        <v>62</v>
      </c>
      <c r="B13" s="11" t="s">
        <v>51</v>
      </c>
      <c r="C13" s="12"/>
      <c r="D13" s="12"/>
    </row>
    <row r="14" spans="1:35" x14ac:dyDescent="0.2">
      <c r="A14" s="11" t="s">
        <v>5</v>
      </c>
      <c r="B14" s="11" t="s">
        <v>63</v>
      </c>
      <c r="C14" s="12"/>
      <c r="D14" s="12"/>
    </row>
    <row r="15" spans="1:35" x14ac:dyDescent="0.2">
      <c r="A15" s="11" t="s">
        <v>66</v>
      </c>
      <c r="B15" s="12"/>
      <c r="C15" s="12"/>
      <c r="D15" s="12"/>
    </row>
    <row r="16" spans="1:35" x14ac:dyDescent="0.2">
      <c r="A16" s="11" t="s">
        <v>67</v>
      </c>
      <c r="B16" s="11" t="s">
        <v>74</v>
      </c>
      <c r="C16" s="12"/>
      <c r="D16" s="12"/>
    </row>
    <row r="17" spans="1:4" x14ac:dyDescent="0.2">
      <c r="A17" s="11" t="s">
        <v>5</v>
      </c>
      <c r="B17" s="11" t="s">
        <v>75</v>
      </c>
      <c r="C17" s="12"/>
      <c r="D17" s="12"/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A753-B79C-4865-AC77-3F085ACCA0CD}">
  <dimension ref="A1:G17"/>
  <sheetViews>
    <sheetView workbookViewId="0">
      <selection activeCell="C30" sqref="C30"/>
    </sheetView>
  </sheetViews>
  <sheetFormatPr defaultColWidth="21" defaultRowHeight="16.5" x14ac:dyDescent="0.3"/>
  <cols>
    <col min="1" max="16384" width="21" style="7"/>
  </cols>
  <sheetData>
    <row r="1" spans="1:7" ht="20.100000000000001" customHeight="1" x14ac:dyDescent="0.3">
      <c r="A1" s="5" t="s">
        <v>45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</row>
    <row r="2" spans="1:7" ht="20.100000000000001" customHeight="1" x14ac:dyDescent="0.3">
      <c r="A2" s="10" t="s">
        <v>46</v>
      </c>
      <c r="B2" s="9">
        <v>23093108</v>
      </c>
      <c r="C2" s="9">
        <v>23472895</v>
      </c>
      <c r="D2" s="9">
        <v>23705814</v>
      </c>
      <c r="E2" s="9">
        <v>23914851</v>
      </c>
      <c r="F2" s="9">
        <v>24118928</v>
      </c>
      <c r="G2" s="9">
        <v>24300087</v>
      </c>
    </row>
    <row r="6" spans="1:7" x14ac:dyDescent="0.2">
      <c r="A6" s="11" t="s">
        <v>53</v>
      </c>
      <c r="B6" s="11" t="s">
        <v>54</v>
      </c>
      <c r="C6" s="12"/>
    </row>
    <row r="7" spans="1:7" x14ac:dyDescent="0.2">
      <c r="A7" s="11" t="s">
        <v>55</v>
      </c>
      <c r="B7" s="11" t="s">
        <v>56</v>
      </c>
      <c r="C7" s="12"/>
    </row>
    <row r="8" spans="1:7" x14ac:dyDescent="0.2">
      <c r="A8" s="11" t="s">
        <v>57</v>
      </c>
      <c r="B8" s="11" t="s">
        <v>58</v>
      </c>
      <c r="C8" s="12"/>
    </row>
    <row r="9" spans="1:7" x14ac:dyDescent="0.2">
      <c r="A9" s="11" t="s">
        <v>59</v>
      </c>
      <c r="B9" s="11" t="s">
        <v>49</v>
      </c>
      <c r="C9" s="12"/>
    </row>
    <row r="10" spans="1:7" x14ac:dyDescent="0.2">
      <c r="A10" s="11" t="s">
        <v>60</v>
      </c>
      <c r="B10" s="11" t="s">
        <v>61</v>
      </c>
      <c r="C10" s="12"/>
    </row>
    <row r="11" spans="1:7" x14ac:dyDescent="0.2">
      <c r="A11" s="11" t="s">
        <v>62</v>
      </c>
      <c r="B11" s="11" t="s">
        <v>48</v>
      </c>
      <c r="C11" s="12"/>
    </row>
    <row r="12" spans="1:7" x14ac:dyDescent="0.2">
      <c r="A12" s="11" t="s">
        <v>5</v>
      </c>
      <c r="B12" s="11" t="s">
        <v>63</v>
      </c>
      <c r="C12" s="12"/>
    </row>
    <row r="13" spans="1:7" x14ac:dyDescent="0.2">
      <c r="A13" s="11" t="s">
        <v>64</v>
      </c>
      <c r="B13" s="11" t="s">
        <v>65</v>
      </c>
      <c r="C13" s="12"/>
    </row>
    <row r="14" spans="1:7" x14ac:dyDescent="0.2">
      <c r="A14" s="11" t="s">
        <v>66</v>
      </c>
      <c r="B14" s="12"/>
      <c r="C14" s="12"/>
    </row>
    <row r="15" spans="1:7" x14ac:dyDescent="0.2">
      <c r="A15" s="11" t="s">
        <v>67</v>
      </c>
      <c r="B15" s="11" t="s">
        <v>68</v>
      </c>
      <c r="C15" s="12"/>
    </row>
    <row r="16" spans="1:7" x14ac:dyDescent="0.2">
      <c r="A16" s="11" t="s">
        <v>5</v>
      </c>
      <c r="B16" s="11" t="s">
        <v>5</v>
      </c>
      <c r="C16" s="12"/>
    </row>
    <row r="17" spans="1:3" x14ac:dyDescent="0.2">
      <c r="A17" s="11" t="s">
        <v>5</v>
      </c>
      <c r="B17" s="11" t="s">
        <v>69</v>
      </c>
      <c r="C17" s="12"/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"/>
  <sheetViews>
    <sheetView workbookViewId="0">
      <selection activeCell="C10" sqref="C10"/>
    </sheetView>
  </sheetViews>
  <sheetFormatPr defaultRowHeight="16.5" x14ac:dyDescent="0.3"/>
  <cols>
    <col min="1" max="2" width="16.5" customWidth="1"/>
    <col min="3" max="3" width="9.875" bestFit="1" customWidth="1"/>
    <col min="4" max="4" width="10.25" bestFit="1" customWidth="1"/>
  </cols>
  <sheetData>
    <row r="1" spans="1:31" x14ac:dyDescent="0.3">
      <c r="A1" t="s">
        <v>3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3">
      <c r="A2" t="s">
        <v>2</v>
      </c>
      <c r="B2" s="13">
        <f>장래가구추계!D2</f>
        <v>21272581</v>
      </c>
      <c r="C2" s="13">
        <f>장래가구추계!E2</f>
        <v>21663978</v>
      </c>
      <c r="D2" s="13">
        <f>장래가구추계!F2</f>
        <v>21970523</v>
      </c>
      <c r="E2" s="13">
        <f>장래가구추계!G2</f>
        <v>22179969</v>
      </c>
      <c r="F2" s="13">
        <f>장래가구추계!H2</f>
        <v>22388821</v>
      </c>
      <c r="G2" s="13">
        <f>장래가구추계!I2</f>
        <v>22597677</v>
      </c>
      <c r="H2" s="13">
        <f>장래가구추계!J2</f>
        <v>22806529</v>
      </c>
      <c r="I2" s="13">
        <f>장래가구추계!K2</f>
        <v>23000187</v>
      </c>
      <c r="J2" s="13">
        <f>장래가구추계!L2</f>
        <v>23180688</v>
      </c>
      <c r="K2" s="13">
        <f>장래가구추계!M2</f>
        <v>23348528</v>
      </c>
      <c r="L2" s="13">
        <f>장래가구추계!N2</f>
        <v>23506021</v>
      </c>
      <c r="M2" s="13">
        <f>장래가구추계!O2</f>
        <v>23651567</v>
      </c>
      <c r="N2" s="13">
        <f>장래가구추계!P2</f>
        <v>23786407</v>
      </c>
      <c r="O2" s="13">
        <f>장래가구추계!Q2</f>
        <v>23908631</v>
      </c>
      <c r="P2" s="13">
        <f>장래가구추계!R2</f>
        <v>24019901</v>
      </c>
      <c r="Q2" s="13">
        <f>장래가구추계!S2</f>
        <v>24119593</v>
      </c>
      <c r="R2" s="13">
        <f>장래가구추계!T2</f>
        <v>24204775</v>
      </c>
      <c r="S2" s="13">
        <f>장래가구추계!U2</f>
        <v>24273745</v>
      </c>
      <c r="T2" s="13">
        <f>장래가구추계!V2</f>
        <v>24325345</v>
      </c>
      <c r="U2" s="13">
        <f>장래가구추계!W2</f>
        <v>24358286</v>
      </c>
      <c r="V2" s="13">
        <f>장래가구추계!X2</f>
        <v>24371931</v>
      </c>
      <c r="W2" s="13">
        <f>장래가구추계!Y2</f>
        <v>24365630</v>
      </c>
      <c r="X2" s="13">
        <f>장래가구추계!Z2</f>
        <v>24338645</v>
      </c>
      <c r="Y2" s="13">
        <f>장래가구추계!AA2</f>
        <v>24290684</v>
      </c>
      <c r="Z2" s="13">
        <f>장래가구추계!AB2</f>
        <v>24221145</v>
      </c>
      <c r="AA2" s="13">
        <f>장래가구추계!AC2</f>
        <v>24131623</v>
      </c>
      <c r="AB2" s="13">
        <f>장래가구추계!AD2</f>
        <v>24023713</v>
      </c>
      <c r="AC2" s="13">
        <f>장래가구추계!AE2</f>
        <v>23899146</v>
      </c>
      <c r="AD2" s="13">
        <f>장래가구추계!AF2</f>
        <v>23760443</v>
      </c>
      <c r="AE2" s="13">
        <f>장래가구추계!AG2</f>
        <v>23609533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장래가구추계</vt:lpstr>
      <vt:lpstr>주민등록인구현황</vt:lpstr>
      <vt:lpstr>NoH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2016-01-21T23:28:30Z</dcterms:created>
  <dcterms:modified xsi:type="dcterms:W3CDTF">2026-03-13T06:16:27Z</dcterms:modified>
</cp:coreProperties>
</file>