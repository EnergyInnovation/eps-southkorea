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er\Dropbox\kjh\2025\02. EPS\EI\251104_메일회신\new file\"/>
    </mc:Choice>
  </mc:AlternateContent>
  <xr:revisionPtr revIDLastSave="0" documentId="8_{3E99D2A7-D888-4874-B416-A10FD0E0117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bout" sheetId="1" r:id="rId1"/>
    <sheet name="SourceData New" sheetId="4" r:id="rId2"/>
    <sheet name="SC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4" l="1"/>
  <c r="D24" i="4" s="1"/>
  <c r="B11" i="3" s="1"/>
  <c r="C34" i="4"/>
  <c r="D34" i="4" s="1"/>
  <c r="B21" i="3" s="1"/>
  <c r="C44" i="4"/>
  <c r="D44" i="4" s="1"/>
  <c r="B31" i="3" s="1"/>
  <c r="C14" i="4"/>
  <c r="D14" i="4" s="1"/>
  <c r="B36" i="4"/>
  <c r="C36" i="4" s="1"/>
  <c r="D36" i="4" s="1"/>
  <c r="B23" i="3" s="1"/>
  <c r="B37" i="4"/>
  <c r="C37" i="4" s="1"/>
  <c r="D37" i="4" s="1"/>
  <c r="B24" i="3" s="1"/>
  <c r="B38" i="4"/>
  <c r="C38" i="4" s="1"/>
  <c r="D38" i="4" s="1"/>
  <c r="B25" i="3" s="1"/>
  <c r="B39" i="4"/>
  <c r="C39" i="4" s="1"/>
  <c r="D39" i="4" s="1"/>
  <c r="B26" i="3" s="1"/>
  <c r="B40" i="4"/>
  <c r="C40" i="4" s="1"/>
  <c r="D40" i="4" s="1"/>
  <c r="B27" i="3" s="1"/>
  <c r="B41" i="4"/>
  <c r="C41" i="4" s="1"/>
  <c r="D41" i="4" s="1"/>
  <c r="B28" i="3" s="1"/>
  <c r="B42" i="4"/>
  <c r="C42" i="4" s="1"/>
  <c r="D42" i="4" s="1"/>
  <c r="B29" i="3" s="1"/>
  <c r="B43" i="4"/>
  <c r="C43" i="4" s="1"/>
  <c r="D43" i="4" s="1"/>
  <c r="B30" i="3" s="1"/>
  <c r="B35" i="4"/>
  <c r="C35" i="4" s="1"/>
  <c r="D35" i="4" s="1"/>
  <c r="B22" i="3" s="1"/>
  <c r="B26" i="4"/>
  <c r="C26" i="4" s="1"/>
  <c r="D26" i="4" s="1"/>
  <c r="B13" i="3" s="1"/>
  <c r="B27" i="4"/>
  <c r="C27" i="4" s="1"/>
  <c r="D27" i="4" s="1"/>
  <c r="B14" i="3" s="1"/>
  <c r="B28" i="4"/>
  <c r="C28" i="4" s="1"/>
  <c r="D28" i="4" s="1"/>
  <c r="B15" i="3" s="1"/>
  <c r="B29" i="4"/>
  <c r="C29" i="4" s="1"/>
  <c r="D29" i="4" s="1"/>
  <c r="B16" i="3" s="1"/>
  <c r="B30" i="4"/>
  <c r="C30" i="4" s="1"/>
  <c r="D30" i="4" s="1"/>
  <c r="B17" i="3" s="1"/>
  <c r="B31" i="4"/>
  <c r="C31" i="4" s="1"/>
  <c r="D31" i="4" s="1"/>
  <c r="B18" i="3" s="1"/>
  <c r="B32" i="4"/>
  <c r="C32" i="4" s="1"/>
  <c r="D32" i="4" s="1"/>
  <c r="B19" i="3" s="1"/>
  <c r="B33" i="4"/>
  <c r="C33" i="4" s="1"/>
  <c r="D33" i="4" s="1"/>
  <c r="B20" i="3" s="1"/>
  <c r="B25" i="4"/>
  <c r="C25" i="4" s="1"/>
  <c r="D25" i="4" s="1"/>
  <c r="B12" i="3" s="1"/>
  <c r="B16" i="4"/>
  <c r="C16" i="4" s="1"/>
  <c r="D16" i="4" s="1"/>
  <c r="B3" i="3" s="1"/>
  <c r="B17" i="4"/>
  <c r="C17" i="4" s="1"/>
  <c r="D17" i="4" s="1"/>
  <c r="B4" i="3" s="1"/>
  <c r="B18" i="4"/>
  <c r="C18" i="4" s="1"/>
  <c r="D18" i="4" s="1"/>
  <c r="B5" i="3" s="1"/>
  <c r="B19" i="4"/>
  <c r="C19" i="4" s="1"/>
  <c r="D19" i="4" s="1"/>
  <c r="B6" i="3" s="1"/>
  <c r="B20" i="4"/>
  <c r="C20" i="4" s="1"/>
  <c r="D20" i="4" s="1"/>
  <c r="B7" i="3" s="1"/>
  <c r="B21" i="4"/>
  <c r="C21" i="4" s="1"/>
  <c r="D21" i="4" s="1"/>
  <c r="B8" i="3" s="1"/>
  <c r="B22" i="4"/>
  <c r="C22" i="4" s="1"/>
  <c r="D22" i="4" s="1"/>
  <c r="B9" i="3" s="1"/>
  <c r="B23" i="4"/>
  <c r="C23" i="4" s="1"/>
  <c r="D23" i="4" s="1"/>
  <c r="B10" i="3" s="1"/>
  <c r="B15" i="4"/>
  <c r="C15" i="4" s="1"/>
  <c r="D15" i="4" s="1"/>
  <c r="B2" i="3" s="1"/>
</calcChain>
</file>

<file path=xl/sharedStrings.xml><?xml version="1.0" encoding="utf-8"?>
<sst xmlns="http://schemas.openxmlformats.org/spreadsheetml/2006/main" count="22" uniqueCount="22">
  <si>
    <t>Source:</t>
  </si>
  <si>
    <t>Year</t>
  </si>
  <si>
    <t>SCoC Social Cost of Carbon</t>
  </si>
  <si>
    <t>Notes:</t>
  </si>
  <si>
    <t>Note that this differs from the discount rate specified in the "DR Discount Rate" variable, which is</t>
  </si>
  <si>
    <t>based on the Office of Management and Budget guidelines for analysis of prospective investments and policies.</t>
  </si>
  <si>
    <t>See "cpi.xlsx" in the InputData folder for source information.</t>
  </si>
  <si>
    <t>Social Cost of Carbon ($/g CO2e)</t>
  </si>
  <si>
    <t>When considering the Social Cost of Carbon, meant to capture the long-term economic damage caused by one</t>
  </si>
  <si>
    <t>ton of carbon dioxide emitted, the U.S. government typically uses the figures based on</t>
  </si>
  <si>
    <t>Supplementary Material for the Regulatory Impact Analysis for the Supplemental Proposed Rulemaking, “Standards of Performance for New, Reconstructed, and Modified Sources and Emissions Guidelines for Existing Sources: Oil and Natural Gas Sector Climate Review”</t>
  </si>
  <si>
    <t>US Environmental Protection Agency</t>
  </si>
  <si>
    <t>2020 dollars to 2012 dollars</t>
  </si>
  <si>
    <t>Social cost of carbon</t>
  </si>
  <si>
    <t>2020 dollars per metric ton of CO2</t>
  </si>
  <si>
    <t>annualized value (2020$/mt)</t>
  </si>
  <si>
    <t>2012$/mt</t>
  </si>
  <si>
    <t>2012$/g</t>
  </si>
  <si>
    <t>Meta-Analysis</t>
  </si>
  <si>
    <t>https://www.epa.gov/system/files/documents/2023-12/epa_scghg_2023_report_final.pdf</t>
  </si>
  <si>
    <t>Table 3.1.1</t>
  </si>
  <si>
    <t>a 2% discount rate, so this is the rate we use in this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</si>
</sst>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(&quot;$&quot;* #,##0.0_);_(&quot;$&quot;* \(#,##0.0\);_(&quot;$&quot;* &quot;-&quot;??_);_(@_)"/>
  </numFmts>
  <fonts count="8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2"/>
      <color theme="4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177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1"/>
    <xf numFmtId="0" fontId="1" fillId="2" borderId="0" xfId="0" applyFont="1" applyFill="1" applyAlignment="1">
      <alignment horizontal="right"/>
    </xf>
    <xf numFmtId="11" fontId="0" fillId="0" borderId="0" xfId="0" applyNumberFormat="1"/>
    <xf numFmtId="17" fontId="0" fillId="0" borderId="0" xfId="0" applyNumberFormat="1" applyAlignment="1">
      <alignment horizontal="left"/>
    </xf>
    <xf numFmtId="9" fontId="0" fillId="0" borderId="0" xfId="0" applyNumberFormat="1"/>
    <xf numFmtId="0" fontId="0" fillId="3" borderId="0" xfId="0" applyFill="1"/>
    <xf numFmtId="0" fontId="1" fillId="4" borderId="5" xfId="0" applyFont="1" applyFill="1" applyBorder="1"/>
    <xf numFmtId="178" fontId="0" fillId="0" borderId="0" xfId="9" applyNumberFormat="1" applyFont="1"/>
    <xf numFmtId="177" fontId="0" fillId="0" borderId="0" xfId="8" applyFont="1"/>
    <xf numFmtId="9" fontId="0" fillId="0" borderId="0" xfId="10" applyFont="1"/>
    <xf numFmtId="9" fontId="0" fillId="0" borderId="0" xfId="0" applyNumberFormat="1" applyAlignment="1">
      <alignment horizontal="right"/>
    </xf>
  </cellXfs>
  <cellStyles count="11">
    <cellStyle name="Body: normal cell" xfId="5" xr:uid="{00000000-0005-0000-0000-000000000000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Parent row" xfId="6" xr:uid="{00000000-0005-0000-0000-000006000000}"/>
    <cellStyle name="Table title" xfId="2" xr:uid="{00000000-0005-0000-0000-000007000000}"/>
    <cellStyle name="백분율" xfId="10" builtinId="5"/>
    <cellStyle name="쉼표" xfId="8" builtinId="3"/>
    <cellStyle name="통화" xfId="9" builtinId="4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704850</xdr:colOff>
      <xdr:row>1</xdr:row>
      <xdr:rowOff>161925</xdr:rowOff>
    </xdr:from>
    <xdr:to>
      <xdr:col>16</xdr:col>
      <xdr:colOff>132559</xdr:colOff>
      <xdr:row>13</xdr:row>
      <xdr:rowOff>152115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73837-F5FA-28B7-2C28-08BB186BE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0" y="352425"/>
          <a:ext cx="6323809" cy="22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9" sqref="B9"/>
    </sheetView>
  </sheetViews>
  <sheetFormatPr defaultRowHeight="16.5" x14ac:dyDescent="0.3"/>
  <cols>
    <col min="2" max="2" width="97.125" customWidth="1"/>
  </cols>
  <sheetData>
    <row r="1" spans="1:2" x14ac:dyDescent="0.3">
      <c r="A1" s="1" t="s">
        <v>2</v>
      </c>
    </row>
    <row r="3" spans="1:2" x14ac:dyDescent="0.3">
      <c r="A3" s="1" t="s">
        <v>0</v>
      </c>
      <c r="B3" t="s">
        <v>11</v>
      </c>
    </row>
    <row r="4" spans="1:2" x14ac:dyDescent="0.3">
      <c r="B4" s="5">
        <v>45231</v>
      </c>
    </row>
    <row r="5" spans="1:2" x14ac:dyDescent="0.3">
      <c r="B5" t="s">
        <v>10</v>
      </c>
    </row>
    <row r="6" spans="1:2" x14ac:dyDescent="0.3">
      <c r="B6" s="2" t="s">
        <v>19</v>
      </c>
    </row>
    <row r="7" spans="1:2" x14ac:dyDescent="0.3">
      <c r="B7" t="s">
        <v>20</v>
      </c>
    </row>
    <row r="9" spans="1:2" x14ac:dyDescent="0.3">
      <c r="A9" s="1" t="s">
        <v>3</v>
      </c>
    </row>
    <row r="10" spans="1:2" x14ac:dyDescent="0.3">
      <c r="A10" t="s">
        <v>8</v>
      </c>
    </row>
    <row r="11" spans="1:2" x14ac:dyDescent="0.3">
      <c r="A11" t="s">
        <v>9</v>
      </c>
    </row>
    <row r="12" spans="1:2" x14ac:dyDescent="0.3">
      <c r="A12" t="s">
        <v>21</v>
      </c>
    </row>
    <row r="13" spans="1:2" x14ac:dyDescent="0.3">
      <c r="A13" t="s">
        <v>4</v>
      </c>
    </row>
    <row r="14" spans="1:2" x14ac:dyDescent="0.3">
      <c r="A14" t="s">
        <v>5</v>
      </c>
    </row>
    <row r="16" spans="1:2" x14ac:dyDescent="0.3">
      <c r="A16" t="s">
        <v>12</v>
      </c>
    </row>
    <row r="17" spans="1:1" x14ac:dyDescent="0.3">
      <c r="A17">
        <v>0.88711067149387013</v>
      </c>
    </row>
    <row r="18" spans="1:1" x14ac:dyDescent="0.3">
      <c r="A18" t="s">
        <v>6</v>
      </c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FDDD-ED32-46D6-87BA-CCB77D587FD8}">
  <dimension ref="A1:F44"/>
  <sheetViews>
    <sheetView tabSelected="1" workbookViewId="0">
      <selection activeCell="C14" sqref="C14"/>
    </sheetView>
  </sheetViews>
  <sheetFormatPr defaultRowHeight="16.5" x14ac:dyDescent="0.3"/>
  <cols>
    <col min="2" max="2" width="31.375" bestFit="1" customWidth="1"/>
    <col min="3" max="3" width="12" bestFit="1" customWidth="1"/>
    <col min="6" max="6" width="12" bestFit="1" customWidth="1"/>
  </cols>
  <sheetData>
    <row r="1" spans="1:5" x14ac:dyDescent="0.3">
      <c r="A1" s="1" t="s">
        <v>13</v>
      </c>
    </row>
    <row r="2" spans="1:5" x14ac:dyDescent="0.3">
      <c r="B2" s="6">
        <v>0.02</v>
      </c>
    </row>
    <row r="3" spans="1:5" x14ac:dyDescent="0.3">
      <c r="B3" s="12" t="s">
        <v>18</v>
      </c>
    </row>
    <row r="4" spans="1:5" x14ac:dyDescent="0.3">
      <c r="B4" s="12"/>
    </row>
    <row r="5" spans="1:5" x14ac:dyDescent="0.3">
      <c r="A5" s="1"/>
      <c r="B5" s="1" t="s">
        <v>14</v>
      </c>
    </row>
    <row r="7" spans="1:5" x14ac:dyDescent="0.3">
      <c r="A7" s="7">
        <v>2020</v>
      </c>
      <c r="B7" s="7">
        <v>200</v>
      </c>
    </row>
    <row r="8" spans="1:5" x14ac:dyDescent="0.3">
      <c r="A8" s="7">
        <v>2030</v>
      </c>
      <c r="B8" s="7">
        <v>240</v>
      </c>
    </row>
    <row r="9" spans="1:5" x14ac:dyDescent="0.3">
      <c r="A9" s="7">
        <v>2040</v>
      </c>
      <c r="B9" s="7">
        <v>270</v>
      </c>
    </row>
    <row r="10" spans="1:5" x14ac:dyDescent="0.3">
      <c r="A10" s="7">
        <v>2050</v>
      </c>
      <c r="B10" s="7">
        <v>310</v>
      </c>
    </row>
    <row r="13" spans="1:5" x14ac:dyDescent="0.3">
      <c r="B13" s="8" t="s">
        <v>15</v>
      </c>
      <c r="C13" s="8" t="s">
        <v>16</v>
      </c>
      <c r="D13" s="8" t="s">
        <v>17</v>
      </c>
    </row>
    <row r="14" spans="1:5" x14ac:dyDescent="0.3">
      <c r="A14" s="7">
        <v>2020</v>
      </c>
      <c r="B14" s="7">
        <v>190</v>
      </c>
      <c r="C14" s="9">
        <f>B14*About!$A$17</f>
        <v>168.55102758383532</v>
      </c>
      <c r="D14" s="4">
        <f>C14/10^6</f>
        <v>1.6855102758383533E-4</v>
      </c>
      <c r="E14" s="4"/>
    </row>
    <row r="15" spans="1:5" x14ac:dyDescent="0.3">
      <c r="A15">
        <v>2021</v>
      </c>
      <c r="B15">
        <f>_xlfn.FORECAST.LINEAR(A15,$B$7:$B$8,$A$7:$A$8)</f>
        <v>204</v>
      </c>
      <c r="C15" s="9">
        <f>B15*About!$A$17</f>
        <v>180.9705769847495</v>
      </c>
      <c r="D15" s="4">
        <f t="shared" ref="D15:D44" si="0">C15/10^6</f>
        <v>1.809705769847495E-4</v>
      </c>
      <c r="E15" s="10"/>
    </row>
    <row r="16" spans="1:5" x14ac:dyDescent="0.3">
      <c r="A16">
        <v>2022</v>
      </c>
      <c r="B16">
        <f t="shared" ref="B16:B23" si="1">_xlfn.FORECAST.LINEAR(A16,$B$7:$B$8,$A$7:$A$8)</f>
        <v>208</v>
      </c>
      <c r="C16" s="9">
        <f>B16*About!$A$17</f>
        <v>184.51901967072499</v>
      </c>
      <c r="D16" s="4">
        <f t="shared" si="0"/>
        <v>1.84519019670725E-4</v>
      </c>
      <c r="E16" s="10"/>
    </row>
    <row r="17" spans="1:5" x14ac:dyDescent="0.3">
      <c r="A17">
        <v>2023</v>
      </c>
      <c r="B17">
        <f t="shared" si="1"/>
        <v>212</v>
      </c>
      <c r="C17" s="9">
        <f>B17*About!$A$17</f>
        <v>188.06746235670047</v>
      </c>
      <c r="D17" s="4">
        <f t="shared" si="0"/>
        <v>1.8806746235670047E-4</v>
      </c>
      <c r="E17" s="10"/>
    </row>
    <row r="18" spans="1:5" x14ac:dyDescent="0.3">
      <c r="A18">
        <v>2024</v>
      </c>
      <c r="B18">
        <f t="shared" si="1"/>
        <v>216</v>
      </c>
      <c r="C18" s="9">
        <f>B18*About!$A$17</f>
        <v>191.61590504267593</v>
      </c>
      <c r="D18" s="4">
        <f t="shared" si="0"/>
        <v>1.9161590504267594E-4</v>
      </c>
      <c r="E18" s="10"/>
    </row>
    <row r="19" spans="1:5" x14ac:dyDescent="0.3">
      <c r="A19">
        <v>2025</v>
      </c>
      <c r="B19">
        <f t="shared" si="1"/>
        <v>220</v>
      </c>
      <c r="C19" s="9">
        <f>B19*About!$A$17</f>
        <v>195.16434772865142</v>
      </c>
      <c r="D19" s="4">
        <f t="shared" si="0"/>
        <v>1.9516434772865143E-4</v>
      </c>
      <c r="E19" s="10"/>
    </row>
    <row r="20" spans="1:5" x14ac:dyDescent="0.3">
      <c r="A20">
        <v>2026</v>
      </c>
      <c r="B20">
        <f t="shared" si="1"/>
        <v>224</v>
      </c>
      <c r="C20" s="9">
        <f>B20*About!$A$17</f>
        <v>198.71279041462691</v>
      </c>
      <c r="D20" s="4">
        <f t="shared" si="0"/>
        <v>1.987127904146269E-4</v>
      </c>
      <c r="E20" s="10"/>
    </row>
    <row r="21" spans="1:5" x14ac:dyDescent="0.3">
      <c r="A21">
        <v>2027</v>
      </c>
      <c r="B21">
        <f t="shared" si="1"/>
        <v>228</v>
      </c>
      <c r="C21" s="9">
        <f>B21*About!$A$17</f>
        <v>202.2612331006024</v>
      </c>
      <c r="D21" s="4">
        <f t="shared" si="0"/>
        <v>2.022612331006024E-4</v>
      </c>
      <c r="E21" s="10"/>
    </row>
    <row r="22" spans="1:5" x14ac:dyDescent="0.3">
      <c r="A22">
        <v>2028</v>
      </c>
      <c r="B22">
        <f t="shared" si="1"/>
        <v>232</v>
      </c>
      <c r="C22" s="9">
        <f>B22*About!$A$17</f>
        <v>205.80967578657788</v>
      </c>
      <c r="D22" s="4">
        <f t="shared" si="0"/>
        <v>2.058096757865779E-4</v>
      </c>
      <c r="E22" s="10"/>
    </row>
    <row r="23" spans="1:5" x14ac:dyDescent="0.3">
      <c r="A23">
        <v>2029</v>
      </c>
      <c r="B23">
        <f t="shared" si="1"/>
        <v>236</v>
      </c>
      <c r="C23" s="9">
        <f>B23*About!$A$17</f>
        <v>209.35811847255334</v>
      </c>
      <c r="D23" s="4">
        <f t="shared" si="0"/>
        <v>2.0935811847255334E-4</v>
      </c>
      <c r="E23" s="10"/>
    </row>
    <row r="24" spans="1:5" x14ac:dyDescent="0.3">
      <c r="A24" s="7">
        <v>2030</v>
      </c>
      <c r="B24" s="7">
        <v>230</v>
      </c>
      <c r="C24" s="9">
        <f>B24*About!$A$17</f>
        <v>204.03545444359014</v>
      </c>
      <c r="D24" s="4">
        <f t="shared" si="0"/>
        <v>2.0403545444359013E-4</v>
      </c>
      <c r="E24" s="10"/>
    </row>
    <row r="25" spans="1:5" x14ac:dyDescent="0.3">
      <c r="A25">
        <v>2031</v>
      </c>
      <c r="B25">
        <f>_xlfn.FORECAST.LINEAR(A25,$B$8:$B$9,$A$8:$A$9)</f>
        <v>243</v>
      </c>
      <c r="C25" s="9">
        <f>B25*About!$A$17</f>
        <v>215.56789317301045</v>
      </c>
      <c r="D25" s="4">
        <f t="shared" si="0"/>
        <v>2.1556789317301044E-4</v>
      </c>
      <c r="E25" s="10"/>
    </row>
    <row r="26" spans="1:5" x14ac:dyDescent="0.3">
      <c r="A26">
        <v>2032</v>
      </c>
      <c r="B26">
        <f t="shared" ref="B26:B33" si="2">_xlfn.FORECAST.LINEAR(A26,$B$8:$B$9,$A$8:$A$9)</f>
        <v>246</v>
      </c>
      <c r="C26" s="9">
        <f>B26*About!$A$17</f>
        <v>218.22922518749206</v>
      </c>
      <c r="D26" s="4">
        <f t="shared" si="0"/>
        <v>2.1822922518749207E-4</v>
      </c>
      <c r="E26" s="10"/>
    </row>
    <row r="27" spans="1:5" x14ac:dyDescent="0.3">
      <c r="A27">
        <v>2033</v>
      </c>
      <c r="B27">
        <f t="shared" si="2"/>
        <v>249</v>
      </c>
      <c r="C27" s="9">
        <f>B27*About!$A$17</f>
        <v>220.89055720197365</v>
      </c>
      <c r="D27" s="4">
        <f t="shared" si="0"/>
        <v>2.2089055720197364E-4</v>
      </c>
      <c r="E27" s="10"/>
    </row>
    <row r="28" spans="1:5" x14ac:dyDescent="0.3">
      <c r="A28">
        <v>2034</v>
      </c>
      <c r="B28">
        <f t="shared" si="2"/>
        <v>252</v>
      </c>
      <c r="C28" s="9">
        <f>B28*About!$A$17</f>
        <v>223.55188921645527</v>
      </c>
      <c r="D28" s="4">
        <f t="shared" si="0"/>
        <v>2.2355188921645527E-4</v>
      </c>
      <c r="E28" s="10"/>
    </row>
    <row r="29" spans="1:5" x14ac:dyDescent="0.3">
      <c r="A29">
        <v>2035</v>
      </c>
      <c r="B29">
        <f t="shared" si="2"/>
        <v>255</v>
      </c>
      <c r="C29" s="9">
        <f>B29*About!$A$17</f>
        <v>226.21322123093688</v>
      </c>
      <c r="D29" s="4">
        <f t="shared" si="0"/>
        <v>2.2621322123093687E-4</v>
      </c>
      <c r="E29" s="10"/>
    </row>
    <row r="30" spans="1:5" x14ac:dyDescent="0.3">
      <c r="A30">
        <v>2036</v>
      </c>
      <c r="B30">
        <f t="shared" si="2"/>
        <v>258</v>
      </c>
      <c r="C30" s="9">
        <f>B30*About!$A$17</f>
        <v>228.8745532454185</v>
      </c>
      <c r="D30" s="4">
        <f t="shared" si="0"/>
        <v>2.288745532454185E-4</v>
      </c>
      <c r="E30" s="10"/>
    </row>
    <row r="31" spans="1:5" x14ac:dyDescent="0.3">
      <c r="A31">
        <v>2037</v>
      </c>
      <c r="B31">
        <f t="shared" si="2"/>
        <v>261</v>
      </c>
      <c r="C31" s="9">
        <f>B31*About!$A$17</f>
        <v>231.53588525990011</v>
      </c>
      <c r="D31" s="4">
        <f t="shared" si="0"/>
        <v>2.3153588525990011E-4</v>
      </c>
      <c r="E31" s="10"/>
    </row>
    <row r="32" spans="1:5" x14ac:dyDescent="0.3">
      <c r="A32">
        <v>2038</v>
      </c>
      <c r="B32">
        <f t="shared" si="2"/>
        <v>264</v>
      </c>
      <c r="C32" s="9">
        <f>B32*About!$A$17</f>
        <v>234.19721727438173</v>
      </c>
      <c r="D32" s="4">
        <f t="shared" si="0"/>
        <v>2.3419721727438174E-4</v>
      </c>
      <c r="E32" s="10"/>
    </row>
    <row r="33" spans="1:6" x14ac:dyDescent="0.3">
      <c r="A33">
        <v>2039</v>
      </c>
      <c r="B33">
        <f t="shared" si="2"/>
        <v>267</v>
      </c>
      <c r="C33" s="9">
        <f>B33*About!$A$17</f>
        <v>236.85854928886332</v>
      </c>
      <c r="D33" s="4">
        <f t="shared" si="0"/>
        <v>2.3685854928886331E-4</v>
      </c>
      <c r="E33" s="10"/>
    </row>
    <row r="34" spans="1:6" x14ac:dyDescent="0.3">
      <c r="A34" s="7">
        <v>2040</v>
      </c>
      <c r="B34" s="7">
        <v>270</v>
      </c>
      <c r="C34" s="9">
        <f>B34*About!$A$17</f>
        <v>239.51988130334493</v>
      </c>
      <c r="D34" s="4">
        <f t="shared" si="0"/>
        <v>2.3951988130334494E-4</v>
      </c>
      <c r="E34" s="10"/>
    </row>
    <row r="35" spans="1:6" x14ac:dyDescent="0.3">
      <c r="A35">
        <v>2041</v>
      </c>
      <c r="B35">
        <f>_xlfn.FORECAST.LINEAR(A35,$B$9:$B$10,$A$9:$A$10)</f>
        <v>274</v>
      </c>
      <c r="C35" s="9">
        <f>B35*About!$A$17</f>
        <v>243.06832398932042</v>
      </c>
      <c r="D35" s="4">
        <f t="shared" si="0"/>
        <v>2.4306832398932041E-4</v>
      </c>
      <c r="E35" s="10"/>
    </row>
    <row r="36" spans="1:6" x14ac:dyDescent="0.3">
      <c r="A36">
        <v>2042</v>
      </c>
      <c r="B36">
        <f t="shared" ref="B36:B43" si="3">_xlfn.FORECAST.LINEAR(A36,$B$9:$B$10,$A$9:$A$10)</f>
        <v>278</v>
      </c>
      <c r="C36" s="9">
        <f>B36*About!$A$17</f>
        <v>246.61676667529591</v>
      </c>
      <c r="D36" s="4">
        <f t="shared" si="0"/>
        <v>2.4661676667529591E-4</v>
      </c>
      <c r="E36" s="10"/>
    </row>
    <row r="37" spans="1:6" x14ac:dyDescent="0.3">
      <c r="A37">
        <v>2043</v>
      </c>
      <c r="B37">
        <f t="shared" si="3"/>
        <v>282</v>
      </c>
      <c r="C37" s="9">
        <f>B37*About!$A$17</f>
        <v>250.16520936127137</v>
      </c>
      <c r="D37" s="4">
        <f t="shared" si="0"/>
        <v>2.5016520936127138E-4</v>
      </c>
      <c r="E37" s="10"/>
    </row>
    <row r="38" spans="1:6" x14ac:dyDescent="0.3">
      <c r="A38">
        <v>2044</v>
      </c>
      <c r="B38">
        <f t="shared" si="3"/>
        <v>286</v>
      </c>
      <c r="C38" s="9">
        <f>B38*About!$A$17</f>
        <v>253.71365204724685</v>
      </c>
      <c r="D38" s="4">
        <f t="shared" si="0"/>
        <v>2.5371365204724685E-4</v>
      </c>
      <c r="E38" s="10"/>
    </row>
    <row r="39" spans="1:6" x14ac:dyDescent="0.3">
      <c r="A39">
        <v>2045</v>
      </c>
      <c r="B39">
        <f t="shared" si="3"/>
        <v>290</v>
      </c>
      <c r="C39" s="9">
        <f>B39*About!$A$17</f>
        <v>257.26209473322234</v>
      </c>
      <c r="D39" s="4">
        <f t="shared" si="0"/>
        <v>2.5726209473322232E-4</v>
      </c>
      <c r="E39" s="10"/>
    </row>
    <row r="40" spans="1:6" x14ac:dyDescent="0.3">
      <c r="A40">
        <v>2046</v>
      </c>
      <c r="B40">
        <f t="shared" si="3"/>
        <v>294</v>
      </c>
      <c r="C40" s="9">
        <f>B40*About!$A$17</f>
        <v>260.81053741919783</v>
      </c>
      <c r="D40" s="4">
        <f t="shared" si="0"/>
        <v>2.6081053741919784E-4</v>
      </c>
      <c r="E40" s="10"/>
    </row>
    <row r="41" spans="1:6" x14ac:dyDescent="0.3">
      <c r="A41">
        <v>2047</v>
      </c>
      <c r="B41">
        <f t="shared" si="3"/>
        <v>298</v>
      </c>
      <c r="C41" s="9">
        <f>B41*About!$A$17</f>
        <v>264.35898010517332</v>
      </c>
      <c r="D41" s="4">
        <f t="shared" si="0"/>
        <v>2.6435898010517331E-4</v>
      </c>
      <c r="E41" s="10"/>
    </row>
    <row r="42" spans="1:6" x14ac:dyDescent="0.3">
      <c r="A42">
        <v>2048</v>
      </c>
      <c r="B42">
        <f t="shared" si="3"/>
        <v>302</v>
      </c>
      <c r="C42" s="9">
        <f>B42*About!$A$17</f>
        <v>267.9074227911488</v>
      </c>
      <c r="D42" s="4">
        <f t="shared" si="0"/>
        <v>2.6790742279114878E-4</v>
      </c>
      <c r="E42" s="10"/>
    </row>
    <row r="43" spans="1:6" x14ac:dyDescent="0.3">
      <c r="A43">
        <v>2049</v>
      </c>
      <c r="B43">
        <f t="shared" si="3"/>
        <v>306</v>
      </c>
      <c r="C43" s="9">
        <f>B43*About!$A$17</f>
        <v>271.45586547712423</v>
      </c>
      <c r="D43" s="4">
        <f t="shared" si="0"/>
        <v>2.7145586547712425E-4</v>
      </c>
      <c r="E43" s="10"/>
    </row>
    <row r="44" spans="1:6" x14ac:dyDescent="0.3">
      <c r="A44" s="7">
        <v>2050</v>
      </c>
      <c r="B44" s="7">
        <v>310</v>
      </c>
      <c r="C44" s="9">
        <f>B44*About!$A$17</f>
        <v>275.00430816309972</v>
      </c>
      <c r="D44" s="4">
        <f t="shared" si="0"/>
        <v>2.7500430816309972E-4</v>
      </c>
      <c r="E44" s="10"/>
      <c r="F44" s="11"/>
    </row>
  </sheetData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31"/>
  <sheetViews>
    <sheetView workbookViewId="0">
      <selection activeCell="B2" sqref="B2"/>
    </sheetView>
  </sheetViews>
  <sheetFormatPr defaultRowHeight="16.5" x14ac:dyDescent="0.3"/>
  <cols>
    <col min="2" max="2" width="24.125" customWidth="1"/>
  </cols>
  <sheetData>
    <row r="1" spans="1:2" x14ac:dyDescent="0.3">
      <c r="A1" s="3" t="s">
        <v>1</v>
      </c>
      <c r="B1" s="3" t="s">
        <v>7</v>
      </c>
    </row>
    <row r="2" spans="1:2" x14ac:dyDescent="0.3">
      <c r="A2">
        <v>2021</v>
      </c>
      <c r="B2" s="4">
        <f>'SourceData New'!D15</f>
        <v>1.809705769847495E-4</v>
      </c>
    </row>
    <row r="3" spans="1:2" x14ac:dyDescent="0.3">
      <c r="A3">
        <v>2022</v>
      </c>
      <c r="B3" s="4">
        <f>'SourceData New'!D16</f>
        <v>1.84519019670725E-4</v>
      </c>
    </row>
    <row r="4" spans="1:2" x14ac:dyDescent="0.3">
      <c r="A4">
        <v>2023</v>
      </c>
      <c r="B4" s="4">
        <f>'SourceData New'!D17</f>
        <v>1.8806746235670047E-4</v>
      </c>
    </row>
    <row r="5" spans="1:2" x14ac:dyDescent="0.3">
      <c r="A5">
        <v>2024</v>
      </c>
      <c r="B5" s="4">
        <f>'SourceData New'!D18</f>
        <v>1.9161590504267594E-4</v>
      </c>
    </row>
    <row r="6" spans="1:2" x14ac:dyDescent="0.3">
      <c r="A6">
        <v>2025</v>
      </c>
      <c r="B6" s="4">
        <f>'SourceData New'!D19</f>
        <v>1.9516434772865143E-4</v>
      </c>
    </row>
    <row r="7" spans="1:2" x14ac:dyDescent="0.3">
      <c r="A7">
        <v>2026</v>
      </c>
      <c r="B7" s="4">
        <f>'SourceData New'!D20</f>
        <v>1.987127904146269E-4</v>
      </c>
    </row>
    <row r="8" spans="1:2" x14ac:dyDescent="0.3">
      <c r="A8">
        <v>2027</v>
      </c>
      <c r="B8" s="4">
        <f>'SourceData New'!D21</f>
        <v>2.022612331006024E-4</v>
      </c>
    </row>
    <row r="9" spans="1:2" x14ac:dyDescent="0.3">
      <c r="A9">
        <v>2028</v>
      </c>
      <c r="B9" s="4">
        <f>'SourceData New'!D22</f>
        <v>2.058096757865779E-4</v>
      </c>
    </row>
    <row r="10" spans="1:2" x14ac:dyDescent="0.3">
      <c r="A10">
        <v>2029</v>
      </c>
      <c r="B10" s="4">
        <f>'SourceData New'!D23</f>
        <v>2.0935811847255334E-4</v>
      </c>
    </row>
    <row r="11" spans="1:2" x14ac:dyDescent="0.3">
      <c r="A11">
        <v>2030</v>
      </c>
      <c r="B11" s="4">
        <f>'SourceData New'!D24</f>
        <v>2.0403545444359013E-4</v>
      </c>
    </row>
    <row r="12" spans="1:2" x14ac:dyDescent="0.3">
      <c r="A12">
        <v>2031</v>
      </c>
      <c r="B12" s="4">
        <f>'SourceData New'!D25</f>
        <v>2.1556789317301044E-4</v>
      </c>
    </row>
    <row r="13" spans="1:2" x14ac:dyDescent="0.3">
      <c r="A13">
        <v>2032</v>
      </c>
      <c r="B13" s="4">
        <f>'SourceData New'!D26</f>
        <v>2.1822922518749207E-4</v>
      </c>
    </row>
    <row r="14" spans="1:2" x14ac:dyDescent="0.3">
      <c r="A14">
        <v>2033</v>
      </c>
      <c r="B14" s="4">
        <f>'SourceData New'!D27</f>
        <v>2.2089055720197364E-4</v>
      </c>
    </row>
    <row r="15" spans="1:2" x14ac:dyDescent="0.3">
      <c r="A15">
        <v>2034</v>
      </c>
      <c r="B15" s="4">
        <f>'SourceData New'!D28</f>
        <v>2.2355188921645527E-4</v>
      </c>
    </row>
    <row r="16" spans="1:2" x14ac:dyDescent="0.3">
      <c r="A16">
        <v>2035</v>
      </c>
      <c r="B16" s="4">
        <f>'SourceData New'!D29</f>
        <v>2.2621322123093687E-4</v>
      </c>
    </row>
    <row r="17" spans="1:2" x14ac:dyDescent="0.3">
      <c r="A17">
        <v>2036</v>
      </c>
      <c r="B17" s="4">
        <f>'SourceData New'!D30</f>
        <v>2.288745532454185E-4</v>
      </c>
    </row>
    <row r="18" spans="1:2" x14ac:dyDescent="0.3">
      <c r="A18">
        <v>2037</v>
      </c>
      <c r="B18" s="4">
        <f>'SourceData New'!D31</f>
        <v>2.3153588525990011E-4</v>
      </c>
    </row>
    <row r="19" spans="1:2" x14ac:dyDescent="0.3">
      <c r="A19">
        <v>2038</v>
      </c>
      <c r="B19" s="4">
        <f>'SourceData New'!D32</f>
        <v>2.3419721727438174E-4</v>
      </c>
    </row>
    <row r="20" spans="1:2" x14ac:dyDescent="0.3">
      <c r="A20">
        <v>2039</v>
      </c>
      <c r="B20" s="4">
        <f>'SourceData New'!D33</f>
        <v>2.3685854928886331E-4</v>
      </c>
    </row>
    <row r="21" spans="1:2" x14ac:dyDescent="0.3">
      <c r="A21">
        <v>2040</v>
      </c>
      <c r="B21" s="4">
        <f>'SourceData New'!D34</f>
        <v>2.3951988130334494E-4</v>
      </c>
    </row>
    <row r="22" spans="1:2" x14ac:dyDescent="0.3">
      <c r="A22">
        <v>2041</v>
      </c>
      <c r="B22" s="4">
        <f>'SourceData New'!D35</f>
        <v>2.4306832398932041E-4</v>
      </c>
    </row>
    <row r="23" spans="1:2" x14ac:dyDescent="0.3">
      <c r="A23">
        <v>2042</v>
      </c>
      <c r="B23" s="4">
        <f>'SourceData New'!D36</f>
        <v>2.4661676667529591E-4</v>
      </c>
    </row>
    <row r="24" spans="1:2" x14ac:dyDescent="0.3">
      <c r="A24">
        <v>2043</v>
      </c>
      <c r="B24" s="4">
        <f>'SourceData New'!D37</f>
        <v>2.5016520936127138E-4</v>
      </c>
    </row>
    <row r="25" spans="1:2" x14ac:dyDescent="0.3">
      <c r="A25">
        <v>2044</v>
      </c>
      <c r="B25" s="4">
        <f>'SourceData New'!D38</f>
        <v>2.5371365204724685E-4</v>
      </c>
    </row>
    <row r="26" spans="1:2" x14ac:dyDescent="0.3">
      <c r="A26">
        <v>2045</v>
      </c>
      <c r="B26" s="4">
        <f>'SourceData New'!D39</f>
        <v>2.5726209473322232E-4</v>
      </c>
    </row>
    <row r="27" spans="1:2" x14ac:dyDescent="0.3">
      <c r="A27">
        <v>2046</v>
      </c>
      <c r="B27" s="4">
        <f>'SourceData New'!D40</f>
        <v>2.6081053741919784E-4</v>
      </c>
    </row>
    <row r="28" spans="1:2" x14ac:dyDescent="0.3">
      <c r="A28">
        <v>2047</v>
      </c>
      <c r="B28" s="4">
        <f>'SourceData New'!D41</f>
        <v>2.6435898010517331E-4</v>
      </c>
    </row>
    <row r="29" spans="1:2" x14ac:dyDescent="0.3">
      <c r="A29">
        <v>2048</v>
      </c>
      <c r="B29" s="4">
        <f>'SourceData New'!D42</f>
        <v>2.6790742279114878E-4</v>
      </c>
    </row>
    <row r="30" spans="1:2" x14ac:dyDescent="0.3">
      <c r="A30">
        <v>2049</v>
      </c>
      <c r="B30" s="4">
        <f>'SourceData New'!D43</f>
        <v>2.7145586547712425E-4</v>
      </c>
    </row>
    <row r="31" spans="1:2" x14ac:dyDescent="0.3">
      <c r="A31">
        <v>2050</v>
      </c>
      <c r="B31" s="4">
        <f>'SourceData New'!D44</f>
        <v>2.7500430816309972E-4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SourceData New</vt:lpstr>
      <vt:lpstr>SCoC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2014-12-03T01:41:26Z</dcterms:created>
  <dcterms:modified xsi:type="dcterms:W3CDTF">2025-11-14T02:43:05Z</dcterms:modified>
</cp:coreProperties>
</file>