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G:\내 드라이브\2026\01.EPS\05.EPS고도화\01.EPS 4.0.5 update\v4.0.5\bldgs\BCEU\"/>
    </mc:Choice>
  </mc:AlternateContent>
  <xr:revisionPtr revIDLastSave="0" documentId="13_ncr:1_{119D3312-4039-41D4-A645-00930B1DC75F}" xr6:coauthVersionLast="47" xr6:coauthVersionMax="47" xr10:uidLastSave="{00000000-0000-0000-0000-000000000000}"/>
  <bookViews>
    <workbookView xWindow="-120" yWindow="-120" windowWidth="29040" windowHeight="15720" tabRatio="708" xr2:uid="{00000000-000D-0000-FFFF-FFFF00000000}"/>
  </bookViews>
  <sheets>
    <sheet name="About" sheetId="1" r:id="rId1"/>
    <sheet name="2019" sheetId="35" r:id="rId2"/>
    <sheet name="2020" sheetId="42" r:id="rId3"/>
    <sheet name="2021" sheetId="43" r:id="rId4"/>
    <sheet name="2022" sheetId="44" r:id="rId5"/>
    <sheet name="Forecast" sheetId="39" r:id="rId6"/>
    <sheet name="Commercial_calculation" sheetId="36" r:id="rId7"/>
    <sheet name="DC_deduction_260831" sheetId="47" r:id="rId8"/>
    <sheet name="Urban_res_calculation" sheetId="37" r:id="rId9"/>
    <sheet name="Rural_res_calculation" sheetId="38" r:id="rId10"/>
    <sheet name="참고)2019-2021" sheetId="41" r:id="rId11"/>
    <sheet name="참고)Snapshot2040" sheetId="40" r:id="rId12"/>
    <sheet name="BCEU-urban-residential-heating" sheetId="18" r:id="rId13"/>
    <sheet name="BCEU-urban-residential-cooling" sheetId="20" r:id="rId14"/>
    <sheet name="BCEU-urban-residential-lighting" sheetId="11" r:id="rId15"/>
    <sheet name="BCEU-urban-residential-appl" sheetId="12" r:id="rId16"/>
    <sheet name="BCEU-urban-residential-other" sheetId="13" r:id="rId17"/>
    <sheet name="BCEU-rural-residential-heating" sheetId="23" r:id="rId18"/>
    <sheet name="BCEU-rural-residential-cooling" sheetId="24" r:id="rId19"/>
    <sheet name="BCEU-rural-residential-lighting" sheetId="25" r:id="rId20"/>
    <sheet name="BCEU-rural-residential-appl" sheetId="26" r:id="rId21"/>
    <sheet name="BCEU-rural-residential-other" sheetId="27" r:id="rId22"/>
    <sheet name="BCEU-commercial-heating" sheetId="21" r:id="rId23"/>
    <sheet name="BCEU-commercial-cooling" sheetId="14" r:id="rId24"/>
    <sheet name="BCEU-commercial-lighting" sheetId="15" r:id="rId25"/>
    <sheet name="BCEU-commercial-appl" sheetId="16" r:id="rId26"/>
    <sheet name="BCEU-commercial-other" sheetId="17" r:id="rId27"/>
    <sheet name="BCEU-all-envelope" sheetId="31" r:id="rId28"/>
  </sheets>
  <externalReferences>
    <externalReference r:id="rId29"/>
  </externalReferences>
  <definedNames>
    <definedName name="Fraction_coal">About!$C$31</definedName>
    <definedName name="gal_per_barrel">[1]About!$A$63</definedName>
    <definedName name="Percent_rural">About!$A$67</definedName>
    <definedName name="Percent_urban">About!$A$66</definedName>
    <definedName name="quadrillion">About!$B$69</definedName>
    <definedName name="Table4">#REF!</definedName>
    <definedName name="Table4_1">#REF!</definedName>
    <definedName name="Table4_1_22">#REF!</definedName>
    <definedName name="Table4_22">#REF!</definedName>
    <definedName name="Table4_A">#REF!</definedName>
    <definedName name="Table4_A_22">#REF!</definedName>
    <definedName name="Table5">#REF!</definedName>
    <definedName name="Table5_1">#REF!</definedName>
    <definedName name="Table5_1_22">#REF!</definedName>
    <definedName name="Table5_22">#REF!</definedName>
    <definedName name="Table5_A">#REF!</definedName>
    <definedName name="Table5_A_2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47" l="1"/>
  <c r="B8" i="47"/>
  <c r="B9" i="47" s="1"/>
  <c r="E22" i="47" s="1"/>
  <c r="B31" i="1"/>
  <c r="B38" i="1" s="1"/>
  <c r="B18" i="47" s="1"/>
  <c r="E28" i="47" l="1"/>
  <c r="E26" i="47"/>
  <c r="E27" i="47"/>
  <c r="B10" i="47"/>
  <c r="C22" i="47" s="1"/>
  <c r="F22" i="47"/>
  <c r="E29" i="47" l="1"/>
  <c r="F28" i="47"/>
  <c r="F26" i="47"/>
  <c r="F27" i="47"/>
  <c r="G22" i="47"/>
  <c r="C28" i="47"/>
  <c r="C27" i="47"/>
  <c r="C26" i="47"/>
  <c r="B22" i="47"/>
  <c r="D22" i="47"/>
  <c r="E65" i="36"/>
  <c r="E66" i="36"/>
  <c r="E67" i="36"/>
  <c r="E68" i="36"/>
  <c r="E69" i="36"/>
  <c r="E70" i="36"/>
  <c r="E71" i="36"/>
  <c r="E72" i="36"/>
  <c r="E73" i="36"/>
  <c r="E64" i="36"/>
  <c r="E53" i="36"/>
  <c r="E54" i="36"/>
  <c r="E55" i="36"/>
  <c r="E56" i="36"/>
  <c r="E57" i="36"/>
  <c r="E58" i="36"/>
  <c r="E59" i="36"/>
  <c r="E60" i="36"/>
  <c r="E61" i="36"/>
  <c r="E52" i="36"/>
  <c r="E41" i="36"/>
  <c r="E42" i="36"/>
  <c r="E43" i="36"/>
  <c r="E44" i="36"/>
  <c r="E45" i="36"/>
  <c r="E46" i="36"/>
  <c r="E47" i="36"/>
  <c r="E48" i="36"/>
  <c r="E49" i="36"/>
  <c r="E40" i="36"/>
  <c r="E17" i="36"/>
  <c r="E18" i="36"/>
  <c r="E19" i="36"/>
  <c r="E20" i="36"/>
  <c r="E21" i="36"/>
  <c r="E22" i="36"/>
  <c r="E23" i="36"/>
  <c r="E24" i="36"/>
  <c r="E25" i="36"/>
  <c r="E16" i="36"/>
  <c r="E5" i="36"/>
  <c r="E6" i="36"/>
  <c r="E7" i="36"/>
  <c r="E8" i="36"/>
  <c r="E9" i="36"/>
  <c r="E10" i="36"/>
  <c r="E11" i="36"/>
  <c r="E12" i="36"/>
  <c r="E13" i="36"/>
  <c r="E4" i="36"/>
  <c r="D5" i="36"/>
  <c r="D6" i="36"/>
  <c r="D7" i="36"/>
  <c r="D8" i="36"/>
  <c r="D9" i="36"/>
  <c r="D10" i="36"/>
  <c r="D11" i="36"/>
  <c r="D12" i="36"/>
  <c r="D13" i="36"/>
  <c r="C26" i="35"/>
  <c r="D26" i="35"/>
  <c r="E26" i="35"/>
  <c r="F26" i="35"/>
  <c r="G26" i="35"/>
  <c r="C27" i="35"/>
  <c r="D27" i="35"/>
  <c r="E27" i="35"/>
  <c r="F27" i="35"/>
  <c r="G27" i="35"/>
  <c r="C28" i="35"/>
  <c r="D28" i="35"/>
  <c r="E28" i="35"/>
  <c r="F28" i="35"/>
  <c r="G28" i="35"/>
  <c r="C29" i="35"/>
  <c r="D29" i="35"/>
  <c r="E29" i="35"/>
  <c r="F29" i="35"/>
  <c r="G29" i="35"/>
  <c r="C30" i="35"/>
  <c r="D30" i="35"/>
  <c r="E30" i="35"/>
  <c r="F30" i="35"/>
  <c r="G30" i="35"/>
  <c r="C31" i="35"/>
  <c r="D31" i="35"/>
  <c r="E31" i="35"/>
  <c r="F31" i="35"/>
  <c r="G31" i="35"/>
  <c r="C32" i="35"/>
  <c r="D32" i="35"/>
  <c r="E32" i="35"/>
  <c r="F32" i="35"/>
  <c r="G32" i="35"/>
  <c r="C33" i="35"/>
  <c r="D33" i="35"/>
  <c r="E33" i="35"/>
  <c r="F33" i="35"/>
  <c r="G33" i="35"/>
  <c r="C34" i="35"/>
  <c r="D34" i="35"/>
  <c r="E34" i="35"/>
  <c r="F34" i="35"/>
  <c r="G34" i="35"/>
  <c r="C35" i="35"/>
  <c r="D35" i="35"/>
  <c r="E35" i="35"/>
  <c r="F35" i="35"/>
  <c r="G35" i="35"/>
  <c r="B27" i="35"/>
  <c r="B28" i="35"/>
  <c r="B29" i="35"/>
  <c r="B30" i="35"/>
  <c r="B31" i="35"/>
  <c r="B32" i="35"/>
  <c r="B33" i="35"/>
  <c r="B34" i="35"/>
  <c r="B35" i="35"/>
  <c r="B26" i="35"/>
  <c r="C14" i="35"/>
  <c r="D14" i="35"/>
  <c r="E14" i="35"/>
  <c r="F14" i="35"/>
  <c r="G14" i="35"/>
  <c r="C15" i="35"/>
  <c r="D15" i="35"/>
  <c r="E15" i="35"/>
  <c r="F15" i="35"/>
  <c r="G15" i="35"/>
  <c r="C16" i="35"/>
  <c r="D16" i="35"/>
  <c r="E16" i="35"/>
  <c r="F16" i="35"/>
  <c r="G16" i="35"/>
  <c r="C17" i="35"/>
  <c r="D17" i="35"/>
  <c r="E17" i="35"/>
  <c r="F17" i="35"/>
  <c r="G17" i="35"/>
  <c r="C18" i="35"/>
  <c r="D18" i="35"/>
  <c r="E18" i="35"/>
  <c r="F18" i="35"/>
  <c r="G18" i="35"/>
  <c r="C19" i="35"/>
  <c r="D19" i="35"/>
  <c r="E19" i="35"/>
  <c r="F19" i="35"/>
  <c r="G19" i="35"/>
  <c r="C20" i="35"/>
  <c r="D20" i="35"/>
  <c r="E20" i="35"/>
  <c r="F20" i="35"/>
  <c r="G20" i="35"/>
  <c r="C21" i="35"/>
  <c r="D21" i="35"/>
  <c r="E21" i="35"/>
  <c r="F21" i="35"/>
  <c r="G21" i="35"/>
  <c r="C22" i="35"/>
  <c r="D22" i="35"/>
  <c r="E22" i="35"/>
  <c r="F22" i="35"/>
  <c r="G22" i="35"/>
  <c r="C23" i="35"/>
  <c r="D23" i="35"/>
  <c r="E23" i="35"/>
  <c r="F23" i="35"/>
  <c r="G23" i="35"/>
  <c r="B15" i="35"/>
  <c r="B16" i="35"/>
  <c r="B17" i="35"/>
  <c r="B18" i="35"/>
  <c r="B19" i="35"/>
  <c r="B20" i="35"/>
  <c r="B21" i="35"/>
  <c r="B22" i="35"/>
  <c r="B23" i="35"/>
  <c r="B14" i="35"/>
  <c r="D73" i="38"/>
  <c r="D72" i="38"/>
  <c r="D71" i="38"/>
  <c r="D70" i="38"/>
  <c r="D69" i="38"/>
  <c r="D68" i="38"/>
  <c r="D67" i="38"/>
  <c r="D66" i="38"/>
  <c r="D65" i="38"/>
  <c r="D64" i="38"/>
  <c r="D61" i="38"/>
  <c r="D60" i="38"/>
  <c r="D59" i="38"/>
  <c r="D58" i="38"/>
  <c r="D57" i="38"/>
  <c r="D56" i="38"/>
  <c r="D55" i="38"/>
  <c r="D54" i="38"/>
  <c r="D53" i="38"/>
  <c r="D52" i="38"/>
  <c r="D49" i="38"/>
  <c r="D48" i="38"/>
  <c r="D47" i="38"/>
  <c r="D46" i="38"/>
  <c r="D45" i="38"/>
  <c r="D44" i="38"/>
  <c r="D43" i="38"/>
  <c r="D42" i="38"/>
  <c r="D41" i="38"/>
  <c r="D40" i="38"/>
  <c r="D37" i="38"/>
  <c r="D36" i="38"/>
  <c r="D35" i="38"/>
  <c r="D34" i="38"/>
  <c r="D33" i="38"/>
  <c r="D32" i="38"/>
  <c r="D31" i="38"/>
  <c r="D30" i="38"/>
  <c r="D29" i="38"/>
  <c r="D28" i="38"/>
  <c r="D25" i="38"/>
  <c r="D24" i="38"/>
  <c r="D23" i="38"/>
  <c r="D22" i="38"/>
  <c r="D21" i="38"/>
  <c r="D20" i="38"/>
  <c r="D19" i="38"/>
  <c r="D18" i="38"/>
  <c r="D17" i="38"/>
  <c r="D16" i="38"/>
  <c r="D13" i="38"/>
  <c r="D12" i="38"/>
  <c r="D11" i="38"/>
  <c r="D10" i="38"/>
  <c r="D9" i="38"/>
  <c r="D8" i="38"/>
  <c r="D7" i="38"/>
  <c r="D6" i="38"/>
  <c r="D5" i="38"/>
  <c r="D4" i="38"/>
  <c r="D73" i="37"/>
  <c r="D72" i="37"/>
  <c r="D71" i="37"/>
  <c r="D70" i="37"/>
  <c r="D69" i="37"/>
  <c r="D68" i="37"/>
  <c r="D67" i="37"/>
  <c r="D66" i="37"/>
  <c r="D65" i="37"/>
  <c r="D64" i="37"/>
  <c r="D61" i="37"/>
  <c r="D60" i="37"/>
  <c r="D59" i="37"/>
  <c r="D58" i="37"/>
  <c r="D57" i="37"/>
  <c r="D56" i="37"/>
  <c r="D55" i="37"/>
  <c r="D54" i="37"/>
  <c r="D53" i="37"/>
  <c r="D52" i="37"/>
  <c r="D49" i="37"/>
  <c r="D48" i="37"/>
  <c r="D47" i="37"/>
  <c r="D46" i="37"/>
  <c r="D45" i="37"/>
  <c r="D44" i="37"/>
  <c r="D43" i="37"/>
  <c r="D42" i="37"/>
  <c r="D41" i="37"/>
  <c r="D40" i="37"/>
  <c r="D37" i="37"/>
  <c r="D36" i="37"/>
  <c r="D35" i="37"/>
  <c r="D34" i="37"/>
  <c r="D33" i="37"/>
  <c r="D32" i="37"/>
  <c r="D31" i="37"/>
  <c r="D30" i="37"/>
  <c r="D29" i="37"/>
  <c r="D28" i="37"/>
  <c r="D25" i="37"/>
  <c r="D24" i="37"/>
  <c r="D23" i="37"/>
  <c r="D22" i="37"/>
  <c r="D21" i="37"/>
  <c r="D20" i="37"/>
  <c r="D19" i="37"/>
  <c r="D18" i="37"/>
  <c r="D17" i="37"/>
  <c r="D16" i="37"/>
  <c r="D13" i="37"/>
  <c r="D12" i="37"/>
  <c r="D11" i="37"/>
  <c r="D10" i="37"/>
  <c r="D9" i="37"/>
  <c r="D8" i="37"/>
  <c r="D7" i="37"/>
  <c r="D6" i="37"/>
  <c r="D5" i="37"/>
  <c r="D4" i="37"/>
  <c r="D72" i="36"/>
  <c r="D64" i="36"/>
  <c r="D54" i="36"/>
  <c r="D44" i="36"/>
  <c r="D34" i="36"/>
  <c r="D24" i="36"/>
  <c r="D16" i="36"/>
  <c r="D73" i="36"/>
  <c r="D61" i="36"/>
  <c r="D49" i="36"/>
  <c r="D37" i="36"/>
  <c r="D25" i="36"/>
  <c r="D60" i="36"/>
  <c r="D48" i="36"/>
  <c r="D36" i="36"/>
  <c r="D71" i="36"/>
  <c r="D59" i="36"/>
  <c r="D47" i="36"/>
  <c r="D35" i="36"/>
  <c r="D23" i="36"/>
  <c r="D70" i="36"/>
  <c r="D58" i="36"/>
  <c r="D46" i="36"/>
  <c r="D22" i="36"/>
  <c r="D69" i="36"/>
  <c r="D57" i="36"/>
  <c r="D45" i="36"/>
  <c r="D33" i="36"/>
  <c r="D21" i="36"/>
  <c r="D68" i="36"/>
  <c r="D56" i="36"/>
  <c r="D32" i="36"/>
  <c r="D20" i="36"/>
  <c r="D67" i="36"/>
  <c r="D55" i="36"/>
  <c r="D43" i="36"/>
  <c r="D31" i="36"/>
  <c r="D19" i="36"/>
  <c r="D66" i="36"/>
  <c r="D42" i="36"/>
  <c r="D30" i="36"/>
  <c r="D18" i="36"/>
  <c r="D65" i="36"/>
  <c r="D53" i="36"/>
  <c r="D41" i="36"/>
  <c r="D29" i="36"/>
  <c r="D17" i="36"/>
  <c r="D52" i="36"/>
  <c r="D40" i="36"/>
  <c r="D28" i="36"/>
  <c r="D4" i="36"/>
  <c r="G35" i="42"/>
  <c r="C73" i="38" s="1"/>
  <c r="F35" i="42"/>
  <c r="C61" i="38" s="1"/>
  <c r="E35" i="42"/>
  <c r="C49" i="38" s="1"/>
  <c r="D35" i="42"/>
  <c r="C37" i="38" s="1"/>
  <c r="C35" i="42"/>
  <c r="C25" i="38" s="1"/>
  <c r="B35" i="42"/>
  <c r="C13" i="38" s="1"/>
  <c r="G34" i="42"/>
  <c r="C72" i="38" s="1"/>
  <c r="F34" i="42"/>
  <c r="C60" i="38" s="1"/>
  <c r="E34" i="42"/>
  <c r="C48" i="38" s="1"/>
  <c r="D34" i="42"/>
  <c r="C36" i="38" s="1"/>
  <c r="C34" i="42"/>
  <c r="C24" i="38" s="1"/>
  <c r="B34" i="42"/>
  <c r="C12" i="38" s="1"/>
  <c r="G33" i="42"/>
  <c r="C71" i="38" s="1"/>
  <c r="F33" i="42"/>
  <c r="C59" i="38" s="1"/>
  <c r="E33" i="42"/>
  <c r="C47" i="38" s="1"/>
  <c r="D33" i="42"/>
  <c r="C35" i="38" s="1"/>
  <c r="C33" i="42"/>
  <c r="C23" i="38" s="1"/>
  <c r="B33" i="42"/>
  <c r="C11" i="38" s="1"/>
  <c r="G32" i="42"/>
  <c r="C70" i="38" s="1"/>
  <c r="F32" i="42"/>
  <c r="C58" i="38" s="1"/>
  <c r="E32" i="42"/>
  <c r="C46" i="38" s="1"/>
  <c r="D32" i="42"/>
  <c r="C34" i="38" s="1"/>
  <c r="C32" i="42"/>
  <c r="C22" i="38" s="1"/>
  <c r="B32" i="42"/>
  <c r="C10" i="38" s="1"/>
  <c r="G31" i="42"/>
  <c r="C69" i="38" s="1"/>
  <c r="F31" i="42"/>
  <c r="C57" i="38" s="1"/>
  <c r="E31" i="42"/>
  <c r="C45" i="38" s="1"/>
  <c r="D31" i="42"/>
  <c r="C33" i="38" s="1"/>
  <c r="C31" i="42"/>
  <c r="C21" i="38" s="1"/>
  <c r="B31" i="42"/>
  <c r="C9" i="38" s="1"/>
  <c r="G30" i="42"/>
  <c r="C68" i="38" s="1"/>
  <c r="F30" i="42"/>
  <c r="C56" i="38" s="1"/>
  <c r="E30" i="42"/>
  <c r="C44" i="38" s="1"/>
  <c r="D30" i="42"/>
  <c r="C32" i="38" s="1"/>
  <c r="C30" i="42"/>
  <c r="C20" i="38" s="1"/>
  <c r="B30" i="42"/>
  <c r="C8" i="38" s="1"/>
  <c r="G29" i="42"/>
  <c r="C67" i="38" s="1"/>
  <c r="F29" i="42"/>
  <c r="C55" i="38" s="1"/>
  <c r="E29" i="42"/>
  <c r="C43" i="38" s="1"/>
  <c r="D29" i="42"/>
  <c r="C31" i="38" s="1"/>
  <c r="C29" i="42"/>
  <c r="C19" i="38" s="1"/>
  <c r="B29" i="42"/>
  <c r="C7" i="38" s="1"/>
  <c r="G28" i="42"/>
  <c r="C66" i="38" s="1"/>
  <c r="F28" i="42"/>
  <c r="C54" i="38" s="1"/>
  <c r="E28" i="42"/>
  <c r="C42" i="38" s="1"/>
  <c r="D28" i="42"/>
  <c r="C30" i="38" s="1"/>
  <c r="C28" i="42"/>
  <c r="C18" i="38" s="1"/>
  <c r="B28" i="42"/>
  <c r="C6" i="38" s="1"/>
  <c r="G27" i="42"/>
  <c r="C65" i="38" s="1"/>
  <c r="F27" i="42"/>
  <c r="C53" i="38" s="1"/>
  <c r="E27" i="42"/>
  <c r="C41" i="38" s="1"/>
  <c r="D27" i="42"/>
  <c r="C29" i="38" s="1"/>
  <c r="C27" i="42"/>
  <c r="C17" i="38" s="1"/>
  <c r="B27" i="42"/>
  <c r="C5" i="38" s="1"/>
  <c r="G26" i="42"/>
  <c r="C64" i="38" s="1"/>
  <c r="F26" i="42"/>
  <c r="C52" i="38" s="1"/>
  <c r="E26" i="42"/>
  <c r="C40" i="38" s="1"/>
  <c r="D26" i="42"/>
  <c r="C28" i="38" s="1"/>
  <c r="C26" i="42"/>
  <c r="C16" i="38" s="1"/>
  <c r="B26" i="42"/>
  <c r="C4" i="38" s="1"/>
  <c r="G23" i="42"/>
  <c r="C73" i="37" s="1"/>
  <c r="F23" i="42"/>
  <c r="C61" i="37" s="1"/>
  <c r="E23" i="42"/>
  <c r="C49" i="37" s="1"/>
  <c r="D23" i="42"/>
  <c r="C37" i="37" s="1"/>
  <c r="C23" i="42"/>
  <c r="C25" i="37" s="1"/>
  <c r="B23" i="42"/>
  <c r="C13" i="37" s="1"/>
  <c r="G22" i="42"/>
  <c r="C72" i="37" s="1"/>
  <c r="F22" i="42"/>
  <c r="C60" i="37" s="1"/>
  <c r="E22" i="42"/>
  <c r="C48" i="37" s="1"/>
  <c r="D22" i="42"/>
  <c r="C36" i="37" s="1"/>
  <c r="C22" i="42"/>
  <c r="C24" i="37" s="1"/>
  <c r="B22" i="42"/>
  <c r="C12" i="37" s="1"/>
  <c r="G21" i="42"/>
  <c r="C71" i="37" s="1"/>
  <c r="F21" i="42"/>
  <c r="C59" i="37" s="1"/>
  <c r="E21" i="42"/>
  <c r="C47" i="37" s="1"/>
  <c r="D21" i="42"/>
  <c r="C35" i="37" s="1"/>
  <c r="C21" i="42"/>
  <c r="C23" i="37" s="1"/>
  <c r="B21" i="42"/>
  <c r="C11" i="37" s="1"/>
  <c r="G20" i="42"/>
  <c r="C70" i="37" s="1"/>
  <c r="F20" i="42"/>
  <c r="C58" i="37" s="1"/>
  <c r="E20" i="42"/>
  <c r="C46" i="37" s="1"/>
  <c r="D20" i="42"/>
  <c r="C34" i="37" s="1"/>
  <c r="C20" i="42"/>
  <c r="C22" i="37" s="1"/>
  <c r="B20" i="42"/>
  <c r="C10" i="37" s="1"/>
  <c r="G19" i="42"/>
  <c r="C69" i="37" s="1"/>
  <c r="F19" i="42"/>
  <c r="C57" i="37" s="1"/>
  <c r="E19" i="42"/>
  <c r="C45" i="37" s="1"/>
  <c r="D19" i="42"/>
  <c r="C33" i="37" s="1"/>
  <c r="C19" i="42"/>
  <c r="C21" i="37" s="1"/>
  <c r="B19" i="42"/>
  <c r="C9" i="37" s="1"/>
  <c r="G18" i="42"/>
  <c r="C68" i="37" s="1"/>
  <c r="F18" i="42"/>
  <c r="C56" i="37" s="1"/>
  <c r="E18" i="42"/>
  <c r="C44" i="37" s="1"/>
  <c r="D18" i="42"/>
  <c r="C32" i="37" s="1"/>
  <c r="C18" i="42"/>
  <c r="C20" i="37" s="1"/>
  <c r="B18" i="42"/>
  <c r="C8" i="37" s="1"/>
  <c r="G17" i="42"/>
  <c r="C67" i="37" s="1"/>
  <c r="F17" i="42"/>
  <c r="C55" i="37" s="1"/>
  <c r="E17" i="42"/>
  <c r="C43" i="37" s="1"/>
  <c r="D17" i="42"/>
  <c r="C31" i="37" s="1"/>
  <c r="C17" i="42"/>
  <c r="C19" i="37" s="1"/>
  <c r="B17" i="42"/>
  <c r="C7" i="37" s="1"/>
  <c r="G16" i="42"/>
  <c r="C66" i="37" s="1"/>
  <c r="F16" i="42"/>
  <c r="C54" i="37" s="1"/>
  <c r="E16" i="42"/>
  <c r="C42" i="37" s="1"/>
  <c r="D16" i="42"/>
  <c r="C30" i="37" s="1"/>
  <c r="C16" i="42"/>
  <c r="C18" i="37" s="1"/>
  <c r="B16" i="42"/>
  <c r="C6" i="37" s="1"/>
  <c r="G15" i="42"/>
  <c r="C65" i="37" s="1"/>
  <c r="F15" i="42"/>
  <c r="C53" i="37" s="1"/>
  <c r="E15" i="42"/>
  <c r="C41" i="37" s="1"/>
  <c r="D15" i="42"/>
  <c r="C29" i="37" s="1"/>
  <c r="C15" i="42"/>
  <c r="C17" i="37" s="1"/>
  <c r="B15" i="42"/>
  <c r="C5" i="37" s="1"/>
  <c r="G14" i="42"/>
  <c r="C64" i="37" s="1"/>
  <c r="F14" i="42"/>
  <c r="C52" i="37" s="1"/>
  <c r="E14" i="42"/>
  <c r="C40" i="37" s="1"/>
  <c r="D14" i="42"/>
  <c r="C28" i="37" s="1"/>
  <c r="C14" i="42"/>
  <c r="C16" i="37" s="1"/>
  <c r="B14" i="42"/>
  <c r="C4" i="37" s="1"/>
  <c r="G11" i="42"/>
  <c r="C73" i="36" s="1"/>
  <c r="F11" i="42"/>
  <c r="C61" i="36" s="1"/>
  <c r="E11" i="42"/>
  <c r="C49" i="36" s="1"/>
  <c r="D11" i="42"/>
  <c r="C37" i="36" s="1"/>
  <c r="C11" i="42"/>
  <c r="C25" i="36" s="1"/>
  <c r="B11" i="42"/>
  <c r="C13" i="36" s="1"/>
  <c r="G10" i="42"/>
  <c r="C72" i="36" s="1"/>
  <c r="F10" i="42"/>
  <c r="C60" i="36" s="1"/>
  <c r="E10" i="42"/>
  <c r="C48" i="36" s="1"/>
  <c r="D10" i="42"/>
  <c r="C36" i="36" s="1"/>
  <c r="C10" i="42"/>
  <c r="C24" i="36" s="1"/>
  <c r="B10" i="42"/>
  <c r="C12" i="36" s="1"/>
  <c r="G9" i="42"/>
  <c r="C71" i="36" s="1"/>
  <c r="F9" i="42"/>
  <c r="C59" i="36" s="1"/>
  <c r="E9" i="42"/>
  <c r="C47" i="36" s="1"/>
  <c r="D9" i="42"/>
  <c r="C35" i="36" s="1"/>
  <c r="C9" i="42"/>
  <c r="C23" i="36" s="1"/>
  <c r="B9" i="42"/>
  <c r="C11" i="36" s="1"/>
  <c r="G8" i="42"/>
  <c r="C70" i="36" s="1"/>
  <c r="F8" i="42"/>
  <c r="C58" i="36" s="1"/>
  <c r="E8" i="42"/>
  <c r="C46" i="36" s="1"/>
  <c r="D8" i="42"/>
  <c r="C34" i="36" s="1"/>
  <c r="C8" i="42"/>
  <c r="C22" i="36" s="1"/>
  <c r="B8" i="42"/>
  <c r="C10" i="36" s="1"/>
  <c r="G7" i="42"/>
  <c r="C69" i="36" s="1"/>
  <c r="F7" i="42"/>
  <c r="C57" i="36" s="1"/>
  <c r="E7" i="42"/>
  <c r="C45" i="36" s="1"/>
  <c r="D7" i="42"/>
  <c r="C33" i="36" s="1"/>
  <c r="C7" i="42"/>
  <c r="C21" i="36" s="1"/>
  <c r="B7" i="42"/>
  <c r="C9" i="36" s="1"/>
  <c r="G6" i="42"/>
  <c r="C68" i="36" s="1"/>
  <c r="F6" i="42"/>
  <c r="C56" i="36" s="1"/>
  <c r="E6" i="42"/>
  <c r="C44" i="36" s="1"/>
  <c r="D6" i="42"/>
  <c r="C32" i="36" s="1"/>
  <c r="C6" i="42"/>
  <c r="C20" i="36" s="1"/>
  <c r="B6" i="42"/>
  <c r="C8" i="36" s="1"/>
  <c r="G5" i="42"/>
  <c r="C67" i="36" s="1"/>
  <c r="F5" i="42"/>
  <c r="C55" i="36" s="1"/>
  <c r="E5" i="42"/>
  <c r="C43" i="36" s="1"/>
  <c r="D5" i="42"/>
  <c r="C31" i="36" s="1"/>
  <c r="C5" i="42"/>
  <c r="C19" i="36" s="1"/>
  <c r="B5" i="42"/>
  <c r="C7" i="36" s="1"/>
  <c r="G4" i="42"/>
  <c r="C66" i="36" s="1"/>
  <c r="F4" i="42"/>
  <c r="C54" i="36" s="1"/>
  <c r="E4" i="42"/>
  <c r="C42" i="36" s="1"/>
  <c r="D4" i="42"/>
  <c r="C30" i="36" s="1"/>
  <c r="C4" i="42"/>
  <c r="C18" i="36" s="1"/>
  <c r="B4" i="42"/>
  <c r="C6" i="36" s="1"/>
  <c r="G3" i="42"/>
  <c r="C65" i="36" s="1"/>
  <c r="F3" i="42"/>
  <c r="C53" i="36" s="1"/>
  <c r="E3" i="42"/>
  <c r="C41" i="36" s="1"/>
  <c r="D3" i="42"/>
  <c r="C29" i="36" s="1"/>
  <c r="C3" i="42"/>
  <c r="C17" i="36" s="1"/>
  <c r="B3" i="42"/>
  <c r="C5" i="36" s="1"/>
  <c r="G2" i="42"/>
  <c r="C64" i="36" s="1"/>
  <c r="F2" i="42"/>
  <c r="C52" i="36" s="1"/>
  <c r="E2" i="42"/>
  <c r="C40" i="36" s="1"/>
  <c r="D2" i="42"/>
  <c r="C28" i="36" s="1"/>
  <c r="C2" i="42"/>
  <c r="C16" i="36" s="1"/>
  <c r="B2" i="42"/>
  <c r="C4" i="36" s="1"/>
  <c r="E23" i="41"/>
  <c r="K23" i="41" s="1"/>
  <c r="AK17" i="41"/>
  <c r="AL17" i="41" s="1"/>
  <c r="AK16" i="41"/>
  <c r="AK15" i="41"/>
  <c r="AL15" i="41" s="1"/>
  <c r="AK14" i="41"/>
  <c r="AL14" i="41" s="1"/>
  <c r="AK13" i="41"/>
  <c r="AL13" i="41" s="1"/>
  <c r="AK12" i="41"/>
  <c r="AL12" i="41" s="1"/>
  <c r="E28" i="41" s="1"/>
  <c r="K28" i="41" s="1"/>
  <c r="AK11" i="41"/>
  <c r="AL11" i="41" s="1"/>
  <c r="AK10" i="41"/>
  <c r="AL10" i="41" s="1"/>
  <c r="AK9" i="41"/>
  <c r="AL9" i="41" s="1"/>
  <c r="AK8" i="41"/>
  <c r="AL8" i="41" s="1"/>
  <c r="AK6" i="41"/>
  <c r="AL6" i="41" s="1"/>
  <c r="AJ43" i="41"/>
  <c r="AK43" i="41" s="1"/>
  <c r="AJ42" i="41"/>
  <c r="AK42" i="41" s="1"/>
  <c r="AJ41" i="41"/>
  <c r="AK41" i="41" s="1"/>
  <c r="AJ40" i="41"/>
  <c r="AK40" i="41" s="1"/>
  <c r="AJ39" i="41"/>
  <c r="AK39" i="41" s="1"/>
  <c r="D32" i="41"/>
  <c r="J32" i="41" s="1"/>
  <c r="D30" i="41"/>
  <c r="J30" i="41" s="1"/>
  <c r="D28" i="41"/>
  <c r="J28" i="41" s="1"/>
  <c r="D26" i="41"/>
  <c r="J26" i="41" s="1"/>
  <c r="D24" i="41"/>
  <c r="J24" i="41" s="1"/>
  <c r="D23" i="41"/>
  <c r="J23" i="41" s="1"/>
  <c r="D22" i="41"/>
  <c r="J22" i="41" s="1"/>
  <c r="D20" i="41"/>
  <c r="J20" i="41" s="1"/>
  <c r="E2" i="17" l="1"/>
  <c r="E32" i="47"/>
  <c r="E31" i="47"/>
  <c r="E2" i="14"/>
  <c r="B28" i="47"/>
  <c r="B26" i="47"/>
  <c r="B27" i="47"/>
  <c r="C32" i="47"/>
  <c r="C2" i="17"/>
  <c r="H22" i="47"/>
  <c r="G28" i="47"/>
  <c r="G27" i="47"/>
  <c r="G26" i="47"/>
  <c r="F29" i="47"/>
  <c r="D28" i="47"/>
  <c r="D27" i="47"/>
  <c r="D26" i="47"/>
  <c r="D24" i="47"/>
  <c r="C2" i="14"/>
  <c r="C31" i="47"/>
  <c r="C29" i="47"/>
  <c r="C78" i="36"/>
  <c r="C93" i="36" s="1"/>
  <c r="C23" i="47" s="1"/>
  <c r="C24" i="47" s="1"/>
  <c r="D79" i="36"/>
  <c r="D94" i="36" s="1"/>
  <c r="D83" i="36"/>
  <c r="D98" i="36" s="1"/>
  <c r="C81" i="36"/>
  <c r="C96" i="36" s="1"/>
  <c r="D87" i="36"/>
  <c r="D102" i="36" s="1"/>
  <c r="C84" i="36"/>
  <c r="C99" i="36" s="1"/>
  <c r="C87" i="36"/>
  <c r="C102" i="36" s="1"/>
  <c r="C79" i="36"/>
  <c r="C94" i="36" s="1"/>
  <c r="C82" i="36"/>
  <c r="C97" i="36" s="1"/>
  <c r="C85" i="36"/>
  <c r="C100" i="36" s="1"/>
  <c r="D80" i="36"/>
  <c r="D95" i="36" s="1"/>
  <c r="D84" i="36"/>
  <c r="D99" i="36" s="1"/>
  <c r="D78" i="36"/>
  <c r="D93" i="36" s="1"/>
  <c r="D23" i="47" s="1"/>
  <c r="D86" i="36"/>
  <c r="D101" i="36" s="1"/>
  <c r="C80" i="36"/>
  <c r="C95" i="36" s="1"/>
  <c r="C83" i="36"/>
  <c r="C98" i="36" s="1"/>
  <c r="C86" i="36"/>
  <c r="C101" i="36" s="1"/>
  <c r="D81" i="36"/>
  <c r="D96" i="36" s="1"/>
  <c r="D85" i="36"/>
  <c r="D100" i="36" s="1"/>
  <c r="D82" i="36"/>
  <c r="D97" i="36" s="1"/>
  <c r="AL5" i="41"/>
  <c r="E22" i="41"/>
  <c r="K22" i="41" s="1"/>
  <c r="AK38" i="41"/>
  <c r="E26" i="41"/>
  <c r="K26" i="41" s="1"/>
  <c r="E24" i="41"/>
  <c r="K24" i="41" s="1"/>
  <c r="AK4" i="41"/>
  <c r="AK5" i="41"/>
  <c r="D48" i="41"/>
  <c r="AL16" i="41"/>
  <c r="AL4" i="41" s="1"/>
  <c r="E30" i="41"/>
  <c r="K30" i="41" s="1"/>
  <c r="D47" i="41"/>
  <c r="AJ38" i="41"/>
  <c r="D50" i="41"/>
  <c r="D49" i="41"/>
  <c r="D51" i="41"/>
  <c r="D2" i="17" l="1"/>
  <c r="D32" i="47"/>
  <c r="G29" i="47"/>
  <c r="H28" i="47"/>
  <c r="H27" i="47"/>
  <c r="H26" i="47"/>
  <c r="I22" i="47"/>
  <c r="B2" i="17"/>
  <c r="B32" i="47"/>
  <c r="B29" i="47"/>
  <c r="B2" i="14"/>
  <c r="B31" i="47"/>
  <c r="D29" i="47"/>
  <c r="D2" i="14"/>
  <c r="D31" i="47"/>
  <c r="E20" i="41"/>
  <c r="K20" i="41" s="1"/>
  <c r="D46" i="41"/>
  <c r="E21" i="41" s="1"/>
  <c r="E29" i="41"/>
  <c r="J49" i="41"/>
  <c r="E27" i="41"/>
  <c r="J48" i="41"/>
  <c r="E33" i="41"/>
  <c r="J51" i="41"/>
  <c r="J50" i="41"/>
  <c r="E31" i="41"/>
  <c r="J47" i="41"/>
  <c r="E25" i="41"/>
  <c r="E32" i="41"/>
  <c r="K32" i="41" s="1"/>
  <c r="C51" i="41"/>
  <c r="D33" i="41" s="1"/>
  <c r="B51" i="41"/>
  <c r="C33" i="41" s="1"/>
  <c r="C50" i="41"/>
  <c r="D31" i="41" s="1"/>
  <c r="B50" i="41"/>
  <c r="C31" i="41" s="1"/>
  <c r="C49" i="41"/>
  <c r="D29" i="41" s="1"/>
  <c r="B49" i="41"/>
  <c r="C29" i="41" s="1"/>
  <c r="C48" i="41"/>
  <c r="D27" i="41" s="1"/>
  <c r="B48" i="41"/>
  <c r="C27" i="41" s="1"/>
  <c r="C47" i="41"/>
  <c r="D25" i="41" s="1"/>
  <c r="B47" i="41"/>
  <c r="C25" i="41" s="1"/>
  <c r="C46" i="41"/>
  <c r="D21" i="41" s="1"/>
  <c r="B46" i="41"/>
  <c r="C21" i="41" s="1"/>
  <c r="C32" i="41"/>
  <c r="I32" i="41" s="1"/>
  <c r="C30" i="41"/>
  <c r="I30" i="41" s="1"/>
  <c r="C28" i="41"/>
  <c r="I28" i="41" s="1"/>
  <c r="C26" i="41"/>
  <c r="I26" i="41" s="1"/>
  <c r="C24" i="41"/>
  <c r="I24" i="41" s="1"/>
  <c r="C23" i="41"/>
  <c r="I23" i="41" s="1"/>
  <c r="C22" i="41"/>
  <c r="I22" i="41" s="1"/>
  <c r="C20" i="41"/>
  <c r="I20" i="41" s="1"/>
  <c r="B24" i="38"/>
  <c r="B22" i="38"/>
  <c r="B20" i="38"/>
  <c r="B6" i="24" s="1"/>
  <c r="B18" i="38"/>
  <c r="B4" i="24" s="1"/>
  <c r="B16" i="38"/>
  <c r="B2" i="24" s="1"/>
  <c r="B12" i="37"/>
  <c r="B10" i="37"/>
  <c r="B8" i="37"/>
  <c r="B6" i="37"/>
  <c r="B4" i="37"/>
  <c r="B4" i="36"/>
  <c r="B2" i="21" s="1"/>
  <c r="B5" i="36"/>
  <c r="B3" i="21" s="1"/>
  <c r="B6" i="36"/>
  <c r="B4" i="21" s="1"/>
  <c r="B7" i="36"/>
  <c r="B8" i="36"/>
  <c r="B6" i="21" s="1"/>
  <c r="B9" i="36"/>
  <c r="B7" i="21" s="1"/>
  <c r="B10" i="36"/>
  <c r="B8" i="21" s="1"/>
  <c r="B11" i="36"/>
  <c r="B12" i="36"/>
  <c r="B13" i="36"/>
  <c r="B11" i="21" s="1"/>
  <c r="B16" i="36"/>
  <c r="B17" i="36"/>
  <c r="B3" i="14" s="1"/>
  <c r="B18" i="36"/>
  <c r="B4" i="14" s="1"/>
  <c r="B19" i="36"/>
  <c r="B5" i="14" s="1"/>
  <c r="B20" i="36"/>
  <c r="B6" i="14" s="1"/>
  <c r="B21" i="36"/>
  <c r="B7" i="14" s="1"/>
  <c r="B22" i="36"/>
  <c r="B8" i="14" s="1"/>
  <c r="B23" i="36"/>
  <c r="B9" i="14" s="1"/>
  <c r="B24" i="36"/>
  <c r="B10" i="14" s="1"/>
  <c r="B25" i="36"/>
  <c r="B11" i="14" s="1"/>
  <c r="B28" i="36"/>
  <c r="E28" i="36" s="1"/>
  <c r="B29" i="36"/>
  <c r="E29" i="36" s="1"/>
  <c r="B30" i="36"/>
  <c r="E30" i="36" s="1"/>
  <c r="B31" i="36"/>
  <c r="E31" i="36" s="1"/>
  <c r="B32" i="36"/>
  <c r="E32" i="36" s="1"/>
  <c r="B33" i="36"/>
  <c r="E33" i="36" s="1"/>
  <c r="B34" i="36"/>
  <c r="E34" i="36" s="1"/>
  <c r="B35" i="36"/>
  <c r="E35" i="36" s="1"/>
  <c r="B36" i="36"/>
  <c r="E36" i="36" s="1"/>
  <c r="B37" i="36"/>
  <c r="E37" i="36" s="1"/>
  <c r="B40" i="36"/>
  <c r="B2" i="15" s="1"/>
  <c r="B41" i="36"/>
  <c r="B3" i="15" s="1"/>
  <c r="B42" i="36"/>
  <c r="B4" i="15" s="1"/>
  <c r="B43" i="36"/>
  <c r="B5" i="15" s="1"/>
  <c r="B44" i="36"/>
  <c r="B6" i="15" s="1"/>
  <c r="B45" i="36"/>
  <c r="B7" i="15" s="1"/>
  <c r="B46" i="36"/>
  <c r="B8" i="15" s="1"/>
  <c r="B47" i="36"/>
  <c r="B9" i="15" s="1"/>
  <c r="B48" i="36"/>
  <c r="B10" i="15" s="1"/>
  <c r="B49" i="36"/>
  <c r="B11" i="15" s="1"/>
  <c r="B52" i="36"/>
  <c r="B2" i="16" s="1"/>
  <c r="B53" i="36"/>
  <c r="B3" i="16" s="1"/>
  <c r="B54" i="36"/>
  <c r="B4" i="16" s="1"/>
  <c r="B55" i="36"/>
  <c r="B5" i="16" s="1"/>
  <c r="B56" i="36"/>
  <c r="B6" i="16" s="1"/>
  <c r="B57" i="36"/>
  <c r="B7" i="16" s="1"/>
  <c r="B58" i="36"/>
  <c r="B8" i="16" s="1"/>
  <c r="B59" i="36"/>
  <c r="B9" i="16" s="1"/>
  <c r="B60" i="36"/>
  <c r="B10" i="16" s="1"/>
  <c r="B61" i="36"/>
  <c r="B11" i="16" s="1"/>
  <c r="B64" i="36"/>
  <c r="B65" i="36"/>
  <c r="B66" i="36"/>
  <c r="B67" i="36"/>
  <c r="B68" i="36"/>
  <c r="B69" i="36"/>
  <c r="B70" i="36"/>
  <c r="B71" i="36"/>
  <c r="B72" i="36"/>
  <c r="B73" i="36"/>
  <c r="B73" i="38"/>
  <c r="B72" i="38"/>
  <c r="B10" i="27" s="1"/>
  <c r="B71" i="38"/>
  <c r="B70" i="38"/>
  <c r="B69" i="38"/>
  <c r="B68" i="38"/>
  <c r="B67" i="38"/>
  <c r="B5" i="27" s="1"/>
  <c r="B66" i="38"/>
  <c r="B65" i="38"/>
  <c r="B64" i="38"/>
  <c r="B73" i="37"/>
  <c r="B72" i="37"/>
  <c r="B10" i="13" s="1"/>
  <c r="B71" i="37"/>
  <c r="B9" i="13" s="1"/>
  <c r="B70" i="37"/>
  <c r="B8" i="13" s="1"/>
  <c r="B69" i="37"/>
  <c r="B7" i="13" s="1"/>
  <c r="B68" i="37"/>
  <c r="B6" i="13" s="1"/>
  <c r="B67" i="37"/>
  <c r="B5" i="13" s="1"/>
  <c r="B66" i="37"/>
  <c r="B4" i="13" s="1"/>
  <c r="B65" i="37"/>
  <c r="B3" i="13" s="1"/>
  <c r="B64" i="37"/>
  <c r="B61" i="38"/>
  <c r="B60" i="38"/>
  <c r="B10" i="26" s="1"/>
  <c r="B59" i="38"/>
  <c r="B58" i="38"/>
  <c r="B57" i="38"/>
  <c r="B56" i="38"/>
  <c r="B55" i="38"/>
  <c r="B54" i="38"/>
  <c r="B4" i="26" s="1"/>
  <c r="B53" i="38"/>
  <c r="B52" i="38"/>
  <c r="B49" i="38"/>
  <c r="B48" i="38"/>
  <c r="B10" i="25" s="1"/>
  <c r="B47" i="38"/>
  <c r="B46" i="38"/>
  <c r="B8" i="25" s="1"/>
  <c r="B45" i="38"/>
  <c r="B7" i="25" s="1"/>
  <c r="B44" i="38"/>
  <c r="B43" i="38"/>
  <c r="B5" i="25" s="1"/>
  <c r="B42" i="38"/>
  <c r="B4" i="25" s="1"/>
  <c r="B41" i="38"/>
  <c r="B3" i="25" s="1"/>
  <c r="B40" i="38"/>
  <c r="B2" i="25" s="1"/>
  <c r="B37" i="38"/>
  <c r="E37" i="38" s="1"/>
  <c r="F37" i="38" s="1"/>
  <c r="G37" i="38" s="1"/>
  <c r="H37" i="38" s="1"/>
  <c r="I37" i="38" s="1"/>
  <c r="J37" i="38" s="1"/>
  <c r="K37" i="38" s="1"/>
  <c r="L37" i="38" s="1"/>
  <c r="M37" i="38" s="1"/>
  <c r="N37" i="38" s="1"/>
  <c r="O37" i="38" s="1"/>
  <c r="P37" i="38" s="1"/>
  <c r="Q37" i="38" s="1"/>
  <c r="R37" i="38" s="1"/>
  <c r="S37" i="38" s="1"/>
  <c r="T37" i="38" s="1"/>
  <c r="U37" i="38" s="1"/>
  <c r="V37" i="38" s="1"/>
  <c r="W37" i="38" s="1"/>
  <c r="B36" i="38"/>
  <c r="E36" i="38" s="1"/>
  <c r="F36" i="38" s="1"/>
  <c r="G36" i="38" s="1"/>
  <c r="H36" i="38" s="1"/>
  <c r="I36" i="38" s="1"/>
  <c r="J36" i="38" s="1"/>
  <c r="K36" i="38" s="1"/>
  <c r="L36" i="38" s="1"/>
  <c r="M36" i="38" s="1"/>
  <c r="N36" i="38" s="1"/>
  <c r="O36" i="38" s="1"/>
  <c r="P36" i="38" s="1"/>
  <c r="Q36" i="38" s="1"/>
  <c r="R36" i="38" s="1"/>
  <c r="S36" i="38" s="1"/>
  <c r="T36" i="38" s="1"/>
  <c r="U36" i="38" s="1"/>
  <c r="V36" i="38" s="1"/>
  <c r="W36" i="38" s="1"/>
  <c r="B35" i="38"/>
  <c r="E35" i="38" s="1"/>
  <c r="F35" i="38" s="1"/>
  <c r="G35" i="38" s="1"/>
  <c r="H35" i="38" s="1"/>
  <c r="I35" i="38" s="1"/>
  <c r="J35" i="38" s="1"/>
  <c r="K35" i="38" s="1"/>
  <c r="L35" i="38" s="1"/>
  <c r="M35" i="38" s="1"/>
  <c r="N35" i="38" s="1"/>
  <c r="O35" i="38" s="1"/>
  <c r="P35" i="38" s="1"/>
  <c r="Q35" i="38" s="1"/>
  <c r="R35" i="38" s="1"/>
  <c r="S35" i="38" s="1"/>
  <c r="T35" i="38" s="1"/>
  <c r="U35" i="38" s="1"/>
  <c r="V35" i="38" s="1"/>
  <c r="W35" i="38" s="1"/>
  <c r="B34" i="38"/>
  <c r="E34" i="38" s="1"/>
  <c r="F34" i="38" s="1"/>
  <c r="G34" i="38" s="1"/>
  <c r="H34" i="38" s="1"/>
  <c r="I34" i="38" s="1"/>
  <c r="J34" i="38" s="1"/>
  <c r="K34" i="38" s="1"/>
  <c r="L34" i="38" s="1"/>
  <c r="M34" i="38" s="1"/>
  <c r="N34" i="38" s="1"/>
  <c r="O34" i="38" s="1"/>
  <c r="P34" i="38" s="1"/>
  <c r="Q34" i="38" s="1"/>
  <c r="R34" i="38" s="1"/>
  <c r="S34" i="38" s="1"/>
  <c r="T34" i="38" s="1"/>
  <c r="U34" i="38" s="1"/>
  <c r="V34" i="38" s="1"/>
  <c r="W34" i="38" s="1"/>
  <c r="B33" i="38"/>
  <c r="E33" i="38" s="1"/>
  <c r="F33" i="38" s="1"/>
  <c r="G33" i="38" s="1"/>
  <c r="H33" i="38" s="1"/>
  <c r="I33" i="38" s="1"/>
  <c r="J33" i="38" s="1"/>
  <c r="K33" i="38" s="1"/>
  <c r="L33" i="38" s="1"/>
  <c r="M33" i="38" s="1"/>
  <c r="N33" i="38" s="1"/>
  <c r="O33" i="38" s="1"/>
  <c r="P33" i="38" s="1"/>
  <c r="Q33" i="38" s="1"/>
  <c r="R33" i="38" s="1"/>
  <c r="S33" i="38" s="1"/>
  <c r="T33" i="38" s="1"/>
  <c r="U33" i="38" s="1"/>
  <c r="V33" i="38" s="1"/>
  <c r="W33" i="38" s="1"/>
  <c r="B32" i="38"/>
  <c r="E32" i="38" s="1"/>
  <c r="F32" i="38" s="1"/>
  <c r="G32" i="38" s="1"/>
  <c r="H32" i="38" s="1"/>
  <c r="I32" i="38" s="1"/>
  <c r="J32" i="38" s="1"/>
  <c r="K32" i="38" s="1"/>
  <c r="L32" i="38" s="1"/>
  <c r="M32" i="38" s="1"/>
  <c r="N32" i="38" s="1"/>
  <c r="O32" i="38" s="1"/>
  <c r="P32" i="38" s="1"/>
  <c r="Q32" i="38" s="1"/>
  <c r="R32" i="38" s="1"/>
  <c r="S32" i="38" s="1"/>
  <c r="T32" i="38" s="1"/>
  <c r="U32" i="38" s="1"/>
  <c r="V32" i="38" s="1"/>
  <c r="W32" i="38" s="1"/>
  <c r="B31" i="38"/>
  <c r="E31" i="38" s="1"/>
  <c r="F31" i="38" s="1"/>
  <c r="G31" i="38" s="1"/>
  <c r="H31" i="38" s="1"/>
  <c r="I31" i="38" s="1"/>
  <c r="J31" i="38" s="1"/>
  <c r="K31" i="38" s="1"/>
  <c r="L31" i="38" s="1"/>
  <c r="M31" i="38" s="1"/>
  <c r="N31" i="38" s="1"/>
  <c r="O31" i="38" s="1"/>
  <c r="P31" i="38" s="1"/>
  <c r="Q31" i="38" s="1"/>
  <c r="R31" i="38" s="1"/>
  <c r="S31" i="38" s="1"/>
  <c r="T31" i="38" s="1"/>
  <c r="U31" i="38" s="1"/>
  <c r="V31" i="38" s="1"/>
  <c r="W31" i="38" s="1"/>
  <c r="B30" i="38"/>
  <c r="E30" i="38" s="1"/>
  <c r="F30" i="38" s="1"/>
  <c r="G30" i="38" s="1"/>
  <c r="H30" i="38" s="1"/>
  <c r="I30" i="38" s="1"/>
  <c r="J30" i="38" s="1"/>
  <c r="K30" i="38" s="1"/>
  <c r="L30" i="38" s="1"/>
  <c r="M30" i="38" s="1"/>
  <c r="N30" i="38" s="1"/>
  <c r="O30" i="38" s="1"/>
  <c r="P30" i="38" s="1"/>
  <c r="Q30" i="38" s="1"/>
  <c r="R30" i="38" s="1"/>
  <c r="S30" i="38" s="1"/>
  <c r="T30" i="38" s="1"/>
  <c r="U30" i="38" s="1"/>
  <c r="V30" i="38" s="1"/>
  <c r="W30" i="38" s="1"/>
  <c r="B29" i="38"/>
  <c r="E29" i="38" s="1"/>
  <c r="F29" i="38" s="1"/>
  <c r="G29" i="38" s="1"/>
  <c r="H29" i="38" s="1"/>
  <c r="I29" i="38" s="1"/>
  <c r="J29" i="38" s="1"/>
  <c r="K29" i="38" s="1"/>
  <c r="L29" i="38" s="1"/>
  <c r="M29" i="38" s="1"/>
  <c r="N29" i="38" s="1"/>
  <c r="O29" i="38" s="1"/>
  <c r="P29" i="38" s="1"/>
  <c r="Q29" i="38" s="1"/>
  <c r="R29" i="38" s="1"/>
  <c r="S29" i="38" s="1"/>
  <c r="T29" i="38" s="1"/>
  <c r="U29" i="38" s="1"/>
  <c r="V29" i="38" s="1"/>
  <c r="W29" i="38" s="1"/>
  <c r="X29" i="38" s="1"/>
  <c r="Y29" i="38" s="1"/>
  <c r="Z29" i="38" s="1"/>
  <c r="AA29" i="38" s="1"/>
  <c r="AB29" i="38" s="1"/>
  <c r="AC29" i="38" s="1"/>
  <c r="AD29" i="38" s="1"/>
  <c r="AE29" i="38" s="1"/>
  <c r="AF29" i="38" s="1"/>
  <c r="AG29" i="38" s="1"/>
  <c r="B28" i="38"/>
  <c r="E28" i="38" s="1"/>
  <c r="F28" i="38" s="1"/>
  <c r="G28" i="38" s="1"/>
  <c r="H28" i="38" s="1"/>
  <c r="I28" i="38" s="1"/>
  <c r="J28" i="38" s="1"/>
  <c r="K28" i="38" s="1"/>
  <c r="L28" i="38" s="1"/>
  <c r="M28" i="38" s="1"/>
  <c r="N28" i="38" s="1"/>
  <c r="O28" i="38" s="1"/>
  <c r="P28" i="38" s="1"/>
  <c r="Q28" i="38" s="1"/>
  <c r="R28" i="38" s="1"/>
  <c r="S28" i="38" s="1"/>
  <c r="T28" i="38" s="1"/>
  <c r="U28" i="38" s="1"/>
  <c r="V28" i="38" s="1"/>
  <c r="W28" i="38" s="1"/>
  <c r="B25" i="38"/>
  <c r="B11" i="24" s="1"/>
  <c r="B23" i="38"/>
  <c r="B9" i="24" s="1"/>
  <c r="B21" i="38"/>
  <c r="B7" i="24" s="1"/>
  <c r="B19" i="38"/>
  <c r="B5" i="24" s="1"/>
  <c r="B17" i="38"/>
  <c r="B3" i="24" s="1"/>
  <c r="B13" i="38"/>
  <c r="B11" i="23" s="1"/>
  <c r="B12" i="38"/>
  <c r="B10" i="23" s="1"/>
  <c r="B11" i="38"/>
  <c r="B9" i="23" s="1"/>
  <c r="B10" i="38"/>
  <c r="B8" i="23" s="1"/>
  <c r="B9" i="38"/>
  <c r="B7" i="23" s="1"/>
  <c r="B8" i="38"/>
  <c r="B6" i="23" s="1"/>
  <c r="B7" i="38"/>
  <c r="B5" i="23" s="1"/>
  <c r="B6" i="38"/>
  <c r="B4" i="23" s="1"/>
  <c r="B5" i="38"/>
  <c r="B3" i="23" s="1"/>
  <c r="B4" i="38"/>
  <c r="B2" i="23" s="1"/>
  <c r="B61" i="37"/>
  <c r="B11" i="12" s="1"/>
  <c r="B60" i="37"/>
  <c r="B10" i="12" s="1"/>
  <c r="B59" i="37"/>
  <c r="B9" i="12" s="1"/>
  <c r="B58" i="37"/>
  <c r="B8" i="12" s="1"/>
  <c r="B57" i="37"/>
  <c r="B7" i="12" s="1"/>
  <c r="B56" i="37"/>
  <c r="B6" i="12" s="1"/>
  <c r="B55" i="37"/>
  <c r="B5" i="12" s="1"/>
  <c r="B54" i="37"/>
  <c r="B4" i="12" s="1"/>
  <c r="B53" i="37"/>
  <c r="B3" i="12" s="1"/>
  <c r="B52" i="37"/>
  <c r="B2" i="12" s="1"/>
  <c r="B49" i="37"/>
  <c r="B11" i="11" s="1"/>
  <c r="B48" i="37"/>
  <c r="B10" i="11" s="1"/>
  <c r="B47" i="37"/>
  <c r="B9" i="11" s="1"/>
  <c r="B46" i="37"/>
  <c r="B8" i="11" s="1"/>
  <c r="B45" i="37"/>
  <c r="B44" i="37"/>
  <c r="B6" i="11" s="1"/>
  <c r="B43" i="37"/>
  <c r="B5" i="11" s="1"/>
  <c r="B42" i="37"/>
  <c r="B41" i="37"/>
  <c r="B3" i="11" s="1"/>
  <c r="B40" i="37"/>
  <c r="B2" i="11" s="1"/>
  <c r="B37" i="37"/>
  <c r="E37" i="37" s="1"/>
  <c r="F37" i="37" s="1"/>
  <c r="G37" i="37" s="1"/>
  <c r="H37" i="37" s="1"/>
  <c r="I37" i="37" s="1"/>
  <c r="J37" i="37" s="1"/>
  <c r="K37" i="37" s="1"/>
  <c r="L37" i="37" s="1"/>
  <c r="M37" i="37" s="1"/>
  <c r="N37" i="37" s="1"/>
  <c r="O37" i="37" s="1"/>
  <c r="P37" i="37" s="1"/>
  <c r="Q37" i="37" s="1"/>
  <c r="R37" i="37" s="1"/>
  <c r="S37" i="37" s="1"/>
  <c r="T37" i="37" s="1"/>
  <c r="U37" i="37" s="1"/>
  <c r="V37" i="37" s="1"/>
  <c r="W37" i="37" s="1"/>
  <c r="X37" i="37" s="1"/>
  <c r="B36" i="37"/>
  <c r="E36" i="37" s="1"/>
  <c r="F36" i="37" s="1"/>
  <c r="G36" i="37" s="1"/>
  <c r="H36" i="37" s="1"/>
  <c r="I36" i="37" s="1"/>
  <c r="J36" i="37" s="1"/>
  <c r="K36" i="37" s="1"/>
  <c r="L36" i="37" s="1"/>
  <c r="M36" i="37" s="1"/>
  <c r="N36" i="37" s="1"/>
  <c r="O36" i="37" s="1"/>
  <c r="P36" i="37" s="1"/>
  <c r="Q36" i="37" s="1"/>
  <c r="R36" i="37" s="1"/>
  <c r="S36" i="37" s="1"/>
  <c r="T36" i="37" s="1"/>
  <c r="U36" i="37" s="1"/>
  <c r="V36" i="37" s="1"/>
  <c r="W36" i="37" s="1"/>
  <c r="X36" i="37" s="1"/>
  <c r="B35" i="37"/>
  <c r="E35" i="37" s="1"/>
  <c r="F35" i="37" s="1"/>
  <c r="G35" i="37" s="1"/>
  <c r="H35" i="37" s="1"/>
  <c r="I35" i="37" s="1"/>
  <c r="J35" i="37" s="1"/>
  <c r="K35" i="37" s="1"/>
  <c r="L35" i="37" s="1"/>
  <c r="M35" i="37" s="1"/>
  <c r="N35" i="37" s="1"/>
  <c r="O35" i="37" s="1"/>
  <c r="P35" i="37" s="1"/>
  <c r="Q35" i="37" s="1"/>
  <c r="R35" i="37" s="1"/>
  <c r="S35" i="37" s="1"/>
  <c r="T35" i="37" s="1"/>
  <c r="U35" i="37" s="1"/>
  <c r="V35" i="37" s="1"/>
  <c r="W35" i="37" s="1"/>
  <c r="X35" i="37" s="1"/>
  <c r="B34" i="37"/>
  <c r="E34" i="37" s="1"/>
  <c r="F34" i="37" s="1"/>
  <c r="G34" i="37" s="1"/>
  <c r="H34" i="37" s="1"/>
  <c r="I34" i="37" s="1"/>
  <c r="J34" i="37" s="1"/>
  <c r="K34" i="37" s="1"/>
  <c r="L34" i="37" s="1"/>
  <c r="M34" i="37" s="1"/>
  <c r="N34" i="37" s="1"/>
  <c r="O34" i="37" s="1"/>
  <c r="P34" i="37" s="1"/>
  <c r="Q34" i="37" s="1"/>
  <c r="R34" i="37" s="1"/>
  <c r="S34" i="37" s="1"/>
  <c r="T34" i="37" s="1"/>
  <c r="U34" i="37" s="1"/>
  <c r="V34" i="37" s="1"/>
  <c r="W34" i="37" s="1"/>
  <c r="X34" i="37" s="1"/>
  <c r="B33" i="37"/>
  <c r="E33" i="37" s="1"/>
  <c r="F33" i="37" s="1"/>
  <c r="G33" i="37" s="1"/>
  <c r="H33" i="37" s="1"/>
  <c r="I33" i="37" s="1"/>
  <c r="J33" i="37" s="1"/>
  <c r="K33" i="37" s="1"/>
  <c r="L33" i="37" s="1"/>
  <c r="M33" i="37" s="1"/>
  <c r="N33" i="37" s="1"/>
  <c r="O33" i="37" s="1"/>
  <c r="P33" i="37" s="1"/>
  <c r="Q33" i="37" s="1"/>
  <c r="R33" i="37" s="1"/>
  <c r="S33" i="37" s="1"/>
  <c r="T33" i="37" s="1"/>
  <c r="U33" i="37" s="1"/>
  <c r="V33" i="37" s="1"/>
  <c r="W33" i="37" s="1"/>
  <c r="X33" i="37" s="1"/>
  <c r="B32" i="37"/>
  <c r="E32" i="37" s="1"/>
  <c r="F32" i="37" s="1"/>
  <c r="G32" i="37" s="1"/>
  <c r="H32" i="37" s="1"/>
  <c r="I32" i="37" s="1"/>
  <c r="J32" i="37" s="1"/>
  <c r="K32" i="37" s="1"/>
  <c r="L32" i="37" s="1"/>
  <c r="M32" i="37" s="1"/>
  <c r="N32" i="37" s="1"/>
  <c r="O32" i="37" s="1"/>
  <c r="P32" i="37" s="1"/>
  <c r="Q32" i="37" s="1"/>
  <c r="R32" i="37" s="1"/>
  <c r="S32" i="37" s="1"/>
  <c r="T32" i="37" s="1"/>
  <c r="U32" i="37" s="1"/>
  <c r="V32" i="37" s="1"/>
  <c r="W32" i="37" s="1"/>
  <c r="X32" i="37" s="1"/>
  <c r="B31" i="37"/>
  <c r="E31" i="37" s="1"/>
  <c r="F31" i="37" s="1"/>
  <c r="G31" i="37" s="1"/>
  <c r="H31" i="37" s="1"/>
  <c r="I31" i="37" s="1"/>
  <c r="J31" i="37" s="1"/>
  <c r="K31" i="37" s="1"/>
  <c r="L31" i="37" s="1"/>
  <c r="M31" i="37" s="1"/>
  <c r="N31" i="37" s="1"/>
  <c r="O31" i="37" s="1"/>
  <c r="P31" i="37" s="1"/>
  <c r="Q31" i="37" s="1"/>
  <c r="R31" i="37" s="1"/>
  <c r="S31" i="37" s="1"/>
  <c r="T31" i="37" s="1"/>
  <c r="U31" i="37" s="1"/>
  <c r="V31" i="37" s="1"/>
  <c r="W31" i="37" s="1"/>
  <c r="X31" i="37" s="1"/>
  <c r="B30" i="37"/>
  <c r="E30" i="37" s="1"/>
  <c r="F30" i="37" s="1"/>
  <c r="G30" i="37" s="1"/>
  <c r="H30" i="37" s="1"/>
  <c r="I30" i="37" s="1"/>
  <c r="J30" i="37" s="1"/>
  <c r="K30" i="37" s="1"/>
  <c r="L30" i="37" s="1"/>
  <c r="M30" i="37" s="1"/>
  <c r="N30" i="37" s="1"/>
  <c r="O30" i="37" s="1"/>
  <c r="P30" i="37" s="1"/>
  <c r="Q30" i="37" s="1"/>
  <c r="R30" i="37" s="1"/>
  <c r="S30" i="37" s="1"/>
  <c r="T30" i="37" s="1"/>
  <c r="U30" i="37" s="1"/>
  <c r="V30" i="37" s="1"/>
  <c r="W30" i="37" s="1"/>
  <c r="X30" i="37" s="1"/>
  <c r="B29" i="37"/>
  <c r="E29" i="37" s="1"/>
  <c r="F29" i="37" s="1"/>
  <c r="G29" i="37" s="1"/>
  <c r="H29" i="37" s="1"/>
  <c r="I29" i="37" s="1"/>
  <c r="J29" i="37" s="1"/>
  <c r="K29" i="37" s="1"/>
  <c r="L29" i="37" s="1"/>
  <c r="M29" i="37" s="1"/>
  <c r="N29" i="37" s="1"/>
  <c r="O29" i="37" s="1"/>
  <c r="P29" i="37" s="1"/>
  <c r="Q29" i="37" s="1"/>
  <c r="R29" i="37" s="1"/>
  <c r="S29" i="37" s="1"/>
  <c r="T29" i="37" s="1"/>
  <c r="U29" i="37" s="1"/>
  <c r="V29" i="37" s="1"/>
  <c r="W29" i="37" s="1"/>
  <c r="X29" i="37" s="1"/>
  <c r="B28" i="37"/>
  <c r="E28" i="37" s="1"/>
  <c r="F28" i="37" s="1"/>
  <c r="G28" i="37" s="1"/>
  <c r="H28" i="37" s="1"/>
  <c r="I28" i="37" s="1"/>
  <c r="J28" i="37" s="1"/>
  <c r="K28" i="37" s="1"/>
  <c r="L28" i="37" s="1"/>
  <c r="M28" i="37" s="1"/>
  <c r="N28" i="37" s="1"/>
  <c r="O28" i="37" s="1"/>
  <c r="P28" i="37" s="1"/>
  <c r="Q28" i="37" s="1"/>
  <c r="R28" i="37" s="1"/>
  <c r="S28" i="37" s="1"/>
  <c r="T28" i="37" s="1"/>
  <c r="U28" i="37" s="1"/>
  <c r="V28" i="37" s="1"/>
  <c r="W28" i="37" s="1"/>
  <c r="X28" i="37" s="1"/>
  <c r="B25" i="37"/>
  <c r="B24" i="37"/>
  <c r="B10" i="20" s="1"/>
  <c r="B23" i="37"/>
  <c r="B9" i="20" s="1"/>
  <c r="B22" i="37"/>
  <c r="B21" i="37"/>
  <c r="B20" i="37"/>
  <c r="B19" i="37"/>
  <c r="B18" i="37"/>
  <c r="B4" i="20" s="1"/>
  <c r="B17" i="37"/>
  <c r="B16" i="37"/>
  <c r="B13" i="37"/>
  <c r="B11" i="37"/>
  <c r="B9" i="37"/>
  <c r="B7" i="37"/>
  <c r="B5" i="18" s="1"/>
  <c r="B5" i="37"/>
  <c r="I51" i="41" l="1"/>
  <c r="J22" i="47"/>
  <c r="I26" i="47"/>
  <c r="I28" i="47"/>
  <c r="I27" i="47"/>
  <c r="H29" i="47"/>
  <c r="H50" i="41"/>
  <c r="I50" i="41"/>
  <c r="H51" i="41"/>
  <c r="B9" i="17"/>
  <c r="B85" i="36"/>
  <c r="B100" i="36" s="1"/>
  <c r="B8" i="17"/>
  <c r="B84" i="36"/>
  <c r="B99" i="36" s="1"/>
  <c r="F28" i="36"/>
  <c r="G28" i="36" s="1"/>
  <c r="H28" i="36" s="1"/>
  <c r="I28" i="36" s="1"/>
  <c r="J28" i="36" s="1"/>
  <c r="K28" i="36" s="1"/>
  <c r="L28" i="36" s="1"/>
  <c r="M28" i="36" s="1"/>
  <c r="N28" i="36" s="1"/>
  <c r="O28" i="36" s="1"/>
  <c r="P28" i="36" s="1"/>
  <c r="Q28" i="36" s="1"/>
  <c r="R28" i="36" s="1"/>
  <c r="S28" i="36" s="1"/>
  <c r="T28" i="36" s="1"/>
  <c r="U28" i="36" s="1"/>
  <c r="V28" i="36" s="1"/>
  <c r="W28" i="36" s="1"/>
  <c r="X28" i="36" s="1"/>
  <c r="Y28" i="36" s="1"/>
  <c r="Z28" i="36" s="1"/>
  <c r="AA28" i="36" s="1"/>
  <c r="AB28" i="36" s="1"/>
  <c r="AC28" i="36" s="1"/>
  <c r="AD28" i="36" s="1"/>
  <c r="AE28" i="36" s="1"/>
  <c r="AF28" i="36" s="1"/>
  <c r="AG28" i="36" s="1"/>
  <c r="E78" i="36"/>
  <c r="E93" i="36" s="1"/>
  <c r="E23" i="47" s="1"/>
  <c r="E24" i="47" s="1"/>
  <c r="B7" i="17"/>
  <c r="B83" i="36"/>
  <c r="B98" i="36" s="1"/>
  <c r="B10" i="17"/>
  <c r="B86" i="36"/>
  <c r="B101" i="36" s="1"/>
  <c r="B6" i="17"/>
  <c r="B82" i="36"/>
  <c r="B97" i="36" s="1"/>
  <c r="B5" i="17"/>
  <c r="B81" i="36"/>
  <c r="B96" i="36" s="1"/>
  <c r="F29" i="36"/>
  <c r="G29" i="36" s="1"/>
  <c r="H29" i="36" s="1"/>
  <c r="I29" i="36" s="1"/>
  <c r="J29" i="36" s="1"/>
  <c r="K29" i="36" s="1"/>
  <c r="L29" i="36" s="1"/>
  <c r="M29" i="36" s="1"/>
  <c r="N29" i="36" s="1"/>
  <c r="O29" i="36" s="1"/>
  <c r="P29" i="36" s="1"/>
  <c r="Q29" i="36" s="1"/>
  <c r="R29" i="36" s="1"/>
  <c r="S29" i="36" s="1"/>
  <c r="T29" i="36" s="1"/>
  <c r="U29" i="36" s="1"/>
  <c r="V29" i="36" s="1"/>
  <c r="W29" i="36" s="1"/>
  <c r="X29" i="36" s="1"/>
  <c r="Y29" i="36" s="1"/>
  <c r="Z29" i="36" s="1"/>
  <c r="AA29" i="36" s="1"/>
  <c r="AB29" i="36" s="1"/>
  <c r="AC29" i="36" s="1"/>
  <c r="AD29" i="36" s="1"/>
  <c r="AE29" i="36" s="1"/>
  <c r="AF29" i="36" s="1"/>
  <c r="AG29" i="36" s="1"/>
  <c r="E79" i="36"/>
  <c r="E94" i="36" s="1"/>
  <c r="B4" i="17"/>
  <c r="B80" i="36"/>
  <c r="B95" i="36" s="1"/>
  <c r="I21" i="41"/>
  <c r="B56" i="41"/>
  <c r="K25" i="41"/>
  <c r="D57" i="41"/>
  <c r="B3" i="17"/>
  <c r="B79" i="36"/>
  <c r="B94" i="36" s="1"/>
  <c r="J21" i="41"/>
  <c r="C56" i="41"/>
  <c r="B78" i="36"/>
  <c r="B93" i="36" s="1"/>
  <c r="B23" i="47" s="1"/>
  <c r="B24" i="47" s="1"/>
  <c r="I25" i="41"/>
  <c r="B57" i="41"/>
  <c r="K31" i="41"/>
  <c r="D60" i="41"/>
  <c r="J25" i="41"/>
  <c r="C57" i="41"/>
  <c r="I27" i="41"/>
  <c r="B58" i="41"/>
  <c r="F37" i="36"/>
  <c r="G37" i="36" s="1"/>
  <c r="H37" i="36" s="1"/>
  <c r="I37" i="36" s="1"/>
  <c r="J37" i="36" s="1"/>
  <c r="K37" i="36" s="1"/>
  <c r="L37" i="36" s="1"/>
  <c r="M37" i="36" s="1"/>
  <c r="N37" i="36" s="1"/>
  <c r="O37" i="36" s="1"/>
  <c r="P37" i="36" s="1"/>
  <c r="Q37" i="36" s="1"/>
  <c r="R37" i="36" s="1"/>
  <c r="S37" i="36" s="1"/>
  <c r="T37" i="36" s="1"/>
  <c r="U37" i="36" s="1"/>
  <c r="V37" i="36" s="1"/>
  <c r="W37" i="36" s="1"/>
  <c r="X37" i="36" s="1"/>
  <c r="Y37" i="36" s="1"/>
  <c r="Z37" i="36" s="1"/>
  <c r="AA37" i="36" s="1"/>
  <c r="AB37" i="36" s="1"/>
  <c r="AC37" i="36" s="1"/>
  <c r="AD37" i="36" s="1"/>
  <c r="AE37" i="36" s="1"/>
  <c r="AF37" i="36" s="1"/>
  <c r="AG37" i="36" s="1"/>
  <c r="E87" i="36"/>
  <c r="E102" i="36" s="1"/>
  <c r="J27" i="41"/>
  <c r="C58" i="41"/>
  <c r="K33" i="41"/>
  <c r="D61" i="41"/>
  <c r="F36" i="36"/>
  <c r="G36" i="36" s="1"/>
  <c r="H36" i="36" s="1"/>
  <c r="I36" i="36" s="1"/>
  <c r="J36" i="36" s="1"/>
  <c r="K36" i="36" s="1"/>
  <c r="L36" i="36" s="1"/>
  <c r="M36" i="36" s="1"/>
  <c r="N36" i="36" s="1"/>
  <c r="O36" i="36" s="1"/>
  <c r="P36" i="36" s="1"/>
  <c r="Q36" i="36" s="1"/>
  <c r="R36" i="36" s="1"/>
  <c r="S36" i="36" s="1"/>
  <c r="T36" i="36" s="1"/>
  <c r="U36" i="36" s="1"/>
  <c r="V36" i="36" s="1"/>
  <c r="W36" i="36" s="1"/>
  <c r="D10" i="40" s="1"/>
  <c r="E86" i="36"/>
  <c r="E101" i="36" s="1"/>
  <c r="I29" i="41"/>
  <c r="B59" i="41"/>
  <c r="F35" i="36"/>
  <c r="G35" i="36" s="1"/>
  <c r="H35" i="36" s="1"/>
  <c r="I35" i="36" s="1"/>
  <c r="J35" i="36" s="1"/>
  <c r="K35" i="36" s="1"/>
  <c r="L35" i="36" s="1"/>
  <c r="M35" i="36" s="1"/>
  <c r="N35" i="36" s="1"/>
  <c r="O35" i="36" s="1"/>
  <c r="P35" i="36" s="1"/>
  <c r="Q35" i="36" s="1"/>
  <c r="R35" i="36" s="1"/>
  <c r="S35" i="36" s="1"/>
  <c r="T35" i="36" s="1"/>
  <c r="U35" i="36" s="1"/>
  <c r="V35" i="36" s="1"/>
  <c r="W35" i="36" s="1"/>
  <c r="D9" i="40" s="1"/>
  <c r="E85" i="36"/>
  <c r="E100" i="36" s="1"/>
  <c r="J29" i="41"/>
  <c r="C59" i="41"/>
  <c r="K27" i="41"/>
  <c r="D58" i="41"/>
  <c r="F34" i="36"/>
  <c r="G34" i="36" s="1"/>
  <c r="H34" i="36" s="1"/>
  <c r="I34" i="36" s="1"/>
  <c r="J34" i="36" s="1"/>
  <c r="K34" i="36" s="1"/>
  <c r="L34" i="36" s="1"/>
  <c r="M34" i="36" s="1"/>
  <c r="N34" i="36" s="1"/>
  <c r="O34" i="36" s="1"/>
  <c r="P34" i="36" s="1"/>
  <c r="Q34" i="36" s="1"/>
  <c r="R34" i="36" s="1"/>
  <c r="S34" i="36" s="1"/>
  <c r="T34" i="36" s="1"/>
  <c r="U34" i="36" s="1"/>
  <c r="V34" i="36" s="1"/>
  <c r="W34" i="36" s="1"/>
  <c r="D8" i="40" s="1"/>
  <c r="E84" i="36"/>
  <c r="E99" i="36" s="1"/>
  <c r="I31" i="41"/>
  <c r="B60" i="41"/>
  <c r="F33" i="36"/>
  <c r="G33" i="36" s="1"/>
  <c r="H33" i="36" s="1"/>
  <c r="I33" i="36" s="1"/>
  <c r="J33" i="36" s="1"/>
  <c r="K33" i="36" s="1"/>
  <c r="L33" i="36" s="1"/>
  <c r="M33" i="36" s="1"/>
  <c r="N33" i="36" s="1"/>
  <c r="O33" i="36" s="1"/>
  <c r="P33" i="36" s="1"/>
  <c r="Q33" i="36" s="1"/>
  <c r="R33" i="36" s="1"/>
  <c r="S33" i="36" s="1"/>
  <c r="T33" i="36" s="1"/>
  <c r="U33" i="36" s="1"/>
  <c r="V33" i="36" s="1"/>
  <c r="W33" i="36" s="1"/>
  <c r="D7" i="40" s="1"/>
  <c r="E83" i="36"/>
  <c r="E98" i="36" s="1"/>
  <c r="J31" i="41"/>
  <c r="C60" i="41"/>
  <c r="K29" i="41"/>
  <c r="D59" i="41"/>
  <c r="F32" i="36"/>
  <c r="G32" i="36" s="1"/>
  <c r="H32" i="36" s="1"/>
  <c r="I32" i="36" s="1"/>
  <c r="J32" i="36" s="1"/>
  <c r="K32" i="36" s="1"/>
  <c r="L32" i="36" s="1"/>
  <c r="M32" i="36" s="1"/>
  <c r="N32" i="36" s="1"/>
  <c r="O32" i="36" s="1"/>
  <c r="P32" i="36" s="1"/>
  <c r="Q32" i="36" s="1"/>
  <c r="R32" i="36" s="1"/>
  <c r="S32" i="36" s="1"/>
  <c r="T32" i="36" s="1"/>
  <c r="U32" i="36" s="1"/>
  <c r="V32" i="36" s="1"/>
  <c r="W32" i="36" s="1"/>
  <c r="D6" i="40" s="1"/>
  <c r="E82" i="36"/>
  <c r="E97" i="36" s="1"/>
  <c r="I33" i="41"/>
  <c r="B61" i="41"/>
  <c r="J46" i="41"/>
  <c r="B11" i="17"/>
  <c r="B87" i="36"/>
  <c r="B102" i="36" s="1"/>
  <c r="F31" i="36"/>
  <c r="G31" i="36" s="1"/>
  <c r="H31" i="36" s="1"/>
  <c r="I31" i="36" s="1"/>
  <c r="J31" i="36" s="1"/>
  <c r="K31" i="36" s="1"/>
  <c r="L31" i="36" s="1"/>
  <c r="M31" i="36" s="1"/>
  <c r="N31" i="36" s="1"/>
  <c r="O31" i="36" s="1"/>
  <c r="P31" i="36" s="1"/>
  <c r="Q31" i="36" s="1"/>
  <c r="R31" i="36" s="1"/>
  <c r="S31" i="36" s="1"/>
  <c r="T31" i="36" s="1"/>
  <c r="U31" i="36" s="1"/>
  <c r="V31" i="36" s="1"/>
  <c r="W31" i="36" s="1"/>
  <c r="X31" i="36" s="1"/>
  <c r="Y31" i="36" s="1"/>
  <c r="Z31" i="36" s="1"/>
  <c r="AA31" i="36" s="1"/>
  <c r="AB31" i="36" s="1"/>
  <c r="AC31" i="36" s="1"/>
  <c r="AD31" i="36" s="1"/>
  <c r="AE31" i="36" s="1"/>
  <c r="AF31" i="36" s="1"/>
  <c r="AG31" i="36" s="1"/>
  <c r="E81" i="36"/>
  <c r="E96" i="36" s="1"/>
  <c r="J33" i="41"/>
  <c r="C61" i="41"/>
  <c r="K21" i="41"/>
  <c r="D56" i="41"/>
  <c r="F30" i="36"/>
  <c r="G30" i="36" s="1"/>
  <c r="H30" i="36" s="1"/>
  <c r="I30" i="36" s="1"/>
  <c r="J30" i="36" s="1"/>
  <c r="K30" i="36" s="1"/>
  <c r="L30" i="36" s="1"/>
  <c r="M30" i="36" s="1"/>
  <c r="N30" i="36" s="1"/>
  <c r="O30" i="36" s="1"/>
  <c r="P30" i="36" s="1"/>
  <c r="Q30" i="36" s="1"/>
  <c r="R30" i="36" s="1"/>
  <c r="S30" i="36" s="1"/>
  <c r="T30" i="36" s="1"/>
  <c r="U30" i="36" s="1"/>
  <c r="V30" i="36" s="1"/>
  <c r="W30" i="36" s="1"/>
  <c r="X30" i="36" s="1"/>
  <c r="Y30" i="36" s="1"/>
  <c r="Z30" i="36" s="1"/>
  <c r="AA30" i="36" s="1"/>
  <c r="AB30" i="36" s="1"/>
  <c r="AC30" i="36" s="1"/>
  <c r="AD30" i="36" s="1"/>
  <c r="AE30" i="36" s="1"/>
  <c r="AF30" i="36" s="1"/>
  <c r="AG30" i="36" s="1"/>
  <c r="E80" i="36"/>
  <c r="E95" i="36" s="1"/>
  <c r="H49" i="41"/>
  <c r="H48" i="41"/>
  <c r="I47" i="41"/>
  <c r="H46" i="41"/>
  <c r="I46" i="41"/>
  <c r="H47" i="41"/>
  <c r="X32" i="36"/>
  <c r="Y32" i="36" s="1"/>
  <c r="Z32" i="36" s="1"/>
  <c r="AA32" i="36" s="1"/>
  <c r="AB32" i="36" s="1"/>
  <c r="AC32" i="36" s="1"/>
  <c r="AD32" i="36" s="1"/>
  <c r="AE32" i="36" s="1"/>
  <c r="AF32" i="36" s="1"/>
  <c r="AG32" i="36" s="1"/>
  <c r="C10" i="21"/>
  <c r="C9" i="21"/>
  <c r="X36" i="36"/>
  <c r="Y36" i="36" s="1"/>
  <c r="Z36" i="36" s="1"/>
  <c r="AA36" i="36" s="1"/>
  <c r="AB36" i="36" s="1"/>
  <c r="AC36" i="36" s="1"/>
  <c r="AD36" i="36" s="1"/>
  <c r="AE36" i="36" s="1"/>
  <c r="AF36" i="36" s="1"/>
  <c r="AG36" i="36" s="1"/>
  <c r="C5" i="21"/>
  <c r="B5" i="21"/>
  <c r="B9" i="21"/>
  <c r="B10" i="21"/>
  <c r="I48" i="41"/>
  <c r="I49" i="41"/>
  <c r="C6" i="23"/>
  <c r="C3" i="24"/>
  <c r="B9" i="18"/>
  <c r="E23" i="37"/>
  <c r="B4" i="18"/>
  <c r="Y28" i="37"/>
  <c r="Z28" i="37" s="1"/>
  <c r="AA28" i="37" s="1"/>
  <c r="AB28" i="37" s="1"/>
  <c r="AC28" i="37" s="1"/>
  <c r="AD28" i="37" s="1"/>
  <c r="AE28" i="37" s="1"/>
  <c r="AF28" i="37" s="1"/>
  <c r="AG28" i="37" s="1"/>
  <c r="D15" i="40"/>
  <c r="C4" i="11"/>
  <c r="B2" i="18"/>
  <c r="Y35" i="37"/>
  <c r="Z35" i="37" s="1"/>
  <c r="AA35" i="37" s="1"/>
  <c r="AB35" i="37" s="1"/>
  <c r="AC35" i="37" s="1"/>
  <c r="AD35" i="37" s="1"/>
  <c r="AE35" i="37" s="1"/>
  <c r="AF35" i="37" s="1"/>
  <c r="AG35" i="37" s="1"/>
  <c r="D22" i="40"/>
  <c r="C11" i="20"/>
  <c r="Y30" i="37"/>
  <c r="Z30" i="37" s="1"/>
  <c r="AA30" i="37" s="1"/>
  <c r="AB30" i="37" s="1"/>
  <c r="AC30" i="37" s="1"/>
  <c r="AD30" i="37" s="1"/>
  <c r="AE30" i="37" s="1"/>
  <c r="AF30" i="37" s="1"/>
  <c r="AG30" i="37" s="1"/>
  <c r="D17" i="40"/>
  <c r="B11" i="18"/>
  <c r="B3" i="20"/>
  <c r="Y31" i="37"/>
  <c r="Z31" i="37" s="1"/>
  <c r="AA31" i="37" s="1"/>
  <c r="AB31" i="37" s="1"/>
  <c r="AC31" i="37" s="1"/>
  <c r="AD31" i="37" s="1"/>
  <c r="AE31" i="37" s="1"/>
  <c r="AF31" i="37" s="1"/>
  <c r="AG31" i="37" s="1"/>
  <c r="D18" i="40"/>
  <c r="C7" i="11"/>
  <c r="C9" i="18"/>
  <c r="Y32" i="37"/>
  <c r="Z32" i="37" s="1"/>
  <c r="AA32" i="37" s="1"/>
  <c r="AB32" i="37" s="1"/>
  <c r="AC32" i="37" s="1"/>
  <c r="AD32" i="37" s="1"/>
  <c r="AE32" i="37" s="1"/>
  <c r="AF32" i="37" s="1"/>
  <c r="AG32" i="37" s="1"/>
  <c r="D19" i="40"/>
  <c r="Y33" i="37"/>
  <c r="Z33" i="37" s="1"/>
  <c r="AA33" i="37" s="1"/>
  <c r="AB33" i="37" s="1"/>
  <c r="AC33" i="37" s="1"/>
  <c r="AD33" i="37" s="1"/>
  <c r="AE33" i="37" s="1"/>
  <c r="AF33" i="37" s="1"/>
  <c r="AG33" i="37" s="1"/>
  <c r="D20" i="40"/>
  <c r="C11" i="13"/>
  <c r="B7" i="18"/>
  <c r="B8" i="18"/>
  <c r="C9" i="20"/>
  <c r="Y29" i="37"/>
  <c r="Z29" i="37" s="1"/>
  <c r="AA29" i="37" s="1"/>
  <c r="AB29" i="37" s="1"/>
  <c r="AC29" i="37" s="1"/>
  <c r="AD29" i="37" s="1"/>
  <c r="AE29" i="37" s="1"/>
  <c r="AF29" i="37" s="1"/>
  <c r="AG29" i="37" s="1"/>
  <c r="D16" i="40"/>
  <c r="B5" i="20"/>
  <c r="B10" i="18"/>
  <c r="B2" i="20"/>
  <c r="Y36" i="37"/>
  <c r="Z36" i="37" s="1"/>
  <c r="AA36" i="37" s="1"/>
  <c r="AB36" i="37" s="1"/>
  <c r="AC36" i="37" s="1"/>
  <c r="AD36" i="37" s="1"/>
  <c r="AE36" i="37" s="1"/>
  <c r="AF36" i="37" s="1"/>
  <c r="AG36" i="37" s="1"/>
  <c r="D23" i="40"/>
  <c r="C2" i="13"/>
  <c r="B6" i="18"/>
  <c r="B6" i="20"/>
  <c r="Y37" i="37"/>
  <c r="Z37" i="37" s="1"/>
  <c r="AA37" i="37" s="1"/>
  <c r="AB37" i="37" s="1"/>
  <c r="AC37" i="37" s="1"/>
  <c r="AD37" i="37" s="1"/>
  <c r="AE37" i="37" s="1"/>
  <c r="AF37" i="37" s="1"/>
  <c r="AG37" i="37" s="1"/>
  <c r="D24" i="40"/>
  <c r="C3" i="13"/>
  <c r="Y34" i="37"/>
  <c r="Z34" i="37" s="1"/>
  <c r="AA34" i="37" s="1"/>
  <c r="AB34" i="37" s="1"/>
  <c r="AC34" i="37" s="1"/>
  <c r="AD34" i="37" s="1"/>
  <c r="AE34" i="37" s="1"/>
  <c r="AF34" i="37" s="1"/>
  <c r="AG34" i="37" s="1"/>
  <c r="D21" i="40"/>
  <c r="C7" i="20"/>
  <c r="B3" i="18"/>
  <c r="C8" i="20"/>
  <c r="B11" i="20"/>
  <c r="B4" i="11"/>
  <c r="B7" i="11"/>
  <c r="B2" i="13"/>
  <c r="B11" i="13"/>
  <c r="B8" i="20"/>
  <c r="B7" i="20"/>
  <c r="X37" i="38"/>
  <c r="Y37" i="38" s="1"/>
  <c r="Z37" i="38" s="1"/>
  <c r="AA37" i="38" s="1"/>
  <c r="AB37" i="38" s="1"/>
  <c r="AC37" i="38" s="1"/>
  <c r="AD37" i="38" s="1"/>
  <c r="AE37" i="38" s="1"/>
  <c r="AF37" i="38" s="1"/>
  <c r="AG37" i="38" s="1"/>
  <c r="D37" i="40"/>
  <c r="X35" i="38"/>
  <c r="Y35" i="38" s="1"/>
  <c r="Z35" i="38" s="1"/>
  <c r="AA35" i="38" s="1"/>
  <c r="AB35" i="38" s="1"/>
  <c r="AC35" i="38" s="1"/>
  <c r="AD35" i="38" s="1"/>
  <c r="AE35" i="38" s="1"/>
  <c r="AF35" i="38" s="1"/>
  <c r="AG35" i="38" s="1"/>
  <c r="D35" i="40"/>
  <c r="X28" i="38"/>
  <c r="Y28" i="38" s="1"/>
  <c r="Z28" i="38" s="1"/>
  <c r="AA28" i="38" s="1"/>
  <c r="AB28" i="38" s="1"/>
  <c r="AC28" i="38" s="1"/>
  <c r="AD28" i="38" s="1"/>
  <c r="AE28" i="38" s="1"/>
  <c r="AF28" i="38" s="1"/>
  <c r="AG28" i="38" s="1"/>
  <c r="D28" i="40"/>
  <c r="X30" i="38"/>
  <c r="Y30" i="38" s="1"/>
  <c r="Z30" i="38" s="1"/>
  <c r="AA30" i="38" s="1"/>
  <c r="AB30" i="38" s="1"/>
  <c r="AC30" i="38" s="1"/>
  <c r="AD30" i="38" s="1"/>
  <c r="AE30" i="38" s="1"/>
  <c r="AF30" i="38" s="1"/>
  <c r="AG30" i="38" s="1"/>
  <c r="D30" i="40"/>
  <c r="X31" i="38"/>
  <c r="Y31" i="38" s="1"/>
  <c r="Z31" i="38" s="1"/>
  <c r="AA31" i="38" s="1"/>
  <c r="AB31" i="38" s="1"/>
  <c r="AC31" i="38" s="1"/>
  <c r="AD31" i="38" s="1"/>
  <c r="AE31" i="38" s="1"/>
  <c r="AF31" i="38" s="1"/>
  <c r="AG31" i="38" s="1"/>
  <c r="D31" i="40"/>
  <c r="X33" i="38"/>
  <c r="Y33" i="38" s="1"/>
  <c r="Z33" i="38" s="1"/>
  <c r="AA33" i="38" s="1"/>
  <c r="AB33" i="38" s="1"/>
  <c r="AC33" i="38" s="1"/>
  <c r="AD33" i="38" s="1"/>
  <c r="AE33" i="38" s="1"/>
  <c r="AF33" i="38" s="1"/>
  <c r="AG33" i="38" s="1"/>
  <c r="D33" i="40"/>
  <c r="X34" i="38"/>
  <c r="Y34" i="38" s="1"/>
  <c r="Z34" i="38" s="1"/>
  <c r="AA34" i="38" s="1"/>
  <c r="AB34" i="38" s="1"/>
  <c r="AC34" i="38" s="1"/>
  <c r="AD34" i="38" s="1"/>
  <c r="AE34" i="38" s="1"/>
  <c r="AF34" i="38" s="1"/>
  <c r="AG34" i="38" s="1"/>
  <c r="D34" i="40"/>
  <c r="B7" i="26"/>
  <c r="B11" i="27"/>
  <c r="B6" i="25"/>
  <c r="B8" i="26"/>
  <c r="B9" i="26"/>
  <c r="X32" i="38"/>
  <c r="Y32" i="38" s="1"/>
  <c r="Z32" i="38" s="1"/>
  <c r="AA32" i="38" s="1"/>
  <c r="AB32" i="38" s="1"/>
  <c r="AC32" i="38" s="1"/>
  <c r="AD32" i="38" s="1"/>
  <c r="AE32" i="38" s="1"/>
  <c r="AF32" i="38" s="1"/>
  <c r="AG32" i="38" s="1"/>
  <c r="D32" i="40"/>
  <c r="B2" i="27"/>
  <c r="B9" i="25"/>
  <c r="B11" i="26"/>
  <c r="B3" i="27"/>
  <c r="B4" i="27"/>
  <c r="B6" i="26"/>
  <c r="B11" i="25"/>
  <c r="C2" i="23"/>
  <c r="X36" i="38"/>
  <c r="Y36" i="38" s="1"/>
  <c r="Z36" i="38" s="1"/>
  <c r="AA36" i="38" s="1"/>
  <c r="AB36" i="38" s="1"/>
  <c r="AC36" i="38" s="1"/>
  <c r="AD36" i="38" s="1"/>
  <c r="AE36" i="38" s="1"/>
  <c r="AF36" i="38" s="1"/>
  <c r="AG36" i="38" s="1"/>
  <c r="D36" i="40"/>
  <c r="B2" i="26"/>
  <c r="B6" i="27"/>
  <c r="C3" i="23"/>
  <c r="B3" i="26"/>
  <c r="B7" i="27"/>
  <c r="C4" i="23"/>
  <c r="D29" i="40"/>
  <c r="B8" i="24"/>
  <c r="B10" i="24"/>
  <c r="B8" i="27"/>
  <c r="B5" i="26"/>
  <c r="C5" i="26"/>
  <c r="B9" i="27"/>
  <c r="X33" i="36" l="1"/>
  <c r="Y33" i="36" s="1"/>
  <c r="Z33" i="36" s="1"/>
  <c r="AA33" i="36" s="1"/>
  <c r="AB33" i="36" s="1"/>
  <c r="AC33" i="36" s="1"/>
  <c r="AD33" i="36" s="1"/>
  <c r="AE33" i="36" s="1"/>
  <c r="AF33" i="36" s="1"/>
  <c r="AG33" i="36" s="1"/>
  <c r="D4" i="40"/>
  <c r="I29" i="47"/>
  <c r="J28" i="47"/>
  <c r="J26" i="47"/>
  <c r="J27" i="47"/>
  <c r="K22" i="47"/>
  <c r="D5" i="40"/>
  <c r="D2" i="40"/>
  <c r="X34" i="36"/>
  <c r="Y34" i="36" s="1"/>
  <c r="Z34" i="36" s="1"/>
  <c r="AA34" i="36" s="1"/>
  <c r="AB34" i="36" s="1"/>
  <c r="AC34" i="36" s="1"/>
  <c r="AD34" i="36" s="1"/>
  <c r="AE34" i="36" s="1"/>
  <c r="AF34" i="36" s="1"/>
  <c r="AG34" i="36" s="1"/>
  <c r="X35" i="36"/>
  <c r="Y35" i="36" s="1"/>
  <c r="Z35" i="36" s="1"/>
  <c r="AA35" i="36" s="1"/>
  <c r="AB35" i="36" s="1"/>
  <c r="AC35" i="36" s="1"/>
  <c r="AD35" i="36" s="1"/>
  <c r="AE35" i="36" s="1"/>
  <c r="AF35" i="36" s="1"/>
  <c r="AG35" i="36" s="1"/>
  <c r="D3" i="40"/>
  <c r="D11" i="40"/>
  <c r="D9" i="20"/>
  <c r="D6" i="23"/>
  <c r="C8" i="14"/>
  <c r="C3" i="17"/>
  <c r="C8" i="17"/>
  <c r="C4" i="21"/>
  <c r="C9" i="14"/>
  <c r="C9" i="16"/>
  <c r="D5" i="21"/>
  <c r="D9" i="21"/>
  <c r="C5" i="17"/>
  <c r="C7" i="16"/>
  <c r="C6" i="16"/>
  <c r="C10" i="14"/>
  <c r="C7" i="21"/>
  <c r="C6" i="21"/>
  <c r="C3" i="16"/>
  <c r="C2" i="16"/>
  <c r="C6" i="17"/>
  <c r="C2" i="21"/>
  <c r="C9" i="15"/>
  <c r="C8" i="21"/>
  <c r="C10" i="17"/>
  <c r="C7" i="15"/>
  <c r="C6" i="15"/>
  <c r="C3" i="21"/>
  <c r="C11" i="16"/>
  <c r="C10" i="16"/>
  <c r="C3" i="15"/>
  <c r="C5" i="15"/>
  <c r="C4" i="17"/>
  <c r="C5" i="14"/>
  <c r="C2" i="15"/>
  <c r="C7" i="17"/>
  <c r="C4" i="16"/>
  <c r="C7" i="14"/>
  <c r="C6" i="14"/>
  <c r="D10" i="21"/>
  <c r="C9" i="17"/>
  <c r="C3" i="14"/>
  <c r="C8" i="16"/>
  <c r="C11" i="14"/>
  <c r="C5" i="16"/>
  <c r="C10" i="15"/>
  <c r="C11" i="21"/>
  <c r="C8" i="15"/>
  <c r="C4" i="14"/>
  <c r="C11" i="15"/>
  <c r="C4" i="15"/>
  <c r="C11" i="17"/>
  <c r="E55" i="38"/>
  <c r="D3" i="23"/>
  <c r="C7" i="18"/>
  <c r="C11" i="11"/>
  <c r="C8" i="13"/>
  <c r="C3" i="11"/>
  <c r="E65" i="37"/>
  <c r="D3" i="13"/>
  <c r="C2" i="20"/>
  <c r="C3" i="20"/>
  <c r="C2" i="18"/>
  <c r="C4" i="20"/>
  <c r="C9" i="13"/>
  <c r="C5" i="11"/>
  <c r="C2" i="12"/>
  <c r="C3" i="12"/>
  <c r="E73" i="37"/>
  <c r="D11" i="13"/>
  <c r="E25" i="37"/>
  <c r="D11" i="20"/>
  <c r="C10" i="18"/>
  <c r="C10" i="11"/>
  <c r="C10" i="12"/>
  <c r="C10" i="20"/>
  <c r="C4" i="13"/>
  <c r="C8" i="12"/>
  <c r="C5" i="13"/>
  <c r="C6" i="20"/>
  <c r="C11" i="18"/>
  <c r="C5" i="18"/>
  <c r="C7" i="13"/>
  <c r="E22" i="37"/>
  <c r="D8" i="20"/>
  <c r="C5" i="20"/>
  <c r="E42" i="37"/>
  <c r="D4" i="11"/>
  <c r="C9" i="11"/>
  <c r="C2" i="11"/>
  <c r="C3" i="18"/>
  <c r="C6" i="18"/>
  <c r="F23" i="37"/>
  <c r="E9" i="20"/>
  <c r="E45" i="37"/>
  <c r="D7" i="11"/>
  <c r="C5" i="12"/>
  <c r="C4" i="12"/>
  <c r="C9" i="12"/>
  <c r="C10" i="13"/>
  <c r="E64" i="37"/>
  <c r="D2" i="13"/>
  <c r="D9" i="18"/>
  <c r="E11" i="37"/>
  <c r="C4" i="18"/>
  <c r="C6" i="12"/>
  <c r="C11" i="12"/>
  <c r="C6" i="11"/>
  <c r="C7" i="12"/>
  <c r="C8" i="11"/>
  <c r="C6" i="13"/>
  <c r="E21" i="37"/>
  <c r="D7" i="20"/>
  <c r="C8" i="18"/>
  <c r="D5" i="26"/>
  <c r="C9" i="23"/>
  <c r="C2" i="27"/>
  <c r="C9" i="24"/>
  <c r="C2" i="26"/>
  <c r="C4" i="27"/>
  <c r="C6" i="25"/>
  <c r="C6" i="27"/>
  <c r="C7" i="27"/>
  <c r="C8" i="23"/>
  <c r="C3" i="27"/>
  <c r="D3" i="24"/>
  <c r="E17" i="38"/>
  <c r="C8" i="25"/>
  <c r="E4" i="38"/>
  <c r="D2" i="23"/>
  <c r="C3" i="26"/>
  <c r="C4" i="26"/>
  <c r="E8" i="38"/>
  <c r="E5" i="38"/>
  <c r="C10" i="27"/>
  <c r="C10" i="26"/>
  <c r="C11" i="26"/>
  <c r="C5" i="25"/>
  <c r="C11" i="27"/>
  <c r="D39" i="40"/>
  <c r="D40" i="40" s="1"/>
  <c r="C2" i="24"/>
  <c r="E6" i="38"/>
  <c r="D4" i="23"/>
  <c r="C10" i="25"/>
  <c r="C4" i="24"/>
  <c r="C5" i="27"/>
  <c r="C3" i="25"/>
  <c r="C7" i="25"/>
  <c r="C9" i="25"/>
  <c r="C7" i="23"/>
  <c r="C7" i="26"/>
  <c r="C11" i="23"/>
  <c r="C6" i="24"/>
  <c r="C7" i="24"/>
  <c r="C11" i="25"/>
  <c r="C9" i="26"/>
  <c r="C8" i="26"/>
  <c r="C5" i="23"/>
  <c r="C8" i="27"/>
  <c r="C10" i="24"/>
  <c r="C9" i="27"/>
  <c r="C8" i="24"/>
  <c r="C10" i="23"/>
  <c r="C11" i="24"/>
  <c r="C2" i="25"/>
  <c r="C6" i="26"/>
  <c r="C5" i="24"/>
  <c r="C4" i="25"/>
  <c r="L22" i="47" l="1"/>
  <c r="K28" i="47"/>
  <c r="K27" i="47"/>
  <c r="K26" i="47"/>
  <c r="J29" i="47"/>
  <c r="D10" i="15"/>
  <c r="D3" i="14"/>
  <c r="D7" i="14"/>
  <c r="D10" i="16"/>
  <c r="D7" i="15"/>
  <c r="D3" i="16"/>
  <c r="D5" i="16"/>
  <c r="D11" i="16"/>
  <c r="D6" i="16"/>
  <c r="F7" i="36"/>
  <c r="E5" i="21"/>
  <c r="D4" i="21"/>
  <c r="D4" i="14"/>
  <c r="D9" i="17"/>
  <c r="D4" i="16"/>
  <c r="D4" i="17"/>
  <c r="D10" i="17"/>
  <c r="D6" i="17"/>
  <c r="D7" i="17"/>
  <c r="D5" i="15"/>
  <c r="D6" i="21"/>
  <c r="D7" i="16"/>
  <c r="D9" i="16"/>
  <c r="D8" i="17"/>
  <c r="D11" i="17"/>
  <c r="D8" i="15"/>
  <c r="D11" i="14"/>
  <c r="F12" i="36"/>
  <c r="E10" i="21"/>
  <c r="D3" i="21"/>
  <c r="D8" i="21"/>
  <c r="D7" i="21"/>
  <c r="D5" i="17"/>
  <c r="D2" i="15"/>
  <c r="D3" i="15"/>
  <c r="D9" i="15"/>
  <c r="D2" i="16"/>
  <c r="D3" i="17"/>
  <c r="D4" i="15"/>
  <c r="D11" i="21"/>
  <c r="D8" i="16"/>
  <c r="D6" i="14"/>
  <c r="D6" i="15"/>
  <c r="D11" i="15"/>
  <c r="D5" i="14"/>
  <c r="D2" i="21"/>
  <c r="D10" i="14"/>
  <c r="F11" i="36"/>
  <c r="E9" i="21"/>
  <c r="D9" i="14"/>
  <c r="D8" i="14"/>
  <c r="E55" i="37"/>
  <c r="D5" i="12"/>
  <c r="E47" i="37"/>
  <c r="D9" i="11"/>
  <c r="D11" i="18"/>
  <c r="E13" i="37"/>
  <c r="E52" i="37"/>
  <c r="D2" i="12"/>
  <c r="E16" i="37"/>
  <c r="D2" i="20"/>
  <c r="E9" i="18"/>
  <c r="F11" i="37"/>
  <c r="E43" i="37"/>
  <c r="D5" i="11"/>
  <c r="E6" i="37"/>
  <c r="D4" i="18"/>
  <c r="E46" i="37"/>
  <c r="D8" i="11"/>
  <c r="F42" i="37"/>
  <c r="E4" i="11"/>
  <c r="E20" i="37"/>
  <c r="D6" i="20"/>
  <c r="E48" i="37"/>
  <c r="D10" i="11"/>
  <c r="F65" i="37"/>
  <c r="E3" i="13"/>
  <c r="D5" i="13"/>
  <c r="E67" i="37"/>
  <c r="E12" i="37"/>
  <c r="D10" i="18"/>
  <c r="E41" i="37"/>
  <c r="D3" i="11"/>
  <c r="F64" i="37"/>
  <c r="E2" i="13"/>
  <c r="G23" i="37"/>
  <c r="F9" i="20"/>
  <c r="E19" i="37"/>
  <c r="D5" i="20"/>
  <c r="E71" i="37"/>
  <c r="D9" i="13"/>
  <c r="E68" i="37"/>
  <c r="D6" i="13"/>
  <c r="F45" i="37"/>
  <c r="E7" i="11"/>
  <c r="E8" i="37"/>
  <c r="D6" i="18"/>
  <c r="F22" i="37"/>
  <c r="E8" i="20"/>
  <c r="E58" i="37"/>
  <c r="D8" i="12"/>
  <c r="F25" i="37"/>
  <c r="E11" i="20"/>
  <c r="E18" i="37"/>
  <c r="D4" i="20"/>
  <c r="E70" i="37"/>
  <c r="D8" i="13"/>
  <c r="E57" i="37"/>
  <c r="D7" i="12"/>
  <c r="E44" i="37"/>
  <c r="D6" i="11"/>
  <c r="D3" i="18"/>
  <c r="E5" i="37"/>
  <c r="E66" i="37"/>
  <c r="D4" i="13"/>
  <c r="E4" i="37"/>
  <c r="D2" i="18"/>
  <c r="E49" i="37"/>
  <c r="D11" i="11"/>
  <c r="E59" i="37"/>
  <c r="D9" i="12"/>
  <c r="E69" i="37"/>
  <c r="D7" i="13"/>
  <c r="F73" i="37"/>
  <c r="E11" i="13"/>
  <c r="E10" i="37"/>
  <c r="D8" i="18"/>
  <c r="E61" i="37"/>
  <c r="D11" i="12"/>
  <c r="D5" i="18"/>
  <c r="E7" i="37"/>
  <c r="D7" i="18"/>
  <c r="E9" i="37"/>
  <c r="E60" i="37"/>
  <c r="D10" i="12"/>
  <c r="E72" i="37"/>
  <c r="D10" i="13"/>
  <c r="F21" i="37"/>
  <c r="E7" i="20"/>
  <c r="E56" i="37"/>
  <c r="D6" i="12"/>
  <c r="E54" i="37"/>
  <c r="D4" i="12"/>
  <c r="D2" i="11"/>
  <c r="E40" i="37"/>
  <c r="E24" i="37"/>
  <c r="D10" i="20"/>
  <c r="E53" i="37"/>
  <c r="D3" i="12"/>
  <c r="E17" i="37"/>
  <c r="D3" i="20"/>
  <c r="F17" i="38"/>
  <c r="E3" i="24"/>
  <c r="E45" i="38"/>
  <c r="D7" i="25"/>
  <c r="E70" i="38"/>
  <c r="D8" i="27"/>
  <c r="F8" i="38"/>
  <c r="E6" i="23"/>
  <c r="D10" i="24"/>
  <c r="E24" i="38"/>
  <c r="E7" i="38"/>
  <c r="D5" i="23"/>
  <c r="E73" i="38"/>
  <c r="D11" i="27"/>
  <c r="D3" i="27"/>
  <c r="E65" i="38"/>
  <c r="E52" i="38"/>
  <c r="D2" i="26"/>
  <c r="E43" i="38"/>
  <c r="D5" i="25"/>
  <c r="E10" i="38"/>
  <c r="D8" i="23"/>
  <c r="E23" i="38"/>
  <c r="D9" i="24"/>
  <c r="E56" i="38"/>
  <c r="D6" i="26"/>
  <c r="E40" i="38"/>
  <c r="D2" i="25"/>
  <c r="E57" i="38"/>
  <c r="D7" i="26"/>
  <c r="D4" i="26"/>
  <c r="E54" i="38"/>
  <c r="D3" i="25"/>
  <c r="E41" i="38"/>
  <c r="E61" i="38"/>
  <c r="D11" i="26"/>
  <c r="E20" i="38"/>
  <c r="D6" i="24"/>
  <c r="E13" i="38"/>
  <c r="D11" i="23"/>
  <c r="E12" i="38"/>
  <c r="D10" i="23"/>
  <c r="E53" i="38"/>
  <c r="D3" i="26"/>
  <c r="E69" i="38"/>
  <c r="D7" i="27"/>
  <c r="E64" i="38"/>
  <c r="D2" i="27"/>
  <c r="D5" i="27"/>
  <c r="E67" i="38"/>
  <c r="E18" i="38"/>
  <c r="D4" i="24"/>
  <c r="E42" i="38"/>
  <c r="D4" i="25"/>
  <c r="E22" i="38"/>
  <c r="D8" i="24"/>
  <c r="E59" i="38"/>
  <c r="D9" i="26"/>
  <c r="E9" i="38"/>
  <c r="D7" i="23"/>
  <c r="D10" i="25"/>
  <c r="E48" i="38"/>
  <c r="E66" i="38"/>
  <c r="D4" i="27"/>
  <c r="E19" i="38"/>
  <c r="D5" i="24"/>
  <c r="E60" i="38"/>
  <c r="D10" i="26"/>
  <c r="F4" i="38"/>
  <c r="E2" i="23"/>
  <c r="D6" i="27"/>
  <c r="E68" i="38"/>
  <c r="D9" i="23"/>
  <c r="E11" i="38"/>
  <c r="F5" i="38"/>
  <c r="E3" i="23"/>
  <c r="E49" i="38"/>
  <c r="D11" i="25"/>
  <c r="E47" i="38"/>
  <c r="D9" i="25"/>
  <c r="F6" i="38"/>
  <c r="E4" i="23"/>
  <c r="E44" i="38"/>
  <c r="D6" i="25"/>
  <c r="E25" i="38"/>
  <c r="D11" i="24"/>
  <c r="E58" i="38"/>
  <c r="D8" i="26"/>
  <c r="E71" i="38"/>
  <c r="D9" i="27"/>
  <c r="E21" i="38"/>
  <c r="D7" i="24"/>
  <c r="E16" i="38"/>
  <c r="D2" i="24"/>
  <c r="E72" i="38"/>
  <c r="D10" i="27"/>
  <c r="E46" i="38"/>
  <c r="D8" i="25"/>
  <c r="F55" i="38"/>
  <c r="E5" i="26"/>
  <c r="B69" i="1"/>
  <c r="K29" i="47" l="1"/>
  <c r="L28" i="47"/>
  <c r="L27" i="47"/>
  <c r="L26" i="47"/>
  <c r="M22" i="47"/>
  <c r="F61" i="36"/>
  <c r="E11" i="16"/>
  <c r="G11" i="36"/>
  <c r="F9" i="21"/>
  <c r="F49" i="36"/>
  <c r="E11" i="15"/>
  <c r="F13" i="36"/>
  <c r="E11" i="21"/>
  <c r="F67" i="36"/>
  <c r="E5" i="17"/>
  <c r="G12" i="36"/>
  <c r="F10" i="21"/>
  <c r="F70" i="36"/>
  <c r="E8" i="17"/>
  <c r="F64" i="36"/>
  <c r="F72" i="36"/>
  <c r="E10" i="17"/>
  <c r="F18" i="36"/>
  <c r="E4" i="14"/>
  <c r="F60" i="36"/>
  <c r="E10" i="16"/>
  <c r="F52" i="36"/>
  <c r="E2" i="16"/>
  <c r="F24" i="36"/>
  <c r="E10" i="14"/>
  <c r="F42" i="36"/>
  <c r="E4" i="15"/>
  <c r="F47" i="36"/>
  <c r="E9" i="15"/>
  <c r="F9" i="36"/>
  <c r="E7" i="21"/>
  <c r="F25" i="36"/>
  <c r="E11" i="14"/>
  <c r="F59" i="36"/>
  <c r="E9" i="16"/>
  <c r="F43" i="36"/>
  <c r="E5" i="15"/>
  <c r="F66" i="36"/>
  <c r="E4" i="17"/>
  <c r="F6" i="36"/>
  <c r="E4" i="21"/>
  <c r="F55" i="36"/>
  <c r="E5" i="16"/>
  <c r="F21" i="36"/>
  <c r="E7" i="14"/>
  <c r="F44" i="36"/>
  <c r="E6" i="15"/>
  <c r="F22" i="36"/>
  <c r="E8" i="14"/>
  <c r="F4" i="36"/>
  <c r="E2" i="21"/>
  <c r="F20" i="36"/>
  <c r="E6" i="14"/>
  <c r="F65" i="36"/>
  <c r="E3" i="17"/>
  <c r="F41" i="36"/>
  <c r="E3" i="15"/>
  <c r="F10" i="36"/>
  <c r="E8" i="21"/>
  <c r="F46" i="36"/>
  <c r="E8" i="15"/>
  <c r="F57" i="36"/>
  <c r="E7" i="16"/>
  <c r="F69" i="36"/>
  <c r="E7" i="17"/>
  <c r="F54" i="36"/>
  <c r="E4" i="16"/>
  <c r="G7" i="36"/>
  <c r="F5" i="21"/>
  <c r="F53" i="36"/>
  <c r="E3" i="16"/>
  <c r="F17" i="36"/>
  <c r="E3" i="14"/>
  <c r="F40" i="36"/>
  <c r="E2" i="15"/>
  <c r="F23" i="36"/>
  <c r="E9" i="14"/>
  <c r="F19" i="36"/>
  <c r="E5" i="14"/>
  <c r="F58" i="36"/>
  <c r="E8" i="16"/>
  <c r="F16" i="36"/>
  <c r="F5" i="36"/>
  <c r="E3" i="21"/>
  <c r="F73" i="36"/>
  <c r="E11" i="17"/>
  <c r="F8" i="36"/>
  <c r="E6" i="21"/>
  <c r="F68" i="36"/>
  <c r="E6" i="17"/>
  <c r="F71" i="36"/>
  <c r="E9" i="17"/>
  <c r="F56" i="36"/>
  <c r="E6" i="16"/>
  <c r="F45" i="36"/>
  <c r="E7" i="15"/>
  <c r="F48" i="36"/>
  <c r="E10" i="15"/>
  <c r="F69" i="37"/>
  <c r="E7" i="13"/>
  <c r="F44" i="37"/>
  <c r="E6" i="11"/>
  <c r="G22" i="37"/>
  <c r="F8" i="20"/>
  <c r="H23" i="37"/>
  <c r="G9" i="20"/>
  <c r="F48" i="37"/>
  <c r="E10" i="11"/>
  <c r="F9" i="37"/>
  <c r="E7" i="18"/>
  <c r="F57" i="37"/>
  <c r="E7" i="12"/>
  <c r="F8" i="37"/>
  <c r="E6" i="18"/>
  <c r="G64" i="37"/>
  <c r="F2" i="13"/>
  <c r="F20" i="37"/>
  <c r="E6" i="20"/>
  <c r="F16" i="37"/>
  <c r="E2" i="20"/>
  <c r="F40" i="37"/>
  <c r="E2" i="11"/>
  <c r="E5" i="18"/>
  <c r="F7" i="37"/>
  <c r="F60" i="37"/>
  <c r="E10" i="12"/>
  <c r="F70" i="37"/>
  <c r="E8" i="13"/>
  <c r="G45" i="37"/>
  <c r="F7" i="11"/>
  <c r="F41" i="37"/>
  <c r="E3" i="11"/>
  <c r="G42" i="37"/>
  <c r="F4" i="11"/>
  <c r="F52" i="37"/>
  <c r="E2" i="12"/>
  <c r="F13" i="37"/>
  <c r="E11" i="18"/>
  <c r="F56" i="37"/>
  <c r="E6" i="12"/>
  <c r="F4" i="37"/>
  <c r="E2" i="18"/>
  <c r="F18" i="37"/>
  <c r="E4" i="20"/>
  <c r="F68" i="37"/>
  <c r="E6" i="13"/>
  <c r="F12" i="37"/>
  <c r="E10" i="18"/>
  <c r="F46" i="37"/>
  <c r="E8" i="11"/>
  <c r="F49" i="37"/>
  <c r="E11" i="11"/>
  <c r="F61" i="37"/>
  <c r="E11" i="12"/>
  <c r="F67" i="37"/>
  <c r="E5" i="13"/>
  <c r="G11" i="37"/>
  <c r="F9" i="18"/>
  <c r="F59" i="37"/>
  <c r="E9" i="12"/>
  <c r="F54" i="37"/>
  <c r="E4" i="12"/>
  <c r="G21" i="37"/>
  <c r="F7" i="20"/>
  <c r="F10" i="37"/>
  <c r="E8" i="18"/>
  <c r="F66" i="37"/>
  <c r="E4" i="13"/>
  <c r="G25" i="37"/>
  <c r="F11" i="20"/>
  <c r="F71" i="37"/>
  <c r="E9" i="13"/>
  <c r="F6" i="37"/>
  <c r="E4" i="18"/>
  <c r="F47" i="37"/>
  <c r="E9" i="11"/>
  <c r="F17" i="37"/>
  <c r="E3" i="20"/>
  <c r="F5" i="37"/>
  <c r="E3" i="18"/>
  <c r="F24" i="37"/>
  <c r="E10" i="20"/>
  <c r="F53" i="37"/>
  <c r="E3" i="12"/>
  <c r="F72" i="37"/>
  <c r="E10" i="13"/>
  <c r="G73" i="37"/>
  <c r="F11" i="13"/>
  <c r="F58" i="37"/>
  <c r="E8" i="12"/>
  <c r="F19" i="37"/>
  <c r="E5" i="20"/>
  <c r="G65" i="37"/>
  <c r="F3" i="13"/>
  <c r="F43" i="37"/>
  <c r="E5" i="11"/>
  <c r="F55" i="37"/>
  <c r="E5" i="12"/>
  <c r="E9" i="24"/>
  <c r="F23" i="38"/>
  <c r="F7" i="38"/>
  <c r="E5" i="23"/>
  <c r="F41" i="38"/>
  <c r="E3" i="25"/>
  <c r="F24" i="38"/>
  <c r="E10" i="24"/>
  <c r="F16" i="38"/>
  <c r="E2" i="24"/>
  <c r="F10" i="38"/>
  <c r="E8" i="23"/>
  <c r="F9" i="38"/>
  <c r="E7" i="23"/>
  <c r="F54" i="38"/>
  <c r="E4" i="26"/>
  <c r="F61" i="38"/>
  <c r="E11" i="26"/>
  <c r="G6" i="38"/>
  <c r="F4" i="23"/>
  <c r="F60" i="38"/>
  <c r="E10" i="26"/>
  <c r="F53" i="38"/>
  <c r="E3" i="26"/>
  <c r="E5" i="25"/>
  <c r="F43" i="38"/>
  <c r="G8" i="38"/>
  <c r="F6" i="23"/>
  <c r="G4" i="38"/>
  <c r="F2" i="23"/>
  <c r="E6" i="25"/>
  <c r="F44" i="38"/>
  <c r="F47" i="38"/>
  <c r="E9" i="25"/>
  <c r="E5" i="24"/>
  <c r="F19" i="38"/>
  <c r="F42" i="38"/>
  <c r="E4" i="25"/>
  <c r="F12" i="38"/>
  <c r="E10" i="23"/>
  <c r="F57" i="38"/>
  <c r="E7" i="26"/>
  <c r="F52" i="38"/>
  <c r="E2" i="26"/>
  <c r="F70" i="38"/>
  <c r="E8" i="27"/>
  <c r="F68" i="38"/>
  <c r="E6" i="27"/>
  <c r="F65" i="38"/>
  <c r="E3" i="27"/>
  <c r="F59" i="38"/>
  <c r="E9" i="26"/>
  <c r="F21" i="38"/>
  <c r="E7" i="24"/>
  <c r="F58" i="38"/>
  <c r="E8" i="26"/>
  <c r="F18" i="38"/>
  <c r="E4" i="24"/>
  <c r="F13" i="38"/>
  <c r="E11" i="23"/>
  <c r="F40" i="38"/>
  <c r="E2" i="25"/>
  <c r="F45" i="38"/>
  <c r="E7" i="25"/>
  <c r="F72" i="38"/>
  <c r="E10" i="27"/>
  <c r="F69" i="38"/>
  <c r="E7" i="27"/>
  <c r="F71" i="38"/>
  <c r="E9" i="27"/>
  <c r="G55" i="38"/>
  <c r="F5" i="26"/>
  <c r="G5" i="38"/>
  <c r="F3" i="23"/>
  <c r="F11" i="38"/>
  <c r="E9" i="23"/>
  <c r="F48" i="38"/>
  <c r="E10" i="25"/>
  <c r="F67" i="38"/>
  <c r="E5" i="27"/>
  <c r="F64" i="38"/>
  <c r="E2" i="27"/>
  <c r="F22" i="38"/>
  <c r="E8" i="24"/>
  <c r="F49" i="38"/>
  <c r="E11" i="25"/>
  <c r="F66" i="38"/>
  <c r="E4" i="27"/>
  <c r="E8" i="25"/>
  <c r="F46" i="38"/>
  <c r="F25" i="38"/>
  <c r="E11" i="24"/>
  <c r="F20" i="38"/>
  <c r="E6" i="24"/>
  <c r="F56" i="38"/>
  <c r="E6" i="26"/>
  <c r="E11" i="27"/>
  <c r="F73" i="38"/>
  <c r="G17" i="38"/>
  <c r="F3" i="24"/>
  <c r="A66" i="1"/>
  <c r="F32" i="47" l="1"/>
  <c r="F2" i="17"/>
  <c r="F2" i="14"/>
  <c r="F31" i="47"/>
  <c r="N22" i="47"/>
  <c r="M27" i="47"/>
  <c r="M28" i="47"/>
  <c r="M26" i="47"/>
  <c r="L29" i="47"/>
  <c r="F83" i="36"/>
  <c r="F98" i="36" s="1"/>
  <c r="F81" i="36"/>
  <c r="F96" i="36" s="1"/>
  <c r="F87" i="36"/>
  <c r="F102" i="36" s="1"/>
  <c r="F78" i="36"/>
  <c r="F93" i="36" s="1"/>
  <c r="F23" i="47" s="1"/>
  <c r="F24" i="47" s="1"/>
  <c r="F86" i="36"/>
  <c r="F101" i="36" s="1"/>
  <c r="F84" i="36"/>
  <c r="F99" i="36" s="1"/>
  <c r="F85" i="36"/>
  <c r="F100" i="36" s="1"/>
  <c r="F80" i="36"/>
  <c r="F95" i="36" s="1"/>
  <c r="F82" i="36"/>
  <c r="F97" i="36" s="1"/>
  <c r="F79" i="36"/>
  <c r="F94" i="36" s="1"/>
  <c r="G56" i="36"/>
  <c r="F6" i="16"/>
  <c r="G73" i="36"/>
  <c r="F11" i="17"/>
  <c r="G19" i="36"/>
  <c r="F5" i="14"/>
  <c r="G53" i="36"/>
  <c r="F3" i="16"/>
  <c r="G57" i="36"/>
  <c r="F7" i="16"/>
  <c r="G65" i="36"/>
  <c r="F3" i="17"/>
  <c r="G44" i="36"/>
  <c r="F6" i="15"/>
  <c r="G66" i="36"/>
  <c r="F4" i="17"/>
  <c r="G9" i="36"/>
  <c r="F7" i="21"/>
  <c r="G52" i="36"/>
  <c r="F2" i="16"/>
  <c r="G64" i="36"/>
  <c r="G13" i="36"/>
  <c r="F11" i="21"/>
  <c r="G71" i="36"/>
  <c r="F9" i="17"/>
  <c r="G5" i="36"/>
  <c r="F3" i="21"/>
  <c r="G23" i="36"/>
  <c r="F9" i="14"/>
  <c r="H7" i="36"/>
  <c r="G5" i="21"/>
  <c r="G46" i="36"/>
  <c r="F8" i="15"/>
  <c r="G20" i="36"/>
  <c r="F6" i="14"/>
  <c r="G21" i="36"/>
  <c r="F7" i="14"/>
  <c r="G43" i="36"/>
  <c r="F5" i="15"/>
  <c r="G47" i="36"/>
  <c r="F9" i="15"/>
  <c r="G60" i="36"/>
  <c r="F10" i="16"/>
  <c r="G70" i="36"/>
  <c r="F8" i="17"/>
  <c r="G49" i="36"/>
  <c r="F11" i="15"/>
  <c r="G48" i="36"/>
  <c r="F10" i="15"/>
  <c r="G68" i="36"/>
  <c r="F6" i="17"/>
  <c r="G16" i="36"/>
  <c r="G40" i="36"/>
  <c r="F2" i="15"/>
  <c r="G54" i="36"/>
  <c r="F4" i="16"/>
  <c r="G10" i="36"/>
  <c r="F8" i="21"/>
  <c r="G4" i="36"/>
  <c r="F2" i="21"/>
  <c r="G55" i="36"/>
  <c r="F5" i="16"/>
  <c r="G59" i="36"/>
  <c r="F9" i="16"/>
  <c r="G42" i="36"/>
  <c r="F4" i="15"/>
  <c r="G18" i="36"/>
  <c r="F4" i="14"/>
  <c r="H12" i="36"/>
  <c r="G10" i="21"/>
  <c r="H11" i="36"/>
  <c r="G9" i="21"/>
  <c r="G45" i="36"/>
  <c r="F7" i="15"/>
  <c r="G8" i="36"/>
  <c r="F6" i="21"/>
  <c r="G58" i="36"/>
  <c r="F8" i="16"/>
  <c r="G17" i="36"/>
  <c r="F3" i="14"/>
  <c r="G69" i="36"/>
  <c r="F7" i="17"/>
  <c r="G41" i="36"/>
  <c r="F3" i="15"/>
  <c r="G22" i="36"/>
  <c r="F8" i="14"/>
  <c r="G6" i="36"/>
  <c r="F4" i="21"/>
  <c r="G25" i="36"/>
  <c r="F11" i="14"/>
  <c r="G24" i="36"/>
  <c r="F10" i="14"/>
  <c r="G72" i="36"/>
  <c r="F10" i="17"/>
  <c r="G67" i="36"/>
  <c r="F5" i="17"/>
  <c r="G61" i="36"/>
  <c r="F11" i="16"/>
  <c r="G9" i="37"/>
  <c r="F7" i="18"/>
  <c r="G19" i="37"/>
  <c r="F5" i="20"/>
  <c r="G5" i="37"/>
  <c r="F3" i="18"/>
  <c r="G66" i="37"/>
  <c r="F4" i="13"/>
  <c r="G67" i="37"/>
  <c r="F5" i="13"/>
  <c r="G18" i="37"/>
  <c r="F4" i="20"/>
  <c r="G41" i="37"/>
  <c r="F3" i="11"/>
  <c r="G16" i="37"/>
  <c r="F2" i="20"/>
  <c r="G48" i="37"/>
  <c r="F10" i="11"/>
  <c r="H65" i="37"/>
  <c r="G3" i="13"/>
  <c r="G24" i="37"/>
  <c r="F10" i="20"/>
  <c r="G58" i="37"/>
  <c r="F8" i="12"/>
  <c r="G17" i="37"/>
  <c r="F3" i="20"/>
  <c r="G10" i="37"/>
  <c r="F8" i="18"/>
  <c r="G61" i="37"/>
  <c r="F11" i="12"/>
  <c r="G4" i="37"/>
  <c r="F2" i="18"/>
  <c r="H45" i="37"/>
  <c r="G7" i="11"/>
  <c r="G20" i="37"/>
  <c r="F6" i="20"/>
  <c r="I23" i="37"/>
  <c r="H9" i="20"/>
  <c r="H25" i="37"/>
  <c r="G11" i="20"/>
  <c r="G68" i="37"/>
  <c r="F6" i="13"/>
  <c r="H73" i="37"/>
  <c r="G11" i="13"/>
  <c r="G47" i="37"/>
  <c r="F9" i="11"/>
  <c r="H21" i="37"/>
  <c r="G7" i="20"/>
  <c r="G49" i="37"/>
  <c r="F11" i="11"/>
  <c r="G56" i="37"/>
  <c r="F6" i="12"/>
  <c r="G70" i="37"/>
  <c r="F8" i="13"/>
  <c r="H64" i="37"/>
  <c r="G2" i="13"/>
  <c r="H22" i="37"/>
  <c r="G8" i="20"/>
  <c r="G40" i="37"/>
  <c r="F2" i="11"/>
  <c r="G55" i="37"/>
  <c r="F5" i="12"/>
  <c r="G72" i="37"/>
  <c r="F10" i="13"/>
  <c r="G6" i="37"/>
  <c r="F4" i="18"/>
  <c r="G54" i="37"/>
  <c r="F4" i="12"/>
  <c r="G46" i="37"/>
  <c r="F8" i="11"/>
  <c r="G13" i="37"/>
  <c r="F11" i="18"/>
  <c r="G60" i="37"/>
  <c r="F10" i="12"/>
  <c r="G8" i="37"/>
  <c r="F6" i="18"/>
  <c r="G44" i="37"/>
  <c r="F6" i="11"/>
  <c r="H11" i="37"/>
  <c r="G9" i="18"/>
  <c r="G7" i="37"/>
  <c r="F5" i="18"/>
  <c r="H42" i="37"/>
  <c r="G4" i="11"/>
  <c r="G43" i="37"/>
  <c r="F5" i="11"/>
  <c r="G53" i="37"/>
  <c r="F3" i="12"/>
  <c r="G71" i="37"/>
  <c r="F9" i="13"/>
  <c r="G59" i="37"/>
  <c r="F9" i="12"/>
  <c r="G12" i="37"/>
  <c r="F10" i="18"/>
  <c r="G52" i="37"/>
  <c r="F2" i="12"/>
  <c r="G57" i="37"/>
  <c r="F7" i="12"/>
  <c r="G69" i="37"/>
  <c r="F7" i="13"/>
  <c r="G19" i="38"/>
  <c r="F5" i="24"/>
  <c r="G53" i="38"/>
  <c r="F3" i="26"/>
  <c r="F6" i="26"/>
  <c r="G56" i="38"/>
  <c r="G13" i="38"/>
  <c r="F11" i="23"/>
  <c r="G71" i="38"/>
  <c r="F9" i="27"/>
  <c r="G18" i="38"/>
  <c r="F4" i="24"/>
  <c r="G70" i="38"/>
  <c r="F8" i="27"/>
  <c r="F9" i="25"/>
  <c r="G47" i="38"/>
  <c r="G60" i="38"/>
  <c r="F10" i="26"/>
  <c r="G16" i="38"/>
  <c r="F2" i="24"/>
  <c r="G44" i="38"/>
  <c r="F6" i="25"/>
  <c r="G67" i="38"/>
  <c r="F5" i="27"/>
  <c r="G69" i="38"/>
  <c r="F7" i="27"/>
  <c r="G58" i="38"/>
  <c r="F8" i="26"/>
  <c r="F2" i="26"/>
  <c r="G52" i="38"/>
  <c r="H6" i="38"/>
  <c r="G4" i="23"/>
  <c r="F10" i="24"/>
  <c r="G24" i="38"/>
  <c r="H55" i="38"/>
  <c r="G5" i="26"/>
  <c r="G64" i="38"/>
  <c r="F2" i="27"/>
  <c r="G72" i="38"/>
  <c r="F10" i="27"/>
  <c r="G21" i="38"/>
  <c r="F7" i="24"/>
  <c r="G57" i="38"/>
  <c r="F7" i="26"/>
  <c r="H4" i="38"/>
  <c r="G2" i="23"/>
  <c r="G61" i="38"/>
  <c r="F11" i="26"/>
  <c r="G41" i="38"/>
  <c r="F3" i="25"/>
  <c r="G22" i="38"/>
  <c r="F8" i="24"/>
  <c r="G48" i="38"/>
  <c r="F10" i="25"/>
  <c r="G11" i="38"/>
  <c r="F9" i="23"/>
  <c r="G45" i="38"/>
  <c r="F7" i="25"/>
  <c r="F9" i="26"/>
  <c r="G59" i="38"/>
  <c r="G12" i="38"/>
  <c r="F10" i="23"/>
  <c r="H8" i="38"/>
  <c r="G6" i="23"/>
  <c r="G54" i="38"/>
  <c r="F4" i="26"/>
  <c r="G7" i="38"/>
  <c r="F5" i="23"/>
  <c r="G10" i="38"/>
  <c r="F8" i="23"/>
  <c r="G46" i="38"/>
  <c r="F8" i="25"/>
  <c r="H17" i="38"/>
  <c r="G3" i="24"/>
  <c r="G73" i="38"/>
  <c r="F11" i="27"/>
  <c r="G43" i="38"/>
  <c r="F5" i="25"/>
  <c r="F9" i="24"/>
  <c r="G23" i="38"/>
  <c r="G68" i="38"/>
  <c r="F6" i="27"/>
  <c r="G20" i="38"/>
  <c r="F6" i="24"/>
  <c r="G25" i="38"/>
  <c r="F11" i="24"/>
  <c r="G66" i="38"/>
  <c r="F4" i="27"/>
  <c r="G49" i="38"/>
  <c r="F11" i="25"/>
  <c r="H5" i="38"/>
  <c r="G3" i="23"/>
  <c r="G40" i="38"/>
  <c r="F2" i="25"/>
  <c r="G65" i="38"/>
  <c r="F3" i="27"/>
  <c r="G42" i="38"/>
  <c r="F4" i="25"/>
  <c r="G9" i="38"/>
  <c r="F7" i="23"/>
  <c r="A67" i="1"/>
  <c r="G32" i="47" l="1"/>
  <c r="G2" i="17"/>
  <c r="G2" i="14"/>
  <c r="G31" i="47"/>
  <c r="M29" i="47"/>
  <c r="N28" i="47"/>
  <c r="N26" i="47"/>
  <c r="N27" i="47"/>
  <c r="O22" i="47"/>
  <c r="G84" i="36"/>
  <c r="G99" i="36" s="1"/>
  <c r="G85" i="36"/>
  <c r="G100" i="36" s="1"/>
  <c r="G78" i="36"/>
  <c r="G93" i="36" s="1"/>
  <c r="G23" i="47" s="1"/>
  <c r="G24" i="47" s="1"/>
  <c r="G81" i="36"/>
  <c r="G96" i="36" s="1"/>
  <c r="G86" i="36"/>
  <c r="G101" i="36" s="1"/>
  <c r="G82" i="36"/>
  <c r="G97" i="36" s="1"/>
  <c r="G80" i="36"/>
  <c r="G95" i="36" s="1"/>
  <c r="G87" i="36"/>
  <c r="G102" i="36" s="1"/>
  <c r="G83" i="36"/>
  <c r="G98" i="36" s="1"/>
  <c r="G79" i="36"/>
  <c r="G94" i="36" s="1"/>
  <c r="H22" i="36"/>
  <c r="G8" i="14"/>
  <c r="H58" i="36"/>
  <c r="G8" i="16"/>
  <c r="H10" i="21"/>
  <c r="I12" i="36"/>
  <c r="H55" i="36"/>
  <c r="G5" i="16"/>
  <c r="H40" i="36"/>
  <c r="G2" i="15"/>
  <c r="H49" i="36"/>
  <c r="G11" i="15"/>
  <c r="H43" i="36"/>
  <c r="G5" i="15"/>
  <c r="I7" i="36"/>
  <c r="H5" i="21"/>
  <c r="H13" i="36"/>
  <c r="G11" i="21"/>
  <c r="H66" i="36"/>
  <c r="G4" i="17"/>
  <c r="H53" i="36"/>
  <c r="G3" i="16"/>
  <c r="H72" i="36"/>
  <c r="G10" i="17"/>
  <c r="H24" i="36"/>
  <c r="G10" i="14"/>
  <c r="H41" i="36"/>
  <c r="G3" i="15"/>
  <c r="H8" i="36"/>
  <c r="G6" i="21"/>
  <c r="H18" i="36"/>
  <c r="G4" i="14"/>
  <c r="H4" i="36"/>
  <c r="G2" i="21"/>
  <c r="H16" i="36"/>
  <c r="H70" i="36"/>
  <c r="G8" i="17"/>
  <c r="H21" i="36"/>
  <c r="G7" i="14"/>
  <c r="H23" i="36"/>
  <c r="G9" i="14"/>
  <c r="H64" i="36"/>
  <c r="H44" i="36"/>
  <c r="G6" i="15"/>
  <c r="H19" i="36"/>
  <c r="G5" i="14"/>
  <c r="H61" i="36"/>
  <c r="G11" i="16"/>
  <c r="H25" i="36"/>
  <c r="G11" i="14"/>
  <c r="H69" i="36"/>
  <c r="G7" i="17"/>
  <c r="H45" i="36"/>
  <c r="G7" i="15"/>
  <c r="H42" i="36"/>
  <c r="G4" i="15"/>
  <c r="H10" i="36"/>
  <c r="G8" i="21"/>
  <c r="H68" i="36"/>
  <c r="G6" i="17"/>
  <c r="H60" i="36"/>
  <c r="G10" i="16"/>
  <c r="H20" i="36"/>
  <c r="G6" i="14"/>
  <c r="H5" i="36"/>
  <c r="G3" i="21"/>
  <c r="H52" i="36"/>
  <c r="G2" i="16"/>
  <c r="H65" i="36"/>
  <c r="G3" i="17"/>
  <c r="H73" i="36"/>
  <c r="G11" i="17"/>
  <c r="H67" i="36"/>
  <c r="G5" i="17"/>
  <c r="H6" i="36"/>
  <c r="G4" i="21"/>
  <c r="H17" i="36"/>
  <c r="G3" i="14"/>
  <c r="I11" i="36"/>
  <c r="H9" i="21"/>
  <c r="H59" i="36"/>
  <c r="G9" i="16"/>
  <c r="H54" i="36"/>
  <c r="G4" i="16"/>
  <c r="H48" i="36"/>
  <c r="G10" i="15"/>
  <c r="H47" i="36"/>
  <c r="G9" i="15"/>
  <c r="H46" i="36"/>
  <c r="G8" i="15"/>
  <c r="H71" i="36"/>
  <c r="G9" i="17"/>
  <c r="H9" i="36"/>
  <c r="G7" i="21"/>
  <c r="H57" i="36"/>
  <c r="G7" i="16"/>
  <c r="H56" i="36"/>
  <c r="G6" i="16"/>
  <c r="H40" i="37"/>
  <c r="G2" i="11"/>
  <c r="I21" i="37"/>
  <c r="H7" i="20"/>
  <c r="H20" i="37"/>
  <c r="G6" i="20"/>
  <c r="H58" i="37"/>
  <c r="G8" i="12"/>
  <c r="H18" i="37"/>
  <c r="G4" i="20"/>
  <c r="H46" i="37"/>
  <c r="G8" i="11"/>
  <c r="I22" i="37"/>
  <c r="H8" i="20"/>
  <c r="H47" i="37"/>
  <c r="G9" i="11"/>
  <c r="I45" i="37"/>
  <c r="H7" i="11"/>
  <c r="H24" i="37"/>
  <c r="G10" i="20"/>
  <c r="H67" i="37"/>
  <c r="G5" i="13"/>
  <c r="H54" i="37"/>
  <c r="G4" i="12"/>
  <c r="I64" i="37"/>
  <c r="H2" i="13"/>
  <c r="I73" i="37"/>
  <c r="H11" i="13"/>
  <c r="H4" i="37"/>
  <c r="G2" i="18"/>
  <c r="I65" i="37"/>
  <c r="H3" i="13"/>
  <c r="H66" i="37"/>
  <c r="G4" i="13"/>
  <c r="H13" i="37"/>
  <c r="G11" i="18"/>
  <c r="H7" i="37"/>
  <c r="G5" i="18"/>
  <c r="H71" i="37"/>
  <c r="G9" i="13"/>
  <c r="H44" i="37"/>
  <c r="G6" i="11"/>
  <c r="H6" i="37"/>
  <c r="G4" i="18"/>
  <c r="H70" i="37"/>
  <c r="G8" i="13"/>
  <c r="H68" i="37"/>
  <c r="G6" i="13"/>
  <c r="H61" i="37"/>
  <c r="G11" i="12"/>
  <c r="H48" i="37"/>
  <c r="G10" i="11"/>
  <c r="H5" i="37"/>
  <c r="G3" i="18"/>
  <c r="I42" i="37"/>
  <c r="H4" i="11"/>
  <c r="I11" i="37"/>
  <c r="H9" i="18"/>
  <c r="H53" i="37"/>
  <c r="G3" i="12"/>
  <c r="H56" i="37"/>
  <c r="G6" i="12"/>
  <c r="I25" i="37"/>
  <c r="H11" i="20"/>
  <c r="H10" i="37"/>
  <c r="G8" i="18"/>
  <c r="H16" i="37"/>
  <c r="G2" i="20"/>
  <c r="H19" i="37"/>
  <c r="G5" i="20"/>
  <c r="H52" i="37"/>
  <c r="G2" i="12"/>
  <c r="H12" i="37"/>
  <c r="G10" i="18"/>
  <c r="H59" i="37"/>
  <c r="G9" i="12"/>
  <c r="H69" i="37"/>
  <c r="G7" i="13"/>
  <c r="H8" i="37"/>
  <c r="G6" i="18"/>
  <c r="H72" i="37"/>
  <c r="G10" i="13"/>
  <c r="H57" i="37"/>
  <c r="G7" i="12"/>
  <c r="H43" i="37"/>
  <c r="G5" i="11"/>
  <c r="H60" i="37"/>
  <c r="G10" i="12"/>
  <c r="H55" i="37"/>
  <c r="G5" i="12"/>
  <c r="H49" i="37"/>
  <c r="G11" i="11"/>
  <c r="J23" i="37"/>
  <c r="I9" i="20"/>
  <c r="H17" i="37"/>
  <c r="G3" i="20"/>
  <c r="H41" i="37"/>
  <c r="G3" i="11"/>
  <c r="H9" i="37"/>
  <c r="G7" i="18"/>
  <c r="H61" i="38"/>
  <c r="G11" i="26"/>
  <c r="I55" i="38"/>
  <c r="H5" i="26"/>
  <c r="H67" i="38"/>
  <c r="G5" i="27"/>
  <c r="H18" i="38"/>
  <c r="G4" i="24"/>
  <c r="H24" i="38"/>
  <c r="G10" i="24"/>
  <c r="H59" i="38"/>
  <c r="G9" i="26"/>
  <c r="H10" i="38"/>
  <c r="G8" i="23"/>
  <c r="H45" i="38"/>
  <c r="G7" i="25"/>
  <c r="I4" i="38"/>
  <c r="H2" i="23"/>
  <c r="H44" i="38"/>
  <c r="G6" i="25"/>
  <c r="H71" i="38"/>
  <c r="G9" i="27"/>
  <c r="H65" i="38"/>
  <c r="G3" i="27"/>
  <c r="H23" i="38"/>
  <c r="G9" i="24"/>
  <c r="I5" i="38"/>
  <c r="H3" i="23"/>
  <c r="H7" i="38"/>
  <c r="G5" i="23"/>
  <c r="H11" i="38"/>
  <c r="G9" i="23"/>
  <c r="H57" i="38"/>
  <c r="G7" i="26"/>
  <c r="I6" i="38"/>
  <c r="H4" i="23"/>
  <c r="H16" i="38"/>
  <c r="G2" i="24"/>
  <c r="H13" i="38"/>
  <c r="G11" i="23"/>
  <c r="H40" i="38"/>
  <c r="G2" i="25"/>
  <c r="H52" i="38"/>
  <c r="G2" i="26"/>
  <c r="H56" i="38"/>
  <c r="G6" i="26"/>
  <c r="H49" i="38"/>
  <c r="G11" i="25"/>
  <c r="H43" i="38"/>
  <c r="G5" i="25"/>
  <c r="H54" i="38"/>
  <c r="G4" i="26"/>
  <c r="H48" i="38"/>
  <c r="G10" i="25"/>
  <c r="H21" i="38"/>
  <c r="G7" i="24"/>
  <c r="H60" i="38"/>
  <c r="G10" i="26"/>
  <c r="H20" i="38"/>
  <c r="G6" i="24"/>
  <c r="G9" i="25"/>
  <c r="H47" i="38"/>
  <c r="H46" i="38"/>
  <c r="G8" i="25"/>
  <c r="H66" i="38"/>
  <c r="G4" i="27"/>
  <c r="H73" i="38"/>
  <c r="G11" i="27"/>
  <c r="I8" i="38"/>
  <c r="H6" i="23"/>
  <c r="H22" i="38"/>
  <c r="G8" i="24"/>
  <c r="H72" i="38"/>
  <c r="G10" i="27"/>
  <c r="H58" i="38"/>
  <c r="G8" i="26"/>
  <c r="H53" i="38"/>
  <c r="G3" i="26"/>
  <c r="H68" i="38"/>
  <c r="G6" i="27"/>
  <c r="H9" i="38"/>
  <c r="G7" i="23"/>
  <c r="H42" i="38"/>
  <c r="G4" i="25"/>
  <c r="H25" i="38"/>
  <c r="G11" i="24"/>
  <c r="I17" i="38"/>
  <c r="H3" i="24"/>
  <c r="H12" i="38"/>
  <c r="G10" i="23"/>
  <c r="H41" i="38"/>
  <c r="G3" i="25"/>
  <c r="H64" i="38"/>
  <c r="G2" i="27"/>
  <c r="H69" i="38"/>
  <c r="G7" i="27"/>
  <c r="H70" i="38"/>
  <c r="G8" i="27"/>
  <c r="H19" i="38"/>
  <c r="G5" i="24"/>
  <c r="H2" i="17" l="1"/>
  <c r="H32" i="47"/>
  <c r="H31" i="47"/>
  <c r="H2" i="14"/>
  <c r="N29" i="47"/>
  <c r="P22" i="47"/>
  <c r="O28" i="47"/>
  <c r="O27" i="47"/>
  <c r="O26" i="47"/>
  <c r="H86" i="36"/>
  <c r="H101" i="36" s="1"/>
  <c r="H82" i="36"/>
  <c r="H97" i="36" s="1"/>
  <c r="H78" i="36"/>
  <c r="H93" i="36" s="1"/>
  <c r="H23" i="47" s="1"/>
  <c r="H24" i="47" s="1"/>
  <c r="H81" i="36"/>
  <c r="H96" i="36" s="1"/>
  <c r="H84" i="36"/>
  <c r="H99" i="36" s="1"/>
  <c r="H85" i="36"/>
  <c r="H100" i="36" s="1"/>
  <c r="H83" i="36"/>
  <c r="H98" i="36" s="1"/>
  <c r="H87" i="36"/>
  <c r="H102" i="36" s="1"/>
  <c r="H80" i="36"/>
  <c r="H95" i="36" s="1"/>
  <c r="H79" i="36"/>
  <c r="H94" i="36" s="1"/>
  <c r="I48" i="36"/>
  <c r="H10" i="15"/>
  <c r="I17" i="36"/>
  <c r="H3" i="14"/>
  <c r="I65" i="36"/>
  <c r="H3" i="17"/>
  <c r="I60" i="36"/>
  <c r="H10" i="16"/>
  <c r="I45" i="36"/>
  <c r="H7" i="15"/>
  <c r="I19" i="36"/>
  <c r="H5" i="14"/>
  <c r="I21" i="36"/>
  <c r="H7" i="14"/>
  <c r="I18" i="36"/>
  <c r="H4" i="14"/>
  <c r="I72" i="36"/>
  <c r="H10" i="17"/>
  <c r="J7" i="36"/>
  <c r="I5" i="21"/>
  <c r="I55" i="36"/>
  <c r="H5" i="16"/>
  <c r="I9" i="36"/>
  <c r="H7" i="21"/>
  <c r="J12" i="36"/>
  <c r="I10" i="21"/>
  <c r="I71" i="36"/>
  <c r="H9" i="17"/>
  <c r="I54" i="36"/>
  <c r="H4" i="16"/>
  <c r="I6" i="36"/>
  <c r="H4" i="21"/>
  <c r="I52" i="36"/>
  <c r="H2" i="16"/>
  <c r="I68" i="36"/>
  <c r="H6" i="17"/>
  <c r="I69" i="36"/>
  <c r="H7" i="17"/>
  <c r="I44" i="36"/>
  <c r="H6" i="15"/>
  <c r="I70" i="36"/>
  <c r="H8" i="17"/>
  <c r="I8" i="36"/>
  <c r="H6" i="21"/>
  <c r="I53" i="36"/>
  <c r="H3" i="16"/>
  <c r="I43" i="36"/>
  <c r="H5" i="15"/>
  <c r="I56" i="36"/>
  <c r="H6" i="16"/>
  <c r="I46" i="36"/>
  <c r="H8" i="15"/>
  <c r="I59" i="36"/>
  <c r="H9" i="16"/>
  <c r="I67" i="36"/>
  <c r="H5" i="17"/>
  <c r="I5" i="36"/>
  <c r="H3" i="21"/>
  <c r="I10" i="36"/>
  <c r="H8" i="21"/>
  <c r="I25" i="36"/>
  <c r="H11" i="14"/>
  <c r="I64" i="36"/>
  <c r="I16" i="36"/>
  <c r="I41" i="36"/>
  <c r="H3" i="15"/>
  <c r="I66" i="36"/>
  <c r="H4" i="17"/>
  <c r="I49" i="36"/>
  <c r="H11" i="15"/>
  <c r="I58" i="36"/>
  <c r="H8" i="16"/>
  <c r="I57" i="36"/>
  <c r="H7" i="16"/>
  <c r="I47" i="36"/>
  <c r="H9" i="15"/>
  <c r="J11" i="36"/>
  <c r="I9" i="21"/>
  <c r="I73" i="36"/>
  <c r="H11" i="17"/>
  <c r="I20" i="36"/>
  <c r="H6" i="14"/>
  <c r="I42" i="36"/>
  <c r="H4" i="15"/>
  <c r="I61" i="36"/>
  <c r="H11" i="16"/>
  <c r="I23" i="36"/>
  <c r="H9" i="14"/>
  <c r="I4" i="36"/>
  <c r="H2" i="21"/>
  <c r="I24" i="36"/>
  <c r="H10" i="14"/>
  <c r="I13" i="36"/>
  <c r="H11" i="21"/>
  <c r="I40" i="36"/>
  <c r="H2" i="15"/>
  <c r="I22" i="36"/>
  <c r="H8" i="14"/>
  <c r="I53" i="37"/>
  <c r="H3" i="12"/>
  <c r="I52" i="37"/>
  <c r="H2" i="12"/>
  <c r="K23" i="37"/>
  <c r="J9" i="20"/>
  <c r="I72" i="37"/>
  <c r="H10" i="13"/>
  <c r="I19" i="37"/>
  <c r="H5" i="20"/>
  <c r="J11" i="37"/>
  <c r="I9" i="18"/>
  <c r="I70" i="37"/>
  <c r="H8" i="13"/>
  <c r="I66" i="37"/>
  <c r="H4" i="13"/>
  <c r="I67" i="37"/>
  <c r="H5" i="13"/>
  <c r="I18" i="37"/>
  <c r="H4" i="20"/>
  <c r="I57" i="37"/>
  <c r="H7" i="12"/>
  <c r="I17" i="37"/>
  <c r="H3" i="20"/>
  <c r="I49" i="37"/>
  <c r="H11" i="11"/>
  <c r="I8" i="37"/>
  <c r="H6" i="18"/>
  <c r="I16" i="37"/>
  <c r="H2" i="20"/>
  <c r="J42" i="37"/>
  <c r="I4" i="11"/>
  <c r="I6" i="37"/>
  <c r="H4" i="18"/>
  <c r="J65" i="37"/>
  <c r="I3" i="13"/>
  <c r="I24" i="37"/>
  <c r="H10" i="20"/>
  <c r="I58" i="37"/>
  <c r="H8" i="12"/>
  <c r="I54" i="37"/>
  <c r="H4" i="12"/>
  <c r="I55" i="37"/>
  <c r="H5" i="12"/>
  <c r="I69" i="37"/>
  <c r="H7" i="13"/>
  <c r="I10" i="37"/>
  <c r="H8" i="18"/>
  <c r="I5" i="37"/>
  <c r="H3" i="18"/>
  <c r="I44" i="37"/>
  <c r="H6" i="11"/>
  <c r="I4" i="37"/>
  <c r="H2" i="18"/>
  <c r="J45" i="37"/>
  <c r="I7" i="11"/>
  <c r="I20" i="37"/>
  <c r="H6" i="20"/>
  <c r="I46" i="37"/>
  <c r="H8" i="11"/>
  <c r="I9" i="37"/>
  <c r="H7" i="18"/>
  <c r="I60" i="37"/>
  <c r="H10" i="12"/>
  <c r="I59" i="37"/>
  <c r="H9" i="12"/>
  <c r="J25" i="37"/>
  <c r="I11" i="20"/>
  <c r="I48" i="37"/>
  <c r="H10" i="11"/>
  <c r="I71" i="37"/>
  <c r="H9" i="13"/>
  <c r="J73" i="37"/>
  <c r="I11" i="13"/>
  <c r="I47" i="37"/>
  <c r="H9" i="11"/>
  <c r="J21" i="37"/>
  <c r="I7" i="20"/>
  <c r="I68" i="37"/>
  <c r="H6" i="13"/>
  <c r="I13" i="37"/>
  <c r="H11" i="18"/>
  <c r="I41" i="37"/>
  <c r="H3" i="11"/>
  <c r="I43" i="37"/>
  <c r="H5" i="11"/>
  <c r="I12" i="37"/>
  <c r="H10" i="18"/>
  <c r="I56" i="37"/>
  <c r="H6" i="12"/>
  <c r="I61" i="37"/>
  <c r="H11" i="12"/>
  <c r="I7" i="37"/>
  <c r="H5" i="18"/>
  <c r="J64" i="37"/>
  <c r="I2" i="13"/>
  <c r="J22" i="37"/>
  <c r="I8" i="20"/>
  <c r="I40" i="37"/>
  <c r="H2" i="11"/>
  <c r="I20" i="38"/>
  <c r="H6" i="24"/>
  <c r="I49" i="38"/>
  <c r="H11" i="25"/>
  <c r="J6" i="38"/>
  <c r="I4" i="23"/>
  <c r="I65" i="38"/>
  <c r="H3" i="27"/>
  <c r="I59" i="38"/>
  <c r="H9" i="26"/>
  <c r="I9" i="38"/>
  <c r="H7" i="23"/>
  <c r="I56" i="38"/>
  <c r="H6" i="26"/>
  <c r="I57" i="38"/>
  <c r="H7" i="26"/>
  <c r="I71" i="38"/>
  <c r="H9" i="27"/>
  <c r="I24" i="38"/>
  <c r="H10" i="24"/>
  <c r="I42" i="38"/>
  <c r="H4" i="25"/>
  <c r="I69" i="38"/>
  <c r="H7" i="27"/>
  <c r="I41" i="38"/>
  <c r="H3" i="25"/>
  <c r="I68" i="38"/>
  <c r="H6" i="27"/>
  <c r="I73" i="38"/>
  <c r="H11" i="27"/>
  <c r="I21" i="38"/>
  <c r="H7" i="24"/>
  <c r="H2" i="26"/>
  <c r="I52" i="38"/>
  <c r="I11" i="38"/>
  <c r="H9" i="23"/>
  <c r="I44" i="38"/>
  <c r="H6" i="25"/>
  <c r="I18" i="38"/>
  <c r="H4" i="24"/>
  <c r="I22" i="38"/>
  <c r="H8" i="24"/>
  <c r="I12" i="38"/>
  <c r="H10" i="23"/>
  <c r="I53" i="38"/>
  <c r="H3" i="26"/>
  <c r="I66" i="38"/>
  <c r="H4" i="27"/>
  <c r="I48" i="38"/>
  <c r="H10" i="25"/>
  <c r="I40" i="38"/>
  <c r="H2" i="25"/>
  <c r="I7" i="38"/>
  <c r="H5" i="23"/>
  <c r="J4" i="38"/>
  <c r="I2" i="23"/>
  <c r="I67" i="38"/>
  <c r="H5" i="27"/>
  <c r="J17" i="38"/>
  <c r="I3" i="24"/>
  <c r="I58" i="38"/>
  <c r="H8" i="26"/>
  <c r="I46" i="38"/>
  <c r="H8" i="25"/>
  <c r="I54" i="38"/>
  <c r="H4" i="26"/>
  <c r="I13" i="38"/>
  <c r="H11" i="23"/>
  <c r="J5" i="38"/>
  <c r="I3" i="23"/>
  <c r="I45" i="38"/>
  <c r="H7" i="25"/>
  <c r="J55" i="38"/>
  <c r="I5" i="26"/>
  <c r="I60" i="38"/>
  <c r="H10" i="26"/>
  <c r="I47" i="38"/>
  <c r="H9" i="25"/>
  <c r="I64" i="38"/>
  <c r="H2" i="27"/>
  <c r="J8" i="38"/>
  <c r="I6" i="23"/>
  <c r="I19" i="38"/>
  <c r="H5" i="24"/>
  <c r="I70" i="38"/>
  <c r="H8" i="27"/>
  <c r="H11" i="24"/>
  <c r="I25" i="38"/>
  <c r="I72" i="38"/>
  <c r="H10" i="27"/>
  <c r="I43" i="38"/>
  <c r="H5" i="25"/>
  <c r="I16" i="38"/>
  <c r="H2" i="24"/>
  <c r="I23" i="38"/>
  <c r="H9" i="24"/>
  <c r="I10" i="38"/>
  <c r="H8" i="23"/>
  <c r="I61" i="38"/>
  <c r="H11" i="26"/>
  <c r="I31" i="47" l="1"/>
  <c r="I2" i="14"/>
  <c r="I2" i="17"/>
  <c r="I32" i="47"/>
  <c r="O29" i="47"/>
  <c r="P28" i="47"/>
  <c r="P27" i="47"/>
  <c r="P26" i="47"/>
  <c r="Q22" i="47"/>
  <c r="I78" i="36"/>
  <c r="I93" i="36" s="1"/>
  <c r="I23" i="47" s="1"/>
  <c r="I24" i="47" s="1"/>
  <c r="I85" i="36"/>
  <c r="I100" i="36" s="1"/>
  <c r="I87" i="36"/>
  <c r="I102" i="36" s="1"/>
  <c r="I84" i="36"/>
  <c r="I99" i="36" s="1"/>
  <c r="I79" i="36"/>
  <c r="I94" i="36" s="1"/>
  <c r="I81" i="36"/>
  <c r="I96" i="36" s="1"/>
  <c r="I83" i="36"/>
  <c r="I98" i="36" s="1"/>
  <c r="I82" i="36"/>
  <c r="I97" i="36" s="1"/>
  <c r="I80" i="36"/>
  <c r="I95" i="36" s="1"/>
  <c r="I86" i="36"/>
  <c r="I101" i="36" s="1"/>
  <c r="J61" i="36"/>
  <c r="I11" i="16"/>
  <c r="K11" i="36"/>
  <c r="J9" i="21"/>
  <c r="J49" i="36"/>
  <c r="I11" i="15"/>
  <c r="J64" i="36"/>
  <c r="J67" i="36"/>
  <c r="I5" i="17"/>
  <c r="J43" i="36"/>
  <c r="I5" i="15"/>
  <c r="J44" i="36"/>
  <c r="I6" i="15"/>
  <c r="J6" i="36"/>
  <c r="I4" i="21"/>
  <c r="J9" i="36"/>
  <c r="I7" i="21"/>
  <c r="J18" i="36"/>
  <c r="I4" i="14"/>
  <c r="J60" i="36"/>
  <c r="I10" i="16"/>
  <c r="J13" i="36"/>
  <c r="I11" i="21"/>
  <c r="J24" i="36"/>
  <c r="I10" i="14"/>
  <c r="J42" i="36"/>
  <c r="I4" i="15"/>
  <c r="J47" i="36"/>
  <c r="I9" i="15"/>
  <c r="J66" i="36"/>
  <c r="I4" i="17"/>
  <c r="J25" i="36"/>
  <c r="I11" i="14"/>
  <c r="J59" i="36"/>
  <c r="I9" i="16"/>
  <c r="J53" i="36"/>
  <c r="I3" i="16"/>
  <c r="J69" i="36"/>
  <c r="I7" i="17"/>
  <c r="J54" i="36"/>
  <c r="I4" i="16"/>
  <c r="J55" i="36"/>
  <c r="I5" i="16"/>
  <c r="J21" i="36"/>
  <c r="I7" i="14"/>
  <c r="J65" i="36"/>
  <c r="I3" i="17"/>
  <c r="J22" i="36"/>
  <c r="I8" i="14"/>
  <c r="J4" i="36"/>
  <c r="I2" i="21"/>
  <c r="J20" i="36"/>
  <c r="I6" i="14"/>
  <c r="J57" i="36"/>
  <c r="I7" i="16"/>
  <c r="J41" i="36"/>
  <c r="I3" i="15"/>
  <c r="J10" i="36"/>
  <c r="I8" i="21"/>
  <c r="J46" i="36"/>
  <c r="I8" i="15"/>
  <c r="J8" i="36"/>
  <c r="I6" i="21"/>
  <c r="J68" i="36"/>
  <c r="I6" i="17"/>
  <c r="J71" i="36"/>
  <c r="I9" i="17"/>
  <c r="K7" i="36"/>
  <c r="J5" i="21"/>
  <c r="J19" i="36"/>
  <c r="I5" i="14"/>
  <c r="J17" i="36"/>
  <c r="I3" i="14"/>
  <c r="J40" i="36"/>
  <c r="I2" i="15"/>
  <c r="J23" i="36"/>
  <c r="I9" i="14"/>
  <c r="J73" i="36"/>
  <c r="I11" i="17"/>
  <c r="J58" i="36"/>
  <c r="I8" i="16"/>
  <c r="J16" i="36"/>
  <c r="J5" i="36"/>
  <c r="I3" i="21"/>
  <c r="J56" i="36"/>
  <c r="I6" i="16"/>
  <c r="J70" i="36"/>
  <c r="I8" i="17"/>
  <c r="J52" i="36"/>
  <c r="I2" i="16"/>
  <c r="K12" i="36"/>
  <c r="J10" i="21"/>
  <c r="J72" i="36"/>
  <c r="I10" i="17"/>
  <c r="J45" i="36"/>
  <c r="I7" i="15"/>
  <c r="J48" i="36"/>
  <c r="I10" i="15"/>
  <c r="J41" i="37"/>
  <c r="I3" i="11"/>
  <c r="J10" i="37"/>
  <c r="I8" i="18"/>
  <c r="K65" i="37"/>
  <c r="J3" i="13"/>
  <c r="J17" i="37"/>
  <c r="I3" i="20"/>
  <c r="K11" i="37"/>
  <c r="J9" i="18"/>
  <c r="J7" i="37"/>
  <c r="I5" i="18"/>
  <c r="J20" i="37"/>
  <c r="I6" i="20"/>
  <c r="J69" i="37"/>
  <c r="I7" i="13"/>
  <c r="J6" i="37"/>
  <c r="I4" i="18"/>
  <c r="J57" i="37"/>
  <c r="I7" i="12"/>
  <c r="J19" i="37"/>
  <c r="I5" i="20"/>
  <c r="K25" i="37"/>
  <c r="J11" i="20"/>
  <c r="K45" i="37"/>
  <c r="J7" i="11"/>
  <c r="J55" i="37"/>
  <c r="I5" i="12"/>
  <c r="K42" i="37"/>
  <c r="J4" i="11"/>
  <c r="J18" i="37"/>
  <c r="I4" i="20"/>
  <c r="J72" i="37"/>
  <c r="I10" i="13"/>
  <c r="J68" i="37"/>
  <c r="I6" i="13"/>
  <c r="K21" i="37"/>
  <c r="J7" i="20"/>
  <c r="J59" i="37"/>
  <c r="I9" i="12"/>
  <c r="J4" i="37"/>
  <c r="I2" i="18"/>
  <c r="J54" i="37"/>
  <c r="I4" i="12"/>
  <c r="J16" i="37"/>
  <c r="I2" i="20"/>
  <c r="J67" i="37"/>
  <c r="I5" i="13"/>
  <c r="L23" i="37"/>
  <c r="K9" i="20"/>
  <c r="J46" i="37"/>
  <c r="I8" i="11"/>
  <c r="J13" i="37"/>
  <c r="I11" i="18"/>
  <c r="J56" i="37"/>
  <c r="I6" i="12"/>
  <c r="J12" i="37"/>
  <c r="I10" i="18"/>
  <c r="J44" i="37"/>
  <c r="I6" i="11"/>
  <c r="J58" i="37"/>
  <c r="I8" i="12"/>
  <c r="J8" i="37"/>
  <c r="I6" i="18"/>
  <c r="J66" i="37"/>
  <c r="I4" i="13"/>
  <c r="J52" i="37"/>
  <c r="I2" i="12"/>
  <c r="J71" i="37"/>
  <c r="I9" i="13"/>
  <c r="J48" i="37"/>
  <c r="I10" i="11"/>
  <c r="J61" i="37"/>
  <c r="I11" i="12"/>
  <c r="J40" i="37"/>
  <c r="I2" i="11"/>
  <c r="J47" i="37"/>
  <c r="I9" i="11"/>
  <c r="J60" i="37"/>
  <c r="I10" i="12"/>
  <c r="K64" i="37"/>
  <c r="J2" i="13"/>
  <c r="K22" i="37"/>
  <c r="J8" i="20"/>
  <c r="J43" i="37"/>
  <c r="I5" i="11"/>
  <c r="K73" i="37"/>
  <c r="J11" i="13"/>
  <c r="J9" i="37"/>
  <c r="I7" i="18"/>
  <c r="J5" i="37"/>
  <c r="I3" i="18"/>
  <c r="J24" i="37"/>
  <c r="I10" i="20"/>
  <c r="J49" i="37"/>
  <c r="I11" i="11"/>
  <c r="J70" i="37"/>
  <c r="I8" i="13"/>
  <c r="J53" i="37"/>
  <c r="I3" i="12"/>
  <c r="J23" i="38"/>
  <c r="I9" i="24"/>
  <c r="K17" i="38"/>
  <c r="J3" i="24"/>
  <c r="J66" i="38"/>
  <c r="I4" i="27"/>
  <c r="J11" i="38"/>
  <c r="I9" i="23"/>
  <c r="J69" i="38"/>
  <c r="I7" i="27"/>
  <c r="J9" i="38"/>
  <c r="I7" i="23"/>
  <c r="J52" i="38"/>
  <c r="I2" i="26"/>
  <c r="K8" i="38"/>
  <c r="J6" i="23"/>
  <c r="J53" i="38"/>
  <c r="I3" i="26"/>
  <c r="J42" i="38"/>
  <c r="I4" i="25"/>
  <c r="J59" i="38"/>
  <c r="I9" i="26"/>
  <c r="J67" i="38"/>
  <c r="I5" i="27"/>
  <c r="J43" i="38"/>
  <c r="I5" i="25"/>
  <c r="J64" i="38"/>
  <c r="I2" i="27"/>
  <c r="J13" i="38"/>
  <c r="I11" i="23"/>
  <c r="K4" i="38"/>
  <c r="J2" i="23"/>
  <c r="J12" i="38"/>
  <c r="I10" i="23"/>
  <c r="J21" i="38"/>
  <c r="I7" i="24"/>
  <c r="J24" i="38"/>
  <c r="I10" i="24"/>
  <c r="J65" i="38"/>
  <c r="I3" i="27"/>
  <c r="J45" i="38"/>
  <c r="I7" i="25"/>
  <c r="J72" i="38"/>
  <c r="I10" i="27"/>
  <c r="J47" i="38"/>
  <c r="I9" i="25"/>
  <c r="J54" i="38"/>
  <c r="I4" i="26"/>
  <c r="J7" i="38"/>
  <c r="I5" i="23"/>
  <c r="J22" i="38"/>
  <c r="I8" i="24"/>
  <c r="J73" i="38"/>
  <c r="I11" i="27"/>
  <c r="J71" i="38"/>
  <c r="I9" i="27"/>
  <c r="K6" i="38"/>
  <c r="J4" i="23"/>
  <c r="J19" i="38"/>
  <c r="I5" i="24"/>
  <c r="J25" i="38"/>
  <c r="I11" i="24"/>
  <c r="I10" i="26"/>
  <c r="J60" i="38"/>
  <c r="J46" i="38"/>
  <c r="I8" i="25"/>
  <c r="J40" i="38"/>
  <c r="I2" i="25"/>
  <c r="J18" i="38"/>
  <c r="I4" i="24"/>
  <c r="J68" i="38"/>
  <c r="I6" i="27"/>
  <c r="J57" i="38"/>
  <c r="I7" i="26"/>
  <c r="J49" i="38"/>
  <c r="I11" i="25"/>
  <c r="J16" i="38"/>
  <c r="I2" i="24"/>
  <c r="J61" i="38"/>
  <c r="I11" i="26"/>
  <c r="K5" i="38"/>
  <c r="J3" i="23"/>
  <c r="J10" i="38"/>
  <c r="I8" i="23"/>
  <c r="J70" i="38"/>
  <c r="I8" i="27"/>
  <c r="K55" i="38"/>
  <c r="J5" i="26"/>
  <c r="J58" i="38"/>
  <c r="I8" i="26"/>
  <c r="J48" i="38"/>
  <c r="I10" i="25"/>
  <c r="J44" i="38"/>
  <c r="I6" i="25"/>
  <c r="J41" i="38"/>
  <c r="I3" i="25"/>
  <c r="J56" i="38"/>
  <c r="I6" i="26"/>
  <c r="J20" i="38"/>
  <c r="I6" i="24"/>
  <c r="J32" i="47" l="1"/>
  <c r="J2" i="17"/>
  <c r="J2" i="14"/>
  <c r="J31" i="47"/>
  <c r="R22" i="47"/>
  <c r="Q28" i="47"/>
  <c r="Q27" i="47"/>
  <c r="Q26" i="47"/>
  <c r="P29" i="47"/>
  <c r="J79" i="36"/>
  <c r="J94" i="36" s="1"/>
  <c r="J82" i="36"/>
  <c r="J97" i="36" s="1"/>
  <c r="J87" i="36"/>
  <c r="J102" i="36" s="1"/>
  <c r="J78" i="36"/>
  <c r="J93" i="36" s="1"/>
  <c r="J23" i="47" s="1"/>
  <c r="J24" i="47" s="1"/>
  <c r="J86" i="36"/>
  <c r="J101" i="36" s="1"/>
  <c r="J84" i="36"/>
  <c r="J99" i="36" s="1"/>
  <c r="J81" i="36"/>
  <c r="J96" i="36" s="1"/>
  <c r="J83" i="36"/>
  <c r="J98" i="36" s="1"/>
  <c r="J85" i="36"/>
  <c r="J100" i="36" s="1"/>
  <c r="J80" i="36"/>
  <c r="J95" i="36" s="1"/>
  <c r="K72" i="36"/>
  <c r="J10" i="17"/>
  <c r="K73" i="36"/>
  <c r="J11" i="17"/>
  <c r="K19" i="36"/>
  <c r="J5" i="14"/>
  <c r="K8" i="36"/>
  <c r="J6" i="21"/>
  <c r="K57" i="36"/>
  <c r="J7" i="16"/>
  <c r="K65" i="36"/>
  <c r="J3" i="17"/>
  <c r="K69" i="36"/>
  <c r="J7" i="17"/>
  <c r="K66" i="36"/>
  <c r="J4" i="17"/>
  <c r="K13" i="36"/>
  <c r="J11" i="21"/>
  <c r="K6" i="36"/>
  <c r="J4" i="21"/>
  <c r="K64" i="36"/>
  <c r="K56" i="36"/>
  <c r="J6" i="16"/>
  <c r="K5" i="36"/>
  <c r="J3" i="21"/>
  <c r="K23" i="36"/>
  <c r="J9" i="14"/>
  <c r="K5" i="21"/>
  <c r="L7" i="36"/>
  <c r="K46" i="36"/>
  <c r="J8" i="15"/>
  <c r="K20" i="36"/>
  <c r="J6" i="14"/>
  <c r="K21" i="36"/>
  <c r="J7" i="14"/>
  <c r="K53" i="36"/>
  <c r="J3" i="16"/>
  <c r="K47" i="36"/>
  <c r="J9" i="15"/>
  <c r="K60" i="36"/>
  <c r="J10" i="16"/>
  <c r="K44" i="36"/>
  <c r="J6" i="15"/>
  <c r="K49" i="36"/>
  <c r="J11" i="15"/>
  <c r="L12" i="36"/>
  <c r="K10" i="21"/>
  <c r="K48" i="36"/>
  <c r="J10" i="15"/>
  <c r="K52" i="36"/>
  <c r="J2" i="16"/>
  <c r="K16" i="36"/>
  <c r="K40" i="36"/>
  <c r="J2" i="15"/>
  <c r="K71" i="36"/>
  <c r="J9" i="17"/>
  <c r="K10" i="36"/>
  <c r="J8" i="21"/>
  <c r="K4" i="36"/>
  <c r="J2" i="21"/>
  <c r="K55" i="36"/>
  <c r="J5" i="16"/>
  <c r="K59" i="36"/>
  <c r="J9" i="16"/>
  <c r="K42" i="36"/>
  <c r="J4" i="15"/>
  <c r="K18" i="36"/>
  <c r="J4" i="14"/>
  <c r="K43" i="36"/>
  <c r="J5" i="15"/>
  <c r="L11" i="36"/>
  <c r="K9" i="21"/>
  <c r="K45" i="36"/>
  <c r="J7" i="15"/>
  <c r="K70" i="36"/>
  <c r="J8" i="17"/>
  <c r="K58" i="36"/>
  <c r="J8" i="16"/>
  <c r="K17" i="36"/>
  <c r="J3" i="14"/>
  <c r="K68" i="36"/>
  <c r="J6" i="17"/>
  <c r="K41" i="36"/>
  <c r="J3" i="15"/>
  <c r="K22" i="36"/>
  <c r="J8" i="14"/>
  <c r="K54" i="36"/>
  <c r="J4" i="16"/>
  <c r="K25" i="36"/>
  <c r="J11" i="14"/>
  <c r="K24" i="36"/>
  <c r="J10" i="14"/>
  <c r="K9" i="36"/>
  <c r="J7" i="21"/>
  <c r="K67" i="36"/>
  <c r="J5" i="17"/>
  <c r="K61" i="36"/>
  <c r="J11" i="16"/>
  <c r="K49" i="37"/>
  <c r="J11" i="11"/>
  <c r="L22" i="37"/>
  <c r="K8" i="20"/>
  <c r="K48" i="37"/>
  <c r="J10" i="11"/>
  <c r="K44" i="37"/>
  <c r="J6" i="11"/>
  <c r="K67" i="37"/>
  <c r="J5" i="13"/>
  <c r="K68" i="37"/>
  <c r="J6" i="13"/>
  <c r="L25" i="37"/>
  <c r="K11" i="20"/>
  <c r="K7" i="37"/>
  <c r="J5" i="18"/>
  <c r="K71" i="37"/>
  <c r="J9" i="13"/>
  <c r="K12" i="37"/>
  <c r="J10" i="18"/>
  <c r="K16" i="37"/>
  <c r="J2" i="20"/>
  <c r="K72" i="37"/>
  <c r="J10" i="13"/>
  <c r="K19" i="37"/>
  <c r="J5" i="20"/>
  <c r="L11" i="37"/>
  <c r="K9" i="18"/>
  <c r="K60" i="37"/>
  <c r="J10" i="12"/>
  <c r="K56" i="37"/>
  <c r="J6" i="12"/>
  <c r="K54" i="37"/>
  <c r="J4" i="12"/>
  <c r="K18" i="37"/>
  <c r="J4" i="20"/>
  <c r="K57" i="37"/>
  <c r="J7" i="12"/>
  <c r="K17" i="37"/>
  <c r="J3" i="20"/>
  <c r="L64" i="37"/>
  <c r="K2" i="13"/>
  <c r="K47" i="37"/>
  <c r="J9" i="11"/>
  <c r="K13" i="37"/>
  <c r="J11" i="18"/>
  <c r="K4" i="37"/>
  <c r="J2" i="18"/>
  <c r="L42" i="37"/>
  <c r="K4" i="11"/>
  <c r="K6" i="37"/>
  <c r="J4" i="18"/>
  <c r="L65" i="37"/>
  <c r="K3" i="13"/>
  <c r="K52" i="37"/>
  <c r="J2" i="12"/>
  <c r="K9" i="37"/>
  <c r="J7" i="18"/>
  <c r="K66" i="37"/>
  <c r="J4" i="13"/>
  <c r="L73" i="37"/>
  <c r="K11" i="13"/>
  <c r="K46" i="37"/>
  <c r="J8" i="11"/>
  <c r="K59" i="37"/>
  <c r="J9" i="12"/>
  <c r="K55" i="37"/>
  <c r="J5" i="12"/>
  <c r="K69" i="37"/>
  <c r="J7" i="13"/>
  <c r="K10" i="37"/>
  <c r="J8" i="18"/>
  <c r="K24" i="37"/>
  <c r="J10" i="20"/>
  <c r="K5" i="37"/>
  <c r="J3" i="18"/>
  <c r="K53" i="37"/>
  <c r="J3" i="12"/>
  <c r="K40" i="37"/>
  <c r="J2" i="11"/>
  <c r="K8" i="37"/>
  <c r="J6" i="18"/>
  <c r="K70" i="37"/>
  <c r="J8" i="13"/>
  <c r="K43" i="37"/>
  <c r="J5" i="11"/>
  <c r="K61" i="37"/>
  <c r="J11" i="12"/>
  <c r="K58" i="37"/>
  <c r="J8" i="12"/>
  <c r="M23" i="37"/>
  <c r="L9" i="20"/>
  <c r="L21" i="37"/>
  <c r="K7" i="20"/>
  <c r="L45" i="37"/>
  <c r="K7" i="11"/>
  <c r="K20" i="37"/>
  <c r="J6" i="20"/>
  <c r="K41" i="37"/>
  <c r="J3" i="11"/>
  <c r="K68" i="38"/>
  <c r="J6" i="27"/>
  <c r="K19" i="38"/>
  <c r="J5" i="24"/>
  <c r="K54" i="38"/>
  <c r="J4" i="26"/>
  <c r="K21" i="38"/>
  <c r="J7" i="24"/>
  <c r="K67" i="38"/>
  <c r="J5" i="27"/>
  <c r="K9" i="38"/>
  <c r="J7" i="23"/>
  <c r="K18" i="38"/>
  <c r="J4" i="24"/>
  <c r="K47" i="38"/>
  <c r="J9" i="25"/>
  <c r="K12" i="38"/>
  <c r="J10" i="23"/>
  <c r="K59" i="38"/>
  <c r="J9" i="26"/>
  <c r="K69" i="38"/>
  <c r="J7" i="27"/>
  <c r="L6" i="38"/>
  <c r="K4" i="23"/>
  <c r="K44" i="38"/>
  <c r="J6" i="25"/>
  <c r="K48" i="38"/>
  <c r="J10" i="25"/>
  <c r="K61" i="38"/>
  <c r="J11" i="26"/>
  <c r="K40" i="38"/>
  <c r="J2" i="25"/>
  <c r="K71" i="38"/>
  <c r="J9" i="27"/>
  <c r="K72" i="38"/>
  <c r="J10" i="27"/>
  <c r="L4" i="38"/>
  <c r="K2" i="23"/>
  <c r="K42" i="38"/>
  <c r="J4" i="25"/>
  <c r="K11" i="38"/>
  <c r="J9" i="23"/>
  <c r="K10" i="38"/>
  <c r="J8" i="23"/>
  <c r="K58" i="38"/>
  <c r="J8" i="26"/>
  <c r="K16" i="38"/>
  <c r="J2" i="24"/>
  <c r="K46" i="38"/>
  <c r="J8" i="25"/>
  <c r="K73" i="38"/>
  <c r="J11" i="27"/>
  <c r="K45" i="38"/>
  <c r="J7" i="25"/>
  <c r="K13" i="38"/>
  <c r="J11" i="23"/>
  <c r="K53" i="38"/>
  <c r="J3" i="26"/>
  <c r="K66" i="38"/>
  <c r="J4" i="27"/>
  <c r="K60" i="38"/>
  <c r="J10" i="26"/>
  <c r="L55" i="38"/>
  <c r="K5" i="26"/>
  <c r="K49" i="38"/>
  <c r="J11" i="25"/>
  <c r="K22" i="38"/>
  <c r="J8" i="24"/>
  <c r="K65" i="38"/>
  <c r="J3" i="27"/>
  <c r="K64" i="38"/>
  <c r="J2" i="27"/>
  <c r="L8" i="38"/>
  <c r="K6" i="23"/>
  <c r="L17" i="38"/>
  <c r="K3" i="24"/>
  <c r="K41" i="38"/>
  <c r="J3" i="25"/>
  <c r="L5" i="38"/>
  <c r="K3" i="23"/>
  <c r="K20" i="38"/>
  <c r="J6" i="24"/>
  <c r="K56" i="38"/>
  <c r="J6" i="26"/>
  <c r="K70" i="38"/>
  <c r="J8" i="27"/>
  <c r="K57" i="38"/>
  <c r="J7" i="26"/>
  <c r="K25" i="38"/>
  <c r="J11" i="24"/>
  <c r="K7" i="38"/>
  <c r="J5" i="23"/>
  <c r="K24" i="38"/>
  <c r="J10" i="24"/>
  <c r="K43" i="38"/>
  <c r="J5" i="25"/>
  <c r="K52" i="38"/>
  <c r="J2" i="26"/>
  <c r="K23" i="38"/>
  <c r="J9" i="24"/>
  <c r="K2" i="17" l="1"/>
  <c r="K32" i="47"/>
  <c r="K2" i="14"/>
  <c r="K31" i="47"/>
  <c r="Q29" i="47"/>
  <c r="R28" i="47"/>
  <c r="R26" i="47"/>
  <c r="R27" i="47"/>
  <c r="S22" i="47"/>
  <c r="K87" i="36"/>
  <c r="K102" i="36" s="1"/>
  <c r="K86" i="36"/>
  <c r="K101" i="36" s="1"/>
  <c r="K81" i="36"/>
  <c r="K96" i="36" s="1"/>
  <c r="K80" i="36"/>
  <c r="K95" i="36" s="1"/>
  <c r="K83" i="36"/>
  <c r="K98" i="36" s="1"/>
  <c r="K78" i="36"/>
  <c r="K93" i="36" s="1"/>
  <c r="K23" i="47" s="1"/>
  <c r="K24" i="47" s="1"/>
  <c r="K84" i="36"/>
  <c r="K99" i="36" s="1"/>
  <c r="K85" i="36"/>
  <c r="K100" i="36" s="1"/>
  <c r="K82" i="36"/>
  <c r="K97" i="36" s="1"/>
  <c r="K79" i="36"/>
  <c r="K94" i="36" s="1"/>
  <c r="L22" i="36"/>
  <c r="K8" i="14"/>
  <c r="L58" i="36"/>
  <c r="K8" i="16"/>
  <c r="L43" i="36"/>
  <c r="K5" i="15"/>
  <c r="L55" i="36"/>
  <c r="K5" i="16"/>
  <c r="L40" i="36"/>
  <c r="K2" i="15"/>
  <c r="M12" i="36"/>
  <c r="L10" i="21"/>
  <c r="L47" i="36"/>
  <c r="K9" i="15"/>
  <c r="L46" i="36"/>
  <c r="K8" i="15"/>
  <c r="L56" i="36"/>
  <c r="K6" i="16"/>
  <c r="L66" i="36"/>
  <c r="K4" i="17"/>
  <c r="L8" i="36"/>
  <c r="K6" i="21"/>
  <c r="L9" i="36"/>
  <c r="K7" i="21"/>
  <c r="M7" i="36"/>
  <c r="L5" i="21"/>
  <c r="L24" i="36"/>
  <c r="K10" i="14"/>
  <c r="L41" i="36"/>
  <c r="K3" i="15"/>
  <c r="L70" i="36"/>
  <c r="K8" i="17"/>
  <c r="L18" i="36"/>
  <c r="K4" i="14"/>
  <c r="L4" i="36"/>
  <c r="K2" i="21"/>
  <c r="L16" i="36"/>
  <c r="L49" i="36"/>
  <c r="K11" i="15"/>
  <c r="L53" i="36"/>
  <c r="K3" i="16"/>
  <c r="L64" i="36"/>
  <c r="L69" i="36"/>
  <c r="K7" i="17"/>
  <c r="L19" i="36"/>
  <c r="K5" i="14"/>
  <c r="L61" i="36"/>
  <c r="K11" i="16"/>
  <c r="L25" i="36"/>
  <c r="K11" i="14"/>
  <c r="L68" i="36"/>
  <c r="K6" i="17"/>
  <c r="L45" i="36"/>
  <c r="K7" i="15"/>
  <c r="L42" i="36"/>
  <c r="K4" i="15"/>
  <c r="L10" i="36"/>
  <c r="K8" i="21"/>
  <c r="L52" i="36"/>
  <c r="K2" i="16"/>
  <c r="L44" i="36"/>
  <c r="K6" i="15"/>
  <c r="L21" i="36"/>
  <c r="K7" i="14"/>
  <c r="L23" i="36"/>
  <c r="K9" i="14"/>
  <c r="L6" i="36"/>
  <c r="K4" i="21"/>
  <c r="L65" i="36"/>
  <c r="K3" i="17"/>
  <c r="L73" i="36"/>
  <c r="K11" i="17"/>
  <c r="L67" i="36"/>
  <c r="K5" i="17"/>
  <c r="L54" i="36"/>
  <c r="K4" i="16"/>
  <c r="L17" i="36"/>
  <c r="K3" i="14"/>
  <c r="M11" i="36"/>
  <c r="L9" i="21"/>
  <c r="L59" i="36"/>
  <c r="K9" i="16"/>
  <c r="L71" i="36"/>
  <c r="K9" i="17"/>
  <c r="L48" i="36"/>
  <c r="K10" i="15"/>
  <c r="L60" i="36"/>
  <c r="K10" i="16"/>
  <c r="L20" i="36"/>
  <c r="K6" i="14"/>
  <c r="L5" i="36"/>
  <c r="K3" i="21"/>
  <c r="L13" i="36"/>
  <c r="K11" i="21"/>
  <c r="L57" i="36"/>
  <c r="K7" i="16"/>
  <c r="L72" i="36"/>
  <c r="K10" i="17"/>
  <c r="M45" i="37"/>
  <c r="L7" i="11"/>
  <c r="L70" i="37"/>
  <c r="K8" i="13"/>
  <c r="L10" i="37"/>
  <c r="K8" i="18"/>
  <c r="L66" i="37"/>
  <c r="K4" i="13"/>
  <c r="L4" i="37"/>
  <c r="K2" i="18"/>
  <c r="L18" i="37"/>
  <c r="K4" i="20"/>
  <c r="L72" i="37"/>
  <c r="K10" i="13"/>
  <c r="L68" i="37"/>
  <c r="K6" i="13"/>
  <c r="M21" i="37"/>
  <c r="L7" i="20"/>
  <c r="L8" i="37"/>
  <c r="K6" i="18"/>
  <c r="L69" i="37"/>
  <c r="K7" i="13"/>
  <c r="L9" i="37"/>
  <c r="K7" i="18"/>
  <c r="L13" i="37"/>
  <c r="K11" i="18"/>
  <c r="L54" i="37"/>
  <c r="K4" i="12"/>
  <c r="L16" i="37"/>
  <c r="K2" i="20"/>
  <c r="L67" i="37"/>
  <c r="K5" i="13"/>
  <c r="N23" i="37"/>
  <c r="M9" i="20"/>
  <c r="L40" i="37"/>
  <c r="K2" i="11"/>
  <c r="L55" i="37"/>
  <c r="K5" i="12"/>
  <c r="L52" i="37"/>
  <c r="K2" i="12"/>
  <c r="L47" i="37"/>
  <c r="K9" i="11"/>
  <c r="L56" i="37"/>
  <c r="K6" i="12"/>
  <c r="L12" i="37"/>
  <c r="K10" i="18"/>
  <c r="L44" i="37"/>
  <c r="K6" i="11"/>
  <c r="L58" i="37"/>
  <c r="K8" i="12"/>
  <c r="L53" i="37"/>
  <c r="K3" i="12"/>
  <c r="L59" i="37"/>
  <c r="K9" i="12"/>
  <c r="M65" i="37"/>
  <c r="L3" i="13"/>
  <c r="M64" i="37"/>
  <c r="L2" i="13"/>
  <c r="L60" i="37"/>
  <c r="K10" i="12"/>
  <c r="L71" i="37"/>
  <c r="K9" i="13"/>
  <c r="L48" i="37"/>
  <c r="K10" i="11"/>
  <c r="L61" i="37"/>
  <c r="K11" i="12"/>
  <c r="L5" i="37"/>
  <c r="K3" i="18"/>
  <c r="L46" i="37"/>
  <c r="K8" i="11"/>
  <c r="L6" i="37"/>
  <c r="K4" i="18"/>
  <c r="L17" i="37"/>
  <c r="K3" i="20"/>
  <c r="M11" i="37"/>
  <c r="L9" i="18"/>
  <c r="L7" i="37"/>
  <c r="K5" i="18"/>
  <c r="M22" i="37"/>
  <c r="L8" i="20"/>
  <c r="L41" i="37"/>
  <c r="K3" i="11"/>
  <c r="L20" i="37"/>
  <c r="K6" i="20"/>
  <c r="L43" i="37"/>
  <c r="K5" i="11"/>
  <c r="L24" i="37"/>
  <c r="K10" i="20"/>
  <c r="M73" i="37"/>
  <c r="L11" i="13"/>
  <c r="M42" i="37"/>
  <c r="L4" i="11"/>
  <c r="L57" i="37"/>
  <c r="K7" i="12"/>
  <c r="L19" i="37"/>
  <c r="K5" i="20"/>
  <c r="M25" i="37"/>
  <c r="L11" i="20"/>
  <c r="L49" i="37"/>
  <c r="K11" i="11"/>
  <c r="L43" i="38"/>
  <c r="K5" i="25"/>
  <c r="L56" i="38"/>
  <c r="K6" i="26"/>
  <c r="L64" i="38"/>
  <c r="K2" i="27"/>
  <c r="L66" i="38"/>
  <c r="K4" i="27"/>
  <c r="L16" i="38"/>
  <c r="K2" i="24"/>
  <c r="L72" i="38"/>
  <c r="K10" i="27"/>
  <c r="M6" i="38"/>
  <c r="L4" i="23"/>
  <c r="L9" i="38"/>
  <c r="K7" i="23"/>
  <c r="L24" i="38"/>
  <c r="K10" i="24"/>
  <c r="L20" i="38"/>
  <c r="K6" i="24"/>
  <c r="L65" i="38"/>
  <c r="K3" i="27"/>
  <c r="L53" i="38"/>
  <c r="K3" i="26"/>
  <c r="L58" i="38"/>
  <c r="K8" i="26"/>
  <c r="L71" i="38"/>
  <c r="K9" i="27"/>
  <c r="L69" i="38"/>
  <c r="K7" i="27"/>
  <c r="K5" i="27"/>
  <c r="L67" i="38"/>
  <c r="L7" i="38"/>
  <c r="K5" i="23"/>
  <c r="M5" i="38"/>
  <c r="L3" i="23"/>
  <c r="L22" i="38"/>
  <c r="K8" i="24"/>
  <c r="L13" i="38"/>
  <c r="K11" i="23"/>
  <c r="L10" i="38"/>
  <c r="K8" i="23"/>
  <c r="L40" i="38"/>
  <c r="K2" i="25"/>
  <c r="L59" i="38"/>
  <c r="K9" i="26"/>
  <c r="L21" i="38"/>
  <c r="K7" i="24"/>
  <c r="L25" i="38"/>
  <c r="K11" i="24"/>
  <c r="L41" i="38"/>
  <c r="K3" i="25"/>
  <c r="L49" i="38"/>
  <c r="K11" i="25"/>
  <c r="L45" i="38"/>
  <c r="K7" i="25"/>
  <c r="L11" i="38"/>
  <c r="K9" i="23"/>
  <c r="L61" i="38"/>
  <c r="K11" i="26"/>
  <c r="L12" i="38"/>
  <c r="K10" i="23"/>
  <c r="L54" i="38"/>
  <c r="K4" i="26"/>
  <c r="L23" i="38"/>
  <c r="K9" i="24"/>
  <c r="L57" i="38"/>
  <c r="K7" i="26"/>
  <c r="M17" i="38"/>
  <c r="L3" i="24"/>
  <c r="M55" i="38"/>
  <c r="L5" i="26"/>
  <c r="L73" i="38"/>
  <c r="K11" i="27"/>
  <c r="L42" i="38"/>
  <c r="K4" i="25"/>
  <c r="L48" i="38"/>
  <c r="K10" i="25"/>
  <c r="L47" i="38"/>
  <c r="K9" i="25"/>
  <c r="L19" i="38"/>
  <c r="K5" i="24"/>
  <c r="L52" i="38"/>
  <c r="K2" i="26"/>
  <c r="L70" i="38"/>
  <c r="K8" i="27"/>
  <c r="M8" i="38"/>
  <c r="L6" i="23"/>
  <c r="L60" i="38"/>
  <c r="K10" i="26"/>
  <c r="L46" i="38"/>
  <c r="K8" i="25"/>
  <c r="M4" i="38"/>
  <c r="L2" i="23"/>
  <c r="L44" i="38"/>
  <c r="K6" i="25"/>
  <c r="L18" i="38"/>
  <c r="K4" i="24"/>
  <c r="L68" i="38"/>
  <c r="K6" i="27"/>
  <c r="L2" i="14" l="1"/>
  <c r="L31" i="47"/>
  <c r="L2" i="17"/>
  <c r="L32" i="47"/>
  <c r="T22" i="47"/>
  <c r="S26" i="47"/>
  <c r="S28" i="47"/>
  <c r="S27" i="47"/>
  <c r="R29" i="47"/>
  <c r="L80" i="36"/>
  <c r="L95" i="36" s="1"/>
  <c r="L87" i="36"/>
  <c r="L102" i="36" s="1"/>
  <c r="L81" i="36"/>
  <c r="L96" i="36" s="1"/>
  <c r="L78" i="36"/>
  <c r="L93" i="36" s="1"/>
  <c r="L23" i="47" s="1"/>
  <c r="L24" i="47" s="1"/>
  <c r="L79" i="36"/>
  <c r="L94" i="36" s="1"/>
  <c r="L82" i="36"/>
  <c r="L97" i="36" s="1"/>
  <c r="L85" i="36"/>
  <c r="L100" i="36" s="1"/>
  <c r="L84" i="36"/>
  <c r="L99" i="36" s="1"/>
  <c r="L86" i="36"/>
  <c r="L101" i="36" s="1"/>
  <c r="L83" i="36"/>
  <c r="L98" i="36" s="1"/>
  <c r="M13" i="36"/>
  <c r="L11" i="21"/>
  <c r="M17" i="36"/>
  <c r="L3" i="14"/>
  <c r="M65" i="36"/>
  <c r="L3" i="17"/>
  <c r="M44" i="36"/>
  <c r="L6" i="15"/>
  <c r="M45" i="36"/>
  <c r="L7" i="15"/>
  <c r="M19" i="36"/>
  <c r="L5" i="14"/>
  <c r="M49" i="36"/>
  <c r="L11" i="15"/>
  <c r="M70" i="36"/>
  <c r="L8" i="17"/>
  <c r="M9" i="36"/>
  <c r="L7" i="21"/>
  <c r="M46" i="36"/>
  <c r="L8" i="15"/>
  <c r="M55" i="36"/>
  <c r="L5" i="16"/>
  <c r="M48" i="36"/>
  <c r="L10" i="15"/>
  <c r="M5" i="36"/>
  <c r="L3" i="21"/>
  <c r="M71" i="36"/>
  <c r="L9" i="17"/>
  <c r="M54" i="36"/>
  <c r="L4" i="16"/>
  <c r="M6" i="36"/>
  <c r="L4" i="21"/>
  <c r="M52" i="36"/>
  <c r="L2" i="16"/>
  <c r="M68" i="36"/>
  <c r="L6" i="17"/>
  <c r="M69" i="36"/>
  <c r="L7" i="17"/>
  <c r="M16" i="36"/>
  <c r="M41" i="36"/>
  <c r="L3" i="15"/>
  <c r="M8" i="36"/>
  <c r="L6" i="21"/>
  <c r="M47" i="36"/>
  <c r="L9" i="15"/>
  <c r="M43" i="36"/>
  <c r="L5" i="15"/>
  <c r="M72" i="36"/>
  <c r="L10" i="17"/>
  <c r="M20" i="36"/>
  <c r="L6" i="14"/>
  <c r="M59" i="36"/>
  <c r="L9" i="16"/>
  <c r="M67" i="36"/>
  <c r="L5" i="17"/>
  <c r="M23" i="36"/>
  <c r="L9" i="14"/>
  <c r="M10" i="36"/>
  <c r="L8" i="21"/>
  <c r="M25" i="36"/>
  <c r="L11" i="14"/>
  <c r="M64" i="36"/>
  <c r="M4" i="36"/>
  <c r="L2" i="21"/>
  <c r="M24" i="36"/>
  <c r="L10" i="14"/>
  <c r="M66" i="36"/>
  <c r="L4" i="17"/>
  <c r="N12" i="36"/>
  <c r="M10" i="21"/>
  <c r="M58" i="36"/>
  <c r="L8" i="16"/>
  <c r="M57" i="36"/>
  <c r="L7" i="16"/>
  <c r="M60" i="36"/>
  <c r="L10" i="16"/>
  <c r="N11" i="36"/>
  <c r="M9" i="21"/>
  <c r="M73" i="36"/>
  <c r="L11" i="17"/>
  <c r="M21" i="36"/>
  <c r="L7" i="14"/>
  <c r="M42" i="36"/>
  <c r="L4" i="15"/>
  <c r="M61" i="36"/>
  <c r="L11" i="16"/>
  <c r="M53" i="36"/>
  <c r="L3" i="16"/>
  <c r="M18" i="36"/>
  <c r="L4" i="14"/>
  <c r="N7" i="36"/>
  <c r="M5" i="21"/>
  <c r="M56" i="36"/>
  <c r="L6" i="16"/>
  <c r="M40" i="36"/>
  <c r="L2" i="15"/>
  <c r="M22" i="36"/>
  <c r="L8" i="14"/>
  <c r="M19" i="37"/>
  <c r="L5" i="20"/>
  <c r="M20" i="37"/>
  <c r="L6" i="20"/>
  <c r="M6" i="37"/>
  <c r="L4" i="18"/>
  <c r="M60" i="37"/>
  <c r="L10" i="12"/>
  <c r="M44" i="37"/>
  <c r="L6" i="11"/>
  <c r="M40" i="37"/>
  <c r="L2" i="11"/>
  <c r="M9" i="37"/>
  <c r="L7" i="18"/>
  <c r="M18" i="37"/>
  <c r="L4" i="20"/>
  <c r="M57" i="37"/>
  <c r="L7" i="12"/>
  <c r="M41" i="37"/>
  <c r="L3" i="11"/>
  <c r="M46" i="37"/>
  <c r="L8" i="11"/>
  <c r="N64" i="37"/>
  <c r="M2" i="13"/>
  <c r="M12" i="37"/>
  <c r="L10" i="18"/>
  <c r="O23" i="37"/>
  <c r="N9" i="20"/>
  <c r="M69" i="37"/>
  <c r="L7" i="13"/>
  <c r="M4" i="37"/>
  <c r="L2" i="18"/>
  <c r="N42" i="37"/>
  <c r="M4" i="11"/>
  <c r="N22" i="37"/>
  <c r="M8" i="20"/>
  <c r="M5" i="37"/>
  <c r="L3" i="18"/>
  <c r="N65" i="37"/>
  <c r="M3" i="13"/>
  <c r="M56" i="37"/>
  <c r="L6" i="12"/>
  <c r="M67" i="37"/>
  <c r="L5" i="13"/>
  <c r="M8" i="37"/>
  <c r="L6" i="18"/>
  <c r="M66" i="37"/>
  <c r="L4" i="13"/>
  <c r="N73" i="37"/>
  <c r="M11" i="13"/>
  <c r="M7" i="37"/>
  <c r="L5" i="18"/>
  <c r="M61" i="37"/>
  <c r="L11" i="12"/>
  <c r="M59" i="37"/>
  <c r="L9" i="12"/>
  <c r="M47" i="37"/>
  <c r="L9" i="11"/>
  <c r="M16" i="37"/>
  <c r="L2" i="20"/>
  <c r="N21" i="37"/>
  <c r="M7" i="20"/>
  <c r="M10" i="37"/>
  <c r="L8" i="18"/>
  <c r="M49" i="37"/>
  <c r="L11" i="11"/>
  <c r="M24" i="37"/>
  <c r="L10" i="20"/>
  <c r="N11" i="37"/>
  <c r="M9" i="18"/>
  <c r="M48" i="37"/>
  <c r="L10" i="11"/>
  <c r="M53" i="37"/>
  <c r="L3" i="12"/>
  <c r="M52" i="37"/>
  <c r="L2" i="12"/>
  <c r="M54" i="37"/>
  <c r="L4" i="12"/>
  <c r="M68" i="37"/>
  <c r="L6" i="13"/>
  <c r="M70" i="37"/>
  <c r="L8" i="13"/>
  <c r="N25" i="37"/>
  <c r="M11" i="20"/>
  <c r="M43" i="37"/>
  <c r="L5" i="11"/>
  <c r="M17" i="37"/>
  <c r="L3" i="20"/>
  <c r="M71" i="37"/>
  <c r="L9" i="13"/>
  <c r="M58" i="37"/>
  <c r="L8" i="12"/>
  <c r="M55" i="37"/>
  <c r="L5" i="12"/>
  <c r="M13" i="37"/>
  <c r="L11" i="18"/>
  <c r="M72" i="37"/>
  <c r="L10" i="13"/>
  <c r="N45" i="37"/>
  <c r="M7" i="11"/>
  <c r="M21" i="38"/>
  <c r="L7" i="24"/>
  <c r="M61" i="38"/>
  <c r="L11" i="26"/>
  <c r="N4" i="38"/>
  <c r="M2" i="23"/>
  <c r="M19" i="38"/>
  <c r="L5" i="24"/>
  <c r="N17" i="38"/>
  <c r="M3" i="24"/>
  <c r="M11" i="38"/>
  <c r="L9" i="23"/>
  <c r="M59" i="38"/>
  <c r="L9" i="26"/>
  <c r="M7" i="38"/>
  <c r="L5" i="23"/>
  <c r="M65" i="38"/>
  <c r="L3" i="27"/>
  <c r="M16" i="38"/>
  <c r="L2" i="24"/>
  <c r="N5" i="38"/>
  <c r="M3" i="23"/>
  <c r="M67" i="38"/>
  <c r="L5" i="27"/>
  <c r="M72" i="38"/>
  <c r="L10" i="27"/>
  <c r="M46" i="38"/>
  <c r="L8" i="25"/>
  <c r="M47" i="38"/>
  <c r="L9" i="25"/>
  <c r="M57" i="38"/>
  <c r="L7" i="26"/>
  <c r="M45" i="38"/>
  <c r="L7" i="25"/>
  <c r="M40" i="38"/>
  <c r="L2" i="25"/>
  <c r="M20" i="38"/>
  <c r="L6" i="24"/>
  <c r="M66" i="38"/>
  <c r="L4" i="27"/>
  <c r="M53" i="38"/>
  <c r="L3" i="26"/>
  <c r="N55" i="38"/>
  <c r="M5" i="26"/>
  <c r="M60" i="38"/>
  <c r="L10" i="26"/>
  <c r="M48" i="38"/>
  <c r="L10" i="25"/>
  <c r="M23" i="38"/>
  <c r="L9" i="24"/>
  <c r="M49" i="38"/>
  <c r="L11" i="25"/>
  <c r="M10" i="38"/>
  <c r="L8" i="23"/>
  <c r="M69" i="38"/>
  <c r="L7" i="27"/>
  <c r="M24" i="38"/>
  <c r="L10" i="24"/>
  <c r="M64" i="38"/>
  <c r="L2" i="27"/>
  <c r="L6" i="25"/>
  <c r="M44" i="38"/>
  <c r="M52" i="38"/>
  <c r="L2" i="26"/>
  <c r="M68" i="38"/>
  <c r="L6" i="27"/>
  <c r="N8" i="38"/>
  <c r="M6" i="23"/>
  <c r="M42" i="38"/>
  <c r="L4" i="25"/>
  <c r="M54" i="38"/>
  <c r="L4" i="26"/>
  <c r="M41" i="38"/>
  <c r="L3" i="25"/>
  <c r="M13" i="38"/>
  <c r="L11" i="23"/>
  <c r="M71" i="38"/>
  <c r="L9" i="27"/>
  <c r="M9" i="38"/>
  <c r="L7" i="23"/>
  <c r="M56" i="38"/>
  <c r="L6" i="26"/>
  <c r="M18" i="38"/>
  <c r="L4" i="24"/>
  <c r="M70" i="38"/>
  <c r="L8" i="27"/>
  <c r="M73" i="38"/>
  <c r="L11" i="27"/>
  <c r="M12" i="38"/>
  <c r="L10" i="23"/>
  <c r="M25" i="38"/>
  <c r="L11" i="24"/>
  <c r="M22" i="38"/>
  <c r="L8" i="24"/>
  <c r="M58" i="38"/>
  <c r="L8" i="26"/>
  <c r="N6" i="38"/>
  <c r="M4" i="23"/>
  <c r="M43" i="38"/>
  <c r="L5" i="25"/>
  <c r="M2" i="17" l="1"/>
  <c r="M32" i="47"/>
  <c r="M2" i="14"/>
  <c r="M31" i="47"/>
  <c r="S29" i="47"/>
  <c r="T28" i="47"/>
  <c r="T27" i="47"/>
  <c r="T26" i="47"/>
  <c r="U22" i="47"/>
  <c r="M78" i="36"/>
  <c r="M93" i="36" s="1"/>
  <c r="M23" i="47" s="1"/>
  <c r="M24" i="47" s="1"/>
  <c r="M87" i="36"/>
  <c r="M102" i="36" s="1"/>
  <c r="M82" i="36"/>
  <c r="M97" i="36" s="1"/>
  <c r="M79" i="36"/>
  <c r="M94" i="36" s="1"/>
  <c r="M80" i="36"/>
  <c r="M95" i="36" s="1"/>
  <c r="M84" i="36"/>
  <c r="M99" i="36" s="1"/>
  <c r="M85" i="36"/>
  <c r="M100" i="36" s="1"/>
  <c r="M83" i="36"/>
  <c r="M98" i="36" s="1"/>
  <c r="M81" i="36"/>
  <c r="M96" i="36" s="1"/>
  <c r="M86" i="36"/>
  <c r="M101" i="36" s="1"/>
  <c r="N61" i="36"/>
  <c r="M11" i="16"/>
  <c r="O11" i="36"/>
  <c r="N9" i="21"/>
  <c r="O12" i="36"/>
  <c r="N10" i="21"/>
  <c r="N64" i="36"/>
  <c r="N67" i="36"/>
  <c r="M5" i="17"/>
  <c r="N43" i="36"/>
  <c r="M5" i="15"/>
  <c r="N16" i="36"/>
  <c r="N6" i="36"/>
  <c r="M4" i="21"/>
  <c r="N48" i="36"/>
  <c r="M10" i="15"/>
  <c r="N70" i="36"/>
  <c r="M8" i="17"/>
  <c r="N44" i="36"/>
  <c r="M6" i="15"/>
  <c r="N56" i="36"/>
  <c r="M6" i="16"/>
  <c r="O7" i="36"/>
  <c r="N5" i="21"/>
  <c r="N42" i="36"/>
  <c r="M4" i="15"/>
  <c r="N60" i="36"/>
  <c r="M10" i="16"/>
  <c r="N66" i="36"/>
  <c r="M4" i="17"/>
  <c r="N25" i="36"/>
  <c r="M11" i="14"/>
  <c r="N59" i="36"/>
  <c r="M9" i="16"/>
  <c r="N47" i="36"/>
  <c r="M9" i="15"/>
  <c r="N69" i="36"/>
  <c r="M7" i="17"/>
  <c r="N54" i="36"/>
  <c r="M4" i="16"/>
  <c r="N55" i="36"/>
  <c r="M5" i="16"/>
  <c r="N49" i="36"/>
  <c r="M11" i="15"/>
  <c r="N65" i="36"/>
  <c r="N79" i="36" s="1"/>
  <c r="N94" i="36" s="1"/>
  <c r="M3" i="17"/>
  <c r="N22" i="36"/>
  <c r="M8" i="14"/>
  <c r="N18" i="36"/>
  <c r="M4" i="14"/>
  <c r="N21" i="36"/>
  <c r="M7" i="14"/>
  <c r="N57" i="36"/>
  <c r="M7" i="16"/>
  <c r="N24" i="36"/>
  <c r="M10" i="14"/>
  <c r="N10" i="36"/>
  <c r="M8" i="21"/>
  <c r="N20" i="36"/>
  <c r="M6" i="14"/>
  <c r="N8" i="36"/>
  <c r="M6" i="21"/>
  <c r="N68" i="36"/>
  <c r="N82" i="36" s="1"/>
  <c r="N97" i="36" s="1"/>
  <c r="M6" i="17"/>
  <c r="N71" i="36"/>
  <c r="M9" i="17"/>
  <c r="N46" i="36"/>
  <c r="M8" i="15"/>
  <c r="N19" i="36"/>
  <c r="M5" i="14"/>
  <c r="N17" i="36"/>
  <c r="M3" i="14"/>
  <c r="N40" i="36"/>
  <c r="M2" i="15"/>
  <c r="N53" i="36"/>
  <c r="M3" i="16"/>
  <c r="N73" i="36"/>
  <c r="M11" i="17"/>
  <c r="N58" i="36"/>
  <c r="M8" i="16"/>
  <c r="N4" i="36"/>
  <c r="M2" i="21"/>
  <c r="N23" i="36"/>
  <c r="M9" i="14"/>
  <c r="N72" i="36"/>
  <c r="M10" i="17"/>
  <c r="N41" i="36"/>
  <c r="M3" i="15"/>
  <c r="N52" i="36"/>
  <c r="M2" i="16"/>
  <c r="N5" i="36"/>
  <c r="M3" i="21"/>
  <c r="N9" i="36"/>
  <c r="M7" i="21"/>
  <c r="N45" i="36"/>
  <c r="M7" i="15"/>
  <c r="N13" i="36"/>
  <c r="M11" i="21"/>
  <c r="N13" i="37"/>
  <c r="M11" i="18"/>
  <c r="O25" i="37"/>
  <c r="N11" i="20"/>
  <c r="N48" i="37"/>
  <c r="M10" i="11"/>
  <c r="N16" i="37"/>
  <c r="M2" i="20"/>
  <c r="N66" i="37"/>
  <c r="M4" i="13"/>
  <c r="O22" i="37"/>
  <c r="N8" i="20"/>
  <c r="O64" i="37"/>
  <c r="N2" i="13"/>
  <c r="N40" i="37"/>
  <c r="M2" i="11"/>
  <c r="N55" i="37"/>
  <c r="M5" i="12"/>
  <c r="N70" i="37"/>
  <c r="M8" i="13"/>
  <c r="O11" i="37"/>
  <c r="N9" i="18"/>
  <c r="N47" i="37"/>
  <c r="M9" i="11"/>
  <c r="N8" i="37"/>
  <c r="M6" i="18"/>
  <c r="O42" i="37"/>
  <c r="N4" i="11"/>
  <c r="N46" i="37"/>
  <c r="M8" i="11"/>
  <c r="N44" i="37"/>
  <c r="M6" i="11"/>
  <c r="N58" i="37"/>
  <c r="M8" i="12"/>
  <c r="N68" i="37"/>
  <c r="M6" i="13"/>
  <c r="N24" i="37"/>
  <c r="M10" i="20"/>
  <c r="N59" i="37"/>
  <c r="M9" i="12"/>
  <c r="N67" i="37"/>
  <c r="M5" i="13"/>
  <c r="N4" i="37"/>
  <c r="M2" i="18"/>
  <c r="N41" i="37"/>
  <c r="M3" i="11"/>
  <c r="N60" i="37"/>
  <c r="M10" i="12"/>
  <c r="N54" i="37"/>
  <c r="M4" i="12"/>
  <c r="N49" i="37"/>
  <c r="M11" i="11"/>
  <c r="N61" i="37"/>
  <c r="M11" i="12"/>
  <c r="N56" i="37"/>
  <c r="M6" i="12"/>
  <c r="N69" i="37"/>
  <c r="M7" i="13"/>
  <c r="N57" i="37"/>
  <c r="M7" i="12"/>
  <c r="N6" i="37"/>
  <c r="M4" i="18"/>
  <c r="N71" i="37"/>
  <c r="M9" i="13"/>
  <c r="N17" i="37"/>
  <c r="M3" i="20"/>
  <c r="N10" i="37"/>
  <c r="M8" i="18"/>
  <c r="N7" i="37"/>
  <c r="M5" i="18"/>
  <c r="O65" i="37"/>
  <c r="N3" i="13"/>
  <c r="P23" i="37"/>
  <c r="O9" i="20"/>
  <c r="N18" i="37"/>
  <c r="M4" i="20"/>
  <c r="N20" i="37"/>
  <c r="M6" i="20"/>
  <c r="O45" i="37"/>
  <c r="N7" i="11"/>
  <c r="N52" i="37"/>
  <c r="M2" i="12"/>
  <c r="N72" i="37"/>
  <c r="M10" i="13"/>
  <c r="N43" i="37"/>
  <c r="M5" i="11"/>
  <c r="N53" i="37"/>
  <c r="M3" i="12"/>
  <c r="O21" i="37"/>
  <c r="N7" i="20"/>
  <c r="O73" i="37"/>
  <c r="N11" i="13"/>
  <c r="N5" i="37"/>
  <c r="M3" i="18"/>
  <c r="N12" i="37"/>
  <c r="M10" i="18"/>
  <c r="N9" i="37"/>
  <c r="M7" i="18"/>
  <c r="N19" i="37"/>
  <c r="M5" i="20"/>
  <c r="N58" i="38"/>
  <c r="M8" i="26"/>
  <c r="N18" i="38"/>
  <c r="M4" i="24"/>
  <c r="N54" i="38"/>
  <c r="M4" i="26"/>
  <c r="N64" i="38"/>
  <c r="M2" i="27"/>
  <c r="N48" i="38"/>
  <c r="M10" i="25"/>
  <c r="N40" i="38"/>
  <c r="M2" i="25"/>
  <c r="N67" i="38"/>
  <c r="M5" i="27"/>
  <c r="N11" i="38"/>
  <c r="M9" i="23"/>
  <c r="N22" i="38"/>
  <c r="M8" i="24"/>
  <c r="N56" i="38"/>
  <c r="M6" i="26"/>
  <c r="N42" i="38"/>
  <c r="M4" i="25"/>
  <c r="N24" i="38"/>
  <c r="M10" i="24"/>
  <c r="N60" i="38"/>
  <c r="M10" i="26"/>
  <c r="N45" i="38"/>
  <c r="M7" i="25"/>
  <c r="O5" i="38"/>
  <c r="N3" i="23"/>
  <c r="O17" i="38"/>
  <c r="N3" i="24"/>
  <c r="N25" i="38"/>
  <c r="M11" i="24"/>
  <c r="N9" i="38"/>
  <c r="M7" i="23"/>
  <c r="O8" i="38"/>
  <c r="N6" i="23"/>
  <c r="N69" i="38"/>
  <c r="M7" i="27"/>
  <c r="O55" i="38"/>
  <c r="N5" i="26"/>
  <c r="N57" i="38"/>
  <c r="M7" i="26"/>
  <c r="N16" i="38"/>
  <c r="M2" i="24"/>
  <c r="N19" i="38"/>
  <c r="M5" i="24"/>
  <c r="N12" i="38"/>
  <c r="M10" i="23"/>
  <c r="N71" i="38"/>
  <c r="M9" i="27"/>
  <c r="M6" i="27"/>
  <c r="N68" i="38"/>
  <c r="N10" i="38"/>
  <c r="M8" i="23"/>
  <c r="N53" i="38"/>
  <c r="M3" i="26"/>
  <c r="N47" i="38"/>
  <c r="M9" i="25"/>
  <c r="N65" i="38"/>
  <c r="M3" i="27"/>
  <c r="O4" i="38"/>
  <c r="N2" i="23"/>
  <c r="N43" i="38"/>
  <c r="M5" i="25"/>
  <c r="N73" i="38"/>
  <c r="M11" i="27"/>
  <c r="N13" i="38"/>
  <c r="M11" i="23"/>
  <c r="N52" i="38"/>
  <c r="M2" i="26"/>
  <c r="N49" i="38"/>
  <c r="M11" i="25"/>
  <c r="N66" i="38"/>
  <c r="M4" i="27"/>
  <c r="N46" i="38"/>
  <c r="M8" i="25"/>
  <c r="N7" i="38"/>
  <c r="M5" i="23"/>
  <c r="N61" i="38"/>
  <c r="M11" i="26"/>
  <c r="N44" i="38"/>
  <c r="M6" i="25"/>
  <c r="O6" i="38"/>
  <c r="N4" i="23"/>
  <c r="N70" i="38"/>
  <c r="M8" i="27"/>
  <c r="N41" i="38"/>
  <c r="M3" i="25"/>
  <c r="N23" i="38"/>
  <c r="M9" i="24"/>
  <c r="N20" i="38"/>
  <c r="M6" i="24"/>
  <c r="N72" i="38"/>
  <c r="M10" i="27"/>
  <c r="N59" i="38"/>
  <c r="M9" i="26"/>
  <c r="N21" i="38"/>
  <c r="M7" i="24"/>
  <c r="N2" i="14" l="1"/>
  <c r="N31" i="47"/>
  <c r="N2" i="17"/>
  <c r="N32" i="47"/>
  <c r="V22" i="47"/>
  <c r="U28" i="47"/>
  <c r="U27" i="47"/>
  <c r="U26" i="47"/>
  <c r="T29" i="47"/>
  <c r="N87" i="36"/>
  <c r="N102" i="36" s="1"/>
  <c r="N78" i="36"/>
  <c r="N93" i="36" s="1"/>
  <c r="N23" i="47" s="1"/>
  <c r="N24" i="47" s="1"/>
  <c r="N84" i="36"/>
  <c r="N99" i="36" s="1"/>
  <c r="N83" i="36"/>
  <c r="N98" i="36" s="1"/>
  <c r="N81" i="36"/>
  <c r="N96" i="36" s="1"/>
  <c r="N86" i="36"/>
  <c r="N101" i="36" s="1"/>
  <c r="N85" i="36"/>
  <c r="N100" i="36" s="1"/>
  <c r="N80" i="36"/>
  <c r="N95" i="36" s="1"/>
  <c r="O9" i="36"/>
  <c r="N7" i="21"/>
  <c r="O73" i="36"/>
  <c r="N11" i="17"/>
  <c r="O19" i="36"/>
  <c r="N5" i="14"/>
  <c r="O8" i="36"/>
  <c r="N6" i="21"/>
  <c r="O57" i="36"/>
  <c r="N7" i="16"/>
  <c r="O65" i="36"/>
  <c r="N3" i="17"/>
  <c r="O69" i="36"/>
  <c r="N7" i="17"/>
  <c r="O66" i="36"/>
  <c r="N4" i="17"/>
  <c r="O56" i="36"/>
  <c r="N6" i="16"/>
  <c r="O6" i="36"/>
  <c r="N4" i="21"/>
  <c r="O64" i="36"/>
  <c r="O72" i="36"/>
  <c r="N10" i="17"/>
  <c r="O5" i="36"/>
  <c r="N3" i="21"/>
  <c r="O23" i="36"/>
  <c r="N9" i="14"/>
  <c r="O53" i="36"/>
  <c r="N3" i="16"/>
  <c r="O46" i="36"/>
  <c r="N8" i="15"/>
  <c r="O20" i="36"/>
  <c r="N6" i="14"/>
  <c r="O21" i="36"/>
  <c r="N7" i="14"/>
  <c r="O49" i="36"/>
  <c r="N11" i="15"/>
  <c r="O47" i="36"/>
  <c r="N9" i="15"/>
  <c r="O60" i="36"/>
  <c r="N10" i="16"/>
  <c r="O44" i="36"/>
  <c r="N6" i="15"/>
  <c r="O16" i="36"/>
  <c r="P12" i="36"/>
  <c r="O10" i="21"/>
  <c r="O13" i="36"/>
  <c r="N11" i="21"/>
  <c r="O52" i="36"/>
  <c r="N2" i="16"/>
  <c r="O4" i="36"/>
  <c r="N2" i="21"/>
  <c r="O40" i="36"/>
  <c r="N2" i="15"/>
  <c r="O71" i="36"/>
  <c r="N9" i="17"/>
  <c r="O10" i="36"/>
  <c r="N8" i="21"/>
  <c r="O18" i="36"/>
  <c r="N4" i="14"/>
  <c r="O55" i="36"/>
  <c r="N5" i="16"/>
  <c r="O59" i="36"/>
  <c r="N9" i="16"/>
  <c r="O42" i="36"/>
  <c r="N4" i="15"/>
  <c r="O70" i="36"/>
  <c r="N8" i="17"/>
  <c r="O43" i="36"/>
  <c r="N5" i="15"/>
  <c r="P11" i="36"/>
  <c r="O9" i="21"/>
  <c r="O45" i="36"/>
  <c r="N7" i="15"/>
  <c r="O41" i="36"/>
  <c r="N3" i="15"/>
  <c r="O58" i="36"/>
  <c r="N8" i="16"/>
  <c r="O17" i="36"/>
  <c r="N3" i="14"/>
  <c r="O68" i="36"/>
  <c r="N6" i="17"/>
  <c r="O24" i="36"/>
  <c r="N10" i="14"/>
  <c r="O22" i="36"/>
  <c r="N8" i="14"/>
  <c r="O54" i="36"/>
  <c r="N4" i="16"/>
  <c r="O25" i="36"/>
  <c r="N11" i="14"/>
  <c r="P7" i="36"/>
  <c r="O5" i="21"/>
  <c r="O48" i="36"/>
  <c r="N10" i="15"/>
  <c r="O67" i="36"/>
  <c r="N5" i="17"/>
  <c r="O61" i="36"/>
  <c r="N11" i="16"/>
  <c r="P65" i="37"/>
  <c r="O3" i="13"/>
  <c r="O57" i="37"/>
  <c r="N7" i="12"/>
  <c r="O60" i="37"/>
  <c r="N10" i="12"/>
  <c r="O68" i="37"/>
  <c r="N6" i="13"/>
  <c r="O47" i="37"/>
  <c r="N9" i="11"/>
  <c r="P22" i="37"/>
  <c r="O8" i="20"/>
  <c r="O52" i="37"/>
  <c r="N2" i="12"/>
  <c r="O69" i="37"/>
  <c r="N7" i="13"/>
  <c r="O41" i="37"/>
  <c r="N3" i="11"/>
  <c r="O58" i="37"/>
  <c r="N8" i="12"/>
  <c r="P11" i="37"/>
  <c r="O9" i="18"/>
  <c r="O66" i="37"/>
  <c r="N4" i="13"/>
  <c r="P73" i="37"/>
  <c r="O11" i="13"/>
  <c r="O56" i="37"/>
  <c r="N6" i="12"/>
  <c r="O4" i="37"/>
  <c r="N2" i="18"/>
  <c r="O44" i="37"/>
  <c r="N6" i="11"/>
  <c r="O70" i="37"/>
  <c r="N8" i="13"/>
  <c r="O16" i="37"/>
  <c r="N2" i="20"/>
  <c r="O12" i="37"/>
  <c r="N10" i="18"/>
  <c r="O72" i="37"/>
  <c r="N10" i="13"/>
  <c r="O10" i="37"/>
  <c r="N8" i="18"/>
  <c r="O20" i="37"/>
  <c r="N6" i="20"/>
  <c r="O17" i="37"/>
  <c r="N3" i="20"/>
  <c r="O61" i="37"/>
  <c r="N11" i="12"/>
  <c r="O67" i="37"/>
  <c r="N5" i="13"/>
  <c r="O46" i="37"/>
  <c r="N8" i="11"/>
  <c r="O55" i="37"/>
  <c r="N5" i="12"/>
  <c r="O48" i="37"/>
  <c r="N10" i="11"/>
  <c r="O5" i="37"/>
  <c r="N3" i="18"/>
  <c r="P45" i="37"/>
  <c r="O7" i="11"/>
  <c r="P21" i="37"/>
  <c r="O7" i="20"/>
  <c r="O71" i="37"/>
  <c r="N9" i="13"/>
  <c r="O59" i="37"/>
  <c r="N9" i="12"/>
  <c r="P42" i="37"/>
  <c r="O4" i="11"/>
  <c r="O40" i="37"/>
  <c r="N2" i="11"/>
  <c r="P25" i="37"/>
  <c r="O11" i="20"/>
  <c r="O7" i="37"/>
  <c r="N5" i="18"/>
  <c r="O19" i="37"/>
  <c r="N5" i="20"/>
  <c r="O53" i="37"/>
  <c r="N3" i="12"/>
  <c r="O18" i="37"/>
  <c r="N4" i="20"/>
  <c r="O49" i="37"/>
  <c r="N11" i="11"/>
  <c r="O9" i="37"/>
  <c r="N7" i="18"/>
  <c r="O43" i="37"/>
  <c r="N5" i="11"/>
  <c r="Q23" i="37"/>
  <c r="P9" i="20"/>
  <c r="O6" i="37"/>
  <c r="N4" i="18"/>
  <c r="O54" i="37"/>
  <c r="N4" i="12"/>
  <c r="O24" i="37"/>
  <c r="N10" i="20"/>
  <c r="O8" i="37"/>
  <c r="N6" i="18"/>
  <c r="P64" i="37"/>
  <c r="O2" i="13"/>
  <c r="O13" i="37"/>
  <c r="N11" i="18"/>
  <c r="O44" i="38"/>
  <c r="N6" i="25"/>
  <c r="O47" i="38"/>
  <c r="N9" i="25"/>
  <c r="O19" i="38"/>
  <c r="N5" i="24"/>
  <c r="O9" i="38"/>
  <c r="N7" i="23"/>
  <c r="O24" i="38"/>
  <c r="N10" i="24"/>
  <c r="O40" i="38"/>
  <c r="N2" i="25"/>
  <c r="O53" i="38"/>
  <c r="N3" i="26"/>
  <c r="O16" i="38"/>
  <c r="N2" i="24"/>
  <c r="O25" i="38"/>
  <c r="N11" i="24"/>
  <c r="O42" i="38"/>
  <c r="N4" i="25"/>
  <c r="O48" i="38"/>
  <c r="N10" i="25"/>
  <c r="O20" i="38"/>
  <c r="N6" i="24"/>
  <c r="O23" i="38"/>
  <c r="N9" i="24"/>
  <c r="O7" i="38"/>
  <c r="N5" i="23"/>
  <c r="O73" i="38"/>
  <c r="N11" i="27"/>
  <c r="O10" i="38"/>
  <c r="N8" i="23"/>
  <c r="O57" i="38"/>
  <c r="N7" i="26"/>
  <c r="P17" i="38"/>
  <c r="O3" i="24"/>
  <c r="O56" i="38"/>
  <c r="N6" i="26"/>
  <c r="O64" i="38"/>
  <c r="N2" i="27"/>
  <c r="O68" i="38"/>
  <c r="N6" i="27"/>
  <c r="O41" i="38"/>
  <c r="N3" i="25"/>
  <c r="O46" i="38"/>
  <c r="N8" i="25"/>
  <c r="O43" i="38"/>
  <c r="N5" i="25"/>
  <c r="P55" i="38"/>
  <c r="O5" i="26"/>
  <c r="P5" i="38"/>
  <c r="O3" i="23"/>
  <c r="O22" i="38"/>
  <c r="N8" i="24"/>
  <c r="O54" i="38"/>
  <c r="N4" i="26"/>
  <c r="O72" i="38"/>
  <c r="N10" i="27"/>
  <c r="O52" i="38"/>
  <c r="N2" i="26"/>
  <c r="O70" i="38"/>
  <c r="N8" i="27"/>
  <c r="O66" i="38"/>
  <c r="N4" i="27"/>
  <c r="P4" i="38"/>
  <c r="O2" i="23"/>
  <c r="O71" i="38"/>
  <c r="N9" i="27"/>
  <c r="O69" i="38"/>
  <c r="N7" i="27"/>
  <c r="O45" i="38"/>
  <c r="N7" i="25"/>
  <c r="O11" i="38"/>
  <c r="N9" i="23"/>
  <c r="O18" i="38"/>
  <c r="N4" i="24"/>
  <c r="O61" i="38"/>
  <c r="N11" i="26"/>
  <c r="O21" i="38"/>
  <c r="N7" i="24"/>
  <c r="O13" i="38"/>
  <c r="N11" i="23"/>
  <c r="O59" i="38"/>
  <c r="N9" i="26"/>
  <c r="P6" i="38"/>
  <c r="O4" i="23"/>
  <c r="O49" i="38"/>
  <c r="N11" i="25"/>
  <c r="O65" i="38"/>
  <c r="N3" i="27"/>
  <c r="O12" i="38"/>
  <c r="N10" i="23"/>
  <c r="P8" i="38"/>
  <c r="O6" i="23"/>
  <c r="O60" i="38"/>
  <c r="N10" i="26"/>
  <c r="O67" i="38"/>
  <c r="N5" i="27"/>
  <c r="O58" i="38"/>
  <c r="N8" i="26"/>
  <c r="O2" i="17" l="1"/>
  <c r="O32" i="47"/>
  <c r="O31" i="47"/>
  <c r="O2" i="14"/>
  <c r="U29" i="47"/>
  <c r="V28" i="47"/>
  <c r="V26" i="47"/>
  <c r="V27" i="47"/>
  <c r="W22" i="47"/>
  <c r="O81" i="36"/>
  <c r="O96" i="36" s="1"/>
  <c r="O86" i="36"/>
  <c r="O101" i="36" s="1"/>
  <c r="O87" i="36"/>
  <c r="O102" i="36" s="1"/>
  <c r="O84" i="36"/>
  <c r="O99" i="36" s="1"/>
  <c r="O80" i="36"/>
  <c r="O95" i="36" s="1"/>
  <c r="O78" i="36"/>
  <c r="O93" i="36" s="1"/>
  <c r="O23" i="47" s="1"/>
  <c r="O24" i="47" s="1"/>
  <c r="O83" i="36"/>
  <c r="O98" i="36" s="1"/>
  <c r="O85" i="36"/>
  <c r="O100" i="36" s="1"/>
  <c r="O82" i="36"/>
  <c r="O97" i="36" s="1"/>
  <c r="O79" i="36"/>
  <c r="O94" i="36" s="1"/>
  <c r="P48" i="36"/>
  <c r="O10" i="15"/>
  <c r="P22" i="36"/>
  <c r="O8" i="14"/>
  <c r="P58" i="36"/>
  <c r="O8" i="16"/>
  <c r="P43" i="36"/>
  <c r="O5" i="15"/>
  <c r="P55" i="36"/>
  <c r="O5" i="16"/>
  <c r="P40" i="36"/>
  <c r="O2" i="15"/>
  <c r="Q12" i="36"/>
  <c r="P10" i="21"/>
  <c r="P47" i="36"/>
  <c r="O9" i="15"/>
  <c r="P46" i="36"/>
  <c r="O8" i="15"/>
  <c r="P72" i="36"/>
  <c r="O10" i="17"/>
  <c r="P66" i="36"/>
  <c r="O4" i="17"/>
  <c r="P8" i="36"/>
  <c r="O6" i="21"/>
  <c r="Q7" i="36"/>
  <c r="P5" i="21"/>
  <c r="P24" i="36"/>
  <c r="O10" i="14"/>
  <c r="P41" i="36"/>
  <c r="O3" i="15"/>
  <c r="P70" i="36"/>
  <c r="O8" i="17"/>
  <c r="P18" i="36"/>
  <c r="O4" i="14"/>
  <c r="P4" i="36"/>
  <c r="O2" i="21"/>
  <c r="P16" i="36"/>
  <c r="P49" i="36"/>
  <c r="O11" i="15"/>
  <c r="P53" i="36"/>
  <c r="O3" i="16"/>
  <c r="P64" i="36"/>
  <c r="P69" i="36"/>
  <c r="O7" i="17"/>
  <c r="P19" i="36"/>
  <c r="O5" i="14"/>
  <c r="P61" i="36"/>
  <c r="O11" i="16"/>
  <c r="P25" i="36"/>
  <c r="O11" i="14"/>
  <c r="P68" i="36"/>
  <c r="O6" i="17"/>
  <c r="P45" i="36"/>
  <c r="O7" i="15"/>
  <c r="P42" i="36"/>
  <c r="O4" i="15"/>
  <c r="P10" i="36"/>
  <c r="O8" i="21"/>
  <c r="P52" i="36"/>
  <c r="O2" i="16"/>
  <c r="P44" i="36"/>
  <c r="O6" i="15"/>
  <c r="P21" i="36"/>
  <c r="O7" i="14"/>
  <c r="P23" i="36"/>
  <c r="O9" i="14"/>
  <c r="P6" i="36"/>
  <c r="O4" i="21"/>
  <c r="P65" i="36"/>
  <c r="O3" i="17"/>
  <c r="P73" i="36"/>
  <c r="O11" i="17"/>
  <c r="P67" i="36"/>
  <c r="O5" i="17"/>
  <c r="P54" i="36"/>
  <c r="O4" i="16"/>
  <c r="P17" i="36"/>
  <c r="O3" i="14"/>
  <c r="Q11" i="36"/>
  <c r="P9" i="21"/>
  <c r="P59" i="36"/>
  <c r="O9" i="16"/>
  <c r="P71" i="36"/>
  <c r="O9" i="17"/>
  <c r="P13" i="36"/>
  <c r="O11" i="21"/>
  <c r="P60" i="36"/>
  <c r="O10" i="16"/>
  <c r="P20" i="36"/>
  <c r="O6" i="14"/>
  <c r="P5" i="36"/>
  <c r="O3" i="21"/>
  <c r="P56" i="36"/>
  <c r="O6" i="16"/>
  <c r="P57" i="36"/>
  <c r="O7" i="16"/>
  <c r="P9" i="36"/>
  <c r="O7" i="21"/>
  <c r="P8" i="37"/>
  <c r="O6" i="18"/>
  <c r="P9" i="37"/>
  <c r="O7" i="18"/>
  <c r="Q25" i="37"/>
  <c r="P11" i="20"/>
  <c r="Q45" i="37"/>
  <c r="P7" i="11"/>
  <c r="P61" i="37"/>
  <c r="O11" i="12"/>
  <c r="P16" i="37"/>
  <c r="O2" i="20"/>
  <c r="P66" i="37"/>
  <c r="O4" i="13"/>
  <c r="Q22" i="37"/>
  <c r="P8" i="20"/>
  <c r="P40" i="37"/>
  <c r="O2" i="11"/>
  <c r="P5" i="37"/>
  <c r="O3" i="18"/>
  <c r="P17" i="37"/>
  <c r="O3" i="20"/>
  <c r="P70" i="37"/>
  <c r="O8" i="13"/>
  <c r="Q11" i="37"/>
  <c r="P9" i="18"/>
  <c r="P47" i="37"/>
  <c r="O9" i="11"/>
  <c r="Q42" i="37"/>
  <c r="P4" i="11"/>
  <c r="P48" i="37"/>
  <c r="O10" i="11"/>
  <c r="P20" i="37"/>
  <c r="O6" i="20"/>
  <c r="P44" i="37"/>
  <c r="O6" i="11"/>
  <c r="P58" i="37"/>
  <c r="O8" i="12"/>
  <c r="P68" i="37"/>
  <c r="O6" i="13"/>
  <c r="P53" i="37"/>
  <c r="O3" i="12"/>
  <c r="P59" i="37"/>
  <c r="O9" i="12"/>
  <c r="P55" i="37"/>
  <c r="O5" i="12"/>
  <c r="P10" i="37"/>
  <c r="O8" i="18"/>
  <c r="P4" i="37"/>
  <c r="O2" i="18"/>
  <c r="P41" i="37"/>
  <c r="O3" i="11"/>
  <c r="P60" i="37"/>
  <c r="O10" i="12"/>
  <c r="P49" i="37"/>
  <c r="O11" i="11"/>
  <c r="P54" i="37"/>
  <c r="O4" i="12"/>
  <c r="P6" i="37"/>
  <c r="O4" i="18"/>
  <c r="R23" i="37"/>
  <c r="Q9" i="20"/>
  <c r="P71" i="37"/>
  <c r="O9" i="13"/>
  <c r="P46" i="37"/>
  <c r="O8" i="11"/>
  <c r="P72" i="37"/>
  <c r="O10" i="13"/>
  <c r="P56" i="37"/>
  <c r="O6" i="12"/>
  <c r="P69" i="37"/>
  <c r="O7" i="13"/>
  <c r="P57" i="37"/>
  <c r="O7" i="12"/>
  <c r="P24" i="37"/>
  <c r="O10" i="20"/>
  <c r="P18" i="37"/>
  <c r="O4" i="20"/>
  <c r="P13" i="37"/>
  <c r="O11" i="18"/>
  <c r="P19" i="37"/>
  <c r="O5" i="20"/>
  <c r="Q64" i="37"/>
  <c r="P2" i="13"/>
  <c r="P43" i="37"/>
  <c r="O5" i="11"/>
  <c r="P7" i="37"/>
  <c r="O5" i="18"/>
  <c r="Q21" i="37"/>
  <c r="P7" i="20"/>
  <c r="P67" i="37"/>
  <c r="O5" i="13"/>
  <c r="P12" i="37"/>
  <c r="O10" i="18"/>
  <c r="Q73" i="37"/>
  <c r="P11" i="13"/>
  <c r="P52" i="37"/>
  <c r="O2" i="12"/>
  <c r="Q65" i="37"/>
  <c r="P3" i="13"/>
  <c r="P52" i="38"/>
  <c r="O2" i="26"/>
  <c r="P43" i="38"/>
  <c r="O5" i="25"/>
  <c r="Q17" i="38"/>
  <c r="P3" i="24"/>
  <c r="P20" i="38"/>
  <c r="O6" i="24"/>
  <c r="P40" i="38"/>
  <c r="O2" i="25"/>
  <c r="P72" i="38"/>
  <c r="O10" i="27"/>
  <c r="P46" i="38"/>
  <c r="O8" i="25"/>
  <c r="P57" i="38"/>
  <c r="O7" i="26"/>
  <c r="P48" i="38"/>
  <c r="O10" i="25"/>
  <c r="P24" i="38"/>
  <c r="O10" i="24"/>
  <c r="P69" i="38"/>
  <c r="O7" i="27"/>
  <c r="P12" i="38"/>
  <c r="O10" i="23"/>
  <c r="P21" i="38"/>
  <c r="O7" i="24"/>
  <c r="P71" i="38"/>
  <c r="O9" i="27"/>
  <c r="P54" i="38"/>
  <c r="O4" i="26"/>
  <c r="P41" i="38"/>
  <c r="O3" i="25"/>
  <c r="P10" i="38"/>
  <c r="O8" i="23"/>
  <c r="P42" i="38"/>
  <c r="O4" i="25"/>
  <c r="P9" i="38"/>
  <c r="O7" i="23"/>
  <c r="P60" i="38"/>
  <c r="O10" i="26"/>
  <c r="P65" i="38"/>
  <c r="O3" i="27"/>
  <c r="P61" i="38"/>
  <c r="O11" i="26"/>
  <c r="Q4" i="38"/>
  <c r="P2" i="23"/>
  <c r="P22" i="38"/>
  <c r="O8" i="24"/>
  <c r="P68" i="38"/>
  <c r="O6" i="27"/>
  <c r="P73" i="38"/>
  <c r="O11" i="27"/>
  <c r="P25" i="38"/>
  <c r="O11" i="24"/>
  <c r="P19" i="38"/>
  <c r="O5" i="24"/>
  <c r="P59" i="38"/>
  <c r="O9" i="26"/>
  <c r="P45" i="38"/>
  <c r="O7" i="25"/>
  <c r="P58" i="38"/>
  <c r="O8" i="26"/>
  <c r="P49" i="38"/>
  <c r="O11" i="25"/>
  <c r="P18" i="38"/>
  <c r="O4" i="24"/>
  <c r="P66" i="38"/>
  <c r="O4" i="27"/>
  <c r="Q5" i="38"/>
  <c r="P3" i="23"/>
  <c r="P64" i="38"/>
  <c r="O2" i="27"/>
  <c r="P7" i="38"/>
  <c r="O5" i="23"/>
  <c r="P16" i="38"/>
  <c r="O2" i="24"/>
  <c r="P47" i="38"/>
  <c r="O9" i="25"/>
  <c r="P13" i="38"/>
  <c r="O11" i="23"/>
  <c r="Q8" i="38"/>
  <c r="P6" i="23"/>
  <c r="P67" i="38"/>
  <c r="O5" i="27"/>
  <c r="Q6" i="38"/>
  <c r="P4" i="23"/>
  <c r="P11" i="38"/>
  <c r="O9" i="23"/>
  <c r="P70" i="38"/>
  <c r="O8" i="27"/>
  <c r="Q55" i="38"/>
  <c r="P5" i="26"/>
  <c r="P56" i="38"/>
  <c r="O6" i="26"/>
  <c r="P23" i="38"/>
  <c r="O9" i="24"/>
  <c r="P53" i="38"/>
  <c r="O3" i="26"/>
  <c r="P44" i="38"/>
  <c r="O6" i="25"/>
  <c r="P32" i="47" l="1"/>
  <c r="P2" i="17"/>
  <c r="P2" i="14"/>
  <c r="P31" i="47"/>
  <c r="X22" i="47"/>
  <c r="W27" i="47"/>
  <c r="W28" i="47"/>
  <c r="W26" i="47"/>
  <c r="V29" i="47"/>
  <c r="P78" i="36"/>
  <c r="P93" i="36" s="1"/>
  <c r="P23" i="47" s="1"/>
  <c r="P24" i="47" s="1"/>
  <c r="P86" i="36"/>
  <c r="P101" i="36" s="1"/>
  <c r="P87" i="36"/>
  <c r="P102" i="36" s="1"/>
  <c r="P81" i="36"/>
  <c r="P96" i="36" s="1"/>
  <c r="P80" i="36"/>
  <c r="P95" i="36" s="1"/>
  <c r="P82" i="36"/>
  <c r="P97" i="36" s="1"/>
  <c r="P85" i="36"/>
  <c r="P100" i="36" s="1"/>
  <c r="P84" i="36"/>
  <c r="P99" i="36" s="1"/>
  <c r="P79" i="36"/>
  <c r="P94" i="36" s="1"/>
  <c r="P83" i="36"/>
  <c r="P98" i="36" s="1"/>
  <c r="Q13" i="36"/>
  <c r="P11" i="21"/>
  <c r="Q17" i="36"/>
  <c r="P3" i="14"/>
  <c r="Q65" i="36"/>
  <c r="P3" i="17"/>
  <c r="Q44" i="36"/>
  <c r="P6" i="15"/>
  <c r="Q45" i="36"/>
  <c r="P7" i="15"/>
  <c r="Q19" i="36"/>
  <c r="P5" i="14"/>
  <c r="Q49" i="36"/>
  <c r="P11" i="15"/>
  <c r="Q70" i="36"/>
  <c r="P8" i="17"/>
  <c r="Q8" i="36"/>
  <c r="P6" i="21"/>
  <c r="Q47" i="36"/>
  <c r="P9" i="15"/>
  <c r="Q43" i="36"/>
  <c r="P5" i="15"/>
  <c r="Q56" i="36"/>
  <c r="P6" i="16"/>
  <c r="Q5" i="36"/>
  <c r="P3" i="21"/>
  <c r="Q71" i="36"/>
  <c r="Q85" i="36" s="1"/>
  <c r="Q100" i="36" s="1"/>
  <c r="P9" i="17"/>
  <c r="Q54" i="36"/>
  <c r="P4" i="16"/>
  <c r="Q6" i="36"/>
  <c r="P4" i="21"/>
  <c r="Q52" i="36"/>
  <c r="P2" i="16"/>
  <c r="Q68" i="36"/>
  <c r="P6" i="17"/>
  <c r="Q69" i="36"/>
  <c r="P7" i="17"/>
  <c r="Q16" i="36"/>
  <c r="Q41" i="36"/>
  <c r="P3" i="15"/>
  <c r="Q66" i="36"/>
  <c r="P4" i="17"/>
  <c r="R12" i="36"/>
  <c r="Q10" i="21"/>
  <c r="Q58" i="36"/>
  <c r="P8" i="16"/>
  <c r="Q9" i="36"/>
  <c r="P7" i="21"/>
  <c r="Q20" i="36"/>
  <c r="P6" i="14"/>
  <c r="Q59" i="36"/>
  <c r="P9" i="16"/>
  <c r="Q67" i="36"/>
  <c r="P5" i="17"/>
  <c r="Q23" i="36"/>
  <c r="P9" i="14"/>
  <c r="Q10" i="36"/>
  <c r="P8" i="21"/>
  <c r="Q25" i="36"/>
  <c r="P11" i="14"/>
  <c r="Q64" i="36"/>
  <c r="Q4" i="36"/>
  <c r="P2" i="21"/>
  <c r="Q24" i="36"/>
  <c r="P10" i="14"/>
  <c r="Q72" i="36"/>
  <c r="P10" i="17"/>
  <c r="Q40" i="36"/>
  <c r="P2" i="15"/>
  <c r="Q22" i="36"/>
  <c r="P8" i="14"/>
  <c r="Q57" i="36"/>
  <c r="P7" i="16"/>
  <c r="Q60" i="36"/>
  <c r="P10" i="16"/>
  <c r="R11" i="36"/>
  <c r="Q9" i="21"/>
  <c r="Q73" i="36"/>
  <c r="P11" i="17"/>
  <c r="Q21" i="36"/>
  <c r="P7" i="14"/>
  <c r="Q42" i="36"/>
  <c r="P4" i="15"/>
  <c r="Q61" i="36"/>
  <c r="P11" i="16"/>
  <c r="Q53" i="36"/>
  <c r="P3" i="16"/>
  <c r="Q18" i="36"/>
  <c r="P4" i="14"/>
  <c r="R7" i="36"/>
  <c r="Q5" i="21"/>
  <c r="Q46" i="36"/>
  <c r="P8" i="15"/>
  <c r="Q55" i="36"/>
  <c r="P5" i="16"/>
  <c r="Q48" i="36"/>
  <c r="P10" i="15"/>
  <c r="Q2" i="13"/>
  <c r="R64" i="37"/>
  <c r="Q69" i="37"/>
  <c r="P7" i="13"/>
  <c r="Q6" i="37"/>
  <c r="P4" i="18"/>
  <c r="Q10" i="37"/>
  <c r="P8" i="18"/>
  <c r="Q44" i="37"/>
  <c r="P6" i="11"/>
  <c r="Q70" i="37"/>
  <c r="P8" i="13"/>
  <c r="Q16" i="37"/>
  <c r="P2" i="20"/>
  <c r="Q19" i="37"/>
  <c r="P5" i="20"/>
  <c r="Q54" i="37"/>
  <c r="P4" i="12"/>
  <c r="Q55" i="37"/>
  <c r="P5" i="12"/>
  <c r="Q20" i="37"/>
  <c r="P6" i="20"/>
  <c r="Q17" i="37"/>
  <c r="P3" i="20"/>
  <c r="Q61" i="37"/>
  <c r="P11" i="12"/>
  <c r="R73" i="37"/>
  <c r="Q11" i="13"/>
  <c r="Q67" i="37"/>
  <c r="P5" i="13"/>
  <c r="Q49" i="37"/>
  <c r="P11" i="11"/>
  <c r="Q59" i="37"/>
  <c r="P9" i="12"/>
  <c r="Q48" i="37"/>
  <c r="P10" i="11"/>
  <c r="Q5" i="37"/>
  <c r="P3" i="18"/>
  <c r="R45" i="37"/>
  <c r="Q7" i="11"/>
  <c r="Q56" i="37"/>
  <c r="P6" i="12"/>
  <c r="R21" i="37"/>
  <c r="Q7" i="20"/>
  <c r="Q46" i="37"/>
  <c r="P8" i="11"/>
  <c r="Q60" i="37"/>
  <c r="P10" i="12"/>
  <c r="Q53" i="37"/>
  <c r="P3" i="12"/>
  <c r="R42" i="37"/>
  <c r="Q4" i="11"/>
  <c r="Q40" i="37"/>
  <c r="P2" i="11"/>
  <c r="R25" i="37"/>
  <c r="Q11" i="20"/>
  <c r="Q72" i="37"/>
  <c r="P10" i="13"/>
  <c r="Q18" i="37"/>
  <c r="P4" i="20"/>
  <c r="Q71" i="37"/>
  <c r="P9" i="13"/>
  <c r="Q68" i="37"/>
  <c r="P6" i="13"/>
  <c r="Q47" i="37"/>
  <c r="P9" i="11"/>
  <c r="R22" i="37"/>
  <c r="Q8" i="20"/>
  <c r="Q9" i="37"/>
  <c r="P7" i="18"/>
  <c r="Q12" i="37"/>
  <c r="P10" i="18"/>
  <c r="Q13" i="37"/>
  <c r="P11" i="18"/>
  <c r="R65" i="37"/>
  <c r="Q3" i="13"/>
  <c r="Q7" i="37"/>
  <c r="P5" i="18"/>
  <c r="Q24" i="37"/>
  <c r="P10" i="20"/>
  <c r="Q41" i="37"/>
  <c r="P3" i="11"/>
  <c r="Q52" i="37"/>
  <c r="P2" i="12"/>
  <c r="Q43" i="37"/>
  <c r="P5" i="11"/>
  <c r="Q57" i="37"/>
  <c r="P7" i="12"/>
  <c r="S23" i="37"/>
  <c r="R9" i="20"/>
  <c r="Q4" i="37"/>
  <c r="P2" i="18"/>
  <c r="Q58" i="37"/>
  <c r="P8" i="12"/>
  <c r="R11" i="37"/>
  <c r="Q9" i="18"/>
  <c r="Q66" i="37"/>
  <c r="P4" i="13"/>
  <c r="Q8" i="37"/>
  <c r="P6" i="18"/>
  <c r="Q45" i="38"/>
  <c r="P7" i="25"/>
  <c r="Q42" i="38"/>
  <c r="P4" i="25"/>
  <c r="Q59" i="38"/>
  <c r="P9" i="26"/>
  <c r="R4" i="38"/>
  <c r="Q2" i="23"/>
  <c r="Q10" i="38"/>
  <c r="P8" i="23"/>
  <c r="Q69" i="38"/>
  <c r="P7" i="27"/>
  <c r="Q40" i="38"/>
  <c r="P2" i="25"/>
  <c r="Q67" i="38"/>
  <c r="P5" i="27"/>
  <c r="Q13" i="38"/>
  <c r="P11" i="23"/>
  <c r="Q66" i="38"/>
  <c r="P4" i="27"/>
  <c r="Q19" i="38"/>
  <c r="P5" i="24"/>
  <c r="Q61" i="38"/>
  <c r="P11" i="26"/>
  <c r="Q41" i="38"/>
  <c r="P3" i="25"/>
  <c r="Q24" i="38"/>
  <c r="P10" i="24"/>
  <c r="Q20" i="38"/>
  <c r="P6" i="24"/>
  <c r="Q23" i="38"/>
  <c r="P9" i="24"/>
  <c r="Q72" i="38"/>
  <c r="P10" i="27"/>
  <c r="Q70" i="38"/>
  <c r="P8" i="27"/>
  <c r="Q47" i="38"/>
  <c r="P9" i="25"/>
  <c r="Q18" i="38"/>
  <c r="P4" i="24"/>
  <c r="Q25" i="38"/>
  <c r="P11" i="24"/>
  <c r="Q65" i="38"/>
  <c r="P3" i="27"/>
  <c r="Q54" i="38"/>
  <c r="P4" i="26"/>
  <c r="Q48" i="38"/>
  <c r="P10" i="25"/>
  <c r="R17" i="38"/>
  <c r="Q3" i="24"/>
  <c r="Q22" i="38"/>
  <c r="P8" i="24"/>
  <c r="Q56" i="38"/>
  <c r="P6" i="26"/>
  <c r="R55" i="38"/>
  <c r="Q5" i="26"/>
  <c r="Q16" i="38"/>
  <c r="P2" i="24"/>
  <c r="Q49" i="38"/>
  <c r="P11" i="25"/>
  <c r="Q73" i="38"/>
  <c r="P11" i="27"/>
  <c r="Q60" i="38"/>
  <c r="P10" i="26"/>
  <c r="Q71" i="38"/>
  <c r="P9" i="27"/>
  <c r="Q57" i="38"/>
  <c r="P7" i="26"/>
  <c r="Q43" i="38"/>
  <c r="P5" i="25"/>
  <c r="Q64" i="38"/>
  <c r="P2" i="27"/>
  <c r="R5" i="38"/>
  <c r="Q3" i="23"/>
  <c r="Q44" i="38"/>
  <c r="P6" i="25"/>
  <c r="Q12" i="38"/>
  <c r="P10" i="23"/>
  <c r="R8" i="38"/>
  <c r="Q6" i="23"/>
  <c r="Q11" i="38"/>
  <c r="P9" i="23"/>
  <c r="Q53" i="38"/>
  <c r="P3" i="26"/>
  <c r="R6" i="38"/>
  <c r="Q4" i="23"/>
  <c r="Q7" i="38"/>
  <c r="P5" i="23"/>
  <c r="Q58" i="38"/>
  <c r="P8" i="26"/>
  <c r="Q68" i="38"/>
  <c r="P6" i="27"/>
  <c r="Q9" i="38"/>
  <c r="P7" i="23"/>
  <c r="Q21" i="38"/>
  <c r="P7" i="24"/>
  <c r="Q46" i="38"/>
  <c r="P8" i="25"/>
  <c r="Q52" i="38"/>
  <c r="P2" i="26"/>
  <c r="Q2" i="14" l="1"/>
  <c r="Q31" i="47"/>
  <c r="Q2" i="17"/>
  <c r="Q32" i="47"/>
  <c r="X28" i="47"/>
  <c r="X27" i="47"/>
  <c r="X26" i="47"/>
  <c r="Y22" i="47"/>
  <c r="W29" i="47"/>
  <c r="Q87" i="36"/>
  <c r="Q102" i="36" s="1"/>
  <c r="Q80" i="36"/>
  <c r="Q95" i="36" s="1"/>
  <c r="Q79" i="36"/>
  <c r="Q94" i="36" s="1"/>
  <c r="Q83" i="36"/>
  <c r="Q98" i="36" s="1"/>
  <c r="Q82" i="36"/>
  <c r="Q97" i="36" s="1"/>
  <c r="Q86" i="36"/>
  <c r="Q101" i="36" s="1"/>
  <c r="Q84" i="36"/>
  <c r="Q99" i="36" s="1"/>
  <c r="Q78" i="36"/>
  <c r="Q93" i="36" s="1"/>
  <c r="Q23" i="47" s="1"/>
  <c r="Q24" i="47" s="1"/>
  <c r="Q81" i="36"/>
  <c r="Q96" i="36" s="1"/>
  <c r="R61" i="36"/>
  <c r="Q11" i="16"/>
  <c r="S11" i="36"/>
  <c r="R9" i="21"/>
  <c r="R40" i="36"/>
  <c r="Q2" i="15"/>
  <c r="R64" i="36"/>
  <c r="R67" i="36"/>
  <c r="Q5" i="17"/>
  <c r="R58" i="36"/>
  <c r="Q8" i="16"/>
  <c r="R16" i="36"/>
  <c r="R6" i="36"/>
  <c r="Q4" i="21"/>
  <c r="R56" i="36"/>
  <c r="Q6" i="16"/>
  <c r="R70" i="36"/>
  <c r="Q8" i="17"/>
  <c r="R44" i="36"/>
  <c r="Q6" i="15"/>
  <c r="R46" i="36"/>
  <c r="Q8" i="15"/>
  <c r="S7" i="36"/>
  <c r="R5" i="21"/>
  <c r="R42" i="36"/>
  <c r="Q4" i="15"/>
  <c r="R60" i="36"/>
  <c r="Q10" i="16"/>
  <c r="R72" i="36"/>
  <c r="Q10" i="17"/>
  <c r="R25" i="36"/>
  <c r="Q11" i="14"/>
  <c r="R59" i="36"/>
  <c r="Q9" i="16"/>
  <c r="S12" i="36"/>
  <c r="R10" i="21"/>
  <c r="R69" i="36"/>
  <c r="Q7" i="17"/>
  <c r="R54" i="36"/>
  <c r="Q4" i="16"/>
  <c r="R43" i="36"/>
  <c r="Q5" i="15"/>
  <c r="R49" i="36"/>
  <c r="Q11" i="15"/>
  <c r="R65" i="36"/>
  <c r="Q3" i="17"/>
  <c r="R48" i="36"/>
  <c r="Q10" i="15"/>
  <c r="R18" i="36"/>
  <c r="Q4" i="14"/>
  <c r="R21" i="36"/>
  <c r="Q7" i="14"/>
  <c r="R57" i="36"/>
  <c r="Q7" i="16"/>
  <c r="R24" i="36"/>
  <c r="Q10" i="14"/>
  <c r="R10" i="36"/>
  <c r="Q8" i="21"/>
  <c r="R20" i="36"/>
  <c r="Q6" i="14"/>
  <c r="R66" i="36"/>
  <c r="Q4" i="17"/>
  <c r="R68" i="36"/>
  <c r="Q6" i="17"/>
  <c r="R71" i="36"/>
  <c r="Q9" i="17"/>
  <c r="R47" i="36"/>
  <c r="Q9" i="15"/>
  <c r="R19" i="36"/>
  <c r="Q5" i="14"/>
  <c r="R17" i="36"/>
  <c r="Q3" i="14"/>
  <c r="R55" i="36"/>
  <c r="Q5" i="16"/>
  <c r="R53" i="36"/>
  <c r="Q3" i="16"/>
  <c r="R73" i="36"/>
  <c r="Q11" i="17"/>
  <c r="R22" i="36"/>
  <c r="Q8" i="14"/>
  <c r="R4" i="36"/>
  <c r="Q2" i="21"/>
  <c r="R23" i="36"/>
  <c r="Q9" i="14"/>
  <c r="R9" i="36"/>
  <c r="Q7" i="21"/>
  <c r="R41" i="36"/>
  <c r="Q3" i="15"/>
  <c r="R52" i="36"/>
  <c r="Q2" i="16"/>
  <c r="R5" i="36"/>
  <c r="Q3" i="21"/>
  <c r="R8" i="36"/>
  <c r="Q6" i="21"/>
  <c r="R45" i="36"/>
  <c r="Q7" i="15"/>
  <c r="R13" i="36"/>
  <c r="Q11" i="21"/>
  <c r="S11" i="37"/>
  <c r="R9" i="18"/>
  <c r="R52" i="37"/>
  <c r="Q2" i="12"/>
  <c r="R12" i="37"/>
  <c r="Q10" i="18"/>
  <c r="R18" i="37"/>
  <c r="Q4" i="20"/>
  <c r="R60" i="37"/>
  <c r="Q10" i="12"/>
  <c r="R48" i="37"/>
  <c r="Q10" i="11"/>
  <c r="R17" i="37"/>
  <c r="Q3" i="20"/>
  <c r="R70" i="37"/>
  <c r="Q8" i="13"/>
  <c r="R58" i="37"/>
  <c r="Q8" i="12"/>
  <c r="R41" i="37"/>
  <c r="Q3" i="11"/>
  <c r="R9" i="37"/>
  <c r="Q7" i="18"/>
  <c r="R72" i="37"/>
  <c r="Q10" i="13"/>
  <c r="R46" i="37"/>
  <c r="Q8" i="11"/>
  <c r="R59" i="37"/>
  <c r="Q9" i="12"/>
  <c r="R20" i="37"/>
  <c r="Q6" i="20"/>
  <c r="R44" i="37"/>
  <c r="Q6" i="11"/>
  <c r="R4" i="37"/>
  <c r="Q2" i="18"/>
  <c r="R24" i="37"/>
  <c r="Q10" i="20"/>
  <c r="S22" i="37"/>
  <c r="R8" i="20"/>
  <c r="S25" i="37"/>
  <c r="R11" i="20"/>
  <c r="S21" i="37"/>
  <c r="R7" i="20"/>
  <c r="R49" i="37"/>
  <c r="Q11" i="11"/>
  <c r="R55" i="37"/>
  <c r="Q5" i="12"/>
  <c r="R10" i="37"/>
  <c r="Q8" i="18"/>
  <c r="T23" i="37"/>
  <c r="S9" i="20"/>
  <c r="R7" i="37"/>
  <c r="Q5" i="18"/>
  <c r="R47" i="37"/>
  <c r="Q9" i="11"/>
  <c r="R40" i="37"/>
  <c r="Q2" i="11"/>
  <c r="R56" i="37"/>
  <c r="Q6" i="12"/>
  <c r="R67" i="37"/>
  <c r="Q5" i="13"/>
  <c r="R54" i="37"/>
  <c r="Q4" i="12"/>
  <c r="R6" i="37"/>
  <c r="Q4" i="18"/>
  <c r="R8" i="37"/>
  <c r="Q6" i="18"/>
  <c r="R57" i="37"/>
  <c r="Q7" i="12"/>
  <c r="S65" i="37"/>
  <c r="R3" i="13"/>
  <c r="R68" i="37"/>
  <c r="Q6" i="13"/>
  <c r="S42" i="37"/>
  <c r="R4" i="11"/>
  <c r="S45" i="37"/>
  <c r="R7" i="11"/>
  <c r="S73" i="37"/>
  <c r="R11" i="13"/>
  <c r="R19" i="37"/>
  <c r="Q5" i="20"/>
  <c r="R69" i="37"/>
  <c r="Q7" i="13"/>
  <c r="S64" i="37"/>
  <c r="R2" i="13"/>
  <c r="R66" i="37"/>
  <c r="Q4" i="13"/>
  <c r="R43" i="37"/>
  <c r="Q5" i="11"/>
  <c r="R13" i="37"/>
  <c r="Q11" i="18"/>
  <c r="R71" i="37"/>
  <c r="Q9" i="13"/>
  <c r="R53" i="37"/>
  <c r="Q3" i="12"/>
  <c r="R5" i="37"/>
  <c r="Q3" i="18"/>
  <c r="R61" i="37"/>
  <c r="Q11" i="12"/>
  <c r="R16" i="37"/>
  <c r="Q2" i="20"/>
  <c r="R21" i="38"/>
  <c r="Q7" i="24"/>
  <c r="R53" i="38"/>
  <c r="Q3" i="26"/>
  <c r="R64" i="38"/>
  <c r="Q2" i="27"/>
  <c r="R49" i="38"/>
  <c r="Q11" i="25"/>
  <c r="R48" i="38"/>
  <c r="Q10" i="25"/>
  <c r="R70" i="38"/>
  <c r="Q8" i="27"/>
  <c r="Q11" i="26"/>
  <c r="R61" i="38"/>
  <c r="R69" i="38"/>
  <c r="Q7" i="27"/>
  <c r="R9" i="38"/>
  <c r="Q7" i="23"/>
  <c r="R11" i="38"/>
  <c r="Q9" i="23"/>
  <c r="R43" i="38"/>
  <c r="Q5" i="25"/>
  <c r="R16" i="38"/>
  <c r="Q2" i="24"/>
  <c r="R54" i="38"/>
  <c r="Q4" i="26"/>
  <c r="R72" i="38"/>
  <c r="Q10" i="27"/>
  <c r="R19" i="38"/>
  <c r="Q5" i="24"/>
  <c r="R10" i="38"/>
  <c r="Q8" i="23"/>
  <c r="R68" i="38"/>
  <c r="Q6" i="27"/>
  <c r="S8" i="38"/>
  <c r="R6" i="23"/>
  <c r="R57" i="38"/>
  <c r="Q7" i="26"/>
  <c r="S55" i="38"/>
  <c r="R5" i="26"/>
  <c r="R65" i="38"/>
  <c r="Q3" i="27"/>
  <c r="R23" i="38"/>
  <c r="Q9" i="24"/>
  <c r="R66" i="38"/>
  <c r="Q4" i="27"/>
  <c r="S4" i="38"/>
  <c r="R2" i="23"/>
  <c r="R58" i="38"/>
  <c r="Q8" i="26"/>
  <c r="R12" i="38"/>
  <c r="Q10" i="23"/>
  <c r="R71" i="38"/>
  <c r="Q9" i="27"/>
  <c r="R56" i="38"/>
  <c r="Q6" i="26"/>
  <c r="R25" i="38"/>
  <c r="Q11" i="24"/>
  <c r="R20" i="38"/>
  <c r="Q6" i="24"/>
  <c r="R13" i="38"/>
  <c r="Q11" i="23"/>
  <c r="R59" i="38"/>
  <c r="Q9" i="26"/>
  <c r="R52" i="38"/>
  <c r="Q2" i="26"/>
  <c r="R7" i="38"/>
  <c r="Q5" i="23"/>
  <c r="R44" i="38"/>
  <c r="Q6" i="25"/>
  <c r="R60" i="38"/>
  <c r="Q10" i="26"/>
  <c r="R22" i="38"/>
  <c r="Q8" i="24"/>
  <c r="R18" i="38"/>
  <c r="Q4" i="24"/>
  <c r="R24" i="38"/>
  <c r="Q10" i="24"/>
  <c r="R67" i="38"/>
  <c r="Q5" i="27"/>
  <c r="R42" i="38"/>
  <c r="Q4" i="25"/>
  <c r="R46" i="38"/>
  <c r="Q8" i="25"/>
  <c r="S6" i="38"/>
  <c r="R4" i="23"/>
  <c r="S5" i="38"/>
  <c r="R3" i="23"/>
  <c r="R73" i="38"/>
  <c r="Q11" i="27"/>
  <c r="S17" i="38"/>
  <c r="R3" i="24"/>
  <c r="R47" i="38"/>
  <c r="Q9" i="25"/>
  <c r="R41" i="38"/>
  <c r="Q3" i="25"/>
  <c r="R40" i="38"/>
  <c r="Q2" i="25"/>
  <c r="R45" i="38"/>
  <c r="Q7" i="25"/>
  <c r="R2" i="14" l="1"/>
  <c r="R31" i="47"/>
  <c r="R2" i="17"/>
  <c r="R32" i="47"/>
  <c r="X29" i="47"/>
  <c r="Z22" i="47"/>
  <c r="Y27" i="47"/>
  <c r="Y28" i="47"/>
  <c r="Y26" i="47"/>
  <c r="R81" i="36"/>
  <c r="R96" i="36" s="1"/>
  <c r="R80" i="36"/>
  <c r="R95" i="36" s="1"/>
  <c r="R83" i="36"/>
  <c r="R98" i="36" s="1"/>
  <c r="R87" i="36"/>
  <c r="R102" i="36" s="1"/>
  <c r="R78" i="36"/>
  <c r="R93" i="36" s="1"/>
  <c r="R23" i="47" s="1"/>
  <c r="R24" i="47" s="1"/>
  <c r="R84" i="36"/>
  <c r="R99" i="36" s="1"/>
  <c r="R85" i="36"/>
  <c r="R100" i="36" s="1"/>
  <c r="R86" i="36"/>
  <c r="R101" i="36" s="1"/>
  <c r="R82" i="36"/>
  <c r="R97" i="36" s="1"/>
  <c r="R79" i="36"/>
  <c r="R94" i="36" s="1"/>
  <c r="S9" i="36"/>
  <c r="R7" i="21"/>
  <c r="S73" i="36"/>
  <c r="R11" i="17"/>
  <c r="S19" i="36"/>
  <c r="R5" i="14"/>
  <c r="S66" i="36"/>
  <c r="R4" i="17"/>
  <c r="S57" i="36"/>
  <c r="R7" i="16"/>
  <c r="S65" i="36"/>
  <c r="R3" i="17"/>
  <c r="S69" i="36"/>
  <c r="R7" i="17"/>
  <c r="S72" i="36"/>
  <c r="R10" i="17"/>
  <c r="S46" i="36"/>
  <c r="R8" i="15"/>
  <c r="S6" i="36"/>
  <c r="R4" i="21"/>
  <c r="S64" i="36"/>
  <c r="S8" i="36"/>
  <c r="R6" i="21"/>
  <c r="S5" i="36"/>
  <c r="R3" i="21"/>
  <c r="S23" i="36"/>
  <c r="R9" i="14"/>
  <c r="S53" i="36"/>
  <c r="R3" i="16"/>
  <c r="S47" i="36"/>
  <c r="R9" i="15"/>
  <c r="S20" i="36"/>
  <c r="R6" i="14"/>
  <c r="S21" i="36"/>
  <c r="R7" i="14"/>
  <c r="S49" i="36"/>
  <c r="R11" i="15"/>
  <c r="T12" i="36"/>
  <c r="S10" i="21"/>
  <c r="S60" i="36"/>
  <c r="R10" i="16"/>
  <c r="S44" i="36"/>
  <c r="R6" i="15"/>
  <c r="S16" i="36"/>
  <c r="S40" i="36"/>
  <c r="R2" i="15"/>
  <c r="S13" i="36"/>
  <c r="R11" i="21"/>
  <c r="S52" i="36"/>
  <c r="R2" i="16"/>
  <c r="S4" i="36"/>
  <c r="R2" i="21"/>
  <c r="S55" i="36"/>
  <c r="R5" i="16"/>
  <c r="S71" i="36"/>
  <c r="R9" i="17"/>
  <c r="S10" i="36"/>
  <c r="R8" i="21"/>
  <c r="S18" i="36"/>
  <c r="R4" i="14"/>
  <c r="S43" i="36"/>
  <c r="R5" i="15"/>
  <c r="S59" i="36"/>
  <c r="R9" i="16"/>
  <c r="S42" i="36"/>
  <c r="R4" i="15"/>
  <c r="S70" i="36"/>
  <c r="R8" i="17"/>
  <c r="S58" i="36"/>
  <c r="R8" i="16"/>
  <c r="T11" i="36"/>
  <c r="S9" i="21"/>
  <c r="S45" i="36"/>
  <c r="R7" i="15"/>
  <c r="S41" i="36"/>
  <c r="R3" i="15"/>
  <c r="S22" i="36"/>
  <c r="R8" i="14"/>
  <c r="S17" i="36"/>
  <c r="R3" i="14"/>
  <c r="S68" i="36"/>
  <c r="S82" i="36" s="1"/>
  <c r="S97" i="36" s="1"/>
  <c r="R6" i="17"/>
  <c r="S24" i="36"/>
  <c r="R10" i="14"/>
  <c r="S48" i="36"/>
  <c r="R10" i="15"/>
  <c r="S54" i="36"/>
  <c r="R4" i="16"/>
  <c r="S25" i="36"/>
  <c r="R11" i="14"/>
  <c r="S5" i="21"/>
  <c r="T7" i="36"/>
  <c r="S56" i="36"/>
  <c r="R6" i="16"/>
  <c r="S67" i="36"/>
  <c r="R5" i="17"/>
  <c r="S61" i="36"/>
  <c r="R11" i="16"/>
  <c r="S5" i="37"/>
  <c r="R3" i="18"/>
  <c r="T64" i="37"/>
  <c r="S2" i="13"/>
  <c r="S68" i="37"/>
  <c r="R6" i="13"/>
  <c r="S67" i="37"/>
  <c r="R5" i="13"/>
  <c r="S10" i="37"/>
  <c r="R8" i="18"/>
  <c r="S24" i="37"/>
  <c r="R10" i="20"/>
  <c r="S72" i="37"/>
  <c r="R10" i="13"/>
  <c r="S48" i="37"/>
  <c r="R10" i="11"/>
  <c r="S53" i="37"/>
  <c r="R3" i="12"/>
  <c r="S69" i="37"/>
  <c r="R7" i="13"/>
  <c r="T65" i="37"/>
  <c r="S3" i="13"/>
  <c r="S56" i="37"/>
  <c r="R6" i="12"/>
  <c r="S55" i="37"/>
  <c r="R5" i="12"/>
  <c r="S4" i="37"/>
  <c r="R2" i="18"/>
  <c r="S9" i="37"/>
  <c r="R7" i="18"/>
  <c r="S60" i="37"/>
  <c r="R10" i="12"/>
  <c r="S71" i="37"/>
  <c r="R9" i="13"/>
  <c r="S19" i="37"/>
  <c r="R5" i="20"/>
  <c r="S57" i="37"/>
  <c r="R7" i="12"/>
  <c r="S40" i="37"/>
  <c r="R2" i="11"/>
  <c r="S49" i="37"/>
  <c r="R11" i="11"/>
  <c r="S44" i="37"/>
  <c r="R6" i="11"/>
  <c r="S41" i="37"/>
  <c r="R3" i="11"/>
  <c r="S18" i="37"/>
  <c r="R4" i="20"/>
  <c r="S13" i="37"/>
  <c r="R11" i="18"/>
  <c r="T73" i="37"/>
  <c r="S11" i="13"/>
  <c r="S8" i="37"/>
  <c r="R6" i="18"/>
  <c r="S47" i="37"/>
  <c r="R9" i="11"/>
  <c r="T21" i="37"/>
  <c r="S7" i="20"/>
  <c r="S20" i="37"/>
  <c r="R6" i="20"/>
  <c r="S58" i="37"/>
  <c r="R8" i="12"/>
  <c r="S12" i="37"/>
  <c r="R10" i="18"/>
  <c r="S16" i="37"/>
  <c r="R2" i="20"/>
  <c r="S43" i="37"/>
  <c r="R5" i="11"/>
  <c r="T45" i="37"/>
  <c r="S7" i="11"/>
  <c r="S6" i="37"/>
  <c r="R4" i="18"/>
  <c r="S7" i="37"/>
  <c r="R5" i="18"/>
  <c r="T25" i="37"/>
  <c r="S11" i="20"/>
  <c r="S59" i="37"/>
  <c r="R9" i="12"/>
  <c r="S70" i="37"/>
  <c r="R8" i="13"/>
  <c r="S52" i="37"/>
  <c r="R2" i="12"/>
  <c r="S61" i="37"/>
  <c r="R11" i="12"/>
  <c r="S66" i="37"/>
  <c r="R4" i="13"/>
  <c r="T42" i="37"/>
  <c r="S4" i="11"/>
  <c r="S54" i="37"/>
  <c r="R4" i="12"/>
  <c r="U23" i="37"/>
  <c r="T9" i="20"/>
  <c r="T22" i="37"/>
  <c r="S8" i="20"/>
  <c r="S46" i="37"/>
  <c r="R8" i="11"/>
  <c r="S17" i="37"/>
  <c r="R3" i="20"/>
  <c r="T11" i="37"/>
  <c r="S9" i="18"/>
  <c r="S41" i="38"/>
  <c r="R3" i="25"/>
  <c r="S46" i="38"/>
  <c r="R8" i="25"/>
  <c r="S60" i="38"/>
  <c r="R10" i="26"/>
  <c r="S20" i="38"/>
  <c r="R6" i="24"/>
  <c r="T4" i="38"/>
  <c r="S2" i="23"/>
  <c r="T8" i="38"/>
  <c r="S6" i="23"/>
  <c r="S16" i="38"/>
  <c r="R2" i="24"/>
  <c r="S70" i="38"/>
  <c r="R8" i="27"/>
  <c r="S47" i="38"/>
  <c r="R9" i="25"/>
  <c r="S42" i="38"/>
  <c r="R4" i="25"/>
  <c r="S44" i="38"/>
  <c r="R6" i="25"/>
  <c r="S25" i="38"/>
  <c r="R11" i="24"/>
  <c r="S66" i="38"/>
  <c r="R4" i="27"/>
  <c r="S68" i="38"/>
  <c r="R6" i="27"/>
  <c r="S43" i="38"/>
  <c r="R5" i="25"/>
  <c r="S48" i="38"/>
  <c r="R10" i="25"/>
  <c r="T17" i="38"/>
  <c r="S3" i="24"/>
  <c r="S67" i="38"/>
  <c r="R5" i="27"/>
  <c r="S7" i="38"/>
  <c r="R5" i="23"/>
  <c r="S56" i="38"/>
  <c r="R6" i="26"/>
  <c r="S23" i="38"/>
  <c r="R9" i="24"/>
  <c r="S10" i="38"/>
  <c r="R8" i="23"/>
  <c r="S11" i="38"/>
  <c r="R9" i="23"/>
  <c r="S49" i="38"/>
  <c r="R11" i="25"/>
  <c r="S73" i="38"/>
  <c r="R11" i="27"/>
  <c r="S24" i="38"/>
  <c r="R10" i="24"/>
  <c r="R2" i="26"/>
  <c r="S52" i="38"/>
  <c r="R9" i="27"/>
  <c r="S71" i="38"/>
  <c r="S65" i="38"/>
  <c r="R3" i="27"/>
  <c r="S19" i="38"/>
  <c r="R5" i="24"/>
  <c r="S9" i="38"/>
  <c r="R7" i="23"/>
  <c r="S64" i="38"/>
  <c r="R2" i="27"/>
  <c r="S45" i="38"/>
  <c r="R7" i="25"/>
  <c r="T5" i="38"/>
  <c r="S3" i="23"/>
  <c r="S18" i="38"/>
  <c r="R4" i="24"/>
  <c r="S59" i="38"/>
  <c r="R9" i="26"/>
  <c r="S12" i="38"/>
  <c r="R10" i="23"/>
  <c r="T55" i="38"/>
  <c r="S5" i="26"/>
  <c r="S72" i="38"/>
  <c r="R10" i="27"/>
  <c r="S69" i="38"/>
  <c r="R7" i="27"/>
  <c r="S53" i="38"/>
  <c r="R3" i="26"/>
  <c r="S61" i="38"/>
  <c r="R11" i="26"/>
  <c r="S40" i="38"/>
  <c r="R2" i="25"/>
  <c r="T6" i="38"/>
  <c r="S4" i="23"/>
  <c r="S22" i="38"/>
  <c r="R8" i="24"/>
  <c r="S13" i="38"/>
  <c r="R11" i="23"/>
  <c r="S58" i="38"/>
  <c r="R8" i="26"/>
  <c r="S57" i="38"/>
  <c r="R7" i="26"/>
  <c r="S54" i="38"/>
  <c r="R4" i="26"/>
  <c r="S21" i="38"/>
  <c r="R7" i="24"/>
  <c r="S79" i="36" l="1"/>
  <c r="S94" i="36" s="1"/>
  <c r="S2" i="14"/>
  <c r="S31" i="47"/>
  <c r="S32" i="47"/>
  <c r="S2" i="17"/>
  <c r="Y29" i="47"/>
  <c r="Z28" i="47"/>
  <c r="Z27" i="47"/>
  <c r="Z26" i="47"/>
  <c r="AA22" i="47"/>
  <c r="S81" i="36"/>
  <c r="S96" i="36" s="1"/>
  <c r="S80" i="36"/>
  <c r="S95" i="36" s="1"/>
  <c r="S78" i="36"/>
  <c r="S93" i="36" s="1"/>
  <c r="S23" i="47" s="1"/>
  <c r="S24" i="47" s="1"/>
  <c r="S86" i="36"/>
  <c r="S101" i="36" s="1"/>
  <c r="S87" i="36"/>
  <c r="S102" i="36" s="1"/>
  <c r="S85" i="36"/>
  <c r="S100" i="36" s="1"/>
  <c r="S84" i="36"/>
  <c r="S99" i="36" s="1"/>
  <c r="S83" i="36"/>
  <c r="S98" i="36" s="1"/>
  <c r="T56" i="36"/>
  <c r="S6" i="16"/>
  <c r="T22" i="36"/>
  <c r="S8" i="14"/>
  <c r="T58" i="36"/>
  <c r="S8" i="16"/>
  <c r="T43" i="36"/>
  <c r="S5" i="15"/>
  <c r="T55" i="36"/>
  <c r="S5" i="16"/>
  <c r="T40" i="36"/>
  <c r="S2" i="15"/>
  <c r="U12" i="36"/>
  <c r="T10" i="21"/>
  <c r="T47" i="36"/>
  <c r="S9" i="15"/>
  <c r="T8" i="36"/>
  <c r="S6" i="21"/>
  <c r="T72" i="36"/>
  <c r="S10" i="17"/>
  <c r="T66" i="36"/>
  <c r="S4" i="17"/>
  <c r="T48" i="36"/>
  <c r="S10" i="15"/>
  <c r="U7" i="36"/>
  <c r="T5" i="21"/>
  <c r="T24" i="36"/>
  <c r="S10" i="14"/>
  <c r="T41" i="36"/>
  <c r="S3" i="15"/>
  <c r="T70" i="36"/>
  <c r="S8" i="17"/>
  <c r="T18" i="36"/>
  <c r="S4" i="14"/>
  <c r="T4" i="36"/>
  <c r="S2" i="21"/>
  <c r="T16" i="36"/>
  <c r="T49" i="36"/>
  <c r="S11" i="15"/>
  <c r="T53" i="36"/>
  <c r="S3" i="16"/>
  <c r="T64" i="36"/>
  <c r="T69" i="36"/>
  <c r="S7" i="17"/>
  <c r="T19" i="36"/>
  <c r="S5" i="14"/>
  <c r="T61" i="36"/>
  <c r="S11" i="16"/>
  <c r="T25" i="36"/>
  <c r="S11" i="14"/>
  <c r="T68" i="36"/>
  <c r="S6" i="17"/>
  <c r="T45" i="36"/>
  <c r="S7" i="15"/>
  <c r="T42" i="36"/>
  <c r="S4" i="15"/>
  <c r="T10" i="36"/>
  <c r="S8" i="21"/>
  <c r="T52" i="36"/>
  <c r="S2" i="16"/>
  <c r="T44" i="36"/>
  <c r="S6" i="15"/>
  <c r="T21" i="36"/>
  <c r="S7" i="14"/>
  <c r="T23" i="36"/>
  <c r="S9" i="14"/>
  <c r="T6" i="36"/>
  <c r="S4" i="21"/>
  <c r="T65" i="36"/>
  <c r="S3" i="17"/>
  <c r="T73" i="36"/>
  <c r="S11" i="17"/>
  <c r="T67" i="36"/>
  <c r="S5" i="17"/>
  <c r="T54" i="36"/>
  <c r="S4" i="16"/>
  <c r="T17" i="36"/>
  <c r="S3" i="14"/>
  <c r="U11" i="36"/>
  <c r="T9" i="21"/>
  <c r="T59" i="36"/>
  <c r="S9" i="16"/>
  <c r="T71" i="36"/>
  <c r="T85" i="36" s="1"/>
  <c r="T100" i="36" s="1"/>
  <c r="S9" i="17"/>
  <c r="T13" i="36"/>
  <c r="S11" i="21"/>
  <c r="T60" i="36"/>
  <c r="S10" i="16"/>
  <c r="T20" i="36"/>
  <c r="S6" i="14"/>
  <c r="T5" i="36"/>
  <c r="S3" i="21"/>
  <c r="T46" i="36"/>
  <c r="S8" i="15"/>
  <c r="T57" i="36"/>
  <c r="S7" i="16"/>
  <c r="T9" i="36"/>
  <c r="S7" i="21"/>
  <c r="T24" i="37"/>
  <c r="S10" i="20"/>
  <c r="U22" i="37"/>
  <c r="T8" i="20"/>
  <c r="T52" i="37"/>
  <c r="S2" i="12"/>
  <c r="U45" i="37"/>
  <c r="T7" i="11"/>
  <c r="U21" i="37"/>
  <c r="T7" i="20"/>
  <c r="T41" i="37"/>
  <c r="S3" i="11"/>
  <c r="T71" i="37"/>
  <c r="S9" i="13"/>
  <c r="U65" i="37"/>
  <c r="T3" i="13"/>
  <c r="T10" i="37"/>
  <c r="S8" i="18"/>
  <c r="T6" i="37"/>
  <c r="S4" i="18"/>
  <c r="V23" i="37"/>
  <c r="U9" i="20"/>
  <c r="T70" i="37"/>
  <c r="S8" i="13"/>
  <c r="T43" i="37"/>
  <c r="S5" i="11"/>
  <c r="T47" i="37"/>
  <c r="S9" i="11"/>
  <c r="T44" i="37"/>
  <c r="S6" i="11"/>
  <c r="T60" i="37"/>
  <c r="S10" i="12"/>
  <c r="T69" i="37"/>
  <c r="S7" i="13"/>
  <c r="T67" i="37"/>
  <c r="S5" i="13"/>
  <c r="T61" i="37"/>
  <c r="S11" i="12"/>
  <c r="T18" i="37"/>
  <c r="S4" i="20"/>
  <c r="T54" i="37"/>
  <c r="S4" i="12"/>
  <c r="T59" i="37"/>
  <c r="S9" i="12"/>
  <c r="T16" i="37"/>
  <c r="S2" i="20"/>
  <c r="T8" i="37"/>
  <c r="S6" i="18"/>
  <c r="T49" i="37"/>
  <c r="S11" i="11"/>
  <c r="T9" i="37"/>
  <c r="S7" i="18"/>
  <c r="T53" i="37"/>
  <c r="S3" i="12"/>
  <c r="T68" i="37"/>
  <c r="S6" i="13"/>
  <c r="T56" i="37"/>
  <c r="S6" i="12"/>
  <c r="T46" i="37"/>
  <c r="S8" i="11"/>
  <c r="U11" i="37"/>
  <c r="T9" i="18"/>
  <c r="U42" i="37"/>
  <c r="T4" i="11"/>
  <c r="U25" i="37"/>
  <c r="T11" i="20"/>
  <c r="T12" i="37"/>
  <c r="S10" i="18"/>
  <c r="U73" i="37"/>
  <c r="T11" i="13"/>
  <c r="T40" i="37"/>
  <c r="S2" i="11"/>
  <c r="T4" i="37"/>
  <c r="S2" i="18"/>
  <c r="T48" i="37"/>
  <c r="S10" i="11"/>
  <c r="U64" i="37"/>
  <c r="T2" i="13"/>
  <c r="T20" i="37"/>
  <c r="S6" i="20"/>
  <c r="T19" i="37"/>
  <c r="S5" i="20"/>
  <c r="T17" i="37"/>
  <c r="S3" i="20"/>
  <c r="T66" i="37"/>
  <c r="S4" i="13"/>
  <c r="T7" i="37"/>
  <c r="S5" i="18"/>
  <c r="T58" i="37"/>
  <c r="S8" i="12"/>
  <c r="T13" i="37"/>
  <c r="S11" i="18"/>
  <c r="T57" i="37"/>
  <c r="S7" i="12"/>
  <c r="T55" i="37"/>
  <c r="S5" i="12"/>
  <c r="T72" i="37"/>
  <c r="S10" i="13"/>
  <c r="T5" i="37"/>
  <c r="S3" i="18"/>
  <c r="T19" i="38"/>
  <c r="S5" i="24"/>
  <c r="T49" i="38"/>
  <c r="S11" i="25"/>
  <c r="T53" i="38"/>
  <c r="S3" i="26"/>
  <c r="T18" i="38"/>
  <c r="S4" i="24"/>
  <c r="T65" i="38"/>
  <c r="S3" i="27"/>
  <c r="T11" i="38"/>
  <c r="S9" i="23"/>
  <c r="U17" i="38"/>
  <c r="T3" i="24"/>
  <c r="T44" i="38"/>
  <c r="S6" i="25"/>
  <c r="U4" i="38"/>
  <c r="T2" i="23"/>
  <c r="T71" i="38"/>
  <c r="S9" i="27"/>
  <c r="T57" i="38"/>
  <c r="S7" i="26"/>
  <c r="T13" i="38"/>
  <c r="S11" i="23"/>
  <c r="T69" i="38"/>
  <c r="S7" i="27"/>
  <c r="U5" i="38"/>
  <c r="T3" i="23"/>
  <c r="T10" i="38"/>
  <c r="S8" i="23"/>
  <c r="T48" i="38"/>
  <c r="S10" i="25"/>
  <c r="T42" i="38"/>
  <c r="S4" i="25"/>
  <c r="T20" i="38"/>
  <c r="S6" i="24"/>
  <c r="T52" i="38"/>
  <c r="S2" i="26"/>
  <c r="T25" i="38"/>
  <c r="S11" i="24"/>
  <c r="T22" i="38"/>
  <c r="S8" i="24"/>
  <c r="T72" i="38"/>
  <c r="S10" i="27"/>
  <c r="T45" i="38"/>
  <c r="S7" i="25"/>
  <c r="T23" i="38"/>
  <c r="S9" i="24"/>
  <c r="T43" i="38"/>
  <c r="S5" i="25"/>
  <c r="T47" i="38"/>
  <c r="S9" i="25"/>
  <c r="T60" i="38"/>
  <c r="S10" i="26"/>
  <c r="T61" i="38"/>
  <c r="S11" i="26"/>
  <c r="T59" i="38"/>
  <c r="S9" i="26"/>
  <c r="T58" i="38"/>
  <c r="S8" i="26"/>
  <c r="U55" i="38"/>
  <c r="T5" i="26"/>
  <c r="T64" i="38"/>
  <c r="S2" i="27"/>
  <c r="T24" i="38"/>
  <c r="S10" i="24"/>
  <c r="T56" i="38"/>
  <c r="S6" i="26"/>
  <c r="T68" i="38"/>
  <c r="S6" i="27"/>
  <c r="T70" i="38"/>
  <c r="S8" i="27"/>
  <c r="T46" i="38"/>
  <c r="S8" i="25"/>
  <c r="T67" i="38"/>
  <c r="S5" i="27"/>
  <c r="U6" i="38"/>
  <c r="T4" i="23"/>
  <c r="U8" i="38"/>
  <c r="T6" i="23"/>
  <c r="T21" i="38"/>
  <c r="S7" i="24"/>
  <c r="T54" i="38"/>
  <c r="S4" i="26"/>
  <c r="T40" i="38"/>
  <c r="S2" i="25"/>
  <c r="T12" i="38"/>
  <c r="S10" i="23"/>
  <c r="T9" i="38"/>
  <c r="S7" i="23"/>
  <c r="T73" i="38"/>
  <c r="S11" i="27"/>
  <c r="T7" i="38"/>
  <c r="S5" i="23"/>
  <c r="T66" i="38"/>
  <c r="S4" i="27"/>
  <c r="T16" i="38"/>
  <c r="S2" i="24"/>
  <c r="T41" i="38"/>
  <c r="S3" i="25"/>
  <c r="T2" i="17" l="1"/>
  <c r="T32" i="47"/>
  <c r="T2" i="14"/>
  <c r="T31" i="47"/>
  <c r="Z29" i="47"/>
  <c r="AB22" i="47"/>
  <c r="AA27" i="47"/>
  <c r="AA28" i="47"/>
  <c r="AA26" i="47"/>
  <c r="T81" i="36"/>
  <c r="T96" i="36" s="1"/>
  <c r="T80" i="36"/>
  <c r="T95" i="36" s="1"/>
  <c r="T83" i="36"/>
  <c r="T98" i="36" s="1"/>
  <c r="T78" i="36"/>
  <c r="T93" i="36" s="1"/>
  <c r="T23" i="47" s="1"/>
  <c r="T24" i="47" s="1"/>
  <c r="T87" i="36"/>
  <c r="T102" i="36" s="1"/>
  <c r="T86" i="36"/>
  <c r="T101" i="36" s="1"/>
  <c r="T79" i="36"/>
  <c r="T94" i="36" s="1"/>
  <c r="T82" i="36"/>
  <c r="T97" i="36" s="1"/>
  <c r="T84" i="36"/>
  <c r="T99" i="36" s="1"/>
  <c r="U13" i="36"/>
  <c r="T11" i="21"/>
  <c r="U17" i="36"/>
  <c r="T3" i="14"/>
  <c r="U65" i="36"/>
  <c r="U79" i="36" s="1"/>
  <c r="U94" i="36" s="1"/>
  <c r="T3" i="17"/>
  <c r="U44" i="36"/>
  <c r="T6" i="15"/>
  <c r="U45" i="36"/>
  <c r="T7" i="15"/>
  <c r="U19" i="36"/>
  <c r="T5" i="14"/>
  <c r="U49" i="36"/>
  <c r="T11" i="15"/>
  <c r="U70" i="36"/>
  <c r="T8" i="17"/>
  <c r="U48" i="36"/>
  <c r="T10" i="15"/>
  <c r="U47" i="36"/>
  <c r="T9" i="15"/>
  <c r="U43" i="36"/>
  <c r="T5" i="15"/>
  <c r="U46" i="36"/>
  <c r="T8" i="15"/>
  <c r="U5" i="36"/>
  <c r="T3" i="21"/>
  <c r="U71" i="36"/>
  <c r="T9" i="17"/>
  <c r="U54" i="36"/>
  <c r="T4" i="16"/>
  <c r="U6" i="36"/>
  <c r="T4" i="21"/>
  <c r="U52" i="36"/>
  <c r="T2" i="16"/>
  <c r="U68" i="36"/>
  <c r="T6" i="17"/>
  <c r="U69" i="36"/>
  <c r="T7" i="17"/>
  <c r="U16" i="36"/>
  <c r="U41" i="36"/>
  <c r="T3" i="15"/>
  <c r="U66" i="36"/>
  <c r="T4" i="17"/>
  <c r="V12" i="36"/>
  <c r="U10" i="21"/>
  <c r="U58" i="36"/>
  <c r="T8" i="16"/>
  <c r="U9" i="36"/>
  <c r="T7" i="21"/>
  <c r="U20" i="36"/>
  <c r="T6" i="14"/>
  <c r="U59" i="36"/>
  <c r="T9" i="16"/>
  <c r="U67" i="36"/>
  <c r="T5" i="17"/>
  <c r="U23" i="36"/>
  <c r="T9" i="14"/>
  <c r="U10" i="36"/>
  <c r="T8" i="21"/>
  <c r="U25" i="36"/>
  <c r="T11" i="14"/>
  <c r="U64" i="36"/>
  <c r="U4" i="36"/>
  <c r="T2" i="21"/>
  <c r="U24" i="36"/>
  <c r="T10" i="14"/>
  <c r="U72" i="36"/>
  <c r="T10" i="17"/>
  <c r="U40" i="36"/>
  <c r="T2" i="15"/>
  <c r="U22" i="36"/>
  <c r="T8" i="14"/>
  <c r="U57" i="36"/>
  <c r="T7" i="16"/>
  <c r="U60" i="36"/>
  <c r="T10" i="16"/>
  <c r="V11" i="36"/>
  <c r="U9" i="21"/>
  <c r="U73" i="36"/>
  <c r="T11" i="17"/>
  <c r="U21" i="36"/>
  <c r="T7" i="14"/>
  <c r="U42" i="36"/>
  <c r="T4" i="15"/>
  <c r="U61" i="36"/>
  <c r="T11" i="16"/>
  <c r="U53" i="36"/>
  <c r="T3" i="16"/>
  <c r="U18" i="36"/>
  <c r="T4" i="14"/>
  <c r="V7" i="36"/>
  <c r="U5" i="21"/>
  <c r="U8" i="36"/>
  <c r="T6" i="21"/>
  <c r="U55" i="36"/>
  <c r="T5" i="16"/>
  <c r="U56" i="36"/>
  <c r="T6" i="16"/>
  <c r="U46" i="37"/>
  <c r="T8" i="11"/>
  <c r="U8" i="37"/>
  <c r="T6" i="18"/>
  <c r="U67" i="37"/>
  <c r="T5" i="13"/>
  <c r="U70" i="37"/>
  <c r="T8" i="13"/>
  <c r="U41" i="37"/>
  <c r="T3" i="11"/>
  <c r="V73" i="37"/>
  <c r="U11" i="13"/>
  <c r="U56" i="37"/>
  <c r="T6" i="12"/>
  <c r="U16" i="37"/>
  <c r="T2" i="20"/>
  <c r="U69" i="37"/>
  <c r="T7" i="13"/>
  <c r="W23" i="37"/>
  <c r="V9" i="20"/>
  <c r="V21" i="37"/>
  <c r="U7" i="20"/>
  <c r="U40" i="37"/>
  <c r="T2" i="11"/>
  <c r="U17" i="37"/>
  <c r="T3" i="20"/>
  <c r="U12" i="37"/>
  <c r="T10" i="18"/>
  <c r="U68" i="37"/>
  <c r="T6" i="13"/>
  <c r="U59" i="37"/>
  <c r="T9" i="12"/>
  <c r="U60" i="37"/>
  <c r="T10" i="12"/>
  <c r="U6" i="37"/>
  <c r="T4" i="18"/>
  <c r="V45" i="37"/>
  <c r="U7" i="11"/>
  <c r="U57" i="37"/>
  <c r="T7" i="12"/>
  <c r="U58" i="37"/>
  <c r="T8" i="12"/>
  <c r="V64" i="37"/>
  <c r="U2" i="13"/>
  <c r="V25" i="37"/>
  <c r="U11" i="20"/>
  <c r="U53" i="37"/>
  <c r="T3" i="12"/>
  <c r="U54" i="37"/>
  <c r="T4" i="12"/>
  <c r="U44" i="37"/>
  <c r="T6" i="11"/>
  <c r="U10" i="37"/>
  <c r="T8" i="18"/>
  <c r="U52" i="37"/>
  <c r="T2" i="12"/>
  <c r="U20" i="37"/>
  <c r="T6" i="20"/>
  <c r="U5" i="37"/>
  <c r="T3" i="18"/>
  <c r="V42" i="37"/>
  <c r="U4" i="11"/>
  <c r="U18" i="37"/>
  <c r="T4" i="20"/>
  <c r="U47" i="37"/>
  <c r="T9" i="11"/>
  <c r="V65" i="37"/>
  <c r="U3" i="13"/>
  <c r="V22" i="37"/>
  <c r="U8" i="20"/>
  <c r="U19" i="37"/>
  <c r="T5" i="20"/>
  <c r="U13" i="37"/>
  <c r="T11" i="18"/>
  <c r="U7" i="37"/>
  <c r="T5" i="18"/>
  <c r="U48" i="37"/>
  <c r="T10" i="11"/>
  <c r="U9" i="37"/>
  <c r="T7" i="18"/>
  <c r="U55" i="37"/>
  <c r="T5" i="12"/>
  <c r="U72" i="37"/>
  <c r="T10" i="13"/>
  <c r="U66" i="37"/>
  <c r="T4" i="13"/>
  <c r="U4" i="37"/>
  <c r="T2" i="18"/>
  <c r="V11" i="37"/>
  <c r="U9" i="18"/>
  <c r="U49" i="37"/>
  <c r="T11" i="11"/>
  <c r="U61" i="37"/>
  <c r="T11" i="12"/>
  <c r="U43" i="37"/>
  <c r="T5" i="11"/>
  <c r="U71" i="37"/>
  <c r="T9" i="13"/>
  <c r="U24" i="37"/>
  <c r="T10" i="20"/>
  <c r="U70" i="38"/>
  <c r="T8" i="27"/>
  <c r="U58" i="38"/>
  <c r="T8" i="26"/>
  <c r="U23" i="38"/>
  <c r="T9" i="24"/>
  <c r="U20" i="38"/>
  <c r="T6" i="24"/>
  <c r="U13" i="38"/>
  <c r="T11" i="23"/>
  <c r="U11" i="38"/>
  <c r="T9" i="23"/>
  <c r="U66" i="38"/>
  <c r="T4" i="27"/>
  <c r="U21" i="38"/>
  <c r="T7" i="24"/>
  <c r="U68" i="38"/>
  <c r="T6" i="27"/>
  <c r="U59" i="38"/>
  <c r="T9" i="26"/>
  <c r="U45" i="38"/>
  <c r="T7" i="25"/>
  <c r="U42" i="38"/>
  <c r="T4" i="25"/>
  <c r="U57" i="38"/>
  <c r="T7" i="26"/>
  <c r="U65" i="38"/>
  <c r="T3" i="27"/>
  <c r="U7" i="38"/>
  <c r="T5" i="23"/>
  <c r="U73" i="38"/>
  <c r="T11" i="27"/>
  <c r="V8" i="38"/>
  <c r="U6" i="23"/>
  <c r="U56" i="38"/>
  <c r="T6" i="26"/>
  <c r="U61" i="38"/>
  <c r="T11" i="26"/>
  <c r="U72" i="38"/>
  <c r="T10" i="27"/>
  <c r="U48" i="38"/>
  <c r="T10" i="25"/>
  <c r="U71" i="38"/>
  <c r="T9" i="27"/>
  <c r="U18" i="38"/>
  <c r="T4" i="24"/>
  <c r="U9" i="38"/>
  <c r="T7" i="23"/>
  <c r="V6" i="38"/>
  <c r="U4" i="23"/>
  <c r="U24" i="38"/>
  <c r="T10" i="24"/>
  <c r="U60" i="38"/>
  <c r="T10" i="26"/>
  <c r="U22" i="38"/>
  <c r="T8" i="24"/>
  <c r="U10" i="38"/>
  <c r="T8" i="23"/>
  <c r="V4" i="38"/>
  <c r="U2" i="23"/>
  <c r="U53" i="38"/>
  <c r="T3" i="26"/>
  <c r="U54" i="38"/>
  <c r="T4" i="26"/>
  <c r="U41" i="38"/>
  <c r="T3" i="25"/>
  <c r="U12" i="38"/>
  <c r="T10" i="23"/>
  <c r="U67" i="38"/>
  <c r="T5" i="27"/>
  <c r="U64" i="38"/>
  <c r="T2" i="27"/>
  <c r="U47" i="38"/>
  <c r="T9" i="25"/>
  <c r="U25" i="38"/>
  <c r="T11" i="24"/>
  <c r="V5" i="38"/>
  <c r="U3" i="23"/>
  <c r="U44" i="38"/>
  <c r="T6" i="25"/>
  <c r="U49" i="38"/>
  <c r="T11" i="25"/>
  <c r="U16" i="38"/>
  <c r="T2" i="24"/>
  <c r="U40" i="38"/>
  <c r="T2" i="25"/>
  <c r="U46" i="38"/>
  <c r="T8" i="25"/>
  <c r="V55" i="38"/>
  <c r="U5" i="26"/>
  <c r="U43" i="38"/>
  <c r="T5" i="25"/>
  <c r="U52" i="38"/>
  <c r="T2" i="26"/>
  <c r="U69" i="38"/>
  <c r="T7" i="27"/>
  <c r="V17" i="38"/>
  <c r="U3" i="24"/>
  <c r="U19" i="38"/>
  <c r="T5" i="24"/>
  <c r="U2" i="17" l="1"/>
  <c r="U32" i="47"/>
  <c r="U2" i="14"/>
  <c r="U31" i="47"/>
  <c r="AA29" i="47"/>
  <c r="AB28" i="47"/>
  <c r="AB27" i="47"/>
  <c r="AB26" i="47"/>
  <c r="AC22" i="47"/>
  <c r="U87" i="36"/>
  <c r="U102" i="36" s="1"/>
  <c r="U78" i="36"/>
  <c r="U93" i="36" s="1"/>
  <c r="U23" i="47" s="1"/>
  <c r="U24" i="47" s="1"/>
  <c r="U85" i="36"/>
  <c r="U100" i="36" s="1"/>
  <c r="U80" i="36"/>
  <c r="U95" i="36" s="1"/>
  <c r="U82" i="36"/>
  <c r="U97" i="36" s="1"/>
  <c r="U86" i="36"/>
  <c r="U101" i="36" s="1"/>
  <c r="U84" i="36"/>
  <c r="U99" i="36" s="1"/>
  <c r="U83" i="36"/>
  <c r="U98" i="36" s="1"/>
  <c r="U81" i="36"/>
  <c r="U96" i="36" s="1"/>
  <c r="V8" i="36"/>
  <c r="U6" i="21"/>
  <c r="W11" i="36"/>
  <c r="V9" i="21"/>
  <c r="V40" i="36"/>
  <c r="U2" i="15"/>
  <c r="V64" i="36"/>
  <c r="V67" i="36"/>
  <c r="U5" i="17"/>
  <c r="V58" i="36"/>
  <c r="U8" i="16"/>
  <c r="V16" i="36"/>
  <c r="V6" i="36"/>
  <c r="U4" i="21"/>
  <c r="V46" i="36"/>
  <c r="U8" i="15"/>
  <c r="V70" i="36"/>
  <c r="U8" i="17"/>
  <c r="V44" i="36"/>
  <c r="U6" i="15"/>
  <c r="V61" i="36"/>
  <c r="U11" i="16"/>
  <c r="W7" i="36"/>
  <c r="V5" i="21"/>
  <c r="V42" i="36"/>
  <c r="U4" i="15"/>
  <c r="V60" i="36"/>
  <c r="U10" i="16"/>
  <c r="V72" i="36"/>
  <c r="U10" i="17"/>
  <c r="V25" i="36"/>
  <c r="U11" i="14"/>
  <c r="V59" i="36"/>
  <c r="U9" i="16"/>
  <c r="W12" i="36"/>
  <c r="V10" i="21"/>
  <c r="V69" i="36"/>
  <c r="U7" i="17"/>
  <c r="V54" i="36"/>
  <c r="U4" i="16"/>
  <c r="V43" i="36"/>
  <c r="U5" i="15"/>
  <c r="V49" i="36"/>
  <c r="U11" i="15"/>
  <c r="V65" i="36"/>
  <c r="U3" i="17"/>
  <c r="V56" i="36"/>
  <c r="U6" i="16"/>
  <c r="V18" i="36"/>
  <c r="U4" i="14"/>
  <c r="V21" i="36"/>
  <c r="U7" i="14"/>
  <c r="V57" i="36"/>
  <c r="U7" i="16"/>
  <c r="V24" i="36"/>
  <c r="U10" i="14"/>
  <c r="V10" i="36"/>
  <c r="U8" i="21"/>
  <c r="V20" i="36"/>
  <c r="U6" i="14"/>
  <c r="V66" i="36"/>
  <c r="U4" i="17"/>
  <c r="V68" i="36"/>
  <c r="U6" i="17"/>
  <c r="V71" i="36"/>
  <c r="U9" i="17"/>
  <c r="V47" i="36"/>
  <c r="U9" i="15"/>
  <c r="V19" i="36"/>
  <c r="U5" i="14"/>
  <c r="V17" i="36"/>
  <c r="U3" i="14"/>
  <c r="V55" i="36"/>
  <c r="U5" i="16"/>
  <c r="V53" i="36"/>
  <c r="U3" i="16"/>
  <c r="V73" i="36"/>
  <c r="U11" i="17"/>
  <c r="V22" i="36"/>
  <c r="U8" i="14"/>
  <c r="V4" i="36"/>
  <c r="U2" i="21"/>
  <c r="V23" i="36"/>
  <c r="U9" i="14"/>
  <c r="V9" i="36"/>
  <c r="U7" i="21"/>
  <c r="V41" i="36"/>
  <c r="U3" i="15"/>
  <c r="V52" i="36"/>
  <c r="U2" i="16"/>
  <c r="V5" i="36"/>
  <c r="U3" i="21"/>
  <c r="V48" i="36"/>
  <c r="U10" i="15"/>
  <c r="V45" i="36"/>
  <c r="U7" i="15"/>
  <c r="V13" i="36"/>
  <c r="U11" i="21"/>
  <c r="W73" i="37"/>
  <c r="V11" i="13"/>
  <c r="V19" i="37"/>
  <c r="U5" i="20"/>
  <c r="V61" i="37"/>
  <c r="U11" i="12"/>
  <c r="V55" i="37"/>
  <c r="U5" i="12"/>
  <c r="W22" i="37"/>
  <c r="V8" i="20"/>
  <c r="V20" i="37"/>
  <c r="U6" i="20"/>
  <c r="W25" i="37"/>
  <c r="V11" i="20"/>
  <c r="V60" i="37"/>
  <c r="U10" i="12"/>
  <c r="W21" i="37"/>
  <c r="V7" i="20"/>
  <c r="V41" i="37"/>
  <c r="U3" i="11"/>
  <c r="V43" i="37"/>
  <c r="U5" i="11"/>
  <c r="V72" i="37"/>
  <c r="U10" i="13"/>
  <c r="V49" i="37"/>
  <c r="U11" i="11"/>
  <c r="V9" i="37"/>
  <c r="U7" i="18"/>
  <c r="W65" i="37"/>
  <c r="V3" i="13"/>
  <c r="V52" i="37"/>
  <c r="U2" i="12"/>
  <c r="W64" i="37"/>
  <c r="V2" i="13"/>
  <c r="V59" i="37"/>
  <c r="U9" i="12"/>
  <c r="X23" i="37"/>
  <c r="W9" i="20"/>
  <c r="C22" i="40"/>
  <c r="V70" i="37"/>
  <c r="U8" i="13"/>
  <c r="V53" i="37"/>
  <c r="U3" i="12"/>
  <c r="W11" i="37"/>
  <c r="V9" i="18"/>
  <c r="V48" i="37"/>
  <c r="U10" i="11"/>
  <c r="V47" i="37"/>
  <c r="U9" i="11"/>
  <c r="V10" i="37"/>
  <c r="U8" i="18"/>
  <c r="V58" i="37"/>
  <c r="U8" i="12"/>
  <c r="V68" i="37"/>
  <c r="U6" i="13"/>
  <c r="V69" i="37"/>
  <c r="U7" i="13"/>
  <c r="V67" i="37"/>
  <c r="U5" i="13"/>
  <c r="V40" i="37"/>
  <c r="U2" i="11"/>
  <c r="V24" i="37"/>
  <c r="U10" i="20"/>
  <c r="V4" i="37"/>
  <c r="U2" i="18"/>
  <c r="V7" i="37"/>
  <c r="U5" i="18"/>
  <c r="V18" i="37"/>
  <c r="U4" i="20"/>
  <c r="V44" i="37"/>
  <c r="U6" i="11"/>
  <c r="V57" i="37"/>
  <c r="U7" i="12"/>
  <c r="V12" i="37"/>
  <c r="U10" i="18"/>
  <c r="V16" i="37"/>
  <c r="U2" i="20"/>
  <c r="V8" i="37"/>
  <c r="U6" i="18"/>
  <c r="V5" i="37"/>
  <c r="U3" i="18"/>
  <c r="V6" i="37"/>
  <c r="U4" i="18"/>
  <c r="V71" i="37"/>
  <c r="U9" i="13"/>
  <c r="V66" i="37"/>
  <c r="U4" i="13"/>
  <c r="V13" i="37"/>
  <c r="U11" i="18"/>
  <c r="W42" i="37"/>
  <c r="V4" i="11"/>
  <c r="V54" i="37"/>
  <c r="U4" i="12"/>
  <c r="W45" i="37"/>
  <c r="V7" i="11"/>
  <c r="V17" i="37"/>
  <c r="U3" i="20"/>
  <c r="V56" i="37"/>
  <c r="U6" i="12"/>
  <c r="V46" i="37"/>
  <c r="U8" i="11"/>
  <c r="V16" i="38"/>
  <c r="U2" i="24"/>
  <c r="V64" i="38"/>
  <c r="U2" i="27"/>
  <c r="W4" i="38"/>
  <c r="V2" i="23"/>
  <c r="V9" i="38"/>
  <c r="U7" i="23"/>
  <c r="V56" i="38"/>
  <c r="U6" i="26"/>
  <c r="V42" i="38"/>
  <c r="U4" i="25"/>
  <c r="V11" i="38"/>
  <c r="U9" i="23"/>
  <c r="V18" i="38"/>
  <c r="U4" i="24"/>
  <c r="W8" i="38"/>
  <c r="V6" i="23"/>
  <c r="V45" i="38"/>
  <c r="U7" i="25"/>
  <c r="V13" i="38"/>
  <c r="U11" i="23"/>
  <c r="V10" i="38"/>
  <c r="U8" i="23"/>
  <c r="V49" i="38"/>
  <c r="U11" i="25"/>
  <c r="V43" i="38"/>
  <c r="U5" i="25"/>
  <c r="V44" i="38"/>
  <c r="U6" i="25"/>
  <c r="V12" i="38"/>
  <c r="U10" i="23"/>
  <c r="V22" i="38"/>
  <c r="U8" i="24"/>
  <c r="V71" i="38"/>
  <c r="U9" i="27"/>
  <c r="V73" i="38"/>
  <c r="U11" i="27"/>
  <c r="V59" i="38"/>
  <c r="U9" i="26"/>
  <c r="V20" i="38"/>
  <c r="U6" i="24"/>
  <c r="V67" i="38"/>
  <c r="U5" i="27"/>
  <c r="W55" i="38"/>
  <c r="V5" i="26"/>
  <c r="W5" i="38"/>
  <c r="V3" i="23"/>
  <c r="V41" i="38"/>
  <c r="U3" i="25"/>
  <c r="V60" i="38"/>
  <c r="U10" i="26"/>
  <c r="V48" i="38"/>
  <c r="U10" i="25"/>
  <c r="V7" i="38"/>
  <c r="U5" i="23"/>
  <c r="V68" i="38"/>
  <c r="U6" i="27"/>
  <c r="V23" i="38"/>
  <c r="U9" i="24"/>
  <c r="V46" i="38"/>
  <c r="U8" i="25"/>
  <c r="V25" i="38"/>
  <c r="U11" i="24"/>
  <c r="V54" i="38"/>
  <c r="U4" i="26"/>
  <c r="V24" i="38"/>
  <c r="U10" i="24"/>
  <c r="V72" i="38"/>
  <c r="U10" i="27"/>
  <c r="V65" i="38"/>
  <c r="U3" i="27"/>
  <c r="V21" i="38"/>
  <c r="U7" i="24"/>
  <c r="V58" i="38"/>
  <c r="U8" i="26"/>
  <c r="V69" i="38"/>
  <c r="U7" i="27"/>
  <c r="V52" i="38"/>
  <c r="U2" i="26"/>
  <c r="V19" i="38"/>
  <c r="U5" i="24"/>
  <c r="W17" i="38"/>
  <c r="V3" i="24"/>
  <c r="V40" i="38"/>
  <c r="U2" i="25"/>
  <c r="V47" i="38"/>
  <c r="U9" i="25"/>
  <c r="V53" i="38"/>
  <c r="U3" i="26"/>
  <c r="W6" i="38"/>
  <c r="V4" i="23"/>
  <c r="V61" i="38"/>
  <c r="U11" i="26"/>
  <c r="V57" i="38"/>
  <c r="U7" i="26"/>
  <c r="V66" i="38"/>
  <c r="U4" i="27"/>
  <c r="V70" i="38"/>
  <c r="U8" i="27"/>
  <c r="V2" i="14" l="1"/>
  <c r="V31" i="47"/>
  <c r="V2" i="17"/>
  <c r="V32" i="47"/>
  <c r="AD22" i="47"/>
  <c r="AC28" i="47"/>
  <c r="AC27" i="47"/>
  <c r="AC26" i="47"/>
  <c r="AB29" i="47"/>
  <c r="V81" i="36"/>
  <c r="V96" i="36" s="1"/>
  <c r="V80" i="36"/>
  <c r="V95" i="36" s="1"/>
  <c r="V78" i="36"/>
  <c r="V93" i="36" s="1"/>
  <c r="V23" i="47" s="1"/>
  <c r="V24" i="47" s="1"/>
  <c r="V87" i="36"/>
  <c r="V102" i="36" s="1"/>
  <c r="V84" i="36"/>
  <c r="V99" i="36" s="1"/>
  <c r="V83" i="36"/>
  <c r="V98" i="36" s="1"/>
  <c r="V85" i="36"/>
  <c r="V100" i="36" s="1"/>
  <c r="V86" i="36"/>
  <c r="V101" i="36" s="1"/>
  <c r="V82" i="36"/>
  <c r="V97" i="36" s="1"/>
  <c r="V79" i="36"/>
  <c r="V94" i="36" s="1"/>
  <c r="W48" i="36"/>
  <c r="V10" i="15"/>
  <c r="W9" i="36"/>
  <c r="V7" i="21"/>
  <c r="W73" i="36"/>
  <c r="V11" i="17"/>
  <c r="W19" i="36"/>
  <c r="V5" i="14"/>
  <c r="W66" i="36"/>
  <c r="V4" i="17"/>
  <c r="W57" i="36"/>
  <c r="V7" i="16"/>
  <c r="W65" i="36"/>
  <c r="V3" i="17"/>
  <c r="W69" i="36"/>
  <c r="V7" i="17"/>
  <c r="W72" i="36"/>
  <c r="V10" i="17"/>
  <c r="W61" i="36"/>
  <c r="V11" i="16"/>
  <c r="W6" i="36"/>
  <c r="V4" i="21"/>
  <c r="W64" i="36"/>
  <c r="W5" i="36"/>
  <c r="V3" i="21"/>
  <c r="W23" i="36"/>
  <c r="V9" i="14"/>
  <c r="W53" i="36"/>
  <c r="V3" i="16"/>
  <c r="W47" i="36"/>
  <c r="V9" i="15"/>
  <c r="W20" i="36"/>
  <c r="V6" i="14"/>
  <c r="W21" i="36"/>
  <c r="V7" i="14"/>
  <c r="W49" i="36"/>
  <c r="V11" i="15"/>
  <c r="X12" i="36"/>
  <c r="W10" i="21"/>
  <c r="B10" i="40"/>
  <c r="W60" i="36"/>
  <c r="V10" i="16"/>
  <c r="W44" i="36"/>
  <c r="V6" i="15"/>
  <c r="W16" i="36"/>
  <c r="W40" i="36"/>
  <c r="V2" i="15"/>
  <c r="W13" i="36"/>
  <c r="V11" i="21"/>
  <c r="W52" i="36"/>
  <c r="V2" i="16"/>
  <c r="W4" i="36"/>
  <c r="V2" i="21"/>
  <c r="W55" i="36"/>
  <c r="V5" i="16"/>
  <c r="W71" i="36"/>
  <c r="V9" i="17"/>
  <c r="W10" i="36"/>
  <c r="V8" i="21"/>
  <c r="W18" i="36"/>
  <c r="V4" i="14"/>
  <c r="W43" i="36"/>
  <c r="V5" i="15"/>
  <c r="W59" i="36"/>
  <c r="V9" i="16"/>
  <c r="W42" i="36"/>
  <c r="V4" i="15"/>
  <c r="W70" i="36"/>
  <c r="V8" i="17"/>
  <c r="W58" i="36"/>
  <c r="V8" i="16"/>
  <c r="X11" i="36"/>
  <c r="W9" i="21"/>
  <c r="B9" i="40"/>
  <c r="W45" i="36"/>
  <c r="V7" i="15"/>
  <c r="W41" i="36"/>
  <c r="V3" i="15"/>
  <c r="W22" i="36"/>
  <c r="V8" i="14"/>
  <c r="W17" i="36"/>
  <c r="V3" i="14"/>
  <c r="W68" i="36"/>
  <c r="V6" i="17"/>
  <c r="W24" i="36"/>
  <c r="V10" i="14"/>
  <c r="W56" i="36"/>
  <c r="V6" i="16"/>
  <c r="W54" i="36"/>
  <c r="V4" i="16"/>
  <c r="W25" i="36"/>
  <c r="V11" i="14"/>
  <c r="X7" i="36"/>
  <c r="W5" i="21"/>
  <c r="B5" i="40"/>
  <c r="W46" i="36"/>
  <c r="V8" i="15"/>
  <c r="W67" i="36"/>
  <c r="V5" i="17"/>
  <c r="W8" i="36"/>
  <c r="V6" i="21"/>
  <c r="W47" i="37"/>
  <c r="V9" i="11"/>
  <c r="W59" i="37"/>
  <c r="V9" i="12"/>
  <c r="W72" i="37"/>
  <c r="V10" i="13"/>
  <c r="W20" i="37"/>
  <c r="V6" i="20"/>
  <c r="W40" i="37"/>
  <c r="V2" i="11"/>
  <c r="X45" i="37"/>
  <c r="E20" i="40"/>
  <c r="W7" i="11"/>
  <c r="W6" i="37"/>
  <c r="V4" i="18"/>
  <c r="W44" i="37"/>
  <c r="V6" i="11"/>
  <c r="W67" i="37"/>
  <c r="V5" i="13"/>
  <c r="W48" i="37"/>
  <c r="V10" i="11"/>
  <c r="W57" i="37"/>
  <c r="V7" i="12"/>
  <c r="X64" i="37"/>
  <c r="W2" i="13"/>
  <c r="G15" i="40"/>
  <c r="W43" i="37"/>
  <c r="V5" i="11"/>
  <c r="X22" i="37"/>
  <c r="C21" i="40"/>
  <c r="W8" i="20"/>
  <c r="W54" i="37"/>
  <c r="V4" i="12"/>
  <c r="W5" i="37"/>
  <c r="V3" i="18"/>
  <c r="W18" i="37"/>
  <c r="V4" i="20"/>
  <c r="W69" i="37"/>
  <c r="V7" i="13"/>
  <c r="X11" i="37"/>
  <c r="W9" i="18"/>
  <c r="B22" i="40"/>
  <c r="W52" i="37"/>
  <c r="V2" i="12"/>
  <c r="W41" i="37"/>
  <c r="V3" i="11"/>
  <c r="W55" i="37"/>
  <c r="V5" i="12"/>
  <c r="X42" i="37"/>
  <c r="E17" i="40"/>
  <c r="W4" i="11"/>
  <c r="W8" i="37"/>
  <c r="V6" i="18"/>
  <c r="W7" i="37"/>
  <c r="V5" i="18"/>
  <c r="W68" i="37"/>
  <c r="V6" i="13"/>
  <c r="W53" i="37"/>
  <c r="V3" i="12"/>
  <c r="W17" i="37"/>
  <c r="V3" i="20"/>
  <c r="X65" i="37"/>
  <c r="W3" i="13"/>
  <c r="G16" i="40"/>
  <c r="X21" i="37"/>
  <c r="W7" i="20"/>
  <c r="C20" i="40"/>
  <c r="W61" i="37"/>
  <c r="V11" i="12"/>
  <c r="W46" i="37"/>
  <c r="V8" i="11"/>
  <c r="W13" i="37"/>
  <c r="V11" i="18"/>
  <c r="W16" i="37"/>
  <c r="V2" i="20"/>
  <c r="W4" i="37"/>
  <c r="V2" i="18"/>
  <c r="W58" i="37"/>
  <c r="V8" i="12"/>
  <c r="W70" i="37"/>
  <c r="V8" i="13"/>
  <c r="W9" i="37"/>
  <c r="V7" i="18"/>
  <c r="W60" i="37"/>
  <c r="V10" i="12"/>
  <c r="W19" i="37"/>
  <c r="V5" i="20"/>
  <c r="W71" i="37"/>
  <c r="V9" i="13"/>
  <c r="W56" i="37"/>
  <c r="V6" i="12"/>
  <c r="W66" i="37"/>
  <c r="V4" i="13"/>
  <c r="W12" i="37"/>
  <c r="V10" i="18"/>
  <c r="W24" i="37"/>
  <c r="V10" i="20"/>
  <c r="W10" i="37"/>
  <c r="V8" i="18"/>
  <c r="Y23" i="37"/>
  <c r="X9" i="20"/>
  <c r="W49" i="37"/>
  <c r="V11" i="11"/>
  <c r="X25" i="37"/>
  <c r="C24" i="40"/>
  <c r="W11" i="20"/>
  <c r="X73" i="37"/>
  <c r="W11" i="13"/>
  <c r="G24" i="40"/>
  <c r="W57" i="38"/>
  <c r="V7" i="26"/>
  <c r="X17" i="38"/>
  <c r="W3" i="24"/>
  <c r="C29" i="40"/>
  <c r="W65" i="38"/>
  <c r="V3" i="27"/>
  <c r="W23" i="38"/>
  <c r="V9" i="24"/>
  <c r="X5" i="38"/>
  <c r="W3" i="23"/>
  <c r="B29" i="40"/>
  <c r="W71" i="38"/>
  <c r="V9" i="27"/>
  <c r="W10" i="38"/>
  <c r="V8" i="23"/>
  <c r="W42" i="38"/>
  <c r="V4" i="25"/>
  <c r="W61" i="38"/>
  <c r="V11" i="26"/>
  <c r="W19" i="38"/>
  <c r="V5" i="24"/>
  <c r="W72" i="38"/>
  <c r="V10" i="27"/>
  <c r="W68" i="38"/>
  <c r="V6" i="27"/>
  <c r="X55" i="38"/>
  <c r="F31" i="40"/>
  <c r="W5" i="26"/>
  <c r="W22" i="38"/>
  <c r="V8" i="24"/>
  <c r="W13" i="38"/>
  <c r="V11" i="23"/>
  <c r="W56" i="38"/>
  <c r="V6" i="26"/>
  <c r="X6" i="38"/>
  <c r="W4" i="23"/>
  <c r="B30" i="40"/>
  <c r="W52" i="38"/>
  <c r="V2" i="26"/>
  <c r="W24" i="38"/>
  <c r="V10" i="24"/>
  <c r="W7" i="38"/>
  <c r="V5" i="23"/>
  <c r="W67" i="38"/>
  <c r="V5" i="27"/>
  <c r="W12" i="38"/>
  <c r="V10" i="23"/>
  <c r="W45" i="38"/>
  <c r="V7" i="25"/>
  <c r="W9" i="38"/>
  <c r="V7" i="23"/>
  <c r="W53" i="38"/>
  <c r="V3" i="26"/>
  <c r="W69" i="38"/>
  <c r="V7" i="27"/>
  <c r="W54" i="38"/>
  <c r="V4" i="26"/>
  <c r="W48" i="38"/>
  <c r="V10" i="25"/>
  <c r="W20" i="38"/>
  <c r="V6" i="24"/>
  <c r="W44" i="38"/>
  <c r="V6" i="25"/>
  <c r="X8" i="38"/>
  <c r="B32" i="40"/>
  <c r="W6" i="23"/>
  <c r="X4" i="38"/>
  <c r="W2" i="23"/>
  <c r="B28" i="40"/>
  <c r="W70" i="38"/>
  <c r="V8" i="27"/>
  <c r="W47" i="38"/>
  <c r="V9" i="25"/>
  <c r="W58" i="38"/>
  <c r="V8" i="26"/>
  <c r="W25" i="38"/>
  <c r="V11" i="24"/>
  <c r="W60" i="38"/>
  <c r="V10" i="26"/>
  <c r="W59" i="38"/>
  <c r="V9" i="26"/>
  <c r="W43" i="38"/>
  <c r="V5" i="25"/>
  <c r="W18" i="38"/>
  <c r="V4" i="24"/>
  <c r="W64" i="38"/>
  <c r="V2" i="27"/>
  <c r="W66" i="38"/>
  <c r="V4" i="27"/>
  <c r="W40" i="38"/>
  <c r="V2" i="25"/>
  <c r="W21" i="38"/>
  <c r="V7" i="24"/>
  <c r="W46" i="38"/>
  <c r="V8" i="25"/>
  <c r="W41" i="38"/>
  <c r="V3" i="25"/>
  <c r="W73" i="38"/>
  <c r="V11" i="27"/>
  <c r="W49" i="38"/>
  <c r="V11" i="25"/>
  <c r="W11" i="38"/>
  <c r="V9" i="23"/>
  <c r="W16" i="38"/>
  <c r="V2" i="24"/>
  <c r="W2" i="17" l="1"/>
  <c r="W32" i="47"/>
  <c r="W2" i="14"/>
  <c r="W31" i="47"/>
  <c r="AC29" i="47"/>
  <c r="AD28" i="47"/>
  <c r="AD26" i="47"/>
  <c r="AD27" i="47"/>
  <c r="AE22" i="47"/>
  <c r="W78" i="36"/>
  <c r="W93" i="36" s="1"/>
  <c r="W23" i="47" s="1"/>
  <c r="W24" i="47" s="1"/>
  <c r="W87" i="36"/>
  <c r="W102" i="36" s="1"/>
  <c r="W80" i="36"/>
  <c r="W95" i="36" s="1"/>
  <c r="W85" i="36"/>
  <c r="W100" i="36" s="1"/>
  <c r="W86" i="36"/>
  <c r="W101" i="36" s="1"/>
  <c r="W84" i="36"/>
  <c r="W99" i="36" s="1"/>
  <c r="W83" i="36"/>
  <c r="W98" i="36" s="1"/>
  <c r="W81" i="36"/>
  <c r="W96" i="36" s="1"/>
  <c r="W82" i="36"/>
  <c r="W97" i="36" s="1"/>
  <c r="W79" i="36"/>
  <c r="W94" i="36" s="1"/>
  <c r="X58" i="36"/>
  <c r="W8" i="16"/>
  <c r="F8" i="40"/>
  <c r="X43" i="36"/>
  <c r="W5" i="15"/>
  <c r="E5" i="40"/>
  <c r="X55" i="36"/>
  <c r="W5" i="16"/>
  <c r="F5" i="40"/>
  <c r="X40" i="36"/>
  <c r="W2" i="15"/>
  <c r="E2" i="40"/>
  <c r="Y7" i="36"/>
  <c r="X5" i="21"/>
  <c r="X24" i="36"/>
  <c r="W10" i="14"/>
  <c r="C10" i="40"/>
  <c r="X41" i="36"/>
  <c r="W3" i="15"/>
  <c r="E3" i="40"/>
  <c r="Y12" i="36"/>
  <c r="X10" i="21"/>
  <c r="X47" i="36"/>
  <c r="W9" i="15"/>
  <c r="E9" i="40"/>
  <c r="X64" i="36"/>
  <c r="G2" i="40"/>
  <c r="X69" i="36"/>
  <c r="W7" i="17"/>
  <c r="G7" i="40"/>
  <c r="X19" i="36"/>
  <c r="W5" i="14"/>
  <c r="C5" i="40"/>
  <c r="X8" i="36"/>
  <c r="W6" i="21"/>
  <c r="B6" i="40"/>
  <c r="X70" i="36"/>
  <c r="W8" i="17"/>
  <c r="G8" i="40"/>
  <c r="X18" i="36"/>
  <c r="W4" i="14"/>
  <c r="C4" i="40"/>
  <c r="X4" i="36"/>
  <c r="W2" i="21"/>
  <c r="B2" i="40"/>
  <c r="X16" i="36"/>
  <c r="C2" i="40"/>
  <c r="X25" i="36"/>
  <c r="W11" i="14"/>
  <c r="C11" i="40"/>
  <c r="X68" i="36"/>
  <c r="W6" i="17"/>
  <c r="G6" i="40"/>
  <c r="X45" i="36"/>
  <c r="W7" i="15"/>
  <c r="E7" i="40"/>
  <c r="X49" i="36"/>
  <c r="W11" i="15"/>
  <c r="E11" i="40"/>
  <c r="X53" i="36"/>
  <c r="W3" i="16"/>
  <c r="F3" i="40"/>
  <c r="X6" i="36"/>
  <c r="B4" i="40"/>
  <c r="W4" i="21"/>
  <c r="X65" i="36"/>
  <c r="W3" i="17"/>
  <c r="G3" i="40"/>
  <c r="X73" i="36"/>
  <c r="W11" i="17"/>
  <c r="G11" i="40"/>
  <c r="X67" i="36"/>
  <c r="W5" i="17"/>
  <c r="G5" i="40"/>
  <c r="X42" i="36"/>
  <c r="W4" i="15"/>
  <c r="E4" i="40"/>
  <c r="X10" i="36"/>
  <c r="B8" i="40"/>
  <c r="W8" i="21"/>
  <c r="X52" i="36"/>
  <c r="W2" i="16"/>
  <c r="F2" i="40"/>
  <c r="X44" i="36"/>
  <c r="W6" i="15"/>
  <c r="E6" i="40"/>
  <c r="X54" i="36"/>
  <c r="W4" i="16"/>
  <c r="F4" i="40"/>
  <c r="X17" i="36"/>
  <c r="W3" i="14"/>
  <c r="C3" i="40"/>
  <c r="X21" i="36"/>
  <c r="W7" i="14"/>
  <c r="C7" i="40"/>
  <c r="X23" i="36"/>
  <c r="W9" i="14"/>
  <c r="C9" i="40"/>
  <c r="X61" i="36"/>
  <c r="W11" i="16"/>
  <c r="F11" i="40"/>
  <c r="X57" i="36"/>
  <c r="W7" i="16"/>
  <c r="F7" i="40"/>
  <c r="X9" i="36"/>
  <c r="B7" i="40"/>
  <c r="W7" i="21"/>
  <c r="X46" i="36"/>
  <c r="W8" i="15"/>
  <c r="E8" i="40"/>
  <c r="Y11" i="36"/>
  <c r="X9" i="21"/>
  <c r="X59" i="36"/>
  <c r="W9" i="16"/>
  <c r="F9" i="40"/>
  <c r="X71" i="36"/>
  <c r="X85" i="36" s="1"/>
  <c r="X100" i="36" s="1"/>
  <c r="W9" i="17"/>
  <c r="G9" i="40"/>
  <c r="X13" i="36"/>
  <c r="B11" i="40"/>
  <c r="W11" i="21"/>
  <c r="X60" i="36"/>
  <c r="W10" i="16"/>
  <c r="F10" i="40"/>
  <c r="X56" i="36"/>
  <c r="W6" i="16"/>
  <c r="F6" i="40"/>
  <c r="X22" i="36"/>
  <c r="W8" i="14"/>
  <c r="C8" i="40"/>
  <c r="X20" i="36"/>
  <c r="W6" i="14"/>
  <c r="C6" i="40"/>
  <c r="X5" i="36"/>
  <c r="B3" i="40"/>
  <c r="W3" i="21"/>
  <c r="X72" i="36"/>
  <c r="W10" i="17"/>
  <c r="G10" i="40"/>
  <c r="X66" i="36"/>
  <c r="W4" i="17"/>
  <c r="G4" i="40"/>
  <c r="X48" i="36"/>
  <c r="W10" i="15"/>
  <c r="E10" i="40"/>
  <c r="Y73" i="37"/>
  <c r="X11" i="13"/>
  <c r="X55" i="37"/>
  <c r="W5" i="12"/>
  <c r="F18" i="40"/>
  <c r="Y45" i="37"/>
  <c r="X7" i="11"/>
  <c r="X18" i="37"/>
  <c r="C17" i="40"/>
  <c r="W4" i="20"/>
  <c r="X12" i="37"/>
  <c r="W10" i="18"/>
  <c r="B23" i="40"/>
  <c r="X9" i="37"/>
  <c r="W7" i="18"/>
  <c r="B20" i="40"/>
  <c r="X46" i="37"/>
  <c r="E21" i="40"/>
  <c r="W8" i="11"/>
  <c r="X53" i="37"/>
  <c r="W3" i="12"/>
  <c r="F16" i="40"/>
  <c r="X5" i="37"/>
  <c r="W3" i="18"/>
  <c r="B16" i="40"/>
  <c r="X57" i="37"/>
  <c r="W7" i="12"/>
  <c r="F20" i="40"/>
  <c r="X41" i="37"/>
  <c r="W3" i="11"/>
  <c r="E16" i="40"/>
  <c r="X40" i="37"/>
  <c r="E15" i="40"/>
  <c r="W2" i="11"/>
  <c r="Y25" i="37"/>
  <c r="X11" i="20"/>
  <c r="X66" i="37"/>
  <c r="W4" i="13"/>
  <c r="G17" i="40"/>
  <c r="X70" i="37"/>
  <c r="W8" i="13"/>
  <c r="G21" i="40"/>
  <c r="X61" i="37"/>
  <c r="W11" i="12"/>
  <c r="F24" i="40"/>
  <c r="X68" i="37"/>
  <c r="W6" i="13"/>
  <c r="G19" i="40"/>
  <c r="X54" i="37"/>
  <c r="W4" i="12"/>
  <c r="F17" i="40"/>
  <c r="X48" i="37"/>
  <c r="W10" i="11"/>
  <c r="E23" i="40"/>
  <c r="X13" i="37"/>
  <c r="W11" i="18"/>
  <c r="B24" i="40"/>
  <c r="X52" i="37"/>
  <c r="W2" i="12"/>
  <c r="F15" i="40"/>
  <c r="X20" i="37"/>
  <c r="C19" i="40"/>
  <c r="W6" i="20"/>
  <c r="X60" i="37"/>
  <c r="W10" i="12"/>
  <c r="F23" i="40"/>
  <c r="X49" i="37"/>
  <c r="W11" i="11"/>
  <c r="E24" i="40"/>
  <c r="X56" i="37"/>
  <c r="W6" i="12"/>
  <c r="F19" i="40"/>
  <c r="X58" i="37"/>
  <c r="W8" i="12"/>
  <c r="F21" i="40"/>
  <c r="X7" i="37"/>
  <c r="W5" i="18"/>
  <c r="B18" i="40"/>
  <c r="X67" i="37"/>
  <c r="W5" i="13"/>
  <c r="G18" i="40"/>
  <c r="Y21" i="37"/>
  <c r="X7" i="20"/>
  <c r="Y22" i="37"/>
  <c r="X8" i="20"/>
  <c r="X72" i="37"/>
  <c r="W10" i="13"/>
  <c r="G23" i="40"/>
  <c r="Y64" i="37"/>
  <c r="X2" i="13"/>
  <c r="Z23" i="37"/>
  <c r="Y9" i="20"/>
  <c r="X71" i="37"/>
  <c r="W9" i="13"/>
  <c r="G22" i="40"/>
  <c r="X4" i="37"/>
  <c r="W2" i="18"/>
  <c r="B15" i="40"/>
  <c r="X8" i="37"/>
  <c r="W6" i="18"/>
  <c r="B19" i="40"/>
  <c r="Y11" i="37"/>
  <c r="X9" i="18"/>
  <c r="X44" i="37"/>
  <c r="W6" i="11"/>
  <c r="E19" i="40"/>
  <c r="X24" i="37"/>
  <c r="C23" i="40"/>
  <c r="W10" i="20"/>
  <c r="X43" i="37"/>
  <c r="W5" i="11"/>
  <c r="E18" i="40"/>
  <c r="X59" i="37"/>
  <c r="W9" i="12"/>
  <c r="F22" i="40"/>
  <c r="X17" i="37"/>
  <c r="W3" i="20"/>
  <c r="C16" i="40"/>
  <c r="X10" i="37"/>
  <c r="W8" i="18"/>
  <c r="B21" i="40"/>
  <c r="X19" i="37"/>
  <c r="C18" i="40"/>
  <c r="W5" i="20"/>
  <c r="X16" i="37"/>
  <c r="C15" i="40"/>
  <c r="W2" i="20"/>
  <c r="Y65" i="37"/>
  <c r="X3" i="13"/>
  <c r="X69" i="37"/>
  <c r="W7" i="13"/>
  <c r="G20" i="40"/>
  <c r="X6" i="37"/>
  <c r="W4" i="18"/>
  <c r="B17" i="40"/>
  <c r="Y42" i="37"/>
  <c r="X4" i="11"/>
  <c r="X47" i="37"/>
  <c r="W9" i="11"/>
  <c r="E22" i="40"/>
  <c r="X46" i="38"/>
  <c r="W8" i="25"/>
  <c r="E34" i="40"/>
  <c r="X43" i="38"/>
  <c r="W5" i="25"/>
  <c r="E31" i="40"/>
  <c r="X70" i="38"/>
  <c r="W8" i="27"/>
  <c r="G34" i="40"/>
  <c r="X48" i="38"/>
  <c r="E36" i="40"/>
  <c r="W10" i="25"/>
  <c r="X12" i="38"/>
  <c r="W10" i="23"/>
  <c r="B36" i="40"/>
  <c r="X72" i="38"/>
  <c r="W10" i="27"/>
  <c r="G36" i="40"/>
  <c r="X56" i="38"/>
  <c r="W6" i="26"/>
  <c r="F32" i="40"/>
  <c r="Y5" i="38"/>
  <c r="X3" i="23"/>
  <c r="X59" i="38"/>
  <c r="F35" i="40"/>
  <c r="W9" i="26"/>
  <c r="X54" i="38"/>
  <c r="W4" i="26"/>
  <c r="F30" i="40"/>
  <c r="X67" i="38"/>
  <c r="W5" i="27"/>
  <c r="G31" i="40"/>
  <c r="X19" i="38"/>
  <c r="W5" i="24"/>
  <c r="C31" i="40"/>
  <c r="X21" i="38"/>
  <c r="W7" i="24"/>
  <c r="C33" i="40"/>
  <c r="Y4" i="38"/>
  <c r="X2" i="23"/>
  <c r="X13" i="38"/>
  <c r="W11" i="23"/>
  <c r="B37" i="40"/>
  <c r="X23" i="38"/>
  <c r="W9" i="24"/>
  <c r="C35" i="40"/>
  <c r="X11" i="38"/>
  <c r="W9" i="23"/>
  <c r="B35" i="40"/>
  <c r="X40" i="38"/>
  <c r="W2" i="25"/>
  <c r="E28" i="40"/>
  <c r="X60" i="38"/>
  <c r="W10" i="26"/>
  <c r="F36" i="40"/>
  <c r="X69" i="38"/>
  <c r="G33" i="40"/>
  <c r="W7" i="27"/>
  <c r="X7" i="38"/>
  <c r="W5" i="23"/>
  <c r="B31" i="40"/>
  <c r="X61" i="38"/>
  <c r="F37" i="40"/>
  <c r="W11" i="26"/>
  <c r="X22" i="38"/>
  <c r="C34" i="40"/>
  <c r="W8" i="24"/>
  <c r="X65" i="38"/>
  <c r="W3" i="27"/>
  <c r="G29" i="40"/>
  <c r="X49" i="38"/>
  <c r="W11" i="25"/>
  <c r="E37" i="40"/>
  <c r="X66" i="38"/>
  <c r="W4" i="27"/>
  <c r="G30" i="40"/>
  <c r="X25" i="38"/>
  <c r="W11" i="24"/>
  <c r="C37" i="40"/>
  <c r="Y8" i="38"/>
  <c r="X6" i="23"/>
  <c r="X53" i="38"/>
  <c r="F29" i="40"/>
  <c r="W3" i="26"/>
  <c r="X24" i="38"/>
  <c r="C36" i="40"/>
  <c r="W10" i="24"/>
  <c r="X42" i="38"/>
  <c r="W4" i="25"/>
  <c r="E30" i="40"/>
  <c r="Y6" i="38"/>
  <c r="X4" i="23"/>
  <c r="X16" i="38"/>
  <c r="C28" i="40"/>
  <c r="W2" i="24"/>
  <c r="X73" i="38"/>
  <c r="W11" i="27"/>
  <c r="G37" i="40"/>
  <c r="X64" i="38"/>
  <c r="G28" i="40"/>
  <c r="W2" i="27"/>
  <c r="X58" i="38"/>
  <c r="W8" i="26"/>
  <c r="F34" i="40"/>
  <c r="X44" i="38"/>
  <c r="E32" i="40"/>
  <c r="W6" i="25"/>
  <c r="X9" i="38"/>
  <c r="W7" i="23"/>
  <c r="B33" i="40"/>
  <c r="X52" i="38"/>
  <c r="F28" i="40"/>
  <c r="W2" i="26"/>
  <c r="Y55" i="38"/>
  <c r="X5" i="26"/>
  <c r="X10" i="38"/>
  <c r="B34" i="40"/>
  <c r="W8" i="23"/>
  <c r="Y17" i="38"/>
  <c r="X3" i="24"/>
  <c r="X41" i="38"/>
  <c r="E29" i="40"/>
  <c r="W3" i="25"/>
  <c r="X18" i="38"/>
  <c r="C30" i="40"/>
  <c r="W4" i="24"/>
  <c r="X47" i="38"/>
  <c r="W9" i="25"/>
  <c r="E35" i="40"/>
  <c r="X20" i="38"/>
  <c r="W6" i="24"/>
  <c r="C32" i="40"/>
  <c r="X45" i="38"/>
  <c r="W7" i="25"/>
  <c r="E33" i="40"/>
  <c r="X68" i="38"/>
  <c r="W6" i="27"/>
  <c r="G32" i="40"/>
  <c r="X71" i="38"/>
  <c r="W9" i="27"/>
  <c r="G35" i="40"/>
  <c r="X57" i="38"/>
  <c r="W7" i="26"/>
  <c r="F33" i="40"/>
  <c r="X31" i="47" l="1"/>
  <c r="X2" i="14"/>
  <c r="X2" i="17"/>
  <c r="X32" i="47"/>
  <c r="AF22" i="47"/>
  <c r="AE28" i="47"/>
  <c r="AE26" i="47"/>
  <c r="AE27" i="47"/>
  <c r="AD29" i="47"/>
  <c r="X83" i="36"/>
  <c r="X98" i="36" s="1"/>
  <c r="X78" i="36"/>
  <c r="X93" i="36" s="1"/>
  <c r="X23" i="47" s="1"/>
  <c r="X24" i="47" s="1"/>
  <c r="X87" i="36"/>
  <c r="X102" i="36" s="1"/>
  <c r="X82" i="36"/>
  <c r="X97" i="36" s="1"/>
  <c r="X81" i="36"/>
  <c r="X96" i="36" s="1"/>
  <c r="X84" i="36"/>
  <c r="X99" i="36" s="1"/>
  <c r="X80" i="36"/>
  <c r="X95" i="36" s="1"/>
  <c r="X79" i="36"/>
  <c r="X94" i="36" s="1"/>
  <c r="X86" i="36"/>
  <c r="X101" i="36" s="1"/>
  <c r="I5" i="40"/>
  <c r="J5" i="40" s="1"/>
  <c r="I11" i="40"/>
  <c r="J11" i="40" s="1"/>
  <c r="I7" i="40"/>
  <c r="J7" i="40" s="1"/>
  <c r="I32" i="40"/>
  <c r="J32" i="40" s="1"/>
  <c r="I9" i="40"/>
  <c r="J9" i="40" s="1"/>
  <c r="I3" i="40"/>
  <c r="J3" i="40" s="1"/>
  <c r="I10" i="40"/>
  <c r="J10" i="40" s="1"/>
  <c r="I29" i="40"/>
  <c r="J29" i="40" s="1"/>
  <c r="I21" i="40"/>
  <c r="J21" i="40" s="1"/>
  <c r="Y20" i="36"/>
  <c r="X6" i="14"/>
  <c r="Y21" i="36"/>
  <c r="X7" i="14"/>
  <c r="Y45" i="36"/>
  <c r="X7" i="15"/>
  <c r="Y19" i="36"/>
  <c r="X5" i="14"/>
  <c r="Y71" i="36"/>
  <c r="X9" i="17"/>
  <c r="Y46" i="36"/>
  <c r="X8" i="15"/>
  <c r="Y44" i="36"/>
  <c r="X6" i="15"/>
  <c r="Y73" i="36"/>
  <c r="X11" i="17"/>
  <c r="Y16" i="36"/>
  <c r="Y47" i="36"/>
  <c r="X9" i="15"/>
  <c r="Y24" i="36"/>
  <c r="X10" i="14"/>
  <c r="Y55" i="36"/>
  <c r="X5" i="16"/>
  <c r="Y72" i="36"/>
  <c r="X10" i="17"/>
  <c r="Y61" i="36"/>
  <c r="X11" i="16"/>
  <c r="Y42" i="36"/>
  <c r="X4" i="15"/>
  <c r="Y53" i="36"/>
  <c r="X3" i="16"/>
  <c r="I2" i="40"/>
  <c r="Y70" i="36"/>
  <c r="X8" i="17"/>
  <c r="Y60" i="36"/>
  <c r="X10" i="16"/>
  <c r="Y17" i="36"/>
  <c r="X3" i="14"/>
  <c r="Y68" i="36"/>
  <c r="X6" i="17"/>
  <c r="I6" i="40"/>
  <c r="J6" i="40" s="1"/>
  <c r="Y69" i="36"/>
  <c r="X7" i="17"/>
  <c r="Z12" i="36"/>
  <c r="Y10" i="21"/>
  <c r="Z7" i="36"/>
  <c r="Y5" i="21"/>
  <c r="Y48" i="36"/>
  <c r="X10" i="15"/>
  <c r="Y22" i="36"/>
  <c r="X8" i="14"/>
  <c r="Y59" i="36"/>
  <c r="X9" i="16"/>
  <c r="Y9" i="36"/>
  <c r="X7" i="21"/>
  <c r="Y52" i="36"/>
  <c r="X2" i="16"/>
  <c r="Y65" i="36"/>
  <c r="X3" i="17"/>
  <c r="Y4" i="36"/>
  <c r="X2" i="21"/>
  <c r="Y43" i="36"/>
  <c r="X5" i="15"/>
  <c r="Y5" i="36"/>
  <c r="X3" i="21"/>
  <c r="Y23" i="36"/>
  <c r="X9" i="14"/>
  <c r="Y49" i="36"/>
  <c r="X11" i="15"/>
  <c r="Y8" i="36"/>
  <c r="X6" i="21"/>
  <c r="Y13" i="36"/>
  <c r="X11" i="21"/>
  <c r="Z11" i="36"/>
  <c r="Y9" i="21"/>
  <c r="Y54" i="36"/>
  <c r="X4" i="16"/>
  <c r="I8" i="40"/>
  <c r="J8" i="40" s="1"/>
  <c r="Y67" i="36"/>
  <c r="X5" i="17"/>
  <c r="I4" i="40"/>
  <c r="J4" i="40" s="1"/>
  <c r="Y25" i="36"/>
  <c r="X11" i="14"/>
  <c r="Y64" i="36"/>
  <c r="Y41" i="36"/>
  <c r="X3" i="15"/>
  <c r="Y40" i="36"/>
  <c r="X2" i="15"/>
  <c r="Y66" i="36"/>
  <c r="X4" i="17"/>
  <c r="Y56" i="36"/>
  <c r="X6" i="16"/>
  <c r="Y57" i="36"/>
  <c r="X7" i="16"/>
  <c r="Y10" i="36"/>
  <c r="X8" i="21"/>
  <c r="Y6" i="36"/>
  <c r="X4" i="21"/>
  <c r="Y18" i="36"/>
  <c r="X4" i="14"/>
  <c r="Y58" i="36"/>
  <c r="X8" i="16"/>
  <c r="B39" i="40"/>
  <c r="B40" i="40" s="1"/>
  <c r="I28" i="40"/>
  <c r="J28" i="40" s="1"/>
  <c r="I30" i="40"/>
  <c r="J30" i="40" s="1"/>
  <c r="I17" i="40"/>
  <c r="J17" i="40" s="1"/>
  <c r="I22" i="40"/>
  <c r="J22" i="40" s="1"/>
  <c r="I16" i="40"/>
  <c r="J16" i="40" s="1"/>
  <c r="Y69" i="37"/>
  <c r="X7" i="13"/>
  <c r="Z21" i="37"/>
  <c r="Y7" i="20"/>
  <c r="Y5" i="37"/>
  <c r="X3" i="18"/>
  <c r="Z65" i="37"/>
  <c r="Y3" i="13"/>
  <c r="Y17" i="37"/>
  <c r="X3" i="20"/>
  <c r="Y44" i="37"/>
  <c r="X6" i="11"/>
  <c r="Y56" i="37"/>
  <c r="X6" i="12"/>
  <c r="Y52" i="37"/>
  <c r="X2" i="12"/>
  <c r="Y68" i="37"/>
  <c r="X6" i="13"/>
  <c r="Y12" i="37"/>
  <c r="X10" i="18"/>
  <c r="AA23" i="37"/>
  <c r="Z9" i="20"/>
  <c r="Y67" i="37"/>
  <c r="X5" i="13"/>
  <c r="I24" i="40"/>
  <c r="J24" i="40" s="1"/>
  <c r="Y71" i="37"/>
  <c r="X9" i="13"/>
  <c r="Y47" i="37"/>
  <c r="X9" i="11"/>
  <c r="Z11" i="37"/>
  <c r="Y9" i="18"/>
  <c r="Y40" i="37"/>
  <c r="X2" i="11"/>
  <c r="Y53" i="37"/>
  <c r="X3" i="12"/>
  <c r="Y18" i="37"/>
  <c r="X4" i="20"/>
  <c r="Y16" i="37"/>
  <c r="X2" i="20"/>
  <c r="Y59" i="37"/>
  <c r="X9" i="12"/>
  <c r="I19" i="40"/>
  <c r="J19" i="40" s="1"/>
  <c r="Z64" i="37"/>
  <c r="Y2" i="13"/>
  <c r="Y49" i="37"/>
  <c r="X11" i="11"/>
  <c r="Y13" i="37"/>
  <c r="X11" i="18"/>
  <c r="Y61" i="37"/>
  <c r="X11" i="12"/>
  <c r="Z42" i="37"/>
  <c r="Y4" i="11"/>
  <c r="I18" i="40"/>
  <c r="J18" i="40" s="1"/>
  <c r="Z45" i="37"/>
  <c r="Y7" i="11"/>
  <c r="Y8" i="37"/>
  <c r="X6" i="18"/>
  <c r="Y41" i="37"/>
  <c r="X3" i="11"/>
  <c r="Y46" i="37"/>
  <c r="X8" i="11"/>
  <c r="Y19" i="37"/>
  <c r="X5" i="20"/>
  <c r="Y43" i="37"/>
  <c r="X5" i="11"/>
  <c r="I15" i="40"/>
  <c r="Y72" i="37"/>
  <c r="X10" i="13"/>
  <c r="Y7" i="37"/>
  <c r="X5" i="18"/>
  <c r="Y60" i="37"/>
  <c r="X10" i="12"/>
  <c r="Y48" i="37"/>
  <c r="X10" i="11"/>
  <c r="Y70" i="37"/>
  <c r="X8" i="13"/>
  <c r="I20" i="40"/>
  <c r="J20" i="40" s="1"/>
  <c r="Y6" i="37"/>
  <c r="X4" i="18"/>
  <c r="Y55" i="37"/>
  <c r="X5" i="12"/>
  <c r="Z25" i="37"/>
  <c r="Y11" i="20"/>
  <c r="Y4" i="37"/>
  <c r="X2" i="18"/>
  <c r="Z22" i="37"/>
  <c r="Y8" i="20"/>
  <c r="Y57" i="37"/>
  <c r="X7" i="12"/>
  <c r="Y9" i="37"/>
  <c r="X7" i="18"/>
  <c r="Y10" i="37"/>
  <c r="X8" i="18"/>
  <c r="Y24" i="37"/>
  <c r="X10" i="20"/>
  <c r="Y58" i="37"/>
  <c r="X8" i="12"/>
  <c r="Y20" i="37"/>
  <c r="X6" i="20"/>
  <c r="Y54" i="37"/>
  <c r="X4" i="12"/>
  <c r="Y66" i="37"/>
  <c r="X4" i="13"/>
  <c r="I23" i="40"/>
  <c r="J23" i="40" s="1"/>
  <c r="Z73" i="37"/>
  <c r="Y11" i="13"/>
  <c r="Z6" i="38"/>
  <c r="Y4" i="23"/>
  <c r="Y19" i="38"/>
  <c r="X5" i="24"/>
  <c r="Z55" i="38"/>
  <c r="Y5" i="26"/>
  <c r="Y58" i="38"/>
  <c r="X8" i="26"/>
  <c r="Y69" i="38"/>
  <c r="X7" i="27"/>
  <c r="Y23" i="38"/>
  <c r="X9" i="24"/>
  <c r="Y48" i="38"/>
  <c r="X10" i="25"/>
  <c r="Z8" i="38"/>
  <c r="Y6" i="23"/>
  <c r="Y18" i="38"/>
  <c r="X4" i="24"/>
  <c r="Y25" i="38"/>
  <c r="X11" i="24"/>
  <c r="Y22" i="38"/>
  <c r="X8" i="24"/>
  <c r="I37" i="40"/>
  <c r="J37" i="40" s="1"/>
  <c r="Y56" i="38"/>
  <c r="X6" i="26"/>
  <c r="Y47" i="38"/>
  <c r="X9" i="25"/>
  <c r="G39" i="40"/>
  <c r="G40" i="40" s="1"/>
  <c r="Y42" i="38"/>
  <c r="X4" i="25"/>
  <c r="Y67" i="38"/>
  <c r="X5" i="27"/>
  <c r="Y52" i="38"/>
  <c r="X2" i="26"/>
  <c r="Y64" i="38"/>
  <c r="X2" i="27"/>
  <c r="Y60" i="38"/>
  <c r="X10" i="26"/>
  <c r="Y13" i="38"/>
  <c r="X11" i="23"/>
  <c r="Y70" i="38"/>
  <c r="X8" i="27"/>
  <c r="Y65" i="38"/>
  <c r="X3" i="27"/>
  <c r="I33" i="40"/>
  <c r="J33" i="40" s="1"/>
  <c r="Y66" i="38"/>
  <c r="X4" i="27"/>
  <c r="E39" i="40"/>
  <c r="E40" i="40" s="1"/>
  <c r="Y24" i="38"/>
  <c r="X10" i="24"/>
  <c r="Z4" i="38"/>
  <c r="Y2" i="23"/>
  <c r="Y54" i="38"/>
  <c r="X4" i="26"/>
  <c r="Z5" i="38"/>
  <c r="Y3" i="23"/>
  <c r="Y9" i="38"/>
  <c r="X7" i="23"/>
  <c r="Y73" i="38"/>
  <c r="X11" i="27"/>
  <c r="Y61" i="38"/>
  <c r="X11" i="26"/>
  <c r="Y40" i="38"/>
  <c r="X2" i="25"/>
  <c r="Y72" i="38"/>
  <c r="X10" i="27"/>
  <c r="Y43" i="38"/>
  <c r="X5" i="25"/>
  <c r="Y10" i="38"/>
  <c r="X8" i="23"/>
  <c r="F39" i="40"/>
  <c r="F40" i="40" s="1"/>
  <c r="Y20" i="38"/>
  <c r="X6" i="24"/>
  <c r="Z17" i="38"/>
  <c r="Y3" i="24"/>
  <c r="Y49" i="38"/>
  <c r="X11" i="25"/>
  <c r="I31" i="40"/>
  <c r="J31" i="40" s="1"/>
  <c r="I35" i="40"/>
  <c r="J35" i="40" s="1"/>
  <c r="I36" i="40"/>
  <c r="J36" i="40" s="1"/>
  <c r="Y41" i="38"/>
  <c r="X3" i="25"/>
  <c r="C39" i="40"/>
  <c r="C40" i="40" s="1"/>
  <c r="Y53" i="38"/>
  <c r="X3" i="26"/>
  <c r="Y21" i="38"/>
  <c r="X7" i="24"/>
  <c r="X9" i="26"/>
  <c r="Y59" i="38"/>
  <c r="Y71" i="38"/>
  <c r="X9" i="27"/>
  <c r="Y68" i="38"/>
  <c r="X6" i="27"/>
  <c r="Y45" i="38"/>
  <c r="X7" i="25"/>
  <c r="Y57" i="38"/>
  <c r="X7" i="26"/>
  <c r="I34" i="40"/>
  <c r="J34" i="40" s="1"/>
  <c r="Y44" i="38"/>
  <c r="X6" i="25"/>
  <c r="Y16" i="38"/>
  <c r="X2" i="24"/>
  <c r="Y7" i="38"/>
  <c r="X5" i="23"/>
  <c r="Y11" i="38"/>
  <c r="X9" i="23"/>
  <c r="Y12" i="38"/>
  <c r="X10" i="23"/>
  <c r="Y46" i="38"/>
  <c r="X8" i="25"/>
  <c r="Y31" i="47" l="1"/>
  <c r="Y2" i="14"/>
  <c r="Y2" i="17"/>
  <c r="Y32" i="47"/>
  <c r="AE29" i="47"/>
  <c r="AF28" i="47"/>
  <c r="AF27" i="47"/>
  <c r="AF26" i="47"/>
  <c r="AG22" i="47"/>
  <c r="Y78" i="36"/>
  <c r="Y93" i="36" s="1"/>
  <c r="Y23" i="47" s="1"/>
  <c r="Y24" i="47" s="1"/>
  <c r="Y84" i="36"/>
  <c r="Y99" i="36" s="1"/>
  <c r="Y87" i="36"/>
  <c r="Y102" i="36" s="1"/>
  <c r="Y80" i="36"/>
  <c r="Y95" i="36" s="1"/>
  <c r="Y83" i="36"/>
  <c r="Y98" i="36" s="1"/>
  <c r="Y86" i="36"/>
  <c r="Y101" i="36" s="1"/>
  <c r="Y79" i="36"/>
  <c r="Y94" i="36" s="1"/>
  <c r="Y81" i="36"/>
  <c r="Y96" i="36" s="1"/>
  <c r="Y82" i="36"/>
  <c r="Y97" i="36" s="1"/>
  <c r="Y85" i="36"/>
  <c r="Y100" i="36" s="1"/>
  <c r="Z67" i="36"/>
  <c r="Y5" i="17"/>
  <c r="Z68" i="36"/>
  <c r="Y6" i="17"/>
  <c r="Z41" i="36"/>
  <c r="Y3" i="15"/>
  <c r="Z8" i="36"/>
  <c r="Y6" i="21"/>
  <c r="Z43" i="36"/>
  <c r="Y5" i="15"/>
  <c r="Z9" i="36"/>
  <c r="Y7" i="21"/>
  <c r="AA7" i="36"/>
  <c r="Z5" i="21"/>
  <c r="Z53" i="36"/>
  <c r="Y3" i="16"/>
  <c r="Z55" i="36"/>
  <c r="Y5" i="16"/>
  <c r="Z73" i="36"/>
  <c r="Y11" i="17"/>
  <c r="Z19" i="36"/>
  <c r="Y5" i="14"/>
  <c r="Z57" i="36"/>
  <c r="Y7" i="16"/>
  <c r="Z17" i="36"/>
  <c r="Y3" i="14"/>
  <c r="Z18" i="36"/>
  <c r="Y4" i="14"/>
  <c r="Z56" i="36"/>
  <c r="Y6" i="16"/>
  <c r="Z64" i="36"/>
  <c r="Z54" i="36"/>
  <c r="Y4" i="16"/>
  <c r="Z49" i="36"/>
  <c r="Y11" i="15"/>
  <c r="Z4" i="36"/>
  <c r="Y2" i="21"/>
  <c r="Z59" i="36"/>
  <c r="Y9" i="16"/>
  <c r="AA12" i="36"/>
  <c r="Z10" i="21"/>
  <c r="Z42" i="36"/>
  <c r="Y4" i="15"/>
  <c r="Z24" i="36"/>
  <c r="Y10" i="14"/>
  <c r="Z44" i="36"/>
  <c r="Y6" i="15"/>
  <c r="Z45" i="36"/>
  <c r="Y7" i="15"/>
  <c r="Z60" i="36"/>
  <c r="Y10" i="16"/>
  <c r="Z6" i="36"/>
  <c r="Y4" i="21"/>
  <c r="Z66" i="36"/>
  <c r="Y4" i="17"/>
  <c r="Z25" i="36"/>
  <c r="Y11" i="14"/>
  <c r="AA11" i="36"/>
  <c r="Z9" i="21"/>
  <c r="Z23" i="36"/>
  <c r="Y9" i="14"/>
  <c r="Z65" i="36"/>
  <c r="Y3" i="17"/>
  <c r="Z22" i="36"/>
  <c r="Y8" i="14"/>
  <c r="Z69" i="36"/>
  <c r="Y7" i="17"/>
  <c r="Z61" i="36"/>
  <c r="Y11" i="16"/>
  <c r="Z47" i="36"/>
  <c r="Y9" i="15"/>
  <c r="Z46" i="36"/>
  <c r="Y8" i="15"/>
  <c r="Z21" i="36"/>
  <c r="Y7" i="14"/>
  <c r="Z58" i="36"/>
  <c r="Y8" i="16"/>
  <c r="Z70" i="36"/>
  <c r="Y8" i="17"/>
  <c r="Z10" i="36"/>
  <c r="Y8" i="21"/>
  <c r="Z40" i="36"/>
  <c r="Y2" i="15"/>
  <c r="Z13" i="36"/>
  <c r="Y11" i="21"/>
  <c r="Z5" i="36"/>
  <c r="Y3" i="21"/>
  <c r="Z52" i="36"/>
  <c r="Y2" i="16"/>
  <c r="Z48" i="36"/>
  <c r="Y10" i="15"/>
  <c r="J2" i="40"/>
  <c r="I12" i="40"/>
  <c r="J12" i="40" s="1"/>
  <c r="Z72" i="36"/>
  <c r="Y10" i="17"/>
  <c r="Z16" i="36"/>
  <c r="Z71" i="36"/>
  <c r="Y9" i="17"/>
  <c r="Z20" i="36"/>
  <c r="Y6" i="14"/>
  <c r="Z60" i="37"/>
  <c r="Y10" i="12"/>
  <c r="Z13" i="37"/>
  <c r="Y11" i="18"/>
  <c r="Z67" i="37"/>
  <c r="Y5" i="13"/>
  <c r="Z44" i="37"/>
  <c r="Y6" i="11"/>
  <c r="AA25" i="37"/>
  <c r="Z11" i="20"/>
  <c r="Z41" i="37"/>
  <c r="Y3" i="11"/>
  <c r="Z53" i="37"/>
  <c r="Y3" i="12"/>
  <c r="Z7" i="37"/>
  <c r="Y5" i="18"/>
  <c r="Z49" i="37"/>
  <c r="Y11" i="11"/>
  <c r="AB23" i="37"/>
  <c r="AA9" i="20"/>
  <c r="Z17" i="37"/>
  <c r="Y3" i="20"/>
  <c r="Z10" i="37"/>
  <c r="Y8" i="18"/>
  <c r="Z55" i="37"/>
  <c r="Y5" i="12"/>
  <c r="Z8" i="37"/>
  <c r="Y6" i="18"/>
  <c r="Z40" i="37"/>
  <c r="Y2" i="11"/>
  <c r="Z4" i="37"/>
  <c r="Y2" i="18"/>
  <c r="Z72" i="37"/>
  <c r="Y10" i="13"/>
  <c r="AA64" i="37"/>
  <c r="Z2" i="13"/>
  <c r="Z12" i="37"/>
  <c r="Y10" i="18"/>
  <c r="AA65" i="37"/>
  <c r="Z3" i="13"/>
  <c r="I25" i="40"/>
  <c r="J25" i="40" s="1"/>
  <c r="J15" i="40"/>
  <c r="AA45" i="37"/>
  <c r="Z7" i="11"/>
  <c r="AA11" i="37"/>
  <c r="Z9" i="18"/>
  <c r="Z46" i="37"/>
  <c r="Y8" i="11"/>
  <c r="Z68" i="37"/>
  <c r="Y6" i="13"/>
  <c r="Z5" i="37"/>
  <c r="Y3" i="18"/>
  <c r="Z9" i="37"/>
  <c r="Y7" i="18"/>
  <c r="Z54" i="37"/>
  <c r="Y4" i="12"/>
  <c r="Z57" i="37"/>
  <c r="Y7" i="12"/>
  <c r="Z43" i="37"/>
  <c r="Y5" i="11"/>
  <c r="Z59" i="37"/>
  <c r="Y9" i="12"/>
  <c r="Z47" i="37"/>
  <c r="Y9" i="11"/>
  <c r="Z70" i="37"/>
  <c r="Y8" i="13"/>
  <c r="AA42" i="37"/>
  <c r="Z4" i="11"/>
  <c r="Z52" i="37"/>
  <c r="Y2" i="12"/>
  <c r="AA21" i="37"/>
  <c r="Z7" i="20"/>
  <c r="Z18" i="37"/>
  <c r="Y4" i="20"/>
  <c r="AA73" i="37"/>
  <c r="Z11" i="13"/>
  <c r="Z6" i="37"/>
  <c r="Y4" i="18"/>
  <c r="Z20" i="37"/>
  <c r="Y6" i="20"/>
  <c r="AA22" i="37"/>
  <c r="Z8" i="20"/>
  <c r="Z19" i="37"/>
  <c r="Y5" i="20"/>
  <c r="Z16" i="37"/>
  <c r="Y2" i="20"/>
  <c r="Z71" i="37"/>
  <c r="Y9" i="13"/>
  <c r="Z58" i="37"/>
  <c r="Y8" i="12"/>
  <c r="Z24" i="37"/>
  <c r="Y10" i="20"/>
  <c r="Z66" i="37"/>
  <c r="Y4" i="13"/>
  <c r="Z48" i="37"/>
  <c r="Y10" i="11"/>
  <c r="Z61" i="37"/>
  <c r="Y11" i="12"/>
  <c r="Z56" i="37"/>
  <c r="Y6" i="12"/>
  <c r="Z69" i="37"/>
  <c r="Y7" i="13"/>
  <c r="Z66" i="38"/>
  <c r="Y4" i="27"/>
  <c r="AA5" i="38"/>
  <c r="Z3" i="23"/>
  <c r="Z65" i="38"/>
  <c r="Y3" i="27"/>
  <c r="Z67" i="38"/>
  <c r="Y5" i="27"/>
  <c r="Z25" i="38"/>
  <c r="Y11" i="24"/>
  <c r="Z58" i="38"/>
  <c r="Y8" i="26"/>
  <c r="Z71" i="38"/>
  <c r="Y9" i="27"/>
  <c r="Z69" i="38"/>
  <c r="Y7" i="27"/>
  <c r="Z59" i="38"/>
  <c r="Y9" i="26"/>
  <c r="Z72" i="38"/>
  <c r="Y10" i="27"/>
  <c r="Z54" i="38"/>
  <c r="Y4" i="26"/>
  <c r="Z70" i="38"/>
  <c r="Y8" i="27"/>
  <c r="Z42" i="38"/>
  <c r="Y4" i="25"/>
  <c r="Z18" i="38"/>
  <c r="Y4" i="24"/>
  <c r="AA55" i="38"/>
  <c r="Z5" i="26"/>
  <c r="Z9" i="38"/>
  <c r="Y7" i="23"/>
  <c r="Z52" i="38"/>
  <c r="Y2" i="26"/>
  <c r="Z40" i="38"/>
  <c r="Y2" i="25"/>
  <c r="AA4" i="38"/>
  <c r="Z2" i="23"/>
  <c r="Z13" i="38"/>
  <c r="Y11" i="23"/>
  <c r="AA8" i="38"/>
  <c r="Z6" i="23"/>
  <c r="Z19" i="38"/>
  <c r="Y5" i="24"/>
  <c r="Z68" i="38"/>
  <c r="Y6" i="27"/>
  <c r="Z16" i="38"/>
  <c r="Y2" i="24"/>
  <c r="Z21" i="38"/>
  <c r="Y7" i="24"/>
  <c r="AA17" i="38"/>
  <c r="Z3" i="24"/>
  <c r="Z47" i="38"/>
  <c r="Y9" i="25"/>
  <c r="Z22" i="38"/>
  <c r="Y8" i="24"/>
  <c r="Z49" i="38"/>
  <c r="Y11" i="25"/>
  <c r="Z61" i="38"/>
  <c r="Y11" i="26"/>
  <c r="Z24" i="38"/>
  <c r="Y10" i="24"/>
  <c r="Z60" i="38"/>
  <c r="Y10" i="26"/>
  <c r="Z48" i="38"/>
  <c r="Y10" i="25"/>
  <c r="AA6" i="38"/>
  <c r="Z4" i="23"/>
  <c r="Z45" i="38"/>
  <c r="Y7" i="25"/>
  <c r="Z41" i="38"/>
  <c r="Y3" i="25"/>
  <c r="Z43" i="38"/>
  <c r="Y5" i="25"/>
  <c r="Z44" i="38"/>
  <c r="Y6" i="25"/>
  <c r="Z46" i="38"/>
  <c r="Y8" i="25"/>
  <c r="Z57" i="38"/>
  <c r="Y7" i="26"/>
  <c r="Z53" i="38"/>
  <c r="Y3" i="26"/>
  <c r="Z20" i="38"/>
  <c r="Y6" i="24"/>
  <c r="Z56" i="38"/>
  <c r="Y6" i="26"/>
  <c r="I38" i="40"/>
  <c r="J38" i="40" s="1"/>
  <c r="Z11" i="38"/>
  <c r="Y9" i="23"/>
  <c r="Z10" i="38"/>
  <c r="Y8" i="23"/>
  <c r="Z7" i="38"/>
  <c r="Y5" i="23"/>
  <c r="Z12" i="38"/>
  <c r="Y10" i="23"/>
  <c r="Z73" i="38"/>
  <c r="Y11" i="27"/>
  <c r="Z64" i="38"/>
  <c r="Y2" i="27"/>
  <c r="Z23" i="38"/>
  <c r="Y9" i="24"/>
  <c r="Z31" i="47" l="1"/>
  <c r="Z2" i="14"/>
  <c r="Z79" i="36"/>
  <c r="Z94" i="36" s="1"/>
  <c r="Z2" i="17"/>
  <c r="Z32" i="47"/>
  <c r="AG27" i="47"/>
  <c r="AG28" i="47"/>
  <c r="AG26" i="47"/>
  <c r="AF29" i="47"/>
  <c r="Z85" i="36"/>
  <c r="Z100" i="36" s="1"/>
  <c r="Z82" i="36"/>
  <c r="Z97" i="36" s="1"/>
  <c r="Z84" i="36"/>
  <c r="Z99" i="36" s="1"/>
  <c r="Z86" i="36"/>
  <c r="Z101" i="36" s="1"/>
  <c r="Z87" i="36"/>
  <c r="Z102" i="36" s="1"/>
  <c r="Z81" i="36"/>
  <c r="Z96" i="36" s="1"/>
  <c r="Z83" i="36"/>
  <c r="Z98" i="36" s="1"/>
  <c r="Z78" i="36"/>
  <c r="Z93" i="36" s="1"/>
  <c r="Z23" i="47" s="1"/>
  <c r="Z24" i="47" s="1"/>
  <c r="Z80" i="36"/>
  <c r="Z95" i="36" s="1"/>
  <c r="AA72" i="36"/>
  <c r="Z10" i="17"/>
  <c r="AA5" i="36"/>
  <c r="Z3" i="21"/>
  <c r="AA70" i="36"/>
  <c r="Z8" i="17"/>
  <c r="AA47" i="36"/>
  <c r="Z9" i="15"/>
  <c r="AA65" i="36"/>
  <c r="Z3" i="17"/>
  <c r="AA66" i="36"/>
  <c r="Z4" i="17"/>
  <c r="AA44" i="36"/>
  <c r="Z6" i="15"/>
  <c r="AA59" i="36"/>
  <c r="Z9" i="16"/>
  <c r="AA64" i="36"/>
  <c r="AA57" i="36"/>
  <c r="Z7" i="16"/>
  <c r="AA53" i="36"/>
  <c r="Z3" i="16"/>
  <c r="AA8" i="36"/>
  <c r="Z6" i="21"/>
  <c r="AA20" i="36"/>
  <c r="Z6" i="14"/>
  <c r="AA13" i="36"/>
  <c r="Z11" i="21"/>
  <c r="AA58" i="36"/>
  <c r="Z8" i="16"/>
  <c r="AA61" i="36"/>
  <c r="Z11" i="16"/>
  <c r="AA23" i="36"/>
  <c r="Z9" i="14"/>
  <c r="AA6" i="36"/>
  <c r="Z4" i="21"/>
  <c r="AA24" i="36"/>
  <c r="Z10" i="14"/>
  <c r="AA4" i="36"/>
  <c r="Z2" i="21"/>
  <c r="AA56" i="36"/>
  <c r="Z6" i="16"/>
  <c r="AA19" i="36"/>
  <c r="Z5" i="14"/>
  <c r="AB7" i="36"/>
  <c r="AA5" i="21"/>
  <c r="AA41" i="36"/>
  <c r="Z3" i="15"/>
  <c r="AA48" i="36"/>
  <c r="Z10" i="15"/>
  <c r="AA40" i="36"/>
  <c r="Z2" i="15"/>
  <c r="AA21" i="36"/>
  <c r="Z7" i="14"/>
  <c r="AA69" i="36"/>
  <c r="Z7" i="17"/>
  <c r="AB11" i="36"/>
  <c r="AA9" i="21"/>
  <c r="AA60" i="36"/>
  <c r="Z10" i="16"/>
  <c r="AA42" i="36"/>
  <c r="Z4" i="15"/>
  <c r="AA49" i="36"/>
  <c r="Z11" i="15"/>
  <c r="AA18" i="36"/>
  <c r="Z4" i="14"/>
  <c r="AA73" i="36"/>
  <c r="Z11" i="17"/>
  <c r="AA9" i="36"/>
  <c r="Z7" i="21"/>
  <c r="AA68" i="36"/>
  <c r="Z6" i="17"/>
  <c r="AA71" i="36"/>
  <c r="Z9" i="17"/>
  <c r="AA16" i="36"/>
  <c r="AA52" i="36"/>
  <c r="Z2" i="16"/>
  <c r="AA10" i="36"/>
  <c r="Z8" i="21"/>
  <c r="AA46" i="36"/>
  <c r="Z8" i="15"/>
  <c r="AA22" i="36"/>
  <c r="Z8" i="14"/>
  <c r="AA25" i="36"/>
  <c r="Z11" i="14"/>
  <c r="AA45" i="36"/>
  <c r="Z7" i="15"/>
  <c r="AB12" i="36"/>
  <c r="AA10" i="21"/>
  <c r="AA54" i="36"/>
  <c r="Z4" i="16"/>
  <c r="AA17" i="36"/>
  <c r="Z3" i="14"/>
  <c r="AA55" i="36"/>
  <c r="Z5" i="16"/>
  <c r="AA43" i="36"/>
  <c r="Z5" i="15"/>
  <c r="AA67" i="36"/>
  <c r="Z5" i="17"/>
  <c r="AA19" i="37"/>
  <c r="Z5" i="20"/>
  <c r="AB21" i="37"/>
  <c r="AA7" i="20"/>
  <c r="AA43" i="37"/>
  <c r="Z5" i="11"/>
  <c r="AA46" i="37"/>
  <c r="Z8" i="11"/>
  <c r="AB64" i="37"/>
  <c r="AA2" i="13"/>
  <c r="AA10" i="37"/>
  <c r="Z8" i="18"/>
  <c r="AA41" i="37"/>
  <c r="Z3" i="11"/>
  <c r="AA48" i="37"/>
  <c r="Z10" i="11"/>
  <c r="AA66" i="37"/>
  <c r="Z4" i="13"/>
  <c r="AB22" i="37"/>
  <c r="AA8" i="20"/>
  <c r="AA52" i="37"/>
  <c r="Z2" i="12"/>
  <c r="AA57" i="37"/>
  <c r="Z7" i="12"/>
  <c r="AB11" i="37"/>
  <c r="AA9" i="18"/>
  <c r="AA72" i="37"/>
  <c r="Z10" i="13"/>
  <c r="AA17" i="37"/>
  <c r="Z3" i="20"/>
  <c r="AB25" i="37"/>
  <c r="AA11" i="20"/>
  <c r="AA24" i="37"/>
  <c r="Z10" i="20"/>
  <c r="AA20" i="37"/>
  <c r="Z6" i="20"/>
  <c r="AB42" i="37"/>
  <c r="AA4" i="11"/>
  <c r="AA54" i="37"/>
  <c r="Z4" i="12"/>
  <c r="AB45" i="37"/>
  <c r="AA7" i="11"/>
  <c r="AA4" i="37"/>
  <c r="Z2" i="18"/>
  <c r="AC23" i="37"/>
  <c r="AB9" i="20"/>
  <c r="AA44" i="37"/>
  <c r="Z6" i="11"/>
  <c r="AA6" i="37"/>
  <c r="Z4" i="18"/>
  <c r="AA9" i="37"/>
  <c r="Z7" i="18"/>
  <c r="AA40" i="37"/>
  <c r="Z2" i="11"/>
  <c r="AA49" i="37"/>
  <c r="Z11" i="11"/>
  <c r="AA67" i="37"/>
  <c r="Z5" i="13"/>
  <c r="AA69" i="37"/>
  <c r="Z7" i="13"/>
  <c r="AA70" i="37"/>
  <c r="Z8" i="13"/>
  <c r="AA56" i="37"/>
  <c r="Z6" i="12"/>
  <c r="AB73" i="37"/>
  <c r="AA11" i="13"/>
  <c r="AA47" i="37"/>
  <c r="Z9" i="11"/>
  <c r="AA5" i="37"/>
  <c r="Z3" i="18"/>
  <c r="AB65" i="37"/>
  <c r="AA3" i="13"/>
  <c r="AA8" i="37"/>
  <c r="Z6" i="18"/>
  <c r="AA7" i="37"/>
  <c r="Z5" i="18"/>
  <c r="AA13" i="37"/>
  <c r="Z11" i="18"/>
  <c r="AA58" i="37"/>
  <c r="Z8" i="12"/>
  <c r="AA71" i="37"/>
  <c r="Z9" i="13"/>
  <c r="AA61" i="37"/>
  <c r="Z11" i="12"/>
  <c r="AA16" i="37"/>
  <c r="Z2" i="20"/>
  <c r="AA18" i="37"/>
  <c r="Z4" i="20"/>
  <c r="AA59" i="37"/>
  <c r="Z9" i="12"/>
  <c r="AA68" i="37"/>
  <c r="Z6" i="13"/>
  <c r="AA12" i="37"/>
  <c r="Z10" i="18"/>
  <c r="AA55" i="37"/>
  <c r="Z5" i="12"/>
  <c r="AA53" i="37"/>
  <c r="Z3" i="12"/>
  <c r="AA60" i="37"/>
  <c r="Z10" i="12"/>
  <c r="AA41" i="38"/>
  <c r="Z3" i="25"/>
  <c r="AA61" i="38"/>
  <c r="Z11" i="26"/>
  <c r="AA16" i="38"/>
  <c r="Z2" i="24"/>
  <c r="AA40" i="38"/>
  <c r="Z2" i="25"/>
  <c r="AA70" i="38"/>
  <c r="Z8" i="27"/>
  <c r="AA58" i="38"/>
  <c r="Z8" i="26"/>
  <c r="AA49" i="38"/>
  <c r="Z11" i="25"/>
  <c r="AA68" i="38"/>
  <c r="Z6" i="27"/>
  <c r="AA52" i="38"/>
  <c r="Z2" i="26"/>
  <c r="AA54" i="38"/>
  <c r="Z4" i="26"/>
  <c r="AA25" i="38"/>
  <c r="Z11" i="24"/>
  <c r="AA53" i="38"/>
  <c r="Z3" i="26"/>
  <c r="AA7" i="38"/>
  <c r="Z5" i="23"/>
  <c r="AA45" i="38"/>
  <c r="Z7" i="25"/>
  <c r="AA57" i="38"/>
  <c r="Z7" i="26"/>
  <c r="AB6" i="38"/>
  <c r="AA4" i="23"/>
  <c r="AA22" i="38"/>
  <c r="Z8" i="24"/>
  <c r="AA19" i="38"/>
  <c r="Z5" i="24"/>
  <c r="AA9" i="38"/>
  <c r="Z7" i="23"/>
  <c r="AA72" i="38"/>
  <c r="Z10" i="27"/>
  <c r="AA67" i="38"/>
  <c r="Z5" i="27"/>
  <c r="AA20" i="38"/>
  <c r="Z6" i="24"/>
  <c r="AA10" i="38"/>
  <c r="Z8" i="23"/>
  <c r="AA46" i="38"/>
  <c r="Z8" i="25"/>
  <c r="AA48" i="38"/>
  <c r="Z10" i="25"/>
  <c r="AA47" i="38"/>
  <c r="Z9" i="25"/>
  <c r="AB8" i="38"/>
  <c r="AA6" i="23"/>
  <c r="AB55" i="38"/>
  <c r="AA5" i="26"/>
  <c r="AA59" i="38"/>
  <c r="Z9" i="26"/>
  <c r="AA65" i="38"/>
  <c r="Z3" i="27"/>
  <c r="AA11" i="38"/>
  <c r="Z9" i="23"/>
  <c r="AA44" i="38"/>
  <c r="Z6" i="25"/>
  <c r="AA60" i="38"/>
  <c r="Z10" i="26"/>
  <c r="AB17" i="38"/>
  <c r="AA3" i="24"/>
  <c r="AA13" i="38"/>
  <c r="Z11" i="23"/>
  <c r="AA18" i="38"/>
  <c r="Z4" i="24"/>
  <c r="AA69" i="38"/>
  <c r="Z7" i="27"/>
  <c r="AB5" i="38"/>
  <c r="AA3" i="23"/>
  <c r="AA12" i="38"/>
  <c r="Z10" i="23"/>
  <c r="AA23" i="38"/>
  <c r="Z9" i="24"/>
  <c r="AA64" i="38"/>
  <c r="Z2" i="27"/>
  <c r="AA73" i="38"/>
  <c r="Z11" i="27"/>
  <c r="AA56" i="38"/>
  <c r="Z6" i="26"/>
  <c r="AA43" i="38"/>
  <c r="Z5" i="25"/>
  <c r="AA24" i="38"/>
  <c r="Z10" i="24"/>
  <c r="AA21" i="38"/>
  <c r="Z7" i="24"/>
  <c r="AB4" i="38"/>
  <c r="AA2" i="23"/>
  <c r="AA42" i="38"/>
  <c r="Z4" i="25"/>
  <c r="AA71" i="38"/>
  <c r="Z9" i="27"/>
  <c r="AA66" i="38"/>
  <c r="Z4" i="27"/>
  <c r="AA2" i="17" l="1"/>
  <c r="AA32" i="47"/>
  <c r="AA2" i="14"/>
  <c r="AA31" i="47"/>
  <c r="AG29" i="47"/>
  <c r="AA85" i="36"/>
  <c r="AA100" i="36" s="1"/>
  <c r="AA81" i="36"/>
  <c r="AA96" i="36" s="1"/>
  <c r="AA79" i="36"/>
  <c r="AA94" i="36" s="1"/>
  <c r="AA80" i="36"/>
  <c r="AA95" i="36" s="1"/>
  <c r="AA86" i="36"/>
  <c r="AA101" i="36" s="1"/>
  <c r="AA82" i="36"/>
  <c r="AA97" i="36" s="1"/>
  <c r="AA83" i="36"/>
  <c r="AA98" i="36" s="1"/>
  <c r="AA78" i="36"/>
  <c r="AA93" i="36" s="1"/>
  <c r="AA23" i="47" s="1"/>
  <c r="AA24" i="47" s="1"/>
  <c r="AA84" i="36"/>
  <c r="AA99" i="36" s="1"/>
  <c r="AA87" i="36"/>
  <c r="AA102" i="36" s="1"/>
  <c r="AB55" i="36"/>
  <c r="AA5" i="16"/>
  <c r="AB45" i="36"/>
  <c r="AA7" i="15"/>
  <c r="AB10" i="36"/>
  <c r="AA8" i="21"/>
  <c r="AB68" i="36"/>
  <c r="AA6" i="17"/>
  <c r="AB49" i="36"/>
  <c r="AA11" i="15"/>
  <c r="AB69" i="36"/>
  <c r="AA7" i="17"/>
  <c r="AB41" i="36"/>
  <c r="AA3" i="15"/>
  <c r="AB4" i="36"/>
  <c r="AA2" i="21"/>
  <c r="AB61" i="36"/>
  <c r="AA11" i="16"/>
  <c r="AB8" i="36"/>
  <c r="AA6" i="21"/>
  <c r="AB59" i="36"/>
  <c r="AA9" i="16"/>
  <c r="AB47" i="36"/>
  <c r="AA9" i="15"/>
  <c r="AB17" i="36"/>
  <c r="AA3" i="14"/>
  <c r="AB25" i="36"/>
  <c r="AA11" i="14"/>
  <c r="AB52" i="36"/>
  <c r="AA2" i="16"/>
  <c r="AB9" i="36"/>
  <c r="AA7" i="21"/>
  <c r="AB42" i="36"/>
  <c r="AA4" i="15"/>
  <c r="AB21" i="36"/>
  <c r="AA7" i="14"/>
  <c r="AC7" i="36"/>
  <c r="AB5" i="21"/>
  <c r="AB24" i="36"/>
  <c r="AA10" i="14"/>
  <c r="AB58" i="36"/>
  <c r="AA8" i="16"/>
  <c r="AB53" i="36"/>
  <c r="AA3" i="16"/>
  <c r="AB44" i="36"/>
  <c r="AA6" i="15"/>
  <c r="AB70" i="36"/>
  <c r="AA8" i="17"/>
  <c r="AB67" i="36"/>
  <c r="AA5" i="17"/>
  <c r="AB54" i="36"/>
  <c r="AA4" i="16"/>
  <c r="AB22" i="36"/>
  <c r="AA8" i="14"/>
  <c r="AB16" i="36"/>
  <c r="AB73" i="36"/>
  <c r="AA11" i="17"/>
  <c r="AB60" i="36"/>
  <c r="AA10" i="16"/>
  <c r="AB40" i="36"/>
  <c r="AA2" i="15"/>
  <c r="AB19" i="36"/>
  <c r="AA5" i="14"/>
  <c r="AB6" i="36"/>
  <c r="AA4" i="21"/>
  <c r="AB13" i="36"/>
  <c r="AA11" i="21"/>
  <c r="AB57" i="36"/>
  <c r="AA7" i="16"/>
  <c r="AB66" i="36"/>
  <c r="AA4" i="17"/>
  <c r="AB5" i="36"/>
  <c r="AA3" i="21"/>
  <c r="AB43" i="36"/>
  <c r="AA5" i="15"/>
  <c r="AC12" i="36"/>
  <c r="AB10" i="21"/>
  <c r="AB46" i="36"/>
  <c r="AA8" i="15"/>
  <c r="AB71" i="36"/>
  <c r="AB85" i="36" s="1"/>
  <c r="AB100" i="36" s="1"/>
  <c r="AA9" i="17"/>
  <c r="AB18" i="36"/>
  <c r="AA4" i="14"/>
  <c r="AC11" i="36"/>
  <c r="AB9" i="21"/>
  <c r="AB48" i="36"/>
  <c r="AA10" i="15"/>
  <c r="AB56" i="36"/>
  <c r="AA6" i="16"/>
  <c r="AB23" i="36"/>
  <c r="AA9" i="14"/>
  <c r="AB20" i="36"/>
  <c r="AA6" i="14"/>
  <c r="AB64" i="36"/>
  <c r="AB65" i="36"/>
  <c r="AA3" i="17"/>
  <c r="AB72" i="36"/>
  <c r="AA10" i="17"/>
  <c r="AB61" i="37"/>
  <c r="AA11" i="12"/>
  <c r="AC65" i="37"/>
  <c r="AB3" i="13"/>
  <c r="AB69" i="37"/>
  <c r="AA7" i="13"/>
  <c r="AB44" i="37"/>
  <c r="AA6" i="11"/>
  <c r="AB20" i="37"/>
  <c r="AA6" i="20"/>
  <c r="AB57" i="37"/>
  <c r="AA7" i="12"/>
  <c r="AB10" i="37"/>
  <c r="AA8" i="18"/>
  <c r="AB5" i="37"/>
  <c r="AA3" i="18"/>
  <c r="AB67" i="37"/>
  <c r="AA5" i="13"/>
  <c r="AD23" i="37"/>
  <c r="AC9" i="20"/>
  <c r="AB24" i="37"/>
  <c r="AA10" i="20"/>
  <c r="AB52" i="37"/>
  <c r="AA2" i="12"/>
  <c r="AC64" i="37"/>
  <c r="AB2" i="13"/>
  <c r="AB55" i="37"/>
  <c r="AA5" i="12"/>
  <c r="AB47" i="37"/>
  <c r="AA9" i="11"/>
  <c r="AB49" i="37"/>
  <c r="AA11" i="11"/>
  <c r="AB4" i="37"/>
  <c r="AA2" i="18"/>
  <c r="AC25" i="37"/>
  <c r="AB11" i="20"/>
  <c r="AC22" i="37"/>
  <c r="AB8" i="20"/>
  <c r="AB46" i="37"/>
  <c r="AA8" i="11"/>
  <c r="AB13" i="37"/>
  <c r="AA11" i="18"/>
  <c r="AB40" i="37"/>
  <c r="AA2" i="11"/>
  <c r="AC45" i="37"/>
  <c r="AB7" i="11"/>
  <c r="AB17" i="37"/>
  <c r="AA3" i="20"/>
  <c r="AB66" i="37"/>
  <c r="AA4" i="13"/>
  <c r="AB43" i="37"/>
  <c r="AA5" i="11"/>
  <c r="AB71" i="37"/>
  <c r="AA9" i="13"/>
  <c r="AB58" i="37"/>
  <c r="AA8" i="12"/>
  <c r="AB59" i="37"/>
  <c r="AA9" i="12"/>
  <c r="AC73" i="37"/>
  <c r="AB11" i="13"/>
  <c r="AB7" i="37"/>
  <c r="AA5" i="18"/>
  <c r="AB9" i="37"/>
  <c r="AA7" i="18"/>
  <c r="AB54" i="37"/>
  <c r="AA4" i="12"/>
  <c r="AB72" i="37"/>
  <c r="AA10" i="13"/>
  <c r="AB48" i="37"/>
  <c r="AA10" i="11"/>
  <c r="AC21" i="37"/>
  <c r="AB7" i="20"/>
  <c r="AB12" i="37"/>
  <c r="AA10" i="18"/>
  <c r="AB68" i="37"/>
  <c r="AA6" i="13"/>
  <c r="AB60" i="37"/>
  <c r="AA10" i="12"/>
  <c r="AB18" i="37"/>
  <c r="AA4" i="20"/>
  <c r="AB56" i="37"/>
  <c r="AA6" i="12"/>
  <c r="AB53" i="37"/>
  <c r="AA3" i="12"/>
  <c r="AB16" i="37"/>
  <c r="AA2" i="20"/>
  <c r="AB8" i="37"/>
  <c r="AA6" i="18"/>
  <c r="AB70" i="37"/>
  <c r="AA8" i="13"/>
  <c r="AB6" i="37"/>
  <c r="AA4" i="18"/>
  <c r="AC42" i="37"/>
  <c r="AB4" i="11"/>
  <c r="AC11" i="37"/>
  <c r="AB9" i="18"/>
  <c r="AB41" i="37"/>
  <c r="AA3" i="11"/>
  <c r="AB19" i="37"/>
  <c r="AA5" i="20"/>
  <c r="AB65" i="38"/>
  <c r="AA3" i="27"/>
  <c r="AB46" i="38"/>
  <c r="AA8" i="25"/>
  <c r="AB19" i="38"/>
  <c r="AA5" i="24"/>
  <c r="AB53" i="38"/>
  <c r="AA3" i="26"/>
  <c r="AB58" i="38"/>
  <c r="AA8" i="26"/>
  <c r="AB10" i="38"/>
  <c r="AA8" i="23"/>
  <c r="AB22" i="38"/>
  <c r="AA8" i="24"/>
  <c r="AB25" i="38"/>
  <c r="AA11" i="24"/>
  <c r="AB70" i="38"/>
  <c r="AA8" i="27"/>
  <c r="AC4" i="38"/>
  <c r="AB2" i="23"/>
  <c r="AB64" i="38"/>
  <c r="AA2" i="27"/>
  <c r="AB23" i="38"/>
  <c r="AA9" i="24"/>
  <c r="AC17" i="38"/>
  <c r="AB3" i="24"/>
  <c r="AC55" i="38"/>
  <c r="AB5" i="26"/>
  <c r="AB20" i="38"/>
  <c r="AA6" i="24"/>
  <c r="AC6" i="38"/>
  <c r="AB4" i="23"/>
  <c r="AB54" i="38"/>
  <c r="AA4" i="26"/>
  <c r="AB40" i="38"/>
  <c r="AA2" i="25"/>
  <c r="AB18" i="38"/>
  <c r="AA4" i="24"/>
  <c r="AB24" i="38"/>
  <c r="AA10" i="24"/>
  <c r="AB12" i="38"/>
  <c r="AA10" i="23"/>
  <c r="AB60" i="38"/>
  <c r="AA10" i="26"/>
  <c r="AC8" i="38"/>
  <c r="AB6" i="23"/>
  <c r="AB67" i="38"/>
  <c r="AA5" i="27"/>
  <c r="AB57" i="38"/>
  <c r="AA7" i="26"/>
  <c r="AB52" i="38"/>
  <c r="AA2" i="26"/>
  <c r="AB16" i="38"/>
  <c r="AA2" i="24"/>
  <c r="AB73" i="38"/>
  <c r="AA11" i="27"/>
  <c r="AB42" i="38"/>
  <c r="AA4" i="25"/>
  <c r="AB43" i="38"/>
  <c r="AA5" i="25"/>
  <c r="AC5" i="38"/>
  <c r="AB3" i="23"/>
  <c r="AB44" i="38"/>
  <c r="AA6" i="25"/>
  <c r="AB47" i="38"/>
  <c r="AA9" i="25"/>
  <c r="AB72" i="38"/>
  <c r="AA10" i="27"/>
  <c r="AB45" i="38"/>
  <c r="AA7" i="25"/>
  <c r="AB68" i="38"/>
  <c r="AA6" i="27"/>
  <c r="AB61" i="38"/>
  <c r="AA11" i="26"/>
  <c r="AB59" i="38"/>
  <c r="AA9" i="26"/>
  <c r="AB66" i="38"/>
  <c r="AA4" i="27"/>
  <c r="AB13" i="38"/>
  <c r="AA11" i="23"/>
  <c r="AB21" i="38"/>
  <c r="AA7" i="24"/>
  <c r="AB71" i="38"/>
  <c r="AA9" i="27"/>
  <c r="AB56" i="38"/>
  <c r="AA6" i="26"/>
  <c r="AB69" i="38"/>
  <c r="AA7" i="27"/>
  <c r="AB11" i="38"/>
  <c r="AA9" i="23"/>
  <c r="AB48" i="38"/>
  <c r="AA10" i="25"/>
  <c r="AB9" i="38"/>
  <c r="AA7" i="23"/>
  <c r="AB7" i="38"/>
  <c r="AA5" i="23"/>
  <c r="AB49" i="38"/>
  <c r="AA11" i="25"/>
  <c r="AB41" i="38"/>
  <c r="AA3" i="25"/>
  <c r="AB32" i="47" l="1"/>
  <c r="AB2" i="17"/>
  <c r="AB86" i="36"/>
  <c r="AB101" i="36" s="1"/>
  <c r="AB31" i="47"/>
  <c r="AB2" i="14"/>
  <c r="AB79" i="36"/>
  <c r="AB94" i="36" s="1"/>
  <c r="AB80" i="36"/>
  <c r="AB95" i="36" s="1"/>
  <c r="AB78" i="36"/>
  <c r="AB93" i="36" s="1"/>
  <c r="AB23" i="47" s="1"/>
  <c r="AB24" i="47" s="1"/>
  <c r="AB82" i="36"/>
  <c r="AB97" i="36" s="1"/>
  <c r="AB81" i="36"/>
  <c r="AB96" i="36" s="1"/>
  <c r="AB87" i="36"/>
  <c r="AB102" i="36" s="1"/>
  <c r="AB84" i="36"/>
  <c r="AB99" i="36" s="1"/>
  <c r="AB83" i="36"/>
  <c r="AB98" i="36" s="1"/>
  <c r="AC46" i="36"/>
  <c r="AB8" i="15"/>
  <c r="AC48" i="36"/>
  <c r="AB10" i="15"/>
  <c r="AC70" i="36"/>
  <c r="AB8" i="17"/>
  <c r="AC9" i="36"/>
  <c r="AB7" i="21"/>
  <c r="AC20" i="36"/>
  <c r="AB6" i="14"/>
  <c r="AD11" i="36"/>
  <c r="AC9" i="21"/>
  <c r="AD12" i="36"/>
  <c r="AC10" i="21"/>
  <c r="AC57" i="36"/>
  <c r="AB7" i="16"/>
  <c r="AC40" i="36"/>
  <c r="AB2" i="15"/>
  <c r="AC22" i="36"/>
  <c r="AB8" i="14"/>
  <c r="AC44" i="36"/>
  <c r="AB6" i="15"/>
  <c r="AD7" i="36"/>
  <c r="AC5" i="21"/>
  <c r="AC52" i="36"/>
  <c r="AB2" i="16"/>
  <c r="AC59" i="36"/>
  <c r="AB9" i="16"/>
  <c r="AC41" i="36"/>
  <c r="AB3" i="15"/>
  <c r="AC10" i="36"/>
  <c r="AB8" i="21"/>
  <c r="AC66" i="36"/>
  <c r="AB4" i="17"/>
  <c r="AC47" i="36"/>
  <c r="AB9" i="15"/>
  <c r="AC16" i="36"/>
  <c r="AC68" i="36"/>
  <c r="AB6" i="17"/>
  <c r="AC72" i="36"/>
  <c r="AB10" i="17"/>
  <c r="AC23" i="36"/>
  <c r="AB9" i="14"/>
  <c r="AC18" i="36"/>
  <c r="AB4" i="14"/>
  <c r="AC43" i="36"/>
  <c r="AB5" i="15"/>
  <c r="AC13" i="36"/>
  <c r="AB11" i="21"/>
  <c r="AC60" i="36"/>
  <c r="AB10" i="16"/>
  <c r="AC54" i="36"/>
  <c r="AB4" i="16"/>
  <c r="AC53" i="36"/>
  <c r="AB3" i="16"/>
  <c r="AC21" i="36"/>
  <c r="AB7" i="14"/>
  <c r="AC25" i="36"/>
  <c r="AB11" i="14"/>
  <c r="AC8" i="36"/>
  <c r="AB6" i="21"/>
  <c r="AC69" i="36"/>
  <c r="AB7" i="17"/>
  <c r="AC45" i="36"/>
  <c r="AB7" i="15"/>
  <c r="AC24" i="36"/>
  <c r="AB10" i="14"/>
  <c r="AC64" i="36"/>
  <c r="AC19" i="36"/>
  <c r="AB5" i="14"/>
  <c r="AC4" i="36"/>
  <c r="AB2" i="21"/>
  <c r="AC65" i="36"/>
  <c r="AB3" i="17"/>
  <c r="AC56" i="36"/>
  <c r="AB6" i="16"/>
  <c r="AC71" i="36"/>
  <c r="AB9" i="17"/>
  <c r="AC5" i="36"/>
  <c r="AB3" i="21"/>
  <c r="AC6" i="36"/>
  <c r="AB4" i="21"/>
  <c r="AC73" i="36"/>
  <c r="AB11" i="17"/>
  <c r="AC67" i="36"/>
  <c r="AB5" i="17"/>
  <c r="AC58" i="36"/>
  <c r="AB8" i="16"/>
  <c r="AC42" i="36"/>
  <c r="AB4" i="15"/>
  <c r="AC17" i="36"/>
  <c r="AB3" i="14"/>
  <c r="AC61" i="36"/>
  <c r="AB11" i="16"/>
  <c r="AC49" i="36"/>
  <c r="AB11" i="15"/>
  <c r="AC55" i="36"/>
  <c r="AB5" i="16"/>
  <c r="AD21" i="37"/>
  <c r="AC7" i="20"/>
  <c r="AC56" i="37"/>
  <c r="AB6" i="12"/>
  <c r="AC48" i="37"/>
  <c r="AB10" i="11"/>
  <c r="AC59" i="37"/>
  <c r="AB9" i="12"/>
  <c r="AD45" i="37"/>
  <c r="AC7" i="11"/>
  <c r="AC4" i="37"/>
  <c r="AB2" i="18"/>
  <c r="AC24" i="37"/>
  <c r="AB10" i="20"/>
  <c r="AC20" i="37"/>
  <c r="AB6" i="20"/>
  <c r="AD11" i="37"/>
  <c r="AC9" i="18"/>
  <c r="AC17" i="37"/>
  <c r="AB3" i="20"/>
  <c r="AC6" i="37"/>
  <c r="AB4" i="18"/>
  <c r="AC18" i="37"/>
  <c r="AB4" i="20"/>
  <c r="AC72" i="37"/>
  <c r="AB10" i="13"/>
  <c r="AC58" i="37"/>
  <c r="AB8" i="12"/>
  <c r="AC40" i="37"/>
  <c r="AB2" i="11"/>
  <c r="AC49" i="37"/>
  <c r="AB11" i="11"/>
  <c r="AE23" i="37"/>
  <c r="AD9" i="20"/>
  <c r="AC44" i="37"/>
  <c r="AB6" i="11"/>
  <c r="AD73" i="37"/>
  <c r="AC11" i="13"/>
  <c r="AC52" i="37"/>
  <c r="AB2" i="12"/>
  <c r="AC70" i="37"/>
  <c r="AB8" i="13"/>
  <c r="AC60" i="37"/>
  <c r="AB10" i="12"/>
  <c r="AC54" i="37"/>
  <c r="AB4" i="12"/>
  <c r="AC71" i="37"/>
  <c r="AB9" i="13"/>
  <c r="AC13" i="37"/>
  <c r="AB11" i="18"/>
  <c r="AC47" i="37"/>
  <c r="AB9" i="11"/>
  <c r="AC67" i="37"/>
  <c r="AB5" i="13"/>
  <c r="AC69" i="37"/>
  <c r="AB7" i="13"/>
  <c r="AC57" i="37"/>
  <c r="AB7" i="12"/>
  <c r="AC53" i="37"/>
  <c r="AB3" i="12"/>
  <c r="AC19" i="37"/>
  <c r="AB5" i="20"/>
  <c r="AC8" i="37"/>
  <c r="AB6" i="18"/>
  <c r="AC68" i="37"/>
  <c r="AB6" i="13"/>
  <c r="AC9" i="37"/>
  <c r="AB7" i="18"/>
  <c r="AC43" i="37"/>
  <c r="AB5" i="11"/>
  <c r="AC46" i="37"/>
  <c r="AB8" i="11"/>
  <c r="AC55" i="37"/>
  <c r="AB5" i="12"/>
  <c r="AC5" i="37"/>
  <c r="AB3" i="18"/>
  <c r="AD65" i="37"/>
  <c r="AC3" i="13"/>
  <c r="AD42" i="37"/>
  <c r="AC4" i="11"/>
  <c r="AD25" i="37"/>
  <c r="AC11" i="20"/>
  <c r="AC41" i="37"/>
  <c r="AB3" i="11"/>
  <c r="AC16" i="37"/>
  <c r="AB2" i="20"/>
  <c r="AC12" i="37"/>
  <c r="AB10" i="18"/>
  <c r="AC7" i="37"/>
  <c r="AB5" i="18"/>
  <c r="AC66" i="37"/>
  <c r="AB4" i="13"/>
  <c r="AD22" i="37"/>
  <c r="AC8" i="20"/>
  <c r="AD64" i="37"/>
  <c r="AC2" i="13"/>
  <c r="AC10" i="37"/>
  <c r="AB8" i="18"/>
  <c r="AC61" i="37"/>
  <c r="AB11" i="12"/>
  <c r="AC43" i="38"/>
  <c r="AB5" i="25"/>
  <c r="AC67" i="38"/>
  <c r="AB5" i="27"/>
  <c r="AC40" i="38"/>
  <c r="AB2" i="25"/>
  <c r="AC23" i="38"/>
  <c r="AB9" i="24"/>
  <c r="AC10" i="38"/>
  <c r="AB8" i="23"/>
  <c r="AC45" i="38"/>
  <c r="AB7" i="25"/>
  <c r="AD8" i="38"/>
  <c r="AC6" i="23"/>
  <c r="AC54" i="38"/>
  <c r="AB4" i="26"/>
  <c r="AC64" i="38"/>
  <c r="AB2" i="27"/>
  <c r="AC58" i="38"/>
  <c r="AB8" i="26"/>
  <c r="AC9" i="38"/>
  <c r="AB7" i="23"/>
  <c r="AC48" i="38"/>
  <c r="AB10" i="25"/>
  <c r="AC13" i="38"/>
  <c r="AB11" i="23"/>
  <c r="AC72" i="38"/>
  <c r="AB10" i="27"/>
  <c r="AC73" i="38"/>
  <c r="AB11" i="27"/>
  <c r="AC60" i="38"/>
  <c r="AB10" i="26"/>
  <c r="AD6" i="38"/>
  <c r="AC4" i="23"/>
  <c r="AD4" i="38"/>
  <c r="AC2" i="23"/>
  <c r="AC53" i="38"/>
  <c r="AB3" i="26"/>
  <c r="AC11" i="38"/>
  <c r="AB9" i="23"/>
  <c r="AC66" i="38"/>
  <c r="AB4" i="27"/>
  <c r="AC47" i="38"/>
  <c r="AB9" i="25"/>
  <c r="AC16" i="38"/>
  <c r="AB2" i="24"/>
  <c r="AC12" i="38"/>
  <c r="AB10" i="23"/>
  <c r="AC20" i="38"/>
  <c r="AB6" i="24"/>
  <c r="AC70" i="38"/>
  <c r="AB8" i="27"/>
  <c r="AC19" i="38"/>
  <c r="AB5" i="24"/>
  <c r="AC71" i="38"/>
  <c r="AB9" i="27"/>
  <c r="AC68" i="38"/>
  <c r="AB6" i="27"/>
  <c r="AC69" i="38"/>
  <c r="AB7" i="27"/>
  <c r="AC59" i="38"/>
  <c r="AB9" i="26"/>
  <c r="AC44" i="38"/>
  <c r="AB6" i="25"/>
  <c r="AC52" i="38"/>
  <c r="AB2" i="26"/>
  <c r="AC24" i="38"/>
  <c r="AB10" i="24"/>
  <c r="AD55" i="38"/>
  <c r="AC5" i="26"/>
  <c r="AC25" i="38"/>
  <c r="AB11" i="24"/>
  <c r="AC46" i="38"/>
  <c r="AB8" i="25"/>
  <c r="AC7" i="38"/>
  <c r="AB5" i="23"/>
  <c r="AC21" i="38"/>
  <c r="AB7" i="24"/>
  <c r="AC41" i="38"/>
  <c r="AB3" i="25"/>
  <c r="AC42" i="38"/>
  <c r="AB4" i="25"/>
  <c r="AC49" i="38"/>
  <c r="AB11" i="25"/>
  <c r="AC56" i="38"/>
  <c r="AB6" i="26"/>
  <c r="AC61" i="38"/>
  <c r="AB11" i="26"/>
  <c r="AD5" i="38"/>
  <c r="AC3" i="23"/>
  <c r="AC57" i="38"/>
  <c r="AB7" i="26"/>
  <c r="AC18" i="38"/>
  <c r="AB4" i="24"/>
  <c r="AD17" i="38"/>
  <c r="AC3" i="24"/>
  <c r="AC22" i="38"/>
  <c r="AB8" i="24"/>
  <c r="AC65" i="38"/>
  <c r="AB3" i="27"/>
  <c r="AC84" i="36" l="1"/>
  <c r="AC99" i="36" s="1"/>
  <c r="AC2" i="14"/>
  <c r="AC31" i="47"/>
  <c r="AC2" i="17"/>
  <c r="AC32" i="47"/>
  <c r="AC86" i="36"/>
  <c r="AC101" i="36" s="1"/>
  <c r="AC83" i="36"/>
  <c r="AC98" i="36" s="1"/>
  <c r="AC85" i="36"/>
  <c r="AC100" i="36" s="1"/>
  <c r="AC79" i="36"/>
  <c r="AC94" i="36" s="1"/>
  <c r="AC81" i="36"/>
  <c r="AC96" i="36" s="1"/>
  <c r="AC78" i="36"/>
  <c r="AC93" i="36" s="1"/>
  <c r="AC23" i="47" s="1"/>
  <c r="AC24" i="47" s="1"/>
  <c r="AC80" i="36"/>
  <c r="AC95" i="36" s="1"/>
  <c r="AC82" i="36"/>
  <c r="AC97" i="36" s="1"/>
  <c r="AC87" i="36"/>
  <c r="AC102" i="36" s="1"/>
  <c r="AD61" i="36"/>
  <c r="AC11" i="16"/>
  <c r="AD67" i="36"/>
  <c r="AD81" i="36" s="1"/>
  <c r="AD96" i="36" s="1"/>
  <c r="AC5" i="17"/>
  <c r="AD71" i="36"/>
  <c r="AC9" i="17"/>
  <c r="AD19" i="36"/>
  <c r="AC5" i="14"/>
  <c r="AD69" i="36"/>
  <c r="AC7" i="17"/>
  <c r="AD53" i="36"/>
  <c r="AC3" i="16"/>
  <c r="AD43" i="36"/>
  <c r="AC5" i="15"/>
  <c r="AD68" i="36"/>
  <c r="AC6" i="17"/>
  <c r="AD10" i="36"/>
  <c r="AC8" i="21"/>
  <c r="AE7" i="36"/>
  <c r="AD5" i="21"/>
  <c r="AD57" i="36"/>
  <c r="AC7" i="16"/>
  <c r="AD9" i="36"/>
  <c r="AC7" i="21"/>
  <c r="AD17" i="36"/>
  <c r="AC3" i="14"/>
  <c r="AD73" i="36"/>
  <c r="AC11" i="17"/>
  <c r="AD56" i="36"/>
  <c r="AC6" i="16"/>
  <c r="AD64" i="36"/>
  <c r="AD8" i="36"/>
  <c r="AC6" i="21"/>
  <c r="AD54" i="36"/>
  <c r="AC4" i="16"/>
  <c r="AD18" i="36"/>
  <c r="AC4" i="14"/>
  <c r="AD16" i="36"/>
  <c r="AD41" i="36"/>
  <c r="AC3" i="15"/>
  <c r="AD44" i="36"/>
  <c r="AC6" i="15"/>
  <c r="AE12" i="36"/>
  <c r="AD10" i="21"/>
  <c r="AD70" i="36"/>
  <c r="AC8" i="17"/>
  <c r="AD55" i="36"/>
  <c r="AC5" i="16"/>
  <c r="AD42" i="36"/>
  <c r="AC4" i="15"/>
  <c r="AD6" i="36"/>
  <c r="AC4" i="21"/>
  <c r="AD65" i="36"/>
  <c r="AC3" i="17"/>
  <c r="AD24" i="36"/>
  <c r="AC10" i="14"/>
  <c r="AD25" i="36"/>
  <c r="AC11" i="14"/>
  <c r="AD60" i="36"/>
  <c r="AC10" i="16"/>
  <c r="AD23" i="36"/>
  <c r="AC9" i="14"/>
  <c r="AD47" i="36"/>
  <c r="AC9" i="15"/>
  <c r="AD59" i="36"/>
  <c r="AC9" i="16"/>
  <c r="AD22" i="36"/>
  <c r="AC8" i="14"/>
  <c r="AE11" i="36"/>
  <c r="AD9" i="21"/>
  <c r="AD48" i="36"/>
  <c r="AC10" i="15"/>
  <c r="AD49" i="36"/>
  <c r="AC11" i="15"/>
  <c r="AD58" i="36"/>
  <c r="AC8" i="16"/>
  <c r="AD5" i="36"/>
  <c r="AC3" i="21"/>
  <c r="AD4" i="36"/>
  <c r="AC2" i="21"/>
  <c r="AD45" i="36"/>
  <c r="AC7" i="15"/>
  <c r="AD21" i="36"/>
  <c r="AC7" i="14"/>
  <c r="AD13" i="36"/>
  <c r="AC11" i="21"/>
  <c r="AD72" i="36"/>
  <c r="AC10" i="17"/>
  <c r="AD66" i="36"/>
  <c r="AC4" i="17"/>
  <c r="AD52" i="36"/>
  <c r="AC2" i="16"/>
  <c r="AD40" i="36"/>
  <c r="AC2" i="15"/>
  <c r="AD20" i="36"/>
  <c r="AC6" i="14"/>
  <c r="AD46" i="36"/>
  <c r="AC8" i="15"/>
  <c r="AD41" i="37"/>
  <c r="AC3" i="11"/>
  <c r="AD46" i="37"/>
  <c r="AC8" i="11"/>
  <c r="AD53" i="37"/>
  <c r="AC3" i="12"/>
  <c r="AD71" i="37"/>
  <c r="AC9" i="13"/>
  <c r="AD44" i="37"/>
  <c r="AC6" i="11"/>
  <c r="AD18" i="37"/>
  <c r="AC4" i="20"/>
  <c r="AD4" i="37"/>
  <c r="AC2" i="18"/>
  <c r="AD43" i="37"/>
  <c r="AC5" i="11"/>
  <c r="AD57" i="37"/>
  <c r="AC7" i="12"/>
  <c r="AD54" i="37"/>
  <c r="AC4" i="12"/>
  <c r="AF23" i="37"/>
  <c r="AE9" i="20"/>
  <c r="AD6" i="37"/>
  <c r="AC4" i="18"/>
  <c r="AE45" i="37"/>
  <c r="AD7" i="11"/>
  <c r="AD69" i="37"/>
  <c r="AC7" i="13"/>
  <c r="AD60" i="37"/>
  <c r="AC10" i="12"/>
  <c r="AD49" i="37"/>
  <c r="AC11" i="11"/>
  <c r="AD17" i="37"/>
  <c r="AC3" i="20"/>
  <c r="AD59" i="37"/>
  <c r="AC9" i="12"/>
  <c r="AE22" i="37"/>
  <c r="AD8" i="20"/>
  <c r="AD66" i="37"/>
  <c r="AC4" i="13"/>
  <c r="AE65" i="37"/>
  <c r="AD3" i="13"/>
  <c r="AD68" i="37"/>
  <c r="AC6" i="13"/>
  <c r="AD67" i="37"/>
  <c r="AC5" i="13"/>
  <c r="AD70" i="37"/>
  <c r="AC8" i="13"/>
  <c r="AD40" i="37"/>
  <c r="AC2" i="11"/>
  <c r="AE11" i="37"/>
  <c r="AD9" i="18"/>
  <c r="AD48" i="37"/>
  <c r="AC10" i="11"/>
  <c r="AE25" i="37"/>
  <c r="AD11" i="20"/>
  <c r="AE42" i="37"/>
  <c r="AD4" i="11"/>
  <c r="AD7" i="37"/>
  <c r="AC5" i="18"/>
  <c r="AD8" i="37"/>
  <c r="AC6" i="18"/>
  <c r="AD52" i="37"/>
  <c r="AC2" i="12"/>
  <c r="AD58" i="37"/>
  <c r="AC8" i="12"/>
  <c r="AD20" i="37"/>
  <c r="AC6" i="20"/>
  <c r="AD56" i="37"/>
  <c r="AC6" i="12"/>
  <c r="AD9" i="37"/>
  <c r="AC7" i="18"/>
  <c r="AD61" i="37"/>
  <c r="AC11" i="12"/>
  <c r="AD12" i="37"/>
  <c r="AC10" i="18"/>
  <c r="AD5" i="37"/>
  <c r="AC3" i="18"/>
  <c r="AD47" i="37"/>
  <c r="AC9" i="11"/>
  <c r="AE64" i="37"/>
  <c r="AD2" i="13"/>
  <c r="AD10" i="37"/>
  <c r="AC8" i="18"/>
  <c r="AD16" i="37"/>
  <c r="AC2" i="20"/>
  <c r="AD55" i="37"/>
  <c r="AC5" i="12"/>
  <c r="AD19" i="37"/>
  <c r="AC5" i="20"/>
  <c r="AD13" i="37"/>
  <c r="AC11" i="18"/>
  <c r="AE73" i="37"/>
  <c r="AD11" i="13"/>
  <c r="AD72" i="37"/>
  <c r="AC10" i="13"/>
  <c r="AD24" i="37"/>
  <c r="AC10" i="20"/>
  <c r="AE21" i="37"/>
  <c r="AD7" i="20"/>
  <c r="AE17" i="38"/>
  <c r="AD3" i="24"/>
  <c r="AD69" i="38"/>
  <c r="AC7" i="27"/>
  <c r="AD12" i="38"/>
  <c r="AC10" i="23"/>
  <c r="AE4" i="38"/>
  <c r="AD2" i="23"/>
  <c r="AD48" i="38"/>
  <c r="AC10" i="25"/>
  <c r="AD45" i="38"/>
  <c r="AC7" i="25"/>
  <c r="AD68" i="38"/>
  <c r="AC6" i="27"/>
  <c r="AD16" i="38"/>
  <c r="AC2" i="24"/>
  <c r="AE6" i="38"/>
  <c r="AD4" i="23"/>
  <c r="AD9" i="38"/>
  <c r="AC7" i="23"/>
  <c r="AD10" i="38"/>
  <c r="AC8" i="23"/>
  <c r="AD25" i="38"/>
  <c r="AC11" i="24"/>
  <c r="AD41" i="38"/>
  <c r="AC3" i="25"/>
  <c r="AD24" i="38"/>
  <c r="AC10" i="24"/>
  <c r="AD71" i="38"/>
  <c r="AC9" i="27"/>
  <c r="AD47" i="38"/>
  <c r="AC9" i="25"/>
  <c r="AD60" i="38"/>
  <c r="AC10" i="26"/>
  <c r="AD58" i="38"/>
  <c r="AC8" i="26"/>
  <c r="AD23" i="38"/>
  <c r="AC9" i="24"/>
  <c r="AE55" i="38"/>
  <c r="AD5" i="26"/>
  <c r="AE5" i="38"/>
  <c r="AD3" i="23"/>
  <c r="AD21" i="38"/>
  <c r="AC7" i="24"/>
  <c r="AD52" i="38"/>
  <c r="AC2" i="26"/>
  <c r="AD19" i="38"/>
  <c r="AC5" i="24"/>
  <c r="AD66" i="38"/>
  <c r="AC4" i="27"/>
  <c r="AD73" i="38"/>
  <c r="AC11" i="27"/>
  <c r="AD64" i="38"/>
  <c r="AC2" i="27"/>
  <c r="AD40" i="38"/>
  <c r="AC2" i="25"/>
  <c r="AD61" i="38"/>
  <c r="AC11" i="26"/>
  <c r="AD7" i="38"/>
  <c r="AC5" i="23"/>
  <c r="AD44" i="38"/>
  <c r="AC6" i="25"/>
  <c r="AD70" i="38"/>
  <c r="AC8" i="27"/>
  <c r="AD11" i="38"/>
  <c r="AC9" i="23"/>
  <c r="AD72" i="38"/>
  <c r="AC10" i="27"/>
  <c r="AD54" i="38"/>
  <c r="AC4" i="26"/>
  <c r="AD67" i="38"/>
  <c r="AC5" i="27"/>
  <c r="AD42" i="38"/>
  <c r="AC4" i="25"/>
  <c r="AD65" i="38"/>
  <c r="AC3" i="27"/>
  <c r="AD49" i="38"/>
  <c r="AC11" i="25"/>
  <c r="AD18" i="38"/>
  <c r="AC4" i="24"/>
  <c r="AD57" i="38"/>
  <c r="AC7" i="26"/>
  <c r="AD22" i="38"/>
  <c r="AC8" i="24"/>
  <c r="AD56" i="38"/>
  <c r="AC6" i="26"/>
  <c r="AD46" i="38"/>
  <c r="AC8" i="25"/>
  <c r="AD59" i="38"/>
  <c r="AC9" i="26"/>
  <c r="AD20" i="38"/>
  <c r="AC6" i="24"/>
  <c r="AD53" i="38"/>
  <c r="AC3" i="26"/>
  <c r="AD13" i="38"/>
  <c r="AC11" i="23"/>
  <c r="AE8" i="38"/>
  <c r="AD6" i="23"/>
  <c r="AD43" i="38"/>
  <c r="AC5" i="25"/>
  <c r="AD31" i="47" l="1"/>
  <c r="AD2" i="14"/>
  <c r="AD2" i="17"/>
  <c r="AD32" i="47"/>
  <c r="AD79" i="36"/>
  <c r="AD94" i="36" s="1"/>
  <c r="AD87" i="36"/>
  <c r="AD102" i="36" s="1"/>
  <c r="AD83" i="36"/>
  <c r="AD98" i="36" s="1"/>
  <c r="AD85" i="36"/>
  <c r="AD100" i="36" s="1"/>
  <c r="AD80" i="36"/>
  <c r="AD95" i="36" s="1"/>
  <c r="AD82" i="36"/>
  <c r="AD97" i="36" s="1"/>
  <c r="AD86" i="36"/>
  <c r="AD101" i="36" s="1"/>
  <c r="AD78" i="36"/>
  <c r="AD93" i="36" s="1"/>
  <c r="AD23" i="47" s="1"/>
  <c r="AD24" i="47" s="1"/>
  <c r="AD84" i="36"/>
  <c r="AD99" i="36" s="1"/>
  <c r="AE40" i="36"/>
  <c r="AD2" i="15"/>
  <c r="AE13" i="36"/>
  <c r="AD11" i="21"/>
  <c r="AE5" i="36"/>
  <c r="AD3" i="21"/>
  <c r="AF11" i="36"/>
  <c r="AE9" i="21"/>
  <c r="AE23" i="36"/>
  <c r="AD9" i="14"/>
  <c r="AE65" i="36"/>
  <c r="AD3" i="17"/>
  <c r="AE70" i="36"/>
  <c r="AD8" i="17"/>
  <c r="AE16" i="36"/>
  <c r="AE64" i="36"/>
  <c r="AE9" i="36"/>
  <c r="AD7" i="21"/>
  <c r="AE68" i="36"/>
  <c r="AD6" i="17"/>
  <c r="AE19" i="36"/>
  <c r="AD5" i="14"/>
  <c r="AE52" i="36"/>
  <c r="AD2" i="16"/>
  <c r="AE21" i="36"/>
  <c r="AD7" i="14"/>
  <c r="AE58" i="36"/>
  <c r="AD8" i="16"/>
  <c r="AE22" i="36"/>
  <c r="AD8" i="14"/>
  <c r="AE60" i="36"/>
  <c r="AD10" i="16"/>
  <c r="AE6" i="36"/>
  <c r="AD4" i="21"/>
  <c r="AF12" i="36"/>
  <c r="AE10" i="21"/>
  <c r="AE18" i="36"/>
  <c r="AD4" i="14"/>
  <c r="AE56" i="36"/>
  <c r="AD6" i="16"/>
  <c r="AE57" i="36"/>
  <c r="AD7" i="16"/>
  <c r="AE43" i="36"/>
  <c r="AD5" i="15"/>
  <c r="AE71" i="36"/>
  <c r="AD9" i="17"/>
  <c r="AE46" i="36"/>
  <c r="AD8" i="15"/>
  <c r="AE66" i="36"/>
  <c r="AD4" i="17"/>
  <c r="AE45" i="36"/>
  <c r="AD7" i="15"/>
  <c r="AE49" i="36"/>
  <c r="AD11" i="15"/>
  <c r="AE59" i="36"/>
  <c r="AD9" i="16"/>
  <c r="AE25" i="36"/>
  <c r="AD11" i="14"/>
  <c r="AE42" i="36"/>
  <c r="AD4" i="15"/>
  <c r="AE44" i="36"/>
  <c r="AD6" i="15"/>
  <c r="AE54" i="36"/>
  <c r="AD4" i="16"/>
  <c r="AE73" i="36"/>
  <c r="AD11" i="17"/>
  <c r="AF7" i="36"/>
  <c r="AE5" i="21"/>
  <c r="AE53" i="36"/>
  <c r="AD3" i="16"/>
  <c r="AE67" i="36"/>
  <c r="AD5" i="17"/>
  <c r="AE20" i="36"/>
  <c r="AD6" i="14"/>
  <c r="AE72" i="36"/>
  <c r="AE86" i="36" s="1"/>
  <c r="AE101" i="36" s="1"/>
  <c r="AD10" i="17"/>
  <c r="AE4" i="36"/>
  <c r="AD2" i="21"/>
  <c r="AE48" i="36"/>
  <c r="AD10" i="15"/>
  <c r="AE47" i="36"/>
  <c r="AD9" i="15"/>
  <c r="AE24" i="36"/>
  <c r="AD10" i="14"/>
  <c r="AE55" i="36"/>
  <c r="AD5" i="16"/>
  <c r="AE41" i="36"/>
  <c r="AD3" i="15"/>
  <c r="AE8" i="36"/>
  <c r="AD6" i="21"/>
  <c r="AE17" i="36"/>
  <c r="AD3" i="14"/>
  <c r="AE10" i="36"/>
  <c r="AD8" i="21"/>
  <c r="AE69" i="36"/>
  <c r="AD7" i="17"/>
  <c r="AE61" i="36"/>
  <c r="AD11" i="16"/>
  <c r="AE10" i="37"/>
  <c r="AD8" i="18"/>
  <c r="AE9" i="37"/>
  <c r="AD7" i="18"/>
  <c r="AE7" i="37"/>
  <c r="AD5" i="18"/>
  <c r="AE70" i="37"/>
  <c r="AD8" i="13"/>
  <c r="AE59" i="37"/>
  <c r="AD9" i="12"/>
  <c r="AE6" i="37"/>
  <c r="AD4" i="18"/>
  <c r="AE18" i="37"/>
  <c r="AD4" i="20"/>
  <c r="AE56" i="37"/>
  <c r="AD6" i="12"/>
  <c r="AF42" i="37"/>
  <c r="AE4" i="11"/>
  <c r="AE67" i="37"/>
  <c r="AD5" i="13"/>
  <c r="AE17" i="37"/>
  <c r="AD3" i="20"/>
  <c r="AG23" i="37"/>
  <c r="AG9" i="20" s="1"/>
  <c r="AF9" i="20"/>
  <c r="AE44" i="37"/>
  <c r="AD6" i="11"/>
  <c r="AE20" i="37"/>
  <c r="AD6" i="20"/>
  <c r="AF25" i="37"/>
  <c r="AE11" i="20"/>
  <c r="AE68" i="37"/>
  <c r="AD6" i="13"/>
  <c r="AE49" i="37"/>
  <c r="AD11" i="11"/>
  <c r="AE54" i="37"/>
  <c r="AD4" i="12"/>
  <c r="AE71" i="37"/>
  <c r="AD9" i="13"/>
  <c r="AE72" i="37"/>
  <c r="AD10" i="13"/>
  <c r="AF73" i="37"/>
  <c r="AE11" i="13"/>
  <c r="AE5" i="37"/>
  <c r="AD3" i="18"/>
  <c r="AE58" i="37"/>
  <c r="AD8" i="12"/>
  <c r="AE48" i="37"/>
  <c r="AD10" i="11"/>
  <c r="AF65" i="37"/>
  <c r="AE3" i="13"/>
  <c r="AE60" i="37"/>
  <c r="AD10" i="12"/>
  <c r="AE57" i="37"/>
  <c r="AD7" i="12"/>
  <c r="AE53" i="37"/>
  <c r="AD3" i="12"/>
  <c r="AE47" i="37"/>
  <c r="AD9" i="11"/>
  <c r="AE19" i="37"/>
  <c r="AD5" i="20"/>
  <c r="AE55" i="37"/>
  <c r="AD5" i="12"/>
  <c r="AF11" i="37"/>
  <c r="AE9" i="18"/>
  <c r="AE66" i="37"/>
  <c r="AD4" i="13"/>
  <c r="AE69" i="37"/>
  <c r="AD7" i="13"/>
  <c r="AE43" i="37"/>
  <c r="AD5" i="11"/>
  <c r="AE46" i="37"/>
  <c r="AD8" i="11"/>
  <c r="AF64" i="37"/>
  <c r="AE2" i="13"/>
  <c r="AE13" i="37"/>
  <c r="AD11" i="18"/>
  <c r="AF21" i="37"/>
  <c r="AE7" i="20"/>
  <c r="AE12" i="37"/>
  <c r="AD10" i="18"/>
  <c r="AE52" i="37"/>
  <c r="AD2" i="12"/>
  <c r="AE24" i="37"/>
  <c r="AD10" i="20"/>
  <c r="AE16" i="37"/>
  <c r="AD2" i="20"/>
  <c r="AE61" i="37"/>
  <c r="AD11" i="12"/>
  <c r="AE8" i="37"/>
  <c r="AD6" i="18"/>
  <c r="AE40" i="37"/>
  <c r="AD2" i="11"/>
  <c r="AF22" i="37"/>
  <c r="AE8" i="20"/>
  <c r="AF45" i="37"/>
  <c r="AE7" i="11"/>
  <c r="AE4" i="37"/>
  <c r="AD2" i="18"/>
  <c r="AE41" i="37"/>
  <c r="AD3" i="11"/>
  <c r="AE67" i="38"/>
  <c r="AD5" i="27"/>
  <c r="AE22" i="38"/>
  <c r="AD8" i="24"/>
  <c r="AE7" i="38"/>
  <c r="AD5" i="23"/>
  <c r="AE61" i="38"/>
  <c r="AD11" i="26"/>
  <c r="AE52" i="38"/>
  <c r="AD2" i="26"/>
  <c r="AE60" i="38"/>
  <c r="AD10" i="26"/>
  <c r="AE10" i="38"/>
  <c r="AD8" i="23"/>
  <c r="AE48" i="38"/>
  <c r="AD10" i="25"/>
  <c r="AE13" i="38"/>
  <c r="AD11" i="23"/>
  <c r="AE72" i="38"/>
  <c r="AD10" i="27"/>
  <c r="AE40" i="38"/>
  <c r="AD2" i="25"/>
  <c r="AE21" i="38"/>
  <c r="AD7" i="24"/>
  <c r="AE47" i="38"/>
  <c r="AD9" i="25"/>
  <c r="AE9" i="38"/>
  <c r="AD7" i="23"/>
  <c r="AF4" i="38"/>
  <c r="AE2" i="23"/>
  <c r="AE25" i="38"/>
  <c r="AD11" i="24"/>
  <c r="AE54" i="38"/>
  <c r="AD4" i="26"/>
  <c r="AE20" i="38"/>
  <c r="AD6" i="24"/>
  <c r="AE59" i="38"/>
  <c r="AD9" i="26"/>
  <c r="AE49" i="38"/>
  <c r="AD11" i="25"/>
  <c r="AE11" i="38"/>
  <c r="AD9" i="23"/>
  <c r="AE64" i="38"/>
  <c r="AD2" i="27"/>
  <c r="AF5" i="38"/>
  <c r="AE3" i="23"/>
  <c r="AE71" i="38"/>
  <c r="AD9" i="27"/>
  <c r="AF6" i="38"/>
  <c r="AE4" i="23"/>
  <c r="AE12" i="38"/>
  <c r="AD10" i="23"/>
  <c r="AE19" i="38"/>
  <c r="AD5" i="24"/>
  <c r="AE53" i="38"/>
  <c r="AD3" i="26"/>
  <c r="AE18" i="38"/>
  <c r="AD4" i="24"/>
  <c r="AE43" i="38"/>
  <c r="AD5" i="25"/>
  <c r="AE70" i="38"/>
  <c r="AD8" i="27"/>
  <c r="AE73" i="38"/>
  <c r="AD11" i="27"/>
  <c r="AF55" i="38"/>
  <c r="AE5" i="26"/>
  <c r="AE24" i="38"/>
  <c r="AD10" i="24"/>
  <c r="AE16" i="38"/>
  <c r="AD2" i="24"/>
  <c r="AE69" i="38"/>
  <c r="AD7" i="27"/>
  <c r="AE58" i="38"/>
  <c r="AD8" i="26"/>
  <c r="AE65" i="38"/>
  <c r="AD3" i="27"/>
  <c r="AE45" i="38"/>
  <c r="AD7" i="25"/>
  <c r="AE57" i="38"/>
  <c r="AD7" i="26"/>
  <c r="AE46" i="38"/>
  <c r="AD8" i="25"/>
  <c r="AF8" i="38"/>
  <c r="AE6" i="23"/>
  <c r="AE56" i="38"/>
  <c r="AD6" i="26"/>
  <c r="AE42" i="38"/>
  <c r="AD4" i="25"/>
  <c r="AE44" i="38"/>
  <c r="AD6" i="25"/>
  <c r="AE66" i="38"/>
  <c r="AD4" i="27"/>
  <c r="AE23" i="38"/>
  <c r="AD9" i="24"/>
  <c r="AE41" i="38"/>
  <c r="AD3" i="25"/>
  <c r="AE68" i="38"/>
  <c r="AD6" i="27"/>
  <c r="AF17" i="38"/>
  <c r="AE3" i="24"/>
  <c r="AE2" i="17" l="1"/>
  <c r="AE32" i="47"/>
  <c r="AE31" i="47"/>
  <c r="AE2" i="14"/>
  <c r="AE82" i="36"/>
  <c r="AE97" i="36" s="1"/>
  <c r="AE79" i="36"/>
  <c r="AE94" i="36" s="1"/>
  <c r="AE85" i="36"/>
  <c r="AE100" i="36" s="1"/>
  <c r="AE83" i="36"/>
  <c r="AE98" i="36" s="1"/>
  <c r="AE78" i="36"/>
  <c r="AE93" i="36" s="1"/>
  <c r="AE23" i="47" s="1"/>
  <c r="AE24" i="47" s="1"/>
  <c r="AE81" i="36"/>
  <c r="AE96" i="36" s="1"/>
  <c r="AE80" i="36"/>
  <c r="AE95" i="36" s="1"/>
  <c r="AE87" i="36"/>
  <c r="AE102" i="36" s="1"/>
  <c r="AE84" i="36"/>
  <c r="AE99" i="36" s="1"/>
  <c r="AF10" i="36"/>
  <c r="AE8" i="21"/>
  <c r="AF55" i="36"/>
  <c r="AE5" i="16"/>
  <c r="AF4" i="36"/>
  <c r="AE2" i="21"/>
  <c r="AF53" i="36"/>
  <c r="AE3" i="16"/>
  <c r="AF44" i="36"/>
  <c r="AE6" i="15"/>
  <c r="AF49" i="36"/>
  <c r="AE11" i="15"/>
  <c r="AF71" i="36"/>
  <c r="AE9" i="17"/>
  <c r="AF18" i="36"/>
  <c r="AE4" i="14"/>
  <c r="AF22" i="36"/>
  <c r="AE8" i="14"/>
  <c r="AF19" i="36"/>
  <c r="AE5" i="14"/>
  <c r="AF16" i="36"/>
  <c r="AG11" i="36"/>
  <c r="AG9" i="21" s="1"/>
  <c r="AF9" i="21"/>
  <c r="AF24" i="36"/>
  <c r="AE10" i="14"/>
  <c r="AF5" i="36"/>
  <c r="AE3" i="21"/>
  <c r="AF72" i="36"/>
  <c r="AE10" i="17"/>
  <c r="AF42" i="36"/>
  <c r="AE4" i="15"/>
  <c r="AF43" i="36"/>
  <c r="AE5" i="15"/>
  <c r="AF58" i="36"/>
  <c r="AE8" i="16"/>
  <c r="AF61" i="36"/>
  <c r="AE11" i="16"/>
  <c r="AF8" i="36"/>
  <c r="AE6" i="21"/>
  <c r="AF47" i="36"/>
  <c r="AE9" i="15"/>
  <c r="AF20" i="36"/>
  <c r="AE6" i="14"/>
  <c r="AF73" i="36"/>
  <c r="AE11" i="17"/>
  <c r="AF25" i="36"/>
  <c r="AE11" i="14"/>
  <c r="AF66" i="36"/>
  <c r="AE4" i="17"/>
  <c r="AF57" i="36"/>
  <c r="AE7" i="16"/>
  <c r="AF6" i="36"/>
  <c r="AE4" i="21"/>
  <c r="AF21" i="36"/>
  <c r="AE7" i="14"/>
  <c r="AF9" i="36"/>
  <c r="AE7" i="21"/>
  <c r="AF65" i="36"/>
  <c r="AE3" i="17"/>
  <c r="AF13" i="36"/>
  <c r="AE11" i="21"/>
  <c r="AF17" i="36"/>
  <c r="AE3" i="14"/>
  <c r="AF70" i="36"/>
  <c r="AE8" i="17"/>
  <c r="AG7" i="36"/>
  <c r="AG5" i="21" s="1"/>
  <c r="AF5" i="21"/>
  <c r="AF45" i="36"/>
  <c r="AE7" i="15"/>
  <c r="AG12" i="36"/>
  <c r="AG10" i="21" s="1"/>
  <c r="AF10" i="21"/>
  <c r="AF68" i="36"/>
  <c r="AE6" i="17"/>
  <c r="AF69" i="36"/>
  <c r="AE7" i="17"/>
  <c r="AF41" i="36"/>
  <c r="AE3" i="15"/>
  <c r="AF48" i="36"/>
  <c r="AE10" i="15"/>
  <c r="AF67" i="36"/>
  <c r="AE5" i="17"/>
  <c r="AF54" i="36"/>
  <c r="AE4" i="16"/>
  <c r="AF59" i="36"/>
  <c r="AE9" i="16"/>
  <c r="AF46" i="36"/>
  <c r="AE8" i="15"/>
  <c r="AF56" i="36"/>
  <c r="AE6" i="16"/>
  <c r="AF60" i="36"/>
  <c r="AE10" i="16"/>
  <c r="AF52" i="36"/>
  <c r="AE2" i="16"/>
  <c r="AF64" i="36"/>
  <c r="AF23" i="36"/>
  <c r="AE9" i="14"/>
  <c r="AF40" i="36"/>
  <c r="AE2" i="15"/>
  <c r="AF24" i="37"/>
  <c r="AE10" i="20"/>
  <c r="AF46" i="37"/>
  <c r="AE8" i="11"/>
  <c r="AF19" i="37"/>
  <c r="AE5" i="20"/>
  <c r="AF48" i="37"/>
  <c r="AE10" i="11"/>
  <c r="AF54" i="37"/>
  <c r="AE4" i="12"/>
  <c r="AF6" i="37"/>
  <c r="AE4" i="18"/>
  <c r="AF52" i="37"/>
  <c r="AE2" i="12"/>
  <c r="AF47" i="37"/>
  <c r="AE9" i="11"/>
  <c r="AF58" i="37"/>
  <c r="AE8" i="12"/>
  <c r="AF49" i="37"/>
  <c r="AE11" i="11"/>
  <c r="AF17" i="37"/>
  <c r="AE3" i="20"/>
  <c r="AF59" i="37"/>
  <c r="AE9" i="12"/>
  <c r="AF40" i="37"/>
  <c r="AE2" i="11"/>
  <c r="AF53" i="37"/>
  <c r="AE3" i="12"/>
  <c r="AF5" i="37"/>
  <c r="AE3" i="18"/>
  <c r="AF68" i="37"/>
  <c r="AE6" i="13"/>
  <c r="AF67" i="37"/>
  <c r="AE5" i="13"/>
  <c r="AF70" i="37"/>
  <c r="AE8" i="13"/>
  <c r="AF43" i="37"/>
  <c r="AE5" i="11"/>
  <c r="AF8" i="37"/>
  <c r="AE6" i="18"/>
  <c r="AF66" i="37"/>
  <c r="AE4" i="13"/>
  <c r="AF57" i="37"/>
  <c r="AE7" i="12"/>
  <c r="AG73" i="37"/>
  <c r="AG11" i="13" s="1"/>
  <c r="AF11" i="13"/>
  <c r="AG25" i="37"/>
  <c r="AG11" i="20" s="1"/>
  <c r="AF11" i="20"/>
  <c r="AG42" i="37"/>
  <c r="AG4" i="11" s="1"/>
  <c r="AF4" i="11"/>
  <c r="AF7" i="37"/>
  <c r="AE5" i="18"/>
  <c r="AG45" i="37"/>
  <c r="AG7" i="11" s="1"/>
  <c r="AF7" i="11"/>
  <c r="AF69" i="37"/>
  <c r="AE7" i="13"/>
  <c r="AG21" i="37"/>
  <c r="AG7" i="20" s="1"/>
  <c r="AF7" i="20"/>
  <c r="AG11" i="37"/>
  <c r="AF9" i="18"/>
  <c r="AF72" i="37"/>
  <c r="AE10" i="13"/>
  <c r="AF20" i="37"/>
  <c r="AE6" i="20"/>
  <c r="AF56" i="37"/>
  <c r="AE6" i="12"/>
  <c r="AF9" i="37"/>
  <c r="AE7" i="18"/>
  <c r="AG22" i="37"/>
  <c r="AG8" i="20" s="1"/>
  <c r="AF8" i="20"/>
  <c r="AF12" i="37"/>
  <c r="AE10" i="18"/>
  <c r="AF41" i="37"/>
  <c r="AE3" i="11"/>
  <c r="AF61" i="37"/>
  <c r="AE11" i="12"/>
  <c r="AF13" i="37"/>
  <c r="AE11" i="18"/>
  <c r="AF60" i="37"/>
  <c r="AE10" i="12"/>
  <c r="AF4" i="37"/>
  <c r="AE2" i="18"/>
  <c r="AF16" i="37"/>
  <c r="AE2" i="20"/>
  <c r="AG64" i="37"/>
  <c r="AG2" i="13" s="1"/>
  <c r="AF2" i="13"/>
  <c r="AF55" i="37"/>
  <c r="AE5" i="12"/>
  <c r="AG65" i="37"/>
  <c r="AG3" i="13" s="1"/>
  <c r="AF3" i="13"/>
  <c r="AF71" i="37"/>
  <c r="AE9" i="13"/>
  <c r="AF44" i="37"/>
  <c r="AE6" i="11"/>
  <c r="AF18" i="37"/>
  <c r="AE4" i="20"/>
  <c r="AF10" i="37"/>
  <c r="AE8" i="18"/>
  <c r="AF43" i="38"/>
  <c r="AE5" i="25"/>
  <c r="AF71" i="38"/>
  <c r="AE9" i="27"/>
  <c r="AF20" i="38"/>
  <c r="AE6" i="24"/>
  <c r="AF21" i="38"/>
  <c r="AE7" i="24"/>
  <c r="AF60" i="38"/>
  <c r="AE10" i="26"/>
  <c r="AF18" i="38"/>
  <c r="AE4" i="24"/>
  <c r="AF54" i="38"/>
  <c r="AE4" i="26"/>
  <c r="AF40" i="38"/>
  <c r="AE2" i="25"/>
  <c r="AF52" i="38"/>
  <c r="AE2" i="26"/>
  <c r="AG5" i="38"/>
  <c r="AG3" i="23" s="1"/>
  <c r="AF3" i="23"/>
  <c r="AF23" i="38"/>
  <c r="AE9" i="24"/>
  <c r="AF66" i="38"/>
  <c r="AE4" i="27"/>
  <c r="AF57" i="38"/>
  <c r="AE7" i="26"/>
  <c r="AF24" i="38"/>
  <c r="AE10" i="24"/>
  <c r="AF53" i="38"/>
  <c r="AE3" i="26"/>
  <c r="AF64" i="38"/>
  <c r="AE2" i="27"/>
  <c r="AF25" i="38"/>
  <c r="AE11" i="24"/>
  <c r="AF72" i="38"/>
  <c r="AE10" i="27"/>
  <c r="AF61" i="38"/>
  <c r="AE11" i="26"/>
  <c r="AF16" i="38"/>
  <c r="AE2" i="24"/>
  <c r="AF44" i="38"/>
  <c r="AE6" i="25"/>
  <c r="AF45" i="38"/>
  <c r="AE7" i="25"/>
  <c r="AG55" i="38"/>
  <c r="AG5" i="26" s="1"/>
  <c r="AF5" i="26"/>
  <c r="AF19" i="38"/>
  <c r="AE5" i="24"/>
  <c r="AF11" i="38"/>
  <c r="AE9" i="23"/>
  <c r="AG4" i="38"/>
  <c r="AG2" i="23" s="1"/>
  <c r="AF2" i="23"/>
  <c r="AF13" i="38"/>
  <c r="AE11" i="23"/>
  <c r="AF7" i="38"/>
  <c r="AE5" i="23"/>
  <c r="AF41" i="38"/>
  <c r="AE3" i="25"/>
  <c r="AF69" i="38"/>
  <c r="AE7" i="27"/>
  <c r="AF42" i="38"/>
  <c r="AE4" i="25"/>
  <c r="AF65" i="38"/>
  <c r="AE3" i="27"/>
  <c r="AF73" i="38"/>
  <c r="AE11" i="27"/>
  <c r="AF12" i="38"/>
  <c r="AE10" i="23"/>
  <c r="AF49" i="38"/>
  <c r="AE11" i="25"/>
  <c r="AF9" i="38"/>
  <c r="AE7" i="23"/>
  <c r="AF48" i="38"/>
  <c r="AE10" i="25"/>
  <c r="AF22" i="38"/>
  <c r="AE8" i="24"/>
  <c r="AG8" i="38"/>
  <c r="AG6" i="23" s="1"/>
  <c r="AF6" i="23"/>
  <c r="AG17" i="38"/>
  <c r="AG3" i="24" s="1"/>
  <c r="AF3" i="24"/>
  <c r="AF46" i="38"/>
  <c r="AE8" i="25"/>
  <c r="AF68" i="38"/>
  <c r="AE6" i="27"/>
  <c r="AF56" i="38"/>
  <c r="AE6" i="26"/>
  <c r="AF58" i="38"/>
  <c r="AE8" i="26"/>
  <c r="AF70" i="38"/>
  <c r="AE8" i="27"/>
  <c r="AG6" i="38"/>
  <c r="AG4" i="23" s="1"/>
  <c r="AF4" i="23"/>
  <c r="AF59" i="38"/>
  <c r="AE9" i="26"/>
  <c r="AF47" i="38"/>
  <c r="AE9" i="25"/>
  <c r="AF10" i="38"/>
  <c r="AE8" i="23"/>
  <c r="AF67" i="38"/>
  <c r="AE5" i="27"/>
  <c r="AF32" i="47" l="1"/>
  <c r="AF2" i="17"/>
  <c r="AF2" i="14"/>
  <c r="AF31" i="47"/>
  <c r="AF83" i="36"/>
  <c r="AF98" i="36" s="1"/>
  <c r="AF87" i="36"/>
  <c r="AF102" i="36" s="1"/>
  <c r="AF81" i="36"/>
  <c r="AF96" i="36" s="1"/>
  <c r="AF78" i="36"/>
  <c r="AF93" i="36" s="1"/>
  <c r="AF23" i="47" s="1"/>
  <c r="AF24" i="47" s="1"/>
  <c r="AF79" i="36"/>
  <c r="AF94" i="36" s="1"/>
  <c r="AF82" i="36"/>
  <c r="AF97" i="36" s="1"/>
  <c r="AF80" i="36"/>
  <c r="AF95" i="36" s="1"/>
  <c r="AF85" i="36"/>
  <c r="AF100" i="36" s="1"/>
  <c r="AF84" i="36"/>
  <c r="AF99" i="36" s="1"/>
  <c r="AF86" i="36"/>
  <c r="AF101" i="36" s="1"/>
  <c r="AG64" i="36"/>
  <c r="AG46" i="36"/>
  <c r="AG8" i="15" s="1"/>
  <c r="AF8" i="15"/>
  <c r="AG48" i="36"/>
  <c r="AG10" i="15" s="1"/>
  <c r="AF10" i="15"/>
  <c r="AG17" i="36"/>
  <c r="AG3" i="14" s="1"/>
  <c r="AF3" i="14"/>
  <c r="AG21" i="36"/>
  <c r="AG7" i="14" s="1"/>
  <c r="AF7" i="14"/>
  <c r="AG25" i="36"/>
  <c r="AG11" i="14" s="1"/>
  <c r="AF11" i="14"/>
  <c r="AG8" i="36"/>
  <c r="AG6" i="21" s="1"/>
  <c r="AF6" i="21"/>
  <c r="AG42" i="36"/>
  <c r="AG4" i="15" s="1"/>
  <c r="AF4" i="15"/>
  <c r="AG18" i="36"/>
  <c r="AG4" i="14" s="1"/>
  <c r="AF4" i="14"/>
  <c r="AG53" i="36"/>
  <c r="AG3" i="16" s="1"/>
  <c r="AF3" i="16"/>
  <c r="AG52" i="36"/>
  <c r="AG2" i="16" s="1"/>
  <c r="AF2" i="16"/>
  <c r="AG59" i="36"/>
  <c r="AG9" i="16" s="1"/>
  <c r="AF9" i="16"/>
  <c r="AG41" i="36"/>
  <c r="AG3" i="15" s="1"/>
  <c r="AF3" i="15"/>
  <c r="AG45" i="36"/>
  <c r="AG7" i="15" s="1"/>
  <c r="AF7" i="15"/>
  <c r="AG13" i="36"/>
  <c r="AG11" i="21" s="1"/>
  <c r="AF11" i="21"/>
  <c r="AG6" i="36"/>
  <c r="AG4" i="21" s="1"/>
  <c r="AF4" i="21"/>
  <c r="AG73" i="36"/>
  <c r="AF11" i="17"/>
  <c r="AG61" i="36"/>
  <c r="AG11" i="16" s="1"/>
  <c r="AF11" i="16"/>
  <c r="AG72" i="36"/>
  <c r="AF10" i="17"/>
  <c r="AG16" i="36"/>
  <c r="AG71" i="36"/>
  <c r="AF9" i="17"/>
  <c r="AG4" i="36"/>
  <c r="AG2" i="21" s="1"/>
  <c r="AF2" i="21"/>
  <c r="AG40" i="36"/>
  <c r="AG2" i="15" s="1"/>
  <c r="AF2" i="15"/>
  <c r="AG60" i="36"/>
  <c r="AG10" i="16" s="1"/>
  <c r="AF10" i="16"/>
  <c r="AG54" i="36"/>
  <c r="AG4" i="16" s="1"/>
  <c r="AF4" i="16"/>
  <c r="AG69" i="36"/>
  <c r="AF7" i="17"/>
  <c r="AG65" i="36"/>
  <c r="AF3" i="17"/>
  <c r="AG57" i="36"/>
  <c r="AG7" i="16" s="1"/>
  <c r="AF7" i="16"/>
  <c r="AG20" i="36"/>
  <c r="AG6" i="14" s="1"/>
  <c r="AF6" i="14"/>
  <c r="AG58" i="36"/>
  <c r="AG8" i="16" s="1"/>
  <c r="AF8" i="16"/>
  <c r="AG5" i="36"/>
  <c r="AG3" i="21" s="1"/>
  <c r="AF3" i="21"/>
  <c r="AG19" i="36"/>
  <c r="AG5" i="14" s="1"/>
  <c r="AF5" i="14"/>
  <c r="AG49" i="36"/>
  <c r="AG11" i="15" s="1"/>
  <c r="AF11" i="15"/>
  <c r="AG55" i="36"/>
  <c r="AG5" i="16" s="1"/>
  <c r="AF5" i="16"/>
  <c r="AG23" i="36"/>
  <c r="AG9" i="14" s="1"/>
  <c r="AF9" i="14"/>
  <c r="AG56" i="36"/>
  <c r="AG6" i="16" s="1"/>
  <c r="AF6" i="16"/>
  <c r="AG67" i="36"/>
  <c r="AF5" i="17"/>
  <c r="AG68" i="36"/>
  <c r="AF6" i="17"/>
  <c r="AG70" i="36"/>
  <c r="AF8" i="17"/>
  <c r="AG9" i="36"/>
  <c r="AG7" i="21" s="1"/>
  <c r="AF7" i="21"/>
  <c r="AG66" i="36"/>
  <c r="AF4" i="17"/>
  <c r="AG47" i="36"/>
  <c r="AG9" i="15" s="1"/>
  <c r="AF9" i="15"/>
  <c r="AG43" i="36"/>
  <c r="AG5" i="15" s="1"/>
  <c r="AF5" i="15"/>
  <c r="AG24" i="36"/>
  <c r="AG10" i="14" s="1"/>
  <c r="AF10" i="14"/>
  <c r="AG22" i="36"/>
  <c r="AG8" i="14" s="1"/>
  <c r="AF8" i="14"/>
  <c r="AG44" i="36"/>
  <c r="AG6" i="15" s="1"/>
  <c r="AF6" i="15"/>
  <c r="AG10" i="36"/>
  <c r="AG8" i="21" s="1"/>
  <c r="AF8" i="21"/>
  <c r="AG18" i="37"/>
  <c r="AG4" i="20" s="1"/>
  <c r="AF4" i="20"/>
  <c r="AG16" i="37"/>
  <c r="AG2" i="20" s="1"/>
  <c r="AF2" i="20"/>
  <c r="AG12" i="37"/>
  <c r="AF10" i="18"/>
  <c r="AG70" i="37"/>
  <c r="AG8" i="13" s="1"/>
  <c r="AF8" i="13"/>
  <c r="AG59" i="37"/>
  <c r="AG9" i="12" s="1"/>
  <c r="AF9" i="12"/>
  <c r="AG6" i="37"/>
  <c r="AF4" i="18"/>
  <c r="AG67" i="37"/>
  <c r="AG5" i="13" s="1"/>
  <c r="AF5" i="13"/>
  <c r="AG17" i="37"/>
  <c r="AG3" i="20" s="1"/>
  <c r="AF3" i="20"/>
  <c r="AG54" i="37"/>
  <c r="AG4" i="12" s="1"/>
  <c r="AF4" i="12"/>
  <c r="AG9" i="37"/>
  <c r="AF7" i="18"/>
  <c r="AG69" i="37"/>
  <c r="AG7" i="13" s="1"/>
  <c r="AF7" i="13"/>
  <c r="AG57" i="37"/>
  <c r="AG7" i="12" s="1"/>
  <c r="AF7" i="12"/>
  <c r="AG68" i="37"/>
  <c r="AG6" i="13" s="1"/>
  <c r="AF6" i="13"/>
  <c r="AG49" i="37"/>
  <c r="AG11" i="11" s="1"/>
  <c r="AF11" i="11"/>
  <c r="AG48" i="37"/>
  <c r="AG10" i="11" s="1"/>
  <c r="AF10" i="11"/>
  <c r="AG60" i="37"/>
  <c r="AG10" i="12" s="1"/>
  <c r="AF10" i="12"/>
  <c r="AG13" i="37"/>
  <c r="AF11" i="18"/>
  <c r="AG56" i="37"/>
  <c r="AG6" i="12" s="1"/>
  <c r="AF6" i="12"/>
  <c r="AG66" i="37"/>
  <c r="AG4" i="13" s="1"/>
  <c r="AF4" i="13"/>
  <c r="AG5" i="37"/>
  <c r="AF3" i="18"/>
  <c r="AG58" i="37"/>
  <c r="AG8" i="12" s="1"/>
  <c r="AF8" i="12"/>
  <c r="AG19" i="37"/>
  <c r="AG5" i="20" s="1"/>
  <c r="AF5" i="20"/>
  <c r="AG44" i="37"/>
  <c r="AG6" i="11" s="1"/>
  <c r="AF6" i="11"/>
  <c r="AG71" i="37"/>
  <c r="AG9" i="13" s="1"/>
  <c r="AF9" i="13"/>
  <c r="AG55" i="37"/>
  <c r="AG5" i="12" s="1"/>
  <c r="AF5" i="12"/>
  <c r="AG61" i="37"/>
  <c r="AG11" i="12" s="1"/>
  <c r="AF11" i="12"/>
  <c r="AG20" i="37"/>
  <c r="AG6" i="20" s="1"/>
  <c r="AF6" i="20"/>
  <c r="AG7" i="37"/>
  <c r="AF5" i="18"/>
  <c r="AG8" i="37"/>
  <c r="AF6" i="18"/>
  <c r="AG53" i="37"/>
  <c r="AG3" i="12" s="1"/>
  <c r="AF3" i="12"/>
  <c r="AG47" i="37"/>
  <c r="AG9" i="11" s="1"/>
  <c r="AF9" i="11"/>
  <c r="AG46" i="37"/>
  <c r="AG8" i="11" s="1"/>
  <c r="AF8" i="11"/>
  <c r="AG4" i="37"/>
  <c r="AF2" i="18"/>
  <c r="AG10" i="37"/>
  <c r="AF8" i="18"/>
  <c r="AG41" i="37"/>
  <c r="AG3" i="11" s="1"/>
  <c r="AF3" i="11"/>
  <c r="AG72" i="37"/>
  <c r="AG10" i="13" s="1"/>
  <c r="AF10" i="13"/>
  <c r="AG43" i="37"/>
  <c r="AG5" i="11" s="1"/>
  <c r="AF5" i="11"/>
  <c r="AG40" i="37"/>
  <c r="AG2" i="11" s="1"/>
  <c r="AF2" i="11"/>
  <c r="AG52" i="37"/>
  <c r="AG2" i="12" s="1"/>
  <c r="AF2" i="12"/>
  <c r="AG24" i="37"/>
  <c r="AG10" i="20" s="1"/>
  <c r="AF10" i="20"/>
  <c r="AG9" i="38"/>
  <c r="AG7" i="23" s="1"/>
  <c r="AF7" i="23"/>
  <c r="AG69" i="38"/>
  <c r="AG7" i="27" s="1"/>
  <c r="AF7" i="27"/>
  <c r="AG19" i="38"/>
  <c r="AG5" i="24" s="1"/>
  <c r="AF5" i="24"/>
  <c r="AG72" i="38"/>
  <c r="AG10" i="27" s="1"/>
  <c r="AF10" i="27"/>
  <c r="AG66" i="38"/>
  <c r="AG4" i="27" s="1"/>
  <c r="AF4" i="27"/>
  <c r="AG18" i="38"/>
  <c r="AG4" i="24" s="1"/>
  <c r="AF4" i="24"/>
  <c r="AG49" i="38"/>
  <c r="AG11" i="25" s="1"/>
  <c r="AF11" i="25"/>
  <c r="AG25" i="38"/>
  <c r="AG11" i="24" s="1"/>
  <c r="AF11" i="24"/>
  <c r="AG23" i="38"/>
  <c r="AG9" i="24" s="1"/>
  <c r="AF9" i="24"/>
  <c r="AG60" i="38"/>
  <c r="AG10" i="26" s="1"/>
  <c r="AF10" i="26"/>
  <c r="AG41" i="38"/>
  <c r="AG3" i="25" s="1"/>
  <c r="AF3" i="25"/>
  <c r="AG47" i="38"/>
  <c r="AG9" i="25" s="1"/>
  <c r="AF9" i="25"/>
  <c r="AG46" i="38"/>
  <c r="AG8" i="25" s="1"/>
  <c r="AF8" i="25"/>
  <c r="AG12" i="38"/>
  <c r="AG10" i="23" s="1"/>
  <c r="AF10" i="23"/>
  <c r="AG7" i="38"/>
  <c r="AG5" i="23" s="1"/>
  <c r="AF5" i="23"/>
  <c r="AG45" i="38"/>
  <c r="AG7" i="25" s="1"/>
  <c r="AF7" i="25"/>
  <c r="AG64" i="38"/>
  <c r="AG2" i="27" s="1"/>
  <c r="AF2" i="27"/>
  <c r="AG21" i="38"/>
  <c r="AG7" i="24" s="1"/>
  <c r="AF7" i="24"/>
  <c r="AG70" i="38"/>
  <c r="AG8" i="27" s="1"/>
  <c r="AF8" i="27"/>
  <c r="AG73" i="38"/>
  <c r="AG11" i="27" s="1"/>
  <c r="AF11" i="27"/>
  <c r="AG13" i="38"/>
  <c r="AG11" i="23" s="1"/>
  <c r="AF11" i="23"/>
  <c r="AG44" i="38"/>
  <c r="AG6" i="25" s="1"/>
  <c r="AF6" i="25"/>
  <c r="AG53" i="38"/>
  <c r="AG3" i="26" s="1"/>
  <c r="AF3" i="26"/>
  <c r="AG52" i="38"/>
  <c r="AG2" i="26" s="1"/>
  <c r="AF2" i="26"/>
  <c r="AG20" i="38"/>
  <c r="AG6" i="24" s="1"/>
  <c r="AF6" i="24"/>
  <c r="AG58" i="38"/>
  <c r="AG8" i="26" s="1"/>
  <c r="AF8" i="26"/>
  <c r="AG22" i="38"/>
  <c r="AG8" i="24" s="1"/>
  <c r="AF8" i="24"/>
  <c r="AG65" i="38"/>
  <c r="AG3" i="27" s="1"/>
  <c r="AF3" i="27"/>
  <c r="AG16" i="38"/>
  <c r="AG2" i="24" s="1"/>
  <c r="AF2" i="24"/>
  <c r="AG24" i="38"/>
  <c r="AG10" i="24" s="1"/>
  <c r="AF10" i="24"/>
  <c r="AG40" i="38"/>
  <c r="AG2" i="25" s="1"/>
  <c r="AF2" i="25"/>
  <c r="AG71" i="38"/>
  <c r="AG9" i="27" s="1"/>
  <c r="AF9" i="27"/>
  <c r="AG67" i="38"/>
  <c r="AG5" i="27" s="1"/>
  <c r="AF5" i="27"/>
  <c r="AG68" i="38"/>
  <c r="AG6" i="27" s="1"/>
  <c r="AF6" i="27"/>
  <c r="AG59" i="38"/>
  <c r="AG9" i="26" s="1"/>
  <c r="AF9" i="26"/>
  <c r="AG10" i="38"/>
  <c r="AG8" i="23" s="1"/>
  <c r="AF8" i="23"/>
  <c r="AG56" i="38"/>
  <c r="AG6" i="26" s="1"/>
  <c r="AF6" i="26"/>
  <c r="AG48" i="38"/>
  <c r="AG10" i="25" s="1"/>
  <c r="AF10" i="25"/>
  <c r="AG42" i="38"/>
  <c r="AG4" i="25" s="1"/>
  <c r="AF4" i="25"/>
  <c r="AG11" i="38"/>
  <c r="AG9" i="23" s="1"/>
  <c r="AF9" i="23"/>
  <c r="AG61" i="38"/>
  <c r="AG11" i="26" s="1"/>
  <c r="AF11" i="26"/>
  <c r="AG57" i="38"/>
  <c r="AG7" i="26" s="1"/>
  <c r="AF7" i="26"/>
  <c r="AF4" i="26"/>
  <c r="AG54" i="38"/>
  <c r="AG4" i="26" s="1"/>
  <c r="AG43" i="38"/>
  <c r="AG5" i="25" s="1"/>
  <c r="AF5" i="25"/>
  <c r="AG32" i="47" l="1"/>
  <c r="AG2" i="17"/>
  <c r="AG31" i="47"/>
  <c r="B34" i="47" s="1"/>
  <c r="AG2" i="14"/>
  <c r="AG4" i="17"/>
  <c r="AG80" i="36"/>
  <c r="AG95" i="36" s="1"/>
  <c r="AG6" i="17"/>
  <c r="AG82" i="36"/>
  <c r="AG97" i="36" s="1"/>
  <c r="AG8" i="17"/>
  <c r="AG84" i="36"/>
  <c r="AG99" i="36" s="1"/>
  <c r="AG9" i="17"/>
  <c r="AG85" i="36"/>
  <c r="AG100" i="36" s="1"/>
  <c r="AG78" i="36"/>
  <c r="AG93" i="36" s="1"/>
  <c r="AG23" i="47" s="1"/>
  <c r="AG24" i="47" s="1"/>
  <c r="AG3" i="17"/>
  <c r="AG79" i="36"/>
  <c r="AG94" i="36" s="1"/>
  <c r="AG7" i="17"/>
  <c r="AG83" i="36"/>
  <c r="AG98" i="36" s="1"/>
  <c r="AG11" i="17"/>
  <c r="AG87" i="36"/>
  <c r="AG102" i="36" s="1"/>
  <c r="AG5" i="17"/>
  <c r="AG81" i="36"/>
  <c r="AG96" i="36" s="1"/>
  <c r="AG10" i="17"/>
  <c r="AG86" i="36"/>
  <c r="AG101" i="3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tc={EF685AD5-2DD8-409A-A6D5-F5513BD15A3F}</author>
  </authors>
  <commentList>
    <comment ref="F22" authorId="0" shapeId="0" xr:uid="{EF685AD5-2DD8-409A-A6D5-F5513BD15A3F}">
      <text>
        <t>[스레드 댓글]
사용 중인 버전의 Excel에서 이 스레드 댓글을 읽을 수 있지만 파일을 이후 버전의 Excel에서 열면 편집 내용이 모두 제거됩니다. 자세한 정보: https://go.microsoft.com/fwlink/?linkid=870924.
댓글:
    BCEU의 2023년도 값이 전망치라서, 이중 포함될것으로 예상되는 값은 2022년도로 부터 계산에서 넣음.</t>
      </text>
    </comment>
  </commentList>
</comments>
</file>

<file path=xl/sharedStrings.xml><?xml version="1.0" encoding="utf-8"?>
<sst xmlns="http://schemas.openxmlformats.org/spreadsheetml/2006/main" count="1025" uniqueCount="212">
  <si>
    <t>Sources:</t>
  </si>
  <si>
    <t>Year</t>
  </si>
  <si>
    <t>electricity (BTU)</t>
  </si>
  <si>
    <t>coal (BTU)</t>
  </si>
  <si>
    <t>natural gas (BTU)</t>
  </si>
  <si>
    <t>petroleum diesel (BTU)</t>
  </si>
  <si>
    <t>BCEU BAU Components Energy Use</t>
  </si>
  <si>
    <t>heat (BTU)</t>
  </si>
  <si>
    <t>Notes:</t>
  </si>
  <si>
    <t>Urban</t>
  </si>
  <si>
    <t>Rural</t>
  </si>
  <si>
    <t>biomass (BTU)</t>
  </si>
  <si>
    <t>Urban Residential Split</t>
  </si>
  <si>
    <t>kerosene (BTU)</t>
  </si>
  <si>
    <t>heavy or residual fuel oil (BTU)</t>
  </si>
  <si>
    <t>LPG propane or butane (BTU)</t>
  </si>
  <si>
    <t>hydrogen (BTU)</t>
  </si>
  <si>
    <t>Quadrillion</t>
  </si>
  <si>
    <t>Commercial &amp; Public</t>
    <phoneticPr fontId="11" type="noConversion"/>
  </si>
  <si>
    <t>KOSIS</t>
    <phoneticPr fontId="11" type="noConversion"/>
  </si>
  <si>
    <t>Commercial and Public sector energy consumption</t>
    <phoneticPr fontId="11" type="noConversion"/>
  </si>
  <si>
    <t>https://kosis.kr/statHtml/statHtml.do?orgId=115&amp;tblId=DT_F_C845&amp;vw_cd=MT_ZTITLE&amp;list_id=11505_001&amp;seqNo=&amp;lang_mode=ko&amp;language=kor&amp;obj_var_id=&amp;itm_id=&amp;conn_path=MT_ZTITLE</t>
    <phoneticPr fontId="11" type="noConversion"/>
  </si>
  <si>
    <t>Residential</t>
    <phoneticPr fontId="11" type="noConversion"/>
  </si>
  <si>
    <t>Assumption:</t>
    <phoneticPr fontId="11" type="noConversion"/>
  </si>
  <si>
    <t>Classification ETC. in the Korean Data set is classified as biomass as it is mainly used for heating</t>
    <phoneticPr fontId="11" type="noConversion"/>
  </si>
  <si>
    <t>Gasoline is classified as petroleum diesel</t>
    <phoneticPr fontId="11" type="noConversion"/>
  </si>
  <si>
    <t>Applications include cooking</t>
    <phoneticPr fontId="11" type="noConversion"/>
  </si>
  <si>
    <t>Heating inlucdes hot-water. Since floor heating using hot water is the main heating method in South Korea, it is not possible to distinguish hot water consumption from heating.</t>
    <phoneticPr fontId="11" type="noConversion"/>
  </si>
  <si>
    <t>For residential, we assumed the energy consumption pattern in 2018 was not changed until 2019</t>
    <phoneticPr fontId="11" type="noConversion"/>
  </si>
  <si>
    <t>1kWh to BTU</t>
    <phoneticPr fontId="11" type="noConversion"/>
  </si>
  <si>
    <t>City Gas Nm3 to MJ</t>
    <phoneticPr fontId="11" type="noConversion"/>
  </si>
  <si>
    <t>MJ to BTU</t>
    <phoneticPr fontId="11" type="noConversion"/>
  </si>
  <si>
    <t>Coal kg to kcal</t>
    <phoneticPr fontId="11" type="noConversion"/>
  </si>
  <si>
    <t>kcal to BTU</t>
    <phoneticPr fontId="11" type="noConversion"/>
  </si>
  <si>
    <t>LPG kg to MJ</t>
    <phoneticPr fontId="11" type="noConversion"/>
  </si>
  <si>
    <t>Urban population rate</t>
    <phoneticPr fontId="11" type="noConversion"/>
  </si>
  <si>
    <t>https://www.index.go.kr/potal/main/EachDtlPageDetail.do?idx_cd=1200</t>
  </si>
  <si>
    <t>heating</t>
  </si>
  <si>
    <t>cooling &amp; ventilation</t>
  </si>
  <si>
    <t>envelope</t>
  </si>
  <si>
    <t>lighting</t>
  </si>
  <si>
    <t>appliances</t>
  </si>
  <si>
    <t>other</t>
  </si>
  <si>
    <t>Commercial</t>
    <phoneticPr fontId="11" type="noConversion"/>
  </si>
  <si>
    <t>Urban residential</t>
    <phoneticPr fontId="11" type="noConversion"/>
  </si>
  <si>
    <t>Rural Residential</t>
    <phoneticPr fontId="11" type="noConversion"/>
  </si>
  <si>
    <t>appliances</t>
    <phoneticPr fontId="11" type="noConversion"/>
  </si>
  <si>
    <t>Rural residential</t>
    <phoneticPr fontId="11" type="noConversion"/>
  </si>
  <si>
    <t>KOSIS Forecast Page 112</t>
    <phoneticPr fontId="11" type="noConversion"/>
  </si>
  <si>
    <t>* following residential changes</t>
    <phoneticPr fontId="11" type="noConversion"/>
  </si>
  <si>
    <t>Total (BTU)</t>
    <phoneticPr fontId="11" type="noConversion"/>
  </si>
  <si>
    <t>Total (mTOE)</t>
    <phoneticPr fontId="11" type="noConversion"/>
  </si>
  <si>
    <t>* this tab is for validating the outcome by cross checking</t>
    <phoneticPr fontId="11" type="noConversion"/>
  </si>
  <si>
    <t>1 TOE to mmBTU</t>
    <phoneticPr fontId="11" type="noConversion"/>
  </si>
  <si>
    <t>분류별(1)</t>
  </si>
  <si>
    <t>분류별(2)</t>
  </si>
  <si>
    <t>2019. 01</t>
  </si>
  <si>
    <t>2019. 02</t>
  </si>
  <si>
    <t>2019. 03</t>
  </si>
  <si>
    <t>2019. 04</t>
  </si>
  <si>
    <t>2019. 05</t>
  </si>
  <si>
    <t>2019. 06</t>
  </si>
  <si>
    <t>2019. 07</t>
  </si>
  <si>
    <t>2019. 08</t>
  </si>
  <si>
    <t>2019. 09</t>
  </si>
  <si>
    <t>2019. 10</t>
  </si>
  <si>
    <t>2019. 11</t>
  </si>
  <si>
    <t>2019. 12</t>
  </si>
  <si>
    <t>2020. 01</t>
  </si>
  <si>
    <t>2020. 02</t>
  </si>
  <si>
    <t>2020. 03</t>
  </si>
  <si>
    <t>2020. 04</t>
  </si>
  <si>
    <t>2020. 05</t>
  </si>
  <si>
    <t>2020. 06</t>
  </si>
  <si>
    <t>2020. 07</t>
  </si>
  <si>
    <t>2020. 08</t>
  </si>
  <si>
    <t>2020. 09</t>
  </si>
  <si>
    <t>2020. 10</t>
  </si>
  <si>
    <t>2020. 11</t>
  </si>
  <si>
    <t>2020. 12</t>
  </si>
  <si>
    <t>합계</t>
  </si>
  <si>
    <t>가정</t>
  </si>
  <si>
    <t/>
  </si>
  <si>
    <t>상업</t>
  </si>
  <si>
    <t>석탄</t>
  </si>
  <si>
    <t>석유</t>
  </si>
  <si>
    <t>도시가스</t>
  </si>
  <si>
    <t>전력</t>
  </si>
  <si>
    <t>열</t>
  </si>
  <si>
    <t>신재생 및 기타</t>
  </si>
  <si>
    <t xml:space="preserve"> kTOE</t>
    <phoneticPr fontId="11" type="noConversion"/>
  </si>
  <si>
    <t>BTU</t>
    <phoneticPr fontId="11" type="noConversion"/>
  </si>
  <si>
    <t>kTOE</t>
    <phoneticPr fontId="11" type="noConversion"/>
  </si>
  <si>
    <t>2021. 01</t>
  </si>
  <si>
    <t>2021. 02</t>
  </si>
  <si>
    <t>2021. 03</t>
  </si>
  <si>
    <t>2021. 04</t>
  </si>
  <si>
    <t>2021. 05</t>
  </si>
  <si>
    <t>2021. 06</t>
  </si>
  <si>
    <t>2021. 07</t>
  </si>
  <si>
    <t>2021. 08</t>
  </si>
  <si>
    <t>2021. 09</t>
  </si>
  <si>
    <t>2021. 10</t>
  </si>
  <si>
    <t>2021. 11</t>
    <phoneticPr fontId="11" type="noConversion"/>
  </si>
  <si>
    <t>2021. 12</t>
    <phoneticPr fontId="11" type="noConversion"/>
  </si>
  <si>
    <t>2020 (BTU)</t>
  </si>
  <si>
    <t>electricity</t>
  </si>
  <si>
    <t xml:space="preserve">coal </t>
  </si>
  <si>
    <t>natural gas</t>
  </si>
  <si>
    <t xml:space="preserve">petroleum diesel </t>
  </si>
  <si>
    <t xml:space="preserve">heat </t>
  </si>
  <si>
    <t>biomass</t>
  </si>
  <si>
    <t>kerosene</t>
  </si>
  <si>
    <t xml:space="preserve">heavy or residual fuel oil </t>
  </si>
  <si>
    <t>LPG propane or butane</t>
  </si>
  <si>
    <t>hydrogen</t>
  </si>
  <si>
    <t>coal</t>
  </si>
  <si>
    <t>petroleum diesel</t>
  </si>
  <si>
    <t>heat</t>
  </si>
  <si>
    <t>etc</t>
  </si>
  <si>
    <t>heavy or residual fuel oil</t>
  </si>
  <si>
    <t>2023 LONG-TERM ENERGY OUTLOOK</t>
    <phoneticPr fontId="11" type="noConversion"/>
  </si>
  <si>
    <t>https://www.kesis.net/sub/sub_0005_01.jsp?M_MENU_ID=M_M_002&amp;S_MENU_ID=S_M_017&amp;CATEGORY_ID=C_012&amp;SEQ=46</t>
    <phoneticPr fontId="11" type="noConversion"/>
  </si>
  <si>
    <t>석탄 공급 및 수요 - 연탄용</t>
    <phoneticPr fontId="11" type="noConversion"/>
  </si>
  <si>
    <r>
      <t xml:space="preserve">Residential demand changes (annual % growth between </t>
    </r>
    <r>
      <rPr>
        <sz val="11"/>
        <color rgb="FFFF0000"/>
        <rFont val="맑은 고딕"/>
        <family val="3"/>
        <charset val="129"/>
        <scheme val="minor"/>
      </rPr>
      <t>2022 and 2050</t>
    </r>
    <r>
      <rPr>
        <sz val="11"/>
        <color theme="1"/>
        <rFont val="맑은 고딕"/>
        <family val="2"/>
        <scheme val="minor"/>
      </rPr>
      <t>)</t>
    </r>
    <phoneticPr fontId="11" type="noConversion"/>
  </si>
  <si>
    <r>
      <t xml:space="preserve">KOSIS Forecast Page </t>
    </r>
    <r>
      <rPr>
        <sz val="11"/>
        <color rgb="FFFF0000"/>
        <rFont val="맑은 고딕"/>
        <family val="3"/>
        <charset val="129"/>
        <scheme val="minor"/>
      </rPr>
      <t>95</t>
    </r>
    <phoneticPr fontId="11" type="noConversion"/>
  </si>
  <si>
    <r>
      <t xml:space="preserve">Residential demand changes (% between </t>
    </r>
    <r>
      <rPr>
        <sz val="11"/>
        <color rgb="FFFF0000"/>
        <rFont val="맑은 고딕"/>
        <family val="3"/>
        <charset val="129"/>
        <scheme val="minor"/>
      </rPr>
      <t>2022 and 2050</t>
    </r>
    <r>
      <rPr>
        <sz val="11"/>
        <color theme="1"/>
        <rFont val="맑은 고딕"/>
        <family val="2"/>
        <scheme val="minor"/>
      </rPr>
      <t>)</t>
    </r>
    <phoneticPr fontId="11" type="noConversion"/>
  </si>
  <si>
    <r>
      <t xml:space="preserve">Commercial demand changes (% between </t>
    </r>
    <r>
      <rPr>
        <sz val="11"/>
        <color rgb="FFFF0000"/>
        <rFont val="맑은 고딕"/>
        <family val="3"/>
        <charset val="129"/>
        <scheme val="minor"/>
      </rPr>
      <t>2022 and 2050</t>
    </r>
    <r>
      <rPr>
        <sz val="11"/>
        <color theme="1"/>
        <rFont val="맑은 고딕"/>
        <family val="2"/>
        <scheme val="minor"/>
      </rPr>
      <t>)</t>
    </r>
    <phoneticPr fontId="11" type="noConversion"/>
  </si>
  <si>
    <t>최종에너지 부문별 소비: 가정, 상업</t>
    <phoneticPr fontId="11" type="noConversion"/>
  </si>
  <si>
    <t>출처: KOSIS/ 에너지/구)에너지밸런스 기준/에너지 소비</t>
    <phoneticPr fontId="11" type="noConversion"/>
  </si>
  <si>
    <t>최종에너지 부문별 소비: 공공</t>
    <phoneticPr fontId="11" type="noConversion"/>
  </si>
  <si>
    <t>최종에너지: 상업+공공</t>
    <phoneticPr fontId="11" type="noConversion"/>
  </si>
  <si>
    <t>total</t>
    <phoneticPr fontId="11" type="noConversion"/>
  </si>
  <si>
    <t>coal (KWh)</t>
  </si>
  <si>
    <t>natural gas (KWh)</t>
  </si>
  <si>
    <t>petroleum diesel (KWh)</t>
  </si>
  <si>
    <t>heat (KWh)</t>
  </si>
  <si>
    <t>biomass (KWh)</t>
  </si>
  <si>
    <t>kerosene (KWh)</t>
  </si>
  <si>
    <t>heavy or residual fuel oil (KWh)</t>
  </si>
  <si>
    <t>LPG propane or butane (KWh)</t>
  </si>
  <si>
    <t>hydrogen (KWh)</t>
  </si>
  <si>
    <t>electricity (KWh)</t>
  </si>
  <si>
    <t>Start year data is from SYCEU</t>
    <phoneticPr fontId="11" type="noConversion"/>
  </si>
  <si>
    <t>[검산]</t>
    <phoneticPr fontId="11" type="noConversion"/>
  </si>
  <si>
    <t>③ End-Use Energy Allocation — Data Center Electricity Demand by Category (for BCEU)</t>
  </si>
  <si>
    <t>• Based on Korea Energy Economics Institute (KEEI) report: Cooling 18.5%, Server / Computing 61.0%, Other 20.5%</t>
  </si>
  <si>
    <t>1 TWh to BTU</t>
  </si>
  <si>
    <t>Data Center Load to Deduct from BCEU Commercial Electricity — Baseline-Embedded Portion</t>
  </si>
  <si>
    <t>Created 2026-08-31 · This sheet supplies the deduction amounts for BCEU-commercial-cooling / -other · See [Rationale] below for basis</t>
  </si>
  <si>
    <t>[Parameters]</t>
  </si>
  <si>
    <t>2023 Data Center Electricity Consumption (TWh)</t>
  </si>
  <si>
    <t>2023 Data Center Supply Capacity (MW)</t>
  </si>
  <si>
    <t>2022 Data Center Supply Capacity (MW)</t>
  </si>
  <si>
    <t>Load Factor (back-calculated from 2023)</t>
  </si>
  <si>
    <t>2022 Data Center Electricity Consumption (TWh)</t>
  </si>
  <si>
    <t>Back-extrapolation Slope (TWh/yr)</t>
  </si>
  <si>
    <t>Commercial Electricity Annual Growth Rate</t>
  </si>
  <si>
    <t>Cooling Share</t>
  </si>
  <si>
    <t>Computing Share</t>
  </si>
  <si>
    <t>Other User Share</t>
  </si>
  <si>
    <t>TWh → BTU (conversion factor)</t>
  </si>
  <si>
    <t>[Annual Deduction Amounts]</t>
  </si>
  <si>
    <t>Embedded DC Load (TWh)</t>
  </si>
  <si>
    <t>Total Commercial Electricity (TWh) — reference</t>
  </si>
  <si>
    <t>Share of Commercial Electricity — reference</t>
  </si>
  <si>
    <t>Cooling (BTU)  → Deduct from BCEU-commercial-cooling</t>
  </si>
  <si>
    <t>Computing (BTU)  → Deduct from BCEU-commercial-other</t>
  </si>
  <si>
    <t>Other user (BTU)  → Deduct from BCEU-commercial-other</t>
  </si>
  <si>
    <t>Total Deduction (BTU)</t>
  </si>
  <si>
    <t>[Check] Commercial Cooling Electricity After Deduction (TWh)</t>
  </si>
  <si>
    <t>[Check] Commercial Other Electricity After Deduction (TWh)</t>
  </si>
  <si>
    <t>[Check] Any Negative Values Across Full Range</t>
  </si>
  <si>
    <t>[Rationale]</t>
  </si>
  <si>
    <t>1. Why Deduct Only the 'Embedded Portion', Not the 'Full BDCL'</t>
  </si>
  <si>
    <t xml:space="preserve">   EPS v4.0.5: BAU Total Electricity Demand = Transport + Buildings (BCEU) + Industry (BIFUbC)</t>
  </si>
  <si>
    <t xml:space="preserve">   + District Heating + Hydrogen + BDCL. Since BDCL is added in full separately, what must be subtracted from BCEU is only</t>
  </si>
  <si>
    <t xml:space="preserve">   the 'data center portion already embedded in the BCEU baseline.'</t>
  </si>
  <si>
    <t xml:space="preserve">   The BDCL workbook (About!A34) states 'This data center load is removed from bldgs/BCEU,' intending</t>
  </si>
  <si>
    <t xml:space="preserve">   a full deduction — but the baseline does not contain that much to begin with</t>
  </si>
  <si>
    <t xml:space="preserve">   (2040 embedded amount 5.13 TWh vs. BDCL-mid 34.1 TWh). A full deduction would turn negative starting in 2039.</t>
  </si>
  <si>
    <t>2. Embedded-Amount Formula = B9 × (1+B11)^(Year−2022)</t>
  </si>
  <si>
    <t xml:space="preserve">   All 6 electricity end-uses in Commercial_calculation grow at the same rate, Forecast!$B23 = 0.008,</t>
  </si>
  <si>
    <t xml:space="preserve">   meaning there is no pathway within the baseline for data centers alone to grow faster.</t>
  </si>
  <si>
    <t xml:space="preserve">   As a result, the share of commercial electricity is fixed at 2.51%.</t>
  </si>
  <si>
    <t xml:space="preserve">   Check: Total commercial electricity 2022 = 176.67 × 1.008^18 = 203.92 = this sheet's 2040 value (matches).</t>
  </si>
  <si>
    <t>3. Nature of 2019–2022 Values (★ 2020 and 2021 are NOT actuals)</t>
  </si>
  <si>
    <t xml:space="preserve">   2023 = 5.0 TWh — Actual (11th Basic Plan for Electricity Supply and Demand)</t>
  </si>
  <si>
    <t xml:space="preserve">   2022 = 4.4410876133 — Estimated: 2023 load factor of 0.2874 applied to 2022 supply capacity of 1,764 MW</t>
  </si>
  <si>
    <t xml:space="preserve">   2021 = 3.8821752266 — Back-extrapolated: line through 2022 &amp; 2023, slope 0.5589123867/yr</t>
  </si>
  <si>
    <t xml:space="preserve">   2020 = 3.3232628399 — Back-extrapolated: same line</t>
  </si>
  <si>
    <t xml:space="preserve">   2019 = 2.7643504532 — Not present in BDCL; extended one more year with the same slope (added in this sheet)</t>
  </si>
  <si>
    <t xml:space="preserve">   Raw data center count/capacity data for 2020–2021 does not exist, so BDCL generated these via FORECAST.LINEAR;</t>
  </si>
  <si>
    <t xml:space="preserve">   this sheet reproduces those values exactly (matches BDCL Scenarios!B13:C13 to 10 decimal places).</t>
  </si>
  <si>
    <t>4. End-Use Allocation (Cooling 18.5% / Computing 61.0% / Other 20.5%)</t>
  </si>
  <si>
    <t>5. Assumptions and Risks</t>
  </si>
  <si>
    <t xml:space="preserve">   Assumption ① The +0.8%/yr commercial electricity forecast in KOSIS p.112 does not reflect AI data center growth.</t>
  </si>
  <si>
    <t xml:space="preserve">        Basis: all 6 end-uses share a single +0.8%. If wrong, the embedded amount is underestimated → partial double-counting of DC load.</t>
  </si>
  <si>
    <t xml:space="preserve">        Magnitude of impact: about 2.51% of 2040 commercial electricity (5.13 TWh).</t>
  </si>
  <si>
    <t xml:space="preserve">   Assumption ② The load factor of 0.2874 (= consumption ÷ (capacity × 8,760)) is assumed the same in 2022.</t>
  </si>
  <si>
    <t xml:space="preserve">        The 2022 value of 4.441 TWh depends entirely on this. While the count grew 147→150 (+2%),</t>
  </si>
  <si>
    <t xml:space="preserve">        capacity grew 1,764→1,986 MW (+12.6%), indicating a trend toward larger facilities → the load factor may vary by year.</t>
  </si>
  <si>
    <t>11th Basic Plan for Electricity Supply and Demand — "2023 data center electricity demand actual: 5.0 TWh (consumption basis), 0.6 GW (peak demand basis)" (BDCL 'Data Center Electricity Demand_lowmid'!A9)</t>
  </si>
  <si>
    <t>KEPCO Data Center Electricity Supply Status — 2023: 150 facilities · 1,986 MW (Public Data Portal dataset 15127315)</t>
  </si>
  <si>
    <t>Ministry of Trade, Industry and Energy press release — as of September 2022: 147 facilities · 1,764 MW</t>
  </si>
  <si>
    <t>= Annual electricity consumption ÷ (supply capacity × 8,760h). ★ Not a peak-demand utilization rate — a different concept from the 11th Plan's 2023 peak demand of 0.6 GW</t>
  </si>
  <si>
    <t>Estimate (not an actual figure). Identical to BDCL 'Data Center Electricity Demand_history'!B12 = 4.4410876133</t>
  </si>
  <si>
    <t>Slope of the line through the 2022 and 2023 points. Same method BDCL used to generate 2020/2021 via FORECAST.LINEAR = 0.5589123867</t>
  </si>
  <si>
    <t>KOSIS Forecast p.112, commercial electricity. All 6 electricity end-uses in Commercial_calculation (rows 4·16·28·40·52·64) reference this single value</t>
  </si>
  <si>
    <t xml:space="preserve">   Hardcoded in B12:B14 (2026-08-31). Original source: 'Scenarios_from BDEU'!B22:B24 — KEEI report (BDCL Scenarios!A19).</t>
  </si>
  <si>
    <t>KEEI report ('BDCL' Scenarios!B22:B24)</t>
    <phoneticPr fontId="11" type="noConversion"/>
  </si>
  <si>
    <t>This data does not include the AIDC energy demand outlook for mega-projects announced in 2026. Therefore, instead of subtracting the power demand estimated under BDCL's mid (BAU) scenario, we estimated and deducted data centers' share of power consumption based on current trends and outlook.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</si>
</sst>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76" formatCode="_(* #,##0.00_);_(* \(#,##0.00\);_(* &quot;-&quot;??_);_(@_)"/>
    <numFmt numFmtId="177" formatCode="0.0%"/>
    <numFmt numFmtId="178" formatCode="0.000E+00"/>
    <numFmt numFmtId="179" formatCode="0_);[Red]\(0\)"/>
    <numFmt numFmtId="180" formatCode="0.0.E+00"/>
    <numFmt numFmtId="181" formatCode="0.0_);[Red]\(0.0\)"/>
    <numFmt numFmtId="182" formatCode="0.000"/>
  </numFmts>
  <fonts count="26">
    <font>
      <sz val="11"/>
      <color theme="1"/>
      <name val="맑은 고딕"/>
      <family val="2"/>
      <scheme val="minor"/>
    </font>
    <font>
      <sz val="11"/>
      <color theme="1"/>
      <name val="맑은 고딕"/>
      <family val="2"/>
      <charset val="129"/>
      <scheme val="minor"/>
    </font>
    <font>
      <b/>
      <sz val="11"/>
      <color theme="1"/>
      <name val="맑은 고딕"/>
      <family val="2"/>
      <scheme val="minor"/>
    </font>
    <font>
      <sz val="9"/>
      <color theme="1"/>
      <name val="맑은 고딕"/>
      <family val="2"/>
      <scheme val="minor"/>
    </font>
    <font>
      <b/>
      <sz val="9"/>
      <color theme="1"/>
      <name val="맑은 고딕"/>
      <family val="2"/>
      <scheme val="minor"/>
    </font>
    <font>
      <b/>
      <sz val="12"/>
      <color theme="4"/>
      <name val="맑은 고딕"/>
      <family val="2"/>
      <scheme val="minor"/>
    </font>
    <font>
      <u/>
      <sz val="11"/>
      <color theme="10"/>
      <name val="맑은 고딕"/>
      <family val="2"/>
      <scheme val="minor"/>
    </font>
    <font>
      <b/>
      <sz val="12"/>
      <color indexed="30"/>
      <name val="Calibri"/>
      <family val="2"/>
    </font>
    <font>
      <sz val="9"/>
      <color indexed="8"/>
      <name val="Calibri"/>
      <family val="2"/>
    </font>
    <font>
      <b/>
      <sz val="9"/>
      <color indexed="8"/>
      <name val="Calibri"/>
      <family val="2"/>
    </font>
    <font>
      <sz val="11"/>
      <color theme="1"/>
      <name val="맑은 고딕"/>
      <family val="2"/>
      <scheme val="minor"/>
    </font>
    <font>
      <sz val="8"/>
      <name val="맑은 고딕"/>
      <family val="3"/>
      <charset val="129"/>
      <scheme val="minor"/>
    </font>
    <font>
      <b/>
      <sz val="11"/>
      <color theme="1"/>
      <name val="맑은 고딕"/>
      <family val="3"/>
      <charset val="129"/>
      <scheme val="minor"/>
    </font>
    <font>
      <sz val="11"/>
      <color theme="1"/>
      <name val="맑은 고딕"/>
      <family val="3"/>
      <charset val="129"/>
      <scheme val="minor"/>
    </font>
    <font>
      <sz val="11"/>
      <color indexed="8"/>
      <name val="맑은 고딕"/>
      <family val="2"/>
      <scheme val="minor"/>
    </font>
    <font>
      <sz val="11"/>
      <color rgb="FF202124"/>
      <name val="맑은 고딕"/>
      <family val="3"/>
      <charset val="129"/>
      <scheme val="minor"/>
    </font>
    <font>
      <sz val="11"/>
      <color rgb="FF4D5156"/>
      <name val="맑은 고딕"/>
      <family val="3"/>
      <charset val="129"/>
      <scheme val="minor"/>
    </font>
    <font>
      <sz val="11"/>
      <color rgb="FFFF0000"/>
      <name val="맑은 고딕"/>
      <family val="3"/>
      <charset val="129"/>
      <scheme val="minor"/>
    </font>
    <font>
      <u/>
      <sz val="11"/>
      <color rgb="FFFF0000"/>
      <name val="맑은 고딕"/>
      <family val="3"/>
      <charset val="129"/>
      <scheme val="minor"/>
    </font>
    <font>
      <sz val="11"/>
      <color rgb="FFFF0000"/>
      <name val="맑은 고딕"/>
      <family val="2"/>
      <scheme val="minor"/>
    </font>
    <font>
      <i/>
      <sz val="10"/>
      <color rgb="FF404040"/>
      <name val="맑은 고딕"/>
      <family val="2"/>
      <charset val="129"/>
      <scheme val="minor"/>
    </font>
    <font>
      <sz val="11"/>
      <name val="맑은 고딕"/>
      <family val="3"/>
      <charset val="129"/>
      <scheme val="minor"/>
    </font>
    <font>
      <sz val="11"/>
      <color rgb="FFFFFFFF"/>
      <name val="맑은 고딕"/>
      <family val="2"/>
      <scheme val="minor"/>
    </font>
    <font>
      <b/>
      <sz val="13"/>
      <color rgb="FFFFFFFF"/>
      <name val="맑은 고딕"/>
      <family val="3"/>
      <charset val="129"/>
      <scheme val="minor"/>
    </font>
    <font>
      <sz val="9"/>
      <color theme="0" tint="-0.499984740745262"/>
      <name val="맑은 고딕"/>
      <family val="3"/>
      <charset val="129"/>
      <scheme val="minor"/>
    </font>
    <font>
      <sz val="11"/>
      <color rgb="FF0000FF"/>
      <name val="맑은 고딕"/>
      <family val="2"/>
      <scheme val="minor"/>
    </font>
  </fonts>
  <fills count="11">
    <fill>
      <patternFill patternType="none"/>
    </fill>
    <fill>
      <patternFill patternType="gray125"/>
    </fill>
    <fill>
      <patternFill patternType="solid">
        <fgColor theme="0" tint="-0.249977111117893"/>
        <bgColor indexed="64"/>
      </patternFill>
    </fill>
    <fill>
      <patternFill patternType="solid">
        <fgColor rgb="FFBCCCE0"/>
      </patternFill>
    </fill>
    <fill>
      <patternFill patternType="solid">
        <fgColor rgb="FFF0EBD7"/>
      </patternFill>
    </fill>
    <fill>
      <patternFill patternType="solid">
        <fgColor rgb="FFE2ECF8"/>
      </patternFill>
    </fill>
    <fill>
      <patternFill patternType="solid">
        <fgColor theme="9" tint="0.79998168889431442"/>
        <bgColor indexed="64"/>
      </patternFill>
    </fill>
    <fill>
      <patternFill patternType="solid">
        <fgColor rgb="FFFFFFFF"/>
        <bgColor indexed="64"/>
      </patternFill>
    </fill>
    <fill>
      <patternFill patternType="solid">
        <fgColor rgb="FFFFFF00"/>
        <bgColor indexed="64"/>
      </patternFill>
    </fill>
    <fill>
      <patternFill patternType="solid">
        <fgColor rgb="FFD9E1F2"/>
        <bgColor indexed="64"/>
      </patternFill>
    </fill>
    <fill>
      <patternFill patternType="solid">
        <fgColor rgb="FF1F4E78"/>
        <bgColor indexed="64"/>
      </patternFill>
    </fill>
  </fills>
  <borders count="14">
    <border>
      <left/>
      <right/>
      <top/>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style="thick">
        <color theme="0"/>
      </left>
      <right style="thick">
        <color theme="0"/>
      </right>
      <top/>
      <bottom style="thin">
        <color theme="0" tint="-0.2499465926084170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s>
  <cellStyleXfs count="23">
    <xf numFmtId="0" fontId="0" fillId="0" borderId="0"/>
    <xf numFmtId="0" fontId="3" fillId="0" borderId="0" applyNumberFormat="0" applyFill="0" applyBorder="0" applyAlignment="0" applyProtection="0"/>
    <xf numFmtId="0" fontId="4" fillId="0" borderId="1" applyNumberFormat="0" applyProtection="0">
      <alignment wrapText="1"/>
    </xf>
    <xf numFmtId="0" fontId="5" fillId="0" borderId="0" applyNumberFormat="0" applyProtection="0">
      <alignment horizontal="left"/>
    </xf>
    <xf numFmtId="0" fontId="3" fillId="0" borderId="2" applyNumberFormat="0" applyFont="0" applyProtection="0">
      <alignment wrapText="1"/>
    </xf>
    <xf numFmtId="0" fontId="4" fillId="0" borderId="3" applyNumberFormat="0" applyProtection="0">
      <alignment wrapText="1"/>
    </xf>
    <xf numFmtId="0" fontId="3" fillId="0" borderId="4" applyNumberFormat="0" applyProtection="0">
      <alignment vertical="top" wrapText="1"/>
    </xf>
    <xf numFmtId="0" fontId="6" fillId="0" borderId="0" applyNumberFormat="0" applyFill="0" applyBorder="0" applyAlignment="0" applyProtection="0"/>
    <xf numFmtId="0" fontId="8" fillId="0" borderId="0"/>
    <xf numFmtId="0" fontId="8" fillId="0" borderId="8" applyNumberFormat="0" applyProtection="0">
      <alignment wrapText="1"/>
    </xf>
    <xf numFmtId="0" fontId="9" fillId="0" borderId="6" applyNumberFormat="0" applyProtection="0">
      <alignment wrapText="1"/>
    </xf>
    <xf numFmtId="0" fontId="8" fillId="0" borderId="7" applyNumberFormat="0" applyFont="0" applyProtection="0">
      <alignment wrapText="1"/>
    </xf>
    <xf numFmtId="0" fontId="9" fillId="0" borderId="5" applyNumberFormat="0" applyProtection="0">
      <alignment wrapText="1"/>
    </xf>
    <xf numFmtId="0" fontId="8" fillId="0" borderId="0" applyNumberFormat="0" applyFill="0" applyBorder="0" applyAlignment="0" applyProtection="0"/>
    <xf numFmtId="0" fontId="7" fillId="0" borderId="0" applyNumberFormat="0" applyProtection="0">
      <alignment horizontal="left"/>
    </xf>
    <xf numFmtId="9" fontId="10" fillId="0" borderId="0" applyFont="0" applyFill="0" applyBorder="0" applyAlignment="0" applyProtection="0"/>
    <xf numFmtId="0" fontId="4" fillId="0" borderId="9" applyNumberFormat="0" applyProtection="0">
      <alignment horizontal="left" wrapText="1"/>
    </xf>
    <xf numFmtId="176" fontId="10" fillId="0" borderId="0" applyFont="0" applyFill="0" applyBorder="0" applyAlignment="0" applyProtection="0"/>
    <xf numFmtId="0" fontId="14" fillId="0" borderId="0">
      <alignment vertical="center"/>
    </xf>
    <xf numFmtId="41" fontId="10" fillId="0" borderId="0" applyFont="0" applyFill="0" applyBorder="0" applyAlignment="0" applyProtection="0">
      <alignment vertical="center"/>
    </xf>
    <xf numFmtId="0" fontId="1" fillId="0" borderId="0">
      <alignment vertical="center"/>
    </xf>
    <xf numFmtId="0" fontId="10" fillId="0" borderId="0"/>
    <xf numFmtId="41" fontId="1" fillId="0" borderId="0" applyFont="0" applyFill="0" applyBorder="0" applyAlignment="0" applyProtection="0">
      <alignment vertical="center"/>
    </xf>
  </cellStyleXfs>
  <cellXfs count="63">
    <xf numFmtId="0" fontId="0" fillId="0" borderId="0" xfId="0"/>
    <xf numFmtId="0" fontId="2" fillId="0" borderId="0" xfId="0" applyFont="1"/>
    <xf numFmtId="11" fontId="0" fillId="0" borderId="0" xfId="0" applyNumberFormat="1"/>
    <xf numFmtId="178" fontId="0" fillId="0" borderId="0" xfId="0" applyNumberFormat="1"/>
    <xf numFmtId="177" fontId="0" fillId="0" borderId="0" xfId="15" applyNumberFormat="1" applyFont="1"/>
    <xf numFmtId="4" fontId="0" fillId="0" borderId="0" xfId="0" applyNumberFormat="1"/>
    <xf numFmtId="11" fontId="0" fillId="0" borderId="0" xfId="17" applyNumberFormat="1" applyFont="1"/>
    <xf numFmtId="9" fontId="0" fillId="0" borderId="0" xfId="15" applyFont="1"/>
    <xf numFmtId="0" fontId="12" fillId="0" borderId="0" xfId="0" applyFont="1" applyAlignment="1">
      <alignment horizontal="left"/>
    </xf>
    <xf numFmtId="0" fontId="12" fillId="2" borderId="0" xfId="0" applyFont="1" applyFill="1" applyAlignment="1">
      <alignment horizontal="left"/>
    </xf>
    <xf numFmtId="0" fontId="13" fillId="0" borderId="0" xfId="0" applyFont="1" applyAlignment="1">
      <alignment horizontal="left"/>
    </xf>
    <xf numFmtId="0" fontId="15" fillId="0" borderId="0" xfId="0" applyFont="1" applyAlignment="1">
      <alignment horizontal="left"/>
    </xf>
    <xf numFmtId="0" fontId="16" fillId="0" borderId="0" xfId="0" applyFont="1" applyAlignment="1">
      <alignment horizontal="left"/>
    </xf>
    <xf numFmtId="10" fontId="13" fillId="0" borderId="0" xfId="0" applyNumberFormat="1" applyFont="1" applyAlignment="1">
      <alignment horizontal="left"/>
    </xf>
    <xf numFmtId="0" fontId="2" fillId="0" borderId="0" xfId="0" applyFont="1" applyAlignment="1">
      <alignment horizontal="right"/>
    </xf>
    <xf numFmtId="0" fontId="12" fillId="0" borderId="0" xfId="0" applyFont="1"/>
    <xf numFmtId="177" fontId="0" fillId="0" borderId="0" xfId="0" applyNumberFormat="1"/>
    <xf numFmtId="179" fontId="0" fillId="0" borderId="0" xfId="0" applyNumberFormat="1"/>
    <xf numFmtId="0" fontId="14" fillId="3" borderId="11" xfId="18" applyFill="1" applyBorder="1">
      <alignment vertical="center"/>
    </xf>
    <xf numFmtId="0" fontId="14" fillId="4" borderId="11" xfId="18" applyFill="1" applyBorder="1" applyAlignment="1"/>
    <xf numFmtId="3" fontId="14" fillId="0" borderId="11" xfId="18" applyNumberFormat="1" applyBorder="1" applyAlignment="1">
      <alignment horizontal="right"/>
    </xf>
    <xf numFmtId="0" fontId="14" fillId="5" borderId="13" xfId="18" applyFill="1" applyBorder="1" applyAlignment="1"/>
    <xf numFmtId="0" fontId="14" fillId="5" borderId="11" xfId="18" applyFill="1" applyBorder="1" applyAlignment="1"/>
    <xf numFmtId="0" fontId="14" fillId="5" borderId="12" xfId="18" applyFill="1" applyBorder="1" applyAlignment="1"/>
    <xf numFmtId="0" fontId="14" fillId="5" borderId="10" xfId="18" applyFill="1" applyBorder="1" applyAlignment="1"/>
    <xf numFmtId="3" fontId="14" fillId="0" borderId="0" xfId="18" applyNumberFormat="1" applyAlignment="1">
      <alignment horizontal="right"/>
    </xf>
    <xf numFmtId="3" fontId="0" fillId="0" borderId="0" xfId="0" applyNumberFormat="1"/>
    <xf numFmtId="0" fontId="14" fillId="0" borderId="0" xfId="18" applyAlignment="1">
      <alignment horizontal="right"/>
    </xf>
    <xf numFmtId="0" fontId="14" fillId="4" borderId="12" xfId="18" applyFill="1" applyBorder="1" applyAlignment="1"/>
    <xf numFmtId="1" fontId="0" fillId="0" borderId="0" xfId="0" applyNumberFormat="1"/>
    <xf numFmtId="180" fontId="0" fillId="0" borderId="0" xfId="0" applyNumberFormat="1"/>
    <xf numFmtId="0" fontId="6" fillId="0" borderId="0" xfId="7" applyAlignment="1">
      <alignment horizontal="left"/>
    </xf>
    <xf numFmtId="0" fontId="17" fillId="0" borderId="0" xfId="0" applyFont="1" applyAlignment="1">
      <alignment horizontal="left"/>
    </xf>
    <xf numFmtId="0" fontId="18" fillId="0" borderId="0" xfId="7" applyFont="1" applyAlignment="1">
      <alignment horizontal="left"/>
    </xf>
    <xf numFmtId="11" fontId="19" fillId="0" borderId="0" xfId="0" applyNumberFormat="1" applyFont="1" applyAlignment="1">
      <alignment vertical="center"/>
    </xf>
    <xf numFmtId="177" fontId="19" fillId="0" borderId="0" xfId="15" applyNumberFormat="1" applyFont="1"/>
    <xf numFmtId="41" fontId="0" fillId="0" borderId="0" xfId="19" applyFont="1" applyAlignment="1"/>
    <xf numFmtId="0" fontId="14" fillId="0" borderId="0" xfId="18" applyAlignment="1"/>
    <xf numFmtId="180" fontId="0" fillId="0" borderId="0" xfId="19" applyNumberFormat="1" applyFont="1" applyAlignment="1"/>
    <xf numFmtId="0" fontId="14" fillId="5" borderId="0" xfId="18" applyFill="1" applyAlignment="1"/>
    <xf numFmtId="0" fontId="12" fillId="6" borderId="0" xfId="0" applyFont="1" applyFill="1"/>
    <xf numFmtId="11" fontId="0" fillId="6" borderId="0" xfId="0" applyNumberFormat="1" applyFill="1"/>
    <xf numFmtId="0" fontId="0" fillId="6" borderId="0" xfId="0" applyFill="1"/>
    <xf numFmtId="181" fontId="20" fillId="7" borderId="0" xfId="0" applyNumberFormat="1" applyFont="1" applyFill="1"/>
    <xf numFmtId="0" fontId="0" fillId="8" borderId="0" xfId="0" applyFill="1"/>
    <xf numFmtId="182" fontId="0" fillId="0" borderId="0" xfId="0" applyNumberFormat="1"/>
    <xf numFmtId="10" fontId="0" fillId="0" borderId="0" xfId="0" applyNumberFormat="1"/>
    <xf numFmtId="2" fontId="0" fillId="0" borderId="0" xfId="0" applyNumberFormat="1"/>
    <xf numFmtId="178" fontId="0" fillId="8" borderId="0" xfId="0" applyNumberFormat="1" applyFill="1"/>
    <xf numFmtId="1" fontId="12" fillId="0" borderId="0" xfId="0" applyNumberFormat="1" applyFont="1"/>
    <xf numFmtId="0" fontId="0" fillId="0" borderId="0" xfId="0" quotePrefix="1"/>
    <xf numFmtId="0" fontId="21" fillId="0" borderId="0" xfId="0" applyFont="1" applyAlignment="1">
      <alignment horizontal="left"/>
    </xf>
    <xf numFmtId="0" fontId="12" fillId="9" borderId="0" xfId="0" applyFont="1" applyFill="1"/>
    <xf numFmtId="0" fontId="0" fillId="9" borderId="0" xfId="0" applyFill="1"/>
    <xf numFmtId="178" fontId="0" fillId="9" borderId="0" xfId="0" applyNumberFormat="1" applyFill="1"/>
    <xf numFmtId="0" fontId="22" fillId="10" borderId="0" xfId="0" applyFont="1" applyFill="1"/>
    <xf numFmtId="0" fontId="23" fillId="10" borderId="0" xfId="0" applyFont="1" applyFill="1"/>
    <xf numFmtId="0" fontId="24" fillId="0" borderId="0" xfId="0" applyFont="1"/>
    <xf numFmtId="0" fontId="24" fillId="0" borderId="0" xfId="0" quotePrefix="1" applyFont="1"/>
    <xf numFmtId="0" fontId="0" fillId="0" borderId="11" xfId="0" applyBorder="1"/>
    <xf numFmtId="0" fontId="25" fillId="0" borderId="11" xfId="0" applyFont="1" applyBorder="1"/>
    <xf numFmtId="0" fontId="12" fillId="0" borderId="11" xfId="0" applyFont="1" applyBorder="1"/>
    <xf numFmtId="0" fontId="12" fillId="8" borderId="11" xfId="0" applyFont="1" applyFill="1" applyBorder="1"/>
  </cellXfs>
  <cellStyles count="23">
    <cellStyle name="Body: normal cell" xfId="4" xr:uid="{00000000-0005-0000-0000-000000000000}"/>
    <cellStyle name="Body: normal cell 2" xfId="11" xr:uid="{00000000-0005-0000-0000-000001000000}"/>
    <cellStyle name="Font: Calibri, 9pt regular" xfId="1" xr:uid="{00000000-0005-0000-0000-000003000000}"/>
    <cellStyle name="Font: Calibri, 9pt regular 2" xfId="13" xr:uid="{00000000-0005-0000-0000-000004000000}"/>
    <cellStyle name="Footnotes: top row" xfId="6" xr:uid="{00000000-0005-0000-0000-000005000000}"/>
    <cellStyle name="Footnotes: top row 2" xfId="9" xr:uid="{00000000-0005-0000-0000-000006000000}"/>
    <cellStyle name="Header: bottom row" xfId="2" xr:uid="{00000000-0005-0000-0000-000007000000}"/>
    <cellStyle name="Header: bottom row 2" xfId="12" xr:uid="{00000000-0005-0000-0000-000008000000}"/>
    <cellStyle name="Header: top rows" xfId="16" xr:uid="{00000000-0005-0000-0000-000009000000}"/>
    <cellStyle name="Normal 2" xfId="8" xr:uid="{00000000-0005-0000-0000-00000C000000}"/>
    <cellStyle name="Parent row" xfId="5" xr:uid="{00000000-0005-0000-0000-00000D000000}"/>
    <cellStyle name="Parent row 2" xfId="10" xr:uid="{00000000-0005-0000-0000-00000E000000}"/>
    <cellStyle name="Table title" xfId="3" xr:uid="{00000000-0005-0000-0000-000010000000}"/>
    <cellStyle name="Table title 2" xfId="14" xr:uid="{00000000-0005-0000-0000-000011000000}"/>
    <cellStyle name="백분율" xfId="15" builtinId="5"/>
    <cellStyle name="쉼표" xfId="17" builtinId="3"/>
    <cellStyle name="쉼표 [0]" xfId="19" builtinId="6"/>
    <cellStyle name="쉼표 [0] 2" xfId="22" xr:uid="{945314C0-82D9-466E-B093-13D02BF680DD}"/>
    <cellStyle name="표준" xfId="0" builtinId="0"/>
    <cellStyle name="표준 2" xfId="18" xr:uid="{C87D6EE6-BA00-4F5B-B77D-E27DCD49F655}"/>
    <cellStyle name="표준 2 2" xfId="21" xr:uid="{548C0212-E988-4B17-8292-DD908D47307B}"/>
    <cellStyle name="표준 3" xfId="20" xr:uid="{BE71BABE-C511-4A7A-9028-0E75FDCCE552}"/>
    <cellStyle name="하이퍼링크" xfId="7"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jeff-nonadmin\Dropbox%20(Energy%20Innovation)\EI-PlcyMdl\eps-1.5.0-us-wipE\InputData\web-app\BCF\BTU%20Conversion%20Facto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Table 73"/>
      <sheetName val="GREET1 Fuel_Specs"/>
      <sheetName val="BCF-BpLFOU"/>
      <sheetName val="BCF-BpSFOU"/>
      <sheetName val="BCF-VFEUCF"/>
      <sheetName val="BCF-BpEIEOU"/>
    </sheetNames>
    <sheetDataSet>
      <sheetData sheetId="0">
        <row r="63">
          <cell r="A63">
            <v>42</v>
          </cell>
        </row>
      </sheetData>
      <sheetData sheetId="1"/>
      <sheetData sheetId="2"/>
      <sheetData sheetId="3"/>
      <sheetData sheetId="4"/>
      <sheetData sheetId="5"/>
      <sheetData sheetId="6"/>
    </sheetDataSet>
  </externalBook>
</externalLink>
</file>

<file path=xl/persons/person.xml><?xml version="1.0" encoding="utf-8"?>
<personList xmlns="http://schemas.microsoft.com/office/spreadsheetml/2018/threadedcomments" xmlns:x="http://schemas.openxmlformats.org/spreadsheetml/2006/main">
  <person displayName="김주혜" id="{47759928-D922-4AA0-B75F-F9D60CC53096}" userId="S::next-013@nextgroup0901.onmicrosoft.com::9f6d97c4-a2ec-4a8b-bcd3-a55ebb4a5bf4"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22" dT="2026-08-31T07:59:28.13" personId="{47759928-D922-4AA0-B75F-F9D60CC53096}" id="{EF685AD5-2DD8-409A-A6D5-F5513BD15A3F}">
    <text>BCEU의 2023년도 값이 전망치라서, 이중 포함될것으로 예상되는 값은 2022년도로 부터 계산에서 넣음.</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0663DF0-0001-4C64-A533-639089C7689D}">
  <we:reference id="11d7cf85-ae5a-43b8-bc58-1e1a151cce24" version="1.0.0.1" store="EXCatalog" storeType="EXCatalog"/>
  <we:alternateReferences>
    <we:reference id="WA200010725" version="1.0.0.1" store="ko-KR" storeType="OMEX"/>
  </we:alternateReferences>
  <we:properties>
    <we:property name="claude.fileId" value="&quot;7a8599fe-d4ad-4662-9bc2-8e52c22084b9&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kesis.net/sub/sub_0005_01.jsp?M_MENU_ID=M_M_002&amp;S_MENU_ID=S_M_017&amp;CATEGORY_ID=C_012&amp;SEQ=46" TargetMode="External"/><Relationship Id="rId1" Type="http://schemas.openxmlformats.org/officeDocument/2006/relationships/hyperlink" Target="https://kosis.kr/statHtml/statHtml.do?orgId=115&amp;tblId=DT_F_C845&amp;vw_cd=MT_ZTITLE&amp;list_id=11505_001&amp;seqNo=&amp;lang_mode=ko&amp;language=kor&amp;obj_var_id=&amp;itm_id=&amp;conn_path=MT_ZTITLE" TargetMode="Externa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9"/>
  <sheetViews>
    <sheetView tabSelected="1" workbookViewId="0">
      <selection activeCell="B32" sqref="B32"/>
    </sheetView>
  </sheetViews>
  <sheetFormatPr defaultRowHeight="16.5"/>
  <cols>
    <col min="1" max="1" width="23.75" customWidth="1"/>
    <col min="2" max="2" width="61.375" customWidth="1"/>
    <col min="3" max="3" width="19.25" customWidth="1"/>
  </cols>
  <sheetData>
    <row r="1" spans="1:3">
      <c r="A1" s="1" t="s">
        <v>6</v>
      </c>
    </row>
    <row r="3" spans="1:3">
      <c r="A3" s="8" t="s">
        <v>0</v>
      </c>
      <c r="B3" s="9" t="s">
        <v>18</v>
      </c>
      <c r="C3" s="10"/>
    </row>
    <row r="4" spans="1:3">
      <c r="A4" s="10"/>
      <c r="B4" s="10" t="s">
        <v>19</v>
      </c>
      <c r="C4" s="10"/>
    </row>
    <row r="5" spans="1:3">
      <c r="A5" s="10"/>
      <c r="B5" s="10">
        <v>2020</v>
      </c>
      <c r="C5" s="10"/>
    </row>
    <row r="6" spans="1:3">
      <c r="A6" s="10"/>
      <c r="B6" s="10" t="s">
        <v>20</v>
      </c>
      <c r="C6" s="10"/>
    </row>
    <row r="7" spans="1:3">
      <c r="A7" s="10"/>
      <c r="B7" s="31" t="s">
        <v>21</v>
      </c>
      <c r="C7" s="10"/>
    </row>
    <row r="8" spans="1:3">
      <c r="A8" s="10"/>
      <c r="B8" s="10"/>
      <c r="C8" s="10"/>
    </row>
    <row r="9" spans="1:3">
      <c r="A9" s="10"/>
      <c r="B9" s="10"/>
      <c r="C9" s="10"/>
    </row>
    <row r="10" spans="1:3">
      <c r="A10" s="10"/>
      <c r="B10" s="9" t="s">
        <v>22</v>
      </c>
      <c r="C10" s="10"/>
    </row>
    <row r="11" spans="1:3">
      <c r="A11" s="10"/>
      <c r="B11" s="10" t="s">
        <v>19</v>
      </c>
      <c r="C11" s="10"/>
    </row>
    <row r="12" spans="1:3">
      <c r="A12" s="10"/>
      <c r="B12" s="32">
        <v>2023</v>
      </c>
      <c r="C12" s="10"/>
    </row>
    <row r="13" spans="1:3">
      <c r="A13" s="10"/>
      <c r="B13" s="32" t="s">
        <v>121</v>
      </c>
      <c r="C13" s="10"/>
    </row>
    <row r="14" spans="1:3">
      <c r="A14" s="10"/>
      <c r="B14" s="33" t="s">
        <v>122</v>
      </c>
      <c r="C14" s="10"/>
    </row>
    <row r="15" spans="1:3">
      <c r="A15" s="10"/>
      <c r="B15" s="10"/>
      <c r="C15" s="10"/>
    </row>
    <row r="16" spans="1:3">
      <c r="A16" s="10"/>
      <c r="B16" s="10"/>
      <c r="C16" s="10"/>
    </row>
    <row r="17" spans="1:3">
      <c r="A17" s="8" t="s">
        <v>8</v>
      </c>
      <c r="B17" s="10"/>
      <c r="C17" s="10"/>
    </row>
    <row r="18" spans="1:3">
      <c r="A18" s="10" t="s">
        <v>143</v>
      </c>
      <c r="B18" s="10"/>
      <c r="C18" s="10"/>
    </row>
    <row r="19" spans="1:3">
      <c r="A19" s="10"/>
      <c r="B19" s="10"/>
      <c r="C19" s="10"/>
    </row>
    <row r="20" spans="1:3">
      <c r="A20" s="10"/>
      <c r="B20" s="10"/>
      <c r="C20" s="10"/>
    </row>
    <row r="21" spans="1:3">
      <c r="A21" s="10"/>
      <c r="B21" s="10"/>
      <c r="C21" s="10"/>
    </row>
    <row r="22" spans="1:3">
      <c r="A22" s="8" t="s">
        <v>23</v>
      </c>
      <c r="B22" s="10"/>
      <c r="C22" s="10"/>
    </row>
    <row r="23" spans="1:3">
      <c r="A23" s="10" t="s">
        <v>24</v>
      </c>
      <c r="B23" s="10"/>
      <c r="C23" s="10"/>
    </row>
    <row r="24" spans="1:3">
      <c r="A24" s="10" t="s">
        <v>25</v>
      </c>
      <c r="B24" s="10"/>
      <c r="C24" s="10"/>
    </row>
    <row r="25" spans="1:3">
      <c r="A25" s="10" t="s">
        <v>26</v>
      </c>
      <c r="B25" s="10"/>
      <c r="C25" s="10"/>
    </row>
    <row r="26" spans="1:3">
      <c r="A26" s="10" t="s">
        <v>27</v>
      </c>
      <c r="B26" s="10"/>
      <c r="C26" s="10"/>
    </row>
    <row r="27" spans="1:3">
      <c r="A27" s="10" t="s">
        <v>28</v>
      </c>
      <c r="B27" s="10"/>
      <c r="C27" s="10"/>
    </row>
    <row r="28" spans="1:3">
      <c r="A28" s="10" t="s">
        <v>211</v>
      </c>
      <c r="B28" s="10"/>
      <c r="C28" s="10"/>
    </row>
    <row r="29" spans="1:3">
      <c r="A29" s="10"/>
      <c r="B29" s="10"/>
      <c r="C29" s="10"/>
    </row>
    <row r="30" spans="1:3">
      <c r="A30" s="10" t="s">
        <v>53</v>
      </c>
      <c r="B30" s="10">
        <v>39.683100000000003</v>
      </c>
      <c r="C30" s="10"/>
    </row>
    <row r="31" spans="1:3">
      <c r="A31" s="10" t="s">
        <v>29</v>
      </c>
      <c r="B31" s="51">
        <f>3412.142</f>
        <v>3412.1419999999998</v>
      </c>
      <c r="C31" s="10"/>
    </row>
    <row r="32" spans="1:3">
      <c r="A32" s="10" t="s">
        <v>30</v>
      </c>
      <c r="B32" s="10">
        <v>43.54</v>
      </c>
      <c r="C32" s="10"/>
    </row>
    <row r="33" spans="1:3">
      <c r="A33" s="10" t="s">
        <v>31</v>
      </c>
      <c r="B33" s="10">
        <v>947.81700000000001</v>
      </c>
      <c r="C33" s="10"/>
    </row>
    <row r="34" spans="1:3">
      <c r="A34" s="10" t="s">
        <v>32</v>
      </c>
      <c r="B34" s="11">
        <v>4600</v>
      </c>
      <c r="C34" s="10"/>
    </row>
    <row r="35" spans="1:3">
      <c r="A35" s="10" t="s">
        <v>33</v>
      </c>
      <c r="B35" s="12">
        <v>3.968318</v>
      </c>
      <c r="C35" s="10"/>
    </row>
    <row r="36" spans="1:3">
      <c r="A36" s="10" t="s">
        <v>34</v>
      </c>
      <c r="B36" s="10">
        <v>50.4</v>
      </c>
      <c r="C36" s="10"/>
    </row>
    <row r="37" spans="1:3">
      <c r="A37" s="10" t="s">
        <v>35</v>
      </c>
      <c r="B37" s="13">
        <v>0.91800000000000004</v>
      </c>
      <c r="C37" s="10" t="s">
        <v>36</v>
      </c>
    </row>
    <row r="38" spans="1:3">
      <c r="A38" s="44" t="s">
        <v>147</v>
      </c>
      <c r="B38" s="44">
        <f>B31*10^9</f>
        <v>3412142000000</v>
      </c>
    </row>
    <row r="65" spans="1:2">
      <c r="A65" s="1" t="s">
        <v>12</v>
      </c>
    </row>
    <row r="66" spans="1:2">
      <c r="A66" s="4" t="e">
        <f>#REF!/(#REF!+#REF!)</f>
        <v>#REF!</v>
      </c>
      <c r="B66" t="s">
        <v>9</v>
      </c>
    </row>
    <row r="67" spans="1:2">
      <c r="A67" s="4" t="e">
        <f>#REF!/(#REF!+#REF!)</f>
        <v>#REF!</v>
      </c>
      <c r="B67" t="s">
        <v>10</v>
      </c>
    </row>
    <row r="69" spans="1:2">
      <c r="A69" t="s">
        <v>17</v>
      </c>
      <c r="B69" s="6">
        <f>10^15</f>
        <v>1000000000000000</v>
      </c>
    </row>
  </sheetData>
  <phoneticPr fontId="11" type="noConversion"/>
  <hyperlinks>
    <hyperlink ref="B7" r:id="rId1" xr:uid="{E3D81ACC-CD3F-44CE-83E2-D8AE4FA810A2}"/>
    <hyperlink ref="B14" r:id="rId2" xr:uid="{33897A44-3821-4B6E-8927-AA2917681289}"/>
  </hyperlinks>
  <pageMargins left="0.7" right="0.7" top="0.75" bottom="0.75" header="0.3" footer="0.3"/>
  <pageSetup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6D3F1-92E7-40E9-A07E-C7DBA9C24A0B}">
  <dimension ref="A1:P35"/>
  <sheetViews>
    <sheetView workbookViewId="0">
      <selection activeCell="A34" sqref="A34"/>
    </sheetView>
  </sheetViews>
  <sheetFormatPr defaultRowHeight="16.5"/>
  <cols>
    <col min="1" max="1" width="28.25" bestFit="1" customWidth="1"/>
    <col min="2" max="2" width="12.5" bestFit="1" customWidth="1"/>
    <col min="3" max="3" width="19.375" bestFit="1" customWidth="1"/>
    <col min="4" max="4" width="9.25" bestFit="1" customWidth="1"/>
    <col min="5" max="7" width="12.5" bestFit="1" customWidth="1"/>
  </cols>
  <sheetData>
    <row r="1" spans="1:16">
      <c r="A1" s="15" t="s">
        <v>43</v>
      </c>
      <c r="B1" s="15" t="s">
        <v>37</v>
      </c>
      <c r="C1" s="15" t="s">
        <v>38</v>
      </c>
      <c r="D1" s="15" t="s">
        <v>39</v>
      </c>
      <c r="E1" s="15" t="s">
        <v>40</v>
      </c>
      <c r="F1" s="15" t="s">
        <v>41</v>
      </c>
      <c r="G1" s="15" t="s">
        <v>42</v>
      </c>
      <c r="J1" s="15">
        <v>2019</v>
      </c>
      <c r="K1" s="15" t="s">
        <v>37</v>
      </c>
      <c r="L1" s="15" t="s">
        <v>38</v>
      </c>
      <c r="M1" s="15" t="s">
        <v>39</v>
      </c>
      <c r="N1" s="15" t="s">
        <v>40</v>
      </c>
      <c r="O1" s="15" t="s">
        <v>41</v>
      </c>
      <c r="P1" s="15" t="s">
        <v>42</v>
      </c>
    </row>
    <row r="2" spans="1:16">
      <c r="A2" s="15" t="s">
        <v>2</v>
      </c>
      <c r="B2" s="34">
        <v>127354926442691.86</v>
      </c>
      <c r="C2" s="34">
        <v>186341505353171.88</v>
      </c>
      <c r="D2" s="34">
        <v>0</v>
      </c>
      <c r="E2" s="34">
        <v>107131240094621.84</v>
      </c>
      <c r="F2" s="34">
        <v>66524924678051.828</v>
      </c>
      <c r="G2" s="34">
        <v>69300936097001.828</v>
      </c>
      <c r="J2" s="15" t="s">
        <v>106</v>
      </c>
      <c r="K2" s="2">
        <v>127354926442691.86</v>
      </c>
      <c r="L2" s="2">
        <v>186341505353171.88</v>
      </c>
      <c r="M2" s="2">
        <v>0</v>
      </c>
      <c r="N2" s="2">
        <v>107131240094621.84</v>
      </c>
      <c r="O2" s="2">
        <v>66524924678051.828</v>
      </c>
      <c r="P2" s="2">
        <v>69300936097001.828</v>
      </c>
    </row>
    <row r="3" spans="1:16">
      <c r="A3" s="15" t="s">
        <v>3</v>
      </c>
      <c r="B3" s="34">
        <v>1570335664890.0002</v>
      </c>
      <c r="C3" s="34">
        <v>0</v>
      </c>
      <c r="D3" s="34">
        <v>0</v>
      </c>
      <c r="E3" s="34">
        <v>0</v>
      </c>
      <c r="F3" s="34">
        <v>296746253490.00006</v>
      </c>
      <c r="G3" s="34">
        <v>0</v>
      </c>
      <c r="J3" s="15" t="s">
        <v>116</v>
      </c>
      <c r="K3" s="2">
        <v>1570335664890.0002</v>
      </c>
      <c r="L3" s="2">
        <v>0</v>
      </c>
      <c r="M3" s="2">
        <v>0</v>
      </c>
      <c r="N3" s="2">
        <v>0</v>
      </c>
      <c r="O3" s="2">
        <v>296746253490.00006</v>
      </c>
      <c r="P3" s="2">
        <v>0</v>
      </c>
    </row>
    <row r="4" spans="1:16">
      <c r="A4" s="15" t="s">
        <v>4</v>
      </c>
      <c r="B4" s="34">
        <v>66164124700440.008</v>
      </c>
      <c r="C4" s="34">
        <v>26651689808610.008</v>
      </c>
      <c r="D4" s="34">
        <v>0</v>
      </c>
      <c r="E4" s="34">
        <v>0</v>
      </c>
      <c r="F4" s="34">
        <v>78014926952040.016</v>
      </c>
      <c r="G4" s="34">
        <v>0</v>
      </c>
      <c r="J4" s="15" t="s">
        <v>108</v>
      </c>
      <c r="K4" s="2">
        <v>66164124700440.008</v>
      </c>
      <c r="L4" s="2">
        <v>26651689808610.008</v>
      </c>
      <c r="M4" s="2">
        <v>0</v>
      </c>
      <c r="N4" s="2">
        <v>0</v>
      </c>
      <c r="O4" s="2">
        <v>78014926952040.016</v>
      </c>
      <c r="P4" s="2">
        <v>0</v>
      </c>
    </row>
    <row r="5" spans="1:16">
      <c r="A5" s="15" t="s">
        <v>5</v>
      </c>
      <c r="B5" s="34">
        <v>593944894320.00012</v>
      </c>
      <c r="C5" s="34">
        <v>0</v>
      </c>
      <c r="D5" s="34">
        <v>0</v>
      </c>
      <c r="E5" s="34">
        <v>0</v>
      </c>
      <c r="F5" s="34">
        <v>1727143434540.0002</v>
      </c>
      <c r="G5" s="34">
        <v>0</v>
      </c>
      <c r="J5" s="15" t="s">
        <v>117</v>
      </c>
      <c r="K5" s="2">
        <v>593944894320.00012</v>
      </c>
      <c r="L5" s="2">
        <v>0</v>
      </c>
      <c r="M5" s="2">
        <v>0</v>
      </c>
      <c r="N5" s="2">
        <v>0</v>
      </c>
      <c r="O5" s="2">
        <v>1727143434540.0002</v>
      </c>
      <c r="P5" s="2">
        <v>0</v>
      </c>
    </row>
    <row r="6" spans="1:16">
      <c r="A6" s="15" t="s">
        <v>7</v>
      </c>
      <c r="B6" s="34">
        <v>10941281472840.004</v>
      </c>
      <c r="C6" s="34">
        <v>886476802590.00024</v>
      </c>
      <c r="D6" s="34">
        <v>0</v>
      </c>
      <c r="E6" s="34">
        <v>0</v>
      </c>
      <c r="F6" s="34">
        <v>0</v>
      </c>
      <c r="G6" s="34">
        <v>0</v>
      </c>
      <c r="J6" s="15" t="s">
        <v>118</v>
      </c>
      <c r="K6" s="2">
        <v>10941281472840.004</v>
      </c>
      <c r="L6" s="2">
        <v>886476802590.00024</v>
      </c>
      <c r="M6" s="2">
        <v>0</v>
      </c>
      <c r="N6" s="2">
        <v>0</v>
      </c>
      <c r="O6" s="2">
        <v>0</v>
      </c>
      <c r="P6" s="2">
        <v>0</v>
      </c>
    </row>
    <row r="7" spans="1:16">
      <c r="A7" s="15" t="s">
        <v>11</v>
      </c>
      <c r="B7" s="34">
        <v>6267469447800.001</v>
      </c>
      <c r="C7" s="34">
        <v>2133879336300.0005</v>
      </c>
      <c r="D7" s="34">
        <v>0</v>
      </c>
      <c r="E7" s="34">
        <v>2190189655200.0005</v>
      </c>
      <c r="F7" s="34">
        <v>3240351308670.0005</v>
      </c>
      <c r="G7" s="34">
        <v>3793426578300.001</v>
      </c>
      <c r="J7" s="15" t="s">
        <v>119</v>
      </c>
      <c r="K7" s="2">
        <v>6267469447800.001</v>
      </c>
      <c r="L7" s="2">
        <v>2133879336300.0005</v>
      </c>
      <c r="M7" s="2">
        <v>0</v>
      </c>
      <c r="N7" s="2">
        <v>2190189655200.0005</v>
      </c>
      <c r="O7" s="2">
        <v>3240351308670.0005</v>
      </c>
      <c r="P7" s="2">
        <v>3793426578300.001</v>
      </c>
    </row>
    <row r="8" spans="1:16">
      <c r="A8" s="15" t="s">
        <v>13</v>
      </c>
      <c r="B8" s="34">
        <v>15264171876270.004</v>
      </c>
      <c r="C8" s="34">
        <v>0</v>
      </c>
      <c r="D8" s="34">
        <v>0</v>
      </c>
      <c r="E8" s="34">
        <v>0</v>
      </c>
      <c r="F8" s="34">
        <v>1522192127970.0002</v>
      </c>
      <c r="G8" s="34">
        <v>0</v>
      </c>
      <c r="J8" s="15" t="s">
        <v>112</v>
      </c>
      <c r="K8" s="2">
        <v>15264171876270.004</v>
      </c>
      <c r="L8" s="2">
        <v>0</v>
      </c>
      <c r="M8" s="2">
        <v>0</v>
      </c>
      <c r="N8" s="2">
        <v>0</v>
      </c>
      <c r="O8" s="2">
        <v>1522192127970.0002</v>
      </c>
      <c r="P8" s="2">
        <v>0</v>
      </c>
    </row>
    <row r="9" spans="1:16">
      <c r="A9" s="15" t="s">
        <v>14</v>
      </c>
      <c r="B9" s="34">
        <v>1809723965640.0002</v>
      </c>
      <c r="C9" s="34">
        <v>0</v>
      </c>
      <c r="D9" s="34">
        <v>0</v>
      </c>
      <c r="E9" s="34">
        <v>0</v>
      </c>
      <c r="F9" s="34">
        <v>21702687390</v>
      </c>
      <c r="G9" s="34">
        <v>0</v>
      </c>
      <c r="J9" s="15" t="s">
        <v>120</v>
      </c>
      <c r="K9" s="2">
        <v>1809723965640.0002</v>
      </c>
      <c r="L9" s="2">
        <v>0</v>
      </c>
      <c r="M9" s="2">
        <v>0</v>
      </c>
      <c r="N9" s="2">
        <v>0</v>
      </c>
      <c r="O9" s="2">
        <v>21702687390</v>
      </c>
      <c r="P9" s="2">
        <v>0</v>
      </c>
    </row>
    <row r="10" spans="1:16">
      <c r="A10" s="15" t="s">
        <v>15</v>
      </c>
      <c r="B10" s="34">
        <v>13033096723140.002</v>
      </c>
      <c r="C10" s="34">
        <v>1739842026540.0002</v>
      </c>
      <c r="D10" s="34">
        <v>0</v>
      </c>
      <c r="E10" s="34">
        <v>0</v>
      </c>
      <c r="F10" s="34">
        <v>21475942124910.004</v>
      </c>
      <c r="G10" s="34">
        <v>0</v>
      </c>
      <c r="J10" s="15" t="s">
        <v>114</v>
      </c>
      <c r="K10" s="2">
        <v>13033096723140.002</v>
      </c>
      <c r="L10" s="2">
        <v>1739842026540.0002</v>
      </c>
      <c r="M10" s="2">
        <v>0</v>
      </c>
      <c r="N10" s="2">
        <v>0</v>
      </c>
      <c r="O10" s="2">
        <v>21475942124910.004</v>
      </c>
      <c r="P10" s="2">
        <v>0</v>
      </c>
    </row>
    <row r="11" spans="1:16">
      <c r="A11" s="15" t="s">
        <v>16</v>
      </c>
      <c r="B11" s="34">
        <v>0</v>
      </c>
      <c r="C11" s="34">
        <v>0</v>
      </c>
      <c r="D11" s="34">
        <v>0</v>
      </c>
      <c r="E11" s="34">
        <v>0</v>
      </c>
      <c r="F11" s="34">
        <v>0</v>
      </c>
      <c r="G11" s="34">
        <v>0</v>
      </c>
      <c r="J11" s="15" t="s">
        <v>115</v>
      </c>
      <c r="K11" s="2">
        <v>0</v>
      </c>
      <c r="L11" s="2">
        <v>0</v>
      </c>
      <c r="M11" s="2">
        <v>0</v>
      </c>
      <c r="N11" s="2">
        <v>0</v>
      </c>
      <c r="O11" s="2">
        <v>0</v>
      </c>
      <c r="P11" s="2">
        <v>0</v>
      </c>
    </row>
    <row r="12" spans="1:16">
      <c r="A12" s="15"/>
    </row>
    <row r="13" spans="1:16">
      <c r="A13" s="15" t="s">
        <v>44</v>
      </c>
      <c r="B13" s="15" t="s">
        <v>37</v>
      </c>
      <c r="C13" s="15" t="s">
        <v>38</v>
      </c>
      <c r="D13" s="15" t="s">
        <v>39</v>
      </c>
      <c r="E13" s="15" t="s">
        <v>40</v>
      </c>
      <c r="F13" s="15" t="s">
        <v>41</v>
      </c>
      <c r="G13" s="15" t="s">
        <v>42</v>
      </c>
      <c r="J13" s="15">
        <v>2019</v>
      </c>
      <c r="K13" s="15" t="s">
        <v>37</v>
      </c>
      <c r="L13" s="15" t="s">
        <v>38</v>
      </c>
      <c r="M13" s="15" t="s">
        <v>39</v>
      </c>
      <c r="N13" s="15" t="s">
        <v>40</v>
      </c>
      <c r="O13" s="15" t="s">
        <v>41</v>
      </c>
      <c r="P13" s="15" t="s">
        <v>42</v>
      </c>
    </row>
    <row r="14" spans="1:16">
      <c r="A14" s="15" t="s">
        <v>2</v>
      </c>
      <c r="B14" s="34">
        <f>K14*About!$B$37</f>
        <v>64335875076647.898</v>
      </c>
      <c r="C14" s="34">
        <f>L14*About!$B$37</f>
        <v>36429085800000</v>
      </c>
      <c r="D14" s="34">
        <f>M14*About!$B$37</f>
        <v>0</v>
      </c>
      <c r="E14" s="34">
        <f>N14*About!$B$37</f>
        <v>36429085800000</v>
      </c>
      <c r="F14" s="34">
        <f>O14*About!$B$37</f>
        <v>83537070002712.109</v>
      </c>
      <c r="G14" s="34">
        <f>P14*About!$B$37</f>
        <v>0</v>
      </c>
      <c r="J14" s="15" t="s">
        <v>106</v>
      </c>
      <c r="K14" s="2">
        <v>70082652588941.063</v>
      </c>
      <c r="L14" s="2">
        <v>39683100000000</v>
      </c>
      <c r="M14" s="2"/>
      <c r="N14" s="2">
        <v>39683100000000</v>
      </c>
      <c r="O14" s="2">
        <v>90998986931058.938</v>
      </c>
      <c r="P14" s="2"/>
    </row>
    <row r="15" spans="1:16">
      <c r="A15" s="15" t="s">
        <v>3</v>
      </c>
      <c r="B15" s="34">
        <f>K15*About!$B$37</f>
        <v>10785423073635.699</v>
      </c>
      <c r="C15" s="34">
        <f>L15*About!$B$37</f>
        <v>0</v>
      </c>
      <c r="D15" s="34">
        <f>M15*About!$B$37</f>
        <v>0</v>
      </c>
      <c r="E15" s="34">
        <f>N15*About!$B$37</f>
        <v>0</v>
      </c>
      <c r="F15" s="34">
        <f>O15*About!$B$37</f>
        <v>0</v>
      </c>
      <c r="G15" s="34">
        <f>P15*About!$B$37</f>
        <v>0</v>
      </c>
      <c r="J15" s="15" t="s">
        <v>107</v>
      </c>
      <c r="K15" s="2">
        <v>11748826877598.801</v>
      </c>
      <c r="L15" s="2"/>
      <c r="M15" s="2"/>
      <c r="N15" s="2"/>
      <c r="O15" s="2"/>
      <c r="P15" s="2"/>
    </row>
    <row r="16" spans="1:16">
      <c r="A16" s="15" t="s">
        <v>4</v>
      </c>
      <c r="B16" s="34">
        <f>K16*About!$B$37</f>
        <v>315994095657678.75</v>
      </c>
      <c r="C16" s="34">
        <f>L16*About!$B$37</f>
        <v>0</v>
      </c>
      <c r="D16" s="34">
        <f>M16*About!$B$37</f>
        <v>0</v>
      </c>
      <c r="E16" s="34">
        <f>N16*About!$B$37</f>
        <v>0</v>
      </c>
      <c r="F16" s="34">
        <f>O16*About!$B$37</f>
        <v>66287631222265.641</v>
      </c>
      <c r="G16" s="34">
        <f>P16*About!$B$37</f>
        <v>0</v>
      </c>
      <c r="J16" s="15" t="s">
        <v>108</v>
      </c>
      <c r="K16" s="2">
        <v>344220147775249.19</v>
      </c>
      <c r="L16" s="2"/>
      <c r="M16" s="2"/>
      <c r="N16" s="2"/>
      <c r="O16" s="2">
        <v>72208748608132.5</v>
      </c>
      <c r="P16" s="2"/>
    </row>
    <row r="17" spans="1:16">
      <c r="A17" s="15" t="s">
        <v>5</v>
      </c>
      <c r="B17" s="34">
        <f>K17*About!$B$37</f>
        <v>0</v>
      </c>
      <c r="C17" s="34">
        <f>L17*About!$B$37</f>
        <v>0</v>
      </c>
      <c r="D17" s="34">
        <f>M17*About!$B$37</f>
        <v>0</v>
      </c>
      <c r="E17" s="34">
        <f>N17*About!$B$37</f>
        <v>0</v>
      </c>
      <c r="F17" s="34">
        <f>O17*About!$B$37</f>
        <v>0</v>
      </c>
      <c r="G17" s="34">
        <f>P17*About!$B$37</f>
        <v>0</v>
      </c>
      <c r="J17" s="15" t="s">
        <v>109</v>
      </c>
      <c r="K17" s="2"/>
      <c r="L17" s="2"/>
      <c r="M17" s="2"/>
      <c r="N17" s="2"/>
      <c r="O17" s="2"/>
      <c r="P17" s="2"/>
    </row>
    <row r="18" spans="1:16">
      <c r="A18" s="15" t="s">
        <v>7</v>
      </c>
      <c r="B18" s="34">
        <f>K18*About!$B$37</f>
        <v>75772498464000</v>
      </c>
      <c r="C18" s="34">
        <f>L18*About!$B$37</f>
        <v>0</v>
      </c>
      <c r="D18" s="34">
        <f>M18*About!$B$37</f>
        <v>0</v>
      </c>
      <c r="E18" s="34">
        <f>N18*About!$B$37</f>
        <v>0</v>
      </c>
      <c r="F18" s="34">
        <f>O18*About!$B$37</f>
        <v>0</v>
      </c>
      <c r="G18" s="34">
        <f>P18*About!$B$37</f>
        <v>0</v>
      </c>
      <c r="J18" s="15" t="s">
        <v>110</v>
      </c>
      <c r="K18" s="2">
        <v>82540848000000</v>
      </c>
      <c r="L18" s="2"/>
      <c r="M18" s="2"/>
      <c r="N18" s="2"/>
      <c r="O18" s="2"/>
      <c r="P18" s="2"/>
    </row>
    <row r="19" spans="1:16">
      <c r="A19" s="15" t="s">
        <v>11</v>
      </c>
      <c r="B19" s="34">
        <f>K19*About!$B$37</f>
        <v>4830496777080.001</v>
      </c>
      <c r="C19" s="34">
        <f>L19*About!$B$37</f>
        <v>0</v>
      </c>
      <c r="D19" s="34">
        <f>M19*About!$B$37</f>
        <v>0</v>
      </c>
      <c r="E19" s="34">
        <f>N19*About!$B$37</f>
        <v>0</v>
      </c>
      <c r="F19" s="34">
        <f>O19*About!$B$37</f>
        <v>0</v>
      </c>
      <c r="G19" s="34">
        <f>P19*About!$B$37</f>
        <v>0</v>
      </c>
      <c r="J19" s="15" t="s">
        <v>111</v>
      </c>
      <c r="K19" s="2">
        <v>5261979060000.001</v>
      </c>
      <c r="L19" s="2"/>
      <c r="M19" s="2"/>
      <c r="N19" s="2"/>
      <c r="O19" s="2"/>
      <c r="P19" s="2"/>
    </row>
    <row r="20" spans="1:16">
      <c r="A20" s="15" t="s">
        <v>13</v>
      </c>
      <c r="B20" s="34">
        <f>K20*About!$B$37</f>
        <v>0</v>
      </c>
      <c r="C20" s="34">
        <f>L20*About!$B$37</f>
        <v>0</v>
      </c>
      <c r="D20" s="34">
        <f>M20*About!$B$37</f>
        <v>0</v>
      </c>
      <c r="E20" s="34">
        <f>N20*About!$B$37</f>
        <v>0</v>
      </c>
      <c r="F20" s="34">
        <f>O20*About!$B$37</f>
        <v>0</v>
      </c>
      <c r="G20" s="34">
        <f>P20*About!$B$37</f>
        <v>0</v>
      </c>
      <c r="J20" s="15" t="s">
        <v>112</v>
      </c>
      <c r="K20" s="2"/>
      <c r="L20" s="2"/>
      <c r="M20" s="2"/>
      <c r="N20" s="2"/>
      <c r="O20" s="2"/>
      <c r="P20" s="2"/>
    </row>
    <row r="21" spans="1:16">
      <c r="A21" s="15" t="s">
        <v>14</v>
      </c>
      <c r="B21" s="34">
        <f>K21*About!$B$37</f>
        <v>57204593431740.008</v>
      </c>
      <c r="C21" s="34">
        <f>L21*About!$B$37</f>
        <v>0</v>
      </c>
      <c r="D21" s="34">
        <f>M21*About!$B$37</f>
        <v>0</v>
      </c>
      <c r="E21" s="34">
        <f>N21*About!$B$37</f>
        <v>0</v>
      </c>
      <c r="F21" s="34">
        <f>O21*About!$B$37</f>
        <v>0</v>
      </c>
      <c r="G21" s="34">
        <f>P21*About!$B$37</f>
        <v>0</v>
      </c>
      <c r="J21" s="15" t="s">
        <v>113</v>
      </c>
      <c r="K21" s="2">
        <v>62314371930000.008</v>
      </c>
      <c r="L21" s="2"/>
      <c r="M21" s="2"/>
      <c r="N21" s="2"/>
      <c r="O21" s="2"/>
      <c r="P21" s="2"/>
    </row>
    <row r="22" spans="1:16">
      <c r="A22" s="15" t="s">
        <v>15</v>
      </c>
      <c r="B22" s="34">
        <f>K22*About!$B$37</f>
        <v>17513304519217.666</v>
      </c>
      <c r="C22" s="34">
        <f>L22*About!$B$37</f>
        <v>0</v>
      </c>
      <c r="D22" s="34">
        <f>M22*About!$B$37</f>
        <v>0</v>
      </c>
      <c r="E22" s="34">
        <f>N22*About!$B$37</f>
        <v>0</v>
      </c>
      <c r="F22" s="34">
        <f>O22*About!$B$37</f>
        <v>3673851782062.3345</v>
      </c>
      <c r="G22" s="34">
        <f>P22*About!$B$37</f>
        <v>0</v>
      </c>
      <c r="J22" s="15" t="s">
        <v>114</v>
      </c>
      <c r="K22" s="2">
        <v>19077673768210.965</v>
      </c>
      <c r="L22" s="2"/>
      <c r="M22" s="2"/>
      <c r="N22" s="2"/>
      <c r="O22" s="2">
        <v>4002017191789.0352</v>
      </c>
      <c r="P22" s="2"/>
    </row>
    <row r="23" spans="1:16">
      <c r="A23" s="15" t="s">
        <v>16</v>
      </c>
      <c r="B23" s="34">
        <f>K23*About!$B$37</f>
        <v>0</v>
      </c>
      <c r="C23" s="34">
        <f>L23*About!$B$37</f>
        <v>0</v>
      </c>
      <c r="D23" s="34">
        <f>M23*About!$B$37</f>
        <v>0</v>
      </c>
      <c r="E23" s="34">
        <f>N23*About!$B$37</f>
        <v>0</v>
      </c>
      <c r="F23" s="34">
        <f>O23*About!$B$37</f>
        <v>0</v>
      </c>
      <c r="G23" s="34">
        <f>P23*About!$B$37</f>
        <v>0</v>
      </c>
      <c r="J23" s="15" t="s">
        <v>115</v>
      </c>
      <c r="K23" s="2"/>
      <c r="L23" s="2"/>
      <c r="M23" s="2"/>
      <c r="N23" s="2"/>
      <c r="O23" s="2"/>
      <c r="P23" s="2"/>
    </row>
    <row r="25" spans="1:16">
      <c r="A25" s="1" t="s">
        <v>47</v>
      </c>
      <c r="B25" s="14" t="s">
        <v>37</v>
      </c>
      <c r="C25" s="14" t="s">
        <v>38</v>
      </c>
      <c r="D25" s="14" t="s">
        <v>39</v>
      </c>
      <c r="E25" s="14" t="s">
        <v>40</v>
      </c>
      <c r="F25" s="14" t="s">
        <v>41</v>
      </c>
      <c r="G25" s="14" t="s">
        <v>42</v>
      </c>
    </row>
    <row r="26" spans="1:16">
      <c r="A26" s="1" t="s">
        <v>2</v>
      </c>
      <c r="B26" s="34">
        <f>K14*(1-About!$B$37)</f>
        <v>5746777512293.1641</v>
      </c>
      <c r="C26" s="34">
        <f>L14*(1-About!$B$37)</f>
        <v>3254014199999.9985</v>
      </c>
      <c r="D26" s="34">
        <f>M14*(1-About!$B$37)</f>
        <v>0</v>
      </c>
      <c r="E26" s="34">
        <f>N14*(1-About!$B$37)</f>
        <v>3254014199999.9985</v>
      </c>
      <c r="F26" s="34">
        <f>O14*(1-About!$B$37)</f>
        <v>7461916928346.8291</v>
      </c>
      <c r="G26" s="34">
        <f>P14*(1-About!$B$37)</f>
        <v>0</v>
      </c>
    </row>
    <row r="27" spans="1:16">
      <c r="A27" s="1" t="s">
        <v>3</v>
      </c>
      <c r="B27" s="34">
        <f>K15*(1-About!$B$37)</f>
        <v>963403803963.1012</v>
      </c>
      <c r="C27" s="34">
        <f>L15*(1-About!$B$37)</f>
        <v>0</v>
      </c>
      <c r="D27" s="34">
        <f>M15*(1-About!$B$37)</f>
        <v>0</v>
      </c>
      <c r="E27" s="34">
        <f>N15*(1-About!$B$37)</f>
        <v>0</v>
      </c>
      <c r="F27" s="34">
        <f>O15*(1-About!$B$37)</f>
        <v>0</v>
      </c>
      <c r="G27" s="34">
        <f>P15*(1-About!$B$37)</f>
        <v>0</v>
      </c>
    </row>
    <row r="28" spans="1:16">
      <c r="A28" s="1" t="s">
        <v>4</v>
      </c>
      <c r="B28" s="34">
        <f>K16*(1-About!$B$37)</f>
        <v>28226052117570.422</v>
      </c>
      <c r="C28" s="34">
        <f>L16*(1-About!$B$37)</f>
        <v>0</v>
      </c>
      <c r="D28" s="34">
        <f>M16*(1-About!$B$37)</f>
        <v>0</v>
      </c>
      <c r="E28" s="34">
        <f>N16*(1-About!$B$37)</f>
        <v>0</v>
      </c>
      <c r="F28" s="34">
        <f>O16*(1-About!$B$37)</f>
        <v>5921117385866.8623</v>
      </c>
      <c r="G28" s="34">
        <f>P16*(1-About!$B$37)</f>
        <v>0</v>
      </c>
    </row>
    <row r="29" spans="1:16">
      <c r="A29" s="1" t="s">
        <v>5</v>
      </c>
      <c r="B29" s="34">
        <f>K17*(1-About!$B$37)</f>
        <v>0</v>
      </c>
      <c r="C29" s="34">
        <f>L17*(1-About!$B$37)</f>
        <v>0</v>
      </c>
      <c r="D29" s="34">
        <f>M17*(1-About!$B$37)</f>
        <v>0</v>
      </c>
      <c r="E29" s="34">
        <f>N17*(1-About!$B$37)</f>
        <v>0</v>
      </c>
      <c r="F29" s="34">
        <f>O17*(1-About!$B$37)</f>
        <v>0</v>
      </c>
      <c r="G29" s="34">
        <f>P17*(1-About!$B$37)</f>
        <v>0</v>
      </c>
    </row>
    <row r="30" spans="1:16">
      <c r="A30" s="1" t="s">
        <v>7</v>
      </c>
      <c r="B30" s="34">
        <f>K18*(1-About!$B$37)</f>
        <v>6768349535999.9971</v>
      </c>
      <c r="C30" s="34">
        <f>L18*(1-About!$B$37)</f>
        <v>0</v>
      </c>
      <c r="D30" s="34">
        <f>M18*(1-About!$B$37)</f>
        <v>0</v>
      </c>
      <c r="E30" s="34">
        <f>N18*(1-About!$B$37)</f>
        <v>0</v>
      </c>
      <c r="F30" s="34">
        <f>O18*(1-About!$B$37)</f>
        <v>0</v>
      </c>
      <c r="G30" s="34">
        <f>P18*(1-About!$B$37)</f>
        <v>0</v>
      </c>
    </row>
    <row r="31" spans="1:16">
      <c r="A31" s="1" t="s">
        <v>11</v>
      </c>
      <c r="B31" s="34">
        <f>K19*(1-About!$B$37)</f>
        <v>431482282919.99988</v>
      </c>
      <c r="C31" s="34">
        <f>L19*(1-About!$B$37)</f>
        <v>0</v>
      </c>
      <c r="D31" s="34">
        <f>M19*(1-About!$B$37)</f>
        <v>0</v>
      </c>
      <c r="E31" s="34">
        <f>N19*(1-About!$B$37)</f>
        <v>0</v>
      </c>
      <c r="F31" s="34">
        <f>O19*(1-About!$B$37)</f>
        <v>0</v>
      </c>
      <c r="G31" s="34">
        <f>P19*(1-About!$B$37)</f>
        <v>0</v>
      </c>
    </row>
    <row r="32" spans="1:16">
      <c r="A32" s="1" t="s">
        <v>13</v>
      </c>
      <c r="B32" s="34">
        <f>K20*(1-About!$B$37)</f>
        <v>0</v>
      </c>
      <c r="C32" s="34">
        <f>L20*(1-About!$B$37)</f>
        <v>0</v>
      </c>
      <c r="D32" s="34">
        <f>M20*(1-About!$B$37)</f>
        <v>0</v>
      </c>
      <c r="E32" s="34">
        <f>N20*(1-About!$B$37)</f>
        <v>0</v>
      </c>
      <c r="F32" s="34">
        <f>O20*(1-About!$B$37)</f>
        <v>0</v>
      </c>
      <c r="G32" s="34">
        <f>P20*(1-About!$B$37)</f>
        <v>0</v>
      </c>
    </row>
    <row r="33" spans="1:7">
      <c r="A33" s="1" t="s">
        <v>14</v>
      </c>
      <c r="B33" s="34">
        <f>K21*(1-About!$B$37)</f>
        <v>5109778498259.998</v>
      </c>
      <c r="C33" s="34">
        <f>L21*(1-About!$B$37)</f>
        <v>0</v>
      </c>
      <c r="D33" s="34">
        <f>M21*(1-About!$B$37)</f>
        <v>0</v>
      </c>
      <c r="E33" s="34">
        <f>N21*(1-About!$B$37)</f>
        <v>0</v>
      </c>
      <c r="F33" s="34">
        <f>O21*(1-About!$B$37)</f>
        <v>0</v>
      </c>
      <c r="G33" s="34">
        <f>P21*(1-About!$B$37)</f>
        <v>0</v>
      </c>
    </row>
    <row r="34" spans="1:7">
      <c r="A34" s="1" t="s">
        <v>15</v>
      </c>
      <c r="B34" s="34">
        <f>K22*(1-About!$B$37)</f>
        <v>1564369248993.2983</v>
      </c>
      <c r="C34" s="34">
        <f>L22*(1-About!$B$37)</f>
        <v>0</v>
      </c>
      <c r="D34" s="34">
        <f>M22*(1-About!$B$37)</f>
        <v>0</v>
      </c>
      <c r="E34" s="34">
        <f>N22*(1-About!$B$37)</f>
        <v>0</v>
      </c>
      <c r="F34" s="34">
        <f>O22*(1-About!$B$37)</f>
        <v>328165409726.70074</v>
      </c>
      <c r="G34" s="34">
        <f>P22*(1-About!$B$37)</f>
        <v>0</v>
      </c>
    </row>
    <row r="35" spans="1:7">
      <c r="A35" s="1" t="s">
        <v>16</v>
      </c>
      <c r="B35" s="34">
        <f>K23*(1-About!$B$37)</f>
        <v>0</v>
      </c>
      <c r="C35" s="34">
        <f>L23*(1-About!$B$37)</f>
        <v>0</v>
      </c>
      <c r="D35" s="34">
        <f>M23*(1-About!$B$37)</f>
        <v>0</v>
      </c>
      <c r="E35" s="34">
        <f>N23*(1-About!$B$37)</f>
        <v>0</v>
      </c>
      <c r="F35" s="34">
        <f>O23*(1-About!$B$37)</f>
        <v>0</v>
      </c>
      <c r="G35" s="34">
        <f>P23*(1-About!$B$37)</f>
        <v>0</v>
      </c>
    </row>
  </sheetData>
  <phoneticPr fontId="1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C5634-8E37-4102-BD51-07591524D1A5}">
  <dimension ref="A1:O35"/>
  <sheetViews>
    <sheetView zoomScale="85" zoomScaleNormal="85" workbookViewId="0">
      <selection activeCell="B14" sqref="B14"/>
    </sheetView>
  </sheetViews>
  <sheetFormatPr defaultColWidth="14.625" defaultRowHeight="16.5"/>
  <cols>
    <col min="1" max="1" width="30.25" bestFit="1" customWidth="1"/>
  </cols>
  <sheetData>
    <row r="1" spans="1:15">
      <c r="A1" s="15" t="s">
        <v>43</v>
      </c>
      <c r="B1" s="15" t="s">
        <v>37</v>
      </c>
      <c r="C1" s="15" t="s">
        <v>38</v>
      </c>
      <c r="D1" s="15" t="s">
        <v>39</v>
      </c>
      <c r="E1" s="15" t="s">
        <v>40</v>
      </c>
      <c r="F1" s="15" t="s">
        <v>41</v>
      </c>
      <c r="G1" s="15" t="s">
        <v>42</v>
      </c>
      <c r="I1" s="15">
        <v>2020</v>
      </c>
      <c r="J1" s="15" t="s">
        <v>37</v>
      </c>
      <c r="K1" s="15" t="s">
        <v>38</v>
      </c>
      <c r="L1" s="15" t="s">
        <v>39</v>
      </c>
      <c r="M1" s="15" t="s">
        <v>40</v>
      </c>
      <c r="N1" s="15" t="s">
        <v>41</v>
      </c>
      <c r="O1" s="15" t="s">
        <v>42</v>
      </c>
    </row>
    <row r="2" spans="1:15">
      <c r="A2" s="15" t="s">
        <v>2</v>
      </c>
      <c r="B2" s="2">
        <f t="shared" ref="B2:B11" si="0">J2</f>
        <v>129311080981534.61</v>
      </c>
      <c r="C2" s="2">
        <f t="shared" ref="C2:C11" si="1">K2</f>
        <v>189203681922290.22</v>
      </c>
      <c r="D2" s="2">
        <f t="shared" ref="D2:D11" si="2">L2</f>
        <v>0</v>
      </c>
      <c r="E2" s="2">
        <f t="shared" ref="E2:E11" si="3">M2</f>
        <v>108776762864286.34</v>
      </c>
      <c r="F2" s="2">
        <f t="shared" ref="F2:F11" si="4">N2</f>
        <v>67546742581028.5</v>
      </c>
      <c r="G2" s="2">
        <f t="shared" ref="G2:G11" si="5">O2</f>
        <v>70365392979019.516</v>
      </c>
      <c r="I2" s="15" t="s">
        <v>106</v>
      </c>
      <c r="J2" s="2">
        <v>129311080981534.61</v>
      </c>
      <c r="K2" s="2">
        <v>189203681922290.22</v>
      </c>
      <c r="L2" s="2">
        <v>0</v>
      </c>
      <c r="M2" s="2">
        <v>108776762864286.34</v>
      </c>
      <c r="N2" s="2">
        <v>67546742581028.5</v>
      </c>
      <c r="O2" s="2">
        <v>70365392979019.516</v>
      </c>
    </row>
    <row r="3" spans="1:15">
      <c r="A3" s="15" t="s">
        <v>3</v>
      </c>
      <c r="B3" s="2">
        <f t="shared" si="0"/>
        <v>0</v>
      </c>
      <c r="C3" s="2">
        <f t="shared" si="1"/>
        <v>0</v>
      </c>
      <c r="D3" s="2">
        <f t="shared" si="2"/>
        <v>0</v>
      </c>
      <c r="E3" s="2">
        <f t="shared" si="3"/>
        <v>0</v>
      </c>
      <c r="F3" s="2">
        <f t="shared" si="4"/>
        <v>0</v>
      </c>
      <c r="G3" s="2">
        <f t="shared" si="5"/>
        <v>0</v>
      </c>
      <c r="I3" s="15" t="s">
        <v>116</v>
      </c>
      <c r="J3" s="2">
        <v>0</v>
      </c>
      <c r="K3" s="2">
        <v>0</v>
      </c>
      <c r="L3" s="2">
        <v>0</v>
      </c>
      <c r="M3" s="2">
        <v>0</v>
      </c>
      <c r="N3" s="2">
        <v>0</v>
      </c>
      <c r="O3" s="2">
        <v>0</v>
      </c>
    </row>
    <row r="4" spans="1:15">
      <c r="A4" s="15" t="s">
        <v>4</v>
      </c>
      <c r="B4" s="2">
        <f t="shared" si="0"/>
        <v>55991397630416.758</v>
      </c>
      <c r="C4" s="2">
        <f t="shared" si="1"/>
        <v>22553995361575.227</v>
      </c>
      <c r="D4" s="2">
        <f t="shared" si="2"/>
        <v>0</v>
      </c>
      <c r="E4" s="2">
        <f t="shared" si="3"/>
        <v>0</v>
      </c>
      <c r="F4" s="2">
        <f t="shared" si="4"/>
        <v>66020140308008.047</v>
      </c>
      <c r="G4" s="2">
        <f t="shared" si="5"/>
        <v>0</v>
      </c>
      <c r="I4" s="15" t="s">
        <v>108</v>
      </c>
      <c r="J4" s="2">
        <v>55991397630416.758</v>
      </c>
      <c r="K4" s="2">
        <v>22553995361575.227</v>
      </c>
      <c r="L4" s="2">
        <v>0</v>
      </c>
      <c r="M4" s="2">
        <v>0</v>
      </c>
      <c r="N4" s="2">
        <v>66020140308008.047</v>
      </c>
      <c r="O4" s="2">
        <v>0</v>
      </c>
    </row>
    <row r="5" spans="1:15">
      <c r="A5" s="15" t="s">
        <v>5</v>
      </c>
      <c r="B5" s="2">
        <f t="shared" si="0"/>
        <v>584640101382.89893</v>
      </c>
      <c r="C5" s="2">
        <f t="shared" si="1"/>
        <v>0</v>
      </c>
      <c r="D5" s="2">
        <f t="shared" si="2"/>
        <v>0</v>
      </c>
      <c r="E5" s="2">
        <f t="shared" si="3"/>
        <v>0</v>
      </c>
      <c r="F5" s="2">
        <f t="shared" si="4"/>
        <v>1652683368723.0925</v>
      </c>
      <c r="G5" s="2">
        <f t="shared" si="5"/>
        <v>0</v>
      </c>
      <c r="I5" s="15" t="s">
        <v>117</v>
      </c>
      <c r="J5" s="2">
        <v>584640101382.89893</v>
      </c>
      <c r="K5" s="2">
        <v>0</v>
      </c>
      <c r="L5" s="2">
        <v>0</v>
      </c>
      <c r="M5" s="2">
        <v>0</v>
      </c>
      <c r="N5" s="2">
        <v>1652683368723.0925</v>
      </c>
      <c r="O5" s="2">
        <v>0</v>
      </c>
    </row>
    <row r="6" spans="1:15">
      <c r="A6" s="15" t="s">
        <v>7</v>
      </c>
      <c r="B6" s="2">
        <f t="shared" si="0"/>
        <v>15013939099192.533</v>
      </c>
      <c r="C6" s="2">
        <f t="shared" si="1"/>
        <v>1216448800807.4678</v>
      </c>
      <c r="D6" s="2">
        <f t="shared" si="2"/>
        <v>0</v>
      </c>
      <c r="E6" s="2">
        <f t="shared" si="3"/>
        <v>0</v>
      </c>
      <c r="F6" s="2">
        <f t="shared" si="4"/>
        <v>0</v>
      </c>
      <c r="G6" s="2">
        <f t="shared" si="5"/>
        <v>0</v>
      </c>
      <c r="I6" s="15" t="s">
        <v>118</v>
      </c>
      <c r="J6" s="2">
        <v>15013939099192.533</v>
      </c>
      <c r="K6" s="2">
        <v>1216448800807.4678</v>
      </c>
      <c r="L6" s="2">
        <v>0</v>
      </c>
      <c r="M6" s="2">
        <v>0</v>
      </c>
      <c r="N6" s="2">
        <v>0</v>
      </c>
      <c r="O6" s="2">
        <v>0</v>
      </c>
    </row>
    <row r="7" spans="1:15">
      <c r="A7" s="15" t="s">
        <v>11</v>
      </c>
      <c r="B7" s="2">
        <f t="shared" si="0"/>
        <v>20178874268305.18</v>
      </c>
      <c r="C7" s="2">
        <f t="shared" si="1"/>
        <v>6870282047572.9375</v>
      </c>
      <c r="D7" s="2">
        <f t="shared" si="2"/>
        <v>0</v>
      </c>
      <c r="E7" s="2">
        <f t="shared" si="3"/>
        <v>7051579915006.5176</v>
      </c>
      <c r="F7" s="2">
        <f t="shared" si="4"/>
        <v>10432702095698.609</v>
      </c>
      <c r="G7" s="2">
        <f t="shared" si="5"/>
        <v>12213394673416.766</v>
      </c>
      <c r="I7" s="15" t="s">
        <v>119</v>
      </c>
      <c r="J7" s="2">
        <v>20178874268305.18</v>
      </c>
      <c r="K7" s="2">
        <v>6870282047572.9375</v>
      </c>
      <c r="L7" s="2">
        <v>0</v>
      </c>
      <c r="M7" s="2">
        <v>7051579915006.5176</v>
      </c>
      <c r="N7" s="2">
        <v>10432702095698.609</v>
      </c>
      <c r="O7" s="2">
        <v>12213394673416.766</v>
      </c>
    </row>
    <row r="8" spans="1:15">
      <c r="A8" s="15" t="s">
        <v>13</v>
      </c>
      <c r="B8" s="2">
        <f t="shared" si="0"/>
        <v>30210188668175.012</v>
      </c>
      <c r="C8" s="2">
        <f t="shared" si="1"/>
        <v>0</v>
      </c>
      <c r="D8" s="2">
        <f t="shared" si="2"/>
        <v>0</v>
      </c>
      <c r="E8" s="2">
        <f t="shared" si="3"/>
        <v>0</v>
      </c>
      <c r="F8" s="2">
        <f t="shared" si="4"/>
        <v>3012656811515.2612</v>
      </c>
      <c r="G8" s="2">
        <f t="shared" si="5"/>
        <v>0</v>
      </c>
      <c r="I8" s="15" t="s">
        <v>112</v>
      </c>
      <c r="J8" s="2">
        <v>30210188668175.012</v>
      </c>
      <c r="K8" s="2">
        <v>0</v>
      </c>
      <c r="L8" s="2">
        <v>0</v>
      </c>
      <c r="M8" s="2">
        <v>0</v>
      </c>
      <c r="N8" s="2">
        <v>3012656811515.2612</v>
      </c>
      <c r="O8" s="2">
        <v>0</v>
      </c>
    </row>
    <row r="9" spans="1:15">
      <c r="A9" s="15" t="s">
        <v>14</v>
      </c>
      <c r="B9" s="2">
        <f t="shared" si="0"/>
        <v>3914557358154.1328</v>
      </c>
      <c r="C9" s="2">
        <f t="shared" si="1"/>
        <v>0</v>
      </c>
      <c r="D9" s="2">
        <f t="shared" si="2"/>
        <v>0</v>
      </c>
      <c r="E9" s="2">
        <f t="shared" si="3"/>
        <v>0</v>
      </c>
      <c r="F9" s="2">
        <f t="shared" si="4"/>
        <v>42320867516.84391</v>
      </c>
      <c r="G9" s="2">
        <f t="shared" si="5"/>
        <v>0</v>
      </c>
      <c r="I9" s="15" t="s">
        <v>120</v>
      </c>
      <c r="J9" s="2">
        <v>3914557358154.1328</v>
      </c>
      <c r="K9" s="2">
        <v>0</v>
      </c>
      <c r="L9" s="2">
        <v>0</v>
      </c>
      <c r="M9" s="2">
        <v>0</v>
      </c>
      <c r="N9" s="2">
        <v>42320867516.84391</v>
      </c>
      <c r="O9" s="2">
        <v>0</v>
      </c>
    </row>
    <row r="10" spans="1:15">
      <c r="A10" s="15" t="s">
        <v>15</v>
      </c>
      <c r="B10" s="2">
        <f t="shared" si="0"/>
        <v>26751168624944.395</v>
      </c>
      <c r="C10" s="2">
        <f t="shared" si="1"/>
        <v>3564313909643.1494</v>
      </c>
      <c r="D10" s="2">
        <f t="shared" si="2"/>
        <v>0</v>
      </c>
      <c r="E10" s="2">
        <f t="shared" si="3"/>
        <v>0</v>
      </c>
      <c r="F10" s="2">
        <f t="shared" si="4"/>
        <v>44126088763837.563</v>
      </c>
      <c r="G10" s="2">
        <f t="shared" si="5"/>
        <v>0</v>
      </c>
      <c r="I10" s="15" t="s">
        <v>114</v>
      </c>
      <c r="J10" s="2">
        <v>26751168624944.395</v>
      </c>
      <c r="K10" s="2">
        <v>3564313909643.1494</v>
      </c>
      <c r="L10" s="2">
        <v>0</v>
      </c>
      <c r="M10" s="2">
        <v>0</v>
      </c>
      <c r="N10" s="2">
        <v>44126088763837.563</v>
      </c>
      <c r="O10" s="2">
        <v>0</v>
      </c>
    </row>
    <row r="11" spans="1:15">
      <c r="A11" s="15" t="s">
        <v>16</v>
      </c>
      <c r="B11" s="2">
        <f t="shared" si="0"/>
        <v>0</v>
      </c>
      <c r="C11" s="2">
        <f t="shared" si="1"/>
        <v>0</v>
      </c>
      <c r="D11" s="2">
        <f t="shared" si="2"/>
        <v>0</v>
      </c>
      <c r="E11" s="2">
        <f t="shared" si="3"/>
        <v>0</v>
      </c>
      <c r="F11" s="2">
        <f t="shared" si="4"/>
        <v>0</v>
      </c>
      <c r="G11" s="2">
        <f t="shared" si="5"/>
        <v>0</v>
      </c>
      <c r="I11" s="15" t="s">
        <v>115</v>
      </c>
      <c r="J11" s="2">
        <v>0</v>
      </c>
      <c r="K11" s="2">
        <v>0</v>
      </c>
      <c r="L11" s="2">
        <v>0</v>
      </c>
      <c r="M11" s="2">
        <v>0</v>
      </c>
      <c r="N11" s="2">
        <v>0</v>
      </c>
      <c r="O11" s="2">
        <v>0</v>
      </c>
    </row>
    <row r="12" spans="1:15">
      <c r="A12" s="15"/>
    </row>
    <row r="13" spans="1:15">
      <c r="A13" s="15" t="s">
        <v>44</v>
      </c>
      <c r="B13" s="15" t="s">
        <v>37</v>
      </c>
      <c r="C13" s="15" t="s">
        <v>38</v>
      </c>
      <c r="D13" s="15" t="s">
        <v>39</v>
      </c>
      <c r="E13" s="15" t="s">
        <v>40</v>
      </c>
      <c r="F13" s="15" t="s">
        <v>41</v>
      </c>
      <c r="G13" s="15" t="s">
        <v>42</v>
      </c>
      <c r="I13" s="15" t="s">
        <v>105</v>
      </c>
      <c r="J13" s="15" t="s">
        <v>37</v>
      </c>
      <c r="K13" s="15" t="s">
        <v>38</v>
      </c>
      <c r="L13" s="15" t="s">
        <v>39</v>
      </c>
      <c r="M13" s="15" t="s">
        <v>40</v>
      </c>
      <c r="N13" s="15" t="s">
        <v>41</v>
      </c>
      <c r="O13" s="15" t="s">
        <v>42</v>
      </c>
    </row>
    <row r="14" spans="1:15">
      <c r="A14" s="15" t="s">
        <v>2</v>
      </c>
      <c r="B14" s="2">
        <f>J14*About!$B$37</f>
        <v>67639098395954.93</v>
      </c>
      <c r="C14" s="2">
        <f>K14*About!$B$37</f>
        <v>38299479349046.078</v>
      </c>
      <c r="D14" s="2">
        <f>L14*About!$B$37</f>
        <v>0</v>
      </c>
      <c r="E14" s="2">
        <f>M14*About!$B$37</f>
        <v>38299479349046.078</v>
      </c>
      <c r="F14" s="2">
        <f>N14*About!$B$37</f>
        <v>87826148177692.922</v>
      </c>
      <c r="G14" s="2">
        <f>O14*About!$B$37</f>
        <v>0</v>
      </c>
      <c r="I14" s="15" t="s">
        <v>106</v>
      </c>
      <c r="J14" s="2">
        <v>73680935071846.328</v>
      </c>
      <c r="K14" s="2">
        <v>41720565739701.609</v>
      </c>
      <c r="L14" s="2"/>
      <c r="M14" s="2">
        <v>41720565739701.609</v>
      </c>
      <c r="N14" s="2">
        <v>95671185378750.453</v>
      </c>
      <c r="O14" s="2"/>
    </row>
    <row r="15" spans="1:15">
      <c r="A15" s="15" t="s">
        <v>3</v>
      </c>
      <c r="B15" s="2">
        <f>J15*About!$B$37</f>
        <v>7996184333100.001</v>
      </c>
      <c r="C15" s="2">
        <f>K15*About!$B$37</f>
        <v>0</v>
      </c>
      <c r="D15" s="2">
        <f>L15*About!$B$37</f>
        <v>0</v>
      </c>
      <c r="E15" s="2">
        <f>M15*About!$B$37</f>
        <v>0</v>
      </c>
      <c r="F15" s="2">
        <f>N15*About!$B$37</f>
        <v>0</v>
      </c>
      <c r="G15" s="2">
        <f>O15*About!$B$37</f>
        <v>0</v>
      </c>
      <c r="I15" s="15" t="s">
        <v>107</v>
      </c>
      <c r="J15" s="2">
        <v>8710440450000.001</v>
      </c>
      <c r="K15" s="2"/>
      <c r="L15" s="2"/>
      <c r="M15" s="2"/>
      <c r="N15" s="2"/>
      <c r="O15" s="2"/>
    </row>
    <row r="16" spans="1:15">
      <c r="A16" s="15" t="s">
        <v>4</v>
      </c>
      <c r="B16" s="2">
        <f>J16*About!$B$37</f>
        <v>328232931999360.94</v>
      </c>
      <c r="C16" s="2">
        <f>K16*About!$B$37</f>
        <v>0</v>
      </c>
      <c r="D16" s="2">
        <f>L16*About!$B$37</f>
        <v>0</v>
      </c>
      <c r="E16" s="2">
        <f>M16*About!$B$37</f>
        <v>0</v>
      </c>
      <c r="F16" s="2">
        <f>N16*About!$B$37</f>
        <v>68855031946379.063</v>
      </c>
      <c r="G16" s="2">
        <f>O16*About!$B$37</f>
        <v>0</v>
      </c>
      <c r="I16" s="15" t="s">
        <v>108</v>
      </c>
      <c r="J16" s="2">
        <v>357552213506929.13</v>
      </c>
      <c r="K16" s="2"/>
      <c r="L16" s="2"/>
      <c r="M16" s="2"/>
      <c r="N16" s="2">
        <v>75005481423070.875</v>
      </c>
      <c r="O16" s="2"/>
    </row>
    <row r="17" spans="1:15">
      <c r="A17" s="15" t="s">
        <v>5</v>
      </c>
      <c r="B17" s="2">
        <f>J17*About!$B$37</f>
        <v>0</v>
      </c>
      <c r="C17" s="2">
        <f>K17*About!$B$37</f>
        <v>0</v>
      </c>
      <c r="D17" s="2">
        <f>L17*About!$B$37</f>
        <v>0</v>
      </c>
      <c r="E17" s="2">
        <f>M17*About!$B$37</f>
        <v>0</v>
      </c>
      <c r="F17" s="2">
        <f>N17*About!$B$37</f>
        <v>0</v>
      </c>
      <c r="G17" s="2">
        <f>O17*About!$B$37</f>
        <v>0</v>
      </c>
      <c r="I17" s="15" t="s">
        <v>109</v>
      </c>
      <c r="J17" s="2"/>
      <c r="K17" s="2"/>
      <c r="L17" s="2"/>
      <c r="M17" s="2"/>
      <c r="N17" s="2"/>
      <c r="O17" s="2"/>
    </row>
    <row r="18" spans="1:15">
      <c r="A18" s="15" t="s">
        <v>7</v>
      </c>
      <c r="B18" s="2">
        <f>J18*About!$B$37</f>
        <v>80129417125680</v>
      </c>
      <c r="C18" s="2">
        <f>K18*About!$B$37</f>
        <v>0</v>
      </c>
      <c r="D18" s="2">
        <f>L18*About!$B$37</f>
        <v>0</v>
      </c>
      <c r="E18" s="2">
        <f>M18*About!$B$37</f>
        <v>0</v>
      </c>
      <c r="F18" s="2">
        <f>N18*About!$B$37</f>
        <v>0</v>
      </c>
      <c r="G18" s="2">
        <f>O18*About!$B$37</f>
        <v>0</v>
      </c>
      <c r="I18" s="15" t="s">
        <v>110</v>
      </c>
      <c r="J18" s="2">
        <v>87286946760000</v>
      </c>
      <c r="K18" s="2"/>
      <c r="L18" s="2"/>
      <c r="M18" s="2"/>
      <c r="N18" s="2"/>
      <c r="O18" s="2"/>
    </row>
    <row r="19" spans="1:15">
      <c r="A19" s="15" t="s">
        <v>11</v>
      </c>
      <c r="B19" s="2">
        <f>J19*About!$B$37</f>
        <v>4611922262280</v>
      </c>
      <c r="C19" s="2">
        <f>K19*About!$B$37</f>
        <v>0</v>
      </c>
      <c r="D19" s="2">
        <f>L19*About!$B$37</f>
        <v>0</v>
      </c>
      <c r="E19" s="2">
        <f>M19*About!$B$37</f>
        <v>0</v>
      </c>
      <c r="F19" s="2">
        <f>N19*About!$B$37</f>
        <v>0</v>
      </c>
      <c r="G19" s="2">
        <f>O19*About!$B$37</f>
        <v>0</v>
      </c>
      <c r="I19" s="15" t="s">
        <v>111</v>
      </c>
      <c r="J19" s="2">
        <v>5023880460000</v>
      </c>
      <c r="K19" s="2"/>
      <c r="L19" s="2"/>
      <c r="M19" s="2"/>
      <c r="N19" s="2"/>
      <c r="O19" s="2"/>
    </row>
    <row r="20" spans="1:15">
      <c r="A20" s="15" t="s">
        <v>13</v>
      </c>
      <c r="B20" s="2">
        <f>J20*About!$B$37</f>
        <v>0</v>
      </c>
      <c r="C20" s="2">
        <f>K20*About!$B$37</f>
        <v>0</v>
      </c>
      <c r="D20" s="2">
        <f>L20*About!$B$37</f>
        <v>0</v>
      </c>
      <c r="E20" s="2">
        <f>M20*About!$B$37</f>
        <v>0</v>
      </c>
      <c r="F20" s="2">
        <f>N20*About!$B$37</f>
        <v>0</v>
      </c>
      <c r="G20" s="2">
        <f>O20*About!$B$37</f>
        <v>0</v>
      </c>
      <c r="I20" s="15" t="s">
        <v>112</v>
      </c>
      <c r="J20" s="2"/>
      <c r="K20" s="2"/>
      <c r="L20" s="2"/>
      <c r="M20" s="2"/>
      <c r="N20" s="2"/>
      <c r="O20" s="2"/>
    </row>
    <row r="21" spans="1:15">
      <c r="A21" s="15" t="s">
        <v>14</v>
      </c>
      <c r="B21" s="2">
        <f>J21*About!$B$37</f>
        <v>55753145501365.469</v>
      </c>
      <c r="C21" s="2">
        <f>K21*About!$B$37</f>
        <v>0</v>
      </c>
      <c r="D21" s="2">
        <f>L21*About!$B$37</f>
        <v>0</v>
      </c>
      <c r="E21" s="2">
        <f>M21*About!$B$37</f>
        <v>0</v>
      </c>
      <c r="F21" s="2">
        <f>N21*About!$B$37</f>
        <v>0</v>
      </c>
      <c r="G21" s="2">
        <f>O21*About!$B$37</f>
        <v>0</v>
      </c>
      <c r="I21" s="15" t="s">
        <v>113</v>
      </c>
      <c r="J21" s="2">
        <v>60733273966629.047</v>
      </c>
      <c r="K21" s="2"/>
      <c r="L21" s="2"/>
      <c r="M21" s="2"/>
      <c r="N21" s="2"/>
      <c r="O21" s="2"/>
    </row>
    <row r="22" spans="1:15">
      <c r="A22" s="15" t="s">
        <v>15</v>
      </c>
      <c r="B22" s="2">
        <f>J22*About!$B$37</f>
        <v>17068940735236.404</v>
      </c>
      <c r="C22" s="2">
        <f>K22*About!$B$37</f>
        <v>0</v>
      </c>
      <c r="D22" s="2">
        <f>L22*About!$B$37</f>
        <v>0</v>
      </c>
      <c r="E22" s="2">
        <f>M22*About!$B$37</f>
        <v>0</v>
      </c>
      <c r="F22" s="2">
        <f>N22*About!$B$37</f>
        <v>3580635411738.1543</v>
      </c>
      <c r="G22" s="2">
        <f>O22*About!$B$37</f>
        <v>0</v>
      </c>
      <c r="I22" s="15" t="s">
        <v>114</v>
      </c>
      <c r="J22" s="2">
        <v>18593617358645.32</v>
      </c>
      <c r="K22" s="2"/>
      <c r="L22" s="2"/>
      <c r="M22" s="2"/>
      <c r="N22" s="2">
        <v>3900474304725.6582</v>
      </c>
      <c r="O22" s="2"/>
    </row>
    <row r="23" spans="1:15">
      <c r="A23" s="15" t="s">
        <v>16</v>
      </c>
      <c r="B23" s="2">
        <f>J23*About!$B$37</f>
        <v>0</v>
      </c>
      <c r="C23" s="2">
        <f>K23*About!$B$37</f>
        <v>0</v>
      </c>
      <c r="D23" s="2">
        <f>L23*About!$B$37</f>
        <v>0</v>
      </c>
      <c r="E23" s="2">
        <f>M23*About!$B$37</f>
        <v>0</v>
      </c>
      <c r="F23" s="2">
        <f>N23*About!$B$37</f>
        <v>0</v>
      </c>
      <c r="G23" s="2">
        <f>O23*About!$B$37</f>
        <v>0</v>
      </c>
      <c r="I23" s="15" t="s">
        <v>115</v>
      </c>
      <c r="J23" s="2"/>
      <c r="K23" s="2"/>
      <c r="L23" s="2"/>
      <c r="M23" s="2"/>
      <c r="N23" s="2"/>
      <c r="O23" s="2"/>
    </row>
    <row r="25" spans="1:15">
      <c r="A25" s="1" t="s">
        <v>47</v>
      </c>
      <c r="B25" s="14" t="s">
        <v>37</v>
      </c>
      <c r="C25" s="14" t="s">
        <v>38</v>
      </c>
      <c r="D25" s="14" t="s">
        <v>39</v>
      </c>
      <c r="E25" s="14" t="s">
        <v>40</v>
      </c>
      <c r="F25" s="14" t="s">
        <v>41</v>
      </c>
      <c r="G25" s="14" t="s">
        <v>42</v>
      </c>
    </row>
    <row r="26" spans="1:15">
      <c r="A26" s="1" t="s">
        <v>2</v>
      </c>
      <c r="B26" s="2">
        <f>J14*(1-About!$B$37)</f>
        <v>6041836675891.3965</v>
      </c>
      <c r="C26" s="2">
        <f>K14*(1-About!$B$37)</f>
        <v>3421086390655.5303</v>
      </c>
      <c r="D26" s="2">
        <f>L14*(1-About!$B$37)</f>
        <v>0</v>
      </c>
      <c r="E26" s="2">
        <f>M14*(1-About!$B$37)</f>
        <v>3421086390655.5303</v>
      </c>
      <c r="F26" s="2">
        <f>N14*(1-About!$B$37)</f>
        <v>7845037201057.5332</v>
      </c>
      <c r="G26" s="2">
        <f>O14*(1-About!$B$37)</f>
        <v>0</v>
      </c>
    </row>
    <row r="27" spans="1:15">
      <c r="A27" s="1" t="s">
        <v>3</v>
      </c>
      <c r="B27" s="2">
        <f>J15*(1-About!$B$37)</f>
        <v>714256116899.99976</v>
      </c>
      <c r="C27" s="2">
        <f>K15*(1-About!$B$37)</f>
        <v>0</v>
      </c>
      <c r="D27" s="2">
        <f>L15*(1-About!$B$37)</f>
        <v>0</v>
      </c>
      <c r="E27" s="2">
        <f>M15*(1-About!$B$37)</f>
        <v>0</v>
      </c>
      <c r="F27" s="2">
        <f>N15*(1-About!$B$37)</f>
        <v>0</v>
      </c>
      <c r="G27" s="2">
        <f>O15*(1-About!$B$37)</f>
        <v>0</v>
      </c>
    </row>
    <row r="28" spans="1:15">
      <c r="A28" s="1" t="s">
        <v>4</v>
      </c>
      <c r="B28" s="2">
        <f>J16*(1-About!$B$37)</f>
        <v>29319281507568.176</v>
      </c>
      <c r="C28" s="2">
        <f>K16*(1-About!$B$37)</f>
        <v>0</v>
      </c>
      <c r="D28" s="2">
        <f>L16*(1-About!$B$37)</f>
        <v>0</v>
      </c>
      <c r="E28" s="2">
        <f>M16*(1-About!$B$37)</f>
        <v>0</v>
      </c>
      <c r="F28" s="2">
        <f>N16*(1-About!$B$37)</f>
        <v>6150449476691.8086</v>
      </c>
      <c r="G28" s="2">
        <f>O16*(1-About!$B$37)</f>
        <v>0</v>
      </c>
    </row>
    <row r="29" spans="1:15">
      <c r="A29" s="1" t="s">
        <v>5</v>
      </c>
      <c r="B29" s="2">
        <f>J17*(1-About!$B$37)</f>
        <v>0</v>
      </c>
      <c r="C29" s="2">
        <f>K17*(1-About!$B$37)</f>
        <v>0</v>
      </c>
      <c r="D29" s="2">
        <f>L17*(1-About!$B$37)</f>
        <v>0</v>
      </c>
      <c r="E29" s="2">
        <f>M17*(1-About!$B$37)</f>
        <v>0</v>
      </c>
      <c r="F29" s="2">
        <f>N17*(1-About!$B$37)</f>
        <v>0</v>
      </c>
      <c r="G29" s="2">
        <f>O17*(1-About!$B$37)</f>
        <v>0</v>
      </c>
    </row>
    <row r="30" spans="1:15">
      <c r="A30" s="1" t="s">
        <v>7</v>
      </c>
      <c r="B30" s="2">
        <f>J18*(1-About!$B$37)</f>
        <v>7157529634319.9971</v>
      </c>
      <c r="C30" s="2">
        <f>K18*(1-About!$B$37)</f>
        <v>0</v>
      </c>
      <c r="D30" s="2">
        <f>L18*(1-About!$B$37)</f>
        <v>0</v>
      </c>
      <c r="E30" s="2">
        <f>M18*(1-About!$B$37)</f>
        <v>0</v>
      </c>
      <c r="F30" s="2">
        <f>N18*(1-About!$B$37)</f>
        <v>0</v>
      </c>
      <c r="G30" s="2">
        <f>O18*(1-About!$B$37)</f>
        <v>0</v>
      </c>
    </row>
    <row r="31" spans="1:15">
      <c r="A31" s="1" t="s">
        <v>11</v>
      </c>
      <c r="B31" s="2">
        <f>J19*(1-About!$B$37)</f>
        <v>411958197719.99982</v>
      </c>
      <c r="C31" s="2">
        <f>K19*(1-About!$B$37)</f>
        <v>0</v>
      </c>
      <c r="D31" s="2">
        <f>L19*(1-About!$B$37)</f>
        <v>0</v>
      </c>
      <c r="E31" s="2">
        <f>M19*(1-About!$B$37)</f>
        <v>0</v>
      </c>
      <c r="F31" s="2">
        <f>N19*(1-About!$B$37)</f>
        <v>0</v>
      </c>
      <c r="G31" s="2">
        <f>O19*(1-About!$B$37)</f>
        <v>0</v>
      </c>
    </row>
    <row r="32" spans="1:15">
      <c r="A32" s="1" t="s">
        <v>13</v>
      </c>
      <c r="B32" s="2">
        <f>J20*(1-About!$B$37)</f>
        <v>0</v>
      </c>
      <c r="C32" s="2">
        <f>K20*(1-About!$B$37)</f>
        <v>0</v>
      </c>
      <c r="D32" s="2">
        <f>L20*(1-About!$B$37)</f>
        <v>0</v>
      </c>
      <c r="E32" s="2">
        <f>M20*(1-About!$B$37)</f>
        <v>0</v>
      </c>
      <c r="F32" s="2">
        <f>N20*(1-About!$B$37)</f>
        <v>0</v>
      </c>
      <c r="G32" s="2">
        <f>O20*(1-About!$B$37)</f>
        <v>0</v>
      </c>
    </row>
    <row r="33" spans="1:7">
      <c r="A33" s="1" t="s">
        <v>14</v>
      </c>
      <c r="B33" s="2">
        <f>J21*(1-About!$B$37)</f>
        <v>4980128465263.5791</v>
      </c>
      <c r="C33" s="2">
        <f>K21*(1-About!$B$37)</f>
        <v>0</v>
      </c>
      <c r="D33" s="2">
        <f>L21*(1-About!$B$37)</f>
        <v>0</v>
      </c>
      <c r="E33" s="2">
        <f>M21*(1-About!$B$37)</f>
        <v>0</v>
      </c>
      <c r="F33" s="2">
        <f>N21*(1-About!$B$37)</f>
        <v>0</v>
      </c>
      <c r="G33" s="2">
        <f>O21*(1-About!$B$37)</f>
        <v>0</v>
      </c>
    </row>
    <row r="34" spans="1:7">
      <c r="A34" s="1" t="s">
        <v>15</v>
      </c>
      <c r="B34" s="2">
        <f>J22*(1-About!$B$37)</f>
        <v>1524676623408.9155</v>
      </c>
      <c r="C34" s="2">
        <f>K22*(1-About!$B$37)</f>
        <v>0</v>
      </c>
      <c r="D34" s="2">
        <f>L22*(1-About!$B$37)</f>
        <v>0</v>
      </c>
      <c r="E34" s="2">
        <f>M22*(1-About!$B$37)</f>
        <v>0</v>
      </c>
      <c r="F34" s="2">
        <f>N22*(1-About!$B$37)</f>
        <v>319838892987.50385</v>
      </c>
      <c r="G34" s="2">
        <f>O22*(1-About!$B$37)</f>
        <v>0</v>
      </c>
    </row>
    <row r="35" spans="1:7">
      <c r="A35" s="1" t="s">
        <v>16</v>
      </c>
      <c r="B35" s="2">
        <f>J23*(1-About!$B$37)</f>
        <v>0</v>
      </c>
      <c r="C35" s="2">
        <f>K23*(1-About!$B$37)</f>
        <v>0</v>
      </c>
      <c r="D35" s="2">
        <f>L23*(1-About!$B$37)</f>
        <v>0</v>
      </c>
      <c r="E35" s="2">
        <f>M23*(1-About!$B$37)</f>
        <v>0</v>
      </c>
      <c r="F35" s="2">
        <f>N23*(1-About!$B$37)</f>
        <v>0</v>
      </c>
      <c r="G35" s="2">
        <f>O23*(1-About!$B$37)</f>
        <v>0</v>
      </c>
    </row>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3329B-C745-41ED-9C35-7E1E1BEFFFDB}">
  <dimension ref="A1:O35"/>
  <sheetViews>
    <sheetView workbookViewId="0">
      <selection activeCell="B1" sqref="B1:G1"/>
    </sheetView>
  </sheetViews>
  <sheetFormatPr defaultColWidth="11.875" defaultRowHeight="16.5"/>
  <cols>
    <col min="1" max="1" width="30.25" bestFit="1" customWidth="1"/>
    <col min="9" max="9" width="11.875" style="15"/>
    <col min="10" max="15" width="13" bestFit="1" customWidth="1"/>
  </cols>
  <sheetData>
    <row r="1" spans="1:15">
      <c r="A1" s="15" t="s">
        <v>43</v>
      </c>
      <c r="B1" s="15" t="s">
        <v>37</v>
      </c>
      <c r="C1" s="15" t="s">
        <v>38</v>
      </c>
      <c r="D1" s="15" t="s">
        <v>39</v>
      </c>
      <c r="E1" s="15" t="s">
        <v>40</v>
      </c>
      <c r="F1" s="15" t="s">
        <v>41</v>
      </c>
      <c r="G1" s="15" t="s">
        <v>42</v>
      </c>
      <c r="J1" s="15"/>
      <c r="K1" s="15"/>
      <c r="L1" s="15"/>
      <c r="M1" s="15"/>
      <c r="N1" s="15"/>
      <c r="O1" s="15"/>
    </row>
    <row r="2" spans="1:15">
      <c r="A2" s="15" t="s">
        <v>2</v>
      </c>
      <c r="B2" s="2">
        <v>130455029942383.02</v>
      </c>
      <c r="C2" s="2">
        <v>190877467835924.91</v>
      </c>
      <c r="D2" s="2">
        <v>0</v>
      </c>
      <c r="E2" s="2">
        <v>109739055988388.72</v>
      </c>
      <c r="F2" s="2">
        <v>68144296355577.398</v>
      </c>
      <c r="G2" s="2">
        <v>70987881805885.125</v>
      </c>
      <c r="J2" s="2"/>
      <c r="K2" s="2"/>
      <c r="L2" s="2"/>
      <c r="M2" s="2"/>
      <c r="N2" s="2"/>
      <c r="O2" s="2"/>
    </row>
    <row r="3" spans="1:15">
      <c r="A3" s="15" t="s">
        <v>3</v>
      </c>
      <c r="B3" s="2">
        <v>0</v>
      </c>
      <c r="C3" s="2">
        <v>0</v>
      </c>
      <c r="D3" s="2">
        <v>0</v>
      </c>
      <c r="E3" s="2">
        <v>0</v>
      </c>
      <c r="F3" s="2">
        <v>0</v>
      </c>
      <c r="G3" s="2">
        <v>0</v>
      </c>
      <c r="J3" s="2"/>
      <c r="K3" s="2"/>
      <c r="L3" s="2"/>
      <c r="M3" s="2"/>
      <c r="N3" s="2"/>
      <c r="O3" s="2"/>
    </row>
    <row r="4" spans="1:15">
      <c r="A4" s="15" t="s">
        <v>4</v>
      </c>
      <c r="B4" s="2">
        <v>55822332197000.734</v>
      </c>
      <c r="C4" s="2">
        <v>22485893810936.379</v>
      </c>
      <c r="D4" s="2">
        <v>0</v>
      </c>
      <c r="E4" s="2">
        <v>0</v>
      </c>
      <c r="F4" s="2">
        <v>65820793192062.914</v>
      </c>
      <c r="G4" s="2">
        <v>0</v>
      </c>
      <c r="J4" s="2"/>
      <c r="K4" s="2"/>
      <c r="L4" s="2"/>
      <c r="M4" s="2"/>
      <c r="N4" s="2"/>
      <c r="O4" s="2"/>
    </row>
    <row r="5" spans="1:15">
      <c r="A5" s="15" t="s">
        <v>5</v>
      </c>
      <c r="B5" s="2">
        <v>1163069425498.9465</v>
      </c>
      <c r="C5" s="2">
        <v>0</v>
      </c>
      <c r="D5" s="2">
        <v>0</v>
      </c>
      <c r="E5" s="2">
        <v>0</v>
      </c>
      <c r="F5" s="2">
        <v>3382111272232.6724</v>
      </c>
      <c r="G5" s="2">
        <v>0</v>
      </c>
      <c r="J5" s="2"/>
      <c r="K5" s="2"/>
      <c r="L5" s="2"/>
      <c r="M5" s="2"/>
      <c r="N5" s="2"/>
      <c r="O5" s="2"/>
    </row>
    <row r="6" spans="1:15">
      <c r="A6" s="15" t="s">
        <v>7</v>
      </c>
      <c r="B6" s="2">
        <v>15124065791851.648</v>
      </c>
      <c r="C6" s="2">
        <v>1225371408148.354</v>
      </c>
      <c r="D6" s="2">
        <v>0</v>
      </c>
      <c r="E6" s="2">
        <v>0</v>
      </c>
      <c r="F6" s="2">
        <v>0</v>
      </c>
      <c r="G6" s="2">
        <v>0</v>
      </c>
      <c r="J6" s="2"/>
      <c r="K6" s="2"/>
      <c r="L6" s="2"/>
      <c r="M6" s="2"/>
      <c r="N6" s="2"/>
      <c r="O6" s="2"/>
    </row>
    <row r="7" spans="1:15">
      <c r="A7" s="15" t="s">
        <v>11</v>
      </c>
      <c r="B7" s="2">
        <v>21646428760545.555</v>
      </c>
      <c r="C7" s="2">
        <v>7369938923760.0596</v>
      </c>
      <c r="D7" s="2">
        <v>0</v>
      </c>
      <c r="E7" s="2">
        <v>7564422090643.3555</v>
      </c>
      <c r="F7" s="2">
        <v>11191444066294.871</v>
      </c>
      <c r="G7" s="2">
        <v>13101641558756.166</v>
      </c>
      <c r="J7" s="2"/>
      <c r="K7" s="2"/>
      <c r="L7" s="2"/>
      <c r="M7" s="2"/>
      <c r="N7" s="2"/>
      <c r="O7" s="2"/>
    </row>
    <row r="8" spans="1:15">
      <c r="A8" s="15" t="s">
        <v>13</v>
      </c>
      <c r="B8" s="2">
        <v>29890469275228.047</v>
      </c>
      <c r="C8" s="2">
        <v>0</v>
      </c>
      <c r="D8" s="2">
        <v>0</v>
      </c>
      <c r="E8" s="2">
        <v>0</v>
      </c>
      <c r="F8" s="2">
        <v>2980773369226.4717</v>
      </c>
      <c r="G8" s="2">
        <v>0</v>
      </c>
      <c r="J8" s="2"/>
      <c r="K8" s="2"/>
      <c r="L8" s="2"/>
      <c r="M8" s="2"/>
      <c r="N8" s="2"/>
      <c r="O8" s="2"/>
    </row>
    <row r="9" spans="1:15">
      <c r="A9" s="15" t="s">
        <v>14</v>
      </c>
      <c r="B9" s="2">
        <v>3543821376625.1646</v>
      </c>
      <c r="C9" s="2">
        <v>0</v>
      </c>
      <c r="D9" s="2">
        <v>0</v>
      </c>
      <c r="E9" s="2">
        <v>0</v>
      </c>
      <c r="F9" s="2">
        <v>42498441178.401688</v>
      </c>
      <c r="G9" s="2">
        <v>0</v>
      </c>
      <c r="J9" s="2"/>
      <c r="K9" s="2"/>
      <c r="L9" s="2"/>
      <c r="M9" s="2"/>
      <c r="N9" s="2"/>
      <c r="O9" s="2"/>
    </row>
    <row r="10" spans="1:15">
      <c r="A10" s="15" t="s">
        <v>15</v>
      </c>
      <c r="B10" s="2">
        <v>25521553368363.07</v>
      </c>
      <c r="C10" s="2">
        <v>3406977794772.604</v>
      </c>
      <c r="D10" s="2">
        <v>0</v>
      </c>
      <c r="E10" s="2">
        <v>0</v>
      </c>
      <c r="F10" s="2">
        <v>42054426106086.336</v>
      </c>
      <c r="G10" s="2">
        <v>0</v>
      </c>
      <c r="J10" s="2"/>
      <c r="K10" s="2"/>
      <c r="L10" s="2"/>
      <c r="M10" s="2"/>
      <c r="N10" s="2"/>
      <c r="O10" s="2"/>
    </row>
    <row r="11" spans="1:15">
      <c r="A11" s="15" t="s">
        <v>16</v>
      </c>
      <c r="B11" s="2">
        <v>0</v>
      </c>
      <c r="C11" s="2">
        <v>0</v>
      </c>
      <c r="D11" s="2">
        <v>0</v>
      </c>
      <c r="E11" s="2">
        <v>0</v>
      </c>
      <c r="F11" s="2">
        <v>0</v>
      </c>
      <c r="G11" s="2">
        <v>0</v>
      </c>
      <c r="J11" s="2"/>
      <c r="K11" s="2"/>
      <c r="L11" s="2"/>
      <c r="M11" s="2"/>
      <c r="N11" s="2"/>
      <c r="O11" s="2"/>
    </row>
    <row r="12" spans="1:15">
      <c r="A12" s="15"/>
    </row>
    <row r="13" spans="1:15">
      <c r="A13" s="15" t="s">
        <v>44</v>
      </c>
      <c r="B13" s="15" t="s">
        <v>37</v>
      </c>
      <c r="C13" s="15" t="s">
        <v>38</v>
      </c>
      <c r="D13" s="15" t="s">
        <v>39</v>
      </c>
      <c r="E13" s="15" t="s">
        <v>40</v>
      </c>
      <c r="F13" s="15" t="s">
        <v>41</v>
      </c>
      <c r="G13" s="15" t="s">
        <v>42</v>
      </c>
      <c r="J13" s="15"/>
      <c r="K13" s="15"/>
      <c r="L13" s="15"/>
      <c r="M13" s="15"/>
      <c r="N13" s="15"/>
      <c r="O13" s="15"/>
    </row>
    <row r="14" spans="1:15">
      <c r="A14" s="15" t="s">
        <v>2</v>
      </c>
      <c r="B14" s="2">
        <v>70821277852066.547</v>
      </c>
      <c r="C14" s="2">
        <v>40101333886651.703</v>
      </c>
      <c r="D14" s="2">
        <v>0</v>
      </c>
      <c r="E14" s="2">
        <v>40101333886651.703</v>
      </c>
      <c r="F14" s="2">
        <v>91958056660630.078</v>
      </c>
      <c r="G14" s="2">
        <v>0</v>
      </c>
      <c r="J14" s="2"/>
      <c r="K14" s="2"/>
      <c r="L14" s="2"/>
      <c r="M14" s="2"/>
      <c r="N14" s="2"/>
      <c r="O14" s="2"/>
    </row>
    <row r="15" spans="1:15">
      <c r="A15" s="15" t="s">
        <v>3</v>
      </c>
      <c r="B15" s="2">
        <v>7038099376560.002</v>
      </c>
      <c r="C15" s="2">
        <v>0</v>
      </c>
      <c r="D15" s="2">
        <v>0</v>
      </c>
      <c r="E15" s="2">
        <v>0</v>
      </c>
      <c r="F15" s="2">
        <v>0</v>
      </c>
      <c r="G15" s="2">
        <v>0</v>
      </c>
      <c r="J15" s="2"/>
      <c r="K15" s="2"/>
      <c r="L15" s="2"/>
      <c r="M15" s="2"/>
      <c r="N15" s="2"/>
      <c r="O15" s="2"/>
    </row>
    <row r="16" spans="1:15">
      <c r="A16" s="15" t="s">
        <v>4</v>
      </c>
      <c r="B16" s="2">
        <v>334354759387182.44</v>
      </c>
      <c r="C16" s="2">
        <v>0</v>
      </c>
      <c r="D16" s="2">
        <v>0</v>
      </c>
      <c r="E16" s="2">
        <v>0</v>
      </c>
      <c r="F16" s="2">
        <v>70139237701697.617</v>
      </c>
      <c r="G16" s="2">
        <v>0</v>
      </c>
      <c r="J16" s="2"/>
      <c r="K16" s="2"/>
      <c r="L16" s="2"/>
      <c r="M16" s="2"/>
      <c r="N16" s="2"/>
      <c r="O16" s="2"/>
    </row>
    <row r="17" spans="1:15">
      <c r="A17" s="15" t="s">
        <v>5</v>
      </c>
      <c r="B17" s="2">
        <v>0</v>
      </c>
      <c r="C17" s="2">
        <v>0</v>
      </c>
      <c r="D17" s="2">
        <v>0</v>
      </c>
      <c r="E17" s="2">
        <v>0</v>
      </c>
      <c r="F17" s="2">
        <v>0</v>
      </c>
      <c r="G17" s="2">
        <v>0</v>
      </c>
      <c r="J17" s="2"/>
      <c r="K17" s="2"/>
      <c r="L17" s="2"/>
      <c r="M17" s="2"/>
      <c r="N17" s="2"/>
      <c r="O17" s="2"/>
    </row>
    <row r="18" spans="1:15">
      <c r="A18" s="15" t="s">
        <v>7</v>
      </c>
      <c r="B18" s="2">
        <v>82519165154160</v>
      </c>
      <c r="C18" s="2">
        <v>0</v>
      </c>
      <c r="D18" s="2">
        <v>0</v>
      </c>
      <c r="E18" s="2">
        <v>0</v>
      </c>
      <c r="F18" s="2">
        <v>0</v>
      </c>
      <c r="G18" s="2">
        <v>0</v>
      </c>
      <c r="J18" s="2"/>
      <c r="K18" s="2"/>
      <c r="L18" s="2"/>
      <c r="M18" s="2"/>
      <c r="N18" s="2"/>
      <c r="O18" s="2"/>
    </row>
    <row r="19" spans="1:15">
      <c r="A19" s="15" t="s">
        <v>11</v>
      </c>
      <c r="B19" s="2">
        <v>4630136805180.001</v>
      </c>
      <c r="C19" s="2">
        <v>0</v>
      </c>
      <c r="D19" s="2">
        <v>0</v>
      </c>
      <c r="E19" s="2">
        <v>0</v>
      </c>
      <c r="F19" s="2">
        <v>0</v>
      </c>
      <c r="G19" s="2">
        <v>0</v>
      </c>
      <c r="J19" s="2"/>
      <c r="K19" s="2"/>
      <c r="L19" s="2"/>
      <c r="M19" s="2"/>
      <c r="N19" s="2"/>
      <c r="O19" s="2"/>
    </row>
    <row r="20" spans="1:15">
      <c r="A20" s="15" t="s">
        <v>13</v>
      </c>
      <c r="B20" s="2">
        <v>0</v>
      </c>
      <c r="C20" s="2">
        <v>0</v>
      </c>
      <c r="D20" s="2">
        <v>0</v>
      </c>
      <c r="E20" s="2">
        <v>0</v>
      </c>
      <c r="F20" s="2">
        <v>0</v>
      </c>
      <c r="G20" s="2">
        <v>0</v>
      </c>
      <c r="J20" s="2"/>
      <c r="K20" s="2"/>
      <c r="L20" s="2"/>
      <c r="M20" s="2"/>
      <c r="N20" s="2"/>
      <c r="O20" s="2"/>
    </row>
    <row r="21" spans="1:15">
      <c r="A21" s="15" t="s">
        <v>14</v>
      </c>
      <c r="B21" s="2">
        <v>55723903876394.539</v>
      </c>
      <c r="C21" s="2">
        <v>0</v>
      </c>
      <c r="D21" s="2">
        <v>0</v>
      </c>
      <c r="E21" s="2">
        <v>0</v>
      </c>
      <c r="F21" s="2">
        <v>0</v>
      </c>
      <c r="G21" s="2">
        <v>0</v>
      </c>
      <c r="J21" s="2"/>
      <c r="K21" s="2"/>
      <c r="L21" s="2"/>
      <c r="M21" s="2"/>
      <c r="N21" s="2"/>
      <c r="O21" s="2"/>
    </row>
    <row r="22" spans="1:15">
      <c r="A22" s="15" t="s">
        <v>15</v>
      </c>
      <c r="B22" s="2">
        <v>17059988351310.039</v>
      </c>
      <c r="C22" s="2">
        <v>0</v>
      </c>
      <c r="D22" s="2">
        <v>0</v>
      </c>
      <c r="E22" s="2">
        <v>0</v>
      </c>
      <c r="F22" s="2">
        <v>3578757426255.4331</v>
      </c>
      <c r="G22" s="2">
        <v>0</v>
      </c>
      <c r="J22" s="2"/>
      <c r="K22" s="2"/>
      <c r="L22" s="2"/>
      <c r="M22" s="2"/>
      <c r="N22" s="2"/>
      <c r="O22" s="2"/>
    </row>
    <row r="23" spans="1:15">
      <c r="A23" s="15" t="s">
        <v>16</v>
      </c>
      <c r="B23" s="2">
        <v>0</v>
      </c>
      <c r="C23" s="2">
        <v>0</v>
      </c>
      <c r="D23" s="2">
        <v>0</v>
      </c>
      <c r="E23" s="2">
        <v>0</v>
      </c>
      <c r="F23" s="2">
        <v>0</v>
      </c>
      <c r="G23" s="2">
        <v>0</v>
      </c>
      <c r="J23" s="2"/>
      <c r="K23" s="2"/>
      <c r="L23" s="2"/>
      <c r="M23" s="2"/>
      <c r="N23" s="2"/>
      <c r="O23" s="2"/>
    </row>
    <row r="24" spans="1:15">
      <c r="I24"/>
    </row>
    <row r="25" spans="1:15">
      <c r="A25" s="1" t="s">
        <v>47</v>
      </c>
      <c r="B25" s="14" t="s">
        <v>37</v>
      </c>
      <c r="C25" s="14" t="s">
        <v>38</v>
      </c>
      <c r="D25" s="14" t="s">
        <v>39</v>
      </c>
      <c r="E25" s="14" t="s">
        <v>40</v>
      </c>
      <c r="F25" s="14" t="s">
        <v>41</v>
      </c>
      <c r="G25" s="14" t="s">
        <v>42</v>
      </c>
      <c r="I25"/>
    </row>
    <row r="26" spans="1:15">
      <c r="A26" s="1" t="s">
        <v>2</v>
      </c>
      <c r="B26" s="2">
        <v>6326083642559.3174</v>
      </c>
      <c r="C26" s="2">
        <v>3582036360245.5752</v>
      </c>
      <c r="D26" s="2">
        <v>0</v>
      </c>
      <c r="E26" s="2">
        <v>3582036360245.5752</v>
      </c>
      <c r="F26" s="2">
        <v>8214118350949.5244</v>
      </c>
      <c r="G26" s="2">
        <v>0</v>
      </c>
      <c r="I26"/>
    </row>
    <row r="27" spans="1:15">
      <c r="A27" s="1" t="s">
        <v>3</v>
      </c>
      <c r="B27" s="2">
        <v>628675543439.99988</v>
      </c>
      <c r="C27" s="2">
        <v>0</v>
      </c>
      <c r="D27" s="2">
        <v>0</v>
      </c>
      <c r="E27" s="2">
        <v>0</v>
      </c>
      <c r="F27" s="2">
        <v>0</v>
      </c>
      <c r="G27" s="2">
        <v>0</v>
      </c>
    </row>
    <row r="28" spans="1:15">
      <c r="A28" s="1" t="s">
        <v>4</v>
      </c>
      <c r="B28" s="2">
        <v>29866111404955.277</v>
      </c>
      <c r="C28" s="2">
        <v>0</v>
      </c>
      <c r="D28" s="2">
        <v>0</v>
      </c>
      <c r="E28" s="2">
        <v>0</v>
      </c>
      <c r="F28" s="2">
        <v>6265160666164.708</v>
      </c>
      <c r="G28" s="2">
        <v>0</v>
      </c>
    </row>
    <row r="29" spans="1:15">
      <c r="A29" s="1" t="s">
        <v>5</v>
      </c>
      <c r="B29" s="2">
        <v>0</v>
      </c>
      <c r="C29" s="2">
        <v>0</v>
      </c>
      <c r="D29" s="2">
        <v>0</v>
      </c>
      <c r="E29" s="2">
        <v>0</v>
      </c>
      <c r="F29" s="2">
        <v>0</v>
      </c>
      <c r="G29" s="2">
        <v>0</v>
      </c>
    </row>
    <row r="30" spans="1:15">
      <c r="A30" s="1" t="s">
        <v>7</v>
      </c>
      <c r="B30" s="2">
        <v>7370992965839.9961</v>
      </c>
      <c r="C30" s="2">
        <v>0</v>
      </c>
      <c r="D30" s="2">
        <v>0</v>
      </c>
      <c r="E30" s="2">
        <v>0</v>
      </c>
      <c r="F30" s="2">
        <v>0</v>
      </c>
      <c r="G30" s="2">
        <v>0</v>
      </c>
    </row>
    <row r="31" spans="1:15">
      <c r="A31" s="1" t="s">
        <v>11</v>
      </c>
      <c r="B31" s="2">
        <v>413585204819.99988</v>
      </c>
      <c r="C31" s="2">
        <v>0</v>
      </c>
      <c r="D31" s="2">
        <v>0</v>
      </c>
      <c r="E31" s="2">
        <v>0</v>
      </c>
      <c r="F31" s="2">
        <v>0</v>
      </c>
      <c r="G31" s="2">
        <v>0</v>
      </c>
    </row>
    <row r="32" spans="1:15">
      <c r="A32" s="1" t="s">
        <v>13</v>
      </c>
      <c r="B32" s="2">
        <v>0</v>
      </c>
      <c r="C32" s="2">
        <v>0</v>
      </c>
      <c r="D32" s="2">
        <v>0</v>
      </c>
      <c r="E32" s="2">
        <v>0</v>
      </c>
      <c r="F32" s="2">
        <v>0</v>
      </c>
      <c r="G32" s="2">
        <v>0</v>
      </c>
    </row>
    <row r="33" spans="1:7">
      <c r="A33" s="1" t="s">
        <v>14</v>
      </c>
      <c r="B33" s="2">
        <v>4977516468261.8193</v>
      </c>
      <c r="C33" s="2">
        <v>0</v>
      </c>
      <c r="D33" s="2">
        <v>0</v>
      </c>
      <c r="E33" s="2">
        <v>0</v>
      </c>
      <c r="F33" s="2">
        <v>0</v>
      </c>
      <c r="G33" s="2">
        <v>0</v>
      </c>
    </row>
    <row r="34" spans="1:7">
      <c r="A34" s="1" t="s">
        <v>15</v>
      </c>
      <c r="B34" s="2">
        <v>1523876955127.9111</v>
      </c>
      <c r="C34" s="2">
        <v>0</v>
      </c>
      <c r="D34" s="2">
        <v>0</v>
      </c>
      <c r="E34" s="2">
        <v>0</v>
      </c>
      <c r="F34" s="2">
        <v>319671142650.26727</v>
      </c>
      <c r="G34" s="2">
        <v>0</v>
      </c>
    </row>
    <row r="35" spans="1:7">
      <c r="A35" s="1" t="s">
        <v>16</v>
      </c>
      <c r="B35" s="2">
        <v>0</v>
      </c>
      <c r="C35" s="2">
        <v>0</v>
      </c>
      <c r="D35" s="2">
        <v>0</v>
      </c>
      <c r="E35" s="2">
        <v>0</v>
      </c>
      <c r="F35" s="2">
        <v>0</v>
      </c>
      <c r="G35" s="2">
        <v>0</v>
      </c>
    </row>
  </sheetData>
  <phoneticPr fontId="1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7208-D733-450A-914C-161D4AB34DE1}">
  <dimension ref="A1:G11"/>
  <sheetViews>
    <sheetView workbookViewId="0">
      <selection activeCell="A21" sqref="A21"/>
    </sheetView>
  </sheetViews>
  <sheetFormatPr defaultRowHeight="16.5"/>
  <cols>
    <col min="1" max="1" width="31.375" bestFit="1" customWidth="1"/>
  </cols>
  <sheetData>
    <row r="1" spans="1:7">
      <c r="A1" s="15" t="s">
        <v>43</v>
      </c>
      <c r="B1" s="15" t="s">
        <v>37</v>
      </c>
      <c r="C1" s="15" t="s">
        <v>38</v>
      </c>
      <c r="D1" s="15" t="s">
        <v>39</v>
      </c>
      <c r="E1" s="15" t="s">
        <v>40</v>
      </c>
      <c r="F1" s="15" t="s">
        <v>41</v>
      </c>
      <c r="G1" s="15" t="s">
        <v>42</v>
      </c>
    </row>
    <row r="2" spans="1:7">
      <c r="A2" s="15" t="s">
        <v>2</v>
      </c>
      <c r="B2">
        <v>137919750859919.16</v>
      </c>
      <c r="C2">
        <v>201799585123150.69</v>
      </c>
      <c r="D2">
        <v>0</v>
      </c>
      <c r="E2">
        <v>116018400485507.73</v>
      </c>
      <c r="F2">
        <v>72043571859022.688</v>
      </c>
      <c r="G2">
        <v>75049868420558.969</v>
      </c>
    </row>
    <row r="3" spans="1:7">
      <c r="A3" s="15" t="s">
        <v>3</v>
      </c>
      <c r="B3">
        <v>30038429459.87019</v>
      </c>
      <c r="C3">
        <v>0</v>
      </c>
      <c r="D3">
        <v>0</v>
      </c>
      <c r="E3">
        <v>0</v>
      </c>
      <c r="F3">
        <v>35714790000.000008</v>
      </c>
      <c r="G3">
        <v>0</v>
      </c>
    </row>
    <row r="4" spans="1:7">
      <c r="A4" s="15" t="s">
        <v>4</v>
      </c>
      <c r="B4">
        <v>60723692807579.898</v>
      </c>
      <c r="C4">
        <v>24460219674457.195</v>
      </c>
      <c r="D4">
        <v>0</v>
      </c>
      <c r="E4">
        <v>0</v>
      </c>
      <c r="F4">
        <v>71600047307962.938</v>
      </c>
      <c r="G4">
        <v>0</v>
      </c>
    </row>
    <row r="5" spans="1:7">
      <c r="A5" s="15" t="s">
        <v>5</v>
      </c>
      <c r="B5">
        <v>503021344373.30408</v>
      </c>
      <c r="C5">
        <v>0</v>
      </c>
      <c r="D5">
        <v>0</v>
      </c>
      <c r="E5">
        <v>0</v>
      </c>
      <c r="F5">
        <v>1462745148036.8452</v>
      </c>
      <c r="G5">
        <v>0</v>
      </c>
    </row>
    <row r="6" spans="1:7">
      <c r="A6" s="15" t="s">
        <v>7</v>
      </c>
      <c r="B6">
        <v>15028622658213.75</v>
      </c>
      <c r="C6">
        <v>1217638481786.2527</v>
      </c>
      <c r="D6">
        <v>0</v>
      </c>
      <c r="E6">
        <v>0</v>
      </c>
      <c r="F6">
        <v>0</v>
      </c>
      <c r="G6">
        <v>0</v>
      </c>
    </row>
    <row r="7" spans="1:7">
      <c r="A7" s="15" t="s">
        <v>11</v>
      </c>
      <c r="B7">
        <v>15344411104444.094</v>
      </c>
      <c r="C7">
        <v>5224296991979.5889</v>
      </c>
      <c r="D7">
        <v>0</v>
      </c>
      <c r="E7">
        <v>5362159440264.3975</v>
      </c>
      <c r="F7">
        <v>7933230950253.6152</v>
      </c>
      <c r="G7">
        <v>9287304453058.3164</v>
      </c>
    </row>
    <row r="8" spans="1:7">
      <c r="A8" s="15" t="s">
        <v>13</v>
      </c>
      <c r="B8">
        <v>12927469082358.551</v>
      </c>
      <c r="C8">
        <v>0</v>
      </c>
      <c r="D8">
        <v>0</v>
      </c>
      <c r="E8">
        <v>0</v>
      </c>
      <c r="F8">
        <v>1289168638249.7905</v>
      </c>
      <c r="G8">
        <v>0</v>
      </c>
    </row>
    <row r="9" spans="1:7">
      <c r="A9" s="15" t="s">
        <v>14</v>
      </c>
      <c r="B9">
        <v>1532683908636.0781</v>
      </c>
      <c r="C9">
        <v>0</v>
      </c>
      <c r="D9">
        <v>0</v>
      </c>
      <c r="E9">
        <v>0</v>
      </c>
      <c r="F9">
        <v>18380349914.329998</v>
      </c>
      <c r="G9">
        <v>0</v>
      </c>
    </row>
    <row r="10" spans="1:7">
      <c r="A10" s="15" t="s">
        <v>15</v>
      </c>
      <c r="B10">
        <v>11037936175084.029</v>
      </c>
      <c r="C10">
        <v>1473499786860.3694</v>
      </c>
      <c r="D10">
        <v>0</v>
      </c>
      <c r="E10">
        <v>0</v>
      </c>
      <c r="F10">
        <v>18188315755662.074</v>
      </c>
      <c r="G10">
        <v>0</v>
      </c>
    </row>
    <row r="11" spans="1:7">
      <c r="A11" s="15" t="s">
        <v>16</v>
      </c>
      <c r="B11">
        <v>0</v>
      </c>
      <c r="C11">
        <v>0</v>
      </c>
      <c r="D11">
        <v>0</v>
      </c>
      <c r="E11">
        <v>0</v>
      </c>
      <c r="F11">
        <v>0</v>
      </c>
      <c r="G11">
        <v>0</v>
      </c>
    </row>
  </sheetData>
  <phoneticPr fontId="1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FF0D5-CCA6-41D0-9ADB-4D3C10D15974}">
  <dimension ref="A2:F32"/>
  <sheetViews>
    <sheetView workbookViewId="0">
      <selection activeCell="F34" sqref="F34"/>
    </sheetView>
  </sheetViews>
  <sheetFormatPr defaultRowHeight="16.5"/>
  <cols>
    <col min="1" max="1" width="33" bestFit="1" customWidth="1"/>
    <col min="2" max="2" width="65.875" bestFit="1" customWidth="1"/>
  </cols>
  <sheetData>
    <row r="2" spans="1:2">
      <c r="A2" t="s">
        <v>125</v>
      </c>
      <c r="B2" t="s">
        <v>124</v>
      </c>
    </row>
    <row r="3" spans="1:2">
      <c r="A3" s="15" t="s">
        <v>2</v>
      </c>
      <c r="B3" s="35">
        <v>6.0000000000000001E-3</v>
      </c>
    </row>
    <row r="4" spans="1:2">
      <c r="A4" s="15" t="s">
        <v>3</v>
      </c>
      <c r="B4" s="35">
        <v>-0.126</v>
      </c>
    </row>
    <row r="5" spans="1:2">
      <c r="A5" s="15" t="s">
        <v>4</v>
      </c>
      <c r="B5" s="35">
        <v>-8.0000000000000002E-3</v>
      </c>
    </row>
    <row r="6" spans="1:2">
      <c r="A6" s="15" t="s">
        <v>5</v>
      </c>
      <c r="B6" s="35">
        <v>-4.2000000000000003E-2</v>
      </c>
    </row>
    <row r="7" spans="1:2">
      <c r="A7" s="15" t="s">
        <v>7</v>
      </c>
      <c r="B7" s="35">
        <v>-1E-3</v>
      </c>
    </row>
    <row r="8" spans="1:2">
      <c r="A8" s="15" t="s">
        <v>11</v>
      </c>
      <c r="B8" s="35">
        <v>6.0000000000000001E-3</v>
      </c>
    </row>
    <row r="9" spans="1:2">
      <c r="A9" s="15" t="s">
        <v>13</v>
      </c>
      <c r="B9" s="35">
        <v>-4.2000000000000003E-2</v>
      </c>
    </row>
    <row r="10" spans="1:2">
      <c r="A10" s="15" t="s">
        <v>14</v>
      </c>
      <c r="B10" s="35">
        <v>-4.2000000000000003E-2</v>
      </c>
    </row>
    <row r="11" spans="1:2">
      <c r="A11" s="15" t="s">
        <v>15</v>
      </c>
      <c r="B11" s="35">
        <v>-4.2000000000000003E-2</v>
      </c>
    </row>
    <row r="12" spans="1:2">
      <c r="A12" s="15" t="s">
        <v>16</v>
      </c>
      <c r="B12" s="35">
        <v>6.0000000000000001E-3</v>
      </c>
    </row>
    <row r="14" spans="1:2">
      <c r="A14" t="s">
        <v>125</v>
      </c>
      <c r="B14" s="16" t="s">
        <v>126</v>
      </c>
    </row>
    <row r="15" spans="1:2">
      <c r="A15" s="15" t="s">
        <v>37</v>
      </c>
      <c r="B15" s="35">
        <v>-0.01</v>
      </c>
    </row>
    <row r="16" spans="1:2">
      <c r="A16" s="15" t="s">
        <v>38</v>
      </c>
      <c r="B16" s="35">
        <v>2.5000000000000001E-2</v>
      </c>
    </row>
    <row r="17" spans="1:6">
      <c r="A17" s="15" t="s">
        <v>39</v>
      </c>
      <c r="B17" s="4">
        <v>0</v>
      </c>
    </row>
    <row r="18" spans="1:6">
      <c r="A18" s="15" t="s">
        <v>40</v>
      </c>
      <c r="B18" s="35">
        <v>-6.0000000000000001E-3</v>
      </c>
    </row>
    <row r="19" spans="1:6">
      <c r="A19" s="15" t="s">
        <v>41</v>
      </c>
      <c r="B19" s="35">
        <v>7.0000000000000001E-3</v>
      </c>
    </row>
    <row r="20" spans="1:6">
      <c r="A20" s="15" t="s">
        <v>42</v>
      </c>
      <c r="B20" s="35">
        <v>-1.4E-2</v>
      </c>
    </row>
    <row r="22" spans="1:6">
      <c r="A22" t="s">
        <v>48</v>
      </c>
      <c r="B22" t="s">
        <v>127</v>
      </c>
    </row>
    <row r="23" spans="1:6">
      <c r="A23" s="15" t="s">
        <v>2</v>
      </c>
      <c r="B23" s="35">
        <v>8.0000000000000002E-3</v>
      </c>
    </row>
    <row r="24" spans="1:6">
      <c r="A24" s="15" t="s">
        <v>3</v>
      </c>
      <c r="B24" s="4">
        <v>-8.6999999999999994E-2</v>
      </c>
      <c r="C24" t="s">
        <v>49</v>
      </c>
      <c r="F24" t="s">
        <v>123</v>
      </c>
    </row>
    <row r="25" spans="1:6">
      <c r="A25" s="15" t="s">
        <v>4</v>
      </c>
      <c r="B25" s="35">
        <v>0.02</v>
      </c>
    </row>
    <row r="26" spans="1:6">
      <c r="A26" s="15" t="s">
        <v>5</v>
      </c>
      <c r="B26" s="35">
        <v>-4.8000000000000001E-2</v>
      </c>
    </row>
    <row r="27" spans="1:6">
      <c r="A27" s="15" t="s">
        <v>7</v>
      </c>
      <c r="B27" s="35">
        <v>1.7999999999999999E-2</v>
      </c>
    </row>
    <row r="28" spans="1:6">
      <c r="A28" s="15" t="s">
        <v>11</v>
      </c>
      <c r="B28" s="35">
        <v>4.4999999999999998E-2</v>
      </c>
    </row>
    <row r="29" spans="1:6">
      <c r="A29" s="15" t="s">
        <v>13</v>
      </c>
      <c r="B29" s="35">
        <v>-4.8000000000000001E-2</v>
      </c>
    </row>
    <row r="30" spans="1:6">
      <c r="A30" s="15" t="s">
        <v>14</v>
      </c>
      <c r="B30" s="35">
        <v>-4.8000000000000001E-2</v>
      </c>
    </row>
    <row r="31" spans="1:6">
      <c r="A31" s="15" t="s">
        <v>15</v>
      </c>
      <c r="B31" s="35">
        <v>-4.8000000000000001E-2</v>
      </c>
    </row>
    <row r="32" spans="1:6">
      <c r="A32" s="15" t="s">
        <v>16</v>
      </c>
      <c r="B32" s="35">
        <v>4.4999999999999998E-2</v>
      </c>
    </row>
  </sheetData>
  <phoneticPr fontId="1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21F69-219E-4ABD-864E-501FE2C1AAFB}">
  <dimension ref="A2:AG102"/>
  <sheetViews>
    <sheetView topLeftCell="A13" zoomScale="85" zoomScaleNormal="85" workbookViewId="0">
      <selection activeCell="L64" sqref="L64"/>
    </sheetView>
  </sheetViews>
  <sheetFormatPr defaultRowHeight="16.5"/>
  <cols>
    <col min="1" max="1" width="30.25" bestFit="1" customWidth="1"/>
    <col min="2" max="2" width="9.375" bestFit="1" customWidth="1"/>
    <col min="3" max="33" width="14.25" bestFit="1" customWidth="1"/>
  </cols>
  <sheetData>
    <row r="2" spans="1:33">
      <c r="A2" s="15" t="s">
        <v>43</v>
      </c>
    </row>
    <row r="3" spans="1:33">
      <c r="A3" s="15" t="s">
        <v>37</v>
      </c>
      <c r="B3" s="1">
        <v>2019</v>
      </c>
      <c r="C3" s="1">
        <v>2020</v>
      </c>
      <c r="D3" s="1">
        <v>2021</v>
      </c>
      <c r="E3" s="1">
        <v>2022</v>
      </c>
      <c r="F3" s="1">
        <v>2023</v>
      </c>
      <c r="G3" s="1">
        <v>2024</v>
      </c>
      <c r="H3" s="1">
        <v>2025</v>
      </c>
      <c r="I3" s="1">
        <v>2026</v>
      </c>
      <c r="J3" s="1">
        <v>2027</v>
      </c>
      <c r="K3" s="1">
        <v>2028</v>
      </c>
      <c r="L3" s="1">
        <v>2029</v>
      </c>
      <c r="M3" s="1">
        <v>2030</v>
      </c>
      <c r="N3" s="1">
        <v>2031</v>
      </c>
      <c r="O3" s="1">
        <v>2032</v>
      </c>
      <c r="P3" s="1">
        <v>2033</v>
      </c>
      <c r="Q3" s="1">
        <v>2034</v>
      </c>
      <c r="R3" s="1">
        <v>2035</v>
      </c>
      <c r="S3" s="1">
        <v>2036</v>
      </c>
      <c r="T3" s="1">
        <v>2037</v>
      </c>
      <c r="U3" s="1">
        <v>2038</v>
      </c>
      <c r="V3" s="1">
        <v>2039</v>
      </c>
      <c r="W3" s="1">
        <v>2040</v>
      </c>
      <c r="X3" s="1">
        <v>2041</v>
      </c>
      <c r="Y3" s="1">
        <v>2042</v>
      </c>
      <c r="Z3" s="1">
        <v>2043</v>
      </c>
      <c r="AA3" s="1">
        <v>2044</v>
      </c>
      <c r="AB3" s="1">
        <v>2045</v>
      </c>
      <c r="AC3" s="1">
        <v>2046</v>
      </c>
      <c r="AD3" s="1">
        <v>2047</v>
      </c>
      <c r="AE3" s="1">
        <v>2048</v>
      </c>
      <c r="AF3" s="1">
        <v>2049</v>
      </c>
      <c r="AG3" s="1">
        <v>2050</v>
      </c>
    </row>
    <row r="4" spans="1:33">
      <c r="A4" s="15" t="s">
        <v>2</v>
      </c>
      <c r="B4" s="2">
        <f>INDEX('2019'!$B$2:$G$11, MATCH($A4, '2019'!$A$2:$A$11, 0), MATCH(Commercial_calculation!$A$3, '2019'!$B$1:$G$1, 0))</f>
        <v>127354926442691.86</v>
      </c>
      <c r="C4" s="2">
        <f>INDEX('2020'!$B$2:$G$11, MATCH($A4, '2020'!$A$2:$A$11, 0), MATCH(Commercial_calculation!$A$3, '2020'!$B$1:$G$1, 0))</f>
        <v>129311080981534.61</v>
      </c>
      <c r="D4" s="2">
        <f>INDEX('2021'!$B$2:$G$11, MATCH($A4, '2021'!$A$2:$A$11, 0), MATCH(Commercial_calculation!$A$3, '2021'!$B$1:$G$1, 0))</f>
        <v>130455029942383.02</v>
      </c>
      <c r="E4" s="2">
        <f>INDEX('2022'!$B$2:$G$11, MATCH($A4, '2022'!$A$2:$A$11, 0), MATCH(Commercial_calculation!$A$3, '2022'!$B$1:$G$1, 0))</f>
        <v>137919750859919.16</v>
      </c>
      <c r="F4" s="2">
        <f>MAX(0,E4*(1+Forecast!$B23))</f>
        <v>139023108866798.52</v>
      </c>
      <c r="G4" s="2">
        <f>MAX(0,F4*(1+Forecast!$B23))</f>
        <v>140135293737732.91</v>
      </c>
      <c r="H4" s="2">
        <f>MAX(0,G4*(1+Forecast!$B23))</f>
        <v>141256376087634.78</v>
      </c>
      <c r="I4" s="2">
        <f>MAX(0,H4*(1+Forecast!$B23))</f>
        <v>142386427096335.88</v>
      </c>
      <c r="J4" s="2">
        <f>MAX(0,I4*(1+Forecast!$B23))</f>
        <v>143525518513106.56</v>
      </c>
      <c r="K4" s="2">
        <f>MAX(0,J4*(1+Forecast!$B23))</f>
        <v>144673722661211.41</v>
      </c>
      <c r="L4" s="2">
        <f>MAX(0,K4*(1+Forecast!$B23))</f>
        <v>145831112442501.09</v>
      </c>
      <c r="M4" s="2">
        <f>MAX(0,L4*(1+Forecast!$B23))</f>
        <v>146997761342041.09</v>
      </c>
      <c r="N4" s="2">
        <f>MAX(0,M4*(1+Forecast!$B23))</f>
        <v>148173743432777.44</v>
      </c>
      <c r="O4" s="2">
        <f>MAX(0,N4*(1+Forecast!$B23))</f>
        <v>149359133380239.66</v>
      </c>
      <c r="P4" s="2">
        <f>MAX(0,O4*(1+Forecast!$B23))</f>
        <v>150554006447281.56</v>
      </c>
      <c r="Q4" s="2">
        <f>MAX(0,P4*(1+Forecast!$B23))</f>
        <v>151758438498859.81</v>
      </c>
      <c r="R4" s="2">
        <f>MAX(0,Q4*(1+Forecast!$B23))</f>
        <v>152972506006850.69</v>
      </c>
      <c r="S4" s="2">
        <f>MAX(0,R4*(1+Forecast!$B23))</f>
        <v>154196286054905.5</v>
      </c>
      <c r="T4" s="2">
        <f>MAX(0,S4*(1+Forecast!$B23))</f>
        <v>155429856343344.75</v>
      </c>
      <c r="U4" s="2">
        <f>MAX(0,T4*(1+Forecast!$B23))</f>
        <v>156673295194091.5</v>
      </c>
      <c r="V4" s="2">
        <f>MAX(0,U4*(1+Forecast!$B23))</f>
        <v>157926681555644.22</v>
      </c>
      <c r="W4" s="2">
        <f>MAX(0,V4*(1+Forecast!$B23))</f>
        <v>159190095008089.38</v>
      </c>
      <c r="X4" s="2">
        <f>MAX(0,W4*(1+Forecast!$B23))</f>
        <v>160463615768154.09</v>
      </c>
      <c r="Y4" s="2">
        <f>MAX(0,X4*(1+Forecast!$B23))</f>
        <v>161747324694299.31</v>
      </c>
      <c r="Z4" s="2">
        <f>MAX(0,Y4*(1+Forecast!$B23))</f>
        <v>163041303291853.72</v>
      </c>
      <c r="AA4" s="2">
        <f>MAX(0,Z4*(1+Forecast!$B23))</f>
        <v>164345633718188.56</v>
      </c>
      <c r="AB4" s="2">
        <f>MAX(0,AA4*(1+Forecast!$B23))</f>
        <v>165660398787934.06</v>
      </c>
      <c r="AC4" s="2">
        <f>MAX(0,AB4*(1+Forecast!$B23))</f>
        <v>166985681978237.53</v>
      </c>
      <c r="AD4" s="2">
        <f>MAX(0,AC4*(1+Forecast!$B23))</f>
        <v>168321567434063.44</v>
      </c>
      <c r="AE4" s="2">
        <f>MAX(0,AD4*(1+Forecast!$B23))</f>
        <v>169668139973535.94</v>
      </c>
      <c r="AF4" s="2">
        <f>MAX(0,AE4*(1+Forecast!$B23))</f>
        <v>171025485093324.22</v>
      </c>
      <c r="AG4" s="2">
        <f>MAX(0,AF4*(1+Forecast!$B23))</f>
        <v>172393688974070.81</v>
      </c>
    </row>
    <row r="5" spans="1:33">
      <c r="A5" s="15" t="s">
        <v>3</v>
      </c>
      <c r="B5" s="2">
        <f>INDEX('2019'!$B$2:$G$11, MATCH($A5, '2019'!$A$2:$A$11, 0), MATCH(Commercial_calculation!$A$3, '2019'!$B$1:$G$1, 0))</f>
        <v>1570335664890.0002</v>
      </c>
      <c r="C5" s="2">
        <f>INDEX('2020'!$B$2:$G$11, MATCH($A5, '2020'!$A$2:$A$11, 0), MATCH(Commercial_calculation!$A$3, '2020'!$B$1:$G$1, 0))</f>
        <v>0</v>
      </c>
      <c r="D5" s="2">
        <f>INDEX('2021'!$B$2:$G$11, MATCH($A5, '2021'!$A$2:$A$11, 0), MATCH(Commercial_calculation!$A$3, '2021'!$B$1:$G$1, 0))</f>
        <v>0</v>
      </c>
      <c r="E5" s="2">
        <f>INDEX('2022'!$B$2:$G$11, MATCH($A5, '2022'!$A$2:$A$11, 0), MATCH(Commercial_calculation!$A$3, '2022'!$B$1:$G$1, 0))</f>
        <v>30038429459.87019</v>
      </c>
      <c r="F5" s="2">
        <f>MAX(0,E5*(1+Forecast!$B24))</f>
        <v>27425086096.861485</v>
      </c>
      <c r="G5" s="2">
        <f>MAX(0,F5*(1+Forecast!$B24))</f>
        <v>25039103606.434536</v>
      </c>
      <c r="H5" s="2">
        <f>MAX(0,G5*(1+Forecast!$B24))</f>
        <v>22860701592.674732</v>
      </c>
      <c r="I5" s="2">
        <f>MAX(0,H5*(1+Forecast!$B24))</f>
        <v>20871820554.11203</v>
      </c>
      <c r="J5" s="2">
        <f>MAX(0,I5*(1+Forecast!$B24))</f>
        <v>19055972165.904285</v>
      </c>
      <c r="K5" s="2">
        <f>MAX(0,J5*(1+Forecast!$B24))</f>
        <v>17398102587.470612</v>
      </c>
      <c r="L5" s="2">
        <f>MAX(0,K5*(1+Forecast!$B24))</f>
        <v>15884467662.360668</v>
      </c>
      <c r="M5" s="2">
        <f>MAX(0,L5*(1+Forecast!$B24))</f>
        <v>14502518975.735291</v>
      </c>
      <c r="N5" s="2">
        <f>MAX(0,M5*(1+Forecast!$B24))</f>
        <v>13240799824.846321</v>
      </c>
      <c r="O5" s="2">
        <f>MAX(0,N5*(1+Forecast!$B24))</f>
        <v>12088850240.084692</v>
      </c>
      <c r="P5" s="2">
        <f>MAX(0,O5*(1+Forecast!$B24))</f>
        <v>11037120269.197325</v>
      </c>
      <c r="Q5" s="2">
        <f>MAX(0,P5*(1+Forecast!$B24))</f>
        <v>10076890805.777159</v>
      </c>
      <c r="R5" s="2">
        <f>MAX(0,Q5*(1+Forecast!$B24))</f>
        <v>9200201305.6745472</v>
      </c>
      <c r="S5" s="2">
        <f>MAX(0,R5*(1+Forecast!$B24))</f>
        <v>8399783792.080862</v>
      </c>
      <c r="T5" s="2">
        <f>MAX(0,S5*(1+Forecast!$B24))</f>
        <v>7669002602.1698275</v>
      </c>
      <c r="U5" s="2">
        <f>MAX(0,T5*(1+Forecast!$B24))</f>
        <v>7001799375.7810526</v>
      </c>
      <c r="V5" s="2">
        <f>MAX(0,U5*(1+Forecast!$B24))</f>
        <v>6392642830.0881014</v>
      </c>
      <c r="W5" s="2">
        <f>MAX(0,V5*(1+Forecast!$B24))</f>
        <v>5836482903.8704367</v>
      </c>
      <c r="X5" s="2">
        <f>MAX(0,W5*(1+Forecast!$B24))</f>
        <v>5328708891.2337093</v>
      </c>
      <c r="Y5" s="2">
        <f>MAX(0,X5*(1+Forecast!$B24))</f>
        <v>4865111217.6963768</v>
      </c>
      <c r="Z5" s="2">
        <f>MAX(0,Y5*(1+Forecast!$B24))</f>
        <v>4441846541.7567921</v>
      </c>
      <c r="AA5" s="2">
        <f>MAX(0,Z5*(1+Forecast!$B24))</f>
        <v>4055405892.6239514</v>
      </c>
      <c r="AB5" s="2">
        <f>MAX(0,AA5*(1+Forecast!$B24))</f>
        <v>3702585579.9656677</v>
      </c>
      <c r="AC5" s="2">
        <f>MAX(0,AB5*(1+Forecast!$B24))</f>
        <v>3380460634.5086546</v>
      </c>
      <c r="AD5" s="2">
        <f>MAX(0,AC5*(1+Forecast!$B24))</f>
        <v>3086360559.3064017</v>
      </c>
      <c r="AE5" s="2">
        <f>MAX(0,AD5*(1+Forecast!$B24))</f>
        <v>2817847190.6467447</v>
      </c>
      <c r="AF5" s="2">
        <f>MAX(0,AE5*(1+Forecast!$B24))</f>
        <v>2572694485.0604782</v>
      </c>
      <c r="AG5" s="2">
        <f>MAX(0,AF5*(1+Forecast!$B24))</f>
        <v>2348870064.8602166</v>
      </c>
    </row>
    <row r="6" spans="1:33">
      <c r="A6" s="15" t="s">
        <v>4</v>
      </c>
      <c r="B6" s="2">
        <f>INDEX('2019'!$B$2:$G$11, MATCH($A6, '2019'!$A$2:$A$11, 0), MATCH(Commercial_calculation!$A$3, '2019'!$B$1:$G$1, 0))</f>
        <v>66164124700440.008</v>
      </c>
      <c r="C6" s="2">
        <f>INDEX('2020'!$B$2:$G$11, MATCH($A6, '2020'!$A$2:$A$11, 0), MATCH(Commercial_calculation!$A$3, '2020'!$B$1:$G$1, 0))</f>
        <v>55991397630416.758</v>
      </c>
      <c r="D6" s="2">
        <f>INDEX('2021'!$B$2:$G$11, MATCH($A6, '2021'!$A$2:$A$11, 0), MATCH(Commercial_calculation!$A$3, '2021'!$B$1:$G$1, 0))</f>
        <v>55822332197000.734</v>
      </c>
      <c r="E6" s="2">
        <f>INDEX('2022'!$B$2:$G$11, MATCH($A6, '2022'!$A$2:$A$11, 0), MATCH(Commercial_calculation!$A$3, '2022'!$B$1:$G$1, 0))</f>
        <v>60723692807579.898</v>
      </c>
      <c r="F6" s="2">
        <f>MAX(0,E6*(1+Forecast!$B25))</f>
        <v>61938166663731.5</v>
      </c>
      <c r="G6" s="2">
        <f>MAX(0,F6*(1+Forecast!$B25))</f>
        <v>63176929997006.133</v>
      </c>
      <c r="H6" s="2">
        <f>MAX(0,G6*(1+Forecast!$B25))</f>
        <v>64440468596946.258</v>
      </c>
      <c r="I6" s="2">
        <f>MAX(0,H6*(1+Forecast!$B25))</f>
        <v>65729277968885.188</v>
      </c>
      <c r="J6" s="2">
        <f>MAX(0,I6*(1+Forecast!$B25))</f>
        <v>67043863528262.891</v>
      </c>
      <c r="K6" s="2">
        <f>MAX(0,J6*(1+Forecast!$B25))</f>
        <v>68384740798828.148</v>
      </c>
      <c r="L6" s="2">
        <f>MAX(0,K6*(1+Forecast!$B25))</f>
        <v>69752435614804.711</v>
      </c>
      <c r="M6" s="2">
        <f>MAX(0,L6*(1+Forecast!$B25))</f>
        <v>71147484327100.813</v>
      </c>
      <c r="N6" s="2">
        <f>MAX(0,M6*(1+Forecast!$B25))</f>
        <v>72570434013642.828</v>
      </c>
      <c r="O6" s="2">
        <f>MAX(0,N6*(1+Forecast!$B25))</f>
        <v>74021842693915.688</v>
      </c>
      <c r="P6" s="2">
        <f>MAX(0,O6*(1+Forecast!$B25))</f>
        <v>75502279547794</v>
      </c>
      <c r="Q6" s="2">
        <f>MAX(0,P6*(1+Forecast!$B25))</f>
        <v>77012325138749.875</v>
      </c>
      <c r="R6" s="2">
        <f>MAX(0,Q6*(1+Forecast!$B25))</f>
        <v>78552571641524.875</v>
      </c>
      <c r="S6" s="2">
        <f>MAX(0,R6*(1+Forecast!$B25))</f>
        <v>80123623074355.375</v>
      </c>
      <c r="T6" s="2">
        <f>MAX(0,S6*(1+Forecast!$B25))</f>
        <v>81726095535842.484</v>
      </c>
      <c r="U6" s="2">
        <f>MAX(0,T6*(1+Forecast!$B25))</f>
        <v>83360617446559.328</v>
      </c>
      <c r="V6" s="2">
        <f>MAX(0,U6*(1+Forecast!$B25))</f>
        <v>85027829795490.516</v>
      </c>
      <c r="W6" s="2">
        <f>MAX(0,V6*(1+Forecast!$B25))</f>
        <v>86728386391400.328</v>
      </c>
      <c r="X6" s="2">
        <f>MAX(0,W6*(1+Forecast!$B25))</f>
        <v>88462954119228.344</v>
      </c>
      <c r="Y6" s="2">
        <f>MAX(0,X6*(1+Forecast!$B25))</f>
        <v>90232213201612.906</v>
      </c>
      <c r="Z6" s="2">
        <f>MAX(0,Y6*(1+Forecast!$B25))</f>
        <v>92036857465645.172</v>
      </c>
      <c r="AA6" s="2">
        <f>MAX(0,Z6*(1+Forecast!$B25))</f>
        <v>93877594614958.078</v>
      </c>
      <c r="AB6" s="2">
        <f>MAX(0,AA6*(1+Forecast!$B25))</f>
        <v>95755146507257.234</v>
      </c>
      <c r="AC6" s="2">
        <f>MAX(0,AB6*(1+Forecast!$B25))</f>
        <v>97670249437402.375</v>
      </c>
      <c r="AD6" s="2">
        <f>MAX(0,AC6*(1+Forecast!$B25))</f>
        <v>99623654426150.422</v>
      </c>
      <c r="AE6" s="2">
        <f>MAX(0,AD6*(1+Forecast!$B25))</f>
        <v>101616127514673.44</v>
      </c>
      <c r="AF6" s="2">
        <f>MAX(0,AE6*(1+Forecast!$B25))</f>
        <v>103648450064966.91</v>
      </c>
      <c r="AG6" s="2">
        <f>MAX(0,AF6*(1+Forecast!$B25))</f>
        <v>105721419066266.25</v>
      </c>
    </row>
    <row r="7" spans="1:33">
      <c r="A7" s="15" t="s">
        <v>5</v>
      </c>
      <c r="B7" s="2">
        <f>INDEX('2019'!$B$2:$G$11, MATCH($A7, '2019'!$A$2:$A$11, 0), MATCH(Commercial_calculation!$A$3, '2019'!$B$1:$G$1, 0))</f>
        <v>593944894320.00012</v>
      </c>
      <c r="C7" s="2">
        <f>INDEX('2020'!$B$2:$G$11, MATCH($A7, '2020'!$A$2:$A$11, 0), MATCH(Commercial_calculation!$A$3, '2020'!$B$1:$G$1, 0))</f>
        <v>584640101382.89893</v>
      </c>
      <c r="D7" s="2">
        <f>INDEX('2021'!$B$2:$G$11, MATCH($A7, '2021'!$A$2:$A$11, 0), MATCH(Commercial_calculation!$A$3, '2021'!$B$1:$G$1, 0))</f>
        <v>1163069425498.9465</v>
      </c>
      <c r="E7" s="2">
        <f>INDEX('2022'!$B$2:$G$11, MATCH($A7, '2022'!$A$2:$A$11, 0), MATCH(Commercial_calculation!$A$3, '2022'!$B$1:$G$1, 0))</f>
        <v>503021344373.30408</v>
      </c>
      <c r="F7" s="2">
        <f>MAX(0,E7*(1+Forecast!$B26))</f>
        <v>478876319843.38544</v>
      </c>
      <c r="G7" s="2">
        <f>MAX(0,F7*(1+Forecast!$B26))</f>
        <v>455890256490.90289</v>
      </c>
      <c r="H7" s="2">
        <f>MAX(0,G7*(1+Forecast!$B26))</f>
        <v>434007524179.33954</v>
      </c>
      <c r="I7" s="2">
        <f>MAX(0,H7*(1+Forecast!$B26))</f>
        <v>413175163018.7312</v>
      </c>
      <c r="J7" s="2">
        <f>MAX(0,I7*(1+Forecast!$B26))</f>
        <v>393342755193.83209</v>
      </c>
      <c r="K7" s="2">
        <f>MAX(0,J7*(1+Forecast!$B26))</f>
        <v>374462302944.52814</v>
      </c>
      <c r="L7" s="2">
        <f>MAX(0,K7*(1+Forecast!$B26))</f>
        <v>356488112403.1908</v>
      </c>
      <c r="M7" s="2">
        <f>MAX(0,L7*(1+Forecast!$B26))</f>
        <v>339376683007.83765</v>
      </c>
      <c r="N7" s="2">
        <f>MAX(0,M7*(1+Forecast!$B26))</f>
        <v>323086602223.46143</v>
      </c>
      <c r="O7" s="2">
        <f>MAX(0,N7*(1+Forecast!$B26))</f>
        <v>307578445316.73529</v>
      </c>
      <c r="P7" s="2">
        <f>MAX(0,O7*(1+Forecast!$B26))</f>
        <v>292814679941.53198</v>
      </c>
      <c r="Q7" s="2">
        <f>MAX(0,P7*(1+Forecast!$B26))</f>
        <v>278759575304.33844</v>
      </c>
      <c r="R7" s="2">
        <f>MAX(0,Q7*(1+Forecast!$B26))</f>
        <v>265379115689.73019</v>
      </c>
      <c r="S7" s="2">
        <f>MAX(0,R7*(1+Forecast!$B26))</f>
        <v>252640918136.62314</v>
      </c>
      <c r="T7" s="2">
        <f>MAX(0,S7*(1+Forecast!$B26))</f>
        <v>240514154066.06522</v>
      </c>
      <c r="U7" s="2">
        <f>MAX(0,T7*(1+Forecast!$B26))</f>
        <v>228969474670.89407</v>
      </c>
      <c r="V7" s="2">
        <f>MAX(0,U7*(1+Forecast!$B26))</f>
        <v>217978939886.69116</v>
      </c>
      <c r="W7" s="2">
        <f>MAX(0,V7*(1+Forecast!$B26))</f>
        <v>207515950772.12997</v>
      </c>
      <c r="X7" s="2">
        <f>MAX(0,W7*(1+Forecast!$B26))</f>
        <v>197555185135.06772</v>
      </c>
      <c r="Y7" s="2">
        <f>MAX(0,X7*(1+Forecast!$B26))</f>
        <v>188072536248.58447</v>
      </c>
      <c r="Z7" s="2">
        <f>MAX(0,Y7*(1+Forecast!$B26))</f>
        <v>179045054508.6524</v>
      </c>
      <c r="AA7" s="2">
        <f>MAX(0,Z7*(1+Forecast!$B26))</f>
        <v>170450891892.23709</v>
      </c>
      <c r="AB7" s="2">
        <f>MAX(0,AA7*(1+Forecast!$B26))</f>
        <v>162269249081.4097</v>
      </c>
      <c r="AC7" s="2">
        <f>MAX(0,AB7*(1+Forecast!$B26))</f>
        <v>154480325125.50201</v>
      </c>
      <c r="AD7" s="2">
        <f>MAX(0,AC7*(1+Forecast!$B26))</f>
        <v>147065269519.47791</v>
      </c>
      <c r="AE7" s="2">
        <f>MAX(0,AD7*(1+Forecast!$B26))</f>
        <v>140006136582.54297</v>
      </c>
      <c r="AF7" s="2">
        <f>MAX(0,AE7*(1+Forecast!$B26))</f>
        <v>133285842026.5809</v>
      </c>
      <c r="AG7" s="2">
        <f>MAX(0,AF7*(1+Forecast!$B26))</f>
        <v>126888121609.30501</v>
      </c>
    </row>
    <row r="8" spans="1:33">
      <c r="A8" s="15" t="s">
        <v>7</v>
      </c>
      <c r="B8" s="2">
        <f>INDEX('2019'!$B$2:$G$11, MATCH($A8, '2019'!$A$2:$A$11, 0), MATCH(Commercial_calculation!$A$3, '2019'!$B$1:$G$1, 0))</f>
        <v>10941281472840.004</v>
      </c>
      <c r="C8" s="2">
        <f>INDEX('2020'!$B$2:$G$11, MATCH($A8, '2020'!$A$2:$A$11, 0), MATCH(Commercial_calculation!$A$3, '2020'!$B$1:$G$1, 0))</f>
        <v>15013939099192.533</v>
      </c>
      <c r="D8" s="2">
        <f>INDEX('2021'!$B$2:$G$11, MATCH($A8, '2021'!$A$2:$A$11, 0), MATCH(Commercial_calculation!$A$3, '2021'!$B$1:$G$1, 0))</f>
        <v>15124065791851.648</v>
      </c>
      <c r="E8" s="2">
        <f>INDEX('2022'!$B$2:$G$11, MATCH($A8, '2022'!$A$2:$A$11, 0), MATCH(Commercial_calculation!$A$3, '2022'!$B$1:$G$1, 0))</f>
        <v>15028622658213.75</v>
      </c>
      <c r="F8" s="2">
        <f>MAX(0,E8*(1+Forecast!$B27))</f>
        <v>15299137866061.598</v>
      </c>
      <c r="G8" s="2">
        <f>MAX(0,F8*(1+Forecast!$B27))</f>
        <v>15574522347650.707</v>
      </c>
      <c r="H8" s="2">
        <f>MAX(0,G8*(1+Forecast!$B27))</f>
        <v>15854863749908.42</v>
      </c>
      <c r="I8" s="2">
        <f>MAX(0,H8*(1+Forecast!$B27))</f>
        <v>16140251297406.771</v>
      </c>
      <c r="J8" s="2">
        <f>MAX(0,I8*(1+Forecast!$B27))</f>
        <v>16430775820760.094</v>
      </c>
      <c r="K8" s="2">
        <f>MAX(0,J8*(1+Forecast!$B27))</f>
        <v>16726529785533.775</v>
      </c>
      <c r="L8" s="2">
        <f>MAX(0,K8*(1+Forecast!$B27))</f>
        <v>17027607321673.383</v>
      </c>
      <c r="M8" s="2">
        <f>MAX(0,L8*(1+Forecast!$B27))</f>
        <v>17334104253463.504</v>
      </c>
      <c r="N8" s="2">
        <f>MAX(0,M8*(1+Forecast!$B27))</f>
        <v>17646118130025.848</v>
      </c>
      <c r="O8" s="2">
        <f>MAX(0,N8*(1+Forecast!$B27))</f>
        <v>17963748256366.313</v>
      </c>
      <c r="P8" s="2">
        <f>MAX(0,O8*(1+Forecast!$B27))</f>
        <v>18287095724980.906</v>
      </c>
      <c r="Q8" s="2">
        <f>MAX(0,P8*(1+Forecast!$B27))</f>
        <v>18616263448030.563</v>
      </c>
      <c r="R8" s="2">
        <f>MAX(0,Q8*(1+Forecast!$B27))</f>
        <v>18951356190095.113</v>
      </c>
      <c r="S8" s="2">
        <f>MAX(0,R8*(1+Forecast!$B27))</f>
        <v>19292480601516.824</v>
      </c>
      <c r="T8" s="2">
        <f>MAX(0,S8*(1+Forecast!$B27))</f>
        <v>19639745252344.129</v>
      </c>
      <c r="U8" s="2">
        <f>MAX(0,T8*(1+Forecast!$B27))</f>
        <v>19993260666886.324</v>
      </c>
      <c r="V8" s="2">
        <f>MAX(0,U8*(1+Forecast!$B27))</f>
        <v>20353139358890.277</v>
      </c>
      <c r="W8" s="2">
        <f>MAX(0,V8*(1+Forecast!$B27))</f>
        <v>20719495867350.301</v>
      </c>
      <c r="X8" s="2">
        <f>MAX(0,W8*(1+Forecast!$B27))</f>
        <v>21092446792962.605</v>
      </c>
      <c r="Y8" s="2">
        <f>MAX(0,X8*(1+Forecast!$B27))</f>
        <v>21472110835235.934</v>
      </c>
      <c r="Z8" s="2">
        <f>MAX(0,Y8*(1+Forecast!$B27))</f>
        <v>21858608830270.18</v>
      </c>
      <c r="AA8" s="2">
        <f>MAX(0,Z8*(1+Forecast!$B27))</f>
        <v>22252063789215.043</v>
      </c>
      <c r="AB8" s="2">
        <f>MAX(0,AA8*(1+Forecast!$B27))</f>
        <v>22652600937420.914</v>
      </c>
      <c r="AC8" s="2">
        <f>MAX(0,AB8*(1+Forecast!$B27))</f>
        <v>23060347754294.492</v>
      </c>
      <c r="AD8" s="2">
        <f>MAX(0,AC8*(1+Forecast!$B27))</f>
        <v>23475434013871.793</v>
      </c>
      <c r="AE8" s="2">
        <f>MAX(0,AD8*(1+Forecast!$B27))</f>
        <v>23897991826121.484</v>
      </c>
      <c r="AF8" s="2">
        <f>MAX(0,AE8*(1+Forecast!$B27))</f>
        <v>24328155678991.672</v>
      </c>
      <c r="AG8" s="2">
        <f>MAX(0,AF8*(1+Forecast!$B27))</f>
        <v>24766062481213.523</v>
      </c>
    </row>
    <row r="9" spans="1:33">
      <c r="A9" s="15" t="s">
        <v>11</v>
      </c>
      <c r="B9" s="2">
        <f>INDEX('2019'!$B$2:$G$11, MATCH($A9, '2019'!$A$2:$A$11, 0), MATCH(Commercial_calculation!$A$3, '2019'!$B$1:$G$1, 0))</f>
        <v>6267469447800.001</v>
      </c>
      <c r="C9" s="2">
        <f>INDEX('2020'!$B$2:$G$11, MATCH($A9, '2020'!$A$2:$A$11, 0), MATCH(Commercial_calculation!$A$3, '2020'!$B$1:$G$1, 0))</f>
        <v>20178874268305.18</v>
      </c>
      <c r="D9" s="2">
        <f>INDEX('2021'!$B$2:$G$11, MATCH($A9, '2021'!$A$2:$A$11, 0), MATCH(Commercial_calculation!$A$3, '2021'!$B$1:$G$1, 0))</f>
        <v>21646428760545.555</v>
      </c>
      <c r="E9" s="2">
        <f>INDEX('2022'!$B$2:$G$11, MATCH($A9, '2022'!$A$2:$A$11, 0), MATCH(Commercial_calculation!$A$3, '2022'!$B$1:$G$1, 0))</f>
        <v>15344411104444.094</v>
      </c>
      <c r="F9" s="2">
        <f>MAX(0,E9*(1+Forecast!$B28))</f>
        <v>16034909604144.076</v>
      </c>
      <c r="G9" s="2">
        <f>MAX(0,F9*(1+Forecast!$B28))</f>
        <v>16756480536330.559</v>
      </c>
      <c r="H9" s="2">
        <f>MAX(0,G9*(1+Forecast!$B28))</f>
        <v>17510522160465.432</v>
      </c>
      <c r="I9" s="2">
        <f>MAX(0,H9*(1+Forecast!$B28))</f>
        <v>18298495657686.375</v>
      </c>
      <c r="J9" s="2">
        <f>MAX(0,I9*(1+Forecast!$B28))</f>
        <v>19121927962282.262</v>
      </c>
      <c r="K9" s="2">
        <f>MAX(0,J9*(1+Forecast!$B28))</f>
        <v>19982414720584.961</v>
      </c>
      <c r="L9" s="2">
        <f>MAX(0,K9*(1+Forecast!$B28))</f>
        <v>20881623383011.281</v>
      </c>
      <c r="M9" s="2">
        <f>MAX(0,L9*(1+Forecast!$B28))</f>
        <v>21821296435246.789</v>
      </c>
      <c r="N9" s="2">
        <f>MAX(0,M9*(1+Forecast!$B28))</f>
        <v>22803254774832.895</v>
      </c>
      <c r="O9" s="2">
        <f>MAX(0,N9*(1+Forecast!$B28))</f>
        <v>23829401239700.375</v>
      </c>
      <c r="P9" s="2">
        <f>MAX(0,O9*(1+Forecast!$B28))</f>
        <v>24901724295486.891</v>
      </c>
      <c r="Q9" s="2">
        <f>MAX(0,P9*(1+Forecast!$B28))</f>
        <v>26022301888783.801</v>
      </c>
      <c r="R9" s="2">
        <f>MAX(0,Q9*(1+Forecast!$B28))</f>
        <v>27193305473779.07</v>
      </c>
      <c r="S9" s="2">
        <f>MAX(0,R9*(1+Forecast!$B28))</f>
        <v>28417004220099.125</v>
      </c>
      <c r="T9" s="2">
        <f>MAX(0,S9*(1+Forecast!$B28))</f>
        <v>29695769410003.582</v>
      </c>
      <c r="U9" s="2">
        <f>MAX(0,T9*(1+Forecast!$B28))</f>
        <v>31032079033453.742</v>
      </c>
      <c r="V9" s="2">
        <f>MAX(0,U9*(1+Forecast!$B28))</f>
        <v>32428522589959.16</v>
      </c>
      <c r="W9" s="2">
        <f>MAX(0,V9*(1+Forecast!$B28))</f>
        <v>33887806106507.32</v>
      </c>
      <c r="X9" s="2">
        <f>MAX(0,W9*(1+Forecast!$B28))</f>
        <v>35412757381300.148</v>
      </c>
      <c r="Y9" s="2">
        <f>MAX(0,X9*(1+Forecast!$B28))</f>
        <v>37006331463458.656</v>
      </c>
      <c r="Z9" s="2">
        <f>MAX(0,Y9*(1+Forecast!$B28))</f>
        <v>38671616379314.297</v>
      </c>
      <c r="AA9" s="2">
        <f>MAX(0,Z9*(1+Forecast!$B28))</f>
        <v>40411839116383.438</v>
      </c>
      <c r="AB9" s="2">
        <f>MAX(0,AA9*(1+Forecast!$B28))</f>
        <v>42230371876620.688</v>
      </c>
      <c r="AC9" s="2">
        <f>MAX(0,AB9*(1+Forecast!$B28))</f>
        <v>44130738611068.617</v>
      </c>
      <c r="AD9" s="2">
        <f>MAX(0,AC9*(1+Forecast!$B28))</f>
        <v>46116621848566.703</v>
      </c>
      <c r="AE9" s="2">
        <f>MAX(0,AD9*(1+Forecast!$B28))</f>
        <v>48191869831752.203</v>
      </c>
      <c r="AF9" s="2">
        <f>MAX(0,AE9*(1+Forecast!$B28))</f>
        <v>50360503974181.047</v>
      </c>
      <c r="AG9" s="2">
        <f>MAX(0,AF9*(1+Forecast!$B28))</f>
        <v>52626726653019.188</v>
      </c>
    </row>
    <row r="10" spans="1:33">
      <c r="A10" s="15" t="s">
        <v>13</v>
      </c>
      <c r="B10" s="2">
        <f>INDEX('2019'!$B$2:$G$11, MATCH($A10, '2019'!$A$2:$A$11, 0), MATCH(Commercial_calculation!$A$3, '2019'!$B$1:$G$1, 0))</f>
        <v>15264171876270.004</v>
      </c>
      <c r="C10" s="2">
        <f>INDEX('2020'!$B$2:$G$11, MATCH($A10, '2020'!$A$2:$A$11, 0), MATCH(Commercial_calculation!$A$3, '2020'!$B$1:$G$1, 0))</f>
        <v>30210188668175.012</v>
      </c>
      <c r="D10" s="2">
        <f>INDEX('2021'!$B$2:$G$11, MATCH($A10, '2021'!$A$2:$A$11, 0), MATCH(Commercial_calculation!$A$3, '2021'!$B$1:$G$1, 0))</f>
        <v>29890469275228.047</v>
      </c>
      <c r="E10" s="2">
        <f>INDEX('2022'!$B$2:$G$11, MATCH($A10, '2022'!$A$2:$A$11, 0), MATCH(Commercial_calculation!$A$3, '2022'!$B$1:$G$1, 0))</f>
        <v>12927469082358.551</v>
      </c>
      <c r="F10" s="2">
        <f>MAX(0,E10*(1+Forecast!$B29))</f>
        <v>12306950566405.34</v>
      </c>
      <c r="G10" s="2">
        <f>MAX(0,F10*(1+Forecast!$B29))</f>
        <v>11716216939217.883</v>
      </c>
      <c r="H10" s="2">
        <f>MAX(0,G10*(1+Forecast!$B29))</f>
        <v>11153838526135.424</v>
      </c>
      <c r="I10" s="2">
        <f>MAX(0,H10*(1+Forecast!$B29))</f>
        <v>10618454276880.924</v>
      </c>
      <c r="J10" s="2">
        <f>MAX(0,I10*(1+Forecast!$B29))</f>
        <v>10108768471590.639</v>
      </c>
      <c r="K10" s="2">
        <f>MAX(0,J10*(1+Forecast!$B29))</f>
        <v>9623547584954.2871</v>
      </c>
      <c r="L10" s="2">
        <f>MAX(0,K10*(1+Forecast!$B29))</f>
        <v>9161617300876.4805</v>
      </c>
      <c r="M10" s="2">
        <f>MAX(0,L10*(1+Forecast!$B29))</f>
        <v>8721859670434.4092</v>
      </c>
      <c r="N10" s="2">
        <f>MAX(0,M10*(1+Forecast!$B29))</f>
        <v>8303210406253.5576</v>
      </c>
      <c r="O10" s="2">
        <f>MAX(0,N10*(1+Forecast!$B29))</f>
        <v>7904656306753.3867</v>
      </c>
      <c r="P10" s="2">
        <f>MAX(0,O10*(1+Forecast!$B29))</f>
        <v>7525232804029.2236</v>
      </c>
      <c r="Q10" s="2">
        <f>MAX(0,P10*(1+Forecast!$B29))</f>
        <v>7164021629435.8203</v>
      </c>
      <c r="R10" s="2">
        <f>MAX(0,Q10*(1+Forecast!$B29))</f>
        <v>6820148591222.9004</v>
      </c>
      <c r="S10" s="2">
        <f>MAX(0,R10*(1+Forecast!$B29))</f>
        <v>6492781458844.2012</v>
      </c>
      <c r="T10" s="2">
        <f>MAX(0,S10*(1+Forecast!$B29))</f>
        <v>6181127948819.6797</v>
      </c>
      <c r="U10" s="2">
        <f>MAX(0,T10*(1+Forecast!$B29))</f>
        <v>5884433807276.335</v>
      </c>
      <c r="V10" s="2">
        <f>MAX(0,U10*(1+Forecast!$B29))</f>
        <v>5601980984527.0703</v>
      </c>
      <c r="W10" s="2">
        <f>MAX(0,V10*(1+Forecast!$B29))</f>
        <v>5333085897269.7705</v>
      </c>
      <c r="X10" s="2">
        <f>MAX(0,W10*(1+Forecast!$B29))</f>
        <v>5077097774200.8213</v>
      </c>
      <c r="Y10" s="2">
        <f>MAX(0,X10*(1+Forecast!$B29))</f>
        <v>4833397081039.1816</v>
      </c>
      <c r="Z10" s="2">
        <f>MAX(0,Y10*(1+Forecast!$B29))</f>
        <v>4601394021149.3008</v>
      </c>
      <c r="AA10" s="2">
        <f>MAX(0,Z10*(1+Forecast!$B29))</f>
        <v>4380527108134.1343</v>
      </c>
      <c r="AB10" s="2">
        <f>MAX(0,AA10*(1+Forecast!$B29))</f>
        <v>4170261806943.6958</v>
      </c>
      <c r="AC10" s="2">
        <f>MAX(0,AB10*(1+Forecast!$B29))</f>
        <v>3970089240210.3984</v>
      </c>
      <c r="AD10" s="2">
        <f>MAX(0,AC10*(1+Forecast!$B29))</f>
        <v>3779524956680.2993</v>
      </c>
      <c r="AE10" s="2">
        <f>MAX(0,AD10*(1+Forecast!$B29))</f>
        <v>3598107758759.645</v>
      </c>
      <c r="AF10" s="2">
        <f>MAX(0,AE10*(1+Forecast!$B29))</f>
        <v>3425398586339.1821</v>
      </c>
      <c r="AG10" s="2">
        <f>MAX(0,AF10*(1+Forecast!$B29))</f>
        <v>3260979454194.9014</v>
      </c>
    </row>
    <row r="11" spans="1:33">
      <c r="A11" s="15" t="s">
        <v>14</v>
      </c>
      <c r="B11" s="2">
        <f>INDEX('2019'!$B$2:$G$11, MATCH($A11, '2019'!$A$2:$A$11, 0), MATCH(Commercial_calculation!$A$3, '2019'!$B$1:$G$1, 0))</f>
        <v>1809723965640.0002</v>
      </c>
      <c r="C11" s="2">
        <f>INDEX('2020'!$B$2:$G$11, MATCH($A11, '2020'!$A$2:$A$11, 0), MATCH(Commercial_calculation!$A$3, '2020'!$B$1:$G$1, 0))</f>
        <v>3914557358154.1328</v>
      </c>
      <c r="D11" s="2">
        <f>INDEX('2021'!$B$2:$G$11, MATCH($A11, '2021'!$A$2:$A$11, 0), MATCH(Commercial_calculation!$A$3, '2021'!$B$1:$G$1, 0))</f>
        <v>3543821376625.1646</v>
      </c>
      <c r="E11" s="2">
        <f>INDEX('2022'!$B$2:$G$11, MATCH($A11, '2022'!$A$2:$A$11, 0), MATCH(Commercial_calculation!$A$3, '2022'!$B$1:$G$1, 0))</f>
        <v>1532683908636.0781</v>
      </c>
      <c r="F11" s="2">
        <f>MAX(0,E11*(1+Forecast!$B30))</f>
        <v>1459115081021.5464</v>
      </c>
      <c r="G11" s="2">
        <f>MAX(0,F11*(1+Forecast!$B30))</f>
        <v>1389077557132.5122</v>
      </c>
      <c r="H11" s="2">
        <f>MAX(0,G11*(1+Forecast!$B30))</f>
        <v>1322401834390.1516</v>
      </c>
      <c r="I11" s="2">
        <f>MAX(0,H11*(1+Forecast!$B30))</f>
        <v>1258926546339.4243</v>
      </c>
      <c r="J11" s="2">
        <f>MAX(0,I11*(1+Forecast!$B30))</f>
        <v>1198498072115.1318</v>
      </c>
      <c r="K11" s="2">
        <f>MAX(0,J11*(1+Forecast!$B30))</f>
        <v>1140970164653.6055</v>
      </c>
      <c r="L11" s="2">
        <f>MAX(0,K11*(1+Forecast!$B30))</f>
        <v>1086203596750.2323</v>
      </c>
      <c r="M11" s="2">
        <f>MAX(0,L11*(1+Forecast!$B30))</f>
        <v>1034065824106.2211</v>
      </c>
      <c r="N11" s="2">
        <f>MAX(0,M11*(1+Forecast!$B30))</f>
        <v>984430664549.12244</v>
      </c>
      <c r="O11" s="2">
        <f>MAX(0,N11*(1+Forecast!$B30))</f>
        <v>937177992650.76453</v>
      </c>
      <c r="P11" s="2">
        <f>MAX(0,O11*(1+Forecast!$B30))</f>
        <v>892193449003.52783</v>
      </c>
      <c r="Q11" s="2">
        <f>MAX(0,P11*(1+Forecast!$B30))</f>
        <v>849368163451.3584</v>
      </c>
      <c r="R11" s="2">
        <f>MAX(0,Q11*(1+Forecast!$B30))</f>
        <v>808598491605.69312</v>
      </c>
      <c r="S11" s="2">
        <f>MAX(0,R11*(1+Forecast!$B30))</f>
        <v>769785764008.61975</v>
      </c>
      <c r="T11" s="2">
        <f>MAX(0,S11*(1+Forecast!$B30))</f>
        <v>732836047336.20593</v>
      </c>
      <c r="U11" s="2">
        <f>MAX(0,T11*(1+Forecast!$B30))</f>
        <v>697659917064.06799</v>
      </c>
      <c r="V11" s="2">
        <f>MAX(0,U11*(1+Forecast!$B30))</f>
        <v>664172241044.99268</v>
      </c>
      <c r="W11" s="2">
        <f>MAX(0,V11*(1+Forecast!$B30))</f>
        <v>632291973474.83301</v>
      </c>
      <c r="X11" s="2">
        <f>MAX(0,W11*(1+Forecast!$B30))</f>
        <v>601941958748.04102</v>
      </c>
      <c r="Y11" s="2">
        <f>MAX(0,X11*(1+Forecast!$B30))</f>
        <v>573048744728.13501</v>
      </c>
      <c r="Z11" s="2">
        <f>MAX(0,Y11*(1+Forecast!$B30))</f>
        <v>545542404981.18451</v>
      </c>
      <c r="AA11" s="2">
        <f>MAX(0,Z11*(1+Forecast!$B30))</f>
        <v>519356369542.08765</v>
      </c>
      <c r="AB11" s="2">
        <f>MAX(0,AA11*(1+Forecast!$B30))</f>
        <v>494427263804.06744</v>
      </c>
      <c r="AC11" s="2">
        <f>MAX(0,AB11*(1+Forecast!$B30))</f>
        <v>470694755141.47217</v>
      </c>
      <c r="AD11" s="2">
        <f>MAX(0,AC11*(1+Forecast!$B30))</f>
        <v>448101406894.68146</v>
      </c>
      <c r="AE11" s="2">
        <f>MAX(0,AD11*(1+Forecast!$B30))</f>
        <v>426592539363.73676</v>
      </c>
      <c r="AF11" s="2">
        <f>MAX(0,AE11*(1+Forecast!$B30))</f>
        <v>406116097474.27734</v>
      </c>
      <c r="AG11" s="2">
        <f>MAX(0,AF11*(1+Forecast!$B30))</f>
        <v>386622524795.51202</v>
      </c>
    </row>
    <row r="12" spans="1:33">
      <c r="A12" s="15" t="s">
        <v>15</v>
      </c>
      <c r="B12" s="2">
        <f>INDEX('2019'!$B$2:$G$11, MATCH($A12, '2019'!$A$2:$A$11, 0), MATCH(Commercial_calculation!$A$3, '2019'!$B$1:$G$1, 0))</f>
        <v>13033096723140.002</v>
      </c>
      <c r="C12" s="2">
        <f>INDEX('2020'!$B$2:$G$11, MATCH($A12, '2020'!$A$2:$A$11, 0), MATCH(Commercial_calculation!$A$3, '2020'!$B$1:$G$1, 0))</f>
        <v>26751168624944.395</v>
      </c>
      <c r="D12" s="2">
        <f>INDEX('2021'!$B$2:$G$11, MATCH($A12, '2021'!$A$2:$A$11, 0), MATCH(Commercial_calculation!$A$3, '2021'!$B$1:$G$1, 0))</f>
        <v>25521553368363.07</v>
      </c>
      <c r="E12" s="2">
        <f>INDEX('2022'!$B$2:$G$11, MATCH($A12, '2022'!$A$2:$A$11, 0), MATCH(Commercial_calculation!$A$3, '2022'!$B$1:$G$1, 0))</f>
        <v>11037936175084.029</v>
      </c>
      <c r="F12" s="2">
        <f>MAX(0,E12*(1+Forecast!$B31))</f>
        <v>10508115238679.996</v>
      </c>
      <c r="G12" s="2">
        <f>MAX(0,F12*(1+Forecast!$B31))</f>
        <v>10003725707223.355</v>
      </c>
      <c r="H12" s="2">
        <f>MAX(0,G12*(1+Forecast!$B31))</f>
        <v>9523546873276.6348</v>
      </c>
      <c r="I12" s="2">
        <f>MAX(0,H12*(1+Forecast!$B31))</f>
        <v>9066416623359.3555</v>
      </c>
      <c r="J12" s="2">
        <f>MAX(0,I12*(1+Forecast!$B31))</f>
        <v>8631228625438.1064</v>
      </c>
      <c r="K12" s="2">
        <f>MAX(0,J12*(1+Forecast!$B31))</f>
        <v>8216929651417.0771</v>
      </c>
      <c r="L12" s="2">
        <f>MAX(0,K12*(1+Forecast!$B31))</f>
        <v>7822517028149.0566</v>
      </c>
      <c r="M12" s="2">
        <f>MAX(0,L12*(1+Forecast!$B31))</f>
        <v>7447036210797.9014</v>
      </c>
      <c r="N12" s="2">
        <f>MAX(0,M12*(1+Forecast!$B31))</f>
        <v>7089578472679.6016</v>
      </c>
      <c r="O12" s="2">
        <f>MAX(0,N12*(1+Forecast!$B31))</f>
        <v>6749278705990.9805</v>
      </c>
      <c r="P12" s="2">
        <f>MAX(0,O12*(1+Forecast!$B31))</f>
        <v>6425313328103.4131</v>
      </c>
      <c r="Q12" s="2">
        <f>MAX(0,P12*(1+Forecast!$B31))</f>
        <v>6116898288354.4492</v>
      </c>
      <c r="R12" s="2">
        <f>MAX(0,Q12*(1+Forecast!$B31))</f>
        <v>5823287170513.4355</v>
      </c>
      <c r="S12" s="2">
        <f>MAX(0,R12*(1+Forecast!$B31))</f>
        <v>5543769386328.79</v>
      </c>
      <c r="T12" s="2">
        <f>MAX(0,S12*(1+Forecast!$B31))</f>
        <v>5277668455785.0078</v>
      </c>
      <c r="U12" s="2">
        <f>MAX(0,T12*(1+Forecast!$B31))</f>
        <v>5024340369907.3271</v>
      </c>
      <c r="V12" s="2">
        <f>MAX(0,U12*(1+Forecast!$B31))</f>
        <v>4783172032151.7754</v>
      </c>
      <c r="W12" s="2">
        <f>MAX(0,V12*(1+Forecast!$B31))</f>
        <v>4553579774608.4902</v>
      </c>
      <c r="X12" s="2">
        <f>MAX(0,W12*(1+Forecast!$B31))</f>
        <v>4335007945427.2827</v>
      </c>
      <c r="Y12" s="2">
        <f>MAX(0,X12*(1+Forecast!$B31))</f>
        <v>4126927564046.7729</v>
      </c>
      <c r="Z12" s="2">
        <f>MAX(0,Y12*(1+Forecast!$B31))</f>
        <v>3928835040972.5278</v>
      </c>
      <c r="AA12" s="2">
        <f>MAX(0,Z12*(1+Forecast!$B31))</f>
        <v>3740250959005.8462</v>
      </c>
      <c r="AB12" s="2">
        <f>MAX(0,AA12*(1+Forecast!$B31))</f>
        <v>3560718912973.5654</v>
      </c>
      <c r="AC12" s="2">
        <f>MAX(0,AB12*(1+Forecast!$B31))</f>
        <v>3389804405150.834</v>
      </c>
      <c r="AD12" s="2">
        <f>MAX(0,AC12*(1+Forecast!$B31))</f>
        <v>3227093793703.5938</v>
      </c>
      <c r="AE12" s="2">
        <f>MAX(0,AD12*(1+Forecast!$B31))</f>
        <v>3072193291605.8213</v>
      </c>
      <c r="AF12" s="2">
        <f>MAX(0,AE12*(1+Forecast!$B31))</f>
        <v>2924728013608.7417</v>
      </c>
      <c r="AG12" s="2">
        <f>MAX(0,AF12*(1+Forecast!$B31))</f>
        <v>2784341068955.522</v>
      </c>
    </row>
    <row r="13" spans="1:33">
      <c r="A13" s="15" t="s">
        <v>16</v>
      </c>
      <c r="B13" s="2">
        <f>INDEX('2019'!$B$2:$G$11, MATCH($A13, '2019'!$A$2:$A$11, 0), MATCH(Commercial_calculation!$A$3, '2019'!$B$1:$G$1, 0))</f>
        <v>0</v>
      </c>
      <c r="C13" s="2">
        <f>INDEX('2020'!$B$2:$G$11, MATCH($A13, '2020'!$A$2:$A$11, 0), MATCH(Commercial_calculation!$A$3, '2020'!$B$1:$G$1, 0))</f>
        <v>0</v>
      </c>
      <c r="D13" s="2">
        <f>INDEX('2021'!$B$2:$G$11, MATCH($A13, '2021'!$A$2:$A$11, 0), MATCH(Commercial_calculation!$A$3, '2021'!$B$1:$G$1, 0))</f>
        <v>0</v>
      </c>
      <c r="E13" s="2">
        <f>INDEX('2022'!$B$2:$G$11, MATCH($A13, '2022'!$A$2:$A$11, 0), MATCH(Commercial_calculation!$A$3, '2022'!$B$1:$G$1, 0))</f>
        <v>0</v>
      </c>
      <c r="F13" s="2">
        <f>MAX(0,E13*(1+Forecast!$B32))</f>
        <v>0</v>
      </c>
      <c r="G13" s="2">
        <f>MAX(0,F13*(1+Forecast!$B32))</f>
        <v>0</v>
      </c>
      <c r="H13" s="2">
        <f>MAX(0,G13*(1+Forecast!$B32))</f>
        <v>0</v>
      </c>
      <c r="I13" s="2">
        <f>MAX(0,H13*(1+Forecast!$B32))</f>
        <v>0</v>
      </c>
      <c r="J13" s="2">
        <f>MAX(0,I13*(1+Forecast!$B32))</f>
        <v>0</v>
      </c>
      <c r="K13" s="2">
        <f>MAX(0,J13*(1+Forecast!$B32))</f>
        <v>0</v>
      </c>
      <c r="L13" s="2">
        <f>MAX(0,K13*(1+Forecast!$B32))</f>
        <v>0</v>
      </c>
      <c r="M13" s="2">
        <f>MAX(0,L13*(1+Forecast!$B32))</f>
        <v>0</v>
      </c>
      <c r="N13" s="2">
        <f>MAX(0,M13*(1+Forecast!$B32))</f>
        <v>0</v>
      </c>
      <c r="O13" s="2">
        <f>MAX(0,N13*(1+Forecast!$B32))</f>
        <v>0</v>
      </c>
      <c r="P13" s="2">
        <f>MAX(0,O13*(1+Forecast!$B32))</f>
        <v>0</v>
      </c>
      <c r="Q13" s="2">
        <f>MAX(0,P13*(1+Forecast!$B32))</f>
        <v>0</v>
      </c>
      <c r="R13" s="2">
        <f>MAX(0,Q13*(1+Forecast!$B32))</f>
        <v>0</v>
      </c>
      <c r="S13" s="2">
        <f>MAX(0,R13*(1+Forecast!$B32))</f>
        <v>0</v>
      </c>
      <c r="T13" s="2">
        <f>MAX(0,S13*(1+Forecast!$B32))</f>
        <v>0</v>
      </c>
      <c r="U13" s="2">
        <f>MAX(0,T13*(1+Forecast!$B32))</f>
        <v>0</v>
      </c>
      <c r="V13" s="2">
        <f>MAX(0,U13*(1+Forecast!$B32))</f>
        <v>0</v>
      </c>
      <c r="W13" s="2">
        <f>MAX(0,V13*(1+Forecast!$B32))</f>
        <v>0</v>
      </c>
      <c r="X13" s="2">
        <f>MAX(0,W13*(1+Forecast!$B32))</f>
        <v>0</v>
      </c>
      <c r="Y13" s="2">
        <f>MAX(0,X13*(1+Forecast!$B32))</f>
        <v>0</v>
      </c>
      <c r="Z13" s="2">
        <f>MAX(0,Y13*(1+Forecast!$B32))</f>
        <v>0</v>
      </c>
      <c r="AA13" s="2">
        <f>MAX(0,Z13*(1+Forecast!$B32))</f>
        <v>0</v>
      </c>
      <c r="AB13" s="2">
        <f>MAX(0,AA13*(1+Forecast!$B32))</f>
        <v>0</v>
      </c>
      <c r="AC13" s="2">
        <f>MAX(0,AB13*(1+Forecast!$B32))</f>
        <v>0</v>
      </c>
      <c r="AD13" s="2">
        <f>MAX(0,AC13*(1+Forecast!$B32))</f>
        <v>0</v>
      </c>
      <c r="AE13" s="2">
        <f>MAX(0,AD13*(1+Forecast!$B32))</f>
        <v>0</v>
      </c>
      <c r="AF13" s="2">
        <f>MAX(0,AE13*(1+Forecast!$B32))</f>
        <v>0</v>
      </c>
      <c r="AG13" s="2">
        <f>MAX(0,AF13*(1+Forecast!$B32))</f>
        <v>0</v>
      </c>
    </row>
    <row r="15" spans="1:33">
      <c r="A15" s="15" t="s">
        <v>38</v>
      </c>
      <c r="B15" s="1">
        <v>2019</v>
      </c>
      <c r="C15" s="1">
        <v>2020</v>
      </c>
      <c r="D15" s="1">
        <v>2021</v>
      </c>
      <c r="E15" s="1">
        <v>2022</v>
      </c>
      <c r="F15" s="1">
        <v>2023</v>
      </c>
      <c r="G15" s="1">
        <v>2024</v>
      </c>
      <c r="H15" s="1">
        <v>2025</v>
      </c>
      <c r="I15" s="1">
        <v>2026</v>
      </c>
      <c r="J15" s="1">
        <v>2027</v>
      </c>
      <c r="K15" s="1">
        <v>2028</v>
      </c>
      <c r="L15" s="1">
        <v>2029</v>
      </c>
      <c r="M15" s="1">
        <v>2030</v>
      </c>
      <c r="N15" s="1">
        <v>2031</v>
      </c>
      <c r="O15" s="1">
        <v>2032</v>
      </c>
      <c r="P15" s="1">
        <v>2033</v>
      </c>
      <c r="Q15" s="1">
        <v>2034</v>
      </c>
      <c r="R15" s="1">
        <v>2035</v>
      </c>
      <c r="S15" s="1">
        <v>2036</v>
      </c>
      <c r="T15" s="1">
        <v>2037</v>
      </c>
      <c r="U15" s="1">
        <v>2038</v>
      </c>
      <c r="V15" s="1">
        <v>2039</v>
      </c>
      <c r="W15" s="1">
        <v>2040</v>
      </c>
      <c r="X15" s="1">
        <v>2041</v>
      </c>
      <c r="Y15" s="1">
        <v>2042</v>
      </c>
      <c r="Z15" s="1">
        <v>2043</v>
      </c>
      <c r="AA15" s="1">
        <v>2044</v>
      </c>
      <c r="AB15" s="1">
        <v>2045</v>
      </c>
      <c r="AC15" s="1">
        <v>2046</v>
      </c>
      <c r="AD15" s="1">
        <v>2047</v>
      </c>
      <c r="AE15" s="1">
        <v>2048</v>
      </c>
      <c r="AF15" s="1">
        <v>2049</v>
      </c>
      <c r="AG15" s="1">
        <v>2050</v>
      </c>
    </row>
    <row r="16" spans="1:33" s="42" customFormat="1">
      <c r="A16" s="40" t="s">
        <v>2</v>
      </c>
      <c r="B16" s="41">
        <f>INDEX('2019'!$B$2:$G$11, MATCH($A16, '2019'!$A$2:$A$11, 0), MATCH(Commercial_calculation!$A$15, '2019'!$B$1:$G$1, 0))</f>
        <v>186341505353171.88</v>
      </c>
      <c r="C16" s="41">
        <f>INDEX('2020'!$B$2:$G$11, MATCH($A16, '2020'!$A$2:$A$11, 0), MATCH(Commercial_calculation!$A$15, '2020'!$B$1:$G$1, 0))</f>
        <v>189203681922290.22</v>
      </c>
      <c r="D16" s="41">
        <f>INDEX('2021'!$B$2:$G$11, MATCH($A16, '2021'!$A$2:$A$11, 0), MATCH(Commercial_calculation!$A$15, '2021'!$B$1:$G$1, 0))</f>
        <v>190877467835924.91</v>
      </c>
      <c r="E16" s="41">
        <f>INDEX('2022'!$B$2:$G$11, MATCH($A16, '2022'!$A$2:$A$11, 0), MATCH(Commercial_calculation!$A$15, '2022'!$B$1:$G$1, 0))</f>
        <v>201799585123150.69</v>
      </c>
      <c r="F16" s="41">
        <f>MAX(0,E16*(1+Forecast!$B23))</f>
        <v>203413981804135.91</v>
      </c>
      <c r="G16" s="41">
        <f>MAX(0,F16*(1+Forecast!$B23))</f>
        <v>205041293658569</v>
      </c>
      <c r="H16" s="41">
        <f>MAX(0,G16*(1+Forecast!$B23))</f>
        <v>206681624007837.56</v>
      </c>
      <c r="I16" s="41">
        <f>MAX(0,H16*(1+Forecast!$B23))</f>
        <v>208335076999900.25</v>
      </c>
      <c r="J16" s="41">
        <f>MAX(0,I16*(1+Forecast!$B23))</f>
        <v>210001757615899.47</v>
      </c>
      <c r="K16" s="41">
        <f>MAX(0,J16*(1+Forecast!$B23))</f>
        <v>211681771676826.66</v>
      </c>
      <c r="L16" s="41">
        <f>MAX(0,K16*(1+Forecast!$B23))</f>
        <v>213375225850241.28</v>
      </c>
      <c r="M16" s="41">
        <f>MAX(0,L16*(1+Forecast!$B23))</f>
        <v>215082227657043.22</v>
      </c>
      <c r="N16" s="41">
        <f>MAX(0,M16*(1+Forecast!$B23))</f>
        <v>216802885478299.56</v>
      </c>
      <c r="O16" s="41">
        <f>MAX(0,N16*(1+Forecast!$B23))</f>
        <v>218537308562125.97</v>
      </c>
      <c r="P16" s="41">
        <f>MAX(0,O16*(1+Forecast!$B23))</f>
        <v>220285607030622.97</v>
      </c>
      <c r="Q16" s="41">
        <f>MAX(0,P16*(1+Forecast!$B23))</f>
        <v>222047891886867.97</v>
      </c>
      <c r="R16" s="41">
        <f>MAX(0,Q16*(1+Forecast!$B23))</f>
        <v>223824275021962.91</v>
      </c>
      <c r="S16" s="41">
        <f>MAX(0,R16*(1+Forecast!$B23))</f>
        <v>225614869222138.63</v>
      </c>
      <c r="T16" s="41">
        <f>MAX(0,S16*(1+Forecast!$B23))</f>
        <v>227419788175915.75</v>
      </c>
      <c r="U16" s="41">
        <f>MAX(0,T16*(1+Forecast!$B23))</f>
        <v>229239146481323.06</v>
      </c>
      <c r="V16" s="41">
        <f>MAX(0,U16*(1+Forecast!$B23))</f>
        <v>231073059653173.66</v>
      </c>
      <c r="W16" s="41">
        <f>MAX(0,V16*(1+Forecast!$B23))</f>
        <v>232921644130399.06</v>
      </c>
      <c r="X16" s="41">
        <f>MAX(0,W16*(1+Forecast!$B23))</f>
        <v>234785017283442.25</v>
      </c>
      <c r="Y16" s="41">
        <f>MAX(0,X16*(1+Forecast!$B23))</f>
        <v>236663297421709.78</v>
      </c>
      <c r="Z16" s="41">
        <f>MAX(0,Y16*(1+Forecast!$B23))</f>
        <v>238556603801083.47</v>
      </c>
      <c r="AA16" s="41">
        <f>MAX(0,Z16*(1+Forecast!$B23))</f>
        <v>240465056631492.13</v>
      </c>
      <c r="AB16" s="41">
        <f>MAX(0,AA16*(1+Forecast!$B23))</f>
        <v>242388777084544.06</v>
      </c>
      <c r="AC16" s="41">
        <f>MAX(0,AB16*(1+Forecast!$B23))</f>
        <v>244327887301220.41</v>
      </c>
      <c r="AD16" s="41">
        <f>MAX(0,AC16*(1+Forecast!$B23))</f>
        <v>246282510399630.16</v>
      </c>
      <c r="AE16" s="41">
        <f>MAX(0,AD16*(1+Forecast!$B23))</f>
        <v>248252770482827.19</v>
      </c>
      <c r="AF16" s="41">
        <f>MAX(0,AE16*(1+Forecast!$B23))</f>
        <v>250238792646689.81</v>
      </c>
      <c r="AG16" s="41">
        <f>MAX(0,AF16*(1+Forecast!$B23))</f>
        <v>252240702987863.34</v>
      </c>
    </row>
    <row r="17" spans="1:33">
      <c r="A17" s="15" t="s">
        <v>3</v>
      </c>
      <c r="B17" s="2">
        <f>INDEX('2019'!$B$2:$G$11, MATCH($A17, '2019'!$A$2:$A$11, 0), MATCH(Commercial_calculation!$A$15, '2019'!$B$1:$G$1, 0))</f>
        <v>0</v>
      </c>
      <c r="C17" s="2">
        <f>INDEX('2020'!$B$2:$G$11, MATCH($A17, '2020'!$A$2:$A$11, 0), MATCH(Commercial_calculation!$A$15, '2020'!$B$1:$G$1, 0))</f>
        <v>0</v>
      </c>
      <c r="D17" s="2">
        <f>INDEX('2021'!$B$2:$G$11, MATCH($A17, '2021'!$A$2:$A$11, 0), MATCH(Commercial_calculation!$A$15, '2021'!$B$1:$G$1, 0))</f>
        <v>0</v>
      </c>
      <c r="E17" s="2">
        <f>INDEX('2022'!$B$2:$G$11, MATCH($A17, '2022'!$A$2:$A$11, 0), MATCH(Commercial_calculation!$A$15, '2022'!$B$1:$G$1, 0))</f>
        <v>0</v>
      </c>
      <c r="F17" s="2">
        <f>MAX(0,E17*(1+Forecast!$B24))</f>
        <v>0</v>
      </c>
      <c r="G17" s="2">
        <f>MAX(0,F17*(1+Forecast!$B24))</f>
        <v>0</v>
      </c>
      <c r="H17" s="2">
        <f>MAX(0,G17*(1+Forecast!$B24))</f>
        <v>0</v>
      </c>
      <c r="I17" s="2">
        <f>MAX(0,H17*(1+Forecast!$B24))</f>
        <v>0</v>
      </c>
      <c r="J17" s="2">
        <f>MAX(0,I17*(1+Forecast!$B24))</f>
        <v>0</v>
      </c>
      <c r="K17" s="2">
        <f>MAX(0,J17*(1+Forecast!$B24))</f>
        <v>0</v>
      </c>
      <c r="L17" s="2">
        <f>MAX(0,K17*(1+Forecast!$B24))</f>
        <v>0</v>
      </c>
      <c r="M17" s="2">
        <f>MAX(0,L17*(1+Forecast!$B24))</f>
        <v>0</v>
      </c>
      <c r="N17" s="2">
        <f>MAX(0,M17*(1+Forecast!$B24))</f>
        <v>0</v>
      </c>
      <c r="O17" s="2">
        <f>MAX(0,N17*(1+Forecast!$B24))</f>
        <v>0</v>
      </c>
      <c r="P17" s="2">
        <f>MAX(0,O17*(1+Forecast!$B24))</f>
        <v>0</v>
      </c>
      <c r="Q17" s="2">
        <f>MAX(0,P17*(1+Forecast!$B24))</f>
        <v>0</v>
      </c>
      <c r="R17" s="2">
        <f>MAX(0,Q17*(1+Forecast!$B24))</f>
        <v>0</v>
      </c>
      <c r="S17" s="2">
        <f>MAX(0,R17*(1+Forecast!$B24))</f>
        <v>0</v>
      </c>
      <c r="T17" s="2">
        <f>MAX(0,S17*(1+Forecast!$B24))</f>
        <v>0</v>
      </c>
      <c r="U17" s="2">
        <f>MAX(0,T17*(1+Forecast!$B24))</f>
        <v>0</v>
      </c>
      <c r="V17" s="2">
        <f>MAX(0,U17*(1+Forecast!$B24))</f>
        <v>0</v>
      </c>
      <c r="W17" s="2">
        <f>MAX(0,V17*(1+Forecast!$B24))</f>
        <v>0</v>
      </c>
      <c r="X17" s="2">
        <f>MAX(0,W17*(1+Forecast!$B24))</f>
        <v>0</v>
      </c>
      <c r="Y17" s="2">
        <f>MAX(0,X17*(1+Forecast!$B24))</f>
        <v>0</v>
      </c>
      <c r="Z17" s="2">
        <f>MAX(0,Y17*(1+Forecast!$B24))</f>
        <v>0</v>
      </c>
      <c r="AA17" s="2">
        <f>MAX(0,Z17*(1+Forecast!$B24))</f>
        <v>0</v>
      </c>
      <c r="AB17" s="2">
        <f>MAX(0,AA17*(1+Forecast!$B24))</f>
        <v>0</v>
      </c>
      <c r="AC17" s="2">
        <f>MAX(0,AB17*(1+Forecast!$B24))</f>
        <v>0</v>
      </c>
      <c r="AD17" s="2">
        <f>MAX(0,AC17*(1+Forecast!$B24))</f>
        <v>0</v>
      </c>
      <c r="AE17" s="2">
        <f>MAX(0,AD17*(1+Forecast!$B24))</f>
        <v>0</v>
      </c>
      <c r="AF17" s="2">
        <f>MAX(0,AE17*(1+Forecast!$B24))</f>
        <v>0</v>
      </c>
      <c r="AG17" s="2">
        <f>MAX(0,AF17*(1+Forecast!$B24))</f>
        <v>0</v>
      </c>
    </row>
    <row r="18" spans="1:33">
      <c r="A18" s="15" t="s">
        <v>4</v>
      </c>
      <c r="B18" s="2">
        <f>INDEX('2019'!$B$2:$G$11, MATCH($A18, '2019'!$A$2:$A$11, 0), MATCH(Commercial_calculation!$A$15, '2019'!$B$1:$G$1, 0))</f>
        <v>26651689808610.008</v>
      </c>
      <c r="C18" s="2">
        <f>INDEX('2020'!$B$2:$G$11, MATCH($A18, '2020'!$A$2:$A$11, 0), MATCH(Commercial_calculation!$A$15, '2020'!$B$1:$G$1, 0))</f>
        <v>22553995361575.227</v>
      </c>
      <c r="D18" s="2">
        <f>INDEX('2021'!$B$2:$G$11, MATCH($A18, '2021'!$A$2:$A$11, 0), MATCH(Commercial_calculation!$A$15, '2021'!$B$1:$G$1, 0))</f>
        <v>22485893810936.379</v>
      </c>
      <c r="E18" s="2">
        <f>INDEX('2022'!$B$2:$G$11, MATCH($A18, '2022'!$A$2:$A$11, 0), MATCH(Commercial_calculation!$A$15, '2022'!$B$1:$G$1, 0))</f>
        <v>24460219674457.195</v>
      </c>
      <c r="F18" s="2">
        <f>MAX(0,E18*(1+Forecast!$B25))</f>
        <v>24949424067946.34</v>
      </c>
      <c r="G18" s="2">
        <f>MAX(0,F18*(1+Forecast!$B25))</f>
        <v>25448412549305.266</v>
      </c>
      <c r="H18" s="2">
        <f>MAX(0,G18*(1+Forecast!$B25))</f>
        <v>25957380800291.371</v>
      </c>
      <c r="I18" s="2">
        <f>MAX(0,H18*(1+Forecast!$B25))</f>
        <v>26476528416297.199</v>
      </c>
      <c r="J18" s="2">
        <f>MAX(0,I18*(1+Forecast!$B25))</f>
        <v>27006058984623.145</v>
      </c>
      <c r="K18" s="2">
        <f>MAX(0,J18*(1+Forecast!$B25))</f>
        <v>27546180164315.609</v>
      </c>
      <c r="L18" s="2">
        <f>MAX(0,K18*(1+Forecast!$B25))</f>
        <v>28097103767601.922</v>
      </c>
      <c r="M18" s="2">
        <f>MAX(0,L18*(1+Forecast!$B25))</f>
        <v>28659045842953.961</v>
      </c>
      <c r="N18" s="2">
        <f>MAX(0,M18*(1+Forecast!$B25))</f>
        <v>29232226759813.039</v>
      </c>
      <c r="O18" s="2">
        <f>MAX(0,N18*(1+Forecast!$B25))</f>
        <v>29816871295009.301</v>
      </c>
      <c r="P18" s="2">
        <f>MAX(0,O18*(1+Forecast!$B25))</f>
        <v>30413208720909.488</v>
      </c>
      <c r="Q18" s="2">
        <f>MAX(0,P18*(1+Forecast!$B25))</f>
        <v>31021472895327.68</v>
      </c>
      <c r="R18" s="2">
        <f>MAX(0,Q18*(1+Forecast!$B25))</f>
        <v>31641902353234.234</v>
      </c>
      <c r="S18" s="2">
        <f>MAX(0,R18*(1+Forecast!$B25))</f>
        <v>32274740400298.918</v>
      </c>
      <c r="T18" s="2">
        <f>MAX(0,S18*(1+Forecast!$B25))</f>
        <v>32920235208304.898</v>
      </c>
      <c r="U18" s="2">
        <f>MAX(0,T18*(1+Forecast!$B25))</f>
        <v>33578639912470.996</v>
      </c>
      <c r="V18" s="2">
        <f>MAX(0,U18*(1+Forecast!$B25))</f>
        <v>34250212710720.418</v>
      </c>
      <c r="W18" s="2">
        <f>MAX(0,V18*(1+Forecast!$B25))</f>
        <v>34935216964934.828</v>
      </c>
      <c r="X18" s="2">
        <f>MAX(0,W18*(1+Forecast!$B25))</f>
        <v>35633921304233.523</v>
      </c>
      <c r="Y18" s="2">
        <f>MAX(0,X18*(1+Forecast!$B25))</f>
        <v>36346599730318.195</v>
      </c>
      <c r="Z18" s="2">
        <f>MAX(0,Y18*(1+Forecast!$B25))</f>
        <v>37073531724924.563</v>
      </c>
      <c r="AA18" s="2">
        <f>MAX(0,Z18*(1+Forecast!$B25))</f>
        <v>37815002359423.055</v>
      </c>
      <c r="AB18" s="2">
        <f>MAX(0,AA18*(1+Forecast!$B25))</f>
        <v>38571302406611.516</v>
      </c>
      <c r="AC18" s="2">
        <f>MAX(0,AB18*(1+Forecast!$B25))</f>
        <v>39342728454743.75</v>
      </c>
      <c r="AD18" s="2">
        <f>MAX(0,AC18*(1+Forecast!$B25))</f>
        <v>40129583023838.625</v>
      </c>
      <c r="AE18" s="2">
        <f>MAX(0,AD18*(1+Forecast!$B25))</f>
        <v>40932174684315.398</v>
      </c>
      <c r="AF18" s="2">
        <f>MAX(0,AE18*(1+Forecast!$B25))</f>
        <v>41750818178001.711</v>
      </c>
      <c r="AG18" s="2">
        <f>MAX(0,AF18*(1+Forecast!$B25))</f>
        <v>42585834541561.742</v>
      </c>
    </row>
    <row r="19" spans="1:33">
      <c r="A19" s="15" t="s">
        <v>5</v>
      </c>
      <c r="B19" s="2">
        <f>INDEX('2019'!$B$2:$G$11, MATCH($A19, '2019'!$A$2:$A$11, 0), MATCH(Commercial_calculation!$A$15, '2019'!$B$1:$G$1, 0))</f>
        <v>0</v>
      </c>
      <c r="C19" s="2">
        <f>INDEX('2020'!$B$2:$G$11, MATCH($A19, '2020'!$A$2:$A$11, 0), MATCH(Commercial_calculation!$A$15, '2020'!$B$1:$G$1, 0))</f>
        <v>0</v>
      </c>
      <c r="D19" s="2">
        <f>INDEX('2021'!$B$2:$G$11, MATCH($A19, '2021'!$A$2:$A$11, 0), MATCH(Commercial_calculation!$A$15, '2021'!$B$1:$G$1, 0))</f>
        <v>0</v>
      </c>
      <c r="E19" s="2">
        <f>INDEX('2022'!$B$2:$G$11, MATCH($A19, '2022'!$A$2:$A$11, 0), MATCH(Commercial_calculation!$A$15, '2022'!$B$1:$G$1, 0))</f>
        <v>0</v>
      </c>
      <c r="F19" s="2">
        <f>MAX(0,E19*(1+Forecast!$B26))</f>
        <v>0</v>
      </c>
      <c r="G19" s="2">
        <f>MAX(0,F19*(1+Forecast!$B26))</f>
        <v>0</v>
      </c>
      <c r="H19" s="2">
        <f>MAX(0,G19*(1+Forecast!$B26))</f>
        <v>0</v>
      </c>
      <c r="I19" s="2">
        <f>MAX(0,H19*(1+Forecast!$B26))</f>
        <v>0</v>
      </c>
      <c r="J19" s="2">
        <f>MAX(0,I19*(1+Forecast!$B26))</f>
        <v>0</v>
      </c>
      <c r="K19" s="2">
        <f>MAX(0,J19*(1+Forecast!$B26))</f>
        <v>0</v>
      </c>
      <c r="L19" s="2">
        <f>MAX(0,K19*(1+Forecast!$B26))</f>
        <v>0</v>
      </c>
      <c r="M19" s="2">
        <f>MAX(0,L19*(1+Forecast!$B26))</f>
        <v>0</v>
      </c>
      <c r="N19" s="2">
        <f>MAX(0,M19*(1+Forecast!$B26))</f>
        <v>0</v>
      </c>
      <c r="O19" s="2">
        <f>MAX(0,N19*(1+Forecast!$B26))</f>
        <v>0</v>
      </c>
      <c r="P19" s="2">
        <f>MAX(0,O19*(1+Forecast!$B26))</f>
        <v>0</v>
      </c>
      <c r="Q19" s="2">
        <f>MAX(0,P19*(1+Forecast!$B26))</f>
        <v>0</v>
      </c>
      <c r="R19" s="2">
        <f>MAX(0,Q19*(1+Forecast!$B26))</f>
        <v>0</v>
      </c>
      <c r="S19" s="2">
        <f>MAX(0,R19*(1+Forecast!$B26))</f>
        <v>0</v>
      </c>
      <c r="T19" s="2">
        <f>MAX(0,S19*(1+Forecast!$B26))</f>
        <v>0</v>
      </c>
      <c r="U19" s="2">
        <f>MAX(0,T19*(1+Forecast!$B26))</f>
        <v>0</v>
      </c>
      <c r="V19" s="2">
        <f>MAX(0,U19*(1+Forecast!$B26))</f>
        <v>0</v>
      </c>
      <c r="W19" s="2">
        <f>MAX(0,V19*(1+Forecast!$B26))</f>
        <v>0</v>
      </c>
      <c r="X19" s="2">
        <f>MAX(0,W19*(1+Forecast!$B26))</f>
        <v>0</v>
      </c>
      <c r="Y19" s="2">
        <f>MAX(0,X19*(1+Forecast!$B26))</f>
        <v>0</v>
      </c>
      <c r="Z19" s="2">
        <f>MAX(0,Y19*(1+Forecast!$B26))</f>
        <v>0</v>
      </c>
      <c r="AA19" s="2">
        <f>MAX(0,Z19*(1+Forecast!$B26))</f>
        <v>0</v>
      </c>
      <c r="AB19" s="2">
        <f>MAX(0,AA19*(1+Forecast!$B26))</f>
        <v>0</v>
      </c>
      <c r="AC19" s="2">
        <f>MAX(0,AB19*(1+Forecast!$B26))</f>
        <v>0</v>
      </c>
      <c r="AD19" s="2">
        <f>MAX(0,AC19*(1+Forecast!$B26))</f>
        <v>0</v>
      </c>
      <c r="AE19" s="2">
        <f>MAX(0,AD19*(1+Forecast!$B26))</f>
        <v>0</v>
      </c>
      <c r="AF19" s="2">
        <f>MAX(0,AE19*(1+Forecast!$B26))</f>
        <v>0</v>
      </c>
      <c r="AG19" s="2">
        <f>MAX(0,AF19*(1+Forecast!$B26))</f>
        <v>0</v>
      </c>
    </row>
    <row r="20" spans="1:33">
      <c r="A20" s="15" t="s">
        <v>7</v>
      </c>
      <c r="B20" s="2">
        <f>INDEX('2019'!$B$2:$G$11, MATCH($A20, '2019'!$A$2:$A$11, 0), MATCH(Commercial_calculation!$A$15, '2019'!$B$1:$G$1, 0))</f>
        <v>886476802590.00024</v>
      </c>
      <c r="C20" s="2">
        <f>INDEX('2020'!$B$2:$G$11, MATCH($A20, '2020'!$A$2:$A$11, 0), MATCH(Commercial_calculation!$A$15, '2020'!$B$1:$G$1, 0))</f>
        <v>1216448800807.4678</v>
      </c>
      <c r="D20" s="2">
        <f>INDEX('2021'!$B$2:$G$11, MATCH($A20, '2021'!$A$2:$A$11, 0), MATCH(Commercial_calculation!$A$15, '2021'!$B$1:$G$1, 0))</f>
        <v>1225371408148.354</v>
      </c>
      <c r="E20" s="2">
        <f>INDEX('2022'!$B$2:$G$11, MATCH($A20, '2022'!$A$2:$A$11, 0), MATCH(Commercial_calculation!$A$15, '2022'!$B$1:$G$1, 0))</f>
        <v>1217638481786.2527</v>
      </c>
      <c r="F20" s="2">
        <f>MAX(0,E20*(1+Forecast!$B27))</f>
        <v>1239555974458.4053</v>
      </c>
      <c r="G20" s="2">
        <f>MAX(0,F20*(1+Forecast!$B27))</f>
        <v>1261867981998.6565</v>
      </c>
      <c r="H20" s="2">
        <f>MAX(0,G20*(1+Forecast!$B27))</f>
        <v>1284581605674.6323</v>
      </c>
      <c r="I20" s="2">
        <f>MAX(0,H20*(1+Forecast!$B27))</f>
        <v>1307704074576.7756</v>
      </c>
      <c r="J20" s="2">
        <f>MAX(0,I20*(1+Forecast!$B27))</f>
        <v>1331242747919.1577</v>
      </c>
      <c r="K20" s="2">
        <f>MAX(0,J20*(1+Forecast!$B27))</f>
        <v>1355205117381.7026</v>
      </c>
      <c r="L20" s="2">
        <f>MAX(0,K20*(1+Forecast!$B27))</f>
        <v>1379598809494.5732</v>
      </c>
      <c r="M20" s="2">
        <f>MAX(0,L20*(1+Forecast!$B27))</f>
        <v>1404431588065.4756</v>
      </c>
      <c r="N20" s="2">
        <f>MAX(0,M20*(1+Forecast!$B27))</f>
        <v>1429711356650.6541</v>
      </c>
      <c r="O20" s="2">
        <f>MAX(0,N20*(1+Forecast!$B27))</f>
        <v>1455446161070.366</v>
      </c>
      <c r="P20" s="2">
        <f>MAX(0,O20*(1+Forecast!$B27))</f>
        <v>1481644191969.6326</v>
      </c>
      <c r="Q20" s="2">
        <f>MAX(0,P20*(1+Forecast!$B27))</f>
        <v>1508313787425.0859</v>
      </c>
      <c r="R20" s="2">
        <f>MAX(0,Q20*(1+Forecast!$B27))</f>
        <v>1535463435598.7375</v>
      </c>
      <c r="S20" s="2">
        <f>MAX(0,R20*(1+Forecast!$B27))</f>
        <v>1563101777439.5149</v>
      </c>
      <c r="T20" s="2">
        <f>MAX(0,S20*(1+Forecast!$B27))</f>
        <v>1591237609433.4263</v>
      </c>
      <c r="U20" s="2">
        <f>MAX(0,T20*(1+Forecast!$B27))</f>
        <v>1619879886403.228</v>
      </c>
      <c r="V20" s="2">
        <f>MAX(0,U20*(1+Forecast!$B27))</f>
        <v>1649037724358.4861</v>
      </c>
      <c r="W20" s="2">
        <f>MAX(0,V20*(1+Forecast!$B27))</f>
        <v>1678720403396.939</v>
      </c>
      <c r="X20" s="2">
        <f>MAX(0,W20*(1+Forecast!$B27))</f>
        <v>1708937370658.084</v>
      </c>
      <c r="Y20" s="2">
        <f>MAX(0,X20*(1+Forecast!$B27))</f>
        <v>1739698243329.9294</v>
      </c>
      <c r="Z20" s="2">
        <f>MAX(0,Y20*(1+Forecast!$B27))</f>
        <v>1771012811709.8682</v>
      </c>
      <c r="AA20" s="2">
        <f>MAX(0,Z20*(1+Forecast!$B27))</f>
        <v>1802891042320.6458</v>
      </c>
      <c r="AB20" s="2">
        <f>MAX(0,AA20*(1+Forecast!$B27))</f>
        <v>1835343081082.4175</v>
      </c>
      <c r="AC20" s="2">
        <f>MAX(0,AB20*(1+Forecast!$B27))</f>
        <v>1868379256541.9011</v>
      </c>
      <c r="AD20" s="2">
        <f>MAX(0,AC20*(1+Forecast!$B27))</f>
        <v>1902010083159.6553</v>
      </c>
      <c r="AE20" s="2">
        <f>MAX(0,AD20*(1+Forecast!$B27))</f>
        <v>1936246264656.5291</v>
      </c>
      <c r="AF20" s="2">
        <f>MAX(0,AE20*(1+Forecast!$B27))</f>
        <v>1971098697420.3467</v>
      </c>
      <c r="AG20" s="2">
        <f>MAX(0,AF20*(1+Forecast!$B27))</f>
        <v>2006578473973.9128</v>
      </c>
    </row>
    <row r="21" spans="1:33">
      <c r="A21" s="15" t="s">
        <v>11</v>
      </c>
      <c r="B21" s="2">
        <f>INDEX('2019'!$B$2:$G$11, MATCH($A21, '2019'!$A$2:$A$11, 0), MATCH(Commercial_calculation!$A$15, '2019'!$B$1:$G$1, 0))</f>
        <v>2133879336300.0005</v>
      </c>
      <c r="C21" s="2">
        <f>INDEX('2020'!$B$2:$G$11, MATCH($A21, '2020'!$A$2:$A$11, 0), MATCH(Commercial_calculation!$A$15, '2020'!$B$1:$G$1, 0))</f>
        <v>6870282047572.9375</v>
      </c>
      <c r="D21" s="2">
        <f>INDEX('2021'!$B$2:$G$11, MATCH($A21, '2021'!$A$2:$A$11, 0), MATCH(Commercial_calculation!$A$15, '2021'!$B$1:$G$1, 0))</f>
        <v>7369938923760.0596</v>
      </c>
      <c r="E21" s="2">
        <f>INDEX('2022'!$B$2:$G$11, MATCH($A21, '2022'!$A$2:$A$11, 0), MATCH(Commercial_calculation!$A$15, '2022'!$B$1:$G$1, 0))</f>
        <v>5224296991979.5889</v>
      </c>
      <c r="F21" s="2">
        <f>MAX(0,E21*(1+Forecast!$B28))</f>
        <v>5459390356618.6699</v>
      </c>
      <c r="G21" s="2">
        <f>MAX(0,F21*(1+Forecast!$B28))</f>
        <v>5705062922666.5098</v>
      </c>
      <c r="H21" s="2">
        <f>MAX(0,G21*(1+Forecast!$B28))</f>
        <v>5961790754186.502</v>
      </c>
      <c r="I21" s="2">
        <f>MAX(0,H21*(1+Forecast!$B28))</f>
        <v>6230071338124.8945</v>
      </c>
      <c r="J21" s="2">
        <f>MAX(0,I21*(1+Forecast!$B28))</f>
        <v>6510424548340.5146</v>
      </c>
      <c r="K21" s="2">
        <f>MAX(0,J21*(1+Forecast!$B28))</f>
        <v>6803393653015.8369</v>
      </c>
      <c r="L21" s="2">
        <f>MAX(0,K21*(1+Forecast!$B28))</f>
        <v>7109546367401.5488</v>
      </c>
      <c r="M21" s="2">
        <f>MAX(0,L21*(1+Forecast!$B28))</f>
        <v>7429475953934.6182</v>
      </c>
      <c r="N21" s="2">
        <f>MAX(0,M21*(1+Forecast!$B28))</f>
        <v>7763802371861.6758</v>
      </c>
      <c r="O21" s="2">
        <f>MAX(0,N21*(1+Forecast!$B28))</f>
        <v>8113173478595.4502</v>
      </c>
      <c r="P21" s="2">
        <f>MAX(0,O21*(1+Forecast!$B28))</f>
        <v>8478266285132.2451</v>
      </c>
      <c r="Q21" s="2">
        <f>MAX(0,P21*(1+Forecast!$B28))</f>
        <v>8859788267963.1953</v>
      </c>
      <c r="R21" s="2">
        <f>MAX(0,Q21*(1+Forecast!$B28))</f>
        <v>9258478740021.5391</v>
      </c>
      <c r="S21" s="2">
        <f>MAX(0,R21*(1+Forecast!$B28))</f>
        <v>9675110283322.5078</v>
      </c>
      <c r="T21" s="2">
        <f>MAX(0,S21*(1+Forecast!$B28))</f>
        <v>10110490246072.02</v>
      </c>
      <c r="U21" s="2">
        <f>MAX(0,T21*(1+Forecast!$B28))</f>
        <v>10565462307145.26</v>
      </c>
      <c r="V21" s="2">
        <f>MAX(0,U21*(1+Forecast!$B28))</f>
        <v>11040908110966.795</v>
      </c>
      <c r="W21" s="2">
        <f>MAX(0,V21*(1+Forecast!$B28))</f>
        <v>11537748975960.301</v>
      </c>
      <c r="X21" s="2">
        <f>MAX(0,W21*(1+Forecast!$B28))</f>
        <v>12056947679878.514</v>
      </c>
      <c r="Y21" s="2">
        <f>MAX(0,X21*(1+Forecast!$B28))</f>
        <v>12599510325473.047</v>
      </c>
      <c r="Z21" s="2">
        <f>MAX(0,Y21*(1+Forecast!$B28))</f>
        <v>13166488290119.334</v>
      </c>
      <c r="AA21" s="2">
        <f>MAX(0,Z21*(1+Forecast!$B28))</f>
        <v>13758980263174.703</v>
      </c>
      <c r="AB21" s="2">
        <f>MAX(0,AA21*(1+Forecast!$B28))</f>
        <v>14378134375017.564</v>
      </c>
      <c r="AC21" s="2">
        <f>MAX(0,AB21*(1+Forecast!$B28))</f>
        <v>15025150421893.354</v>
      </c>
      <c r="AD21" s="2">
        <f>MAX(0,AC21*(1+Forecast!$B28))</f>
        <v>15701282190878.553</v>
      </c>
      <c r="AE21" s="2">
        <f>MAX(0,AD21*(1+Forecast!$B28))</f>
        <v>16407839889468.086</v>
      </c>
      <c r="AF21" s="2">
        <f>MAX(0,AE21*(1+Forecast!$B28))</f>
        <v>17146192684494.148</v>
      </c>
      <c r="AG21" s="2">
        <f>MAX(0,AF21*(1+Forecast!$B28))</f>
        <v>17917771355296.383</v>
      </c>
    </row>
    <row r="22" spans="1:33">
      <c r="A22" s="15" t="s">
        <v>13</v>
      </c>
      <c r="B22" s="2">
        <f>INDEX('2019'!$B$2:$G$11, MATCH($A22, '2019'!$A$2:$A$11, 0), MATCH(Commercial_calculation!$A$15, '2019'!$B$1:$G$1, 0))</f>
        <v>0</v>
      </c>
      <c r="C22" s="2">
        <f>INDEX('2020'!$B$2:$G$11, MATCH($A22, '2020'!$A$2:$A$11, 0), MATCH(Commercial_calculation!$A$15, '2020'!$B$1:$G$1, 0))</f>
        <v>0</v>
      </c>
      <c r="D22" s="2">
        <f>INDEX('2021'!$B$2:$G$11, MATCH($A22, '2021'!$A$2:$A$11, 0), MATCH(Commercial_calculation!$A$15, '2021'!$B$1:$G$1, 0))</f>
        <v>0</v>
      </c>
      <c r="E22" s="2">
        <f>INDEX('2022'!$B$2:$G$11, MATCH($A22, '2022'!$A$2:$A$11, 0), MATCH(Commercial_calculation!$A$15, '2022'!$B$1:$G$1, 0))</f>
        <v>0</v>
      </c>
      <c r="F22" s="2">
        <f>MAX(0,E22*(1+Forecast!$B29))</f>
        <v>0</v>
      </c>
      <c r="G22" s="2">
        <f>MAX(0,F22*(1+Forecast!$B29))</f>
        <v>0</v>
      </c>
      <c r="H22" s="2">
        <f>MAX(0,G22*(1+Forecast!$B29))</f>
        <v>0</v>
      </c>
      <c r="I22" s="2">
        <f>MAX(0,H22*(1+Forecast!$B29))</f>
        <v>0</v>
      </c>
      <c r="J22" s="2">
        <f>MAX(0,I22*(1+Forecast!$B29))</f>
        <v>0</v>
      </c>
      <c r="K22" s="2">
        <f>MAX(0,J22*(1+Forecast!$B29))</f>
        <v>0</v>
      </c>
      <c r="L22" s="2">
        <f>MAX(0,K22*(1+Forecast!$B29))</f>
        <v>0</v>
      </c>
      <c r="M22" s="2">
        <f>MAX(0,L22*(1+Forecast!$B29))</f>
        <v>0</v>
      </c>
      <c r="N22" s="2">
        <f>MAX(0,M22*(1+Forecast!$B29))</f>
        <v>0</v>
      </c>
      <c r="O22" s="2">
        <f>MAX(0,N22*(1+Forecast!$B29))</f>
        <v>0</v>
      </c>
      <c r="P22" s="2">
        <f>MAX(0,O22*(1+Forecast!$B29))</f>
        <v>0</v>
      </c>
      <c r="Q22" s="2">
        <f>MAX(0,P22*(1+Forecast!$B29))</f>
        <v>0</v>
      </c>
      <c r="R22" s="2">
        <f>MAX(0,Q22*(1+Forecast!$B29))</f>
        <v>0</v>
      </c>
      <c r="S22" s="2">
        <f>MAX(0,R22*(1+Forecast!$B29))</f>
        <v>0</v>
      </c>
      <c r="T22" s="2">
        <f>MAX(0,S22*(1+Forecast!$B29))</f>
        <v>0</v>
      </c>
      <c r="U22" s="2">
        <f>MAX(0,T22*(1+Forecast!$B29))</f>
        <v>0</v>
      </c>
      <c r="V22" s="2">
        <f>MAX(0,U22*(1+Forecast!$B29))</f>
        <v>0</v>
      </c>
      <c r="W22" s="2">
        <f>MAX(0,V22*(1+Forecast!$B29))</f>
        <v>0</v>
      </c>
      <c r="X22" s="2">
        <f>MAX(0,W22*(1+Forecast!$B29))</f>
        <v>0</v>
      </c>
      <c r="Y22" s="2">
        <f>MAX(0,X22*(1+Forecast!$B29))</f>
        <v>0</v>
      </c>
      <c r="Z22" s="2">
        <f>MAX(0,Y22*(1+Forecast!$B29))</f>
        <v>0</v>
      </c>
      <c r="AA22" s="2">
        <f>MAX(0,Z22*(1+Forecast!$B29))</f>
        <v>0</v>
      </c>
      <c r="AB22" s="2">
        <f>MAX(0,AA22*(1+Forecast!$B29))</f>
        <v>0</v>
      </c>
      <c r="AC22" s="2">
        <f>MAX(0,AB22*(1+Forecast!$B29))</f>
        <v>0</v>
      </c>
      <c r="AD22" s="2">
        <f>MAX(0,AC22*(1+Forecast!$B29))</f>
        <v>0</v>
      </c>
      <c r="AE22" s="2">
        <f>MAX(0,AD22*(1+Forecast!$B29))</f>
        <v>0</v>
      </c>
      <c r="AF22" s="2">
        <f>MAX(0,AE22*(1+Forecast!$B29))</f>
        <v>0</v>
      </c>
      <c r="AG22" s="2">
        <f>MAX(0,AF22*(1+Forecast!$B29))</f>
        <v>0</v>
      </c>
    </row>
    <row r="23" spans="1:33">
      <c r="A23" s="15" t="s">
        <v>14</v>
      </c>
      <c r="B23" s="2">
        <f>INDEX('2019'!$B$2:$G$11, MATCH($A23, '2019'!$A$2:$A$11, 0), MATCH(Commercial_calculation!$A$15, '2019'!$B$1:$G$1, 0))</f>
        <v>0</v>
      </c>
      <c r="C23" s="2">
        <f>INDEX('2020'!$B$2:$G$11, MATCH($A23, '2020'!$A$2:$A$11, 0), MATCH(Commercial_calculation!$A$15, '2020'!$B$1:$G$1, 0))</f>
        <v>0</v>
      </c>
      <c r="D23" s="2">
        <f>INDEX('2021'!$B$2:$G$11, MATCH($A23, '2021'!$A$2:$A$11, 0), MATCH(Commercial_calculation!$A$15, '2021'!$B$1:$G$1, 0))</f>
        <v>0</v>
      </c>
      <c r="E23" s="2">
        <f>INDEX('2022'!$B$2:$G$11, MATCH($A23, '2022'!$A$2:$A$11, 0), MATCH(Commercial_calculation!$A$15, '2022'!$B$1:$G$1, 0))</f>
        <v>0</v>
      </c>
      <c r="F23" s="2">
        <f>MAX(0,E23*(1+Forecast!$B30))</f>
        <v>0</v>
      </c>
      <c r="G23" s="2">
        <f>MAX(0,F23*(1+Forecast!$B30))</f>
        <v>0</v>
      </c>
      <c r="H23" s="2">
        <f>MAX(0,G23*(1+Forecast!$B30))</f>
        <v>0</v>
      </c>
      <c r="I23" s="2">
        <f>MAX(0,H23*(1+Forecast!$B30))</f>
        <v>0</v>
      </c>
      <c r="J23" s="2">
        <f>MAX(0,I23*(1+Forecast!$B30))</f>
        <v>0</v>
      </c>
      <c r="K23" s="2">
        <f>MAX(0,J23*(1+Forecast!$B30))</f>
        <v>0</v>
      </c>
      <c r="L23" s="2">
        <f>MAX(0,K23*(1+Forecast!$B30))</f>
        <v>0</v>
      </c>
      <c r="M23" s="2">
        <f>MAX(0,L23*(1+Forecast!$B30))</f>
        <v>0</v>
      </c>
      <c r="N23" s="2">
        <f>MAX(0,M23*(1+Forecast!$B30))</f>
        <v>0</v>
      </c>
      <c r="O23" s="2">
        <f>MAX(0,N23*(1+Forecast!$B30))</f>
        <v>0</v>
      </c>
      <c r="P23" s="2">
        <f>MAX(0,O23*(1+Forecast!$B30))</f>
        <v>0</v>
      </c>
      <c r="Q23" s="2">
        <f>MAX(0,P23*(1+Forecast!$B30))</f>
        <v>0</v>
      </c>
      <c r="R23" s="2">
        <f>MAX(0,Q23*(1+Forecast!$B30))</f>
        <v>0</v>
      </c>
      <c r="S23" s="2">
        <f>MAX(0,R23*(1+Forecast!$B30))</f>
        <v>0</v>
      </c>
      <c r="T23" s="2">
        <f>MAX(0,S23*(1+Forecast!$B30))</f>
        <v>0</v>
      </c>
      <c r="U23" s="2">
        <f>MAX(0,T23*(1+Forecast!$B30))</f>
        <v>0</v>
      </c>
      <c r="V23" s="2">
        <f>MAX(0,U23*(1+Forecast!$B30))</f>
        <v>0</v>
      </c>
      <c r="W23" s="2">
        <f>MAX(0,V23*(1+Forecast!$B30))</f>
        <v>0</v>
      </c>
      <c r="X23" s="2">
        <f>MAX(0,W23*(1+Forecast!$B30))</f>
        <v>0</v>
      </c>
      <c r="Y23" s="2">
        <f>MAX(0,X23*(1+Forecast!$B30))</f>
        <v>0</v>
      </c>
      <c r="Z23" s="2">
        <f>MAX(0,Y23*(1+Forecast!$B30))</f>
        <v>0</v>
      </c>
      <c r="AA23" s="2">
        <f>MAX(0,Z23*(1+Forecast!$B30))</f>
        <v>0</v>
      </c>
      <c r="AB23" s="2">
        <f>MAX(0,AA23*(1+Forecast!$B30))</f>
        <v>0</v>
      </c>
      <c r="AC23" s="2">
        <f>MAX(0,AB23*(1+Forecast!$B30))</f>
        <v>0</v>
      </c>
      <c r="AD23" s="2">
        <f>MAX(0,AC23*(1+Forecast!$B30))</f>
        <v>0</v>
      </c>
      <c r="AE23" s="2">
        <f>MAX(0,AD23*(1+Forecast!$B30))</f>
        <v>0</v>
      </c>
      <c r="AF23" s="2">
        <f>MAX(0,AE23*(1+Forecast!$B30))</f>
        <v>0</v>
      </c>
      <c r="AG23" s="2">
        <f>MAX(0,AF23*(1+Forecast!$B30))</f>
        <v>0</v>
      </c>
    </row>
    <row r="24" spans="1:33">
      <c r="A24" s="15" t="s">
        <v>15</v>
      </c>
      <c r="B24" s="2">
        <f>INDEX('2019'!$B$2:$G$11, MATCH($A24, '2019'!$A$2:$A$11, 0), MATCH(Commercial_calculation!$A$15, '2019'!$B$1:$G$1, 0))</f>
        <v>1739842026540.0002</v>
      </c>
      <c r="C24" s="2">
        <f>INDEX('2020'!$B$2:$G$11, MATCH($A24, '2020'!$A$2:$A$11, 0), MATCH(Commercial_calculation!$A$15, '2020'!$B$1:$G$1, 0))</f>
        <v>3564313909643.1494</v>
      </c>
      <c r="D24" s="2">
        <f>INDEX('2021'!$B$2:$G$11, MATCH($A24, '2021'!$A$2:$A$11, 0), MATCH(Commercial_calculation!$A$15, '2021'!$B$1:$G$1, 0))</f>
        <v>3406977794772.604</v>
      </c>
      <c r="E24" s="2">
        <f>INDEX('2022'!$B$2:$G$11, MATCH($A24, '2022'!$A$2:$A$11, 0), MATCH(Commercial_calculation!$A$15, '2022'!$B$1:$G$1, 0))</f>
        <v>1473499786860.3694</v>
      </c>
      <c r="F24" s="2">
        <f>MAX(0,E24*(1+Forecast!$B31))</f>
        <v>1402771797091.0715</v>
      </c>
      <c r="G24" s="2">
        <f>MAX(0,F24*(1+Forecast!$B31))</f>
        <v>1335438750830.7</v>
      </c>
      <c r="H24" s="2">
        <f>MAX(0,G24*(1+Forecast!$B31))</f>
        <v>1271337690790.8264</v>
      </c>
      <c r="I24" s="2">
        <f>MAX(0,H24*(1+Forecast!$B31))</f>
        <v>1210313481632.8667</v>
      </c>
      <c r="J24" s="2">
        <f>MAX(0,I24*(1+Forecast!$B31))</f>
        <v>1152218434514.489</v>
      </c>
      <c r="K24" s="2">
        <f>MAX(0,J24*(1+Forecast!$B31))</f>
        <v>1096911949657.7935</v>
      </c>
      <c r="L24" s="2">
        <f>MAX(0,K24*(1+Forecast!$B31))</f>
        <v>1044260176074.2194</v>
      </c>
      <c r="M24" s="2">
        <f>MAX(0,L24*(1+Forecast!$B31))</f>
        <v>994135687622.65674</v>
      </c>
      <c r="N24" s="2">
        <f>MAX(0,M24*(1+Forecast!$B31))</f>
        <v>946417174616.76917</v>
      </c>
      <c r="O24" s="2">
        <f>MAX(0,N24*(1+Forecast!$B31))</f>
        <v>900989150235.16418</v>
      </c>
      <c r="P24" s="2">
        <f>MAX(0,O24*(1+Forecast!$B31))</f>
        <v>857741671023.87622</v>
      </c>
      <c r="Q24" s="2">
        <f>MAX(0,P24*(1+Forecast!$B31))</f>
        <v>816570070814.7301</v>
      </c>
      <c r="R24" s="2">
        <f>MAX(0,Q24*(1+Forecast!$B31))</f>
        <v>777374707415.62305</v>
      </c>
      <c r="S24" s="2">
        <f>MAX(0,R24*(1+Forecast!$B31))</f>
        <v>740060721459.6731</v>
      </c>
      <c r="T24" s="2">
        <f>MAX(0,S24*(1+Forecast!$B31))</f>
        <v>704537806829.60876</v>
      </c>
      <c r="U24" s="2">
        <f>MAX(0,T24*(1+Forecast!$B31))</f>
        <v>670719992101.78748</v>
      </c>
      <c r="V24" s="2">
        <f>MAX(0,U24*(1+Forecast!$B31))</f>
        <v>638525432480.90161</v>
      </c>
      <c r="W24" s="2">
        <f>MAX(0,V24*(1+Forecast!$B31))</f>
        <v>607876211721.81836</v>
      </c>
      <c r="X24" s="2">
        <f>MAX(0,W24*(1+Forecast!$B31))</f>
        <v>578698153559.17102</v>
      </c>
      <c r="Y24" s="2">
        <f>MAX(0,X24*(1+Forecast!$B31))</f>
        <v>550920642188.33081</v>
      </c>
      <c r="Z24" s="2">
        <f>MAX(0,Y24*(1+Forecast!$B31))</f>
        <v>524476451363.29089</v>
      </c>
      <c r="AA24" s="2">
        <f>MAX(0,Z24*(1+Forecast!$B31))</f>
        <v>499301581697.85291</v>
      </c>
      <c r="AB24" s="2">
        <f>MAX(0,AA24*(1+Forecast!$B31))</f>
        <v>475335105776.35596</v>
      </c>
      <c r="AC24" s="2">
        <f>MAX(0,AB24*(1+Forecast!$B31))</f>
        <v>452519020699.09082</v>
      </c>
      <c r="AD24" s="2">
        <f>MAX(0,AC24*(1+Forecast!$B31))</f>
        <v>430798107705.53442</v>
      </c>
      <c r="AE24" s="2">
        <f>MAX(0,AD24*(1+Forecast!$B31))</f>
        <v>410119798535.66876</v>
      </c>
      <c r="AF24" s="2">
        <f>MAX(0,AE24*(1+Forecast!$B31))</f>
        <v>390434048205.95667</v>
      </c>
      <c r="AG24" s="2">
        <f>MAX(0,AF24*(1+Forecast!$B31))</f>
        <v>371693213892.07074</v>
      </c>
    </row>
    <row r="25" spans="1:33">
      <c r="A25" s="15" t="s">
        <v>16</v>
      </c>
      <c r="B25" s="2">
        <f>INDEX('2019'!$B$2:$G$11, MATCH($A25, '2019'!$A$2:$A$11, 0), MATCH(Commercial_calculation!$A$15, '2019'!$B$1:$G$1, 0))</f>
        <v>0</v>
      </c>
      <c r="C25" s="2">
        <f>INDEX('2020'!$B$2:$G$11, MATCH($A25, '2020'!$A$2:$A$11, 0), MATCH(Commercial_calculation!$A$15, '2020'!$B$1:$G$1, 0))</f>
        <v>0</v>
      </c>
      <c r="D25" s="2">
        <f>INDEX('2021'!$B$2:$G$11, MATCH($A25, '2021'!$A$2:$A$11, 0), MATCH(Commercial_calculation!$A$15, '2021'!$B$1:$G$1, 0))</f>
        <v>0</v>
      </c>
      <c r="E25" s="2">
        <f>INDEX('2022'!$B$2:$G$11, MATCH($A25, '2022'!$A$2:$A$11, 0), MATCH(Commercial_calculation!$A$15, '2022'!$B$1:$G$1, 0))</f>
        <v>0</v>
      </c>
      <c r="F25" s="2">
        <f>MAX(0,E25*(1+Forecast!$B32))</f>
        <v>0</v>
      </c>
      <c r="G25" s="2">
        <f>MAX(0,F25*(1+Forecast!$B32))</f>
        <v>0</v>
      </c>
      <c r="H25" s="2">
        <f>MAX(0,G25*(1+Forecast!$B32))</f>
        <v>0</v>
      </c>
      <c r="I25" s="2">
        <f>MAX(0,H25*(1+Forecast!$B32))</f>
        <v>0</v>
      </c>
      <c r="J25" s="2">
        <f>MAX(0,I25*(1+Forecast!$B32))</f>
        <v>0</v>
      </c>
      <c r="K25" s="2">
        <f>MAX(0,J25*(1+Forecast!$B32))</f>
        <v>0</v>
      </c>
      <c r="L25" s="2">
        <f>MAX(0,K25*(1+Forecast!$B32))</f>
        <v>0</v>
      </c>
      <c r="M25" s="2">
        <f>MAX(0,L25*(1+Forecast!$B32))</f>
        <v>0</v>
      </c>
      <c r="N25" s="2">
        <f>MAX(0,M25*(1+Forecast!$B32))</f>
        <v>0</v>
      </c>
      <c r="O25" s="2">
        <f>MAX(0,N25*(1+Forecast!$B32))</f>
        <v>0</v>
      </c>
      <c r="P25" s="2">
        <f>MAX(0,O25*(1+Forecast!$B32))</f>
        <v>0</v>
      </c>
      <c r="Q25" s="2">
        <f>MAX(0,P25*(1+Forecast!$B32))</f>
        <v>0</v>
      </c>
      <c r="R25" s="2">
        <f>MAX(0,Q25*(1+Forecast!$B32))</f>
        <v>0</v>
      </c>
      <c r="S25" s="2">
        <f>MAX(0,R25*(1+Forecast!$B32))</f>
        <v>0</v>
      </c>
      <c r="T25" s="2">
        <f>MAX(0,S25*(1+Forecast!$B32))</f>
        <v>0</v>
      </c>
      <c r="U25" s="2">
        <f>MAX(0,T25*(1+Forecast!$B32))</f>
        <v>0</v>
      </c>
      <c r="V25" s="2">
        <f>MAX(0,U25*(1+Forecast!$B32))</f>
        <v>0</v>
      </c>
      <c r="W25" s="2">
        <f>MAX(0,V25*(1+Forecast!$B32))</f>
        <v>0</v>
      </c>
      <c r="X25" s="2">
        <f>MAX(0,W25*(1+Forecast!$B32))</f>
        <v>0</v>
      </c>
      <c r="Y25" s="2">
        <f>MAX(0,X25*(1+Forecast!$B32))</f>
        <v>0</v>
      </c>
      <c r="Z25" s="2">
        <f>MAX(0,Y25*(1+Forecast!$B32))</f>
        <v>0</v>
      </c>
      <c r="AA25" s="2">
        <f>MAX(0,Z25*(1+Forecast!$B32))</f>
        <v>0</v>
      </c>
      <c r="AB25" s="2">
        <f>MAX(0,AA25*(1+Forecast!$B32))</f>
        <v>0</v>
      </c>
      <c r="AC25" s="2">
        <f>MAX(0,AB25*(1+Forecast!$B32))</f>
        <v>0</v>
      </c>
      <c r="AD25" s="2">
        <f>MAX(0,AC25*(1+Forecast!$B32))</f>
        <v>0</v>
      </c>
      <c r="AE25" s="2">
        <f>MAX(0,AD25*(1+Forecast!$B32))</f>
        <v>0</v>
      </c>
      <c r="AF25" s="2">
        <f>MAX(0,AE25*(1+Forecast!$B32))</f>
        <v>0</v>
      </c>
      <c r="AG25" s="2">
        <f>MAX(0,AF25*(1+Forecast!$B32))</f>
        <v>0</v>
      </c>
    </row>
    <row r="26" spans="1:33">
      <c r="B26" s="36"/>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row>
    <row r="27" spans="1:33">
      <c r="A27" s="15" t="s">
        <v>39</v>
      </c>
      <c r="B27" s="1">
        <v>2019</v>
      </c>
      <c r="C27" s="1">
        <v>2020</v>
      </c>
      <c r="D27" s="1">
        <v>2021</v>
      </c>
      <c r="E27" s="1">
        <v>2022</v>
      </c>
      <c r="F27" s="1">
        <v>2023</v>
      </c>
      <c r="G27" s="1">
        <v>2024</v>
      </c>
      <c r="H27" s="1">
        <v>2025</v>
      </c>
      <c r="I27" s="1">
        <v>2026</v>
      </c>
      <c r="J27" s="1">
        <v>2027</v>
      </c>
      <c r="K27" s="1">
        <v>2028</v>
      </c>
      <c r="L27" s="1">
        <v>2029</v>
      </c>
      <c r="M27" s="1">
        <v>2030</v>
      </c>
      <c r="N27" s="1">
        <v>2031</v>
      </c>
      <c r="O27" s="1">
        <v>2032</v>
      </c>
      <c r="P27" s="1">
        <v>2033</v>
      </c>
      <c r="Q27" s="1">
        <v>2034</v>
      </c>
      <c r="R27" s="1">
        <v>2035</v>
      </c>
      <c r="S27" s="1">
        <v>2036</v>
      </c>
      <c r="T27" s="1">
        <v>2037</v>
      </c>
      <c r="U27" s="1">
        <v>2038</v>
      </c>
      <c r="V27" s="1">
        <v>2039</v>
      </c>
      <c r="W27" s="1">
        <v>2040</v>
      </c>
      <c r="X27" s="1">
        <v>2041</v>
      </c>
      <c r="Y27" s="1">
        <v>2042</v>
      </c>
      <c r="Z27" s="1">
        <v>2043</v>
      </c>
      <c r="AA27" s="1">
        <v>2044</v>
      </c>
      <c r="AB27" s="1">
        <v>2045</v>
      </c>
      <c r="AC27" s="1">
        <v>2046</v>
      </c>
      <c r="AD27" s="1">
        <v>2047</v>
      </c>
      <c r="AE27" s="1">
        <v>2048</v>
      </c>
      <c r="AF27" s="1">
        <v>2049</v>
      </c>
      <c r="AG27" s="1">
        <v>2050</v>
      </c>
    </row>
    <row r="28" spans="1:33">
      <c r="A28" s="15" t="s">
        <v>2</v>
      </c>
      <c r="B28" s="2">
        <f>INDEX('2019'!$B$2:$G$11, MATCH($A28, '2019'!$A$2:$A$11, 0), MATCH(Commercial_calculation!$A$27, '2019'!$B$1:$G$1, 0))</f>
        <v>0</v>
      </c>
      <c r="C28" s="2">
        <f>INDEX('2020'!$B$2:$G$11, MATCH($A28, '2020'!$A$2:$A$11, 0), MATCH(Commercial_calculation!$A$27, '2020'!$B$1:$G$1, 0))</f>
        <v>0</v>
      </c>
      <c r="D28" s="2">
        <f>INDEX('2021'!$B$2:$G$11, MATCH($A28, '2021'!$A$2:$A$11, 0), MATCH(Commercial_calculation!$A$27, '2021'!$B$1:$G$1, 0))</f>
        <v>0</v>
      </c>
      <c r="E28" s="2">
        <f>MAX(0,D28*(1+Forecast!$B23))</f>
        <v>0</v>
      </c>
      <c r="F28" s="2">
        <f>MAX(0,E28*(1+Forecast!$B23))</f>
        <v>0</v>
      </c>
      <c r="G28" s="2">
        <f>MAX(0,F28*(1+Forecast!$B23))</f>
        <v>0</v>
      </c>
      <c r="H28" s="2">
        <f>MAX(0,G28*(1+Forecast!$B23))</f>
        <v>0</v>
      </c>
      <c r="I28" s="2">
        <f>MAX(0,H28*(1+Forecast!$B23))</f>
        <v>0</v>
      </c>
      <c r="J28" s="2">
        <f>MAX(0,I28*(1+Forecast!$B23))</f>
        <v>0</v>
      </c>
      <c r="K28" s="2">
        <f>MAX(0,J28*(1+Forecast!$B23))</f>
        <v>0</v>
      </c>
      <c r="L28" s="2">
        <f>MAX(0,K28*(1+Forecast!$B23))</f>
        <v>0</v>
      </c>
      <c r="M28" s="2">
        <f>MAX(0,L28*(1+Forecast!$B23))</f>
        <v>0</v>
      </c>
      <c r="N28" s="2">
        <f>MAX(0,M28*(1+Forecast!$B23))</f>
        <v>0</v>
      </c>
      <c r="O28" s="2">
        <f>MAX(0,N28*(1+Forecast!$B23))</f>
        <v>0</v>
      </c>
      <c r="P28" s="2">
        <f>MAX(0,O28*(1+Forecast!$B23))</f>
        <v>0</v>
      </c>
      <c r="Q28" s="2">
        <f>MAX(0,P28*(1+Forecast!$B23))</f>
        <v>0</v>
      </c>
      <c r="R28" s="2">
        <f>MAX(0,Q28*(1+Forecast!$B23))</f>
        <v>0</v>
      </c>
      <c r="S28" s="2">
        <f>MAX(0,R28*(1+Forecast!$B23))</f>
        <v>0</v>
      </c>
      <c r="T28" s="2">
        <f>MAX(0,S28*(1+Forecast!$B23))</f>
        <v>0</v>
      </c>
      <c r="U28" s="2">
        <f>MAX(0,T28*(1+Forecast!$B23))</f>
        <v>0</v>
      </c>
      <c r="V28" s="2">
        <f>MAX(0,U28*(1+Forecast!$B23))</f>
        <v>0</v>
      </c>
      <c r="W28" s="2">
        <f>MAX(0,V28*(1+Forecast!$B23))</f>
        <v>0</v>
      </c>
      <c r="X28" s="2">
        <f>MAX(0,W28*(1+Forecast!$B23))</f>
        <v>0</v>
      </c>
      <c r="Y28" s="2">
        <f>MAX(0,X28*(1+Forecast!$B23))</f>
        <v>0</v>
      </c>
      <c r="Z28" s="2">
        <f>MAX(0,Y28*(1+Forecast!$B23))</f>
        <v>0</v>
      </c>
      <c r="AA28" s="2">
        <f>MAX(0,Z28*(1+Forecast!$B23))</f>
        <v>0</v>
      </c>
      <c r="AB28" s="2">
        <f>MAX(0,AA28*(1+Forecast!$B23))</f>
        <v>0</v>
      </c>
      <c r="AC28" s="2">
        <f>MAX(0,AB28*(1+Forecast!$B23))</f>
        <v>0</v>
      </c>
      <c r="AD28" s="2">
        <f>MAX(0,AC28*(1+Forecast!$B23))</f>
        <v>0</v>
      </c>
      <c r="AE28" s="2">
        <f>MAX(0,AD28*(1+Forecast!$B23))</f>
        <v>0</v>
      </c>
      <c r="AF28" s="2">
        <f>MAX(0,AE28*(1+Forecast!$B23))</f>
        <v>0</v>
      </c>
      <c r="AG28" s="2">
        <f>MAX(0,AF28*(1+Forecast!$B23))</f>
        <v>0</v>
      </c>
    </row>
    <row r="29" spans="1:33">
      <c r="A29" s="15" t="s">
        <v>3</v>
      </c>
      <c r="B29" s="2">
        <f>INDEX('2019'!$B$2:$G$11, MATCH($A29, '2019'!$A$2:$A$11, 0), MATCH(Commercial_calculation!$A$27, '2019'!$B$1:$G$1, 0))</f>
        <v>0</v>
      </c>
      <c r="C29" s="2">
        <f>INDEX('2020'!$B$2:$G$11, MATCH($A29, '2020'!$A$2:$A$11, 0), MATCH(Commercial_calculation!$A$27, '2020'!$B$1:$G$1, 0))</f>
        <v>0</v>
      </c>
      <c r="D29" s="2">
        <f>INDEX('2021'!$B$2:$G$11, MATCH($A29, '2021'!$A$2:$A$11, 0), MATCH(Commercial_calculation!$A$27, '2021'!$B$1:$G$1, 0))</f>
        <v>0</v>
      </c>
      <c r="E29" s="2">
        <f>MAX(0,D29*(1+Forecast!$B24))</f>
        <v>0</v>
      </c>
      <c r="F29" s="2">
        <f>MAX(0,E29*(1+Forecast!$B24))</f>
        <v>0</v>
      </c>
      <c r="G29" s="2">
        <f>MAX(0,F29*(1+Forecast!$B24))</f>
        <v>0</v>
      </c>
      <c r="H29" s="2">
        <f>MAX(0,G29*(1+Forecast!$B24))</f>
        <v>0</v>
      </c>
      <c r="I29" s="2">
        <f>MAX(0,H29*(1+Forecast!$B24))</f>
        <v>0</v>
      </c>
      <c r="J29" s="2">
        <f>MAX(0,I29*(1+Forecast!$B24))</f>
        <v>0</v>
      </c>
      <c r="K29" s="2">
        <f>MAX(0,J29*(1+Forecast!$B24))</f>
        <v>0</v>
      </c>
      <c r="L29" s="2">
        <f>MAX(0,K29*(1+Forecast!$B24))</f>
        <v>0</v>
      </c>
      <c r="M29" s="2">
        <f>MAX(0,L29*(1+Forecast!$B24))</f>
        <v>0</v>
      </c>
      <c r="N29" s="2">
        <f>MAX(0,M29*(1+Forecast!$B24))</f>
        <v>0</v>
      </c>
      <c r="O29" s="2">
        <f>MAX(0,N29*(1+Forecast!$B24))</f>
        <v>0</v>
      </c>
      <c r="P29" s="2">
        <f>MAX(0,O29*(1+Forecast!$B24))</f>
        <v>0</v>
      </c>
      <c r="Q29" s="2">
        <f>MAX(0,P29*(1+Forecast!$B24))</f>
        <v>0</v>
      </c>
      <c r="R29" s="2">
        <f>MAX(0,Q29*(1+Forecast!$B24))</f>
        <v>0</v>
      </c>
      <c r="S29" s="2">
        <f>MAX(0,R29*(1+Forecast!$B24))</f>
        <v>0</v>
      </c>
      <c r="T29" s="2">
        <f>MAX(0,S29*(1+Forecast!$B24))</f>
        <v>0</v>
      </c>
      <c r="U29" s="2">
        <f>MAX(0,T29*(1+Forecast!$B24))</f>
        <v>0</v>
      </c>
      <c r="V29" s="2">
        <f>MAX(0,U29*(1+Forecast!$B24))</f>
        <v>0</v>
      </c>
      <c r="W29" s="2">
        <f>MAX(0,V29*(1+Forecast!$B24))</f>
        <v>0</v>
      </c>
      <c r="X29" s="2">
        <f>MAX(0,W29*(1+Forecast!$B24))</f>
        <v>0</v>
      </c>
      <c r="Y29" s="2">
        <f>MAX(0,X29*(1+Forecast!$B24))</f>
        <v>0</v>
      </c>
      <c r="Z29" s="2">
        <f>MAX(0,Y29*(1+Forecast!$B24))</f>
        <v>0</v>
      </c>
      <c r="AA29" s="2">
        <f>MAX(0,Z29*(1+Forecast!$B24))</f>
        <v>0</v>
      </c>
      <c r="AB29" s="2">
        <f>MAX(0,AA29*(1+Forecast!$B24))</f>
        <v>0</v>
      </c>
      <c r="AC29" s="2">
        <f>MAX(0,AB29*(1+Forecast!$B24))</f>
        <v>0</v>
      </c>
      <c r="AD29" s="2">
        <f>MAX(0,AC29*(1+Forecast!$B24))</f>
        <v>0</v>
      </c>
      <c r="AE29" s="2">
        <f>MAX(0,AD29*(1+Forecast!$B24))</f>
        <v>0</v>
      </c>
      <c r="AF29" s="2">
        <f>MAX(0,AE29*(1+Forecast!$B24))</f>
        <v>0</v>
      </c>
      <c r="AG29" s="2">
        <f>MAX(0,AF29*(1+Forecast!$B24))</f>
        <v>0</v>
      </c>
    </row>
    <row r="30" spans="1:33">
      <c r="A30" s="15" t="s">
        <v>4</v>
      </c>
      <c r="B30" s="2">
        <f>INDEX('2019'!$B$2:$G$11, MATCH($A30, '2019'!$A$2:$A$11, 0), MATCH(Commercial_calculation!$A$27, '2019'!$B$1:$G$1, 0))</f>
        <v>0</v>
      </c>
      <c r="C30" s="2">
        <f>INDEX('2020'!$B$2:$G$11, MATCH($A30, '2020'!$A$2:$A$11, 0), MATCH(Commercial_calculation!$A$27, '2020'!$B$1:$G$1, 0))</f>
        <v>0</v>
      </c>
      <c r="D30" s="2">
        <f>INDEX('2021'!$B$2:$G$11, MATCH($A30, '2021'!$A$2:$A$11, 0), MATCH(Commercial_calculation!$A$27, '2021'!$B$1:$G$1, 0))</f>
        <v>0</v>
      </c>
      <c r="E30" s="2">
        <f>MAX(0,D30*(1+Forecast!$B25))</f>
        <v>0</v>
      </c>
      <c r="F30" s="2">
        <f>MAX(0,E30*(1+Forecast!$B25))</f>
        <v>0</v>
      </c>
      <c r="G30" s="2">
        <f>MAX(0,F30*(1+Forecast!$B25))</f>
        <v>0</v>
      </c>
      <c r="H30" s="2">
        <f>MAX(0,G30*(1+Forecast!$B25))</f>
        <v>0</v>
      </c>
      <c r="I30" s="2">
        <f>MAX(0,H30*(1+Forecast!$B25))</f>
        <v>0</v>
      </c>
      <c r="J30" s="2">
        <f>MAX(0,I30*(1+Forecast!$B25))</f>
        <v>0</v>
      </c>
      <c r="K30" s="2">
        <f>MAX(0,J30*(1+Forecast!$B25))</f>
        <v>0</v>
      </c>
      <c r="L30" s="2">
        <f>MAX(0,K30*(1+Forecast!$B25))</f>
        <v>0</v>
      </c>
      <c r="M30" s="2">
        <f>MAX(0,L30*(1+Forecast!$B25))</f>
        <v>0</v>
      </c>
      <c r="N30" s="2">
        <f>MAX(0,M30*(1+Forecast!$B25))</f>
        <v>0</v>
      </c>
      <c r="O30" s="2">
        <f>MAX(0,N30*(1+Forecast!$B25))</f>
        <v>0</v>
      </c>
      <c r="P30" s="2">
        <f>MAX(0,O30*(1+Forecast!$B25))</f>
        <v>0</v>
      </c>
      <c r="Q30" s="2">
        <f>MAX(0,P30*(1+Forecast!$B25))</f>
        <v>0</v>
      </c>
      <c r="R30" s="2">
        <f>MAX(0,Q30*(1+Forecast!$B25))</f>
        <v>0</v>
      </c>
      <c r="S30" s="2">
        <f>MAX(0,R30*(1+Forecast!$B25))</f>
        <v>0</v>
      </c>
      <c r="T30" s="2">
        <f>MAX(0,S30*(1+Forecast!$B25))</f>
        <v>0</v>
      </c>
      <c r="U30" s="2">
        <f>MAX(0,T30*(1+Forecast!$B25))</f>
        <v>0</v>
      </c>
      <c r="V30" s="2">
        <f>MAX(0,U30*(1+Forecast!$B25))</f>
        <v>0</v>
      </c>
      <c r="W30" s="2">
        <f>MAX(0,V30*(1+Forecast!$B25))</f>
        <v>0</v>
      </c>
      <c r="X30" s="2">
        <f>MAX(0,W30*(1+Forecast!$B25))</f>
        <v>0</v>
      </c>
      <c r="Y30" s="2">
        <f>MAX(0,X30*(1+Forecast!$B25))</f>
        <v>0</v>
      </c>
      <c r="Z30" s="2">
        <f>MAX(0,Y30*(1+Forecast!$B25))</f>
        <v>0</v>
      </c>
      <c r="AA30" s="2">
        <f>MAX(0,Z30*(1+Forecast!$B25))</f>
        <v>0</v>
      </c>
      <c r="AB30" s="2">
        <f>MAX(0,AA30*(1+Forecast!$B25))</f>
        <v>0</v>
      </c>
      <c r="AC30" s="2">
        <f>MAX(0,AB30*(1+Forecast!$B25))</f>
        <v>0</v>
      </c>
      <c r="AD30" s="2">
        <f>MAX(0,AC30*(1+Forecast!$B25))</f>
        <v>0</v>
      </c>
      <c r="AE30" s="2">
        <f>MAX(0,AD30*(1+Forecast!$B25))</f>
        <v>0</v>
      </c>
      <c r="AF30" s="2">
        <f>MAX(0,AE30*(1+Forecast!$B25))</f>
        <v>0</v>
      </c>
      <c r="AG30" s="2">
        <f>MAX(0,AF30*(1+Forecast!$B25))</f>
        <v>0</v>
      </c>
    </row>
    <row r="31" spans="1:33">
      <c r="A31" s="15" t="s">
        <v>5</v>
      </c>
      <c r="B31" s="2">
        <f>INDEX('2019'!$B$2:$G$11, MATCH($A31, '2019'!$A$2:$A$11, 0), MATCH(Commercial_calculation!$A$27, '2019'!$B$1:$G$1, 0))</f>
        <v>0</v>
      </c>
      <c r="C31" s="2">
        <f>INDEX('2020'!$B$2:$G$11, MATCH($A31, '2020'!$A$2:$A$11, 0), MATCH(Commercial_calculation!$A$27, '2020'!$B$1:$G$1, 0))</f>
        <v>0</v>
      </c>
      <c r="D31" s="2">
        <f>INDEX('2021'!$B$2:$G$11, MATCH($A31, '2021'!$A$2:$A$11, 0), MATCH(Commercial_calculation!$A$27, '2021'!$B$1:$G$1, 0))</f>
        <v>0</v>
      </c>
      <c r="E31" s="2">
        <f>MAX(0,D31*(1+Forecast!$B26))</f>
        <v>0</v>
      </c>
      <c r="F31" s="2">
        <f>MAX(0,E31*(1+Forecast!$B26))</f>
        <v>0</v>
      </c>
      <c r="G31" s="2">
        <f>MAX(0,F31*(1+Forecast!$B26))</f>
        <v>0</v>
      </c>
      <c r="H31" s="2">
        <f>MAX(0,G31*(1+Forecast!$B26))</f>
        <v>0</v>
      </c>
      <c r="I31" s="2">
        <f>MAX(0,H31*(1+Forecast!$B26))</f>
        <v>0</v>
      </c>
      <c r="J31" s="2">
        <f>MAX(0,I31*(1+Forecast!$B26))</f>
        <v>0</v>
      </c>
      <c r="K31" s="2">
        <f>MAX(0,J31*(1+Forecast!$B26))</f>
        <v>0</v>
      </c>
      <c r="L31" s="2">
        <f>MAX(0,K31*(1+Forecast!$B26))</f>
        <v>0</v>
      </c>
      <c r="M31" s="2">
        <f>MAX(0,L31*(1+Forecast!$B26))</f>
        <v>0</v>
      </c>
      <c r="N31" s="2">
        <f>MAX(0,M31*(1+Forecast!$B26))</f>
        <v>0</v>
      </c>
      <c r="O31" s="2">
        <f>MAX(0,N31*(1+Forecast!$B26))</f>
        <v>0</v>
      </c>
      <c r="P31" s="2">
        <f>MAX(0,O31*(1+Forecast!$B26))</f>
        <v>0</v>
      </c>
      <c r="Q31" s="2">
        <f>MAX(0,P31*(1+Forecast!$B26))</f>
        <v>0</v>
      </c>
      <c r="R31" s="2">
        <f>MAX(0,Q31*(1+Forecast!$B26))</f>
        <v>0</v>
      </c>
      <c r="S31" s="2">
        <f>MAX(0,R31*(1+Forecast!$B26))</f>
        <v>0</v>
      </c>
      <c r="T31" s="2">
        <f>MAX(0,S31*(1+Forecast!$B26))</f>
        <v>0</v>
      </c>
      <c r="U31" s="2">
        <f>MAX(0,T31*(1+Forecast!$B26))</f>
        <v>0</v>
      </c>
      <c r="V31" s="2">
        <f>MAX(0,U31*(1+Forecast!$B26))</f>
        <v>0</v>
      </c>
      <c r="W31" s="2">
        <f>MAX(0,V31*(1+Forecast!$B26))</f>
        <v>0</v>
      </c>
      <c r="X31" s="2">
        <f>MAX(0,W31*(1+Forecast!$B26))</f>
        <v>0</v>
      </c>
      <c r="Y31" s="2">
        <f>MAX(0,X31*(1+Forecast!$B26))</f>
        <v>0</v>
      </c>
      <c r="Z31" s="2">
        <f>MAX(0,Y31*(1+Forecast!$B26))</f>
        <v>0</v>
      </c>
      <c r="AA31" s="2">
        <f>MAX(0,Z31*(1+Forecast!$B26))</f>
        <v>0</v>
      </c>
      <c r="AB31" s="2">
        <f>MAX(0,AA31*(1+Forecast!$B26))</f>
        <v>0</v>
      </c>
      <c r="AC31" s="2">
        <f>MAX(0,AB31*(1+Forecast!$B26))</f>
        <v>0</v>
      </c>
      <c r="AD31" s="2">
        <f>MAX(0,AC31*(1+Forecast!$B26))</f>
        <v>0</v>
      </c>
      <c r="AE31" s="2">
        <f>MAX(0,AD31*(1+Forecast!$B26))</f>
        <v>0</v>
      </c>
      <c r="AF31" s="2">
        <f>MAX(0,AE31*(1+Forecast!$B26))</f>
        <v>0</v>
      </c>
      <c r="AG31" s="2">
        <f>MAX(0,AF31*(1+Forecast!$B26))</f>
        <v>0</v>
      </c>
    </row>
    <row r="32" spans="1:33">
      <c r="A32" s="15" t="s">
        <v>7</v>
      </c>
      <c r="B32" s="2">
        <f>INDEX('2019'!$B$2:$G$11, MATCH($A32, '2019'!$A$2:$A$11, 0), MATCH(Commercial_calculation!$A$27, '2019'!$B$1:$G$1, 0))</f>
        <v>0</v>
      </c>
      <c r="C32" s="2">
        <f>INDEX('2020'!$B$2:$G$11, MATCH($A32, '2020'!$A$2:$A$11, 0), MATCH(Commercial_calculation!$A$27, '2020'!$B$1:$G$1, 0))</f>
        <v>0</v>
      </c>
      <c r="D32" s="2">
        <f>INDEX('2021'!$B$2:$G$11, MATCH($A32, '2021'!$A$2:$A$11, 0), MATCH(Commercial_calculation!$A$27, '2021'!$B$1:$G$1, 0))</f>
        <v>0</v>
      </c>
      <c r="E32" s="2">
        <f>MAX(0,D32*(1+Forecast!$B27))</f>
        <v>0</v>
      </c>
      <c r="F32" s="2">
        <f>MAX(0,E32*(1+Forecast!$B27))</f>
        <v>0</v>
      </c>
      <c r="G32" s="2">
        <f>MAX(0,F32*(1+Forecast!$B27))</f>
        <v>0</v>
      </c>
      <c r="H32" s="2">
        <f>MAX(0,G32*(1+Forecast!$B27))</f>
        <v>0</v>
      </c>
      <c r="I32" s="2">
        <f>MAX(0,H32*(1+Forecast!$B27))</f>
        <v>0</v>
      </c>
      <c r="J32" s="2">
        <f>MAX(0,I32*(1+Forecast!$B27))</f>
        <v>0</v>
      </c>
      <c r="K32" s="2">
        <f>MAX(0,J32*(1+Forecast!$B27))</f>
        <v>0</v>
      </c>
      <c r="L32" s="2">
        <f>MAX(0,K32*(1+Forecast!$B27))</f>
        <v>0</v>
      </c>
      <c r="M32" s="2">
        <f>MAX(0,L32*(1+Forecast!$B27))</f>
        <v>0</v>
      </c>
      <c r="N32" s="2">
        <f>MAX(0,M32*(1+Forecast!$B27))</f>
        <v>0</v>
      </c>
      <c r="O32" s="2">
        <f>MAX(0,N32*(1+Forecast!$B27))</f>
        <v>0</v>
      </c>
      <c r="P32" s="2">
        <f>MAX(0,O32*(1+Forecast!$B27))</f>
        <v>0</v>
      </c>
      <c r="Q32" s="2">
        <f>MAX(0,P32*(1+Forecast!$B27))</f>
        <v>0</v>
      </c>
      <c r="R32" s="2">
        <f>MAX(0,Q32*(1+Forecast!$B27))</f>
        <v>0</v>
      </c>
      <c r="S32" s="2">
        <f>MAX(0,R32*(1+Forecast!$B27))</f>
        <v>0</v>
      </c>
      <c r="T32" s="2">
        <f>MAX(0,S32*(1+Forecast!$B27))</f>
        <v>0</v>
      </c>
      <c r="U32" s="2">
        <f>MAX(0,T32*(1+Forecast!$B27))</f>
        <v>0</v>
      </c>
      <c r="V32" s="2">
        <f>MAX(0,U32*(1+Forecast!$B27))</f>
        <v>0</v>
      </c>
      <c r="W32" s="2">
        <f>MAX(0,V32*(1+Forecast!$B27))</f>
        <v>0</v>
      </c>
      <c r="X32" s="2">
        <f>MAX(0,W32*(1+Forecast!$B27))</f>
        <v>0</v>
      </c>
      <c r="Y32" s="2">
        <f>MAX(0,X32*(1+Forecast!$B27))</f>
        <v>0</v>
      </c>
      <c r="Z32" s="2">
        <f>MAX(0,Y32*(1+Forecast!$B27))</f>
        <v>0</v>
      </c>
      <c r="AA32" s="2">
        <f>MAX(0,Z32*(1+Forecast!$B27))</f>
        <v>0</v>
      </c>
      <c r="AB32" s="2">
        <f>MAX(0,AA32*(1+Forecast!$B27))</f>
        <v>0</v>
      </c>
      <c r="AC32" s="2">
        <f>MAX(0,AB32*(1+Forecast!$B27))</f>
        <v>0</v>
      </c>
      <c r="AD32" s="2">
        <f>MAX(0,AC32*(1+Forecast!$B27))</f>
        <v>0</v>
      </c>
      <c r="AE32" s="2">
        <f>MAX(0,AD32*(1+Forecast!$B27))</f>
        <v>0</v>
      </c>
      <c r="AF32" s="2">
        <f>MAX(0,AE32*(1+Forecast!$B27))</f>
        <v>0</v>
      </c>
      <c r="AG32" s="2">
        <f>MAX(0,AF32*(1+Forecast!$B27))</f>
        <v>0</v>
      </c>
    </row>
    <row r="33" spans="1:33">
      <c r="A33" s="15" t="s">
        <v>11</v>
      </c>
      <c r="B33" s="2">
        <f>INDEX('2019'!$B$2:$G$11, MATCH($A33, '2019'!$A$2:$A$11, 0), MATCH(Commercial_calculation!$A$27, '2019'!$B$1:$G$1, 0))</f>
        <v>0</v>
      </c>
      <c r="C33" s="2">
        <f>INDEX('2020'!$B$2:$G$11, MATCH($A33, '2020'!$A$2:$A$11, 0), MATCH(Commercial_calculation!$A$27, '2020'!$B$1:$G$1, 0))</f>
        <v>0</v>
      </c>
      <c r="D33" s="2">
        <f>INDEX('2021'!$B$2:$G$11, MATCH($A33, '2021'!$A$2:$A$11, 0), MATCH(Commercial_calculation!$A$27, '2021'!$B$1:$G$1, 0))</f>
        <v>0</v>
      </c>
      <c r="E33" s="2">
        <f>MAX(0,D33*(1+Forecast!$B28))</f>
        <v>0</v>
      </c>
      <c r="F33" s="2">
        <f>MAX(0,E33*(1+Forecast!$B28))</f>
        <v>0</v>
      </c>
      <c r="G33" s="2">
        <f>MAX(0,F33*(1+Forecast!$B28))</f>
        <v>0</v>
      </c>
      <c r="H33" s="2">
        <f>MAX(0,G33*(1+Forecast!$B28))</f>
        <v>0</v>
      </c>
      <c r="I33" s="2">
        <f>MAX(0,H33*(1+Forecast!$B28))</f>
        <v>0</v>
      </c>
      <c r="J33" s="2">
        <f>MAX(0,I33*(1+Forecast!$B28))</f>
        <v>0</v>
      </c>
      <c r="K33" s="2">
        <f>MAX(0,J33*(1+Forecast!$B28))</f>
        <v>0</v>
      </c>
      <c r="L33" s="2">
        <f>MAX(0,K33*(1+Forecast!$B28))</f>
        <v>0</v>
      </c>
      <c r="M33" s="2">
        <f>MAX(0,L33*(1+Forecast!$B28))</f>
        <v>0</v>
      </c>
      <c r="N33" s="2">
        <f>MAX(0,M33*(1+Forecast!$B28))</f>
        <v>0</v>
      </c>
      <c r="O33" s="2">
        <f>MAX(0,N33*(1+Forecast!$B28))</f>
        <v>0</v>
      </c>
      <c r="P33" s="2">
        <f>MAX(0,O33*(1+Forecast!$B28))</f>
        <v>0</v>
      </c>
      <c r="Q33" s="2">
        <f>MAX(0,P33*(1+Forecast!$B28))</f>
        <v>0</v>
      </c>
      <c r="R33" s="2">
        <f>MAX(0,Q33*(1+Forecast!$B28))</f>
        <v>0</v>
      </c>
      <c r="S33" s="2">
        <f>MAX(0,R33*(1+Forecast!$B28))</f>
        <v>0</v>
      </c>
      <c r="T33" s="2">
        <f>MAX(0,S33*(1+Forecast!$B28))</f>
        <v>0</v>
      </c>
      <c r="U33" s="2">
        <f>MAX(0,T33*(1+Forecast!$B28))</f>
        <v>0</v>
      </c>
      <c r="V33" s="2">
        <f>MAX(0,U33*(1+Forecast!$B28))</f>
        <v>0</v>
      </c>
      <c r="W33" s="2">
        <f>MAX(0,V33*(1+Forecast!$B28))</f>
        <v>0</v>
      </c>
      <c r="X33" s="2">
        <f>MAX(0,W33*(1+Forecast!$B28))</f>
        <v>0</v>
      </c>
      <c r="Y33" s="2">
        <f>MAX(0,X33*(1+Forecast!$B28))</f>
        <v>0</v>
      </c>
      <c r="Z33" s="2">
        <f>MAX(0,Y33*(1+Forecast!$B28))</f>
        <v>0</v>
      </c>
      <c r="AA33" s="2">
        <f>MAX(0,Z33*(1+Forecast!$B28))</f>
        <v>0</v>
      </c>
      <c r="AB33" s="2">
        <f>MAX(0,AA33*(1+Forecast!$B28))</f>
        <v>0</v>
      </c>
      <c r="AC33" s="2">
        <f>MAX(0,AB33*(1+Forecast!$B28))</f>
        <v>0</v>
      </c>
      <c r="AD33" s="2">
        <f>MAX(0,AC33*(1+Forecast!$B28))</f>
        <v>0</v>
      </c>
      <c r="AE33" s="2">
        <f>MAX(0,AD33*(1+Forecast!$B28))</f>
        <v>0</v>
      </c>
      <c r="AF33" s="2">
        <f>MAX(0,AE33*(1+Forecast!$B28))</f>
        <v>0</v>
      </c>
      <c r="AG33" s="2">
        <f>MAX(0,AF33*(1+Forecast!$B28))</f>
        <v>0</v>
      </c>
    </row>
    <row r="34" spans="1:33">
      <c r="A34" s="15" t="s">
        <v>13</v>
      </c>
      <c r="B34" s="2">
        <f>INDEX('2019'!$B$2:$G$11, MATCH($A34, '2019'!$A$2:$A$11, 0), MATCH(Commercial_calculation!$A$27, '2019'!$B$1:$G$1, 0))</f>
        <v>0</v>
      </c>
      <c r="C34" s="2">
        <f>INDEX('2020'!$B$2:$G$11, MATCH($A34, '2020'!$A$2:$A$11, 0), MATCH(Commercial_calculation!$A$27, '2020'!$B$1:$G$1, 0))</f>
        <v>0</v>
      </c>
      <c r="D34" s="2">
        <f>INDEX('2021'!$B$2:$G$11, MATCH($A34, '2021'!$A$2:$A$11, 0), MATCH(Commercial_calculation!$A$27, '2021'!$B$1:$G$1, 0))</f>
        <v>0</v>
      </c>
      <c r="E34" s="2">
        <f>MAX(0,D34*(1+Forecast!$B29))</f>
        <v>0</v>
      </c>
      <c r="F34" s="2">
        <f>MAX(0,E34*(1+Forecast!$B29))</f>
        <v>0</v>
      </c>
      <c r="G34" s="2">
        <f>MAX(0,F34*(1+Forecast!$B29))</f>
        <v>0</v>
      </c>
      <c r="H34" s="2">
        <f>MAX(0,G34*(1+Forecast!$B29))</f>
        <v>0</v>
      </c>
      <c r="I34" s="2">
        <f>MAX(0,H34*(1+Forecast!$B29))</f>
        <v>0</v>
      </c>
      <c r="J34" s="2">
        <f>MAX(0,I34*(1+Forecast!$B29))</f>
        <v>0</v>
      </c>
      <c r="K34" s="2">
        <f>MAX(0,J34*(1+Forecast!$B29))</f>
        <v>0</v>
      </c>
      <c r="L34" s="2">
        <f>MAX(0,K34*(1+Forecast!$B29))</f>
        <v>0</v>
      </c>
      <c r="M34" s="2">
        <f>MAX(0,L34*(1+Forecast!$B29))</f>
        <v>0</v>
      </c>
      <c r="N34" s="2">
        <f>MAX(0,M34*(1+Forecast!$B29))</f>
        <v>0</v>
      </c>
      <c r="O34" s="2">
        <f>MAX(0,N34*(1+Forecast!$B29))</f>
        <v>0</v>
      </c>
      <c r="P34" s="2">
        <f>MAX(0,O34*(1+Forecast!$B29))</f>
        <v>0</v>
      </c>
      <c r="Q34" s="2">
        <f>MAX(0,P34*(1+Forecast!$B29))</f>
        <v>0</v>
      </c>
      <c r="R34" s="2">
        <f>MAX(0,Q34*(1+Forecast!$B29))</f>
        <v>0</v>
      </c>
      <c r="S34" s="2">
        <f>MAX(0,R34*(1+Forecast!$B29))</f>
        <v>0</v>
      </c>
      <c r="T34" s="2">
        <f>MAX(0,S34*(1+Forecast!$B29))</f>
        <v>0</v>
      </c>
      <c r="U34" s="2">
        <f>MAX(0,T34*(1+Forecast!$B29))</f>
        <v>0</v>
      </c>
      <c r="V34" s="2">
        <f>MAX(0,U34*(1+Forecast!$B29))</f>
        <v>0</v>
      </c>
      <c r="W34" s="2">
        <f>MAX(0,V34*(1+Forecast!$B29))</f>
        <v>0</v>
      </c>
      <c r="X34" s="2">
        <f>MAX(0,W34*(1+Forecast!$B29))</f>
        <v>0</v>
      </c>
      <c r="Y34" s="2">
        <f>MAX(0,X34*(1+Forecast!$B29))</f>
        <v>0</v>
      </c>
      <c r="Z34" s="2">
        <f>MAX(0,Y34*(1+Forecast!$B29))</f>
        <v>0</v>
      </c>
      <c r="AA34" s="2">
        <f>MAX(0,Z34*(1+Forecast!$B29))</f>
        <v>0</v>
      </c>
      <c r="AB34" s="2">
        <f>MAX(0,AA34*(1+Forecast!$B29))</f>
        <v>0</v>
      </c>
      <c r="AC34" s="2">
        <f>MAX(0,AB34*(1+Forecast!$B29))</f>
        <v>0</v>
      </c>
      <c r="AD34" s="2">
        <f>MAX(0,AC34*(1+Forecast!$B29))</f>
        <v>0</v>
      </c>
      <c r="AE34" s="2">
        <f>MAX(0,AD34*(1+Forecast!$B29))</f>
        <v>0</v>
      </c>
      <c r="AF34" s="2">
        <f>MAX(0,AE34*(1+Forecast!$B29))</f>
        <v>0</v>
      </c>
      <c r="AG34" s="2">
        <f>MAX(0,AF34*(1+Forecast!$B29))</f>
        <v>0</v>
      </c>
    </row>
    <row r="35" spans="1:33">
      <c r="A35" s="15" t="s">
        <v>14</v>
      </c>
      <c r="B35" s="2">
        <f>INDEX('2019'!$B$2:$G$11, MATCH($A35, '2019'!$A$2:$A$11, 0), MATCH(Commercial_calculation!$A$27, '2019'!$B$1:$G$1, 0))</f>
        <v>0</v>
      </c>
      <c r="C35" s="2">
        <f>INDEX('2020'!$B$2:$G$11, MATCH($A35, '2020'!$A$2:$A$11, 0), MATCH(Commercial_calculation!$A$27, '2020'!$B$1:$G$1, 0))</f>
        <v>0</v>
      </c>
      <c r="D35" s="2">
        <f>INDEX('2021'!$B$2:$G$11, MATCH($A35, '2021'!$A$2:$A$11, 0), MATCH(Commercial_calculation!$A$27, '2021'!$B$1:$G$1, 0))</f>
        <v>0</v>
      </c>
      <c r="E35" s="2">
        <f>MAX(0,D35*(1+Forecast!$B30))</f>
        <v>0</v>
      </c>
      <c r="F35" s="2">
        <f>MAX(0,E35*(1+Forecast!$B30))</f>
        <v>0</v>
      </c>
      <c r="G35" s="2">
        <f>MAX(0,F35*(1+Forecast!$B30))</f>
        <v>0</v>
      </c>
      <c r="H35" s="2">
        <f>MAX(0,G35*(1+Forecast!$B30))</f>
        <v>0</v>
      </c>
      <c r="I35" s="2">
        <f>MAX(0,H35*(1+Forecast!$B30))</f>
        <v>0</v>
      </c>
      <c r="J35" s="2">
        <f>MAX(0,I35*(1+Forecast!$B30))</f>
        <v>0</v>
      </c>
      <c r="K35" s="2">
        <f>MAX(0,J35*(1+Forecast!$B30))</f>
        <v>0</v>
      </c>
      <c r="L35" s="2">
        <f>MAX(0,K35*(1+Forecast!$B30))</f>
        <v>0</v>
      </c>
      <c r="M35" s="2">
        <f>MAX(0,L35*(1+Forecast!$B30))</f>
        <v>0</v>
      </c>
      <c r="N35" s="2">
        <f>MAX(0,M35*(1+Forecast!$B30))</f>
        <v>0</v>
      </c>
      <c r="O35" s="2">
        <f>MAX(0,N35*(1+Forecast!$B30))</f>
        <v>0</v>
      </c>
      <c r="P35" s="2">
        <f>MAX(0,O35*(1+Forecast!$B30))</f>
        <v>0</v>
      </c>
      <c r="Q35" s="2">
        <f>MAX(0,P35*(1+Forecast!$B30))</f>
        <v>0</v>
      </c>
      <c r="R35" s="2">
        <f>MAX(0,Q35*(1+Forecast!$B30))</f>
        <v>0</v>
      </c>
      <c r="S35" s="2">
        <f>MAX(0,R35*(1+Forecast!$B30))</f>
        <v>0</v>
      </c>
      <c r="T35" s="2">
        <f>MAX(0,S35*(1+Forecast!$B30))</f>
        <v>0</v>
      </c>
      <c r="U35" s="2">
        <f>MAX(0,T35*(1+Forecast!$B30))</f>
        <v>0</v>
      </c>
      <c r="V35" s="2">
        <f>MAX(0,U35*(1+Forecast!$B30))</f>
        <v>0</v>
      </c>
      <c r="W35" s="2">
        <f>MAX(0,V35*(1+Forecast!$B30))</f>
        <v>0</v>
      </c>
      <c r="X35" s="2">
        <f>MAX(0,W35*(1+Forecast!$B30))</f>
        <v>0</v>
      </c>
      <c r="Y35" s="2">
        <f>MAX(0,X35*(1+Forecast!$B30))</f>
        <v>0</v>
      </c>
      <c r="Z35" s="2">
        <f>MAX(0,Y35*(1+Forecast!$B30))</f>
        <v>0</v>
      </c>
      <c r="AA35" s="2">
        <f>MAX(0,Z35*(1+Forecast!$B30))</f>
        <v>0</v>
      </c>
      <c r="AB35" s="2">
        <f>MAX(0,AA35*(1+Forecast!$B30))</f>
        <v>0</v>
      </c>
      <c r="AC35" s="2">
        <f>MAX(0,AB35*(1+Forecast!$B30))</f>
        <v>0</v>
      </c>
      <c r="AD35" s="2">
        <f>MAX(0,AC35*(1+Forecast!$B30))</f>
        <v>0</v>
      </c>
      <c r="AE35" s="2">
        <f>MAX(0,AD35*(1+Forecast!$B30))</f>
        <v>0</v>
      </c>
      <c r="AF35" s="2">
        <f>MAX(0,AE35*(1+Forecast!$B30))</f>
        <v>0</v>
      </c>
      <c r="AG35" s="2">
        <f>MAX(0,AF35*(1+Forecast!$B30))</f>
        <v>0</v>
      </c>
    </row>
    <row r="36" spans="1:33">
      <c r="A36" s="15" t="s">
        <v>15</v>
      </c>
      <c r="B36" s="2">
        <f>INDEX('2019'!$B$2:$G$11, MATCH($A36, '2019'!$A$2:$A$11, 0), MATCH(Commercial_calculation!$A$27, '2019'!$B$1:$G$1, 0))</f>
        <v>0</v>
      </c>
      <c r="C36" s="2">
        <f>INDEX('2020'!$B$2:$G$11, MATCH($A36, '2020'!$A$2:$A$11, 0), MATCH(Commercial_calculation!$A$27, '2020'!$B$1:$G$1, 0))</f>
        <v>0</v>
      </c>
      <c r="D36" s="2">
        <f>INDEX('2021'!$B$2:$G$11, MATCH($A36, '2021'!$A$2:$A$11, 0), MATCH(Commercial_calculation!$A$27, '2021'!$B$1:$G$1, 0))</f>
        <v>0</v>
      </c>
      <c r="E36" s="2">
        <f>MAX(0,D36*(1+Forecast!$B31))</f>
        <v>0</v>
      </c>
      <c r="F36" s="2">
        <f>MAX(0,E36*(1+Forecast!$B31))</f>
        <v>0</v>
      </c>
      <c r="G36" s="2">
        <f>MAX(0,F36*(1+Forecast!$B31))</f>
        <v>0</v>
      </c>
      <c r="H36" s="2">
        <f>MAX(0,G36*(1+Forecast!$B31))</f>
        <v>0</v>
      </c>
      <c r="I36" s="2">
        <f>MAX(0,H36*(1+Forecast!$B31))</f>
        <v>0</v>
      </c>
      <c r="J36" s="2">
        <f>MAX(0,I36*(1+Forecast!$B31))</f>
        <v>0</v>
      </c>
      <c r="K36" s="2">
        <f>MAX(0,J36*(1+Forecast!$B31))</f>
        <v>0</v>
      </c>
      <c r="L36" s="2">
        <f>MAX(0,K36*(1+Forecast!$B31))</f>
        <v>0</v>
      </c>
      <c r="M36" s="2">
        <f>MAX(0,L36*(1+Forecast!$B31))</f>
        <v>0</v>
      </c>
      <c r="N36" s="2">
        <f>MAX(0,M36*(1+Forecast!$B31))</f>
        <v>0</v>
      </c>
      <c r="O36" s="2">
        <f>MAX(0,N36*(1+Forecast!$B31))</f>
        <v>0</v>
      </c>
      <c r="P36" s="2">
        <f>MAX(0,O36*(1+Forecast!$B31))</f>
        <v>0</v>
      </c>
      <c r="Q36" s="2">
        <f>MAX(0,P36*(1+Forecast!$B31))</f>
        <v>0</v>
      </c>
      <c r="R36" s="2">
        <f>MAX(0,Q36*(1+Forecast!$B31))</f>
        <v>0</v>
      </c>
      <c r="S36" s="2">
        <f>MAX(0,R36*(1+Forecast!$B31))</f>
        <v>0</v>
      </c>
      <c r="T36" s="2">
        <f>MAX(0,S36*(1+Forecast!$B31))</f>
        <v>0</v>
      </c>
      <c r="U36" s="2">
        <f>MAX(0,T36*(1+Forecast!$B31))</f>
        <v>0</v>
      </c>
      <c r="V36" s="2">
        <f>MAX(0,U36*(1+Forecast!$B31))</f>
        <v>0</v>
      </c>
      <c r="W36" s="2">
        <f>MAX(0,V36*(1+Forecast!$B31))</f>
        <v>0</v>
      </c>
      <c r="X36" s="2">
        <f>MAX(0,W36*(1+Forecast!$B31))</f>
        <v>0</v>
      </c>
      <c r="Y36" s="2">
        <f>MAX(0,X36*(1+Forecast!$B31))</f>
        <v>0</v>
      </c>
      <c r="Z36" s="2">
        <f>MAX(0,Y36*(1+Forecast!$B31))</f>
        <v>0</v>
      </c>
      <c r="AA36" s="2">
        <f>MAX(0,Z36*(1+Forecast!$B31))</f>
        <v>0</v>
      </c>
      <c r="AB36" s="2">
        <f>MAX(0,AA36*(1+Forecast!$B31))</f>
        <v>0</v>
      </c>
      <c r="AC36" s="2">
        <f>MAX(0,AB36*(1+Forecast!$B31))</f>
        <v>0</v>
      </c>
      <c r="AD36" s="2">
        <f>MAX(0,AC36*(1+Forecast!$B31))</f>
        <v>0</v>
      </c>
      <c r="AE36" s="2">
        <f>MAX(0,AD36*(1+Forecast!$B31))</f>
        <v>0</v>
      </c>
      <c r="AF36" s="2">
        <f>MAX(0,AE36*(1+Forecast!$B31))</f>
        <v>0</v>
      </c>
      <c r="AG36" s="2">
        <f>MAX(0,AF36*(1+Forecast!$B31))</f>
        <v>0</v>
      </c>
    </row>
    <row r="37" spans="1:33">
      <c r="A37" s="15" t="s">
        <v>16</v>
      </c>
      <c r="B37" s="2">
        <f>INDEX('2019'!$B$2:$G$11, MATCH($A37, '2019'!$A$2:$A$11, 0), MATCH(Commercial_calculation!$A$27, '2019'!$B$1:$G$1, 0))</f>
        <v>0</v>
      </c>
      <c r="C37" s="2">
        <f>INDEX('2020'!$B$2:$G$11, MATCH($A37, '2020'!$A$2:$A$11, 0), MATCH(Commercial_calculation!$A$27, '2020'!$B$1:$G$1, 0))</f>
        <v>0</v>
      </c>
      <c r="D37" s="2">
        <f>INDEX('2021'!$B$2:$G$11, MATCH($A37, '2021'!$A$2:$A$11, 0), MATCH(Commercial_calculation!$A$27, '2021'!$B$1:$G$1, 0))</f>
        <v>0</v>
      </c>
      <c r="E37" s="2">
        <f>MAX(0,D37*(1+Forecast!$B32))</f>
        <v>0</v>
      </c>
      <c r="F37" s="2">
        <f>MAX(0,E37*(1+Forecast!$B32))</f>
        <v>0</v>
      </c>
      <c r="G37" s="2">
        <f>MAX(0,F37*(1+Forecast!$B32))</f>
        <v>0</v>
      </c>
      <c r="H37" s="2">
        <f>MAX(0,G37*(1+Forecast!$B32))</f>
        <v>0</v>
      </c>
      <c r="I37" s="2">
        <f>MAX(0,H37*(1+Forecast!$B32))</f>
        <v>0</v>
      </c>
      <c r="J37" s="2">
        <f>MAX(0,I37*(1+Forecast!$B32))</f>
        <v>0</v>
      </c>
      <c r="K37" s="2">
        <f>MAX(0,J37*(1+Forecast!$B32))</f>
        <v>0</v>
      </c>
      <c r="L37" s="2">
        <f>MAX(0,K37*(1+Forecast!$B32))</f>
        <v>0</v>
      </c>
      <c r="M37" s="2">
        <f>MAX(0,L37*(1+Forecast!$B32))</f>
        <v>0</v>
      </c>
      <c r="N37" s="2">
        <f>MAX(0,M37*(1+Forecast!$B32))</f>
        <v>0</v>
      </c>
      <c r="O37" s="2">
        <f>MAX(0,N37*(1+Forecast!$B32))</f>
        <v>0</v>
      </c>
      <c r="P37" s="2">
        <f>MAX(0,O37*(1+Forecast!$B32))</f>
        <v>0</v>
      </c>
      <c r="Q37" s="2">
        <f>MAX(0,P37*(1+Forecast!$B32))</f>
        <v>0</v>
      </c>
      <c r="R37" s="2">
        <f>MAX(0,Q37*(1+Forecast!$B32))</f>
        <v>0</v>
      </c>
      <c r="S37" s="2">
        <f>MAX(0,R37*(1+Forecast!$B32))</f>
        <v>0</v>
      </c>
      <c r="T37" s="2">
        <f>MAX(0,S37*(1+Forecast!$B32))</f>
        <v>0</v>
      </c>
      <c r="U37" s="2">
        <f>MAX(0,T37*(1+Forecast!$B32))</f>
        <v>0</v>
      </c>
      <c r="V37" s="2">
        <f>MAX(0,U37*(1+Forecast!$B32))</f>
        <v>0</v>
      </c>
      <c r="W37" s="2">
        <f>MAX(0,V37*(1+Forecast!$B32))</f>
        <v>0</v>
      </c>
      <c r="X37" s="2">
        <f>MAX(0,W37*(1+Forecast!$B32))</f>
        <v>0</v>
      </c>
      <c r="Y37" s="2">
        <f>MAX(0,X37*(1+Forecast!$B32))</f>
        <v>0</v>
      </c>
      <c r="Z37" s="2">
        <f>MAX(0,Y37*(1+Forecast!$B32))</f>
        <v>0</v>
      </c>
      <c r="AA37" s="2">
        <f>MAX(0,Z37*(1+Forecast!$B32))</f>
        <v>0</v>
      </c>
      <c r="AB37" s="2">
        <f>MAX(0,AA37*(1+Forecast!$B32))</f>
        <v>0</v>
      </c>
      <c r="AC37" s="2">
        <f>MAX(0,AB37*(1+Forecast!$B32))</f>
        <v>0</v>
      </c>
      <c r="AD37" s="2">
        <f>MAX(0,AC37*(1+Forecast!$B32))</f>
        <v>0</v>
      </c>
      <c r="AE37" s="2">
        <f>MAX(0,AD37*(1+Forecast!$B32))</f>
        <v>0</v>
      </c>
      <c r="AF37" s="2">
        <f>MAX(0,AE37*(1+Forecast!$B32))</f>
        <v>0</v>
      </c>
      <c r="AG37" s="2">
        <f>MAX(0,AF37*(1+Forecast!$B32))</f>
        <v>0</v>
      </c>
    </row>
    <row r="39" spans="1:33">
      <c r="A39" s="15" t="s">
        <v>40</v>
      </c>
      <c r="B39" s="1">
        <v>2019</v>
      </c>
      <c r="C39" s="1">
        <v>2020</v>
      </c>
      <c r="D39" s="1">
        <v>2021</v>
      </c>
      <c r="E39" s="1">
        <v>2022</v>
      </c>
      <c r="F39" s="1">
        <v>2023</v>
      </c>
      <c r="G39" s="1">
        <v>2024</v>
      </c>
      <c r="H39" s="1">
        <v>2025</v>
      </c>
      <c r="I39" s="1">
        <v>2026</v>
      </c>
      <c r="J39" s="1">
        <v>2027</v>
      </c>
      <c r="K39" s="1">
        <v>2028</v>
      </c>
      <c r="L39" s="1">
        <v>2029</v>
      </c>
      <c r="M39" s="1">
        <v>2030</v>
      </c>
      <c r="N39" s="1">
        <v>2031</v>
      </c>
      <c r="O39" s="1">
        <v>2032</v>
      </c>
      <c r="P39" s="1">
        <v>2033</v>
      </c>
      <c r="Q39" s="1">
        <v>2034</v>
      </c>
      <c r="R39" s="1">
        <v>2035</v>
      </c>
      <c r="S39" s="1">
        <v>2036</v>
      </c>
      <c r="T39" s="1">
        <v>2037</v>
      </c>
      <c r="U39" s="1">
        <v>2038</v>
      </c>
      <c r="V39" s="1">
        <v>2039</v>
      </c>
      <c r="W39" s="1">
        <v>2040</v>
      </c>
      <c r="X39" s="1">
        <v>2041</v>
      </c>
      <c r="Y39" s="1">
        <v>2042</v>
      </c>
      <c r="Z39" s="1">
        <v>2043</v>
      </c>
      <c r="AA39" s="1">
        <v>2044</v>
      </c>
      <c r="AB39" s="1">
        <v>2045</v>
      </c>
      <c r="AC39" s="1">
        <v>2046</v>
      </c>
      <c r="AD39" s="1">
        <v>2047</v>
      </c>
      <c r="AE39" s="1">
        <v>2048</v>
      </c>
      <c r="AF39" s="1">
        <v>2049</v>
      </c>
      <c r="AG39" s="1">
        <v>2050</v>
      </c>
    </row>
    <row r="40" spans="1:33">
      <c r="A40" s="15" t="s">
        <v>2</v>
      </c>
      <c r="B40" s="2">
        <f>INDEX('2019'!$B$2:$G$11, MATCH($A40, '2019'!$A$2:$A$11, 0), MATCH(Commercial_calculation!$A$39, '2019'!$B$1:$G$1, 0))</f>
        <v>107131240094621.84</v>
      </c>
      <c r="C40" s="2">
        <f>INDEX('2020'!$B$2:$G$11, MATCH($A40, '2020'!$A$2:$A$11, 0), MATCH(Commercial_calculation!$A$39, '2020'!$B$1:$G$1, 0))</f>
        <v>108776762864286.34</v>
      </c>
      <c r="D40" s="2">
        <f>INDEX('2021'!$B$2:$G$11, MATCH($A40, '2021'!$A$2:$A$11, 0), MATCH(Commercial_calculation!$A$39, '2021'!$B$1:$G$1, 0))</f>
        <v>109739055988388.72</v>
      </c>
      <c r="E40" s="2">
        <f>INDEX('2022'!$B$2:$G$11, MATCH($A40, '2022'!$A$2:$A$11, 0), MATCH(Commercial_calculation!$A$39, '2022'!$B$1:$G$1, 0))</f>
        <v>116018400485507.73</v>
      </c>
      <c r="F40" s="2">
        <f>MAX(0,E40*(1+Forecast!$B23))</f>
        <v>116946547689391.8</v>
      </c>
      <c r="G40" s="2">
        <f>MAX(0,F40*(1+Forecast!$B23))</f>
        <v>117882120070906.94</v>
      </c>
      <c r="H40" s="2">
        <f>MAX(0,G40*(1+Forecast!$B23))</f>
        <v>118825177031474.19</v>
      </c>
      <c r="I40" s="2">
        <f>MAX(0,H40*(1+Forecast!$B23))</f>
        <v>119775778447725.98</v>
      </c>
      <c r="J40" s="2">
        <f>MAX(0,I40*(1+Forecast!$B23))</f>
        <v>120733984675307.8</v>
      </c>
      <c r="K40" s="2">
        <f>MAX(0,J40*(1+Forecast!$B23))</f>
        <v>121699856552710.27</v>
      </c>
      <c r="L40" s="2">
        <f>MAX(0,K40*(1+Forecast!$B23))</f>
        <v>122673455405131.95</v>
      </c>
      <c r="M40" s="2">
        <f>MAX(0,L40*(1+Forecast!$B23))</f>
        <v>123654843048373.02</v>
      </c>
      <c r="N40" s="2">
        <f>MAX(0,M40*(1+Forecast!$B23))</f>
        <v>124644081792760</v>
      </c>
      <c r="O40" s="2">
        <f>MAX(0,N40*(1+Forecast!$B23))</f>
        <v>125641234447102.08</v>
      </c>
      <c r="P40" s="2">
        <f>MAX(0,O40*(1+Forecast!$B23))</f>
        <v>126646364322678.89</v>
      </c>
      <c r="Q40" s="2">
        <f>MAX(0,P40*(1+Forecast!$B23))</f>
        <v>127659535237260.33</v>
      </c>
      <c r="R40" s="2">
        <f>MAX(0,Q40*(1+Forecast!$B23))</f>
        <v>128680811519158.41</v>
      </c>
      <c r="S40" s="2">
        <f>MAX(0,R40*(1+Forecast!$B23))</f>
        <v>129710258011311.67</v>
      </c>
      <c r="T40" s="2">
        <f>MAX(0,S40*(1+Forecast!$B23))</f>
        <v>130747940075402.17</v>
      </c>
      <c r="U40" s="2">
        <f>MAX(0,T40*(1+Forecast!$B23))</f>
        <v>131793923596005.39</v>
      </c>
      <c r="V40" s="2">
        <f>MAX(0,U40*(1+Forecast!$B23))</f>
        <v>132848274984773.44</v>
      </c>
      <c r="W40" s="2">
        <f>MAX(0,V40*(1+Forecast!$B23))</f>
        <v>133911061184651.63</v>
      </c>
      <c r="X40" s="2">
        <f>MAX(0,W40*(1+Forecast!$B23))</f>
        <v>134982349674128.84</v>
      </c>
      <c r="Y40" s="2">
        <f>MAX(0,X40*(1+Forecast!$B23))</f>
        <v>136062208471521.88</v>
      </c>
      <c r="Z40" s="2">
        <f>MAX(0,Y40*(1+Forecast!$B23))</f>
        <v>137150706139294.05</v>
      </c>
      <c r="AA40" s="2">
        <f>MAX(0,Z40*(1+Forecast!$B23))</f>
        <v>138247911788408.41</v>
      </c>
      <c r="AB40" s="2">
        <f>MAX(0,AA40*(1+Forecast!$B23))</f>
        <v>139353895082715.67</v>
      </c>
      <c r="AC40" s="2">
        <f>MAX(0,AB40*(1+Forecast!$B23))</f>
        <v>140468726243377.39</v>
      </c>
      <c r="AD40" s="2">
        <f>MAX(0,AC40*(1+Forecast!$B23))</f>
        <v>141592476053324.41</v>
      </c>
      <c r="AE40" s="2">
        <f>MAX(0,AD40*(1+Forecast!$B23))</f>
        <v>142725215861751</v>
      </c>
      <c r="AF40" s="2">
        <f>MAX(0,AE40*(1+Forecast!$B23))</f>
        <v>143867017588645</v>
      </c>
      <c r="AG40" s="2">
        <f>MAX(0,AF40*(1+Forecast!$B23))</f>
        <v>145017953729354.16</v>
      </c>
    </row>
    <row r="41" spans="1:33">
      <c r="A41" s="15" t="s">
        <v>3</v>
      </c>
      <c r="B41" s="2">
        <f>INDEX('2019'!$B$2:$G$11, MATCH($A41, '2019'!$A$2:$A$11, 0), MATCH(Commercial_calculation!$A$39, '2019'!$B$1:$G$1, 0))</f>
        <v>0</v>
      </c>
      <c r="C41" s="2">
        <f>INDEX('2020'!$B$2:$G$11, MATCH($A41, '2020'!$A$2:$A$11, 0), MATCH(Commercial_calculation!$A$39, '2020'!$B$1:$G$1, 0))</f>
        <v>0</v>
      </c>
      <c r="D41" s="2">
        <f>INDEX('2021'!$B$2:$G$11, MATCH($A41, '2021'!$A$2:$A$11, 0), MATCH(Commercial_calculation!$A$39, '2021'!$B$1:$G$1, 0))</f>
        <v>0</v>
      </c>
      <c r="E41" s="2">
        <f>INDEX('2022'!$B$2:$G$11, MATCH($A41, '2022'!$A$2:$A$11, 0), MATCH(Commercial_calculation!$A$39, '2022'!$B$1:$G$1, 0))</f>
        <v>0</v>
      </c>
      <c r="F41" s="2">
        <f>MAX(0,E41*(1+Forecast!$B24))</f>
        <v>0</v>
      </c>
      <c r="G41" s="2">
        <f>MAX(0,F41*(1+Forecast!$B24))</f>
        <v>0</v>
      </c>
      <c r="H41" s="2">
        <f>MAX(0,G41*(1+Forecast!$B24))</f>
        <v>0</v>
      </c>
      <c r="I41" s="2">
        <f>MAX(0,H41*(1+Forecast!$B24))</f>
        <v>0</v>
      </c>
      <c r="J41" s="2">
        <f>MAX(0,I41*(1+Forecast!$B24))</f>
        <v>0</v>
      </c>
      <c r="K41" s="2">
        <f>MAX(0,J41*(1+Forecast!$B24))</f>
        <v>0</v>
      </c>
      <c r="L41" s="2">
        <f>MAX(0,K41*(1+Forecast!$B24))</f>
        <v>0</v>
      </c>
      <c r="M41" s="2">
        <f>MAX(0,L41*(1+Forecast!$B24))</f>
        <v>0</v>
      </c>
      <c r="N41" s="2">
        <f>MAX(0,M41*(1+Forecast!$B24))</f>
        <v>0</v>
      </c>
      <c r="O41" s="2">
        <f>MAX(0,N41*(1+Forecast!$B24))</f>
        <v>0</v>
      </c>
      <c r="P41" s="2">
        <f>MAX(0,O41*(1+Forecast!$B24))</f>
        <v>0</v>
      </c>
      <c r="Q41" s="2">
        <f>MAX(0,P41*(1+Forecast!$B24))</f>
        <v>0</v>
      </c>
      <c r="R41" s="2">
        <f>MAX(0,Q41*(1+Forecast!$B24))</f>
        <v>0</v>
      </c>
      <c r="S41" s="2">
        <f>MAX(0,R41*(1+Forecast!$B24))</f>
        <v>0</v>
      </c>
      <c r="T41" s="2">
        <f>MAX(0,S41*(1+Forecast!$B24))</f>
        <v>0</v>
      </c>
      <c r="U41" s="2">
        <f>MAX(0,T41*(1+Forecast!$B24))</f>
        <v>0</v>
      </c>
      <c r="V41" s="2">
        <f>MAX(0,U41*(1+Forecast!$B24))</f>
        <v>0</v>
      </c>
      <c r="W41" s="2">
        <f>MAX(0,V41*(1+Forecast!$B24))</f>
        <v>0</v>
      </c>
      <c r="X41" s="2">
        <f>MAX(0,W41*(1+Forecast!$B24))</f>
        <v>0</v>
      </c>
      <c r="Y41" s="2">
        <f>MAX(0,X41*(1+Forecast!$B24))</f>
        <v>0</v>
      </c>
      <c r="Z41" s="2">
        <f>MAX(0,Y41*(1+Forecast!$B24))</f>
        <v>0</v>
      </c>
      <c r="AA41" s="2">
        <f>MAX(0,Z41*(1+Forecast!$B24))</f>
        <v>0</v>
      </c>
      <c r="AB41" s="2">
        <f>MAX(0,AA41*(1+Forecast!$B24))</f>
        <v>0</v>
      </c>
      <c r="AC41" s="2">
        <f>MAX(0,AB41*(1+Forecast!$B24))</f>
        <v>0</v>
      </c>
      <c r="AD41" s="2">
        <f>MAX(0,AC41*(1+Forecast!$B24))</f>
        <v>0</v>
      </c>
      <c r="AE41" s="2">
        <f>MAX(0,AD41*(1+Forecast!$B24))</f>
        <v>0</v>
      </c>
      <c r="AF41" s="2">
        <f>MAX(0,AE41*(1+Forecast!$B24))</f>
        <v>0</v>
      </c>
      <c r="AG41" s="2">
        <f>MAX(0,AF41*(1+Forecast!$B24))</f>
        <v>0</v>
      </c>
    </row>
    <row r="42" spans="1:33">
      <c r="A42" s="15" t="s">
        <v>4</v>
      </c>
      <c r="B42" s="2">
        <f>INDEX('2019'!$B$2:$G$11, MATCH($A42, '2019'!$A$2:$A$11, 0), MATCH(Commercial_calculation!$A$39, '2019'!$B$1:$G$1, 0))</f>
        <v>0</v>
      </c>
      <c r="C42" s="2">
        <f>INDEX('2020'!$B$2:$G$11, MATCH($A42, '2020'!$A$2:$A$11, 0), MATCH(Commercial_calculation!$A$39, '2020'!$B$1:$G$1, 0))</f>
        <v>0</v>
      </c>
      <c r="D42" s="2">
        <f>INDEX('2021'!$B$2:$G$11, MATCH($A42, '2021'!$A$2:$A$11, 0), MATCH(Commercial_calculation!$A$39, '2021'!$B$1:$G$1, 0))</f>
        <v>0</v>
      </c>
      <c r="E42" s="2">
        <f>INDEX('2022'!$B$2:$G$11, MATCH($A42, '2022'!$A$2:$A$11, 0), MATCH(Commercial_calculation!$A$39, '2022'!$B$1:$G$1, 0))</f>
        <v>0</v>
      </c>
      <c r="F42" s="2">
        <f>MAX(0,E42*(1+Forecast!$B25))</f>
        <v>0</v>
      </c>
      <c r="G42" s="2">
        <f>MAX(0,F42*(1+Forecast!$B25))</f>
        <v>0</v>
      </c>
      <c r="H42" s="2">
        <f>MAX(0,G42*(1+Forecast!$B25))</f>
        <v>0</v>
      </c>
      <c r="I42" s="2">
        <f>MAX(0,H42*(1+Forecast!$B25))</f>
        <v>0</v>
      </c>
      <c r="J42" s="2">
        <f>MAX(0,I42*(1+Forecast!$B25))</f>
        <v>0</v>
      </c>
      <c r="K42" s="2">
        <f>MAX(0,J42*(1+Forecast!$B25))</f>
        <v>0</v>
      </c>
      <c r="L42" s="2">
        <f>MAX(0,K42*(1+Forecast!$B25))</f>
        <v>0</v>
      </c>
      <c r="M42" s="2">
        <f>MAX(0,L42*(1+Forecast!$B25))</f>
        <v>0</v>
      </c>
      <c r="N42" s="2">
        <f>MAX(0,M42*(1+Forecast!$B25))</f>
        <v>0</v>
      </c>
      <c r="O42" s="2">
        <f>MAX(0,N42*(1+Forecast!$B25))</f>
        <v>0</v>
      </c>
      <c r="P42" s="2">
        <f>MAX(0,O42*(1+Forecast!$B25))</f>
        <v>0</v>
      </c>
      <c r="Q42" s="2">
        <f>MAX(0,P42*(1+Forecast!$B25))</f>
        <v>0</v>
      </c>
      <c r="R42" s="2">
        <f>MAX(0,Q42*(1+Forecast!$B25))</f>
        <v>0</v>
      </c>
      <c r="S42" s="2">
        <f>MAX(0,R42*(1+Forecast!$B25))</f>
        <v>0</v>
      </c>
      <c r="T42" s="2">
        <f>MAX(0,S42*(1+Forecast!$B25))</f>
        <v>0</v>
      </c>
      <c r="U42" s="2">
        <f>MAX(0,T42*(1+Forecast!$B25))</f>
        <v>0</v>
      </c>
      <c r="V42" s="2">
        <f>MAX(0,U42*(1+Forecast!$B25))</f>
        <v>0</v>
      </c>
      <c r="W42" s="2">
        <f>MAX(0,V42*(1+Forecast!$B25))</f>
        <v>0</v>
      </c>
      <c r="X42" s="2">
        <f>MAX(0,W42*(1+Forecast!$B25))</f>
        <v>0</v>
      </c>
      <c r="Y42" s="2">
        <f>MAX(0,X42*(1+Forecast!$B25))</f>
        <v>0</v>
      </c>
      <c r="Z42" s="2">
        <f>MAX(0,Y42*(1+Forecast!$B25))</f>
        <v>0</v>
      </c>
      <c r="AA42" s="2">
        <f>MAX(0,Z42*(1+Forecast!$B25))</f>
        <v>0</v>
      </c>
      <c r="AB42" s="2">
        <f>MAX(0,AA42*(1+Forecast!$B25))</f>
        <v>0</v>
      </c>
      <c r="AC42" s="2">
        <f>MAX(0,AB42*(1+Forecast!$B25))</f>
        <v>0</v>
      </c>
      <c r="AD42" s="2">
        <f>MAX(0,AC42*(1+Forecast!$B25))</f>
        <v>0</v>
      </c>
      <c r="AE42" s="2">
        <f>MAX(0,AD42*(1+Forecast!$B25))</f>
        <v>0</v>
      </c>
      <c r="AF42" s="2">
        <f>MAX(0,AE42*(1+Forecast!$B25))</f>
        <v>0</v>
      </c>
      <c r="AG42" s="2">
        <f>MAX(0,AF42*(1+Forecast!$B25))</f>
        <v>0</v>
      </c>
    </row>
    <row r="43" spans="1:33">
      <c r="A43" s="15" t="s">
        <v>5</v>
      </c>
      <c r="B43" s="2">
        <f>INDEX('2019'!$B$2:$G$11, MATCH($A43, '2019'!$A$2:$A$11, 0), MATCH(Commercial_calculation!$A$39, '2019'!$B$1:$G$1, 0))</f>
        <v>0</v>
      </c>
      <c r="C43" s="2">
        <f>INDEX('2020'!$B$2:$G$11, MATCH($A43, '2020'!$A$2:$A$11, 0), MATCH(Commercial_calculation!$A$39, '2020'!$B$1:$G$1, 0))</f>
        <v>0</v>
      </c>
      <c r="D43" s="2">
        <f>INDEX('2021'!$B$2:$G$11, MATCH($A43, '2021'!$A$2:$A$11, 0), MATCH(Commercial_calculation!$A$39, '2021'!$B$1:$G$1, 0))</f>
        <v>0</v>
      </c>
      <c r="E43" s="2">
        <f>INDEX('2022'!$B$2:$G$11, MATCH($A43, '2022'!$A$2:$A$11, 0), MATCH(Commercial_calculation!$A$39, '2022'!$B$1:$G$1, 0))</f>
        <v>0</v>
      </c>
      <c r="F43" s="2">
        <f>MAX(0,E43*(1+Forecast!$B26))</f>
        <v>0</v>
      </c>
      <c r="G43" s="2">
        <f>MAX(0,F43*(1+Forecast!$B26))</f>
        <v>0</v>
      </c>
      <c r="H43" s="2">
        <f>MAX(0,G43*(1+Forecast!$B26))</f>
        <v>0</v>
      </c>
      <c r="I43" s="2">
        <f>MAX(0,H43*(1+Forecast!$B26))</f>
        <v>0</v>
      </c>
      <c r="J43" s="2">
        <f>MAX(0,I43*(1+Forecast!$B26))</f>
        <v>0</v>
      </c>
      <c r="K43" s="2">
        <f>MAX(0,J43*(1+Forecast!$B26))</f>
        <v>0</v>
      </c>
      <c r="L43" s="2">
        <f>MAX(0,K43*(1+Forecast!$B26))</f>
        <v>0</v>
      </c>
      <c r="M43" s="2">
        <f>MAX(0,L43*(1+Forecast!$B26))</f>
        <v>0</v>
      </c>
      <c r="N43" s="2">
        <f>MAX(0,M43*(1+Forecast!$B26))</f>
        <v>0</v>
      </c>
      <c r="O43" s="2">
        <f>MAX(0,N43*(1+Forecast!$B26))</f>
        <v>0</v>
      </c>
      <c r="P43" s="2">
        <f>MAX(0,O43*(1+Forecast!$B26))</f>
        <v>0</v>
      </c>
      <c r="Q43" s="2">
        <f>MAX(0,P43*(1+Forecast!$B26))</f>
        <v>0</v>
      </c>
      <c r="R43" s="2">
        <f>MAX(0,Q43*(1+Forecast!$B26))</f>
        <v>0</v>
      </c>
      <c r="S43" s="2">
        <f>MAX(0,R43*(1+Forecast!$B26))</f>
        <v>0</v>
      </c>
      <c r="T43" s="2">
        <f>MAX(0,S43*(1+Forecast!$B26))</f>
        <v>0</v>
      </c>
      <c r="U43" s="2">
        <f>MAX(0,T43*(1+Forecast!$B26))</f>
        <v>0</v>
      </c>
      <c r="V43" s="2">
        <f>MAX(0,U43*(1+Forecast!$B26))</f>
        <v>0</v>
      </c>
      <c r="W43" s="2">
        <f>MAX(0,V43*(1+Forecast!$B26))</f>
        <v>0</v>
      </c>
      <c r="X43" s="2">
        <f>MAX(0,W43*(1+Forecast!$B26))</f>
        <v>0</v>
      </c>
      <c r="Y43" s="2">
        <f>MAX(0,X43*(1+Forecast!$B26))</f>
        <v>0</v>
      </c>
      <c r="Z43" s="2">
        <f>MAX(0,Y43*(1+Forecast!$B26))</f>
        <v>0</v>
      </c>
      <c r="AA43" s="2">
        <f>MAX(0,Z43*(1+Forecast!$B26))</f>
        <v>0</v>
      </c>
      <c r="AB43" s="2">
        <f>MAX(0,AA43*(1+Forecast!$B26))</f>
        <v>0</v>
      </c>
      <c r="AC43" s="2">
        <f>MAX(0,AB43*(1+Forecast!$B26))</f>
        <v>0</v>
      </c>
      <c r="AD43" s="2">
        <f>MAX(0,AC43*(1+Forecast!$B26))</f>
        <v>0</v>
      </c>
      <c r="AE43" s="2">
        <f>MAX(0,AD43*(1+Forecast!$B26))</f>
        <v>0</v>
      </c>
      <c r="AF43" s="2">
        <f>MAX(0,AE43*(1+Forecast!$B26))</f>
        <v>0</v>
      </c>
      <c r="AG43" s="2">
        <f>MAX(0,AF43*(1+Forecast!$B26))</f>
        <v>0</v>
      </c>
    </row>
    <row r="44" spans="1:33">
      <c r="A44" s="15" t="s">
        <v>7</v>
      </c>
      <c r="B44" s="2">
        <f>INDEX('2019'!$B$2:$G$11, MATCH($A44, '2019'!$A$2:$A$11, 0), MATCH(Commercial_calculation!$A$39, '2019'!$B$1:$G$1, 0))</f>
        <v>0</v>
      </c>
      <c r="C44" s="2">
        <f>INDEX('2020'!$B$2:$G$11, MATCH($A44, '2020'!$A$2:$A$11, 0), MATCH(Commercial_calculation!$A$39, '2020'!$B$1:$G$1, 0))</f>
        <v>0</v>
      </c>
      <c r="D44" s="2">
        <f>INDEX('2021'!$B$2:$G$11, MATCH($A44, '2021'!$A$2:$A$11, 0), MATCH(Commercial_calculation!$A$39, '2021'!$B$1:$G$1, 0))</f>
        <v>0</v>
      </c>
      <c r="E44" s="2">
        <f>INDEX('2022'!$B$2:$G$11, MATCH($A44, '2022'!$A$2:$A$11, 0), MATCH(Commercial_calculation!$A$39, '2022'!$B$1:$G$1, 0))</f>
        <v>0</v>
      </c>
      <c r="F44" s="2">
        <f>MAX(0,E44*(1+Forecast!$B27))</f>
        <v>0</v>
      </c>
      <c r="G44" s="2">
        <f>MAX(0,F44*(1+Forecast!$B27))</f>
        <v>0</v>
      </c>
      <c r="H44" s="2">
        <f>MAX(0,G44*(1+Forecast!$B27))</f>
        <v>0</v>
      </c>
      <c r="I44" s="2">
        <f>MAX(0,H44*(1+Forecast!$B27))</f>
        <v>0</v>
      </c>
      <c r="J44" s="2">
        <f>MAX(0,I44*(1+Forecast!$B27))</f>
        <v>0</v>
      </c>
      <c r="K44" s="2">
        <f>MAX(0,J44*(1+Forecast!$B27))</f>
        <v>0</v>
      </c>
      <c r="L44" s="2">
        <f>MAX(0,K44*(1+Forecast!$B27))</f>
        <v>0</v>
      </c>
      <c r="M44" s="2">
        <f>MAX(0,L44*(1+Forecast!$B27))</f>
        <v>0</v>
      </c>
      <c r="N44" s="2">
        <f>MAX(0,M44*(1+Forecast!$B27))</f>
        <v>0</v>
      </c>
      <c r="O44" s="2">
        <f>MAX(0,N44*(1+Forecast!$B27))</f>
        <v>0</v>
      </c>
      <c r="P44" s="2">
        <f>MAX(0,O44*(1+Forecast!$B27))</f>
        <v>0</v>
      </c>
      <c r="Q44" s="2">
        <f>MAX(0,P44*(1+Forecast!$B27))</f>
        <v>0</v>
      </c>
      <c r="R44" s="2">
        <f>MAX(0,Q44*(1+Forecast!$B27))</f>
        <v>0</v>
      </c>
      <c r="S44" s="2">
        <f>MAX(0,R44*(1+Forecast!$B27))</f>
        <v>0</v>
      </c>
      <c r="T44" s="2">
        <f>MAX(0,S44*(1+Forecast!$B27))</f>
        <v>0</v>
      </c>
      <c r="U44" s="2">
        <f>MAX(0,T44*(1+Forecast!$B27))</f>
        <v>0</v>
      </c>
      <c r="V44" s="2">
        <f>MAX(0,U44*(1+Forecast!$B27))</f>
        <v>0</v>
      </c>
      <c r="W44" s="2">
        <f>MAX(0,V44*(1+Forecast!$B27))</f>
        <v>0</v>
      </c>
      <c r="X44" s="2">
        <f>MAX(0,W44*(1+Forecast!$B27))</f>
        <v>0</v>
      </c>
      <c r="Y44" s="2">
        <f>MAX(0,X44*(1+Forecast!$B27))</f>
        <v>0</v>
      </c>
      <c r="Z44" s="2">
        <f>MAX(0,Y44*(1+Forecast!$B27))</f>
        <v>0</v>
      </c>
      <c r="AA44" s="2">
        <f>MAX(0,Z44*(1+Forecast!$B27))</f>
        <v>0</v>
      </c>
      <c r="AB44" s="2">
        <f>MAX(0,AA44*(1+Forecast!$B27))</f>
        <v>0</v>
      </c>
      <c r="AC44" s="2">
        <f>MAX(0,AB44*(1+Forecast!$B27))</f>
        <v>0</v>
      </c>
      <c r="AD44" s="2">
        <f>MAX(0,AC44*(1+Forecast!$B27))</f>
        <v>0</v>
      </c>
      <c r="AE44" s="2">
        <f>MAX(0,AD44*(1+Forecast!$B27))</f>
        <v>0</v>
      </c>
      <c r="AF44" s="2">
        <f>MAX(0,AE44*(1+Forecast!$B27))</f>
        <v>0</v>
      </c>
      <c r="AG44" s="2">
        <f>MAX(0,AF44*(1+Forecast!$B27))</f>
        <v>0</v>
      </c>
    </row>
    <row r="45" spans="1:33">
      <c r="A45" s="15" t="s">
        <v>11</v>
      </c>
      <c r="B45" s="2">
        <f>INDEX('2019'!$B$2:$G$11, MATCH($A45, '2019'!$A$2:$A$11, 0), MATCH(Commercial_calculation!$A$39, '2019'!$B$1:$G$1, 0))</f>
        <v>2190189655200.0005</v>
      </c>
      <c r="C45" s="2">
        <f>INDEX('2020'!$B$2:$G$11, MATCH($A45, '2020'!$A$2:$A$11, 0), MATCH(Commercial_calculation!$A$39, '2020'!$B$1:$G$1, 0))</f>
        <v>7051579915006.5176</v>
      </c>
      <c r="D45" s="2">
        <f>INDEX('2021'!$B$2:$G$11, MATCH($A45, '2021'!$A$2:$A$11, 0), MATCH(Commercial_calculation!$A$39, '2021'!$B$1:$G$1, 0))</f>
        <v>7564422090643.3555</v>
      </c>
      <c r="E45" s="2">
        <f>INDEX('2022'!$B$2:$G$11, MATCH($A45, '2022'!$A$2:$A$11, 0), MATCH(Commercial_calculation!$A$39, '2022'!$B$1:$G$1, 0))</f>
        <v>5362159440264.3975</v>
      </c>
      <c r="F45" s="2">
        <f>MAX(0,E45*(1+Forecast!$B28))</f>
        <v>5603456615076.2949</v>
      </c>
      <c r="G45" s="2">
        <f>MAX(0,F45*(1+Forecast!$B28))</f>
        <v>5855612162754.7275</v>
      </c>
      <c r="H45" s="2">
        <f>MAX(0,G45*(1+Forecast!$B28))</f>
        <v>6119114710078.6895</v>
      </c>
      <c r="I45" s="2">
        <f>MAX(0,H45*(1+Forecast!$B28))</f>
        <v>6394474872032.2305</v>
      </c>
      <c r="J45" s="2">
        <f>MAX(0,I45*(1+Forecast!$B28))</f>
        <v>6682226241273.6807</v>
      </c>
      <c r="K45" s="2">
        <f>MAX(0,J45*(1+Forecast!$B28))</f>
        <v>6982926422130.9961</v>
      </c>
      <c r="L45" s="2">
        <f>MAX(0,K45*(1+Forecast!$B28))</f>
        <v>7297158111126.8906</v>
      </c>
      <c r="M45" s="2">
        <f>MAX(0,L45*(1+Forecast!$B28))</f>
        <v>7625530226127.6006</v>
      </c>
      <c r="N45" s="2">
        <f>MAX(0,M45*(1+Forecast!$B28))</f>
        <v>7968679086303.3418</v>
      </c>
      <c r="O45" s="2">
        <f>MAX(0,N45*(1+Forecast!$B28))</f>
        <v>8327269645186.9912</v>
      </c>
      <c r="P45" s="2">
        <f>MAX(0,O45*(1+Forecast!$B28))</f>
        <v>8701996779220.4053</v>
      </c>
      <c r="Q45" s="2">
        <f>MAX(0,P45*(1+Forecast!$B28))</f>
        <v>9093586634285.3223</v>
      </c>
      <c r="R45" s="2">
        <f>MAX(0,Q45*(1+Forecast!$B28))</f>
        <v>9502798032828.1602</v>
      </c>
      <c r="S45" s="2">
        <f>MAX(0,R45*(1+Forecast!$B28))</f>
        <v>9930423944305.4258</v>
      </c>
      <c r="T45" s="2">
        <f>MAX(0,S45*(1+Forecast!$B28))</f>
        <v>10377293021799.17</v>
      </c>
      <c r="U45" s="2">
        <f>MAX(0,T45*(1+Forecast!$B28))</f>
        <v>10844271207780.131</v>
      </c>
      <c r="V45" s="2">
        <f>MAX(0,U45*(1+Forecast!$B28))</f>
        <v>11332263412130.236</v>
      </c>
      <c r="W45" s="2">
        <f>MAX(0,V45*(1+Forecast!$B28))</f>
        <v>11842215265676.096</v>
      </c>
      <c r="X45" s="2">
        <f>MAX(0,W45*(1+Forecast!$B28))</f>
        <v>12375114952631.52</v>
      </c>
      <c r="Y45" s="2">
        <f>MAX(0,X45*(1+Forecast!$B28))</f>
        <v>12931995125499.938</v>
      </c>
      <c r="Z45" s="2">
        <f>MAX(0,Y45*(1+Forecast!$B28))</f>
        <v>13513934906147.434</v>
      </c>
      <c r="AA45" s="2">
        <f>MAX(0,Z45*(1+Forecast!$B28))</f>
        <v>14122061976924.066</v>
      </c>
      <c r="AB45" s="2">
        <f>MAX(0,AA45*(1+Forecast!$B28))</f>
        <v>14757554765885.648</v>
      </c>
      <c r="AC45" s="2">
        <f>MAX(0,AB45*(1+Forecast!$B28))</f>
        <v>15421644730350.502</v>
      </c>
      <c r="AD45" s="2">
        <f>MAX(0,AC45*(1+Forecast!$B28))</f>
        <v>16115618743216.273</v>
      </c>
      <c r="AE45" s="2">
        <f>MAX(0,AD45*(1+Forecast!$B28))</f>
        <v>16840821586661.004</v>
      </c>
      <c r="AF45" s="2">
        <f>MAX(0,AE45*(1+Forecast!$B28))</f>
        <v>17598658558060.746</v>
      </c>
      <c r="AG45" s="2">
        <f>MAX(0,AF45*(1+Forecast!$B28))</f>
        <v>18390598193173.477</v>
      </c>
    </row>
    <row r="46" spans="1:33">
      <c r="A46" s="15" t="s">
        <v>13</v>
      </c>
      <c r="B46" s="2">
        <f>INDEX('2019'!$B$2:$G$11, MATCH($A46, '2019'!$A$2:$A$11, 0), MATCH(Commercial_calculation!$A$39, '2019'!$B$1:$G$1, 0))</f>
        <v>0</v>
      </c>
      <c r="C46" s="2">
        <f>INDEX('2020'!$B$2:$G$11, MATCH($A46, '2020'!$A$2:$A$11, 0), MATCH(Commercial_calculation!$A$39, '2020'!$B$1:$G$1, 0))</f>
        <v>0</v>
      </c>
      <c r="D46" s="2">
        <f>INDEX('2021'!$B$2:$G$11, MATCH($A46, '2021'!$A$2:$A$11, 0), MATCH(Commercial_calculation!$A$39, '2021'!$B$1:$G$1, 0))</f>
        <v>0</v>
      </c>
      <c r="E46" s="2">
        <f>INDEX('2022'!$B$2:$G$11, MATCH($A46, '2022'!$A$2:$A$11, 0), MATCH(Commercial_calculation!$A$39, '2022'!$B$1:$G$1, 0))</f>
        <v>0</v>
      </c>
      <c r="F46" s="2">
        <f>MAX(0,E46*(1+Forecast!$B29))</f>
        <v>0</v>
      </c>
      <c r="G46" s="2">
        <f>MAX(0,F46*(1+Forecast!$B29))</f>
        <v>0</v>
      </c>
      <c r="H46" s="2">
        <f>MAX(0,G46*(1+Forecast!$B29))</f>
        <v>0</v>
      </c>
      <c r="I46" s="2">
        <f>MAX(0,H46*(1+Forecast!$B29))</f>
        <v>0</v>
      </c>
      <c r="J46" s="2">
        <f>MAX(0,I46*(1+Forecast!$B29))</f>
        <v>0</v>
      </c>
      <c r="K46" s="2">
        <f>MAX(0,J46*(1+Forecast!$B29))</f>
        <v>0</v>
      </c>
      <c r="L46" s="2">
        <f>MAX(0,K46*(1+Forecast!$B29))</f>
        <v>0</v>
      </c>
      <c r="M46" s="2">
        <f>MAX(0,L46*(1+Forecast!$B29))</f>
        <v>0</v>
      </c>
      <c r="N46" s="2">
        <f>MAX(0,M46*(1+Forecast!$B29))</f>
        <v>0</v>
      </c>
      <c r="O46" s="2">
        <f>MAX(0,N46*(1+Forecast!$B29))</f>
        <v>0</v>
      </c>
      <c r="P46" s="2">
        <f>MAX(0,O46*(1+Forecast!$B29))</f>
        <v>0</v>
      </c>
      <c r="Q46" s="2">
        <f>MAX(0,P46*(1+Forecast!$B29))</f>
        <v>0</v>
      </c>
      <c r="R46" s="2">
        <f>MAX(0,Q46*(1+Forecast!$B29))</f>
        <v>0</v>
      </c>
      <c r="S46" s="2">
        <f>MAX(0,R46*(1+Forecast!$B29))</f>
        <v>0</v>
      </c>
      <c r="T46" s="2">
        <f>MAX(0,S46*(1+Forecast!$B29))</f>
        <v>0</v>
      </c>
      <c r="U46" s="2">
        <f>MAX(0,T46*(1+Forecast!$B29))</f>
        <v>0</v>
      </c>
      <c r="V46" s="2">
        <f>MAX(0,U46*(1+Forecast!$B29))</f>
        <v>0</v>
      </c>
      <c r="W46" s="2">
        <f>MAX(0,V46*(1+Forecast!$B29))</f>
        <v>0</v>
      </c>
      <c r="X46" s="2">
        <f>MAX(0,W46*(1+Forecast!$B29))</f>
        <v>0</v>
      </c>
      <c r="Y46" s="2">
        <f>MAX(0,X46*(1+Forecast!$B29))</f>
        <v>0</v>
      </c>
      <c r="Z46" s="2">
        <f>MAX(0,Y46*(1+Forecast!$B29))</f>
        <v>0</v>
      </c>
      <c r="AA46" s="2">
        <f>MAX(0,Z46*(1+Forecast!$B29))</f>
        <v>0</v>
      </c>
      <c r="AB46" s="2">
        <f>MAX(0,AA46*(1+Forecast!$B29))</f>
        <v>0</v>
      </c>
      <c r="AC46" s="2">
        <f>MAX(0,AB46*(1+Forecast!$B29))</f>
        <v>0</v>
      </c>
      <c r="AD46" s="2">
        <f>MAX(0,AC46*(1+Forecast!$B29))</f>
        <v>0</v>
      </c>
      <c r="AE46" s="2">
        <f>MAX(0,AD46*(1+Forecast!$B29))</f>
        <v>0</v>
      </c>
      <c r="AF46" s="2">
        <f>MAX(0,AE46*(1+Forecast!$B29))</f>
        <v>0</v>
      </c>
      <c r="AG46" s="2">
        <f>MAX(0,AF46*(1+Forecast!$B29))</f>
        <v>0</v>
      </c>
    </row>
    <row r="47" spans="1:33">
      <c r="A47" s="15" t="s">
        <v>14</v>
      </c>
      <c r="B47" s="2">
        <f>INDEX('2019'!$B$2:$G$11, MATCH($A47, '2019'!$A$2:$A$11, 0), MATCH(Commercial_calculation!$A$39, '2019'!$B$1:$G$1, 0))</f>
        <v>0</v>
      </c>
      <c r="C47" s="2">
        <f>INDEX('2020'!$B$2:$G$11, MATCH($A47, '2020'!$A$2:$A$11, 0), MATCH(Commercial_calculation!$A$39, '2020'!$B$1:$G$1, 0))</f>
        <v>0</v>
      </c>
      <c r="D47" s="2">
        <f>INDEX('2021'!$B$2:$G$11, MATCH($A47, '2021'!$A$2:$A$11, 0), MATCH(Commercial_calculation!$A$39, '2021'!$B$1:$G$1, 0))</f>
        <v>0</v>
      </c>
      <c r="E47" s="2">
        <f>INDEX('2022'!$B$2:$G$11, MATCH($A47, '2022'!$A$2:$A$11, 0), MATCH(Commercial_calculation!$A$39, '2022'!$B$1:$G$1, 0))</f>
        <v>0</v>
      </c>
      <c r="F47" s="2">
        <f>MAX(0,E47*(1+Forecast!$B30))</f>
        <v>0</v>
      </c>
      <c r="G47" s="2">
        <f>MAX(0,F47*(1+Forecast!$B30))</f>
        <v>0</v>
      </c>
      <c r="H47" s="2">
        <f>MAX(0,G47*(1+Forecast!$B30))</f>
        <v>0</v>
      </c>
      <c r="I47" s="2">
        <f>MAX(0,H47*(1+Forecast!$B30))</f>
        <v>0</v>
      </c>
      <c r="J47" s="2">
        <f>MAX(0,I47*(1+Forecast!$B30))</f>
        <v>0</v>
      </c>
      <c r="K47" s="2">
        <f>MAX(0,J47*(1+Forecast!$B30))</f>
        <v>0</v>
      </c>
      <c r="L47" s="2">
        <f>MAX(0,K47*(1+Forecast!$B30))</f>
        <v>0</v>
      </c>
      <c r="M47" s="2">
        <f>MAX(0,L47*(1+Forecast!$B30))</f>
        <v>0</v>
      </c>
      <c r="N47" s="2">
        <f>MAX(0,M47*(1+Forecast!$B30))</f>
        <v>0</v>
      </c>
      <c r="O47" s="2">
        <f>MAX(0,N47*(1+Forecast!$B30))</f>
        <v>0</v>
      </c>
      <c r="P47" s="2">
        <f>MAX(0,O47*(1+Forecast!$B30))</f>
        <v>0</v>
      </c>
      <c r="Q47" s="2">
        <f>MAX(0,P47*(1+Forecast!$B30))</f>
        <v>0</v>
      </c>
      <c r="R47" s="2">
        <f>MAX(0,Q47*(1+Forecast!$B30))</f>
        <v>0</v>
      </c>
      <c r="S47" s="2">
        <f>MAX(0,R47*(1+Forecast!$B30))</f>
        <v>0</v>
      </c>
      <c r="T47" s="2">
        <f>MAX(0,S47*(1+Forecast!$B30))</f>
        <v>0</v>
      </c>
      <c r="U47" s="2">
        <f>MAX(0,T47*(1+Forecast!$B30))</f>
        <v>0</v>
      </c>
      <c r="V47" s="2">
        <f>MAX(0,U47*(1+Forecast!$B30))</f>
        <v>0</v>
      </c>
      <c r="W47" s="2">
        <f>MAX(0,V47*(1+Forecast!$B30))</f>
        <v>0</v>
      </c>
      <c r="X47" s="2">
        <f>MAX(0,W47*(1+Forecast!$B30))</f>
        <v>0</v>
      </c>
      <c r="Y47" s="2">
        <f>MAX(0,X47*(1+Forecast!$B30))</f>
        <v>0</v>
      </c>
      <c r="Z47" s="2">
        <f>MAX(0,Y47*(1+Forecast!$B30))</f>
        <v>0</v>
      </c>
      <c r="AA47" s="2">
        <f>MAX(0,Z47*(1+Forecast!$B30))</f>
        <v>0</v>
      </c>
      <c r="AB47" s="2">
        <f>MAX(0,AA47*(1+Forecast!$B30))</f>
        <v>0</v>
      </c>
      <c r="AC47" s="2">
        <f>MAX(0,AB47*(1+Forecast!$B30))</f>
        <v>0</v>
      </c>
      <c r="AD47" s="2">
        <f>MAX(0,AC47*(1+Forecast!$B30))</f>
        <v>0</v>
      </c>
      <c r="AE47" s="2">
        <f>MAX(0,AD47*(1+Forecast!$B30))</f>
        <v>0</v>
      </c>
      <c r="AF47" s="2">
        <f>MAX(0,AE47*(1+Forecast!$B30))</f>
        <v>0</v>
      </c>
      <c r="AG47" s="2">
        <f>MAX(0,AF47*(1+Forecast!$B30))</f>
        <v>0</v>
      </c>
    </row>
    <row r="48" spans="1:33">
      <c r="A48" s="15" t="s">
        <v>15</v>
      </c>
      <c r="B48" s="2">
        <f>INDEX('2019'!$B$2:$G$11, MATCH($A48, '2019'!$A$2:$A$11, 0), MATCH(Commercial_calculation!$A$39, '2019'!$B$1:$G$1, 0))</f>
        <v>0</v>
      </c>
      <c r="C48" s="2">
        <f>INDEX('2020'!$B$2:$G$11, MATCH($A48, '2020'!$A$2:$A$11, 0), MATCH(Commercial_calculation!$A$39, '2020'!$B$1:$G$1, 0))</f>
        <v>0</v>
      </c>
      <c r="D48" s="2">
        <f>INDEX('2021'!$B$2:$G$11, MATCH($A48, '2021'!$A$2:$A$11, 0), MATCH(Commercial_calculation!$A$39, '2021'!$B$1:$G$1, 0))</f>
        <v>0</v>
      </c>
      <c r="E48" s="2">
        <f>INDEX('2022'!$B$2:$G$11, MATCH($A48, '2022'!$A$2:$A$11, 0), MATCH(Commercial_calculation!$A$39, '2022'!$B$1:$G$1, 0))</f>
        <v>0</v>
      </c>
      <c r="F48" s="2">
        <f>MAX(0,E48*(1+Forecast!$B31))</f>
        <v>0</v>
      </c>
      <c r="G48" s="2">
        <f>MAX(0,F48*(1+Forecast!$B31))</f>
        <v>0</v>
      </c>
      <c r="H48" s="2">
        <f>MAX(0,G48*(1+Forecast!$B31))</f>
        <v>0</v>
      </c>
      <c r="I48" s="2">
        <f>MAX(0,H48*(1+Forecast!$B31))</f>
        <v>0</v>
      </c>
      <c r="J48" s="2">
        <f>MAX(0,I48*(1+Forecast!$B31))</f>
        <v>0</v>
      </c>
      <c r="K48" s="2">
        <f>MAX(0,J48*(1+Forecast!$B31))</f>
        <v>0</v>
      </c>
      <c r="L48" s="2">
        <f>MAX(0,K48*(1+Forecast!$B31))</f>
        <v>0</v>
      </c>
      <c r="M48" s="2">
        <f>MAX(0,L48*(1+Forecast!$B31))</f>
        <v>0</v>
      </c>
      <c r="N48" s="2">
        <f>MAX(0,M48*(1+Forecast!$B31))</f>
        <v>0</v>
      </c>
      <c r="O48" s="2">
        <f>MAX(0,N48*(1+Forecast!$B31))</f>
        <v>0</v>
      </c>
      <c r="P48" s="2">
        <f>MAX(0,O48*(1+Forecast!$B31))</f>
        <v>0</v>
      </c>
      <c r="Q48" s="2">
        <f>MAX(0,P48*(1+Forecast!$B31))</f>
        <v>0</v>
      </c>
      <c r="R48" s="2">
        <f>MAX(0,Q48*(1+Forecast!$B31))</f>
        <v>0</v>
      </c>
      <c r="S48" s="2">
        <f>MAX(0,R48*(1+Forecast!$B31))</f>
        <v>0</v>
      </c>
      <c r="T48" s="2">
        <f>MAX(0,S48*(1+Forecast!$B31))</f>
        <v>0</v>
      </c>
      <c r="U48" s="2">
        <f>MAX(0,T48*(1+Forecast!$B31))</f>
        <v>0</v>
      </c>
      <c r="V48" s="2">
        <f>MAX(0,U48*(1+Forecast!$B31))</f>
        <v>0</v>
      </c>
      <c r="W48" s="2">
        <f>MAX(0,V48*(1+Forecast!$B31))</f>
        <v>0</v>
      </c>
      <c r="X48" s="2">
        <f>MAX(0,W48*(1+Forecast!$B31))</f>
        <v>0</v>
      </c>
      <c r="Y48" s="2">
        <f>MAX(0,X48*(1+Forecast!$B31))</f>
        <v>0</v>
      </c>
      <c r="Z48" s="2">
        <f>MAX(0,Y48*(1+Forecast!$B31))</f>
        <v>0</v>
      </c>
      <c r="AA48" s="2">
        <f>MAX(0,Z48*(1+Forecast!$B31))</f>
        <v>0</v>
      </c>
      <c r="AB48" s="2">
        <f>MAX(0,AA48*(1+Forecast!$B31))</f>
        <v>0</v>
      </c>
      <c r="AC48" s="2">
        <f>MAX(0,AB48*(1+Forecast!$B31))</f>
        <v>0</v>
      </c>
      <c r="AD48" s="2">
        <f>MAX(0,AC48*(1+Forecast!$B31))</f>
        <v>0</v>
      </c>
      <c r="AE48" s="2">
        <f>MAX(0,AD48*(1+Forecast!$B31))</f>
        <v>0</v>
      </c>
      <c r="AF48" s="2">
        <f>MAX(0,AE48*(1+Forecast!$B31))</f>
        <v>0</v>
      </c>
      <c r="AG48" s="2">
        <f>MAX(0,AF48*(1+Forecast!$B31))</f>
        <v>0</v>
      </c>
    </row>
    <row r="49" spans="1:33">
      <c r="A49" s="15" t="s">
        <v>16</v>
      </c>
      <c r="B49" s="2">
        <f>INDEX('2019'!$B$2:$G$11, MATCH($A49, '2019'!$A$2:$A$11, 0), MATCH(Commercial_calculation!$A$39, '2019'!$B$1:$G$1, 0))</f>
        <v>0</v>
      </c>
      <c r="C49" s="2">
        <f>INDEX('2020'!$B$2:$G$11, MATCH($A49, '2020'!$A$2:$A$11, 0), MATCH(Commercial_calculation!$A$39, '2020'!$B$1:$G$1, 0))</f>
        <v>0</v>
      </c>
      <c r="D49" s="2">
        <f>INDEX('2021'!$B$2:$G$11, MATCH($A49, '2021'!$A$2:$A$11, 0), MATCH(Commercial_calculation!$A$39, '2021'!$B$1:$G$1, 0))</f>
        <v>0</v>
      </c>
      <c r="E49" s="2">
        <f>INDEX('2022'!$B$2:$G$11, MATCH($A49, '2022'!$A$2:$A$11, 0), MATCH(Commercial_calculation!$A$39, '2022'!$B$1:$G$1, 0))</f>
        <v>0</v>
      </c>
      <c r="F49" s="2">
        <f>MAX(0,E49*(1+Forecast!$B32))</f>
        <v>0</v>
      </c>
      <c r="G49" s="2">
        <f>MAX(0,F49*(1+Forecast!$B32))</f>
        <v>0</v>
      </c>
      <c r="H49" s="2">
        <f>MAX(0,G49*(1+Forecast!$B32))</f>
        <v>0</v>
      </c>
      <c r="I49" s="2">
        <f>MAX(0,H49*(1+Forecast!$B32))</f>
        <v>0</v>
      </c>
      <c r="J49" s="2">
        <f>MAX(0,I49*(1+Forecast!$B32))</f>
        <v>0</v>
      </c>
      <c r="K49" s="2">
        <f>MAX(0,J49*(1+Forecast!$B32))</f>
        <v>0</v>
      </c>
      <c r="L49" s="2">
        <f>MAX(0,K49*(1+Forecast!$B32))</f>
        <v>0</v>
      </c>
      <c r="M49" s="2">
        <f>MAX(0,L49*(1+Forecast!$B32))</f>
        <v>0</v>
      </c>
      <c r="N49" s="2">
        <f>MAX(0,M49*(1+Forecast!$B32))</f>
        <v>0</v>
      </c>
      <c r="O49" s="2">
        <f>MAX(0,N49*(1+Forecast!$B32))</f>
        <v>0</v>
      </c>
      <c r="P49" s="2">
        <f>MAX(0,O49*(1+Forecast!$B32))</f>
        <v>0</v>
      </c>
      <c r="Q49" s="2">
        <f>MAX(0,P49*(1+Forecast!$B32))</f>
        <v>0</v>
      </c>
      <c r="R49" s="2">
        <f>MAX(0,Q49*(1+Forecast!$B32))</f>
        <v>0</v>
      </c>
      <c r="S49" s="2">
        <f>MAX(0,R49*(1+Forecast!$B32))</f>
        <v>0</v>
      </c>
      <c r="T49" s="2">
        <f>MAX(0,S49*(1+Forecast!$B32))</f>
        <v>0</v>
      </c>
      <c r="U49" s="2">
        <f>MAX(0,T49*(1+Forecast!$B32))</f>
        <v>0</v>
      </c>
      <c r="V49" s="2">
        <f>MAX(0,U49*(1+Forecast!$B32))</f>
        <v>0</v>
      </c>
      <c r="W49" s="2">
        <f>MAX(0,V49*(1+Forecast!$B32))</f>
        <v>0</v>
      </c>
      <c r="X49" s="2">
        <f>MAX(0,W49*(1+Forecast!$B32))</f>
        <v>0</v>
      </c>
      <c r="Y49" s="2">
        <f>MAX(0,X49*(1+Forecast!$B32))</f>
        <v>0</v>
      </c>
      <c r="Z49" s="2">
        <f>MAX(0,Y49*(1+Forecast!$B32))</f>
        <v>0</v>
      </c>
      <c r="AA49" s="2">
        <f>MAX(0,Z49*(1+Forecast!$B32))</f>
        <v>0</v>
      </c>
      <c r="AB49" s="2">
        <f>MAX(0,AA49*(1+Forecast!$B32))</f>
        <v>0</v>
      </c>
      <c r="AC49" s="2">
        <f>MAX(0,AB49*(1+Forecast!$B32))</f>
        <v>0</v>
      </c>
      <c r="AD49" s="2">
        <f>MAX(0,AC49*(1+Forecast!$B32))</f>
        <v>0</v>
      </c>
      <c r="AE49" s="2">
        <f>MAX(0,AD49*(1+Forecast!$B32))</f>
        <v>0</v>
      </c>
      <c r="AF49" s="2">
        <f>MAX(0,AE49*(1+Forecast!$B32))</f>
        <v>0</v>
      </c>
      <c r="AG49" s="2">
        <f>MAX(0,AF49*(1+Forecast!$B32))</f>
        <v>0</v>
      </c>
    </row>
    <row r="51" spans="1:33">
      <c r="A51" s="15" t="s">
        <v>46</v>
      </c>
      <c r="B51" s="1">
        <v>2019</v>
      </c>
      <c r="C51" s="1">
        <v>2020</v>
      </c>
      <c r="D51" s="1">
        <v>2021</v>
      </c>
      <c r="E51" s="1">
        <v>2022</v>
      </c>
      <c r="F51" s="1">
        <v>2023</v>
      </c>
      <c r="G51" s="1">
        <v>2024</v>
      </c>
      <c r="H51" s="1">
        <v>2025</v>
      </c>
      <c r="I51" s="1">
        <v>2026</v>
      </c>
      <c r="J51" s="1">
        <v>2027</v>
      </c>
      <c r="K51" s="1">
        <v>2028</v>
      </c>
      <c r="L51" s="1">
        <v>2029</v>
      </c>
      <c r="M51" s="1">
        <v>2030</v>
      </c>
      <c r="N51" s="1">
        <v>2031</v>
      </c>
      <c r="O51" s="1">
        <v>2032</v>
      </c>
      <c r="P51" s="1">
        <v>2033</v>
      </c>
      <c r="Q51" s="1">
        <v>2034</v>
      </c>
      <c r="R51" s="1">
        <v>2035</v>
      </c>
      <c r="S51" s="1">
        <v>2036</v>
      </c>
      <c r="T51" s="1">
        <v>2037</v>
      </c>
      <c r="U51" s="1">
        <v>2038</v>
      </c>
      <c r="V51" s="1">
        <v>2039</v>
      </c>
      <c r="W51" s="1">
        <v>2040</v>
      </c>
      <c r="X51" s="1">
        <v>2041</v>
      </c>
      <c r="Y51" s="1">
        <v>2042</v>
      </c>
      <c r="Z51" s="1">
        <v>2043</v>
      </c>
      <c r="AA51" s="1">
        <v>2044</v>
      </c>
      <c r="AB51" s="1">
        <v>2045</v>
      </c>
      <c r="AC51" s="1">
        <v>2046</v>
      </c>
      <c r="AD51" s="1">
        <v>2047</v>
      </c>
      <c r="AE51" s="1">
        <v>2048</v>
      </c>
      <c r="AF51" s="1">
        <v>2049</v>
      </c>
      <c r="AG51" s="1">
        <v>2050</v>
      </c>
    </row>
    <row r="52" spans="1:33">
      <c r="A52" s="15" t="s">
        <v>2</v>
      </c>
      <c r="B52" s="2">
        <f>INDEX('2019'!$B$2:$G$11, MATCH($A52, '2019'!$A$2:$A$11, 0), MATCH(Commercial_calculation!$A$51, '2019'!$B$1:$G$1, 0))</f>
        <v>66524924678051.828</v>
      </c>
      <c r="C52" s="2">
        <f>INDEX('2020'!$B$2:$G$11, MATCH($A52, '2020'!$A$2:$A$11, 0), MATCH(Commercial_calculation!$A$51, '2020'!$B$1:$G$1, 0))</f>
        <v>67546742581028.5</v>
      </c>
      <c r="D52" s="2">
        <f>INDEX('2021'!$B$2:$G$11, MATCH($A52, '2021'!$A$2:$A$11, 0), MATCH(Commercial_calculation!$A$51, '2021'!$B$1:$G$1, 0))</f>
        <v>68144296355577.398</v>
      </c>
      <c r="E52" s="2">
        <f>INDEX('2022'!$B$2:$G$11, MATCH($A52, '2022'!$A$2:$A$11, 0), MATCH(Commercial_calculation!$A$51, '2022'!$B$1:$G$1, 0))</f>
        <v>72043571859022.688</v>
      </c>
      <c r="F52" s="2">
        <f>MAX(0,E52*(1+Forecast!$B23))</f>
        <v>72619920433894.875</v>
      </c>
      <c r="G52" s="2">
        <f>MAX(0,F52*(1+Forecast!$B23))</f>
        <v>73200879797366.031</v>
      </c>
      <c r="H52" s="2">
        <f>MAX(0,G52*(1+Forecast!$B23))</f>
        <v>73786486835744.953</v>
      </c>
      <c r="I52" s="2">
        <f>MAX(0,H52*(1+Forecast!$B23))</f>
        <v>74376778730430.906</v>
      </c>
      <c r="J52" s="2">
        <f>MAX(0,I52*(1+Forecast!$B23))</f>
        <v>74971792960274.359</v>
      </c>
      <c r="K52" s="2">
        <f>MAX(0,J52*(1+Forecast!$B23))</f>
        <v>75571567303956.563</v>
      </c>
      <c r="L52" s="2">
        <f>MAX(0,K52*(1+Forecast!$B23))</f>
        <v>76176139842388.219</v>
      </c>
      <c r="M52" s="2">
        <f>MAX(0,L52*(1+Forecast!$B23))</f>
        <v>76785548961127.328</v>
      </c>
      <c r="N52" s="2">
        <f>MAX(0,M52*(1+Forecast!$B23))</f>
        <v>77399833352816.344</v>
      </c>
      <c r="O52" s="2">
        <f>MAX(0,N52*(1+Forecast!$B23))</f>
        <v>78019032019638.875</v>
      </c>
      <c r="P52" s="2">
        <f>MAX(0,O52*(1+Forecast!$B23))</f>
        <v>78643184275795.984</v>
      </c>
      <c r="Q52" s="2">
        <f>MAX(0,P52*(1+Forecast!$B23))</f>
        <v>79272329750002.359</v>
      </c>
      <c r="R52" s="2">
        <f>MAX(0,Q52*(1+Forecast!$B23))</f>
        <v>79906508388002.375</v>
      </c>
      <c r="S52" s="2">
        <f>MAX(0,R52*(1+Forecast!$B23))</f>
        <v>80545760455106.391</v>
      </c>
      <c r="T52" s="2">
        <f>MAX(0,S52*(1+Forecast!$B23))</f>
        <v>81190126538747.25</v>
      </c>
      <c r="U52" s="2">
        <f>MAX(0,T52*(1+Forecast!$B23))</f>
        <v>81839647551057.234</v>
      </c>
      <c r="V52" s="2">
        <f>MAX(0,U52*(1+Forecast!$B23))</f>
        <v>82494364731465.688</v>
      </c>
      <c r="W52" s="2">
        <f>MAX(0,V52*(1+Forecast!$B23))</f>
        <v>83154319649317.406</v>
      </c>
      <c r="X52" s="2">
        <f>MAX(0,W52*(1+Forecast!$B23))</f>
        <v>83819554206511.953</v>
      </c>
      <c r="Y52" s="2">
        <f>MAX(0,X52*(1+Forecast!$B23))</f>
        <v>84490110640164.047</v>
      </c>
      <c r="Z52" s="2">
        <f>MAX(0,Y52*(1+Forecast!$B23))</f>
        <v>85166031525285.359</v>
      </c>
      <c r="AA52" s="2">
        <f>MAX(0,Z52*(1+Forecast!$B23))</f>
        <v>85847359777487.641</v>
      </c>
      <c r="AB52" s="2">
        <f>MAX(0,AA52*(1+Forecast!$B23))</f>
        <v>86534138655707.547</v>
      </c>
      <c r="AC52" s="2">
        <f>MAX(0,AB52*(1+Forecast!$B23))</f>
        <v>87226411764953.203</v>
      </c>
      <c r="AD52" s="2">
        <f>MAX(0,AC52*(1+Forecast!$B23))</f>
        <v>87924223059072.828</v>
      </c>
      <c r="AE52" s="2">
        <f>MAX(0,AD52*(1+Forecast!$B23))</f>
        <v>88627616843545.406</v>
      </c>
      <c r="AF52" s="2">
        <f>MAX(0,AE52*(1+Forecast!$B23))</f>
        <v>89336637778293.766</v>
      </c>
      <c r="AG52" s="2">
        <f>MAX(0,AF52*(1+Forecast!$B23))</f>
        <v>90051330880520.109</v>
      </c>
    </row>
    <row r="53" spans="1:33">
      <c r="A53" s="15" t="s">
        <v>3</v>
      </c>
      <c r="B53" s="2">
        <f>INDEX('2019'!$B$2:$G$11, MATCH($A53, '2019'!$A$2:$A$11, 0), MATCH(Commercial_calculation!$A$51, '2019'!$B$1:$G$1, 0))</f>
        <v>296746253490.00006</v>
      </c>
      <c r="C53" s="2">
        <f>INDEX('2020'!$B$2:$G$11, MATCH($A53, '2020'!$A$2:$A$11, 0), MATCH(Commercial_calculation!$A$51, '2020'!$B$1:$G$1, 0))</f>
        <v>0</v>
      </c>
      <c r="D53" s="2">
        <f>INDEX('2021'!$B$2:$G$11, MATCH($A53, '2021'!$A$2:$A$11, 0), MATCH(Commercial_calculation!$A$51, '2021'!$B$1:$G$1, 0))</f>
        <v>0</v>
      </c>
      <c r="E53" s="2">
        <f>INDEX('2022'!$B$2:$G$11, MATCH($A53, '2022'!$A$2:$A$11, 0), MATCH(Commercial_calculation!$A$51, '2022'!$B$1:$G$1, 0))</f>
        <v>35714790000.000008</v>
      </c>
      <c r="F53" s="2">
        <f>MAX(0,E53*(1+Forecast!$B24))</f>
        <v>32607603270.000008</v>
      </c>
      <c r="G53" s="2">
        <f>MAX(0,F53*(1+Forecast!$B24))</f>
        <v>29770741785.51001</v>
      </c>
      <c r="H53" s="2">
        <f>MAX(0,G53*(1+Forecast!$B24))</f>
        <v>27180687250.170639</v>
      </c>
      <c r="I53" s="2">
        <f>MAX(0,H53*(1+Forecast!$B24))</f>
        <v>24815967459.405796</v>
      </c>
      <c r="J53" s="2">
        <f>MAX(0,I53*(1+Forecast!$B24))</f>
        <v>22656978290.437492</v>
      </c>
      <c r="K53" s="2">
        <f>MAX(0,J53*(1+Forecast!$B24))</f>
        <v>20685821179.16943</v>
      </c>
      <c r="L53" s="2">
        <f>MAX(0,K53*(1+Forecast!$B24))</f>
        <v>18886154736.581692</v>
      </c>
      <c r="M53" s="2">
        <f>MAX(0,L53*(1+Forecast!$B24))</f>
        <v>17243059274.499084</v>
      </c>
      <c r="N53" s="2">
        <f>MAX(0,M53*(1+Forecast!$B24))</f>
        <v>15742913117.617664</v>
      </c>
      <c r="O53" s="2">
        <f>MAX(0,N53*(1+Forecast!$B24))</f>
        <v>14373279676.384928</v>
      </c>
      <c r="P53" s="2">
        <f>MAX(0,O53*(1+Forecast!$B24))</f>
        <v>13122804344.53944</v>
      </c>
      <c r="Q53" s="2">
        <f>MAX(0,P53*(1+Forecast!$B24))</f>
        <v>11981120366.564508</v>
      </c>
      <c r="R53" s="2">
        <f>MAX(0,Q53*(1+Forecast!$B24))</f>
        <v>10938762894.673397</v>
      </c>
      <c r="S53" s="2">
        <f>MAX(0,R53*(1+Forecast!$B24))</f>
        <v>9987090522.8368111</v>
      </c>
      <c r="T53" s="2">
        <f>MAX(0,S53*(1+Forecast!$B24))</f>
        <v>9118213647.350008</v>
      </c>
      <c r="U53" s="2">
        <f>MAX(0,T53*(1+Forecast!$B24))</f>
        <v>8324929060.0305576</v>
      </c>
      <c r="V53" s="2">
        <f>MAX(0,U53*(1+Forecast!$B24))</f>
        <v>7600660231.8078995</v>
      </c>
      <c r="W53" s="2">
        <f>MAX(0,V53*(1+Forecast!$B24))</f>
        <v>6939402791.6406126</v>
      </c>
      <c r="X53" s="2">
        <f>MAX(0,W53*(1+Forecast!$B24))</f>
        <v>6335674748.7678795</v>
      </c>
      <c r="Y53" s="2">
        <f>MAX(0,X53*(1+Forecast!$B24))</f>
        <v>5784471045.6250744</v>
      </c>
      <c r="Z53" s="2">
        <f>MAX(0,Y53*(1+Forecast!$B24))</f>
        <v>5281222064.6556931</v>
      </c>
      <c r="AA53" s="2">
        <f>MAX(0,Z53*(1+Forecast!$B24))</f>
        <v>4821755745.0306482</v>
      </c>
      <c r="AB53" s="2">
        <f>MAX(0,AA53*(1+Forecast!$B24))</f>
        <v>4402262995.2129822</v>
      </c>
      <c r="AC53" s="2">
        <f>MAX(0,AB53*(1+Forecast!$B24))</f>
        <v>4019266114.6294527</v>
      </c>
      <c r="AD53" s="2">
        <f>MAX(0,AC53*(1+Forecast!$B24))</f>
        <v>3669589962.6566906</v>
      </c>
      <c r="AE53" s="2">
        <f>MAX(0,AD53*(1+Forecast!$B24))</f>
        <v>3350335635.9055586</v>
      </c>
      <c r="AF53" s="2">
        <f>MAX(0,AE53*(1+Forecast!$B24))</f>
        <v>3058856435.5817752</v>
      </c>
      <c r="AG53" s="2">
        <f>MAX(0,AF53*(1+Forecast!$B24))</f>
        <v>2792735925.686161</v>
      </c>
    </row>
    <row r="54" spans="1:33">
      <c r="A54" s="15" t="s">
        <v>4</v>
      </c>
      <c r="B54" s="2">
        <f>INDEX('2019'!$B$2:$G$11, MATCH($A54, '2019'!$A$2:$A$11, 0), MATCH(Commercial_calculation!$A$51, '2019'!$B$1:$G$1, 0))</f>
        <v>78014926952040.016</v>
      </c>
      <c r="C54" s="2">
        <f>INDEX('2020'!$B$2:$G$11, MATCH($A54, '2020'!$A$2:$A$11, 0), MATCH(Commercial_calculation!$A$51, '2020'!$B$1:$G$1, 0))</f>
        <v>66020140308008.047</v>
      </c>
      <c r="D54" s="2">
        <f>INDEX('2021'!$B$2:$G$11, MATCH($A54, '2021'!$A$2:$A$11, 0), MATCH(Commercial_calculation!$A$51, '2021'!$B$1:$G$1, 0))</f>
        <v>65820793192062.914</v>
      </c>
      <c r="E54" s="2">
        <f>INDEX('2022'!$B$2:$G$11, MATCH($A54, '2022'!$A$2:$A$11, 0), MATCH(Commercial_calculation!$A$51, '2022'!$B$1:$G$1, 0))</f>
        <v>71600047307962.938</v>
      </c>
      <c r="F54" s="2">
        <f>MAX(0,E54*(1+Forecast!$B25))</f>
        <v>73032048254122.203</v>
      </c>
      <c r="G54" s="2">
        <f>MAX(0,F54*(1+Forecast!$B25))</f>
        <v>74492689219204.656</v>
      </c>
      <c r="H54" s="2">
        <f>MAX(0,G54*(1+Forecast!$B25))</f>
        <v>75982543003588.75</v>
      </c>
      <c r="I54" s="2">
        <f>MAX(0,H54*(1+Forecast!$B25))</f>
        <v>77502193863660.531</v>
      </c>
      <c r="J54" s="2">
        <f>MAX(0,I54*(1+Forecast!$B25))</f>
        <v>79052237740933.75</v>
      </c>
      <c r="K54" s="2">
        <f>MAX(0,J54*(1+Forecast!$B25))</f>
        <v>80633282495752.422</v>
      </c>
      <c r="L54" s="2">
        <f>MAX(0,K54*(1+Forecast!$B25))</f>
        <v>82245948145667.469</v>
      </c>
      <c r="M54" s="2">
        <f>MAX(0,L54*(1+Forecast!$B25))</f>
        <v>83890867108580.813</v>
      </c>
      <c r="N54" s="2">
        <f>MAX(0,M54*(1+Forecast!$B25))</f>
        <v>85568684450752.438</v>
      </c>
      <c r="O54" s="2">
        <f>MAX(0,N54*(1+Forecast!$B25))</f>
        <v>87280058139767.484</v>
      </c>
      <c r="P54" s="2">
        <f>MAX(0,O54*(1+Forecast!$B25))</f>
        <v>89025659302562.828</v>
      </c>
      <c r="Q54" s="2">
        <f>MAX(0,P54*(1+Forecast!$B25))</f>
        <v>90806172488614.094</v>
      </c>
      <c r="R54" s="2">
        <f>MAX(0,Q54*(1+Forecast!$B25))</f>
        <v>92622295938386.375</v>
      </c>
      <c r="S54" s="2">
        <f>MAX(0,R54*(1+Forecast!$B25))</f>
        <v>94474741857154.109</v>
      </c>
      <c r="T54" s="2">
        <f>MAX(0,S54*(1+Forecast!$B25))</f>
        <v>96364236694297.188</v>
      </c>
      <c r="U54" s="2">
        <f>MAX(0,T54*(1+Forecast!$B25))</f>
        <v>98291521428183.141</v>
      </c>
      <c r="V54" s="2">
        <f>MAX(0,U54*(1+Forecast!$B25))</f>
        <v>100257351856746.81</v>
      </c>
      <c r="W54" s="2">
        <f>MAX(0,V54*(1+Forecast!$B25))</f>
        <v>102262498893881.75</v>
      </c>
      <c r="X54" s="2">
        <f>MAX(0,W54*(1+Forecast!$B25))</f>
        <v>104307748871759.39</v>
      </c>
      <c r="Y54" s="2">
        <f>MAX(0,X54*(1+Forecast!$B25))</f>
        <v>106393903849194.58</v>
      </c>
      <c r="Z54" s="2">
        <f>MAX(0,Y54*(1+Forecast!$B25))</f>
        <v>108521781926178.47</v>
      </c>
      <c r="AA54" s="2">
        <f>MAX(0,Z54*(1+Forecast!$B25))</f>
        <v>110692217564702.05</v>
      </c>
      <c r="AB54" s="2">
        <f>MAX(0,AA54*(1+Forecast!$B25))</f>
        <v>112906061915996.09</v>
      </c>
      <c r="AC54" s="2">
        <f>MAX(0,AB54*(1+Forecast!$B25))</f>
        <v>115164183154316.02</v>
      </c>
      <c r="AD54" s="2">
        <f>MAX(0,AC54*(1+Forecast!$B25))</f>
        <v>117467466817402.34</v>
      </c>
      <c r="AE54" s="2">
        <f>MAX(0,AD54*(1+Forecast!$B25))</f>
        <v>119816816153750.39</v>
      </c>
      <c r="AF54" s="2">
        <f>MAX(0,AE54*(1+Forecast!$B25))</f>
        <v>122213152476825.41</v>
      </c>
      <c r="AG54" s="2">
        <f>MAX(0,AF54*(1+Forecast!$B25))</f>
        <v>124657415526361.92</v>
      </c>
    </row>
    <row r="55" spans="1:33">
      <c r="A55" s="15" t="s">
        <v>5</v>
      </c>
      <c r="B55" s="2">
        <f>INDEX('2019'!$B$2:$G$11, MATCH($A55, '2019'!$A$2:$A$11, 0), MATCH(Commercial_calculation!$A$51, '2019'!$B$1:$G$1, 0))</f>
        <v>1727143434540.0002</v>
      </c>
      <c r="C55" s="2">
        <f>INDEX('2020'!$B$2:$G$11, MATCH($A55, '2020'!$A$2:$A$11, 0), MATCH(Commercial_calculation!$A$51, '2020'!$B$1:$G$1, 0))</f>
        <v>1652683368723.0925</v>
      </c>
      <c r="D55" s="2">
        <f>INDEX('2021'!$B$2:$G$11, MATCH($A55, '2021'!$A$2:$A$11, 0), MATCH(Commercial_calculation!$A$51, '2021'!$B$1:$G$1, 0))</f>
        <v>3382111272232.6724</v>
      </c>
      <c r="E55" s="2">
        <f>INDEX('2022'!$B$2:$G$11, MATCH($A55, '2022'!$A$2:$A$11, 0), MATCH(Commercial_calculation!$A$51, '2022'!$B$1:$G$1, 0))</f>
        <v>1462745148036.8452</v>
      </c>
      <c r="F55" s="2">
        <f>MAX(0,E55*(1+Forecast!$B26))</f>
        <v>1392533380931.0767</v>
      </c>
      <c r="G55" s="2">
        <f>MAX(0,F55*(1+Forecast!$B26))</f>
        <v>1325691778646.385</v>
      </c>
      <c r="H55" s="2">
        <f>MAX(0,G55*(1+Forecast!$B26))</f>
        <v>1262058573271.3584</v>
      </c>
      <c r="I55" s="2">
        <f>MAX(0,H55*(1+Forecast!$B26))</f>
        <v>1201479761754.3333</v>
      </c>
      <c r="J55" s="2">
        <f>MAX(0,I55*(1+Forecast!$B26))</f>
        <v>1143808733190.1252</v>
      </c>
      <c r="K55" s="2">
        <f>MAX(0,J55*(1+Forecast!$B26))</f>
        <v>1088905913996.9991</v>
      </c>
      <c r="L55" s="2">
        <f>MAX(0,K55*(1+Forecast!$B26))</f>
        <v>1036638430125.1432</v>
      </c>
      <c r="M55" s="2">
        <f>MAX(0,L55*(1+Forecast!$B26))</f>
        <v>986879785479.13623</v>
      </c>
      <c r="N55" s="2">
        <f>MAX(0,M55*(1+Forecast!$B26))</f>
        <v>939509555776.1377</v>
      </c>
      <c r="O55" s="2">
        <f>MAX(0,N55*(1+Forecast!$B26))</f>
        <v>894413097098.88306</v>
      </c>
      <c r="P55" s="2">
        <f>MAX(0,O55*(1+Forecast!$B26))</f>
        <v>851481268438.1366</v>
      </c>
      <c r="Q55" s="2">
        <f>MAX(0,P55*(1+Forecast!$B26))</f>
        <v>810610167553.10596</v>
      </c>
      <c r="R55" s="2">
        <f>MAX(0,Q55*(1+Forecast!$B26))</f>
        <v>771700879510.55688</v>
      </c>
      <c r="S55" s="2">
        <f>MAX(0,R55*(1+Forecast!$B26))</f>
        <v>734659237294.05017</v>
      </c>
      <c r="T55" s="2">
        <f>MAX(0,S55*(1+Forecast!$B26))</f>
        <v>699395593903.93579</v>
      </c>
      <c r="U55" s="2">
        <f>MAX(0,T55*(1+Forecast!$B26))</f>
        <v>665824605396.54688</v>
      </c>
      <c r="V55" s="2">
        <f>MAX(0,U55*(1+Forecast!$B26))</f>
        <v>633865024337.51257</v>
      </c>
      <c r="W55" s="2">
        <f>MAX(0,V55*(1+Forecast!$B26))</f>
        <v>603439503169.31189</v>
      </c>
      <c r="X55" s="2">
        <f>MAX(0,W55*(1+Forecast!$B26))</f>
        <v>574474407017.18494</v>
      </c>
      <c r="Y55" s="2">
        <f>MAX(0,X55*(1+Forecast!$B26))</f>
        <v>546899635480.36005</v>
      </c>
      <c r="Z55" s="2">
        <f>MAX(0,Y55*(1+Forecast!$B26))</f>
        <v>520648452977.30273</v>
      </c>
      <c r="AA55" s="2">
        <f>MAX(0,Z55*(1+Forecast!$B26))</f>
        <v>495657327234.39215</v>
      </c>
      <c r="AB55" s="2">
        <f>MAX(0,AA55*(1+Forecast!$B26))</f>
        <v>471865775527.1413</v>
      </c>
      <c r="AC55" s="2">
        <f>MAX(0,AB55*(1+Forecast!$B26))</f>
        <v>449216218301.8385</v>
      </c>
      <c r="AD55" s="2">
        <f>MAX(0,AC55*(1+Forecast!$B26))</f>
        <v>427653839823.35022</v>
      </c>
      <c r="AE55" s="2">
        <f>MAX(0,AD55*(1+Forecast!$B26))</f>
        <v>407126455511.82941</v>
      </c>
      <c r="AF55" s="2">
        <f>MAX(0,AE55*(1+Forecast!$B26))</f>
        <v>387584385647.2616</v>
      </c>
      <c r="AG55" s="2">
        <f>MAX(0,AF55*(1+Forecast!$B26))</f>
        <v>368980335136.19299</v>
      </c>
    </row>
    <row r="56" spans="1:33">
      <c r="A56" s="15" t="s">
        <v>7</v>
      </c>
      <c r="B56" s="2">
        <f>INDEX('2019'!$B$2:$G$11, MATCH($A56, '2019'!$A$2:$A$11, 0), MATCH(Commercial_calculation!$A$51, '2019'!$B$1:$G$1, 0))</f>
        <v>0</v>
      </c>
      <c r="C56" s="2">
        <f>INDEX('2020'!$B$2:$G$11, MATCH($A56, '2020'!$A$2:$A$11, 0), MATCH(Commercial_calculation!$A$51, '2020'!$B$1:$G$1, 0))</f>
        <v>0</v>
      </c>
      <c r="D56" s="2">
        <f>INDEX('2021'!$B$2:$G$11, MATCH($A56, '2021'!$A$2:$A$11, 0), MATCH(Commercial_calculation!$A$51, '2021'!$B$1:$G$1, 0))</f>
        <v>0</v>
      </c>
      <c r="E56" s="2">
        <f>INDEX('2022'!$B$2:$G$11, MATCH($A56, '2022'!$A$2:$A$11, 0), MATCH(Commercial_calculation!$A$51, '2022'!$B$1:$G$1, 0))</f>
        <v>0</v>
      </c>
      <c r="F56" s="2">
        <f>MAX(0,E56*(1+Forecast!$B27))</f>
        <v>0</v>
      </c>
      <c r="G56" s="2">
        <f>MAX(0,F56*(1+Forecast!$B27))</f>
        <v>0</v>
      </c>
      <c r="H56" s="2">
        <f>MAX(0,G56*(1+Forecast!$B27))</f>
        <v>0</v>
      </c>
      <c r="I56" s="2">
        <f>MAX(0,H56*(1+Forecast!$B27))</f>
        <v>0</v>
      </c>
      <c r="J56" s="2">
        <f>MAX(0,I56*(1+Forecast!$B27))</f>
        <v>0</v>
      </c>
      <c r="K56" s="2">
        <f>MAX(0,J56*(1+Forecast!$B27))</f>
        <v>0</v>
      </c>
      <c r="L56" s="2">
        <f>MAX(0,K56*(1+Forecast!$B27))</f>
        <v>0</v>
      </c>
      <c r="M56" s="2">
        <f>MAX(0,L56*(1+Forecast!$B27))</f>
        <v>0</v>
      </c>
      <c r="N56" s="2">
        <f>MAX(0,M56*(1+Forecast!$B27))</f>
        <v>0</v>
      </c>
      <c r="O56" s="2">
        <f>MAX(0,N56*(1+Forecast!$B27))</f>
        <v>0</v>
      </c>
      <c r="P56" s="2">
        <f>MAX(0,O56*(1+Forecast!$B27))</f>
        <v>0</v>
      </c>
      <c r="Q56" s="2">
        <f>MAX(0,P56*(1+Forecast!$B27))</f>
        <v>0</v>
      </c>
      <c r="R56" s="2">
        <f>MAX(0,Q56*(1+Forecast!$B27))</f>
        <v>0</v>
      </c>
      <c r="S56" s="2">
        <f>MAX(0,R56*(1+Forecast!$B27))</f>
        <v>0</v>
      </c>
      <c r="T56" s="2">
        <f>MAX(0,S56*(1+Forecast!$B27))</f>
        <v>0</v>
      </c>
      <c r="U56" s="2">
        <f>MAX(0,T56*(1+Forecast!$B27))</f>
        <v>0</v>
      </c>
      <c r="V56" s="2">
        <f>MAX(0,U56*(1+Forecast!$B27))</f>
        <v>0</v>
      </c>
      <c r="W56" s="2">
        <f>MAX(0,V56*(1+Forecast!$B27))</f>
        <v>0</v>
      </c>
      <c r="X56" s="2">
        <f>MAX(0,W56*(1+Forecast!$B27))</f>
        <v>0</v>
      </c>
      <c r="Y56" s="2">
        <f>MAX(0,X56*(1+Forecast!$B27))</f>
        <v>0</v>
      </c>
      <c r="Z56" s="2">
        <f>MAX(0,Y56*(1+Forecast!$B27))</f>
        <v>0</v>
      </c>
      <c r="AA56" s="2">
        <f>MAX(0,Z56*(1+Forecast!$B27))</f>
        <v>0</v>
      </c>
      <c r="AB56" s="2">
        <f>MAX(0,AA56*(1+Forecast!$B27))</f>
        <v>0</v>
      </c>
      <c r="AC56" s="2">
        <f>MAX(0,AB56*(1+Forecast!$B27))</f>
        <v>0</v>
      </c>
      <c r="AD56" s="2">
        <f>MAX(0,AC56*(1+Forecast!$B27))</f>
        <v>0</v>
      </c>
      <c r="AE56" s="2">
        <f>MAX(0,AD56*(1+Forecast!$B27))</f>
        <v>0</v>
      </c>
      <c r="AF56" s="2">
        <f>MAX(0,AE56*(1+Forecast!$B27))</f>
        <v>0</v>
      </c>
      <c r="AG56" s="2">
        <f>MAX(0,AF56*(1+Forecast!$B27))</f>
        <v>0</v>
      </c>
    </row>
    <row r="57" spans="1:33">
      <c r="A57" s="15" t="s">
        <v>11</v>
      </c>
      <c r="B57" s="2">
        <f>INDEX('2019'!$B$2:$G$11, MATCH($A57, '2019'!$A$2:$A$11, 0), MATCH(Commercial_calculation!$A$51, '2019'!$B$1:$G$1, 0))</f>
        <v>3240351308670.0005</v>
      </c>
      <c r="C57" s="2">
        <f>INDEX('2020'!$B$2:$G$11, MATCH($A57, '2020'!$A$2:$A$11, 0), MATCH(Commercial_calculation!$A$51, '2020'!$B$1:$G$1, 0))</f>
        <v>10432702095698.609</v>
      </c>
      <c r="D57" s="2">
        <f>INDEX('2021'!$B$2:$G$11, MATCH($A57, '2021'!$A$2:$A$11, 0), MATCH(Commercial_calculation!$A$51, '2021'!$B$1:$G$1, 0))</f>
        <v>11191444066294.871</v>
      </c>
      <c r="E57" s="2">
        <f>INDEX('2022'!$B$2:$G$11, MATCH($A57, '2022'!$A$2:$A$11, 0), MATCH(Commercial_calculation!$A$51, '2022'!$B$1:$G$1, 0))</f>
        <v>7933230950253.6152</v>
      </c>
      <c r="F57" s="2">
        <f>MAX(0,E57*(1+Forecast!$B28))</f>
        <v>8290226343015.0273</v>
      </c>
      <c r="G57" s="2">
        <f>MAX(0,F57*(1+Forecast!$B28))</f>
        <v>8663286528450.7031</v>
      </c>
      <c r="H57" s="2">
        <f>MAX(0,G57*(1+Forecast!$B28))</f>
        <v>9053134422230.9844</v>
      </c>
      <c r="I57" s="2">
        <f>MAX(0,H57*(1+Forecast!$B28))</f>
        <v>9460525471231.3789</v>
      </c>
      <c r="J57" s="2">
        <f>MAX(0,I57*(1+Forecast!$B28))</f>
        <v>9886249117436.791</v>
      </c>
      <c r="K57" s="2">
        <f>MAX(0,J57*(1+Forecast!$B28))</f>
        <v>10331130327721.445</v>
      </c>
      <c r="L57" s="2">
        <f>MAX(0,K57*(1+Forecast!$B28))</f>
        <v>10796031192468.91</v>
      </c>
      <c r="M57" s="2">
        <f>MAX(0,L57*(1+Forecast!$B28))</f>
        <v>11281852596130.01</v>
      </c>
      <c r="N57" s="2">
        <f>MAX(0,M57*(1+Forecast!$B28))</f>
        <v>11789535962955.859</v>
      </c>
      <c r="O57" s="2">
        <f>MAX(0,N57*(1+Forecast!$B28))</f>
        <v>12320065081288.873</v>
      </c>
      <c r="P57" s="2">
        <f>MAX(0,O57*(1+Forecast!$B28))</f>
        <v>12874468009946.871</v>
      </c>
      <c r="Q57" s="2">
        <f>MAX(0,P57*(1+Forecast!$B28))</f>
        <v>13453819070394.479</v>
      </c>
      <c r="R57" s="2">
        <f>MAX(0,Q57*(1+Forecast!$B28))</f>
        <v>14059240928562.229</v>
      </c>
      <c r="S57" s="2">
        <f>MAX(0,R57*(1+Forecast!$B28))</f>
        <v>14691906770347.527</v>
      </c>
      <c r="T57" s="2">
        <f>MAX(0,S57*(1+Forecast!$B28))</f>
        <v>15353042575013.164</v>
      </c>
      <c r="U57" s="2">
        <f>MAX(0,T57*(1+Forecast!$B28))</f>
        <v>16043929490888.756</v>
      </c>
      <c r="V57" s="2">
        <f>MAX(0,U57*(1+Forecast!$B28))</f>
        <v>16765906317978.748</v>
      </c>
      <c r="W57" s="2">
        <f>MAX(0,V57*(1+Forecast!$B28))</f>
        <v>17520372102287.791</v>
      </c>
      <c r="X57" s="2">
        <f>MAX(0,W57*(1+Forecast!$B28))</f>
        <v>18308788846890.742</v>
      </c>
      <c r="Y57" s="2">
        <f>MAX(0,X57*(1+Forecast!$B28))</f>
        <v>19132684345000.824</v>
      </c>
      <c r="Z57" s="2">
        <f>MAX(0,Y57*(1+Forecast!$B28))</f>
        <v>19993655140525.859</v>
      </c>
      <c r="AA57" s="2">
        <f>MAX(0,Z57*(1+Forecast!$B28))</f>
        <v>20893369621849.523</v>
      </c>
      <c r="AB57" s="2">
        <f>MAX(0,AA57*(1+Forecast!$B28))</f>
        <v>21833571254832.75</v>
      </c>
      <c r="AC57" s="2">
        <f>MAX(0,AB57*(1+Forecast!$B28))</f>
        <v>22816081961300.223</v>
      </c>
      <c r="AD57" s="2">
        <f>MAX(0,AC57*(1+Forecast!$B28))</f>
        <v>23842805649558.73</v>
      </c>
      <c r="AE57" s="2">
        <f>MAX(0,AD57*(1+Forecast!$B28))</f>
        <v>24915731903788.871</v>
      </c>
      <c r="AF57" s="2">
        <f>MAX(0,AE57*(1+Forecast!$B28))</f>
        <v>26036939839459.367</v>
      </c>
      <c r="AG57" s="2">
        <f>MAX(0,AF57*(1+Forecast!$B28))</f>
        <v>27208602132235.035</v>
      </c>
    </row>
    <row r="58" spans="1:33">
      <c r="A58" s="15" t="s">
        <v>13</v>
      </c>
      <c r="B58" s="2">
        <f>INDEX('2019'!$B$2:$G$11, MATCH($A58, '2019'!$A$2:$A$11, 0), MATCH(Commercial_calculation!$A$51, '2019'!$B$1:$G$1, 0))</f>
        <v>1522192127970.0002</v>
      </c>
      <c r="C58" s="2">
        <f>INDEX('2020'!$B$2:$G$11, MATCH($A58, '2020'!$A$2:$A$11, 0), MATCH(Commercial_calculation!$A$51, '2020'!$B$1:$G$1, 0))</f>
        <v>3012656811515.2612</v>
      </c>
      <c r="D58" s="2">
        <f>INDEX('2021'!$B$2:$G$11, MATCH($A58, '2021'!$A$2:$A$11, 0), MATCH(Commercial_calculation!$A$51, '2021'!$B$1:$G$1, 0))</f>
        <v>2980773369226.4717</v>
      </c>
      <c r="E58" s="2">
        <f>INDEX('2022'!$B$2:$G$11, MATCH($A58, '2022'!$A$2:$A$11, 0), MATCH(Commercial_calculation!$A$51, '2022'!$B$1:$G$1, 0))</f>
        <v>1289168638249.7905</v>
      </c>
      <c r="F58" s="2">
        <f>MAX(0,E58*(1+Forecast!$B29))</f>
        <v>1227288543613.8005</v>
      </c>
      <c r="G58" s="2">
        <f>MAX(0,F58*(1+Forecast!$B29))</f>
        <v>1168378693520.3381</v>
      </c>
      <c r="H58" s="2">
        <f>MAX(0,G58*(1+Forecast!$B29))</f>
        <v>1112296516231.3618</v>
      </c>
      <c r="I58" s="2">
        <f>MAX(0,H58*(1+Forecast!$B29))</f>
        <v>1058906283452.2563</v>
      </c>
      <c r="J58" s="2">
        <f>MAX(0,I58*(1+Forecast!$B29))</f>
        <v>1008078781846.548</v>
      </c>
      <c r="K58" s="2">
        <f>MAX(0,J58*(1+Forecast!$B29))</f>
        <v>959691000317.91357</v>
      </c>
      <c r="L58" s="2">
        <f>MAX(0,K58*(1+Forecast!$B29))</f>
        <v>913625832302.65369</v>
      </c>
      <c r="M58" s="2">
        <f>MAX(0,L58*(1+Forecast!$B29))</f>
        <v>869771792352.12622</v>
      </c>
      <c r="N58" s="2">
        <f>MAX(0,M58*(1+Forecast!$B29))</f>
        <v>828022746319.22412</v>
      </c>
      <c r="O58" s="2">
        <f>MAX(0,N58*(1+Forecast!$B29))</f>
        <v>788277654495.90137</v>
      </c>
      <c r="P58" s="2">
        <f>MAX(0,O58*(1+Forecast!$B29))</f>
        <v>750440327080.09802</v>
      </c>
      <c r="Q58" s="2">
        <f>MAX(0,P58*(1+Forecast!$B29))</f>
        <v>714419191380.2533</v>
      </c>
      <c r="R58" s="2">
        <f>MAX(0,Q58*(1+Forecast!$B29))</f>
        <v>680127070194.0011</v>
      </c>
      <c r="S58" s="2">
        <f>MAX(0,R58*(1+Forecast!$B29))</f>
        <v>647480970824.68896</v>
      </c>
      <c r="T58" s="2">
        <f>MAX(0,S58*(1+Forecast!$B29))</f>
        <v>616401884225.10388</v>
      </c>
      <c r="U58" s="2">
        <f>MAX(0,T58*(1+Forecast!$B29))</f>
        <v>586814593782.29883</v>
      </c>
      <c r="V58" s="2">
        <f>MAX(0,U58*(1+Forecast!$B29))</f>
        <v>558647493280.74841</v>
      </c>
      <c r="W58" s="2">
        <f>MAX(0,V58*(1+Forecast!$B29))</f>
        <v>531832413603.27246</v>
      </c>
      <c r="X58" s="2">
        <f>MAX(0,W58*(1+Forecast!$B29))</f>
        <v>506304457750.31537</v>
      </c>
      <c r="Y58" s="2">
        <f>MAX(0,X58*(1+Forecast!$B29))</f>
        <v>482001843778.30023</v>
      </c>
      <c r="Z58" s="2">
        <f>MAX(0,Y58*(1+Forecast!$B29))</f>
        <v>458865755276.94177</v>
      </c>
      <c r="AA58" s="2">
        <f>MAX(0,Z58*(1+Forecast!$B29))</f>
        <v>436840199023.64856</v>
      </c>
      <c r="AB58" s="2">
        <f>MAX(0,AA58*(1+Forecast!$B29))</f>
        <v>415871869470.51343</v>
      </c>
      <c r="AC58" s="2">
        <f>MAX(0,AB58*(1+Forecast!$B29))</f>
        <v>395910019735.92877</v>
      </c>
      <c r="AD58" s="2">
        <f>MAX(0,AC58*(1+Forecast!$B29))</f>
        <v>376906338788.60419</v>
      </c>
      <c r="AE58" s="2">
        <f>MAX(0,AD58*(1+Forecast!$B29))</f>
        <v>358814834526.75116</v>
      </c>
      <c r="AF58" s="2">
        <f>MAX(0,AE58*(1+Forecast!$B29))</f>
        <v>341591722469.4671</v>
      </c>
      <c r="AG58" s="2">
        <f>MAX(0,AF58*(1+Forecast!$B29))</f>
        <v>325195319790.93268</v>
      </c>
    </row>
    <row r="59" spans="1:33">
      <c r="A59" s="15" t="s">
        <v>14</v>
      </c>
      <c r="B59" s="2">
        <f>INDEX('2019'!$B$2:$G$11, MATCH($A59, '2019'!$A$2:$A$11, 0), MATCH(Commercial_calculation!$A$51, '2019'!$B$1:$G$1, 0))</f>
        <v>21702687390</v>
      </c>
      <c r="C59" s="2">
        <f>INDEX('2020'!$B$2:$G$11, MATCH($A59, '2020'!$A$2:$A$11, 0), MATCH(Commercial_calculation!$A$51, '2020'!$B$1:$G$1, 0))</f>
        <v>42320867516.84391</v>
      </c>
      <c r="D59" s="2">
        <f>INDEX('2021'!$B$2:$G$11, MATCH($A59, '2021'!$A$2:$A$11, 0), MATCH(Commercial_calculation!$A$51, '2021'!$B$1:$G$1, 0))</f>
        <v>42498441178.401688</v>
      </c>
      <c r="E59" s="2">
        <f>INDEX('2022'!$B$2:$G$11, MATCH($A59, '2022'!$A$2:$A$11, 0), MATCH(Commercial_calculation!$A$51, '2022'!$B$1:$G$1, 0))</f>
        <v>18380349914.329998</v>
      </c>
      <c r="F59" s="2">
        <f>MAX(0,E59*(1+Forecast!$B30))</f>
        <v>17498093118.442158</v>
      </c>
      <c r="G59" s="2">
        <f>MAX(0,F59*(1+Forecast!$B30))</f>
        <v>16658184648.756933</v>
      </c>
      <c r="H59" s="2">
        <f>MAX(0,G59*(1+Forecast!$B30))</f>
        <v>15858591785.6166</v>
      </c>
      <c r="I59" s="2">
        <f>MAX(0,H59*(1+Forecast!$B30))</f>
        <v>15097379379.907003</v>
      </c>
      <c r="J59" s="2">
        <f>MAX(0,I59*(1+Forecast!$B30))</f>
        <v>14372705169.671467</v>
      </c>
      <c r="K59" s="2">
        <f>MAX(0,J59*(1+Forecast!$B30))</f>
        <v>13682815321.527235</v>
      </c>
      <c r="L59" s="2">
        <f>MAX(0,K59*(1+Forecast!$B30))</f>
        <v>13026040186.093927</v>
      </c>
      <c r="M59" s="2">
        <f>MAX(0,L59*(1+Forecast!$B30))</f>
        <v>12400790257.161419</v>
      </c>
      <c r="N59" s="2">
        <f>MAX(0,M59*(1+Forecast!$B30))</f>
        <v>11805552324.817671</v>
      </c>
      <c r="O59" s="2">
        <f>MAX(0,N59*(1+Forecast!$B30))</f>
        <v>11238885813.226421</v>
      </c>
      <c r="P59" s="2">
        <f>MAX(0,O59*(1+Forecast!$B30))</f>
        <v>10699419294.191553</v>
      </c>
      <c r="Q59" s="2">
        <f>MAX(0,P59*(1+Forecast!$B30))</f>
        <v>10185847168.070358</v>
      </c>
      <c r="R59" s="2">
        <f>MAX(0,Q59*(1+Forecast!$B30))</f>
        <v>9696926504.0029812</v>
      </c>
      <c r="S59" s="2">
        <f>MAX(0,R59*(1+Forecast!$B30))</f>
        <v>9231474031.8108368</v>
      </c>
      <c r="T59" s="2">
        <f>MAX(0,S59*(1+Forecast!$B30))</f>
        <v>8788363278.2839165</v>
      </c>
      <c r="U59" s="2">
        <f>MAX(0,T59*(1+Forecast!$B30))</f>
        <v>8366521840.9262877</v>
      </c>
      <c r="V59" s="2">
        <f>MAX(0,U59*(1+Forecast!$B30))</f>
        <v>7964928792.5618258</v>
      </c>
      <c r="W59" s="2">
        <f>MAX(0,V59*(1+Forecast!$B30))</f>
        <v>7582612210.518858</v>
      </c>
      <c r="X59" s="2">
        <f>MAX(0,W59*(1+Forecast!$B30))</f>
        <v>7218646824.4139528</v>
      </c>
      <c r="Y59" s="2">
        <f>MAX(0,X59*(1+Forecast!$B30))</f>
        <v>6872151776.842083</v>
      </c>
      <c r="Z59" s="2">
        <f>MAX(0,Y59*(1+Forecast!$B30))</f>
        <v>6542288491.5536623</v>
      </c>
      <c r="AA59" s="2">
        <f>MAX(0,Z59*(1+Forecast!$B30))</f>
        <v>6228258643.9590864</v>
      </c>
      <c r="AB59" s="2">
        <f>MAX(0,AA59*(1+Forecast!$B30))</f>
        <v>5929302229.0490503</v>
      </c>
      <c r="AC59" s="2">
        <f>MAX(0,AB59*(1+Forecast!$B30))</f>
        <v>5644695722.0546961</v>
      </c>
      <c r="AD59" s="2">
        <f>MAX(0,AC59*(1+Forecast!$B30))</f>
        <v>5373750327.3960705</v>
      </c>
      <c r="AE59" s="2">
        <f>MAX(0,AD59*(1+Forecast!$B30))</f>
        <v>5115810311.6810589</v>
      </c>
      <c r="AF59" s="2">
        <f>MAX(0,AE59*(1+Forecast!$B30))</f>
        <v>4870251416.7203674</v>
      </c>
      <c r="AG59" s="2">
        <f>MAX(0,AF59*(1+Forecast!$B30))</f>
        <v>4636479348.7177896</v>
      </c>
    </row>
    <row r="60" spans="1:33">
      <c r="A60" s="15" t="s">
        <v>15</v>
      </c>
      <c r="B60" s="2">
        <f>INDEX('2019'!$B$2:$G$11, MATCH($A60, '2019'!$A$2:$A$11, 0), MATCH(Commercial_calculation!$A$51, '2019'!$B$1:$G$1, 0))</f>
        <v>21475942124910.004</v>
      </c>
      <c r="C60" s="2">
        <f>INDEX('2020'!$B$2:$G$11, MATCH($A60, '2020'!$A$2:$A$11, 0), MATCH(Commercial_calculation!$A$51, '2020'!$B$1:$G$1, 0))</f>
        <v>44126088763837.563</v>
      </c>
      <c r="D60" s="2">
        <f>INDEX('2021'!$B$2:$G$11, MATCH($A60, '2021'!$A$2:$A$11, 0), MATCH(Commercial_calculation!$A$51, '2021'!$B$1:$G$1, 0))</f>
        <v>42054426106086.336</v>
      </c>
      <c r="E60" s="2">
        <f>INDEX('2022'!$B$2:$G$11, MATCH($A60, '2022'!$A$2:$A$11, 0), MATCH(Commercial_calculation!$A$51, '2022'!$B$1:$G$1, 0))</f>
        <v>18188315755662.074</v>
      </c>
      <c r="F60" s="2">
        <f>MAX(0,E60*(1+Forecast!$B31))</f>
        <v>17315276599390.293</v>
      </c>
      <c r="G60" s="2">
        <f>MAX(0,F60*(1+Forecast!$B31))</f>
        <v>16484143322619.559</v>
      </c>
      <c r="H60" s="2">
        <f>MAX(0,G60*(1+Forecast!$B31))</f>
        <v>15692904443133.818</v>
      </c>
      <c r="I60" s="2">
        <f>MAX(0,H60*(1+Forecast!$B31))</f>
        <v>14939645029863.395</v>
      </c>
      <c r="J60" s="2">
        <f>MAX(0,I60*(1+Forecast!$B31))</f>
        <v>14222542068429.951</v>
      </c>
      <c r="K60" s="2">
        <f>MAX(0,J60*(1+Forecast!$B31))</f>
        <v>13539860049145.313</v>
      </c>
      <c r="L60" s="2">
        <f>MAX(0,K60*(1+Forecast!$B31))</f>
        <v>12889946766786.338</v>
      </c>
      <c r="M60" s="2">
        <f>MAX(0,L60*(1+Forecast!$B31))</f>
        <v>12271229321980.594</v>
      </c>
      <c r="N60" s="2">
        <f>MAX(0,M60*(1+Forecast!$B31))</f>
        <v>11682210314525.525</v>
      </c>
      <c r="O60" s="2">
        <f>MAX(0,N60*(1+Forecast!$B31))</f>
        <v>11121464219428.299</v>
      </c>
      <c r="P60" s="2">
        <f>MAX(0,O60*(1+Forecast!$B31))</f>
        <v>10587633936895.74</v>
      </c>
      <c r="Q60" s="2">
        <f>MAX(0,P60*(1+Forecast!$B31))</f>
        <v>10079427507924.744</v>
      </c>
      <c r="R60" s="2">
        <f>MAX(0,Q60*(1+Forecast!$B31))</f>
        <v>9595614987544.3555</v>
      </c>
      <c r="S60" s="2">
        <f>MAX(0,R60*(1+Forecast!$B31))</f>
        <v>9135025468142.2266</v>
      </c>
      <c r="T60" s="2">
        <f>MAX(0,S60*(1+Forecast!$B31))</f>
        <v>8696544245671.3994</v>
      </c>
      <c r="U60" s="2">
        <f>MAX(0,T60*(1+Forecast!$B31))</f>
        <v>8279110121879.1719</v>
      </c>
      <c r="V60" s="2">
        <f>MAX(0,U60*(1+Forecast!$B31))</f>
        <v>7881712836028.9717</v>
      </c>
      <c r="W60" s="2">
        <f>MAX(0,V60*(1+Forecast!$B31))</f>
        <v>7503390619899.5811</v>
      </c>
      <c r="X60" s="2">
        <f>MAX(0,W60*(1+Forecast!$B31))</f>
        <v>7143227870144.4004</v>
      </c>
      <c r="Y60" s="2">
        <f>MAX(0,X60*(1+Forecast!$B31))</f>
        <v>6800352932377.4688</v>
      </c>
      <c r="Z60" s="2">
        <f>MAX(0,Y60*(1+Forecast!$B31))</f>
        <v>6473935991623.3496</v>
      </c>
      <c r="AA60" s="2">
        <f>MAX(0,Z60*(1+Forecast!$B31))</f>
        <v>6163187064025.4287</v>
      </c>
      <c r="AB60" s="2">
        <f>MAX(0,AA60*(1+Forecast!$B31))</f>
        <v>5867354084952.208</v>
      </c>
      <c r="AC60" s="2">
        <f>MAX(0,AB60*(1+Forecast!$B31))</f>
        <v>5585721088874.502</v>
      </c>
      <c r="AD60" s="2">
        <f>MAX(0,AC60*(1+Forecast!$B31))</f>
        <v>5317606476608.5254</v>
      </c>
      <c r="AE60" s="2">
        <f>MAX(0,AD60*(1+Forecast!$B31))</f>
        <v>5062361365731.3164</v>
      </c>
      <c r="AF60" s="2">
        <f>MAX(0,AE60*(1+Forecast!$B31))</f>
        <v>4819368020176.2129</v>
      </c>
      <c r="AG60" s="2">
        <f>MAX(0,AF60*(1+Forecast!$B31))</f>
        <v>4588038355207.7549</v>
      </c>
    </row>
    <row r="61" spans="1:33">
      <c r="A61" s="15" t="s">
        <v>16</v>
      </c>
      <c r="B61" s="2">
        <f>INDEX('2019'!$B$2:$G$11, MATCH($A61, '2019'!$A$2:$A$11, 0), MATCH(Commercial_calculation!$A$51, '2019'!$B$1:$G$1, 0))</f>
        <v>0</v>
      </c>
      <c r="C61" s="2">
        <f>INDEX('2020'!$B$2:$G$11, MATCH($A61, '2020'!$A$2:$A$11, 0), MATCH(Commercial_calculation!$A$51, '2020'!$B$1:$G$1, 0))</f>
        <v>0</v>
      </c>
      <c r="D61" s="2">
        <f>INDEX('2021'!$B$2:$G$11, MATCH($A61, '2021'!$A$2:$A$11, 0), MATCH(Commercial_calculation!$A$51, '2021'!$B$1:$G$1, 0))</f>
        <v>0</v>
      </c>
      <c r="E61" s="2">
        <f>INDEX('2022'!$B$2:$G$11, MATCH($A61, '2022'!$A$2:$A$11, 0), MATCH(Commercial_calculation!$A$51, '2022'!$B$1:$G$1, 0))</f>
        <v>0</v>
      </c>
      <c r="F61" s="2">
        <f>MAX(0,E61*(1+Forecast!$B32))</f>
        <v>0</v>
      </c>
      <c r="G61" s="2">
        <f>MAX(0,F61*(1+Forecast!$B32))</f>
        <v>0</v>
      </c>
      <c r="H61" s="2">
        <f>MAX(0,G61*(1+Forecast!$B32))</f>
        <v>0</v>
      </c>
      <c r="I61" s="2">
        <f>MAX(0,H61*(1+Forecast!$B32))</f>
        <v>0</v>
      </c>
      <c r="J61" s="2">
        <f>MAX(0,I61*(1+Forecast!$B32))</f>
        <v>0</v>
      </c>
      <c r="K61" s="2">
        <f>MAX(0,J61*(1+Forecast!$B32))</f>
        <v>0</v>
      </c>
      <c r="L61" s="2">
        <f>MAX(0,K61*(1+Forecast!$B32))</f>
        <v>0</v>
      </c>
      <c r="M61" s="2">
        <f>MAX(0,L61*(1+Forecast!$B32))</f>
        <v>0</v>
      </c>
      <c r="N61" s="2">
        <f>MAX(0,M61*(1+Forecast!$B32))</f>
        <v>0</v>
      </c>
      <c r="O61" s="2">
        <f>MAX(0,N61*(1+Forecast!$B32))</f>
        <v>0</v>
      </c>
      <c r="P61" s="2">
        <f>MAX(0,O61*(1+Forecast!$B32))</f>
        <v>0</v>
      </c>
      <c r="Q61" s="2">
        <f>MAX(0,P61*(1+Forecast!$B32))</f>
        <v>0</v>
      </c>
      <c r="R61" s="2">
        <f>MAX(0,Q61*(1+Forecast!$B32))</f>
        <v>0</v>
      </c>
      <c r="S61" s="2">
        <f>MAX(0,R61*(1+Forecast!$B32))</f>
        <v>0</v>
      </c>
      <c r="T61" s="2">
        <f>MAX(0,S61*(1+Forecast!$B32))</f>
        <v>0</v>
      </c>
      <c r="U61" s="2">
        <f>MAX(0,T61*(1+Forecast!$B32))</f>
        <v>0</v>
      </c>
      <c r="V61" s="2">
        <f>MAX(0,U61*(1+Forecast!$B32))</f>
        <v>0</v>
      </c>
      <c r="W61" s="2">
        <f>MAX(0,V61*(1+Forecast!$B32))</f>
        <v>0</v>
      </c>
      <c r="X61" s="2">
        <f>MAX(0,W61*(1+Forecast!$B32))</f>
        <v>0</v>
      </c>
      <c r="Y61" s="2">
        <f>MAX(0,X61*(1+Forecast!$B32))</f>
        <v>0</v>
      </c>
      <c r="Z61" s="2">
        <f>MAX(0,Y61*(1+Forecast!$B32))</f>
        <v>0</v>
      </c>
      <c r="AA61" s="2">
        <f>MAX(0,Z61*(1+Forecast!$B32))</f>
        <v>0</v>
      </c>
      <c r="AB61" s="2">
        <f>MAX(0,AA61*(1+Forecast!$B32))</f>
        <v>0</v>
      </c>
      <c r="AC61" s="2">
        <f>MAX(0,AB61*(1+Forecast!$B32))</f>
        <v>0</v>
      </c>
      <c r="AD61" s="2">
        <f>MAX(0,AC61*(1+Forecast!$B32))</f>
        <v>0</v>
      </c>
      <c r="AE61" s="2">
        <f>MAX(0,AD61*(1+Forecast!$B32))</f>
        <v>0</v>
      </c>
      <c r="AF61" s="2">
        <f>MAX(0,AE61*(1+Forecast!$B32))</f>
        <v>0</v>
      </c>
      <c r="AG61" s="2">
        <f>MAX(0,AF61*(1+Forecast!$B32))</f>
        <v>0</v>
      </c>
    </row>
    <row r="63" spans="1:33">
      <c r="A63" s="15" t="s">
        <v>42</v>
      </c>
      <c r="B63" s="1">
        <v>2019</v>
      </c>
      <c r="C63" s="1">
        <v>2020</v>
      </c>
      <c r="D63" s="1">
        <v>2021</v>
      </c>
      <c r="E63" s="1">
        <v>2022</v>
      </c>
      <c r="F63" s="1">
        <v>2023</v>
      </c>
      <c r="G63" s="1">
        <v>2024</v>
      </c>
      <c r="H63" s="1">
        <v>2025</v>
      </c>
      <c r="I63" s="1">
        <v>2026</v>
      </c>
      <c r="J63" s="1">
        <v>2027</v>
      </c>
      <c r="K63" s="1">
        <v>2028</v>
      </c>
      <c r="L63" s="1">
        <v>2029</v>
      </c>
      <c r="M63" s="1">
        <v>2030</v>
      </c>
      <c r="N63" s="1">
        <v>2031</v>
      </c>
      <c r="O63" s="1">
        <v>2032</v>
      </c>
      <c r="P63" s="1">
        <v>2033</v>
      </c>
      <c r="Q63" s="1">
        <v>2034</v>
      </c>
      <c r="R63" s="1">
        <v>2035</v>
      </c>
      <c r="S63" s="1">
        <v>2036</v>
      </c>
      <c r="T63" s="1">
        <v>2037</v>
      </c>
      <c r="U63" s="1">
        <v>2038</v>
      </c>
      <c r="V63" s="1">
        <v>2039</v>
      </c>
      <c r="W63" s="1">
        <v>2040</v>
      </c>
      <c r="X63" s="1">
        <v>2041</v>
      </c>
      <c r="Y63" s="1">
        <v>2042</v>
      </c>
      <c r="Z63" s="1">
        <v>2043</v>
      </c>
      <c r="AA63" s="1">
        <v>2044</v>
      </c>
      <c r="AB63" s="1">
        <v>2045</v>
      </c>
      <c r="AC63" s="1">
        <v>2046</v>
      </c>
      <c r="AD63" s="1">
        <v>2047</v>
      </c>
      <c r="AE63" s="1">
        <v>2048</v>
      </c>
      <c r="AF63" s="1">
        <v>2049</v>
      </c>
      <c r="AG63" s="1">
        <v>2050</v>
      </c>
    </row>
    <row r="64" spans="1:33" s="42" customFormat="1">
      <c r="A64" s="40" t="s">
        <v>2</v>
      </c>
      <c r="B64" s="41">
        <f>INDEX('2019'!$B$2:$G$11, MATCH($A64, '2019'!$A$2:$A$11, 0), MATCH(Commercial_calculation!$A$63, '2019'!$B$1:$G$1, 0))</f>
        <v>69300936097001.828</v>
      </c>
      <c r="C64" s="41">
        <f>INDEX('2020'!$B$2:$G$11, MATCH($A64, '2020'!$A$2:$A$11, 0), MATCH(Commercial_calculation!$A$63, '2020'!$B$1:$G$1, 0))</f>
        <v>70365392979019.516</v>
      </c>
      <c r="D64" s="41">
        <f>INDEX('2021'!$B$2:$G$11, MATCH($A64, '2021'!$A$2:$A$11, 0), MATCH(Commercial_calculation!$A$63, '2021'!$B$1:$G$1, 0))</f>
        <v>70987881805885.125</v>
      </c>
      <c r="E64" s="41">
        <f>INDEX('2022'!$B$2:$G$11, MATCH($A64, '2022'!$A$2:$A$11, 0), MATCH(Commercial_calculation!$A$63, '2022'!$B$1:$G$1, 0))</f>
        <v>75049868420558.969</v>
      </c>
      <c r="F64" s="41">
        <f>MAX(0,E64*(1+Forecast!$B23))</f>
        <v>75650267367923.438</v>
      </c>
      <c r="G64" s="41">
        <f>MAX(0,F64*(1+Forecast!$B23))</f>
        <v>76255469506866.828</v>
      </c>
      <c r="H64" s="41">
        <f>MAX(0,G64*(1+Forecast!$B23))</f>
        <v>76865513262921.766</v>
      </c>
      <c r="I64" s="41">
        <f>MAX(0,H64*(1+Forecast!$B23))</f>
        <v>77480437369025.141</v>
      </c>
      <c r="J64" s="41">
        <f>MAX(0,I64*(1+Forecast!$B23))</f>
        <v>78100280867977.344</v>
      </c>
      <c r="K64" s="41">
        <f>MAX(0,J64*(1+Forecast!$B23))</f>
        <v>78725083114921.156</v>
      </c>
      <c r="L64" s="41">
        <f>MAX(0,K64*(1+Forecast!$B23))</f>
        <v>79354883779840.531</v>
      </c>
      <c r="M64" s="41">
        <f>MAX(0,L64*(1+Forecast!$B23))</f>
        <v>79989722850079.25</v>
      </c>
      <c r="N64" s="41">
        <f>MAX(0,M64*(1+Forecast!$B23))</f>
        <v>80629640632879.891</v>
      </c>
      <c r="O64" s="41">
        <f>MAX(0,N64*(1+Forecast!$B23))</f>
        <v>81274677757942.938</v>
      </c>
      <c r="P64" s="41">
        <f>MAX(0,O64*(1+Forecast!$B23))</f>
        <v>81924875180006.484</v>
      </c>
      <c r="Q64" s="41">
        <f>MAX(0,P64*(1+Forecast!$B23))</f>
        <v>82580274181446.531</v>
      </c>
      <c r="R64" s="41">
        <f>MAX(0,Q64*(1+Forecast!$B23))</f>
        <v>83240916374898.109</v>
      </c>
      <c r="S64" s="41">
        <f>MAX(0,R64*(1+Forecast!$B23))</f>
        <v>83906843705897.297</v>
      </c>
      <c r="T64" s="41">
        <f>MAX(0,S64*(1+Forecast!$B23))</f>
        <v>84578098455544.469</v>
      </c>
      <c r="U64" s="41">
        <f>MAX(0,T64*(1+Forecast!$B23))</f>
        <v>85254723243188.828</v>
      </c>
      <c r="V64" s="41">
        <f>MAX(0,U64*(1+Forecast!$B23))</f>
        <v>85936761029134.344</v>
      </c>
      <c r="W64" s="41">
        <f>MAX(0,V64*(1+Forecast!$B23))</f>
        <v>86624255117367.422</v>
      </c>
      <c r="X64" s="41">
        <f>MAX(0,W64*(1+Forecast!$B23))</f>
        <v>87317249158306.359</v>
      </c>
      <c r="Y64" s="41">
        <f>MAX(0,X64*(1+Forecast!$B23))</f>
        <v>88015787151572.813</v>
      </c>
      <c r="Z64" s="41">
        <f>MAX(0,Y64*(1+Forecast!$B23))</f>
        <v>88719913448785.391</v>
      </c>
      <c r="AA64" s="41">
        <f>MAX(0,Z64*(1+Forecast!$B23))</f>
        <v>89429672756375.672</v>
      </c>
      <c r="AB64" s="41">
        <f>MAX(0,AA64*(1+Forecast!$B23))</f>
        <v>90145110138426.672</v>
      </c>
      <c r="AC64" s="41">
        <f>MAX(0,AB64*(1+Forecast!$B23))</f>
        <v>90866271019534.078</v>
      </c>
      <c r="AD64" s="41">
        <f>MAX(0,AC64*(1+Forecast!$B23))</f>
        <v>91593201187690.344</v>
      </c>
      <c r="AE64" s="41">
        <f>MAX(0,AD64*(1+Forecast!$B23))</f>
        <v>92325946797191.859</v>
      </c>
      <c r="AF64" s="41">
        <f>MAX(0,AE64*(1+Forecast!$B23))</f>
        <v>93064554371569.391</v>
      </c>
      <c r="AG64" s="41">
        <f>MAX(0,AF64*(1+Forecast!$B23))</f>
        <v>93809070806541.953</v>
      </c>
    </row>
    <row r="65" spans="1:33">
      <c r="A65" s="15" t="s">
        <v>3</v>
      </c>
      <c r="B65" s="2">
        <f>INDEX('2019'!$B$2:$G$11, MATCH($A65, '2019'!$A$2:$A$11, 0), MATCH(Commercial_calculation!$A$63, '2019'!$B$1:$G$1, 0))</f>
        <v>0</v>
      </c>
      <c r="C65" s="2">
        <f>INDEX('2020'!$B$2:$G$11, MATCH($A65, '2020'!$A$2:$A$11, 0), MATCH(Commercial_calculation!$A$63, '2020'!$B$1:$G$1, 0))</f>
        <v>0</v>
      </c>
      <c r="D65" s="2">
        <f>INDEX('2021'!$B$2:$G$11, MATCH($A65, '2021'!$A$2:$A$11, 0), MATCH(Commercial_calculation!$A$63, '2021'!$B$1:$G$1, 0))</f>
        <v>0</v>
      </c>
      <c r="E65" s="2">
        <f>INDEX('2022'!$B$2:$G$11, MATCH($A65, '2022'!$A$2:$A$11, 0), MATCH(Commercial_calculation!$A$63, '2022'!$B$1:$G$1, 0))</f>
        <v>0</v>
      </c>
      <c r="F65" s="2">
        <f>MAX(0,E65*(1+Forecast!$B24))</f>
        <v>0</v>
      </c>
      <c r="G65" s="2">
        <f>MAX(0,F65*(1+Forecast!$B24))</f>
        <v>0</v>
      </c>
      <c r="H65" s="2">
        <f>MAX(0,G65*(1+Forecast!$B24))</f>
        <v>0</v>
      </c>
      <c r="I65" s="2">
        <f>MAX(0,H65*(1+Forecast!$B24))</f>
        <v>0</v>
      </c>
      <c r="J65" s="2">
        <f>MAX(0,I65*(1+Forecast!$B24))</f>
        <v>0</v>
      </c>
      <c r="K65" s="2">
        <f>MAX(0,J65*(1+Forecast!$B24))</f>
        <v>0</v>
      </c>
      <c r="L65" s="2">
        <f>MAX(0,K65*(1+Forecast!$B24))</f>
        <v>0</v>
      </c>
      <c r="M65" s="2">
        <f>MAX(0,L65*(1+Forecast!$B24))</f>
        <v>0</v>
      </c>
      <c r="N65" s="2">
        <f>MAX(0,M65*(1+Forecast!$B24))</f>
        <v>0</v>
      </c>
      <c r="O65" s="2">
        <f>MAX(0,N65*(1+Forecast!$B24))</f>
        <v>0</v>
      </c>
      <c r="P65" s="2">
        <f>MAX(0,O65*(1+Forecast!$B24))</f>
        <v>0</v>
      </c>
      <c r="Q65" s="2">
        <f>MAX(0,P65*(1+Forecast!$B24))</f>
        <v>0</v>
      </c>
      <c r="R65" s="2">
        <f>MAX(0,Q65*(1+Forecast!$B24))</f>
        <v>0</v>
      </c>
      <c r="S65" s="2">
        <f>MAX(0,R65*(1+Forecast!$B24))</f>
        <v>0</v>
      </c>
      <c r="T65" s="2">
        <f>MAX(0,S65*(1+Forecast!$B24))</f>
        <v>0</v>
      </c>
      <c r="U65" s="2">
        <f>MAX(0,T65*(1+Forecast!$B24))</f>
        <v>0</v>
      </c>
      <c r="V65" s="2">
        <f>MAX(0,U65*(1+Forecast!$B24))</f>
        <v>0</v>
      </c>
      <c r="W65" s="2">
        <f>MAX(0,V65*(1+Forecast!$B24))</f>
        <v>0</v>
      </c>
      <c r="X65" s="2">
        <f>MAX(0,W65*(1+Forecast!$B24))</f>
        <v>0</v>
      </c>
      <c r="Y65" s="2">
        <f>MAX(0,X65*(1+Forecast!$B24))</f>
        <v>0</v>
      </c>
      <c r="Z65" s="2">
        <f>MAX(0,Y65*(1+Forecast!$B24))</f>
        <v>0</v>
      </c>
      <c r="AA65" s="2">
        <f>MAX(0,Z65*(1+Forecast!$B24))</f>
        <v>0</v>
      </c>
      <c r="AB65" s="2">
        <f>MAX(0,AA65*(1+Forecast!$B24))</f>
        <v>0</v>
      </c>
      <c r="AC65" s="2">
        <f>MAX(0,AB65*(1+Forecast!$B24))</f>
        <v>0</v>
      </c>
      <c r="AD65" s="2">
        <f>MAX(0,AC65*(1+Forecast!$B24))</f>
        <v>0</v>
      </c>
      <c r="AE65" s="2">
        <f>MAX(0,AD65*(1+Forecast!$B24))</f>
        <v>0</v>
      </c>
      <c r="AF65" s="2">
        <f>MAX(0,AE65*(1+Forecast!$B24))</f>
        <v>0</v>
      </c>
      <c r="AG65" s="2">
        <f>MAX(0,AF65*(1+Forecast!$B24))</f>
        <v>0</v>
      </c>
    </row>
    <row r="66" spans="1:33">
      <c r="A66" s="15" t="s">
        <v>4</v>
      </c>
      <c r="B66" s="2">
        <f>INDEX('2019'!$B$2:$G$11, MATCH($A66, '2019'!$A$2:$A$11, 0), MATCH(Commercial_calculation!$A$63, '2019'!$B$1:$G$1, 0))</f>
        <v>0</v>
      </c>
      <c r="C66" s="2">
        <f>INDEX('2020'!$B$2:$G$11, MATCH($A66, '2020'!$A$2:$A$11, 0), MATCH(Commercial_calculation!$A$63, '2020'!$B$1:$G$1, 0))</f>
        <v>0</v>
      </c>
      <c r="D66" s="2">
        <f>INDEX('2021'!$B$2:$G$11, MATCH($A66, '2021'!$A$2:$A$11, 0), MATCH(Commercial_calculation!$A$63, '2021'!$B$1:$G$1, 0))</f>
        <v>0</v>
      </c>
      <c r="E66" s="2">
        <f>INDEX('2022'!$B$2:$G$11, MATCH($A66, '2022'!$A$2:$A$11, 0), MATCH(Commercial_calculation!$A$63, '2022'!$B$1:$G$1, 0))</f>
        <v>0</v>
      </c>
      <c r="F66" s="2">
        <f>MAX(0,E66*(1+Forecast!$B25))</f>
        <v>0</v>
      </c>
      <c r="G66" s="2">
        <f>MAX(0,F66*(1+Forecast!$B25))</f>
        <v>0</v>
      </c>
      <c r="H66" s="2">
        <f>MAX(0,G66*(1+Forecast!$B25))</f>
        <v>0</v>
      </c>
      <c r="I66" s="2">
        <f>MAX(0,H66*(1+Forecast!$B25))</f>
        <v>0</v>
      </c>
      <c r="J66" s="2">
        <f>MAX(0,I66*(1+Forecast!$B25))</f>
        <v>0</v>
      </c>
      <c r="K66" s="2">
        <f>MAX(0,J66*(1+Forecast!$B25))</f>
        <v>0</v>
      </c>
      <c r="L66" s="2">
        <f>MAX(0,K66*(1+Forecast!$B25))</f>
        <v>0</v>
      </c>
      <c r="M66" s="2">
        <f>MAX(0,L66*(1+Forecast!$B25))</f>
        <v>0</v>
      </c>
      <c r="N66" s="2">
        <f>MAX(0,M66*(1+Forecast!$B25))</f>
        <v>0</v>
      </c>
      <c r="O66" s="2">
        <f>MAX(0,N66*(1+Forecast!$B25))</f>
        <v>0</v>
      </c>
      <c r="P66" s="2">
        <f>MAX(0,O66*(1+Forecast!$B25))</f>
        <v>0</v>
      </c>
      <c r="Q66" s="2">
        <f>MAX(0,P66*(1+Forecast!$B25))</f>
        <v>0</v>
      </c>
      <c r="R66" s="2">
        <f>MAX(0,Q66*(1+Forecast!$B25))</f>
        <v>0</v>
      </c>
      <c r="S66" s="2">
        <f>MAX(0,R66*(1+Forecast!$B25))</f>
        <v>0</v>
      </c>
      <c r="T66" s="2">
        <f>MAX(0,S66*(1+Forecast!$B25))</f>
        <v>0</v>
      </c>
      <c r="U66" s="2">
        <f>MAX(0,T66*(1+Forecast!$B25))</f>
        <v>0</v>
      </c>
      <c r="V66" s="2">
        <f>MAX(0,U66*(1+Forecast!$B25))</f>
        <v>0</v>
      </c>
      <c r="W66" s="2">
        <f>MAX(0,V66*(1+Forecast!$B25))</f>
        <v>0</v>
      </c>
      <c r="X66" s="2">
        <f>MAX(0,W66*(1+Forecast!$B25))</f>
        <v>0</v>
      </c>
      <c r="Y66" s="2">
        <f>MAX(0,X66*(1+Forecast!$B25))</f>
        <v>0</v>
      </c>
      <c r="Z66" s="2">
        <f>MAX(0,Y66*(1+Forecast!$B25))</f>
        <v>0</v>
      </c>
      <c r="AA66" s="2">
        <f>MAX(0,Z66*(1+Forecast!$B25))</f>
        <v>0</v>
      </c>
      <c r="AB66" s="2">
        <f>MAX(0,AA66*(1+Forecast!$B25))</f>
        <v>0</v>
      </c>
      <c r="AC66" s="2">
        <f>MAX(0,AB66*(1+Forecast!$B25))</f>
        <v>0</v>
      </c>
      <c r="AD66" s="2">
        <f>MAX(0,AC66*(1+Forecast!$B25))</f>
        <v>0</v>
      </c>
      <c r="AE66" s="2">
        <f>MAX(0,AD66*(1+Forecast!$B25))</f>
        <v>0</v>
      </c>
      <c r="AF66" s="2">
        <f>MAX(0,AE66*(1+Forecast!$B25))</f>
        <v>0</v>
      </c>
      <c r="AG66" s="2">
        <f>MAX(0,AF66*(1+Forecast!$B25))</f>
        <v>0</v>
      </c>
    </row>
    <row r="67" spans="1:33">
      <c r="A67" s="15" t="s">
        <v>5</v>
      </c>
      <c r="B67" s="2">
        <f>INDEX('2019'!$B$2:$G$11, MATCH($A67, '2019'!$A$2:$A$11, 0), MATCH(Commercial_calculation!$A$63, '2019'!$B$1:$G$1, 0))</f>
        <v>0</v>
      </c>
      <c r="C67" s="2">
        <f>INDEX('2020'!$B$2:$G$11, MATCH($A67, '2020'!$A$2:$A$11, 0), MATCH(Commercial_calculation!$A$63, '2020'!$B$1:$G$1, 0))</f>
        <v>0</v>
      </c>
      <c r="D67" s="2">
        <f>INDEX('2021'!$B$2:$G$11, MATCH($A67, '2021'!$A$2:$A$11, 0), MATCH(Commercial_calculation!$A$63, '2021'!$B$1:$G$1, 0))</f>
        <v>0</v>
      </c>
      <c r="E67" s="2">
        <f>INDEX('2022'!$B$2:$G$11, MATCH($A67, '2022'!$A$2:$A$11, 0), MATCH(Commercial_calculation!$A$63, '2022'!$B$1:$G$1, 0))</f>
        <v>0</v>
      </c>
      <c r="F67" s="2">
        <f>MAX(0,E67*(1+Forecast!$B26))</f>
        <v>0</v>
      </c>
      <c r="G67" s="2">
        <f>MAX(0,F67*(1+Forecast!$B26))</f>
        <v>0</v>
      </c>
      <c r="H67" s="2">
        <f>MAX(0,G67*(1+Forecast!$B26))</f>
        <v>0</v>
      </c>
      <c r="I67" s="2">
        <f>MAX(0,H67*(1+Forecast!$B26))</f>
        <v>0</v>
      </c>
      <c r="J67" s="2">
        <f>MAX(0,I67*(1+Forecast!$B26))</f>
        <v>0</v>
      </c>
      <c r="K67" s="2">
        <f>MAX(0,J67*(1+Forecast!$B26))</f>
        <v>0</v>
      </c>
      <c r="L67" s="2">
        <f>MAX(0,K67*(1+Forecast!$B26))</f>
        <v>0</v>
      </c>
      <c r="M67" s="2">
        <f>MAX(0,L67*(1+Forecast!$B26))</f>
        <v>0</v>
      </c>
      <c r="N67" s="2">
        <f>MAX(0,M67*(1+Forecast!$B26))</f>
        <v>0</v>
      </c>
      <c r="O67" s="2">
        <f>MAX(0,N67*(1+Forecast!$B26))</f>
        <v>0</v>
      </c>
      <c r="P67" s="2">
        <f>MAX(0,O67*(1+Forecast!$B26))</f>
        <v>0</v>
      </c>
      <c r="Q67" s="2">
        <f>MAX(0,P67*(1+Forecast!$B26))</f>
        <v>0</v>
      </c>
      <c r="R67" s="2">
        <f>MAX(0,Q67*(1+Forecast!$B26))</f>
        <v>0</v>
      </c>
      <c r="S67" s="2">
        <f>MAX(0,R67*(1+Forecast!$B26))</f>
        <v>0</v>
      </c>
      <c r="T67" s="2">
        <f>MAX(0,S67*(1+Forecast!$B26))</f>
        <v>0</v>
      </c>
      <c r="U67" s="2">
        <f>MAX(0,T67*(1+Forecast!$B26))</f>
        <v>0</v>
      </c>
      <c r="V67" s="2">
        <f>MAX(0,U67*(1+Forecast!$B26))</f>
        <v>0</v>
      </c>
      <c r="W67" s="2">
        <f>MAX(0,V67*(1+Forecast!$B26))</f>
        <v>0</v>
      </c>
      <c r="X67" s="2">
        <f>MAX(0,W67*(1+Forecast!$B26))</f>
        <v>0</v>
      </c>
      <c r="Y67" s="2">
        <f>MAX(0,X67*(1+Forecast!$B26))</f>
        <v>0</v>
      </c>
      <c r="Z67" s="2">
        <f>MAX(0,Y67*(1+Forecast!$B26))</f>
        <v>0</v>
      </c>
      <c r="AA67" s="2">
        <f>MAX(0,Z67*(1+Forecast!$B26))</f>
        <v>0</v>
      </c>
      <c r="AB67" s="2">
        <f>MAX(0,AA67*(1+Forecast!$B26))</f>
        <v>0</v>
      </c>
      <c r="AC67" s="2">
        <f>MAX(0,AB67*(1+Forecast!$B26))</f>
        <v>0</v>
      </c>
      <c r="AD67" s="2">
        <f>MAX(0,AC67*(1+Forecast!$B26))</f>
        <v>0</v>
      </c>
      <c r="AE67" s="2">
        <f>MAX(0,AD67*(1+Forecast!$B26))</f>
        <v>0</v>
      </c>
      <c r="AF67" s="2">
        <f>MAX(0,AE67*(1+Forecast!$B26))</f>
        <v>0</v>
      </c>
      <c r="AG67" s="2">
        <f>MAX(0,AF67*(1+Forecast!$B26))</f>
        <v>0</v>
      </c>
    </row>
    <row r="68" spans="1:33">
      <c r="A68" s="15" t="s">
        <v>7</v>
      </c>
      <c r="B68" s="2">
        <f>INDEX('2019'!$B$2:$G$11, MATCH($A68, '2019'!$A$2:$A$11, 0), MATCH(Commercial_calculation!$A$63, '2019'!$B$1:$G$1, 0))</f>
        <v>0</v>
      </c>
      <c r="C68" s="2">
        <f>INDEX('2020'!$B$2:$G$11, MATCH($A68, '2020'!$A$2:$A$11, 0), MATCH(Commercial_calculation!$A$63, '2020'!$B$1:$G$1, 0))</f>
        <v>0</v>
      </c>
      <c r="D68" s="2">
        <f>INDEX('2021'!$B$2:$G$11, MATCH($A68, '2021'!$A$2:$A$11, 0), MATCH(Commercial_calculation!$A$63, '2021'!$B$1:$G$1, 0))</f>
        <v>0</v>
      </c>
      <c r="E68" s="2">
        <f>INDEX('2022'!$B$2:$G$11, MATCH($A68, '2022'!$A$2:$A$11, 0), MATCH(Commercial_calculation!$A$63, '2022'!$B$1:$G$1, 0))</f>
        <v>0</v>
      </c>
      <c r="F68" s="2">
        <f>MAX(0,E68*(1+Forecast!$B27))</f>
        <v>0</v>
      </c>
      <c r="G68" s="2">
        <f>MAX(0,F68*(1+Forecast!$B27))</f>
        <v>0</v>
      </c>
      <c r="H68" s="2">
        <f>MAX(0,G68*(1+Forecast!$B27))</f>
        <v>0</v>
      </c>
      <c r="I68" s="2">
        <f>MAX(0,H68*(1+Forecast!$B27))</f>
        <v>0</v>
      </c>
      <c r="J68" s="2">
        <f>MAX(0,I68*(1+Forecast!$B27))</f>
        <v>0</v>
      </c>
      <c r="K68" s="2">
        <f>MAX(0,J68*(1+Forecast!$B27))</f>
        <v>0</v>
      </c>
      <c r="L68" s="2">
        <f>MAX(0,K68*(1+Forecast!$B27))</f>
        <v>0</v>
      </c>
      <c r="M68" s="2">
        <f>MAX(0,L68*(1+Forecast!$B27))</f>
        <v>0</v>
      </c>
      <c r="N68" s="2">
        <f>MAX(0,M68*(1+Forecast!$B27))</f>
        <v>0</v>
      </c>
      <c r="O68" s="2">
        <f>MAX(0,N68*(1+Forecast!$B27))</f>
        <v>0</v>
      </c>
      <c r="P68" s="2">
        <f>MAX(0,O68*(1+Forecast!$B27))</f>
        <v>0</v>
      </c>
      <c r="Q68" s="2">
        <f>MAX(0,P68*(1+Forecast!$B27))</f>
        <v>0</v>
      </c>
      <c r="R68" s="2">
        <f>MAX(0,Q68*(1+Forecast!$B27))</f>
        <v>0</v>
      </c>
      <c r="S68" s="2">
        <f>MAX(0,R68*(1+Forecast!$B27))</f>
        <v>0</v>
      </c>
      <c r="T68" s="2">
        <f>MAX(0,S68*(1+Forecast!$B27))</f>
        <v>0</v>
      </c>
      <c r="U68" s="2">
        <f>MAX(0,T68*(1+Forecast!$B27))</f>
        <v>0</v>
      </c>
      <c r="V68" s="2">
        <f>MAX(0,U68*(1+Forecast!$B27))</f>
        <v>0</v>
      </c>
      <c r="W68" s="2">
        <f>MAX(0,V68*(1+Forecast!$B27))</f>
        <v>0</v>
      </c>
      <c r="X68" s="2">
        <f>MAX(0,W68*(1+Forecast!$B27))</f>
        <v>0</v>
      </c>
      <c r="Y68" s="2">
        <f>MAX(0,X68*(1+Forecast!$B27))</f>
        <v>0</v>
      </c>
      <c r="Z68" s="2">
        <f>MAX(0,Y68*(1+Forecast!$B27))</f>
        <v>0</v>
      </c>
      <c r="AA68" s="2">
        <f>MAX(0,Z68*(1+Forecast!$B27))</f>
        <v>0</v>
      </c>
      <c r="AB68" s="2">
        <f>MAX(0,AA68*(1+Forecast!$B27))</f>
        <v>0</v>
      </c>
      <c r="AC68" s="2">
        <f>MAX(0,AB68*(1+Forecast!$B27))</f>
        <v>0</v>
      </c>
      <c r="AD68" s="2">
        <f>MAX(0,AC68*(1+Forecast!$B27))</f>
        <v>0</v>
      </c>
      <c r="AE68" s="2">
        <f>MAX(0,AD68*(1+Forecast!$B27))</f>
        <v>0</v>
      </c>
      <c r="AF68" s="2">
        <f>MAX(0,AE68*(1+Forecast!$B27))</f>
        <v>0</v>
      </c>
      <c r="AG68" s="2">
        <f>MAX(0,AF68*(1+Forecast!$B27))</f>
        <v>0</v>
      </c>
    </row>
    <row r="69" spans="1:33">
      <c r="A69" s="15" t="s">
        <v>11</v>
      </c>
      <c r="B69" s="2">
        <f>INDEX('2019'!$B$2:$G$11, MATCH($A69, '2019'!$A$2:$A$11, 0), MATCH(Commercial_calculation!$A$63, '2019'!$B$1:$G$1, 0))</f>
        <v>3793426578300.001</v>
      </c>
      <c r="C69" s="2">
        <f>INDEX('2020'!$B$2:$G$11, MATCH($A69, '2020'!$A$2:$A$11, 0), MATCH(Commercial_calculation!$A$63, '2020'!$B$1:$G$1, 0))</f>
        <v>12213394673416.766</v>
      </c>
      <c r="D69" s="2">
        <f>INDEX('2021'!$B$2:$G$11, MATCH($A69, '2021'!$A$2:$A$11, 0), MATCH(Commercial_calculation!$A$63, '2021'!$B$1:$G$1, 0))</f>
        <v>13101641558756.166</v>
      </c>
      <c r="E69" s="2">
        <f>INDEX('2022'!$B$2:$G$11, MATCH($A69, '2022'!$A$2:$A$11, 0), MATCH(Commercial_calculation!$A$63, '2022'!$B$1:$G$1, 0))</f>
        <v>9287304453058.3164</v>
      </c>
      <c r="F69" s="2">
        <f>MAX(0,E69*(1+Forecast!$B28))</f>
        <v>9705233153445.9395</v>
      </c>
      <c r="G69" s="2">
        <f>MAX(0,F69*(1+Forecast!$B28))</f>
        <v>10141968645351.006</v>
      </c>
      <c r="H69" s="2">
        <f>MAX(0,G69*(1+Forecast!$B28))</f>
        <v>10598357234391.801</v>
      </c>
      <c r="I69" s="2">
        <f>MAX(0,H69*(1+Forecast!$B28))</f>
        <v>11075283309939.432</v>
      </c>
      <c r="J69" s="2">
        <f>MAX(0,I69*(1+Forecast!$B28))</f>
        <v>11573671058886.705</v>
      </c>
      <c r="K69" s="2">
        <f>MAX(0,J69*(1+Forecast!$B28))</f>
        <v>12094486256536.605</v>
      </c>
      <c r="L69" s="2">
        <f>MAX(0,K69*(1+Forecast!$B28))</f>
        <v>12638738138080.752</v>
      </c>
      <c r="M69" s="2">
        <f>MAX(0,L69*(1+Forecast!$B28))</f>
        <v>13207481354294.385</v>
      </c>
      <c r="N69" s="2">
        <f>MAX(0,M69*(1+Forecast!$B28))</f>
        <v>13801818015237.631</v>
      </c>
      <c r="O69" s="2">
        <f>MAX(0,N69*(1+Forecast!$B28))</f>
        <v>14422899825923.324</v>
      </c>
      <c r="P69" s="2">
        <f>MAX(0,O69*(1+Forecast!$B28))</f>
        <v>15071930318089.873</v>
      </c>
      <c r="Q69" s="2">
        <f>MAX(0,P69*(1+Forecast!$B28))</f>
        <v>15750167182403.916</v>
      </c>
      <c r="R69" s="2">
        <f>MAX(0,Q69*(1+Forecast!$B28))</f>
        <v>16458924705612.092</v>
      </c>
      <c r="S69" s="2">
        <f>MAX(0,R69*(1+Forecast!$B28))</f>
        <v>17199576317364.635</v>
      </c>
      <c r="T69" s="2">
        <f>MAX(0,S69*(1+Forecast!$B28))</f>
        <v>17973557251646.043</v>
      </c>
      <c r="U69" s="2">
        <f>MAX(0,T69*(1+Forecast!$B28))</f>
        <v>18782367327970.113</v>
      </c>
      <c r="V69" s="2">
        <f>MAX(0,U69*(1+Forecast!$B28))</f>
        <v>19627573857728.766</v>
      </c>
      <c r="W69" s="2">
        <f>MAX(0,V69*(1+Forecast!$B28))</f>
        <v>20510814681326.559</v>
      </c>
      <c r="X69" s="2">
        <f>MAX(0,W69*(1+Forecast!$B28))</f>
        <v>21433801341986.254</v>
      </c>
      <c r="Y69" s="2">
        <f>MAX(0,X69*(1+Forecast!$B28))</f>
        <v>22398322402375.633</v>
      </c>
      <c r="Z69" s="2">
        <f>MAX(0,Y69*(1+Forecast!$B28))</f>
        <v>23406246910482.535</v>
      </c>
      <c r="AA69" s="2">
        <f>MAX(0,Z69*(1+Forecast!$B28))</f>
        <v>24459528021454.246</v>
      </c>
      <c r="AB69" s="2">
        <f>MAX(0,AA69*(1+Forecast!$B28))</f>
        <v>25560206782419.684</v>
      </c>
      <c r="AC69" s="2">
        <f>MAX(0,AB69*(1+Forecast!$B28))</f>
        <v>26710416087628.566</v>
      </c>
      <c r="AD69" s="2">
        <f>MAX(0,AC69*(1+Forecast!$B28))</f>
        <v>27912384811571.852</v>
      </c>
      <c r="AE69" s="2">
        <f>MAX(0,AD69*(1+Forecast!$B28))</f>
        <v>29168442128092.582</v>
      </c>
      <c r="AF69" s="2">
        <f>MAX(0,AE69*(1+Forecast!$B28))</f>
        <v>30481022023856.746</v>
      </c>
      <c r="AG69" s="2">
        <f>MAX(0,AF69*(1+Forecast!$B28))</f>
        <v>31852668014930.297</v>
      </c>
    </row>
    <row r="70" spans="1:33">
      <c r="A70" s="15" t="s">
        <v>13</v>
      </c>
      <c r="B70" s="2">
        <f>INDEX('2019'!$B$2:$G$11, MATCH($A70, '2019'!$A$2:$A$11, 0), MATCH(Commercial_calculation!$A$63, '2019'!$B$1:$G$1, 0))</f>
        <v>0</v>
      </c>
      <c r="C70" s="2">
        <f>INDEX('2020'!$B$2:$G$11, MATCH($A70, '2020'!$A$2:$A$11, 0), MATCH(Commercial_calculation!$A$63, '2020'!$B$1:$G$1, 0))</f>
        <v>0</v>
      </c>
      <c r="D70" s="2">
        <f>INDEX('2021'!$B$2:$G$11, MATCH($A70, '2021'!$A$2:$A$11, 0), MATCH(Commercial_calculation!$A$63, '2021'!$B$1:$G$1, 0))</f>
        <v>0</v>
      </c>
      <c r="E70" s="2">
        <f>INDEX('2022'!$B$2:$G$11, MATCH($A70, '2022'!$A$2:$A$11, 0), MATCH(Commercial_calculation!$A$63, '2022'!$B$1:$G$1, 0))</f>
        <v>0</v>
      </c>
      <c r="F70" s="2">
        <f>MAX(0,E70*(1+Forecast!$B29))</f>
        <v>0</v>
      </c>
      <c r="G70" s="2">
        <f>MAX(0,F70*(1+Forecast!$B29))</f>
        <v>0</v>
      </c>
      <c r="H70" s="2">
        <f>MAX(0,G70*(1+Forecast!$B29))</f>
        <v>0</v>
      </c>
      <c r="I70" s="2">
        <f>MAX(0,H70*(1+Forecast!$B29))</f>
        <v>0</v>
      </c>
      <c r="J70" s="2">
        <f>MAX(0,I70*(1+Forecast!$B29))</f>
        <v>0</v>
      </c>
      <c r="K70" s="2">
        <f>MAX(0,J70*(1+Forecast!$B29))</f>
        <v>0</v>
      </c>
      <c r="L70" s="2">
        <f>MAX(0,K70*(1+Forecast!$B29))</f>
        <v>0</v>
      </c>
      <c r="M70" s="2">
        <f>MAX(0,L70*(1+Forecast!$B29))</f>
        <v>0</v>
      </c>
      <c r="N70" s="2">
        <f>MAX(0,M70*(1+Forecast!$B29))</f>
        <v>0</v>
      </c>
      <c r="O70" s="2">
        <f>MAX(0,N70*(1+Forecast!$B29))</f>
        <v>0</v>
      </c>
      <c r="P70" s="2">
        <f>MAX(0,O70*(1+Forecast!$B29))</f>
        <v>0</v>
      </c>
      <c r="Q70" s="2">
        <f>MAX(0,P70*(1+Forecast!$B29))</f>
        <v>0</v>
      </c>
      <c r="R70" s="2">
        <f>MAX(0,Q70*(1+Forecast!$B29))</f>
        <v>0</v>
      </c>
      <c r="S70" s="2">
        <f>MAX(0,R70*(1+Forecast!$B29))</f>
        <v>0</v>
      </c>
      <c r="T70" s="2">
        <f>MAX(0,S70*(1+Forecast!$B29))</f>
        <v>0</v>
      </c>
      <c r="U70" s="2">
        <f>MAX(0,T70*(1+Forecast!$B29))</f>
        <v>0</v>
      </c>
      <c r="V70" s="2">
        <f>MAX(0,U70*(1+Forecast!$B29))</f>
        <v>0</v>
      </c>
      <c r="W70" s="2">
        <f>MAX(0,V70*(1+Forecast!$B29))</f>
        <v>0</v>
      </c>
      <c r="X70" s="2">
        <f>MAX(0,W70*(1+Forecast!$B29))</f>
        <v>0</v>
      </c>
      <c r="Y70" s="2">
        <f>MAX(0,X70*(1+Forecast!$B29))</f>
        <v>0</v>
      </c>
      <c r="Z70" s="2">
        <f>MAX(0,Y70*(1+Forecast!$B29))</f>
        <v>0</v>
      </c>
      <c r="AA70" s="2">
        <f>MAX(0,Z70*(1+Forecast!$B29))</f>
        <v>0</v>
      </c>
      <c r="AB70" s="2">
        <f>MAX(0,AA70*(1+Forecast!$B29))</f>
        <v>0</v>
      </c>
      <c r="AC70" s="2">
        <f>MAX(0,AB70*(1+Forecast!$B29))</f>
        <v>0</v>
      </c>
      <c r="AD70" s="2">
        <f>MAX(0,AC70*(1+Forecast!$B29))</f>
        <v>0</v>
      </c>
      <c r="AE70" s="2">
        <f>MAX(0,AD70*(1+Forecast!$B29))</f>
        <v>0</v>
      </c>
      <c r="AF70" s="2">
        <f>MAX(0,AE70*(1+Forecast!$B29))</f>
        <v>0</v>
      </c>
      <c r="AG70" s="2">
        <f>MAX(0,AF70*(1+Forecast!$B29))</f>
        <v>0</v>
      </c>
    </row>
    <row r="71" spans="1:33">
      <c r="A71" s="15" t="s">
        <v>14</v>
      </c>
      <c r="B71" s="2">
        <f>INDEX('2019'!$B$2:$G$11, MATCH($A71, '2019'!$A$2:$A$11, 0), MATCH(Commercial_calculation!$A$63, '2019'!$B$1:$G$1, 0))</f>
        <v>0</v>
      </c>
      <c r="C71" s="2">
        <f>INDEX('2020'!$B$2:$G$11, MATCH($A71, '2020'!$A$2:$A$11, 0), MATCH(Commercial_calculation!$A$63, '2020'!$B$1:$G$1, 0))</f>
        <v>0</v>
      </c>
      <c r="D71" s="2">
        <f>INDEX('2021'!$B$2:$G$11, MATCH($A71, '2021'!$A$2:$A$11, 0), MATCH(Commercial_calculation!$A$63, '2021'!$B$1:$G$1, 0))</f>
        <v>0</v>
      </c>
      <c r="E71" s="2">
        <f>INDEX('2022'!$B$2:$G$11, MATCH($A71, '2022'!$A$2:$A$11, 0), MATCH(Commercial_calculation!$A$63, '2022'!$B$1:$G$1, 0))</f>
        <v>0</v>
      </c>
      <c r="F71" s="2">
        <f>MAX(0,E71*(1+Forecast!$B30))</f>
        <v>0</v>
      </c>
      <c r="G71" s="2">
        <f>MAX(0,F71*(1+Forecast!$B30))</f>
        <v>0</v>
      </c>
      <c r="H71" s="2">
        <f>MAX(0,G71*(1+Forecast!$B30))</f>
        <v>0</v>
      </c>
      <c r="I71" s="2">
        <f>MAX(0,H71*(1+Forecast!$B30))</f>
        <v>0</v>
      </c>
      <c r="J71" s="2">
        <f>MAX(0,I71*(1+Forecast!$B30))</f>
        <v>0</v>
      </c>
      <c r="K71" s="2">
        <f>MAX(0,J71*(1+Forecast!$B30))</f>
        <v>0</v>
      </c>
      <c r="L71" s="2">
        <f>MAX(0,K71*(1+Forecast!$B30))</f>
        <v>0</v>
      </c>
      <c r="M71" s="2">
        <f>MAX(0,L71*(1+Forecast!$B30))</f>
        <v>0</v>
      </c>
      <c r="N71" s="2">
        <f>MAX(0,M71*(1+Forecast!$B30))</f>
        <v>0</v>
      </c>
      <c r="O71" s="2">
        <f>MAX(0,N71*(1+Forecast!$B30))</f>
        <v>0</v>
      </c>
      <c r="P71" s="2">
        <f>MAX(0,O71*(1+Forecast!$B30))</f>
        <v>0</v>
      </c>
      <c r="Q71" s="2">
        <f>MAX(0,P71*(1+Forecast!$B30))</f>
        <v>0</v>
      </c>
      <c r="R71" s="2">
        <f>MAX(0,Q71*(1+Forecast!$B30))</f>
        <v>0</v>
      </c>
      <c r="S71" s="2">
        <f>MAX(0,R71*(1+Forecast!$B30))</f>
        <v>0</v>
      </c>
      <c r="T71" s="2">
        <f>MAX(0,S71*(1+Forecast!$B30))</f>
        <v>0</v>
      </c>
      <c r="U71" s="2">
        <f>MAX(0,T71*(1+Forecast!$B30))</f>
        <v>0</v>
      </c>
      <c r="V71" s="2">
        <f>MAX(0,U71*(1+Forecast!$B30))</f>
        <v>0</v>
      </c>
      <c r="W71" s="2">
        <f>MAX(0,V71*(1+Forecast!$B30))</f>
        <v>0</v>
      </c>
      <c r="X71" s="2">
        <f>MAX(0,W71*(1+Forecast!$B30))</f>
        <v>0</v>
      </c>
      <c r="Y71" s="2">
        <f>MAX(0,X71*(1+Forecast!$B30))</f>
        <v>0</v>
      </c>
      <c r="Z71" s="2">
        <f>MAX(0,Y71*(1+Forecast!$B30))</f>
        <v>0</v>
      </c>
      <c r="AA71" s="2">
        <f>MAX(0,Z71*(1+Forecast!$B30))</f>
        <v>0</v>
      </c>
      <c r="AB71" s="2">
        <f>MAX(0,AA71*(1+Forecast!$B30))</f>
        <v>0</v>
      </c>
      <c r="AC71" s="2">
        <f>MAX(0,AB71*(1+Forecast!$B30))</f>
        <v>0</v>
      </c>
      <c r="AD71" s="2">
        <f>MAX(0,AC71*(1+Forecast!$B30))</f>
        <v>0</v>
      </c>
      <c r="AE71" s="2">
        <f>MAX(0,AD71*(1+Forecast!$B30))</f>
        <v>0</v>
      </c>
      <c r="AF71" s="2">
        <f>MAX(0,AE71*(1+Forecast!$B30))</f>
        <v>0</v>
      </c>
      <c r="AG71" s="2">
        <f>MAX(0,AF71*(1+Forecast!$B30))</f>
        <v>0</v>
      </c>
    </row>
    <row r="72" spans="1:33">
      <c r="A72" s="15" t="s">
        <v>15</v>
      </c>
      <c r="B72" s="2">
        <f>INDEX('2019'!$B$2:$G$11, MATCH($A72, '2019'!$A$2:$A$11, 0), MATCH(Commercial_calculation!$A$63, '2019'!$B$1:$G$1, 0))</f>
        <v>0</v>
      </c>
      <c r="C72" s="2">
        <f>INDEX('2020'!$B$2:$G$11, MATCH($A72, '2020'!$A$2:$A$11, 0), MATCH(Commercial_calculation!$A$63, '2020'!$B$1:$G$1, 0))</f>
        <v>0</v>
      </c>
      <c r="D72" s="2">
        <f>INDEX('2021'!$B$2:$G$11, MATCH($A72, '2021'!$A$2:$A$11, 0), MATCH(Commercial_calculation!$A$63, '2021'!$B$1:$G$1, 0))</f>
        <v>0</v>
      </c>
      <c r="E72" s="2">
        <f>INDEX('2022'!$B$2:$G$11, MATCH($A72, '2022'!$A$2:$A$11, 0), MATCH(Commercial_calculation!$A$63, '2022'!$B$1:$G$1, 0))</f>
        <v>0</v>
      </c>
      <c r="F72" s="2">
        <f>MAX(0,E72*(1+Forecast!$B31))</f>
        <v>0</v>
      </c>
      <c r="G72" s="2">
        <f>MAX(0,F72*(1+Forecast!$B31))</f>
        <v>0</v>
      </c>
      <c r="H72" s="2">
        <f>MAX(0,G72*(1+Forecast!$B31))</f>
        <v>0</v>
      </c>
      <c r="I72" s="2">
        <f>MAX(0,H72*(1+Forecast!$B31))</f>
        <v>0</v>
      </c>
      <c r="J72" s="2">
        <f>MAX(0,I72*(1+Forecast!$B31))</f>
        <v>0</v>
      </c>
      <c r="K72" s="2">
        <f>MAX(0,J72*(1+Forecast!$B31))</f>
        <v>0</v>
      </c>
      <c r="L72" s="2">
        <f>MAX(0,K72*(1+Forecast!$B31))</f>
        <v>0</v>
      </c>
      <c r="M72" s="2">
        <f>MAX(0,L72*(1+Forecast!$B31))</f>
        <v>0</v>
      </c>
      <c r="N72" s="2">
        <f>MAX(0,M72*(1+Forecast!$B31))</f>
        <v>0</v>
      </c>
      <c r="O72" s="2">
        <f>MAX(0,N72*(1+Forecast!$B31))</f>
        <v>0</v>
      </c>
      <c r="P72" s="2">
        <f>MAX(0,O72*(1+Forecast!$B31))</f>
        <v>0</v>
      </c>
      <c r="Q72" s="2">
        <f>MAX(0,P72*(1+Forecast!$B31))</f>
        <v>0</v>
      </c>
      <c r="R72" s="2">
        <f>MAX(0,Q72*(1+Forecast!$B31))</f>
        <v>0</v>
      </c>
      <c r="S72" s="2">
        <f>MAX(0,R72*(1+Forecast!$B31))</f>
        <v>0</v>
      </c>
      <c r="T72" s="2">
        <f>MAX(0,S72*(1+Forecast!$B31))</f>
        <v>0</v>
      </c>
      <c r="U72" s="2">
        <f>MAX(0,T72*(1+Forecast!$B31))</f>
        <v>0</v>
      </c>
      <c r="V72" s="2">
        <f>MAX(0,U72*(1+Forecast!$B31))</f>
        <v>0</v>
      </c>
      <c r="W72" s="2">
        <f>MAX(0,V72*(1+Forecast!$B31))</f>
        <v>0</v>
      </c>
      <c r="X72" s="2">
        <f>MAX(0,W72*(1+Forecast!$B31))</f>
        <v>0</v>
      </c>
      <c r="Y72" s="2">
        <f>MAX(0,X72*(1+Forecast!$B31))</f>
        <v>0</v>
      </c>
      <c r="Z72" s="2">
        <f>MAX(0,Y72*(1+Forecast!$B31))</f>
        <v>0</v>
      </c>
      <c r="AA72" s="2">
        <f>MAX(0,Z72*(1+Forecast!$B31))</f>
        <v>0</v>
      </c>
      <c r="AB72" s="2">
        <f>MAX(0,AA72*(1+Forecast!$B31))</f>
        <v>0</v>
      </c>
      <c r="AC72" s="2">
        <f>MAX(0,AB72*(1+Forecast!$B31))</f>
        <v>0</v>
      </c>
      <c r="AD72" s="2">
        <f>MAX(0,AC72*(1+Forecast!$B31))</f>
        <v>0</v>
      </c>
      <c r="AE72" s="2">
        <f>MAX(0,AD72*(1+Forecast!$B31))</f>
        <v>0</v>
      </c>
      <c r="AF72" s="2">
        <f>MAX(0,AE72*(1+Forecast!$B31))</f>
        <v>0</v>
      </c>
      <c r="AG72" s="2">
        <f>MAX(0,AF72*(1+Forecast!$B31))</f>
        <v>0</v>
      </c>
    </row>
    <row r="73" spans="1:33">
      <c r="A73" s="15" t="s">
        <v>16</v>
      </c>
      <c r="B73" s="2">
        <f>INDEX('2019'!$B$2:$G$11, MATCH($A73, '2019'!$A$2:$A$11, 0), MATCH(Commercial_calculation!$A$63, '2019'!$B$1:$G$1, 0))</f>
        <v>0</v>
      </c>
      <c r="C73" s="2">
        <f>INDEX('2020'!$B$2:$G$11, MATCH($A73, '2020'!$A$2:$A$11, 0), MATCH(Commercial_calculation!$A$63, '2020'!$B$1:$G$1, 0))</f>
        <v>0</v>
      </c>
      <c r="D73" s="2">
        <f>INDEX('2021'!$B$2:$G$11, MATCH($A73, '2021'!$A$2:$A$11, 0), MATCH(Commercial_calculation!$A$63, '2021'!$B$1:$G$1, 0))</f>
        <v>0</v>
      </c>
      <c r="E73" s="2">
        <f>INDEX('2022'!$B$2:$G$11, MATCH($A73, '2022'!$A$2:$A$11, 0), MATCH(Commercial_calculation!$A$63, '2022'!$B$1:$G$1, 0))</f>
        <v>0</v>
      </c>
      <c r="F73" s="2">
        <f>MAX(0,E73*(1+Forecast!$B32))</f>
        <v>0</v>
      </c>
      <c r="G73" s="2">
        <f>MAX(0,F73*(1+Forecast!$B32))</f>
        <v>0</v>
      </c>
      <c r="H73" s="2">
        <f>MAX(0,G73*(1+Forecast!$B32))</f>
        <v>0</v>
      </c>
      <c r="I73" s="2">
        <f>MAX(0,H73*(1+Forecast!$B32))</f>
        <v>0</v>
      </c>
      <c r="J73" s="2">
        <f>MAX(0,I73*(1+Forecast!$B32))</f>
        <v>0</v>
      </c>
      <c r="K73" s="2">
        <f>MAX(0,J73*(1+Forecast!$B32))</f>
        <v>0</v>
      </c>
      <c r="L73" s="2">
        <f>MAX(0,K73*(1+Forecast!$B32))</f>
        <v>0</v>
      </c>
      <c r="M73" s="2">
        <f>MAX(0,L73*(1+Forecast!$B32))</f>
        <v>0</v>
      </c>
      <c r="N73" s="2">
        <f>MAX(0,M73*(1+Forecast!$B32))</f>
        <v>0</v>
      </c>
      <c r="O73" s="2">
        <f>MAX(0,N73*(1+Forecast!$B32))</f>
        <v>0</v>
      </c>
      <c r="P73" s="2">
        <f>MAX(0,O73*(1+Forecast!$B32))</f>
        <v>0</v>
      </c>
      <c r="Q73" s="2">
        <f>MAX(0,P73*(1+Forecast!$B32))</f>
        <v>0</v>
      </c>
      <c r="R73" s="2">
        <f>MAX(0,Q73*(1+Forecast!$B32))</f>
        <v>0</v>
      </c>
      <c r="S73" s="2">
        <f>MAX(0,R73*(1+Forecast!$B32))</f>
        <v>0</v>
      </c>
      <c r="T73" s="2">
        <f>MAX(0,S73*(1+Forecast!$B32))</f>
        <v>0</v>
      </c>
      <c r="U73" s="2">
        <f>MAX(0,T73*(1+Forecast!$B32))</f>
        <v>0</v>
      </c>
      <c r="V73" s="2">
        <f>MAX(0,U73*(1+Forecast!$B32))</f>
        <v>0</v>
      </c>
      <c r="W73" s="2">
        <f>MAX(0,V73*(1+Forecast!$B32))</f>
        <v>0</v>
      </c>
      <c r="X73" s="2">
        <f>MAX(0,W73*(1+Forecast!$B32))</f>
        <v>0</v>
      </c>
      <c r="Y73" s="2">
        <f>MAX(0,X73*(1+Forecast!$B32))</f>
        <v>0</v>
      </c>
      <c r="Z73" s="2">
        <f>MAX(0,Y73*(1+Forecast!$B32))</f>
        <v>0</v>
      </c>
      <c r="AA73" s="2">
        <f>MAX(0,Z73*(1+Forecast!$B32))</f>
        <v>0</v>
      </c>
      <c r="AB73" s="2">
        <f>MAX(0,AA73*(1+Forecast!$B32))</f>
        <v>0</v>
      </c>
      <c r="AC73" s="2">
        <f>MAX(0,AB73*(1+Forecast!$B32))</f>
        <v>0</v>
      </c>
      <c r="AD73" s="2">
        <f>MAX(0,AC73*(1+Forecast!$B32))</f>
        <v>0</v>
      </c>
      <c r="AE73" s="2">
        <f>MAX(0,AD73*(1+Forecast!$B32))</f>
        <v>0</v>
      </c>
      <c r="AF73" s="2">
        <f>MAX(0,AE73*(1+Forecast!$B32))</f>
        <v>0</v>
      </c>
      <c r="AG73" s="2">
        <f>MAX(0,AF73*(1+Forecast!$B32))</f>
        <v>0</v>
      </c>
    </row>
    <row r="75" spans="1:33">
      <c r="A75" s="15" t="s">
        <v>144</v>
      </c>
    </row>
    <row r="77" spans="1:33">
      <c r="A77" t="s">
        <v>132</v>
      </c>
      <c r="B77" s="1">
        <v>2019</v>
      </c>
      <c r="C77" s="1">
        <v>2020</v>
      </c>
      <c r="D77" s="1">
        <v>2021</v>
      </c>
      <c r="E77" s="1">
        <v>2022</v>
      </c>
      <c r="F77" s="1">
        <v>2023</v>
      </c>
      <c r="G77" s="1">
        <v>2024</v>
      </c>
      <c r="H77" s="1">
        <v>2025</v>
      </c>
      <c r="I77" s="1">
        <v>2026</v>
      </c>
      <c r="J77" s="1">
        <v>2027</v>
      </c>
      <c r="K77" s="1">
        <v>2028</v>
      </c>
      <c r="L77" s="1">
        <v>2029</v>
      </c>
      <c r="M77" s="1">
        <v>2030</v>
      </c>
      <c r="N77" s="1">
        <v>2031</v>
      </c>
      <c r="O77" s="1">
        <v>2032</v>
      </c>
      <c r="P77" s="1">
        <v>2033</v>
      </c>
      <c r="Q77" s="1">
        <v>2034</v>
      </c>
      <c r="R77" s="1">
        <v>2035</v>
      </c>
      <c r="S77" s="1">
        <v>2036</v>
      </c>
      <c r="T77" s="1">
        <v>2037</v>
      </c>
      <c r="U77" s="1">
        <v>2038</v>
      </c>
      <c r="V77" s="1">
        <v>2039</v>
      </c>
      <c r="W77" s="1">
        <v>2040</v>
      </c>
      <c r="X77" s="1">
        <v>2041</v>
      </c>
      <c r="Y77" s="1">
        <v>2042</v>
      </c>
      <c r="Z77" s="1">
        <v>2043</v>
      </c>
      <c r="AA77" s="1">
        <v>2044</v>
      </c>
      <c r="AB77" s="1">
        <v>2045</v>
      </c>
      <c r="AC77" s="1">
        <v>2046</v>
      </c>
      <c r="AD77" s="1">
        <v>2047</v>
      </c>
      <c r="AE77" s="1">
        <v>2048</v>
      </c>
      <c r="AF77" s="1">
        <v>2049</v>
      </c>
      <c r="AG77" s="1">
        <v>2050</v>
      </c>
    </row>
    <row r="78" spans="1:33">
      <c r="A78" s="15" t="s">
        <v>2</v>
      </c>
      <c r="B78" s="2">
        <f>B64+B52+B40+B28+B16+B4</f>
        <v>556653532665539.25</v>
      </c>
      <c r="C78" s="2">
        <f t="shared" ref="C78:AG86" si="0">C64+C52+C40+C28+C16+C4</f>
        <v>565203661328159.25</v>
      </c>
      <c r="D78" s="2">
        <f t="shared" si="0"/>
        <v>570203731928159.13</v>
      </c>
      <c r="E78" s="2">
        <f t="shared" si="0"/>
        <v>602831176748159.25</v>
      </c>
      <c r="F78" s="2">
        <f t="shared" si="0"/>
        <v>607653826162144.5</v>
      </c>
      <c r="G78" s="2">
        <f t="shared" si="0"/>
        <v>612515056771441.75</v>
      </c>
      <c r="H78" s="2">
        <f t="shared" si="0"/>
        <v>617415177225613.25</v>
      </c>
      <c r="I78" s="2">
        <f t="shared" si="0"/>
        <v>622354498643418.25</v>
      </c>
      <c r="J78" s="2">
        <f t="shared" si="0"/>
        <v>627333334632565.5</v>
      </c>
      <c r="K78" s="2">
        <f t="shared" si="0"/>
        <v>632352001309626</v>
      </c>
      <c r="L78" s="2">
        <f t="shared" si="0"/>
        <v>637410817320103.13</v>
      </c>
      <c r="M78" s="2">
        <f t="shared" si="0"/>
        <v>642510103858663.88</v>
      </c>
      <c r="N78" s="2">
        <f t="shared" si="0"/>
        <v>647650184689533.25</v>
      </c>
      <c r="O78" s="2">
        <f t="shared" si="0"/>
        <v>652831386167049.5</v>
      </c>
      <c r="P78" s="2">
        <f t="shared" si="0"/>
        <v>658054037256386</v>
      </c>
      <c r="Q78" s="2">
        <f t="shared" si="0"/>
        <v>663318469554437</v>
      </c>
      <c r="R78" s="2">
        <f t="shared" si="0"/>
        <v>668625017310872.5</v>
      </c>
      <c r="S78" s="2">
        <f t="shared" si="0"/>
        <v>673974017449359.5</v>
      </c>
      <c r="T78" s="2">
        <f t="shared" si="0"/>
        <v>679365809588954.38</v>
      </c>
      <c r="U78" s="2">
        <f t="shared" si="0"/>
        <v>684800736065666</v>
      </c>
      <c r="V78" s="2">
        <f t="shared" si="0"/>
        <v>690279141954191.38</v>
      </c>
      <c r="W78" s="2">
        <f t="shared" si="0"/>
        <v>695801375089824.88</v>
      </c>
      <c r="X78" s="2">
        <f t="shared" si="0"/>
        <v>701367786090543.5</v>
      </c>
      <c r="Y78" s="2">
        <f t="shared" si="0"/>
        <v>706978728379267.75</v>
      </c>
      <c r="Z78" s="2">
        <f t="shared" si="0"/>
        <v>712634558206302</v>
      </c>
      <c r="AA78" s="2">
        <f t="shared" si="0"/>
        <v>718335634671952.5</v>
      </c>
      <c r="AB78" s="2">
        <f t="shared" si="0"/>
        <v>724082319749328</v>
      </c>
      <c r="AC78" s="2">
        <f t="shared" si="0"/>
        <v>729874978307322.63</v>
      </c>
      <c r="AD78" s="2">
        <f t="shared" si="0"/>
        <v>735713978133781.25</v>
      </c>
      <c r="AE78" s="2">
        <f t="shared" si="0"/>
        <v>741599689958851.5</v>
      </c>
      <c r="AF78" s="2">
        <f t="shared" si="0"/>
        <v>747532487478522.25</v>
      </c>
      <c r="AG78" s="2">
        <f t="shared" si="0"/>
        <v>753512747378350.5</v>
      </c>
    </row>
    <row r="79" spans="1:33">
      <c r="A79" s="15" t="s">
        <v>3</v>
      </c>
      <c r="B79" s="2">
        <f t="shared" ref="B79:Q87" si="1">B65+B53+B41+B29+B17+B5</f>
        <v>1867081918380.0002</v>
      </c>
      <c r="C79" s="2">
        <f t="shared" si="1"/>
        <v>0</v>
      </c>
      <c r="D79" s="2">
        <f t="shared" si="1"/>
        <v>0</v>
      </c>
      <c r="E79" s="2">
        <f t="shared" si="1"/>
        <v>65753219459.870193</v>
      </c>
      <c r="F79" s="2">
        <f t="shared" si="1"/>
        <v>60032689366.861496</v>
      </c>
      <c r="G79" s="2">
        <f t="shared" si="1"/>
        <v>54809845391.94455</v>
      </c>
      <c r="H79" s="2">
        <f t="shared" si="1"/>
        <v>50041388842.845367</v>
      </c>
      <c r="I79" s="2">
        <f t="shared" si="1"/>
        <v>45687788013.517822</v>
      </c>
      <c r="J79" s="2">
        <f t="shared" si="1"/>
        <v>41712950456.341782</v>
      </c>
      <c r="K79" s="2">
        <f t="shared" si="1"/>
        <v>38083923766.640045</v>
      </c>
      <c r="L79" s="2">
        <f t="shared" si="1"/>
        <v>34770622398.94236</v>
      </c>
      <c r="M79" s="2">
        <f t="shared" si="1"/>
        <v>31745578250.234375</v>
      </c>
      <c r="N79" s="2">
        <f t="shared" si="1"/>
        <v>28983712942.463985</v>
      </c>
      <c r="O79" s="2">
        <f t="shared" si="1"/>
        <v>26462129916.46962</v>
      </c>
      <c r="P79" s="2">
        <f t="shared" si="1"/>
        <v>24159924613.736763</v>
      </c>
      <c r="Q79" s="2">
        <f t="shared" si="1"/>
        <v>22058011172.341667</v>
      </c>
      <c r="R79" s="2">
        <f t="shared" si="0"/>
        <v>20138964200.347946</v>
      </c>
      <c r="S79" s="2">
        <f t="shared" si="0"/>
        <v>18386874314.917671</v>
      </c>
      <c r="T79" s="2">
        <f t="shared" si="0"/>
        <v>16787216249.519836</v>
      </c>
      <c r="U79" s="2">
        <f t="shared" si="0"/>
        <v>15326728435.811611</v>
      </c>
      <c r="V79" s="2">
        <f t="shared" si="0"/>
        <v>13993303061.896</v>
      </c>
      <c r="W79" s="2">
        <f t="shared" si="0"/>
        <v>12775885695.511049</v>
      </c>
      <c r="X79" s="2">
        <f t="shared" si="0"/>
        <v>11664383640.001589</v>
      </c>
      <c r="Y79" s="2">
        <f t="shared" si="0"/>
        <v>10649582263.321451</v>
      </c>
      <c r="Z79" s="2">
        <f t="shared" si="0"/>
        <v>9723068606.4124851</v>
      </c>
      <c r="AA79" s="2">
        <f t="shared" si="0"/>
        <v>8877161637.6546001</v>
      </c>
      <c r="AB79" s="2">
        <f t="shared" si="0"/>
        <v>8104848575.1786499</v>
      </c>
      <c r="AC79" s="2">
        <f t="shared" si="0"/>
        <v>7399726749.1381073</v>
      </c>
      <c r="AD79" s="2">
        <f t="shared" si="0"/>
        <v>6755950521.9630928</v>
      </c>
      <c r="AE79" s="2">
        <f t="shared" si="0"/>
        <v>6168182826.5523033</v>
      </c>
      <c r="AF79" s="2">
        <f t="shared" si="0"/>
        <v>5631550920.6422539</v>
      </c>
      <c r="AG79" s="2">
        <f t="shared" si="0"/>
        <v>5141605990.5463772</v>
      </c>
    </row>
    <row r="80" spans="1:33">
      <c r="A80" s="15" t="s">
        <v>4</v>
      </c>
      <c r="B80" s="2">
        <f t="shared" si="1"/>
        <v>170830741461090.03</v>
      </c>
      <c r="C80" s="2">
        <f t="shared" si="0"/>
        <v>144565533300000.03</v>
      </c>
      <c r="D80" s="2">
        <f t="shared" si="0"/>
        <v>144129019200000.03</v>
      </c>
      <c r="E80" s="2">
        <f t="shared" si="0"/>
        <v>156783959790000.03</v>
      </c>
      <c r="F80" s="2">
        <f t="shared" si="0"/>
        <v>159919638985800.06</v>
      </c>
      <c r="G80" s="2">
        <f t="shared" si="0"/>
        <v>163118031765516.06</v>
      </c>
      <c r="H80" s="2">
        <f t="shared" si="0"/>
        <v>166380392400826.38</v>
      </c>
      <c r="I80" s="2">
        <f t="shared" si="0"/>
        <v>169708000248842.94</v>
      </c>
      <c r="J80" s="2">
        <f t="shared" si="0"/>
        <v>173102160253819.78</v>
      </c>
      <c r="K80" s="2">
        <f t="shared" si="0"/>
        <v>176564203458896.19</v>
      </c>
      <c r="L80" s="2">
        <f t="shared" si="0"/>
        <v>180095487528074.09</v>
      </c>
      <c r="M80" s="2">
        <f t="shared" si="0"/>
        <v>183697397278635.59</v>
      </c>
      <c r="N80" s="2">
        <f t="shared" si="0"/>
        <v>187371345224208.31</v>
      </c>
      <c r="O80" s="2">
        <f t="shared" si="0"/>
        <v>191118772128692.47</v>
      </c>
      <c r="P80" s="2">
        <f t="shared" si="0"/>
        <v>194941147571266.31</v>
      </c>
      <c r="Q80" s="2">
        <f t="shared" si="0"/>
        <v>198839970522691.66</v>
      </c>
      <c r="R80" s="2">
        <f t="shared" si="0"/>
        <v>202816769933145.5</v>
      </c>
      <c r="S80" s="2">
        <f t="shared" si="0"/>
        <v>206873105331808.41</v>
      </c>
      <c r="T80" s="2">
        <f t="shared" si="0"/>
        <v>211010567438444.56</v>
      </c>
      <c r="U80" s="2">
        <f t="shared" si="0"/>
        <v>215230778787213.47</v>
      </c>
      <c r="V80" s="2">
        <f t="shared" si="0"/>
        <v>219535394362957.75</v>
      </c>
      <c r="W80" s="2">
        <f t="shared" si="0"/>
        <v>223926102250216.91</v>
      </c>
      <c r="X80" s="2">
        <f t="shared" si="0"/>
        <v>228404624295221.25</v>
      </c>
      <c r="Y80" s="2">
        <f t="shared" si="0"/>
        <v>232972716781125.69</v>
      </c>
      <c r="Z80" s="2">
        <f t="shared" si="0"/>
        <v>237632171116748.19</v>
      </c>
      <c r="AA80" s="2">
        <f t="shared" si="0"/>
        <v>242384814539083.19</v>
      </c>
      <c r="AB80" s="2">
        <f t="shared" si="0"/>
        <v>247232510829864.88</v>
      </c>
      <c r="AC80" s="2">
        <f t="shared" si="0"/>
        <v>252177161046462.13</v>
      </c>
      <c r="AD80" s="2">
        <f t="shared" si="0"/>
        <v>257220704267391.38</v>
      </c>
      <c r="AE80" s="2">
        <f t="shared" si="0"/>
        <v>262365118352739.22</v>
      </c>
      <c r="AF80" s="2">
        <f t="shared" si="0"/>
        <v>267612420719794.03</v>
      </c>
      <c r="AG80" s="2">
        <f t="shared" si="0"/>
        <v>272964669134189.91</v>
      </c>
    </row>
    <row r="81" spans="1:33">
      <c r="A81" s="15" t="s">
        <v>5</v>
      </c>
      <c r="B81" s="2">
        <f t="shared" si="1"/>
        <v>2321088328860.0005</v>
      </c>
      <c r="C81" s="2">
        <f t="shared" si="0"/>
        <v>2237323470105.9912</v>
      </c>
      <c r="D81" s="2">
        <f t="shared" si="0"/>
        <v>4545180697731.6191</v>
      </c>
      <c r="E81" s="2">
        <f t="shared" si="0"/>
        <v>1965766492410.1494</v>
      </c>
      <c r="F81" s="2">
        <f t="shared" si="0"/>
        <v>1871409700774.4622</v>
      </c>
      <c r="G81" s="2">
        <f t="shared" si="0"/>
        <v>1781582035137.2878</v>
      </c>
      <c r="H81" s="2">
        <f t="shared" si="0"/>
        <v>1696066097450.698</v>
      </c>
      <c r="I81" s="2">
        <f t="shared" si="0"/>
        <v>1614654924773.0645</v>
      </c>
      <c r="J81" s="2">
        <f t="shared" si="0"/>
        <v>1537151488383.9573</v>
      </c>
      <c r="K81" s="2">
        <f t="shared" si="0"/>
        <v>1463368216941.5273</v>
      </c>
      <c r="L81" s="2">
        <f t="shared" si="0"/>
        <v>1393126542528.334</v>
      </c>
      <c r="M81" s="2">
        <f t="shared" si="0"/>
        <v>1326256468486.9739</v>
      </c>
      <c r="N81" s="2">
        <f t="shared" si="0"/>
        <v>1262596157999.5991</v>
      </c>
      <c r="O81" s="2">
        <f t="shared" si="0"/>
        <v>1201991542415.6184</v>
      </c>
      <c r="P81" s="2">
        <f t="shared" si="0"/>
        <v>1144295948379.6685</v>
      </c>
      <c r="Q81" s="2">
        <f t="shared" si="0"/>
        <v>1089369742857.4443</v>
      </c>
      <c r="R81" s="2">
        <f t="shared" si="0"/>
        <v>1037079995200.2871</v>
      </c>
      <c r="S81" s="2">
        <f t="shared" si="0"/>
        <v>987300155430.67334</v>
      </c>
      <c r="T81" s="2">
        <f t="shared" si="0"/>
        <v>939909747970.00098</v>
      </c>
      <c r="U81" s="2">
        <f t="shared" si="0"/>
        <v>894794080067.44092</v>
      </c>
      <c r="V81" s="2">
        <f t="shared" si="0"/>
        <v>851843964224.20374</v>
      </c>
      <c r="W81" s="2">
        <f t="shared" si="0"/>
        <v>810955453941.44189</v>
      </c>
      <c r="X81" s="2">
        <f t="shared" si="0"/>
        <v>772029592152.25269</v>
      </c>
      <c r="Y81" s="2">
        <f t="shared" si="0"/>
        <v>734972171728.94458</v>
      </c>
      <c r="Z81" s="2">
        <f t="shared" si="0"/>
        <v>699693507485.95508</v>
      </c>
      <c r="AA81" s="2">
        <f t="shared" si="0"/>
        <v>666108219126.62927</v>
      </c>
      <c r="AB81" s="2">
        <f t="shared" si="0"/>
        <v>634135024608.55103</v>
      </c>
      <c r="AC81" s="2">
        <f t="shared" si="0"/>
        <v>603696543427.34058</v>
      </c>
      <c r="AD81" s="2">
        <f t="shared" si="0"/>
        <v>574719109342.82813</v>
      </c>
      <c r="AE81" s="2">
        <f t="shared" si="0"/>
        <v>547132592094.37238</v>
      </c>
      <c r="AF81" s="2">
        <f t="shared" si="0"/>
        <v>520870227673.84253</v>
      </c>
      <c r="AG81" s="2">
        <f t="shared" si="0"/>
        <v>495868456745.49799</v>
      </c>
    </row>
    <row r="82" spans="1:33">
      <c r="A82" s="15" t="s">
        <v>7</v>
      </c>
      <c r="B82" s="2">
        <f t="shared" si="1"/>
        <v>11827758275430.004</v>
      </c>
      <c r="C82" s="2">
        <f t="shared" si="0"/>
        <v>16230387900000</v>
      </c>
      <c r="D82" s="2">
        <f t="shared" si="0"/>
        <v>16349437200000.002</v>
      </c>
      <c r="E82" s="2">
        <f t="shared" si="0"/>
        <v>16246261140000.002</v>
      </c>
      <c r="F82" s="2">
        <f t="shared" si="0"/>
        <v>16538693840520.004</v>
      </c>
      <c r="G82" s="2">
        <f t="shared" si="0"/>
        <v>16836390329649.363</v>
      </c>
      <c r="H82" s="2">
        <f t="shared" si="0"/>
        <v>17139445355583.053</v>
      </c>
      <c r="I82" s="2">
        <f t="shared" si="0"/>
        <v>17447955371983.547</v>
      </c>
      <c r="J82" s="2">
        <f t="shared" si="0"/>
        <v>17762018568679.25</v>
      </c>
      <c r="K82" s="2">
        <f t="shared" si="0"/>
        <v>18081734902915.477</v>
      </c>
      <c r="L82" s="2">
        <f t="shared" si="0"/>
        <v>18407206131167.957</v>
      </c>
      <c r="M82" s="2">
        <f t="shared" si="0"/>
        <v>18738535841528.98</v>
      </c>
      <c r="N82" s="2">
        <f t="shared" si="0"/>
        <v>19075829486676.5</v>
      </c>
      <c r="O82" s="2">
        <f t="shared" si="0"/>
        <v>19419194417436.68</v>
      </c>
      <c r="P82" s="2">
        <f t="shared" si="0"/>
        <v>19768739916950.539</v>
      </c>
      <c r="Q82" s="2">
        <f t="shared" si="0"/>
        <v>20124577235455.648</v>
      </c>
      <c r="R82" s="2">
        <f t="shared" si="0"/>
        <v>20486819625693.852</v>
      </c>
      <c r="S82" s="2">
        <f t="shared" si="0"/>
        <v>20855582378956.34</v>
      </c>
      <c r="T82" s="2">
        <f t="shared" si="0"/>
        <v>21230982861777.555</v>
      </c>
      <c r="U82" s="2">
        <f t="shared" si="0"/>
        <v>21613140553289.551</v>
      </c>
      <c r="V82" s="2">
        <f t="shared" si="0"/>
        <v>22002177083248.762</v>
      </c>
      <c r="W82" s="2">
        <f t="shared" si="0"/>
        <v>22398216270747.238</v>
      </c>
      <c r="X82" s="2">
        <f t="shared" si="0"/>
        <v>22801384163620.688</v>
      </c>
      <c r="Y82" s="2">
        <f t="shared" si="0"/>
        <v>23211809078565.863</v>
      </c>
      <c r="Z82" s="2">
        <f t="shared" si="0"/>
        <v>23629621641980.047</v>
      </c>
      <c r="AA82" s="2">
        <f t="shared" si="0"/>
        <v>24054954831535.688</v>
      </c>
      <c r="AB82" s="2">
        <f t="shared" si="0"/>
        <v>24487944018503.332</v>
      </c>
      <c r="AC82" s="2">
        <f t="shared" si="0"/>
        <v>24928727010836.395</v>
      </c>
      <c r="AD82" s="2">
        <f t="shared" si="0"/>
        <v>25377444097031.449</v>
      </c>
      <c r="AE82" s="2">
        <f t="shared" si="0"/>
        <v>25834238090778.012</v>
      </c>
      <c r="AF82" s="2">
        <f t="shared" si="0"/>
        <v>26299254376412.02</v>
      </c>
      <c r="AG82" s="2">
        <f t="shared" si="0"/>
        <v>26772640955187.438</v>
      </c>
    </row>
    <row r="83" spans="1:33">
      <c r="A83" s="15" t="s">
        <v>11</v>
      </c>
      <c r="B83" s="2">
        <f t="shared" si="1"/>
        <v>17625316326270.004</v>
      </c>
      <c r="C83" s="2">
        <f t="shared" si="0"/>
        <v>56746833000000.008</v>
      </c>
      <c r="D83" s="2">
        <f t="shared" si="0"/>
        <v>60873875400000.008</v>
      </c>
      <c r="E83" s="2">
        <f t="shared" si="0"/>
        <v>43151402940000.016</v>
      </c>
      <c r="F83" s="2">
        <f t="shared" si="0"/>
        <v>45093216072300.016</v>
      </c>
      <c r="G83" s="2">
        <f t="shared" si="0"/>
        <v>47122410795553.5</v>
      </c>
      <c r="H83" s="2">
        <f t="shared" si="0"/>
        <v>49242919281353.406</v>
      </c>
      <c r="I83" s="2">
        <f t="shared" si="0"/>
        <v>51458850649014.313</v>
      </c>
      <c r="J83" s="2">
        <f t="shared" si="0"/>
        <v>53774498928219.953</v>
      </c>
      <c r="K83" s="2">
        <f t="shared" si="0"/>
        <v>56194351379989.844</v>
      </c>
      <c r="L83" s="2">
        <f t="shared" si="0"/>
        <v>58723097192089.383</v>
      </c>
      <c r="M83" s="2">
        <f t="shared" si="0"/>
        <v>61365636565733.406</v>
      </c>
      <c r="N83" s="2">
        <f t="shared" si="0"/>
        <v>64127090211191.406</v>
      </c>
      <c r="O83" s="2">
        <f t="shared" si="0"/>
        <v>67012809270695.016</v>
      </c>
      <c r="P83" s="2">
        <f t="shared" si="0"/>
        <v>70028385687876.281</v>
      </c>
      <c r="Q83" s="2">
        <f t="shared" si="0"/>
        <v>73179663043830.719</v>
      </c>
      <c r="R83" s="2">
        <f t="shared" si="0"/>
        <v>76472747880803.094</v>
      </c>
      <c r="S83" s="2">
        <f t="shared" si="0"/>
        <v>79914021535439.219</v>
      </c>
      <c r="T83" s="2">
        <f t="shared" si="0"/>
        <v>83510152504533.969</v>
      </c>
      <c r="U83" s="2">
        <f t="shared" si="0"/>
        <v>87268109367238</v>
      </c>
      <c r="V83" s="2">
        <f t="shared" si="0"/>
        <v>91195174288763.703</v>
      </c>
      <c r="W83" s="2">
        <f t="shared" si="0"/>
        <v>95298957131758.063</v>
      </c>
      <c r="X83" s="2">
        <f t="shared" si="0"/>
        <v>99587410202687.188</v>
      </c>
      <c r="Y83" s="2">
        <f t="shared" si="0"/>
        <v>104068843661808.09</v>
      </c>
      <c r="Z83" s="2">
        <f t="shared" si="0"/>
        <v>108751941626589.47</v>
      </c>
      <c r="AA83" s="2">
        <f t="shared" si="0"/>
        <v>113645778999785.97</v>
      </c>
      <c r="AB83" s="2">
        <f t="shared" si="0"/>
        <v>118759839054776.34</v>
      </c>
      <c r="AC83" s="2">
        <f t="shared" si="0"/>
        <v>124104031812241.25</v>
      </c>
      <c r="AD83" s="2">
        <f t="shared" si="0"/>
        <v>129688713243792.11</v>
      </c>
      <c r="AE83" s="2">
        <f t="shared" si="0"/>
        <v>135524705339762.73</v>
      </c>
      <c r="AF83" s="2">
        <f t="shared" si="0"/>
        <v>141623317080052.06</v>
      </c>
      <c r="AG83" s="2">
        <f t="shared" si="0"/>
        <v>147996366348654.38</v>
      </c>
    </row>
    <row r="84" spans="1:33">
      <c r="A84" s="15" t="s">
        <v>13</v>
      </c>
      <c r="B84" s="2">
        <f t="shared" si="1"/>
        <v>16786364004240.004</v>
      </c>
      <c r="C84" s="2">
        <f t="shared" si="0"/>
        <v>33222845479690.273</v>
      </c>
      <c r="D84" s="2">
        <f t="shared" si="0"/>
        <v>32871242644454.52</v>
      </c>
      <c r="E84" s="2">
        <f t="shared" si="0"/>
        <v>14216637720608.342</v>
      </c>
      <c r="F84" s="2">
        <f t="shared" si="0"/>
        <v>13534239110019.141</v>
      </c>
      <c r="G84" s="2">
        <f t="shared" si="0"/>
        <v>12884595632738.221</v>
      </c>
      <c r="H84" s="2">
        <f t="shared" si="0"/>
        <v>12266135042366.785</v>
      </c>
      <c r="I84" s="2">
        <f t="shared" si="0"/>
        <v>11677360560333.18</v>
      </c>
      <c r="J84" s="2">
        <f t="shared" si="0"/>
        <v>11116847253437.188</v>
      </c>
      <c r="K84" s="2">
        <f t="shared" si="0"/>
        <v>10583238585272.201</v>
      </c>
      <c r="L84" s="2">
        <f t="shared" si="0"/>
        <v>10075243133179.135</v>
      </c>
      <c r="M84" s="2">
        <f t="shared" si="0"/>
        <v>9591631462786.5352</v>
      </c>
      <c r="N84" s="2">
        <f t="shared" si="0"/>
        <v>9131233152572.7813</v>
      </c>
      <c r="O84" s="2">
        <f t="shared" si="0"/>
        <v>8692933961249.2881</v>
      </c>
      <c r="P84" s="2">
        <f t="shared" si="0"/>
        <v>8275673131109.3213</v>
      </c>
      <c r="Q84" s="2">
        <f t="shared" si="0"/>
        <v>7878440820816.0732</v>
      </c>
      <c r="R84" s="2">
        <f t="shared" si="0"/>
        <v>7500275661416.9014</v>
      </c>
      <c r="S84" s="2">
        <f t="shared" si="0"/>
        <v>7140262429668.8906</v>
      </c>
      <c r="T84" s="2">
        <f t="shared" si="0"/>
        <v>6797529833044.7832</v>
      </c>
      <c r="U84" s="2">
        <f t="shared" si="0"/>
        <v>6471248401058.6338</v>
      </c>
      <c r="V84" s="2">
        <f t="shared" si="0"/>
        <v>6160628477807.8184</v>
      </c>
      <c r="W84" s="2">
        <f t="shared" si="0"/>
        <v>5864918310873.043</v>
      </c>
      <c r="X84" s="2">
        <f t="shared" si="0"/>
        <v>5583402231951.1367</v>
      </c>
      <c r="Y84" s="2">
        <f t="shared" si="0"/>
        <v>5315398924817.4814</v>
      </c>
      <c r="Z84" s="2">
        <f t="shared" si="0"/>
        <v>5060259776426.2422</v>
      </c>
      <c r="AA84" s="2">
        <f t="shared" si="0"/>
        <v>4817367307157.7832</v>
      </c>
      <c r="AB84" s="2">
        <f t="shared" si="0"/>
        <v>4586133676414.209</v>
      </c>
      <c r="AC84" s="2">
        <f t="shared" si="0"/>
        <v>4365999259946.3271</v>
      </c>
      <c r="AD84" s="2">
        <f t="shared" si="0"/>
        <v>4156431295468.9033</v>
      </c>
      <c r="AE84" s="2">
        <f t="shared" si="0"/>
        <v>3956922593286.396</v>
      </c>
      <c r="AF84" s="2">
        <f t="shared" si="0"/>
        <v>3766990308808.6494</v>
      </c>
      <c r="AG84" s="2">
        <f t="shared" si="0"/>
        <v>3586174773985.834</v>
      </c>
    </row>
    <row r="85" spans="1:33">
      <c r="A85" s="15" t="s">
        <v>14</v>
      </c>
      <c r="B85" s="2">
        <f t="shared" si="1"/>
        <v>1831426653030.0002</v>
      </c>
      <c r="C85" s="2">
        <f t="shared" si="0"/>
        <v>3956878225670.9766</v>
      </c>
      <c r="D85" s="2">
        <f t="shared" si="0"/>
        <v>3586319817803.5664</v>
      </c>
      <c r="E85" s="2">
        <f t="shared" si="0"/>
        <v>1551064258550.4082</v>
      </c>
      <c r="F85" s="2">
        <f t="shared" si="0"/>
        <v>1476613174139.9885</v>
      </c>
      <c r="G85" s="2">
        <f t="shared" si="0"/>
        <v>1405735741781.269</v>
      </c>
      <c r="H85" s="2">
        <f t="shared" si="0"/>
        <v>1338260426175.7683</v>
      </c>
      <c r="I85" s="2">
        <f t="shared" si="0"/>
        <v>1274023925719.3313</v>
      </c>
      <c r="J85" s="2">
        <f t="shared" si="0"/>
        <v>1212870777284.8032</v>
      </c>
      <c r="K85" s="2">
        <f t="shared" si="0"/>
        <v>1154652979975.1328</v>
      </c>
      <c r="L85" s="2">
        <f t="shared" si="0"/>
        <v>1099229636936.3262</v>
      </c>
      <c r="M85" s="2">
        <f t="shared" si="0"/>
        <v>1046466614363.3824</v>
      </c>
      <c r="N85" s="2">
        <f t="shared" si="0"/>
        <v>996236216873.94006</v>
      </c>
      <c r="O85" s="2">
        <f t="shared" si="0"/>
        <v>948416878463.99097</v>
      </c>
      <c r="P85" s="2">
        <f t="shared" si="0"/>
        <v>902892868297.71936</v>
      </c>
      <c r="Q85" s="2">
        <f t="shared" si="0"/>
        <v>859554010619.42871</v>
      </c>
      <c r="R85" s="2">
        <f t="shared" si="0"/>
        <v>818295418109.69604</v>
      </c>
      <c r="S85" s="2">
        <f t="shared" si="0"/>
        <v>779017238040.43054</v>
      </c>
      <c r="T85" s="2">
        <f t="shared" si="0"/>
        <v>741624410614.48987</v>
      </c>
      <c r="U85" s="2">
        <f t="shared" si="0"/>
        <v>706026438904.99426</v>
      </c>
      <c r="V85" s="2">
        <f t="shared" si="0"/>
        <v>672137169837.55444</v>
      </c>
      <c r="W85" s="2">
        <f t="shared" si="0"/>
        <v>639874585685.35181</v>
      </c>
      <c r="X85" s="2">
        <f t="shared" si="0"/>
        <v>609160605572.45496</v>
      </c>
      <c r="Y85" s="2">
        <f t="shared" si="0"/>
        <v>579920896504.97705</v>
      </c>
      <c r="Z85" s="2">
        <f t="shared" si="0"/>
        <v>552084693472.73816</v>
      </c>
      <c r="AA85" s="2">
        <f t="shared" si="0"/>
        <v>525584628186.04675</v>
      </c>
      <c r="AB85" s="2">
        <f t="shared" si="0"/>
        <v>500356566033.11652</v>
      </c>
      <c r="AC85" s="2">
        <f t="shared" si="0"/>
        <v>476339450863.52686</v>
      </c>
      <c r="AD85" s="2">
        <f t="shared" si="0"/>
        <v>453475157222.07751</v>
      </c>
      <c r="AE85" s="2">
        <f t="shared" si="0"/>
        <v>431708349675.41779</v>
      </c>
      <c r="AF85" s="2">
        <f t="shared" si="0"/>
        <v>410986348890.99768</v>
      </c>
      <c r="AG85" s="2">
        <f t="shared" si="0"/>
        <v>391259004144.2298</v>
      </c>
    </row>
    <row r="86" spans="1:33">
      <c r="A86" s="15" t="s">
        <v>15</v>
      </c>
      <c r="B86" s="2">
        <f t="shared" si="1"/>
        <v>36248880874590.008</v>
      </c>
      <c r="C86" s="2">
        <f t="shared" si="0"/>
        <v>74441571298425.109</v>
      </c>
      <c r="D86" s="2">
        <f t="shared" si="0"/>
        <v>70982957269222</v>
      </c>
      <c r="E86" s="2">
        <f t="shared" si="0"/>
        <v>30699751717606.477</v>
      </c>
      <c r="F86" s="2">
        <f t="shared" si="0"/>
        <v>29226163635161.359</v>
      </c>
      <c r="G86" s="2">
        <f t="shared" si="0"/>
        <v>27823307780673.613</v>
      </c>
      <c r="H86" s="2">
        <f t="shared" si="0"/>
        <v>26487789007201.281</v>
      </c>
      <c r="I86" s="2">
        <f t="shared" si="0"/>
        <v>25216375134855.617</v>
      </c>
      <c r="J86" s="2">
        <f t="shared" si="0"/>
        <v>24005989128382.547</v>
      </c>
      <c r="K86" s="2">
        <f t="shared" si="0"/>
        <v>22853701650220.184</v>
      </c>
      <c r="L86" s="2">
        <f t="shared" si="0"/>
        <v>21756723971009.613</v>
      </c>
      <c r="M86" s="2">
        <f t="shared" si="0"/>
        <v>20712401220401.152</v>
      </c>
      <c r="N86" s="2">
        <f t="shared" si="0"/>
        <v>19718205961821.898</v>
      </c>
      <c r="O86" s="2">
        <f t="shared" si="0"/>
        <v>18771732075654.445</v>
      </c>
      <c r="P86" s="2">
        <f t="shared" si="0"/>
        <v>17870688936023.031</v>
      </c>
      <c r="Q86" s="2">
        <f t="shared" si="0"/>
        <v>17012895867093.924</v>
      </c>
      <c r="R86" s="2">
        <f t="shared" si="0"/>
        <v>16196276865473.414</v>
      </c>
      <c r="S86" s="2">
        <f t="shared" si="0"/>
        <v>15418855575930.691</v>
      </c>
      <c r="T86" s="2">
        <f t="shared" si="0"/>
        <v>14678750508286.016</v>
      </c>
      <c r="U86" s="2">
        <f t="shared" si="0"/>
        <v>13974170483888.285</v>
      </c>
      <c r="V86" s="2">
        <f t="shared" si="0"/>
        <v>13303410300661.648</v>
      </c>
      <c r="W86" s="2">
        <f t="shared" si="0"/>
        <v>12664846606229.891</v>
      </c>
      <c r="X86" s="2">
        <f t="shared" si="0"/>
        <v>12056933969130.854</v>
      </c>
      <c r="Y86" s="2">
        <f t="shared" ref="C86:AG87" si="2">Y72+Y60+Y48+Y36+Y24+Y12</f>
        <v>11478201138612.572</v>
      </c>
      <c r="Z86" s="2">
        <f t="shared" si="2"/>
        <v>10927247483959.168</v>
      </c>
      <c r="AA86" s="2">
        <f t="shared" si="2"/>
        <v>10402739604729.127</v>
      </c>
      <c r="AB86" s="2">
        <f t="shared" si="2"/>
        <v>9903408103702.1289</v>
      </c>
      <c r="AC86" s="2">
        <f t="shared" si="2"/>
        <v>9428044514724.4258</v>
      </c>
      <c r="AD86" s="2">
        <f t="shared" si="2"/>
        <v>8975498378017.6523</v>
      </c>
      <c r="AE86" s="2">
        <f t="shared" si="2"/>
        <v>8544674455872.8066</v>
      </c>
      <c r="AF86" s="2">
        <f t="shared" si="2"/>
        <v>8134530081990.9121</v>
      </c>
      <c r="AG86" s="2">
        <f t="shared" si="2"/>
        <v>7744072638055.3477</v>
      </c>
    </row>
    <row r="87" spans="1:33">
      <c r="A87" s="15" t="s">
        <v>16</v>
      </c>
      <c r="B87" s="2">
        <f t="shared" si="1"/>
        <v>0</v>
      </c>
      <c r="C87" s="2">
        <f t="shared" si="2"/>
        <v>0</v>
      </c>
      <c r="D87" s="2">
        <f t="shared" si="2"/>
        <v>0</v>
      </c>
      <c r="E87" s="2">
        <f t="shared" si="2"/>
        <v>0</v>
      </c>
      <c r="F87" s="2">
        <f t="shared" si="2"/>
        <v>0</v>
      </c>
      <c r="G87" s="2">
        <f t="shared" si="2"/>
        <v>0</v>
      </c>
      <c r="H87" s="2">
        <f t="shared" si="2"/>
        <v>0</v>
      </c>
      <c r="I87" s="2">
        <f t="shared" si="2"/>
        <v>0</v>
      </c>
      <c r="J87" s="2">
        <f t="shared" si="2"/>
        <v>0</v>
      </c>
      <c r="K87" s="2">
        <f t="shared" si="2"/>
        <v>0</v>
      </c>
      <c r="L87" s="2">
        <f t="shared" si="2"/>
        <v>0</v>
      </c>
      <c r="M87" s="2">
        <f t="shared" si="2"/>
        <v>0</v>
      </c>
      <c r="N87" s="2">
        <f t="shared" si="2"/>
        <v>0</v>
      </c>
      <c r="O87" s="2">
        <f t="shared" si="2"/>
        <v>0</v>
      </c>
      <c r="P87" s="2">
        <f t="shared" si="2"/>
        <v>0</v>
      </c>
      <c r="Q87" s="2">
        <f t="shared" si="2"/>
        <v>0</v>
      </c>
      <c r="R87" s="2">
        <f t="shared" si="2"/>
        <v>0</v>
      </c>
      <c r="S87" s="2">
        <f t="shared" si="2"/>
        <v>0</v>
      </c>
      <c r="T87" s="2">
        <f t="shared" si="2"/>
        <v>0</v>
      </c>
      <c r="U87" s="2">
        <f t="shared" si="2"/>
        <v>0</v>
      </c>
      <c r="V87" s="2">
        <f t="shared" si="2"/>
        <v>0</v>
      </c>
      <c r="W87" s="2">
        <f t="shared" si="2"/>
        <v>0</v>
      </c>
      <c r="X87" s="2">
        <f t="shared" si="2"/>
        <v>0</v>
      </c>
      <c r="Y87" s="2">
        <f t="shared" si="2"/>
        <v>0</v>
      </c>
      <c r="Z87" s="2">
        <f t="shared" si="2"/>
        <v>0</v>
      </c>
      <c r="AA87" s="2">
        <f t="shared" si="2"/>
        <v>0</v>
      </c>
      <c r="AB87" s="2">
        <f t="shared" si="2"/>
        <v>0</v>
      </c>
      <c r="AC87" s="2">
        <f t="shared" si="2"/>
        <v>0</v>
      </c>
      <c r="AD87" s="2">
        <f t="shared" si="2"/>
        <v>0</v>
      </c>
      <c r="AE87" s="2">
        <f t="shared" si="2"/>
        <v>0</v>
      </c>
      <c r="AF87" s="2">
        <f t="shared" si="2"/>
        <v>0</v>
      </c>
      <c r="AG87" s="2">
        <f t="shared" si="2"/>
        <v>0</v>
      </c>
    </row>
    <row r="92" spans="1:33">
      <c r="A92" t="s">
        <v>132</v>
      </c>
      <c r="B92" s="1">
        <v>2019</v>
      </c>
      <c r="C92" s="1">
        <v>2020</v>
      </c>
      <c r="D92" s="1">
        <v>2021</v>
      </c>
      <c r="E92" s="1">
        <v>2022</v>
      </c>
      <c r="F92" s="1">
        <v>2023</v>
      </c>
      <c r="G92" s="1">
        <v>2024</v>
      </c>
      <c r="H92" s="1">
        <v>2025</v>
      </c>
      <c r="I92" s="1">
        <v>2026</v>
      </c>
      <c r="J92" s="1">
        <v>2027</v>
      </c>
      <c r="K92" s="1">
        <v>2028</v>
      </c>
      <c r="L92" s="1">
        <v>2029</v>
      </c>
      <c r="M92" s="1">
        <v>2030</v>
      </c>
      <c r="N92" s="1">
        <v>2031</v>
      </c>
      <c r="O92" s="1">
        <v>2032</v>
      </c>
      <c r="P92" s="1">
        <v>2033</v>
      </c>
      <c r="Q92" s="1">
        <v>2034</v>
      </c>
      <c r="R92" s="1">
        <v>2035</v>
      </c>
      <c r="S92" s="1">
        <v>2036</v>
      </c>
      <c r="T92" s="1">
        <v>2037</v>
      </c>
      <c r="U92" s="1">
        <v>2038</v>
      </c>
      <c r="V92" s="1">
        <v>2039</v>
      </c>
      <c r="W92" s="1">
        <v>2040</v>
      </c>
      <c r="X92" s="1">
        <v>2041</v>
      </c>
      <c r="Y92" s="1">
        <v>2042</v>
      </c>
      <c r="Z92" s="1">
        <v>2043</v>
      </c>
      <c r="AA92" s="1">
        <v>2044</v>
      </c>
      <c r="AB92" s="1">
        <v>2045</v>
      </c>
      <c r="AC92" s="1">
        <v>2046</v>
      </c>
      <c r="AD92" s="1">
        <v>2047</v>
      </c>
      <c r="AE92" s="1">
        <v>2048</v>
      </c>
      <c r="AF92" s="1">
        <v>2049</v>
      </c>
      <c r="AG92" s="1">
        <v>2050</v>
      </c>
    </row>
    <row r="93" spans="1:33">
      <c r="A93" s="15" t="s">
        <v>142</v>
      </c>
      <c r="B93" s="36">
        <f>B78/(About!$B$31*10^9)</f>
        <v>163.13902899279668</v>
      </c>
      <c r="C93" s="36">
        <f>C78/(About!$B$31*10^9)</f>
        <v>165.64482408063887</v>
      </c>
      <c r="D93" s="36">
        <f>D78/(About!$B$31*10^9)</f>
        <v>167.11019996476088</v>
      </c>
      <c r="E93" s="36">
        <f>E78/(About!$B$31*10^9)</f>
        <v>176.67235910702405</v>
      </c>
      <c r="F93" s="36">
        <f>F78/(About!$B$31*10^9)</f>
        <v>178.08573797988024</v>
      </c>
      <c r="G93" s="36">
        <f>G78/(About!$B$31*10^9)</f>
        <v>179.51042388371931</v>
      </c>
      <c r="H93" s="36">
        <f>H78/(About!$B$31*10^9)</f>
        <v>180.94650727478904</v>
      </c>
      <c r="I93" s="36">
        <f>I78/(About!$B$31*10^9)</f>
        <v>182.39407933298739</v>
      </c>
      <c r="J93" s="36">
        <f>J78/(About!$B$31*10^9)</f>
        <v>183.85323196765125</v>
      </c>
      <c r="K93" s="36">
        <f>K78/(About!$B$31*10^9)</f>
        <v>185.32405782339245</v>
      </c>
      <c r="L93" s="36">
        <f>L78/(About!$B$31*10^9)</f>
        <v>186.80665028597963</v>
      </c>
      <c r="M93" s="36">
        <f>M78/(About!$B$31*10^9)</f>
        <v>188.30110348826744</v>
      </c>
      <c r="N93" s="36">
        <f>N78/(About!$B$31*10^9)</f>
        <v>189.80751231617361</v>
      </c>
      <c r="O93" s="36">
        <f>O78/(About!$B$31*10^9)</f>
        <v>191.32597241470299</v>
      </c>
      <c r="P93" s="36">
        <f>P78/(About!$B$31*10^9)</f>
        <v>192.85658019402064</v>
      </c>
      <c r="Q93" s="36">
        <f>Q78/(About!$B$31*10^9)</f>
        <v>194.39943283557278</v>
      </c>
      <c r="R93" s="36">
        <f>R78/(About!$B$31*10^9)</f>
        <v>195.95462829825738</v>
      </c>
      <c r="S93" s="36">
        <f>S78/(About!$B$31*10^9)</f>
        <v>197.52226532464343</v>
      </c>
      <c r="T93" s="36">
        <f>T78/(About!$B$31*10^9)</f>
        <v>199.10244344724057</v>
      </c>
      <c r="U93" s="36">
        <f>U78/(About!$B$31*10^9)</f>
        <v>200.69526299481851</v>
      </c>
      <c r="V93" s="36">
        <f>V78/(About!$B$31*10^9)</f>
        <v>202.30082509877707</v>
      </c>
      <c r="W93" s="36">
        <f>W78/(About!$B$31*10^9)</f>
        <v>203.91923169956726</v>
      </c>
      <c r="X93" s="36">
        <f>X78/(About!$B$31*10^9)</f>
        <v>205.55058555316381</v>
      </c>
      <c r="Y93" s="36">
        <f>Y78/(About!$B$31*10^9)</f>
        <v>207.19499023758911</v>
      </c>
      <c r="Z93" s="36">
        <f>Z78/(About!$B$31*10^9)</f>
        <v>208.85255015948985</v>
      </c>
      <c r="AA93" s="36">
        <f>AA78/(About!$B$31*10^9)</f>
        <v>210.52337056076578</v>
      </c>
      <c r="AB93" s="36">
        <f>AB78/(About!$B$31*10^9)</f>
        <v>212.20755752525187</v>
      </c>
      <c r="AC93" s="36">
        <f>AC78/(About!$B$31*10^9)</f>
        <v>213.9052179854539</v>
      </c>
      <c r="AD93" s="36">
        <f>AD78/(About!$B$31*10^9)</f>
        <v>215.61645972933755</v>
      </c>
      <c r="AE93" s="36">
        <f>AE78/(About!$B$31*10^9)</f>
        <v>217.34139140717224</v>
      </c>
      <c r="AF93" s="36">
        <f>AF78/(About!$B$31*10^9)</f>
        <v>219.08012253842961</v>
      </c>
      <c r="AG93" s="36">
        <f>AG78/(About!$B$31*10^9)</f>
        <v>220.83276351873707</v>
      </c>
    </row>
    <row r="94" spans="1:33">
      <c r="A94" s="15" t="s">
        <v>133</v>
      </c>
      <c r="B94" s="36">
        <f>B79/(About!$B$31*10^9)</f>
        <v>0.54718763708544371</v>
      </c>
      <c r="C94" s="36">
        <f>C79/(About!$B$31*10^9)</f>
        <v>0</v>
      </c>
      <c r="D94" s="36">
        <f>D79/(About!$B$31*10^9)</f>
        <v>0</v>
      </c>
      <c r="E94" s="36">
        <f>E79/(About!$B$31*10^9)</f>
        <v>1.9270364322431538E-2</v>
      </c>
      <c r="F94" s="36">
        <f>F79/(About!$B$31*10^9)</f>
        <v>1.7593842626379998E-2</v>
      </c>
      <c r="G94" s="36">
        <f>G79/(About!$B$31*10^9)</f>
        <v>1.6063178317884938E-2</v>
      </c>
      <c r="H94" s="36">
        <f>H79/(About!$B$31*10^9)</f>
        <v>1.4665681804228947E-2</v>
      </c>
      <c r="I94" s="36">
        <f>I79/(About!$B$31*10^9)</f>
        <v>1.3389767487261029E-2</v>
      </c>
      <c r="J94" s="36">
        <f>J79/(About!$B$31*10^9)</f>
        <v>1.2224857715869323E-2</v>
      </c>
      <c r="K94" s="36">
        <f>K79/(About!$B$31*10^9)</f>
        <v>1.1161295094588691E-2</v>
      </c>
      <c r="L94" s="36">
        <f>L79/(About!$B$31*10^9)</f>
        <v>1.0190262421359474E-2</v>
      </c>
      <c r="M94" s="36">
        <f>M79/(About!$B$31*10^9)</f>
        <v>9.3037095907012E-3</v>
      </c>
      <c r="N94" s="36">
        <f>N79/(About!$B$31*10^9)</f>
        <v>8.4942868563101966E-3</v>
      </c>
      <c r="O94" s="36">
        <f>O79/(About!$B$31*10^9)</f>
        <v>7.755283899811209E-3</v>
      </c>
      <c r="P94" s="36">
        <f>P79/(About!$B$31*10^9)</f>
        <v>7.0805742005276345E-3</v>
      </c>
      <c r="Q94" s="36">
        <f>Q79/(About!$B$31*10^9)</f>
        <v>6.4645642450817309E-3</v>
      </c>
      <c r="R94" s="36">
        <f>R79/(About!$B$31*10^9)</f>
        <v>5.9021471557596213E-3</v>
      </c>
      <c r="S94" s="36">
        <f>S79/(About!$B$31*10^9)</f>
        <v>5.3886603532085336E-3</v>
      </c>
      <c r="T94" s="36">
        <f>T79/(About!$B$31*10^9)</f>
        <v>4.9198469024793919E-3</v>
      </c>
      <c r="U94" s="36">
        <f>U79/(About!$B$31*10^9)</f>
        <v>4.4918202219636849E-3</v>
      </c>
      <c r="V94" s="36">
        <f>V79/(About!$B$31*10^9)</f>
        <v>4.1010318626528439E-3</v>
      </c>
      <c r="W94" s="36">
        <f>W79/(About!$B$31*10^9)</f>
        <v>3.7442420906020468E-3</v>
      </c>
      <c r="X94" s="36">
        <f>X79/(About!$B$31*10^9)</f>
        <v>3.4184930287196689E-3</v>
      </c>
      <c r="Y94" s="36">
        <f>Y79/(About!$B$31*10^9)</f>
        <v>3.121084135221058E-3</v>
      </c>
      <c r="Z94" s="36">
        <f>Z79/(About!$B$31*10^9)</f>
        <v>2.849549815456826E-3</v>
      </c>
      <c r="AA94" s="36">
        <f>AA79/(About!$B$31*10^9)</f>
        <v>2.6016389815120824E-3</v>
      </c>
      <c r="AB94" s="36">
        <f>AB79/(About!$B$31*10^9)</f>
        <v>2.3752963901205312E-3</v>
      </c>
      <c r="AC94" s="36">
        <f>AC79/(About!$B$31*10^9)</f>
        <v>2.1686456041800453E-3</v>
      </c>
      <c r="AD94" s="36">
        <f>AD79/(About!$B$31*10^9)</f>
        <v>1.9799734366163814E-3</v>
      </c>
      <c r="AE94" s="36">
        <f>AE79/(About!$B$31*10^9)</f>
        <v>1.807715747630756E-3</v>
      </c>
      <c r="AF94" s="36">
        <f>AF79/(About!$B$31*10^9)</f>
        <v>1.6504444775868807E-3</v>
      </c>
      <c r="AG94" s="36">
        <f>AG79/(About!$B$31*10^9)</f>
        <v>1.5068558080368218E-3</v>
      </c>
    </row>
    <row r="95" spans="1:33">
      <c r="A95" s="15" t="s">
        <v>134</v>
      </c>
      <c r="B95" s="36">
        <f>B80/(About!$B$31*10^9)</f>
        <v>50.065542835289399</v>
      </c>
      <c r="C95" s="36">
        <f>C80/(About!$B$31*10^9)</f>
        <v>42.367970998862305</v>
      </c>
      <c r="D95" s="36">
        <f>D80/(About!$B$31*10^9)</f>
        <v>42.240041358184982</v>
      </c>
      <c r="E95" s="36">
        <f>E80/(About!$B$31*10^9)</f>
        <v>45.948837941093906</v>
      </c>
      <c r="F95" s="36">
        <f>F80/(About!$B$31*10^9)</f>
        <v>46.86781469991579</v>
      </c>
      <c r="G95" s="36">
        <f>G80/(About!$B$31*10^9)</f>
        <v>47.805170993914103</v>
      </c>
      <c r="H95" s="36">
        <f>H80/(About!$B$31*10^9)</f>
        <v>48.761274413792385</v>
      </c>
      <c r="I95" s="36">
        <f>I80/(About!$B$31*10^9)</f>
        <v>49.736499902068246</v>
      </c>
      <c r="J95" s="36">
        <f>J80/(About!$B$31*10^9)</f>
        <v>50.731229900109604</v>
      </c>
      <c r="K95" s="36">
        <f>K80/(About!$B$31*10^9)</f>
        <v>51.745854498111797</v>
      </c>
      <c r="L95" s="36">
        <f>L80/(About!$B$31*10^9)</f>
        <v>52.780771588074032</v>
      </c>
      <c r="M95" s="36">
        <f>M80/(About!$B$31*10^9)</f>
        <v>53.836387019835513</v>
      </c>
      <c r="N95" s="36">
        <f>N80/(About!$B$31*10^9)</f>
        <v>54.913114760232226</v>
      </c>
      <c r="O95" s="36">
        <f>O80/(About!$B$31*10^9)</f>
        <v>56.011377055436867</v>
      </c>
      <c r="P95" s="36">
        <f>P80/(About!$B$31*10^9)</f>
        <v>57.131604596545607</v>
      </c>
      <c r="Q95" s="36">
        <f>Q80/(About!$B$31*10^9)</f>
        <v>58.27423668847652</v>
      </c>
      <c r="R95" s="36">
        <f>R80/(About!$B$31*10^9)</f>
        <v>59.439721422246052</v>
      </c>
      <c r="S95" s="36">
        <f>S80/(About!$B$31*10^9)</f>
        <v>60.628515850690974</v>
      </c>
      <c r="T95" s="36">
        <f>T80/(About!$B$31*10^9)</f>
        <v>61.841086167704795</v>
      </c>
      <c r="U95" s="36">
        <f>U80/(About!$B$31*10^9)</f>
        <v>63.077907891058892</v>
      </c>
      <c r="V95" s="36">
        <f>V80/(About!$B$31*10^9)</f>
        <v>64.33946604888007</v>
      </c>
      <c r="W95" s="36">
        <f>W80/(About!$B$31*10^9)</f>
        <v>65.626255369857674</v>
      </c>
      <c r="X95" s="36">
        <f>X80/(About!$B$31*10^9)</f>
        <v>66.938780477254824</v>
      </c>
      <c r="Y95" s="36">
        <f>Y80/(About!$B$31*10^9)</f>
        <v>68.277556086799933</v>
      </c>
      <c r="Z95" s="36">
        <f>Z80/(About!$B$31*10^9)</f>
        <v>69.643107208535923</v>
      </c>
      <c r="AA95" s="36">
        <f>AA80/(About!$B$31*10^9)</f>
        <v>71.035969352706658</v>
      </c>
      <c r="AB95" s="36">
        <f>AB80/(About!$B$31*10^9)</f>
        <v>72.456688739760793</v>
      </c>
      <c r="AC95" s="36">
        <f>AC80/(About!$B$31*10^9)</f>
        <v>73.905822514555993</v>
      </c>
      <c r="AD95" s="36">
        <f>AD80/(About!$B$31*10^9)</f>
        <v>75.383938964847118</v>
      </c>
      <c r="AE95" s="36">
        <f>AE80/(About!$B$31*10^9)</f>
        <v>76.891617744144071</v>
      </c>
      <c r="AF95" s="36">
        <f>AF80/(About!$B$31*10^9)</f>
        <v>78.429450099026951</v>
      </c>
      <c r="AG95" s="36">
        <f>AG80/(About!$B$31*10^9)</f>
        <v>79.998039101007492</v>
      </c>
    </row>
    <row r="96" spans="1:33">
      <c r="A96" s="15" t="s">
        <v>135</v>
      </c>
      <c r="B96" s="36">
        <f>B81/(About!$B$31*10^9)</f>
        <v>0.68024376736372649</v>
      </c>
      <c r="C96" s="36">
        <f>C81/(About!$B$31*10^9)</f>
        <v>0.6556947132053681</v>
      </c>
      <c r="D96" s="36">
        <f>D81/(About!$B$31*10^9)</f>
        <v>1.3320608279877038</v>
      </c>
      <c r="E96" s="36">
        <f>E81/(About!$B$31*10^9)</f>
        <v>0.57610922769631201</v>
      </c>
      <c r="F96" s="36">
        <f>F81/(About!$B$31*10^9)</f>
        <v>0.54845598476688895</v>
      </c>
      <c r="G96" s="36">
        <f>G81/(About!$B$31*10^9)</f>
        <v>0.52213009749807826</v>
      </c>
      <c r="H96" s="36">
        <f>H81/(About!$B$31*10^9)</f>
        <v>0.49706785281817051</v>
      </c>
      <c r="I96" s="36">
        <f>I81/(About!$B$31*10^9)</f>
        <v>0.47320859588289832</v>
      </c>
      <c r="J96" s="36">
        <f>J81/(About!$B$31*10^9)</f>
        <v>0.45049458328051917</v>
      </c>
      <c r="K96" s="36">
        <f>K81/(About!$B$31*10^9)</f>
        <v>0.42887084328305425</v>
      </c>
      <c r="L96" s="36">
        <f>L81/(About!$B$31*10^9)</f>
        <v>0.40828504280546762</v>
      </c>
      <c r="M96" s="36">
        <f>M81/(About!$B$31*10^9)</f>
        <v>0.38868736075080518</v>
      </c>
      <c r="N96" s="36">
        <f>N81/(About!$B$31*10^9)</f>
        <v>0.37003036743476653</v>
      </c>
      <c r="O96" s="36">
        <f>O81/(About!$B$31*10^9)</f>
        <v>0.35226890979789777</v>
      </c>
      <c r="P96" s="36">
        <f>P81/(About!$B$31*10^9)</f>
        <v>0.33536000212759859</v>
      </c>
      <c r="Q96" s="36">
        <f>Q81/(About!$B$31*10^9)</f>
        <v>0.31926272202547384</v>
      </c>
      <c r="R96" s="36">
        <f>R81/(About!$B$31*10^9)</f>
        <v>0.30393811136825111</v>
      </c>
      <c r="S96" s="36">
        <f>S81/(About!$B$31*10^9)</f>
        <v>0.28934908202257509</v>
      </c>
      <c r="T96" s="36">
        <f>T81/(About!$B$31*10^9)</f>
        <v>0.27546032608549148</v>
      </c>
      <c r="U96" s="36">
        <f>U81/(About!$B$31*10^9)</f>
        <v>0.26223823043338784</v>
      </c>
      <c r="V96" s="36">
        <f>V81/(About!$B$31*10^9)</f>
        <v>0.24965079537258525</v>
      </c>
      <c r="W96" s="36">
        <f>W81/(About!$B$31*10^9)</f>
        <v>0.23766755719470112</v>
      </c>
      <c r="X96" s="36">
        <f>X81/(About!$B$31*10^9)</f>
        <v>0.22625951444935546</v>
      </c>
      <c r="Y96" s="36">
        <f>Y81/(About!$B$31*10^9)</f>
        <v>0.21539905775578641</v>
      </c>
      <c r="Z96" s="36">
        <f>Z81/(About!$B$31*10^9)</f>
        <v>0.20505990298350862</v>
      </c>
      <c r="AA96" s="36">
        <f>AA81/(About!$B$31*10^9)</f>
        <v>0.19521702764030022</v>
      </c>
      <c r="AB96" s="36">
        <f>AB81/(About!$B$31*10^9)</f>
        <v>0.18584661031356581</v>
      </c>
      <c r="AC96" s="36">
        <f>AC81/(About!$B$31*10^9)</f>
        <v>0.17692597301851465</v>
      </c>
      <c r="AD96" s="36">
        <f>AD81/(About!$B$31*10^9)</f>
        <v>0.1684335263136259</v>
      </c>
      <c r="AE96" s="36">
        <f>AE81/(About!$B$31*10^9)</f>
        <v>0.16034871705057185</v>
      </c>
      <c r="AF96" s="36">
        <f>AF81/(About!$B$31*10^9)</f>
        <v>0.15265197863214441</v>
      </c>
      <c r="AG96" s="36">
        <f>AG81/(About!$B$31*10^9)</f>
        <v>0.14532468365780146</v>
      </c>
    </row>
    <row r="97" spans="1:33">
      <c r="A97" s="15" t="s">
        <v>136</v>
      </c>
      <c r="B97" s="36">
        <f>B82/(About!$B$31*10^9)</f>
        <v>3.4663734028155933</v>
      </c>
      <c r="C97" s="36">
        <f>C82/(About!$B$31*10^9)</f>
        <v>4.7566566397295302</v>
      </c>
      <c r="D97" s="36">
        <f>D82/(About!$B$31*10^9)</f>
        <v>4.791546541732437</v>
      </c>
      <c r="E97" s="36">
        <f>E82/(About!$B$31*10^9)</f>
        <v>4.7613086266632516</v>
      </c>
      <c r="F97" s="36">
        <f>F82/(About!$B$31*10^9)</f>
        <v>4.8470121819431915</v>
      </c>
      <c r="G97" s="36">
        <f>G82/(About!$B$31*10^9)</f>
        <v>4.9342584012181687</v>
      </c>
      <c r="H97" s="36">
        <f>H82/(About!$B$31*10^9)</f>
        <v>5.0230750524400953</v>
      </c>
      <c r="I97" s="36">
        <f>I82/(About!$B$31*10^9)</f>
        <v>5.1134904033840174</v>
      </c>
      <c r="J97" s="36">
        <f>J82/(About!$B$31*10^9)</f>
        <v>5.2055332306449289</v>
      </c>
      <c r="K97" s="36">
        <f>K82/(About!$B$31*10^9)</f>
        <v>5.299232828796538</v>
      </c>
      <c r="L97" s="36">
        <f>L82/(About!$B$31*10^9)</f>
        <v>5.3946190197148765</v>
      </c>
      <c r="M97" s="36">
        <f>M82/(About!$B$31*10^9)</f>
        <v>5.4917221620697436</v>
      </c>
      <c r="N97" s="36">
        <f>N82/(About!$B$31*10^9)</f>
        <v>5.5905731609869989</v>
      </c>
      <c r="O97" s="36">
        <f>O82/(About!$B$31*10^9)</f>
        <v>5.6912034778847653</v>
      </c>
      <c r="P97" s="36">
        <f>P82/(About!$B$31*10^9)</f>
        <v>5.7936451404866913</v>
      </c>
      <c r="Q97" s="36">
        <f>Q82/(About!$B$31*10^9)</f>
        <v>5.8979307530154514</v>
      </c>
      <c r="R97" s="36">
        <f>R82/(About!$B$31*10^9)</f>
        <v>6.0040935065697303</v>
      </c>
      <c r="S97" s="36">
        <f>S82/(About!$B$31*10^9)</f>
        <v>6.1121671896879848</v>
      </c>
      <c r="T97" s="36">
        <f>T82/(About!$B$31*10^9)</f>
        <v>6.222186199102369</v>
      </c>
      <c r="U97" s="36">
        <f>U82/(About!$B$31*10^9)</f>
        <v>6.334185550686211</v>
      </c>
      <c r="V97" s="36">
        <f>V82/(About!$B$31*10^9)</f>
        <v>6.4482008905985628</v>
      </c>
      <c r="W97" s="36">
        <f>W82/(About!$B$31*10^9)</f>
        <v>6.5642685066293369</v>
      </c>
      <c r="X97" s="36">
        <f>X82/(About!$B$31*10^9)</f>
        <v>6.6824253397486642</v>
      </c>
      <c r="Y97" s="36">
        <f>Y82/(About!$B$31*10^9)</f>
        <v>6.8027089958641414</v>
      </c>
      <c r="Z97" s="36">
        <f>Z82/(About!$B$31*10^9)</f>
        <v>6.9251577577896954</v>
      </c>
      <c r="AA97" s="36">
        <f>AA82/(About!$B$31*10^9)</f>
        <v>7.0498105974299099</v>
      </c>
      <c r="AB97" s="36">
        <f>AB82/(About!$B$31*10^9)</f>
        <v>7.1767071881836486</v>
      </c>
      <c r="AC97" s="36">
        <f>AC82/(About!$B$31*10^9)</f>
        <v>7.3058879175709555</v>
      </c>
      <c r="AD97" s="36">
        <f>AD82/(About!$B$31*10^9)</f>
        <v>7.4373939000872324</v>
      </c>
      <c r="AE97" s="36">
        <f>AE82/(About!$B$31*10^9)</f>
        <v>7.5712669902888017</v>
      </c>
      <c r="AF97" s="36">
        <f>AF82/(About!$B$31*10^9)</f>
        <v>7.7075497961140007</v>
      </c>
      <c r="AG97" s="36">
        <f>AG82/(About!$B$31*10^9)</f>
        <v>7.8462856924440532</v>
      </c>
    </row>
    <row r="98" spans="1:33">
      <c r="A98" s="15" t="s">
        <v>137</v>
      </c>
      <c r="B98" s="36">
        <f>B83/(About!$B$31*10^9)</f>
        <v>5.1654697624747161</v>
      </c>
      <c r="C98" s="36">
        <f>C83/(About!$B$31*10^9)</f>
        <v>16.630853288051906</v>
      </c>
      <c r="D98" s="36">
        <f>D83/(About!$B$31*10^9)</f>
        <v>17.840369890819318</v>
      </c>
      <c r="E98" s="36">
        <f>E83/(About!$B$31*10^9)</f>
        <v>12.646426479320032</v>
      </c>
      <c r="F98" s="36">
        <f>F83/(About!$B$31*10^9)</f>
        <v>13.215515670889435</v>
      </c>
      <c r="G98" s="36">
        <f>G83/(About!$B$31*10^9)</f>
        <v>13.810213876079453</v>
      </c>
      <c r="H98" s="36">
        <f>H83/(About!$B$31*10^9)</f>
        <v>14.431673500503029</v>
      </c>
      <c r="I98" s="36">
        <f>I83/(About!$B$31*10^9)</f>
        <v>15.081098808025667</v>
      </c>
      <c r="J98" s="36">
        <f>J83/(About!$B$31*10^9)</f>
        <v>15.759748254386819</v>
      </c>
      <c r="K98" s="36">
        <f>K83/(About!$B$31*10^9)</f>
        <v>16.468936925834225</v>
      </c>
      <c r="L98" s="36">
        <f>L83/(About!$B$31*10^9)</f>
        <v>17.210039087496764</v>
      </c>
      <c r="M98" s="36">
        <f>M83/(About!$B$31*10^9)</f>
        <v>17.98449084643412</v>
      </c>
      <c r="N98" s="36">
        <f>N83/(About!$B$31*10^9)</f>
        <v>18.793792934523651</v>
      </c>
      <c r="O98" s="36">
        <f>O83/(About!$B$31*10^9)</f>
        <v>19.639513616577215</v>
      </c>
      <c r="P98" s="36">
        <f>P83/(About!$B$31*10^9)</f>
        <v>20.523291729323187</v>
      </c>
      <c r="Q98" s="36">
        <f>Q83/(About!$B$31*10^9)</f>
        <v>21.446839857142734</v>
      </c>
      <c r="R98" s="36">
        <f>R83/(About!$B$31*10^9)</f>
        <v>22.411947650714154</v>
      </c>
      <c r="S98" s="36">
        <f>S83/(About!$B$31*10^9)</f>
        <v>23.420485294996286</v>
      </c>
      <c r="T98" s="36">
        <f>T83/(About!$B$31*10^9)</f>
        <v>24.474407133271114</v>
      </c>
      <c r="U98" s="36">
        <f>U83/(About!$B$31*10^9)</f>
        <v>25.575755454268315</v>
      </c>
      <c r="V98" s="36">
        <f>V83/(About!$B$31*10^9)</f>
        <v>26.726664449710388</v>
      </c>
      <c r="W98" s="36">
        <f>W83/(About!$B$31*10^9)</f>
        <v>27.929364349947353</v>
      </c>
      <c r="X98" s="36">
        <f>X83/(About!$B$31*10^9)</f>
        <v>29.186185745694988</v>
      </c>
      <c r="Y98" s="36">
        <f>Y83/(About!$B$31*10^9)</f>
        <v>30.499564104251256</v>
      </c>
      <c r="Z98" s="36">
        <f>Z83/(About!$B$31*10^9)</f>
        <v>31.872044488942567</v>
      </c>
      <c r="AA98" s="36">
        <f>AA83/(About!$B$31*10^9)</f>
        <v>33.306286490944977</v>
      </c>
      <c r="AB98" s="36">
        <f>AB83/(About!$B$31*10^9)</f>
        <v>34.805069383037498</v>
      </c>
      <c r="AC98" s="36">
        <f>AC83/(About!$B$31*10^9)</f>
        <v>36.371297505274178</v>
      </c>
      <c r="AD98" s="36">
        <f>AD83/(About!$B$31*10^9)</f>
        <v>38.008005893011521</v>
      </c>
      <c r="AE98" s="36">
        <f>AE83/(About!$B$31*10^9)</f>
        <v>39.718366158197028</v>
      </c>
      <c r="AF98" s="36">
        <f>AF83/(About!$B$31*10^9)</f>
        <v>41.505692635315896</v>
      </c>
      <c r="AG98" s="36">
        <f>AG83/(About!$B$31*10^9)</f>
        <v>43.373448803905106</v>
      </c>
    </row>
    <row r="99" spans="1:33">
      <c r="A99" s="15" t="s">
        <v>138</v>
      </c>
      <c r="B99" s="36">
        <f>B84/(About!$B$31*10^9)</f>
        <v>4.9195971340700373</v>
      </c>
      <c r="C99" s="36">
        <f>C84/(About!$B$31*10^9)</f>
        <v>9.7366538320182077</v>
      </c>
      <c r="D99" s="36">
        <f>D84/(About!$B$31*10^9)</f>
        <v>9.6336092238993913</v>
      </c>
      <c r="E99" s="36">
        <f>E84/(About!$B$31*10^9)</f>
        <v>4.1664847830507465</v>
      </c>
      <c r="F99" s="36">
        <f>F84/(About!$B$31*10^9)</f>
        <v>3.9664935134643109</v>
      </c>
      <c r="G99" s="36">
        <f>G84/(About!$B$31*10^9)</f>
        <v>3.7761018248180238</v>
      </c>
      <c r="H99" s="36">
        <f>H84/(About!$B$31*10^9)</f>
        <v>3.5948489372267582</v>
      </c>
      <c r="I99" s="36">
        <f>I84/(About!$B$31*10^9)</f>
        <v>3.4222961882398737</v>
      </c>
      <c r="J99" s="36">
        <f>J84/(About!$B$31*10^9)</f>
        <v>3.25802597120436</v>
      </c>
      <c r="K99" s="36">
        <f>K84/(About!$B$31*10^9)</f>
        <v>3.1016407245865505</v>
      </c>
      <c r="L99" s="36">
        <f>L84/(About!$B$31*10^9)</f>
        <v>2.9527619698063958</v>
      </c>
      <c r="M99" s="36">
        <f>M84/(About!$B$31*10^9)</f>
        <v>2.8110293952556886</v>
      </c>
      <c r="N99" s="36">
        <f>N84/(About!$B$31*10^9)</f>
        <v>2.6760999842834154</v>
      </c>
      <c r="O99" s="36">
        <f>O84/(About!$B$31*10^9)</f>
        <v>2.5476471850378113</v>
      </c>
      <c r="P99" s="36">
        <f>P84/(About!$B$31*10^9)</f>
        <v>2.4253601201559962</v>
      </c>
      <c r="Q99" s="36">
        <f>Q84/(About!$B$31*10^9)</f>
        <v>2.3089428343885081</v>
      </c>
      <c r="R99" s="36">
        <f>R84/(About!$B$31*10^9)</f>
        <v>2.1981135783378596</v>
      </c>
      <c r="S99" s="36">
        <f>S84/(About!$B$31*10^9)</f>
        <v>2.0926041265776427</v>
      </c>
      <c r="T99" s="36">
        <f>T84/(About!$B$31*10^9)</f>
        <v>1.9921591285019156</v>
      </c>
      <c r="U99" s="36">
        <f>U84/(About!$B$31*10^9)</f>
        <v>1.8965354903338236</v>
      </c>
      <c r="V99" s="36">
        <f>V84/(About!$B$31*10^9)</f>
        <v>1.8055017867977998</v>
      </c>
      <c r="W99" s="36">
        <f>W84/(About!$B$31*10^9)</f>
        <v>1.7188377010315055</v>
      </c>
      <c r="X99" s="36">
        <f>X84/(About!$B$31*10^9)</f>
        <v>1.6363334913819931</v>
      </c>
      <c r="Y99" s="36">
        <f>Y84/(About!$B$31*10^9)</f>
        <v>1.5577894837956572</v>
      </c>
      <c r="Z99" s="36">
        <f>Z84/(About!$B$31*10^9)</f>
        <v>1.4830155885734657</v>
      </c>
      <c r="AA99" s="36">
        <f>AA84/(About!$B$31*10^9)</f>
        <v>1.4118308403219395</v>
      </c>
      <c r="AB99" s="36">
        <f>AB84/(About!$B$31*10^9)</f>
        <v>1.3440629599864862</v>
      </c>
      <c r="AC99" s="36">
        <f>AC84/(About!$B$31*10^9)</f>
        <v>1.2795479379071348</v>
      </c>
      <c r="AD99" s="36">
        <f>AD84/(About!$B$31*10^9)</f>
        <v>1.2181296368875925</v>
      </c>
      <c r="AE99" s="36">
        <f>AE84/(About!$B$31*10^9)</f>
        <v>1.159659414316988</v>
      </c>
      <c r="AF99" s="36">
        <f>AF84/(About!$B$31*10^9)</f>
        <v>1.1039957624297727</v>
      </c>
      <c r="AG99" s="36">
        <f>AG84/(About!$B$31*10^9)</f>
        <v>1.0510039658331436</v>
      </c>
    </row>
    <row r="100" spans="1:33">
      <c r="A100" s="15" t="s">
        <v>139</v>
      </c>
      <c r="B100" s="36">
        <f>B85/(About!$B$31*10^9)</f>
        <v>0.53673811143557337</v>
      </c>
      <c r="C100" s="36">
        <f>C85/(About!$B$31*10^9)</f>
        <v>1.1596464114538541</v>
      </c>
      <c r="D100" s="36">
        <f>D85/(About!$B$31*10^9)</f>
        <v>1.0510464739754577</v>
      </c>
      <c r="E100" s="36">
        <f>E85/(About!$B$31*10^9)</f>
        <v>0.45457201328385755</v>
      </c>
      <c r="F100" s="36">
        <f>F85/(About!$B$31*10^9)</f>
        <v>0.43275255664623236</v>
      </c>
      <c r="G100" s="36">
        <f>G85/(About!$B$31*10^9)</f>
        <v>0.41198043392721317</v>
      </c>
      <c r="H100" s="36">
        <f>H85/(About!$B$31*10^9)</f>
        <v>0.39220537309870701</v>
      </c>
      <c r="I100" s="36">
        <f>I85/(About!$B$31*10^9)</f>
        <v>0.37337951518996904</v>
      </c>
      <c r="J100" s="36">
        <f>J85/(About!$B$31*10^9)</f>
        <v>0.35545729846085045</v>
      </c>
      <c r="K100" s="36">
        <f>K85/(About!$B$31*10^9)</f>
        <v>0.33839534813472966</v>
      </c>
      <c r="L100" s="36">
        <f>L85/(About!$B$31*10^9)</f>
        <v>0.32215237142426256</v>
      </c>
      <c r="M100" s="36">
        <f>M85/(About!$B$31*10^9)</f>
        <v>0.30668905759589793</v>
      </c>
      <c r="N100" s="36">
        <f>N85/(About!$B$31*10^9)</f>
        <v>0.29196798283129483</v>
      </c>
      <c r="O100" s="36">
        <f>O85/(About!$B$31*10^9)</f>
        <v>0.27795351965539272</v>
      </c>
      <c r="P100" s="36">
        <f>P85/(About!$B$31*10^9)</f>
        <v>0.26461175071193382</v>
      </c>
      <c r="Q100" s="36">
        <f>Q85/(About!$B$31*10^9)</f>
        <v>0.251910386677761</v>
      </c>
      <c r="R100" s="36">
        <f>R85/(About!$B$31*10^9)</f>
        <v>0.23981868811722842</v>
      </c>
      <c r="S100" s="36">
        <f>S85/(About!$B$31*10^9)</f>
        <v>0.22830739108760142</v>
      </c>
      <c r="T100" s="36">
        <f>T85/(About!$B$31*10^9)</f>
        <v>0.21734863631539655</v>
      </c>
      <c r="U100" s="36">
        <f>U85/(About!$B$31*10^9)</f>
        <v>0.20691590177225749</v>
      </c>
      <c r="V100" s="36">
        <f>V85/(About!$B$31*10^9)</f>
        <v>0.19698393848718912</v>
      </c>
      <c r="W100" s="36">
        <f>W85/(About!$B$31*10^9)</f>
        <v>0.18752870943980404</v>
      </c>
      <c r="X100" s="36">
        <f>X85/(About!$B$31*10^9)</f>
        <v>0.17852733138669344</v>
      </c>
      <c r="Y100" s="36">
        <f>Y85/(About!$B$31*10^9)</f>
        <v>0.16995801948013214</v>
      </c>
      <c r="Z100" s="36">
        <f>Z85/(About!$B$31*10^9)</f>
        <v>0.16180003454508579</v>
      </c>
      <c r="AA100" s="36">
        <f>AA85/(About!$B$31*10^9)</f>
        <v>0.15403363288692168</v>
      </c>
      <c r="AB100" s="36">
        <f>AB85/(About!$B$31*10^9)</f>
        <v>0.14664001850834946</v>
      </c>
      <c r="AC100" s="36">
        <f>AC85/(About!$B$31*10^9)</f>
        <v>0.13960129761994866</v>
      </c>
      <c r="AD100" s="36">
        <f>AD85/(About!$B$31*10^9)</f>
        <v>0.1329004353341911</v>
      </c>
      <c r="AE100" s="36">
        <f>AE85/(About!$B$31*10^9)</f>
        <v>0.12652121443814993</v>
      </c>
      <c r="AF100" s="36">
        <f>AF85/(About!$B$31*10^9)</f>
        <v>0.12044819614511872</v>
      </c>
      <c r="AG100" s="36">
        <f>AG85/(About!$B$31*10^9)</f>
        <v>0.11466668273015303</v>
      </c>
    </row>
    <row r="101" spans="1:33">
      <c r="A101" s="15" t="s">
        <v>140</v>
      </c>
      <c r="B101" s="36">
        <f>B86/(About!$B$31*10^9)</f>
        <v>10.623497168227468</v>
      </c>
      <c r="C101" s="36">
        <f>C86/(About!$B$31*10^9)</f>
        <v>21.816668620012035</v>
      </c>
      <c r="D101" s="36">
        <f>D86/(About!$B$31*10^9)</f>
        <v>20.803049014144779</v>
      </c>
      <c r="E101" s="36">
        <f>E86/(About!$B$31*10^9)</f>
        <v>8.9972081225243485</v>
      </c>
      <c r="F101" s="36">
        <f>F86/(About!$B$31*10^9)</f>
        <v>8.5653421326431776</v>
      </c>
      <c r="G101" s="36">
        <f>G86/(About!$B$31*10^9)</f>
        <v>8.1542057102763046</v>
      </c>
      <c r="H101" s="36">
        <f>H86/(About!$B$31*10^9)</f>
        <v>7.7628038361830436</v>
      </c>
      <c r="I101" s="36">
        <f>I86/(About!$B$31*10^9)</f>
        <v>7.3901892520462562</v>
      </c>
      <c r="J101" s="36">
        <f>J86/(About!$B$31*10^9)</f>
        <v>7.0354601679480355</v>
      </c>
      <c r="K101" s="36">
        <f>K86/(About!$B$31*10^9)</f>
        <v>6.6977580798865297</v>
      </c>
      <c r="L101" s="36">
        <f>L86/(About!$B$31*10^9)</f>
        <v>6.3762656920519758</v>
      </c>
      <c r="M101" s="36">
        <f>M86/(About!$B$31*10^9)</f>
        <v>6.0702049388334816</v>
      </c>
      <c r="N101" s="36">
        <f>N86/(About!$B$31*10^9)</f>
        <v>5.7788351017694746</v>
      </c>
      <c r="O101" s="36">
        <f>O86/(About!$B$31*10^9)</f>
        <v>5.5014510168845394</v>
      </c>
      <c r="P101" s="36">
        <f>P86/(About!$B$31*10^9)</f>
        <v>5.2373813680740815</v>
      </c>
      <c r="Q101" s="36">
        <f>Q86/(About!$B$31*10^9)</f>
        <v>4.985987062406525</v>
      </c>
      <c r="R101" s="36">
        <f>R86/(About!$B$31*10^9)</f>
        <v>4.7466596834110106</v>
      </c>
      <c r="S101" s="36">
        <f>S86/(About!$B$31*10^9)</f>
        <v>4.5188200186072827</v>
      </c>
      <c r="T101" s="36">
        <f>T86/(About!$B$31*10^9)</f>
        <v>4.3019166577141323</v>
      </c>
      <c r="U101" s="36">
        <f>U86/(About!$B$31*10^9)</f>
        <v>4.0954246581438536</v>
      </c>
      <c r="V101" s="36">
        <f>V86/(About!$B$31*10^9)</f>
        <v>3.8988442745529488</v>
      </c>
      <c r="W101" s="36">
        <f>W86/(About!$B$31*10^9)</f>
        <v>3.7116997493744077</v>
      </c>
      <c r="X101" s="36">
        <f>X86/(About!$B$31*10^9)</f>
        <v>3.5335381614044357</v>
      </c>
      <c r="Y101" s="36">
        <f>Y86/(About!$B$31*10^9)</f>
        <v>3.3639283296570226</v>
      </c>
      <c r="Z101" s="36">
        <f>Z86/(About!$B$31*10^9)</f>
        <v>3.2024597698334851</v>
      </c>
      <c r="AA101" s="36">
        <f>AA86/(About!$B$31*10^9)</f>
        <v>3.0487417008814774</v>
      </c>
      <c r="AB101" s="36">
        <f>AB86/(About!$B$31*10^9)</f>
        <v>2.9024020992391666</v>
      </c>
      <c r="AC101" s="36">
        <f>AC86/(About!$B$31*10^9)</f>
        <v>2.7630867984756864</v>
      </c>
      <c r="AD101" s="36">
        <f>AD86/(About!$B$31*10^9)</f>
        <v>2.6304586321488532</v>
      </c>
      <c r="AE101" s="36">
        <f>AE86/(About!$B$31*10^9)</f>
        <v>2.5041966178057087</v>
      </c>
      <c r="AF101" s="36">
        <f>AF86/(About!$B$31*10^9)</f>
        <v>2.3839951801510346</v>
      </c>
      <c r="AG101" s="36">
        <f>AG86/(About!$B$31*10^9)</f>
        <v>2.269563411503785</v>
      </c>
    </row>
    <row r="102" spans="1:33">
      <c r="A102" s="15" t="s">
        <v>141</v>
      </c>
      <c r="B102" s="36">
        <f>B87/(About!$B$31*10^9)</f>
        <v>0</v>
      </c>
      <c r="C102" s="36">
        <f>C87/(About!$B$31*10^9)</f>
        <v>0</v>
      </c>
      <c r="D102" s="36">
        <f>D87/(About!$B$31*10^9)</f>
        <v>0</v>
      </c>
      <c r="E102" s="36">
        <f>E87/(About!$B$31*10^9)</f>
        <v>0</v>
      </c>
      <c r="F102" s="36">
        <f>F87/(About!$B$31*10^9)</f>
        <v>0</v>
      </c>
      <c r="G102" s="36">
        <f>G87/(About!$B$31*10^9)</f>
        <v>0</v>
      </c>
      <c r="H102" s="36">
        <f>H87/(About!$B$31*10^9)</f>
        <v>0</v>
      </c>
      <c r="I102" s="36">
        <f>I87/(About!$B$31*10^9)</f>
        <v>0</v>
      </c>
      <c r="J102" s="36">
        <f>J87/(About!$B$31*10^9)</f>
        <v>0</v>
      </c>
      <c r="K102" s="36">
        <f>K87/(About!$B$31*10^9)</f>
        <v>0</v>
      </c>
      <c r="L102" s="36">
        <f>L87/(About!$B$31*10^9)</f>
        <v>0</v>
      </c>
      <c r="M102" s="36">
        <f>M87/(About!$B$31*10^9)</f>
        <v>0</v>
      </c>
      <c r="N102" s="36">
        <f>N87/(About!$B$31*10^9)</f>
        <v>0</v>
      </c>
      <c r="O102" s="36">
        <f>O87/(About!$B$31*10^9)</f>
        <v>0</v>
      </c>
      <c r="P102" s="36">
        <f>P87/(About!$B$31*10^9)</f>
        <v>0</v>
      </c>
      <c r="Q102" s="36">
        <f>Q87/(About!$B$31*10^9)</f>
        <v>0</v>
      </c>
      <c r="R102" s="36">
        <f>R87/(About!$B$31*10^9)</f>
        <v>0</v>
      </c>
      <c r="S102" s="36">
        <f>S87/(About!$B$31*10^9)</f>
        <v>0</v>
      </c>
      <c r="T102" s="36">
        <f>T87/(About!$B$31*10^9)</f>
        <v>0</v>
      </c>
      <c r="U102" s="36">
        <f>U87/(About!$B$31*10^9)</f>
        <v>0</v>
      </c>
      <c r="V102" s="36">
        <f>V87/(About!$B$31*10^9)</f>
        <v>0</v>
      </c>
      <c r="W102" s="36">
        <f>W87/(About!$B$31*10^9)</f>
        <v>0</v>
      </c>
      <c r="X102" s="36">
        <f>X87/(About!$B$31*10^9)</f>
        <v>0</v>
      </c>
      <c r="Y102" s="36">
        <f>Y87/(About!$B$31*10^9)</f>
        <v>0</v>
      </c>
      <c r="Z102" s="36">
        <f>Z87/(About!$B$31*10^9)</f>
        <v>0</v>
      </c>
      <c r="AA102" s="36">
        <f>AA87/(About!$B$31*10^9)</f>
        <v>0</v>
      </c>
      <c r="AB102" s="36">
        <f>AB87/(About!$B$31*10^9)</f>
        <v>0</v>
      </c>
      <c r="AC102" s="36">
        <f>AC87/(About!$B$31*10^9)</f>
        <v>0</v>
      </c>
      <c r="AD102" s="36">
        <f>AD87/(About!$B$31*10^9)</f>
        <v>0</v>
      </c>
      <c r="AE102" s="36">
        <f>AE87/(About!$B$31*10^9)</f>
        <v>0</v>
      </c>
      <c r="AF102" s="36">
        <f>AF87/(About!$B$31*10^9)</f>
        <v>0</v>
      </c>
      <c r="AG102" s="36">
        <f>AG87/(About!$B$31*10^9)</f>
        <v>0</v>
      </c>
    </row>
  </sheetData>
  <phoneticPr fontId="1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F5F76-3235-4D5D-BF06-81F7537D87EE}">
  <sheetPr>
    <tabColor rgb="FFFFFF00"/>
  </sheetPr>
  <dimension ref="A1:AG70"/>
  <sheetViews>
    <sheetView workbookViewId="0">
      <selection activeCell="E17" sqref="E17"/>
    </sheetView>
  </sheetViews>
  <sheetFormatPr defaultRowHeight="16.5"/>
  <cols>
    <col min="1" max="1" width="33.625" customWidth="1"/>
    <col min="2" max="2" width="19" customWidth="1"/>
    <col min="3" max="33" width="11.625" customWidth="1"/>
  </cols>
  <sheetData>
    <row r="1" spans="1:33" ht="19.5">
      <c r="A1" s="56" t="s">
        <v>148</v>
      </c>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row>
    <row r="2" spans="1:33">
      <c r="A2" s="55" t="s">
        <v>149</v>
      </c>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row>
    <row r="4" spans="1:33">
      <c r="A4" s="52" t="s">
        <v>150</v>
      </c>
      <c r="B4" s="53"/>
      <c r="C4" s="53"/>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row>
    <row r="5" spans="1:33">
      <c r="A5" s="61" t="s">
        <v>151</v>
      </c>
      <c r="B5" s="62">
        <v>5</v>
      </c>
      <c r="C5" s="57" t="s">
        <v>202</v>
      </c>
    </row>
    <row r="6" spans="1:33">
      <c r="A6" s="61" t="s">
        <v>152</v>
      </c>
      <c r="B6" s="62">
        <v>1986</v>
      </c>
      <c r="C6" s="57" t="s">
        <v>203</v>
      </c>
    </row>
    <row r="7" spans="1:33">
      <c r="A7" s="61" t="s">
        <v>153</v>
      </c>
      <c r="B7" s="62">
        <v>1764</v>
      </c>
      <c r="C7" s="57" t="s">
        <v>204</v>
      </c>
    </row>
    <row r="8" spans="1:33">
      <c r="A8" s="59" t="s">
        <v>154</v>
      </c>
      <c r="B8" s="59">
        <f>B5*10^6/(B6*8760)</f>
        <v>0.28739992734529834</v>
      </c>
      <c r="C8" s="58" t="s">
        <v>205</v>
      </c>
    </row>
    <row r="9" spans="1:33">
      <c r="A9" s="59" t="s">
        <v>155</v>
      </c>
      <c r="B9" s="59">
        <f>B7*8760*B8/10^6</f>
        <v>4.4410876132930506</v>
      </c>
      <c r="C9" s="57" t="s">
        <v>206</v>
      </c>
    </row>
    <row r="10" spans="1:33">
      <c r="A10" s="59" t="s">
        <v>156</v>
      </c>
      <c r="B10" s="59">
        <f>B5-B9</f>
        <v>0.55891238670694943</v>
      </c>
      <c r="C10" s="57" t="s">
        <v>207</v>
      </c>
    </row>
    <row r="11" spans="1:33">
      <c r="A11" s="59" t="s">
        <v>157</v>
      </c>
      <c r="B11" s="59">
        <f>Forecast!$B$23</f>
        <v>8.0000000000000002E-3</v>
      </c>
      <c r="C11" s="57" t="s">
        <v>208</v>
      </c>
    </row>
    <row r="12" spans="1:33">
      <c r="C12" s="57"/>
    </row>
    <row r="13" spans="1:33" s="52" customFormat="1">
      <c r="A13" s="52" t="s">
        <v>145</v>
      </c>
    </row>
    <row r="14" spans="1:33" s="43" customFormat="1" ht="13.5">
      <c r="A14" s="43" t="s">
        <v>146</v>
      </c>
    </row>
    <row r="15" spans="1:33">
      <c r="A15" s="59" t="s">
        <v>158</v>
      </c>
      <c r="B15" s="60">
        <v>0.185</v>
      </c>
      <c r="C15" s="57" t="s">
        <v>210</v>
      </c>
    </row>
    <row r="16" spans="1:33">
      <c r="A16" s="59" t="s">
        <v>159</v>
      </c>
      <c r="B16" s="60">
        <v>0.61</v>
      </c>
    </row>
    <row r="17" spans="1:33">
      <c r="A17" s="59" t="s">
        <v>160</v>
      </c>
      <c r="B17" s="60">
        <v>0.20499999999999999</v>
      </c>
    </row>
    <row r="18" spans="1:33">
      <c r="A18" t="s">
        <v>161</v>
      </c>
      <c r="B18">
        <f>About!$B$38</f>
        <v>3412142000000</v>
      </c>
      <c r="C18" s="50"/>
    </row>
    <row r="19" spans="1:33">
      <c r="C19" s="50"/>
    </row>
    <row r="20" spans="1:33">
      <c r="A20" s="52" t="s">
        <v>162</v>
      </c>
      <c r="B20" s="53"/>
      <c r="C20" s="53"/>
      <c r="D20" s="53"/>
      <c r="E20" s="53"/>
      <c r="F20" s="53"/>
      <c r="G20" s="53"/>
      <c r="H20" s="53"/>
      <c r="I20" s="53"/>
      <c r="J20" s="53"/>
      <c r="K20" s="53"/>
      <c r="L20" s="53"/>
      <c r="M20" s="53"/>
      <c r="N20" s="53"/>
      <c r="O20" s="53"/>
      <c r="P20" s="53"/>
      <c r="Q20" s="53"/>
      <c r="R20" s="53"/>
      <c r="S20" s="53"/>
      <c r="T20" s="53"/>
      <c r="U20" s="53"/>
      <c r="V20" s="53"/>
      <c r="W20" s="53"/>
      <c r="X20" s="53"/>
      <c r="Y20" s="53"/>
      <c r="Z20" s="53"/>
      <c r="AA20" s="53"/>
      <c r="AB20" s="53"/>
      <c r="AC20" s="53"/>
      <c r="AD20" s="53"/>
      <c r="AE20" s="53"/>
      <c r="AF20" s="53"/>
      <c r="AG20" s="53"/>
    </row>
    <row r="21" spans="1:33">
      <c r="A21" s="15" t="s">
        <v>1</v>
      </c>
      <c r="B21" s="49">
        <v>2019</v>
      </c>
      <c r="C21" s="49">
        <v>2020</v>
      </c>
      <c r="D21" s="49">
        <v>2021</v>
      </c>
      <c r="E21" s="49">
        <v>2022</v>
      </c>
      <c r="F21" s="49">
        <v>2023</v>
      </c>
      <c r="G21" s="49">
        <v>2024</v>
      </c>
      <c r="H21" s="49">
        <v>2025</v>
      </c>
      <c r="I21" s="49">
        <v>2026</v>
      </c>
      <c r="J21" s="49">
        <v>2027</v>
      </c>
      <c r="K21" s="49">
        <v>2028</v>
      </c>
      <c r="L21" s="49">
        <v>2029</v>
      </c>
      <c r="M21" s="49">
        <v>2030</v>
      </c>
      <c r="N21" s="49">
        <v>2031</v>
      </c>
      <c r="O21" s="49">
        <v>2032</v>
      </c>
      <c r="P21" s="49">
        <v>2033</v>
      </c>
      <c r="Q21" s="49">
        <v>2034</v>
      </c>
      <c r="R21" s="49">
        <v>2035</v>
      </c>
      <c r="S21" s="49">
        <v>2036</v>
      </c>
      <c r="T21" s="49">
        <v>2037</v>
      </c>
      <c r="U21" s="49">
        <v>2038</v>
      </c>
      <c r="V21" s="49">
        <v>2039</v>
      </c>
      <c r="W21" s="49">
        <v>2040</v>
      </c>
      <c r="X21" s="49">
        <v>2041</v>
      </c>
      <c r="Y21" s="49">
        <v>2042</v>
      </c>
      <c r="Z21" s="49">
        <v>2043</v>
      </c>
      <c r="AA21" s="49">
        <v>2044</v>
      </c>
      <c r="AB21" s="49">
        <v>2045</v>
      </c>
      <c r="AC21" s="49">
        <v>2046</v>
      </c>
      <c r="AD21" s="49">
        <v>2047</v>
      </c>
      <c r="AE21" s="49">
        <v>2048</v>
      </c>
      <c r="AF21" s="49">
        <v>2049</v>
      </c>
      <c r="AG21" s="49">
        <v>2050</v>
      </c>
    </row>
    <row r="22" spans="1:33">
      <c r="A22" t="s">
        <v>163</v>
      </c>
      <c r="B22" s="45">
        <f>$B$9-3*$B$10</f>
        <v>2.7643504531722023</v>
      </c>
      <c r="C22" s="45">
        <f>$B$9-2*$B$10</f>
        <v>3.3232628398791517</v>
      </c>
      <c r="D22" s="45">
        <f>$B$9-1*$B$10</f>
        <v>3.8821752265861011</v>
      </c>
      <c r="E22" s="45">
        <f>$B$9</f>
        <v>4.4410876132930506</v>
      </c>
      <c r="F22" s="45">
        <f t="shared" ref="F22:AG22" si="0">E22*(1+$B$11)</f>
        <v>4.4766163141993953</v>
      </c>
      <c r="G22" s="45">
        <f t="shared" si="0"/>
        <v>4.5124292447129903</v>
      </c>
      <c r="H22" s="45">
        <f t="shared" si="0"/>
        <v>4.548528678670694</v>
      </c>
      <c r="I22" s="45">
        <f t="shared" si="0"/>
        <v>4.5849169081000598</v>
      </c>
      <c r="J22" s="45">
        <f t="shared" si="0"/>
        <v>4.6215962433648601</v>
      </c>
      <c r="K22" s="45">
        <f t="shared" si="0"/>
        <v>4.6585690133117792</v>
      </c>
      <c r="L22" s="45">
        <f t="shared" si="0"/>
        <v>4.6958375654182731</v>
      </c>
      <c r="M22" s="45">
        <f t="shared" si="0"/>
        <v>4.7334042659416191</v>
      </c>
      <c r="N22" s="45">
        <f t="shared" si="0"/>
        <v>4.7712715000691519</v>
      </c>
      <c r="O22" s="45">
        <f t="shared" si="0"/>
        <v>4.8094416720697053</v>
      </c>
      <c r="P22" s="45">
        <f t="shared" si="0"/>
        <v>4.8479172054462634</v>
      </c>
      <c r="Q22" s="45">
        <f t="shared" si="0"/>
        <v>4.8867005430898338</v>
      </c>
      <c r="R22" s="45">
        <f t="shared" si="0"/>
        <v>4.9257941474345524</v>
      </c>
      <c r="S22" s="45">
        <f t="shared" si="0"/>
        <v>4.9652005006140287</v>
      </c>
      <c r="T22" s="45">
        <f t="shared" si="0"/>
        <v>5.0049221046189407</v>
      </c>
      <c r="U22" s="45">
        <f t="shared" si="0"/>
        <v>5.0449614814558918</v>
      </c>
      <c r="V22" s="45">
        <f t="shared" si="0"/>
        <v>5.0853211733075394</v>
      </c>
      <c r="W22" s="45">
        <f t="shared" si="0"/>
        <v>5.1260037426939995</v>
      </c>
      <c r="X22" s="45">
        <f t="shared" si="0"/>
        <v>5.1670117726355516</v>
      </c>
      <c r="Y22" s="45">
        <f t="shared" si="0"/>
        <v>5.2083478668166361</v>
      </c>
      <c r="Z22" s="45">
        <f t="shared" si="0"/>
        <v>5.2500146497511695</v>
      </c>
      <c r="AA22" s="45">
        <f t="shared" si="0"/>
        <v>5.2920147669491788</v>
      </c>
      <c r="AB22" s="45">
        <f t="shared" si="0"/>
        <v>5.3343508850847723</v>
      </c>
      <c r="AC22" s="45">
        <f t="shared" si="0"/>
        <v>5.3770256921654509</v>
      </c>
      <c r="AD22" s="45">
        <f t="shared" si="0"/>
        <v>5.4200418977027747</v>
      </c>
      <c r="AE22" s="45">
        <f t="shared" si="0"/>
        <v>5.4634022328843965</v>
      </c>
      <c r="AF22" s="45">
        <f t="shared" si="0"/>
        <v>5.507109450747472</v>
      </c>
      <c r="AG22" s="45">
        <f t="shared" si="0"/>
        <v>5.5511663263534521</v>
      </c>
    </row>
    <row r="23" spans="1:33">
      <c r="A23" t="s">
        <v>164</v>
      </c>
      <c r="B23" s="45">
        <f>Commercial_calculation!B93</f>
        <v>163.13902899279668</v>
      </c>
      <c r="C23" s="45">
        <f>Commercial_calculation!C93</f>
        <v>165.64482408063887</v>
      </c>
      <c r="D23" s="45">
        <f>Commercial_calculation!D93</f>
        <v>167.11019996476088</v>
      </c>
      <c r="E23" s="45">
        <f>Commercial_calculation!E93</f>
        <v>176.67235910702405</v>
      </c>
      <c r="F23" s="45">
        <f>Commercial_calculation!F93</f>
        <v>178.08573797988024</v>
      </c>
      <c r="G23" s="45">
        <f>Commercial_calculation!G93</f>
        <v>179.51042388371931</v>
      </c>
      <c r="H23" s="45">
        <f>Commercial_calculation!H93</f>
        <v>180.94650727478904</v>
      </c>
      <c r="I23" s="45">
        <f>Commercial_calculation!I93</f>
        <v>182.39407933298739</v>
      </c>
      <c r="J23" s="45">
        <f>Commercial_calculation!J93</f>
        <v>183.85323196765125</v>
      </c>
      <c r="K23" s="45">
        <f>Commercial_calculation!K93</f>
        <v>185.32405782339245</v>
      </c>
      <c r="L23" s="45">
        <f>Commercial_calculation!L93</f>
        <v>186.80665028597963</v>
      </c>
      <c r="M23" s="45">
        <f>Commercial_calculation!M93</f>
        <v>188.30110348826744</v>
      </c>
      <c r="N23" s="45">
        <f>Commercial_calculation!N93</f>
        <v>189.80751231617361</v>
      </c>
      <c r="O23" s="45">
        <f>Commercial_calculation!O93</f>
        <v>191.32597241470299</v>
      </c>
      <c r="P23" s="45">
        <f>Commercial_calculation!P93</f>
        <v>192.85658019402064</v>
      </c>
      <c r="Q23" s="45">
        <f>Commercial_calculation!Q93</f>
        <v>194.39943283557278</v>
      </c>
      <c r="R23" s="45">
        <f>Commercial_calculation!R93</f>
        <v>195.95462829825738</v>
      </c>
      <c r="S23" s="45">
        <f>Commercial_calculation!S93</f>
        <v>197.52226532464343</v>
      </c>
      <c r="T23" s="45">
        <f>Commercial_calculation!T93</f>
        <v>199.10244344724057</v>
      </c>
      <c r="U23" s="45">
        <f>Commercial_calculation!U93</f>
        <v>200.69526299481851</v>
      </c>
      <c r="V23" s="45">
        <f>Commercial_calculation!V93</f>
        <v>202.30082509877707</v>
      </c>
      <c r="W23" s="45">
        <f>Commercial_calculation!W93</f>
        <v>203.91923169956726</v>
      </c>
      <c r="X23" s="45">
        <f>Commercial_calculation!X93</f>
        <v>205.55058555316381</v>
      </c>
      <c r="Y23" s="45">
        <f>Commercial_calculation!Y93</f>
        <v>207.19499023758911</v>
      </c>
      <c r="Z23" s="45">
        <f>Commercial_calculation!Z93</f>
        <v>208.85255015948985</v>
      </c>
      <c r="AA23" s="45">
        <f>Commercial_calculation!AA93</f>
        <v>210.52337056076578</v>
      </c>
      <c r="AB23" s="45">
        <f>Commercial_calculation!AB93</f>
        <v>212.20755752525187</v>
      </c>
      <c r="AC23" s="45">
        <f>Commercial_calculation!AC93</f>
        <v>213.9052179854539</v>
      </c>
      <c r="AD23" s="45">
        <f>Commercial_calculation!AD93</f>
        <v>215.61645972933755</v>
      </c>
      <c r="AE23" s="45">
        <f>Commercial_calculation!AE93</f>
        <v>217.34139140717224</v>
      </c>
      <c r="AF23" s="45">
        <f>Commercial_calculation!AF93</f>
        <v>219.08012253842961</v>
      </c>
      <c r="AG23" s="45">
        <f>Commercial_calculation!AG93</f>
        <v>220.83276351873707</v>
      </c>
    </row>
    <row r="24" spans="1:33">
      <c r="A24" t="s">
        <v>165</v>
      </c>
      <c r="B24" s="46">
        <f t="shared" ref="B24:AG24" si="1">B22/B23</f>
        <v>1.6944752400691689E-2</v>
      </c>
      <c r="C24" s="46">
        <f t="shared" si="1"/>
        <v>2.0062581842347986E-2</v>
      </c>
      <c r="D24" s="46">
        <f t="shared" si="1"/>
        <v>2.3231228419358898E-2</v>
      </c>
      <c r="E24" s="46">
        <f t="shared" si="1"/>
        <v>2.5137421811426326E-2</v>
      </c>
      <c r="F24" s="46">
        <f t="shared" si="1"/>
        <v>2.5137421811426329E-2</v>
      </c>
      <c r="G24" s="46">
        <f t="shared" si="1"/>
        <v>2.5137421811426322E-2</v>
      </c>
      <c r="H24" s="46">
        <f t="shared" si="1"/>
        <v>2.5137421811426322E-2</v>
      </c>
      <c r="I24" s="46">
        <f t="shared" si="1"/>
        <v>2.5137421811426319E-2</v>
      </c>
      <c r="J24" s="46">
        <f t="shared" si="1"/>
        <v>2.5137421811426322E-2</v>
      </c>
      <c r="K24" s="46">
        <f t="shared" si="1"/>
        <v>2.5137421811426326E-2</v>
      </c>
      <c r="L24" s="46">
        <f t="shared" si="1"/>
        <v>2.5137421811426319E-2</v>
      </c>
      <c r="M24" s="46">
        <f t="shared" si="1"/>
        <v>2.5137421811426322E-2</v>
      </c>
      <c r="N24" s="46">
        <f t="shared" si="1"/>
        <v>2.5137421811426319E-2</v>
      </c>
      <c r="O24" s="46">
        <f t="shared" si="1"/>
        <v>2.5137421811426319E-2</v>
      </c>
      <c r="P24" s="46">
        <f t="shared" si="1"/>
        <v>2.5137421811426319E-2</v>
      </c>
      <c r="Q24" s="46">
        <f t="shared" si="1"/>
        <v>2.5137421811426322E-2</v>
      </c>
      <c r="R24" s="46">
        <f t="shared" si="1"/>
        <v>2.5137421811426322E-2</v>
      </c>
      <c r="S24" s="46">
        <f t="shared" si="1"/>
        <v>2.5137421811426322E-2</v>
      </c>
      <c r="T24" s="46">
        <f t="shared" si="1"/>
        <v>2.5137421811426322E-2</v>
      </c>
      <c r="U24" s="46">
        <f t="shared" si="1"/>
        <v>2.5137421811426319E-2</v>
      </c>
      <c r="V24" s="46">
        <f t="shared" si="1"/>
        <v>2.5137421811426319E-2</v>
      </c>
      <c r="W24" s="46">
        <f t="shared" si="1"/>
        <v>2.5137421811426319E-2</v>
      </c>
      <c r="X24" s="46">
        <f t="shared" si="1"/>
        <v>2.5137421811426319E-2</v>
      </c>
      <c r="Y24" s="46">
        <f t="shared" si="1"/>
        <v>2.5137421811426322E-2</v>
      </c>
      <c r="Z24" s="46">
        <f t="shared" si="1"/>
        <v>2.5137421811426319E-2</v>
      </c>
      <c r="AA24" s="46">
        <f t="shared" si="1"/>
        <v>2.5137421811426319E-2</v>
      </c>
      <c r="AB24" s="46">
        <f t="shared" si="1"/>
        <v>2.5137421811426322E-2</v>
      </c>
      <c r="AC24" s="46">
        <f t="shared" si="1"/>
        <v>2.5137421811426322E-2</v>
      </c>
      <c r="AD24" s="46">
        <f t="shared" si="1"/>
        <v>2.5137421811426322E-2</v>
      </c>
      <c r="AE24" s="46">
        <f t="shared" si="1"/>
        <v>2.5137421811426322E-2</v>
      </c>
      <c r="AF24" s="46">
        <f t="shared" si="1"/>
        <v>2.5137421811426322E-2</v>
      </c>
      <c r="AG24" s="46">
        <f t="shared" si="1"/>
        <v>2.5137421811426322E-2</v>
      </c>
    </row>
    <row r="26" spans="1:33">
      <c r="A26" t="s">
        <v>166</v>
      </c>
      <c r="B26" s="48">
        <f t="shared" ref="B26:AG26" si="2">B$22*$B$15*$B$18</f>
        <v>1744985912537.7625</v>
      </c>
      <c r="C26" s="48">
        <f t="shared" si="2"/>
        <v>2097797271903.3218</v>
      </c>
      <c r="D26" s="48">
        <f t="shared" si="2"/>
        <v>2450608631268.8809</v>
      </c>
      <c r="E26" s="48">
        <f t="shared" si="2"/>
        <v>2803419990634.4404</v>
      </c>
      <c r="F26" s="48">
        <f t="shared" si="2"/>
        <v>2825847350559.5166</v>
      </c>
      <c r="G26" s="48">
        <f t="shared" si="2"/>
        <v>2848454129363.9922</v>
      </c>
      <c r="H26" s="48">
        <f t="shared" si="2"/>
        <v>2871241762398.9038</v>
      </c>
      <c r="I26" s="48">
        <f t="shared" si="2"/>
        <v>2894211696498.0957</v>
      </c>
      <c r="J26" s="48">
        <f t="shared" si="2"/>
        <v>2917365390070.0801</v>
      </c>
      <c r="K26" s="48">
        <f t="shared" si="2"/>
        <v>2940704313190.6411</v>
      </c>
      <c r="L26" s="48">
        <f t="shared" si="2"/>
        <v>2964229947696.1655</v>
      </c>
      <c r="M26" s="48">
        <f t="shared" si="2"/>
        <v>2987943787277.7349</v>
      </c>
      <c r="N26" s="48">
        <f t="shared" si="2"/>
        <v>3011847337575.957</v>
      </c>
      <c r="O26" s="48">
        <f t="shared" si="2"/>
        <v>3035942116276.5645</v>
      </c>
      <c r="P26" s="48">
        <f t="shared" si="2"/>
        <v>3060229653206.7773</v>
      </c>
      <c r="Q26" s="48">
        <f t="shared" si="2"/>
        <v>3084711490432.4316</v>
      </c>
      <c r="R26" s="48">
        <f t="shared" si="2"/>
        <v>3109389182355.8911</v>
      </c>
      <c r="S26" s="48">
        <f t="shared" si="2"/>
        <v>3134264295814.7383</v>
      </c>
      <c r="T26" s="48">
        <f t="shared" si="2"/>
        <v>3159338410181.2559</v>
      </c>
      <c r="U26" s="48">
        <f t="shared" si="2"/>
        <v>3184613117462.7061</v>
      </c>
      <c r="V26" s="48">
        <f t="shared" si="2"/>
        <v>3210090022402.4077</v>
      </c>
      <c r="W26" s="48">
        <f t="shared" si="2"/>
        <v>3235770742581.627</v>
      </c>
      <c r="X26" s="48">
        <f t="shared" si="2"/>
        <v>3261656908522.2798</v>
      </c>
      <c r="Y26" s="48">
        <f t="shared" si="2"/>
        <v>3287750163790.458</v>
      </c>
      <c r="Z26" s="48">
        <f t="shared" si="2"/>
        <v>3314052165100.7822</v>
      </c>
      <c r="AA26" s="48">
        <f t="shared" si="2"/>
        <v>3340564582421.5884</v>
      </c>
      <c r="AB26" s="48">
        <f t="shared" si="2"/>
        <v>3367289099080.9614</v>
      </c>
      <c r="AC26" s="48">
        <f t="shared" si="2"/>
        <v>3394227411873.6089</v>
      </c>
      <c r="AD26" s="48">
        <f t="shared" si="2"/>
        <v>3421381231168.5981</v>
      </c>
      <c r="AE26" s="48">
        <f t="shared" si="2"/>
        <v>3448752281017.9463</v>
      </c>
      <c r="AF26" s="48">
        <f t="shared" si="2"/>
        <v>3476342299266.0908</v>
      </c>
      <c r="AG26" s="48">
        <f t="shared" si="2"/>
        <v>3504153037660.2197</v>
      </c>
    </row>
    <row r="27" spans="1:33">
      <c r="A27" t="s">
        <v>167</v>
      </c>
      <c r="B27" s="48">
        <f t="shared" ref="B27:AG27" si="3">B$22*$B$16*$B$18</f>
        <v>5753737333232.6221</v>
      </c>
      <c r="C27" s="48">
        <f t="shared" si="3"/>
        <v>6917061274924.4668</v>
      </c>
      <c r="D27" s="48">
        <f t="shared" si="3"/>
        <v>8080385216616.3105</v>
      </c>
      <c r="E27" s="48">
        <f t="shared" si="3"/>
        <v>9243709158308.1563</v>
      </c>
      <c r="F27" s="48">
        <f t="shared" si="3"/>
        <v>9317658831574.6211</v>
      </c>
      <c r="G27" s="48">
        <f t="shared" si="3"/>
        <v>9392200102227.2168</v>
      </c>
      <c r="H27" s="48">
        <f t="shared" si="3"/>
        <v>9467337703045.0352</v>
      </c>
      <c r="I27" s="48">
        <f t="shared" si="3"/>
        <v>9543076404669.3965</v>
      </c>
      <c r="J27" s="48">
        <f t="shared" si="3"/>
        <v>9619421015906.752</v>
      </c>
      <c r="K27" s="48">
        <f t="shared" si="3"/>
        <v>9696376384034.0059</v>
      </c>
      <c r="L27" s="48">
        <f t="shared" si="3"/>
        <v>9773947395106.2773</v>
      </c>
      <c r="M27" s="48">
        <f t="shared" si="3"/>
        <v>9852138974267.125</v>
      </c>
      <c r="N27" s="48">
        <f t="shared" si="3"/>
        <v>9930956086061.2617</v>
      </c>
      <c r="O27" s="48">
        <f t="shared" si="3"/>
        <v>10010403734749.754</v>
      </c>
      <c r="P27" s="48">
        <f t="shared" si="3"/>
        <v>10090486964627.752</v>
      </c>
      <c r="Q27" s="48">
        <f t="shared" si="3"/>
        <v>10171210860344.775</v>
      </c>
      <c r="R27" s="48">
        <f t="shared" si="3"/>
        <v>10252580547227.533</v>
      </c>
      <c r="S27" s="48">
        <f t="shared" si="3"/>
        <v>10334601191605.354</v>
      </c>
      <c r="T27" s="48">
        <f t="shared" si="3"/>
        <v>10417278001138.195</v>
      </c>
      <c r="U27" s="48">
        <f t="shared" si="3"/>
        <v>10500616225147.301</v>
      </c>
      <c r="V27" s="48">
        <f t="shared" si="3"/>
        <v>10584621154948.48</v>
      </c>
      <c r="W27" s="48">
        <f t="shared" si="3"/>
        <v>10669298124188.066</v>
      </c>
      <c r="X27" s="48">
        <f t="shared" si="3"/>
        <v>10754652509181.572</v>
      </c>
      <c r="Y27" s="48">
        <f t="shared" si="3"/>
        <v>10840689729255.023</v>
      </c>
      <c r="Z27" s="48">
        <f t="shared" si="3"/>
        <v>10927415247089.066</v>
      </c>
      <c r="AA27" s="48">
        <f t="shared" si="3"/>
        <v>11014834569065.777</v>
      </c>
      <c r="AB27" s="48">
        <f t="shared" si="3"/>
        <v>11102953245618.305</v>
      </c>
      <c r="AC27" s="48">
        <f t="shared" si="3"/>
        <v>11191776871583.252</v>
      </c>
      <c r="AD27" s="48">
        <f t="shared" si="3"/>
        <v>11281311086555.918</v>
      </c>
      <c r="AE27" s="48">
        <f t="shared" si="3"/>
        <v>11371561575248.365</v>
      </c>
      <c r="AF27" s="48">
        <f t="shared" si="3"/>
        <v>11462534067850.352</v>
      </c>
      <c r="AG27" s="48">
        <f t="shared" si="3"/>
        <v>11554234340393.156</v>
      </c>
    </row>
    <row r="28" spans="1:33">
      <c r="A28" t="s">
        <v>168</v>
      </c>
      <c r="B28" s="48">
        <f t="shared" ref="B28:AG28" si="4">B$22*$B$17*$B$18</f>
        <v>1933633038217.5203</v>
      </c>
      <c r="C28" s="48">
        <f t="shared" si="4"/>
        <v>2324586166163.1401</v>
      </c>
      <c r="D28" s="48">
        <f t="shared" si="4"/>
        <v>2715539294108.7598</v>
      </c>
      <c r="E28" s="48">
        <f t="shared" si="4"/>
        <v>3106492422054.3799</v>
      </c>
      <c r="F28" s="48">
        <f t="shared" si="4"/>
        <v>3131344361430.8149</v>
      </c>
      <c r="G28" s="48">
        <f t="shared" si="4"/>
        <v>3156395116322.2617</v>
      </c>
      <c r="H28" s="48">
        <f t="shared" si="4"/>
        <v>3181646277252.8398</v>
      </c>
      <c r="I28" s="48">
        <f t="shared" si="4"/>
        <v>3207099447470.8623</v>
      </c>
      <c r="J28" s="48">
        <f t="shared" si="4"/>
        <v>3232756243050.6289</v>
      </c>
      <c r="K28" s="48">
        <f t="shared" si="4"/>
        <v>3258618292995.0342</v>
      </c>
      <c r="L28" s="48">
        <f t="shared" si="4"/>
        <v>3284687239338.9941</v>
      </c>
      <c r="M28" s="48">
        <f t="shared" si="4"/>
        <v>3310964737253.7061</v>
      </c>
      <c r="N28" s="48">
        <f t="shared" si="4"/>
        <v>3337452455151.7358</v>
      </c>
      <c r="O28" s="48">
        <f t="shared" si="4"/>
        <v>3364152074792.9497</v>
      </c>
      <c r="P28" s="48">
        <f t="shared" si="4"/>
        <v>3391065291391.2939</v>
      </c>
      <c r="Q28" s="48">
        <f t="shared" si="4"/>
        <v>3418193813722.4243</v>
      </c>
      <c r="R28" s="48">
        <f t="shared" si="4"/>
        <v>3445539364232.2036</v>
      </c>
      <c r="S28" s="48">
        <f t="shared" si="4"/>
        <v>3473103679146.061</v>
      </c>
      <c r="T28" s="48">
        <f t="shared" si="4"/>
        <v>3500888508579.2295</v>
      </c>
      <c r="U28" s="48">
        <f t="shared" si="4"/>
        <v>3528895616647.8633</v>
      </c>
      <c r="V28" s="48">
        <f t="shared" si="4"/>
        <v>3557126781581.0464</v>
      </c>
      <c r="W28" s="48">
        <f t="shared" si="4"/>
        <v>3585583795833.6948</v>
      </c>
      <c r="X28" s="48">
        <f t="shared" si="4"/>
        <v>3614268466200.3643</v>
      </c>
      <c r="Y28" s="48">
        <f t="shared" si="4"/>
        <v>3643182613929.9668</v>
      </c>
      <c r="Z28" s="48">
        <f t="shared" si="4"/>
        <v>3672328074841.4067</v>
      </c>
      <c r="AA28" s="48">
        <f t="shared" si="4"/>
        <v>3701706699440.1382</v>
      </c>
      <c r="AB28" s="48">
        <f t="shared" si="4"/>
        <v>3731320353035.6592</v>
      </c>
      <c r="AC28" s="48">
        <f t="shared" si="4"/>
        <v>3761170915859.9453</v>
      </c>
      <c r="AD28" s="48">
        <f t="shared" si="4"/>
        <v>3791260283186.8252</v>
      </c>
      <c r="AE28" s="48">
        <f t="shared" si="4"/>
        <v>3821590365452.3188</v>
      </c>
      <c r="AF28" s="48">
        <f t="shared" si="4"/>
        <v>3852163088375.9375</v>
      </c>
      <c r="AG28" s="48">
        <f t="shared" si="4"/>
        <v>3882980393082.9453</v>
      </c>
    </row>
    <row r="29" spans="1:33">
      <c r="A29" s="52" t="s">
        <v>169</v>
      </c>
      <c r="B29" s="54">
        <f t="shared" ref="B29:AG29" si="5">SUM(B26:B28)</f>
        <v>9432356283987.9043</v>
      </c>
      <c r="C29" s="54">
        <f t="shared" si="5"/>
        <v>11339444712990.93</v>
      </c>
      <c r="D29" s="54">
        <f t="shared" si="5"/>
        <v>13246533141993.951</v>
      </c>
      <c r="E29" s="54">
        <f t="shared" si="5"/>
        <v>15153621570996.977</v>
      </c>
      <c r="F29" s="54">
        <f t="shared" si="5"/>
        <v>15274850543564.951</v>
      </c>
      <c r="G29" s="54">
        <f t="shared" si="5"/>
        <v>15397049347913.471</v>
      </c>
      <c r="H29" s="54">
        <f t="shared" si="5"/>
        <v>15520225742696.779</v>
      </c>
      <c r="I29" s="54">
        <f t="shared" si="5"/>
        <v>15644387548638.355</v>
      </c>
      <c r="J29" s="54">
        <f t="shared" si="5"/>
        <v>15769542649027.461</v>
      </c>
      <c r="K29" s="54">
        <f t="shared" si="5"/>
        <v>15895698990219.68</v>
      </c>
      <c r="L29" s="54">
        <f t="shared" si="5"/>
        <v>16022864582141.438</v>
      </c>
      <c r="M29" s="54">
        <f t="shared" si="5"/>
        <v>16151047498798.566</v>
      </c>
      <c r="N29" s="54">
        <f t="shared" si="5"/>
        <v>16280255878788.955</v>
      </c>
      <c r="O29" s="54">
        <f t="shared" si="5"/>
        <v>16410497925819.268</v>
      </c>
      <c r="P29" s="54">
        <f t="shared" si="5"/>
        <v>16541781909225.824</v>
      </c>
      <c r="Q29" s="54">
        <f t="shared" si="5"/>
        <v>16674116164499.631</v>
      </c>
      <c r="R29" s="54">
        <f t="shared" si="5"/>
        <v>16807509093815.627</v>
      </c>
      <c r="S29" s="54">
        <f t="shared" si="5"/>
        <v>16941969166566.152</v>
      </c>
      <c r="T29" s="54">
        <f t="shared" si="5"/>
        <v>17077504919898.68</v>
      </c>
      <c r="U29" s="54">
        <f t="shared" si="5"/>
        <v>17214124959257.871</v>
      </c>
      <c r="V29" s="54">
        <f t="shared" si="5"/>
        <v>17351837958931.936</v>
      </c>
      <c r="W29" s="54">
        <f t="shared" si="5"/>
        <v>17490652662603.389</v>
      </c>
      <c r="X29" s="54">
        <f t="shared" si="5"/>
        <v>17630577883904.215</v>
      </c>
      <c r="Y29" s="54">
        <f t="shared" si="5"/>
        <v>17771622506975.445</v>
      </c>
      <c r="Z29" s="54">
        <f t="shared" si="5"/>
        <v>17913795487031.254</v>
      </c>
      <c r="AA29" s="54">
        <f t="shared" si="5"/>
        <v>18057105850927.504</v>
      </c>
      <c r="AB29" s="54">
        <f t="shared" si="5"/>
        <v>18201562697734.926</v>
      </c>
      <c r="AC29" s="54">
        <f t="shared" si="5"/>
        <v>18347175199316.805</v>
      </c>
      <c r="AD29" s="54">
        <f t="shared" si="5"/>
        <v>18493952600911.34</v>
      </c>
      <c r="AE29" s="54">
        <f t="shared" si="5"/>
        <v>18641904221718.633</v>
      </c>
      <c r="AF29" s="54">
        <f t="shared" si="5"/>
        <v>18791039455492.379</v>
      </c>
      <c r="AG29" s="54">
        <f t="shared" si="5"/>
        <v>18941367771136.32</v>
      </c>
    </row>
    <row r="31" spans="1:33">
      <c r="A31" t="s">
        <v>170</v>
      </c>
      <c r="B31" s="47">
        <f>(Commercial_calculation!B16-B26)/$B$18</f>
        <v>54.099893685735857</v>
      </c>
      <c r="C31" s="47">
        <f>(Commercial_calculation!C16-C26)/$B$18</f>
        <v>54.83531595413875</v>
      </c>
      <c r="D31" s="47">
        <f>(Commercial_calculation!D16-D26)/$B$18</f>
        <v>55.222455338803613</v>
      </c>
      <c r="E31" s="47">
        <f>(Commercial_calculation!E16-E26)/$B$18</f>
        <v>58.320012805011118</v>
      </c>
      <c r="F31" s="47">
        <f>(Commercial_calculation!F16-F26)/$B$18</f>
        <v>58.786572907451209</v>
      </c>
      <c r="G31" s="47">
        <f>(Commercial_calculation!G16-G26)/$B$18</f>
        <v>59.256865490710823</v>
      </c>
      <c r="H31" s="47">
        <f>(Commercial_calculation!H16-H26)/$B$18</f>
        <v>59.730920414636515</v>
      </c>
      <c r="I31" s="47">
        <f>(Commercial_calculation!I16-I26)/$B$18</f>
        <v>60.208767777953604</v>
      </c>
      <c r="J31" s="47">
        <f>(Commercial_calculation!J16-J26)/$B$18</f>
        <v>60.690437920177231</v>
      </c>
      <c r="K31" s="47">
        <f>(Commercial_calculation!K16-K26)/$B$18</f>
        <v>61.175961423538645</v>
      </c>
      <c r="L31" s="47">
        <f>(Commercial_calculation!L16-L26)/$B$18</f>
        <v>61.665369114926968</v>
      </c>
      <c r="M31" s="47">
        <f>(Commercial_calculation!M16-M26)/$B$18</f>
        <v>62.158692067846374</v>
      </c>
      <c r="N31" s="47">
        <f>(Commercial_calculation!N16-N26)/$B$18</f>
        <v>62.655961604389148</v>
      </c>
      <c r="O31" s="47">
        <f>(Commercial_calculation!O16-O26)/$B$18</f>
        <v>63.15720929722427</v>
      </c>
      <c r="P31" s="47">
        <f>(Commercial_calculation!P16-P26)/$B$18</f>
        <v>63.662466971602058</v>
      </c>
      <c r="Q31" s="47">
        <f>(Commercial_calculation!Q16-Q26)/$B$18</f>
        <v>64.171766707374871</v>
      </c>
      <c r="R31" s="47">
        <f>(Commercial_calculation!R16-R26)/$B$18</f>
        <v>64.685140841033871</v>
      </c>
      <c r="S31" s="47">
        <f>(Commercial_calculation!S16-S26)/$B$18</f>
        <v>65.202621967762155</v>
      </c>
      <c r="T31" s="47">
        <f>(Commercial_calculation!T16-T26)/$B$18</f>
        <v>65.724242943504251</v>
      </c>
      <c r="U31" s="47">
        <f>(Commercial_calculation!U16-U26)/$B$18</f>
        <v>66.250036887052275</v>
      </c>
      <c r="V31" s="47">
        <f>(Commercial_calculation!V16-V26)/$B$18</f>
        <v>66.780037182148703</v>
      </c>
      <c r="W31" s="47">
        <f>(Commercial_calculation!W16-W26)/$B$18</f>
        <v>67.314277479605906</v>
      </c>
      <c r="X31" s="47">
        <f>(Commercial_calculation!X16-X26)/$B$18</f>
        <v>67.852791699442747</v>
      </c>
      <c r="Y31" s="47">
        <f>(Commercial_calculation!Y16-Y26)/$B$18</f>
        <v>68.395614033038285</v>
      </c>
      <c r="Z31" s="47">
        <f>(Commercial_calculation!Z16-Z26)/$B$18</f>
        <v>68.942778945302592</v>
      </c>
      <c r="AA31" s="47">
        <f>(Commercial_calculation!AA16-AA26)/$B$18</f>
        <v>69.494321176865014</v>
      </c>
      <c r="AB31" s="47">
        <f>(Commercial_calculation!AB16-AB26)/$B$18</f>
        <v>70.050275746279937</v>
      </c>
      <c r="AC31" s="47">
        <f>(Commercial_calculation!AC16-AC26)/$B$18</f>
        <v>70.610677952250171</v>
      </c>
      <c r="AD31" s="47">
        <f>(Commercial_calculation!AD16-AD26)/$B$18</f>
        <v>71.175563375868165</v>
      </c>
      <c r="AE31" s="47">
        <f>(Commercial_calculation!AE16-AE26)/$B$18</f>
        <v>71.744967882875116</v>
      </c>
      <c r="AF31" s="47">
        <f>(Commercial_calculation!AF16-AF26)/$B$18</f>
        <v>72.318927625938116</v>
      </c>
      <c r="AG31" s="47">
        <f>(Commercial_calculation!AG16-AG26)/$B$18</f>
        <v>72.89747904694562</v>
      </c>
    </row>
    <row r="32" spans="1:33">
      <c r="A32" t="s">
        <v>171</v>
      </c>
      <c r="B32" s="47">
        <f>(Commercial_calculation!B64-B27-B28)/$B$18</f>
        <v>18.057151702816494</v>
      </c>
      <c r="C32" s="47">
        <f>(Commercial_calculation!C64-C27-C28)/$B$18</f>
        <v>17.913599591673474</v>
      </c>
      <c r="D32" s="47">
        <f>(Commercial_calculation!D64-D27-D28)/$B$18</f>
        <v>17.640519443551895</v>
      </c>
      <c r="E32" s="47">
        <f>(Commercial_calculation!E64-E27-E28)/$B$18</f>
        <v>18.375456484576677</v>
      </c>
      <c r="F32" s="47">
        <f>(Commercial_calculation!F64-F27-F28)/$B$18</f>
        <v>18.52246013645329</v>
      </c>
      <c r="G32" s="47">
        <f>(Commercial_calculation!G64-G27-G28)/$B$18</f>
        <v>18.670639817544917</v>
      </c>
      <c r="H32" s="47">
        <f>(Commercial_calculation!H64-H27-H28)/$B$18</f>
        <v>18.820004936085276</v>
      </c>
      <c r="I32" s="47">
        <f>(Commercial_calculation!I64-I27-I28)/$B$18</f>
        <v>18.970564975573961</v>
      </c>
      <c r="J32" s="47">
        <f>(Commercial_calculation!J64-J27-J28)/$B$18</f>
        <v>19.122329495378555</v>
      </c>
      <c r="K32" s="47">
        <f>(Commercial_calculation!K64-K27-K28)/$B$18</f>
        <v>19.275308131341578</v>
      </c>
      <c r="L32" s="47">
        <f>(Commercial_calculation!L64-L27-L28)/$B$18</f>
        <v>19.429510596392312</v>
      </c>
      <c r="M32" s="47">
        <f>(Commercial_calculation!M64-M27-M28)/$B$18</f>
        <v>19.584946681163451</v>
      </c>
      <c r="N32" s="47">
        <f>(Commercial_calculation!N64-N27-N28)/$B$18</f>
        <v>19.741626254612761</v>
      </c>
      <c r="O32" s="47">
        <f>(Commercial_calculation!O64-O27-O28)/$B$18</f>
        <v>19.899559264649664</v>
      </c>
      <c r="P32" s="47">
        <f>(Commercial_calculation!P64-P27-P28)/$B$18</f>
        <v>20.058755738766862</v>
      </c>
      <c r="Q32" s="47">
        <f>(Commercial_calculation!Q64-Q27-Q28)/$B$18</f>
        <v>20.219225784676993</v>
      </c>
      <c r="R32" s="47">
        <f>(Commercial_calculation!R64-R27-R28)/$B$18</f>
        <v>20.380979590954414</v>
      </c>
      <c r="S32" s="47">
        <f>(Commercial_calculation!S64-S27-S28)/$B$18</f>
        <v>20.544027427682046</v>
      </c>
      <c r="T32" s="47">
        <f>(Commercial_calculation!T64-T27-T28)/$B$18</f>
        <v>20.708379647103506</v>
      </c>
      <c r="U32" s="47">
        <f>(Commercial_calculation!U64-U27-U28)/$B$18</f>
        <v>20.874046684280334</v>
      </c>
      <c r="V32" s="47">
        <f>(Commercial_calculation!V64-V27-V28)/$B$18</f>
        <v>21.041039057754574</v>
      </c>
      <c r="W32" s="47">
        <f>(Commercial_calculation!W64-W27-W28)/$B$18</f>
        <v>21.209367370216619</v>
      </c>
      <c r="X32" s="47">
        <f>(Commercial_calculation!X64-X27-X28)/$B$18</f>
        <v>21.379042309178345</v>
      </c>
      <c r="Y32" s="47">
        <f>(Commercial_calculation!Y64-Y27-Y28)/$B$18</f>
        <v>21.550074647651773</v>
      </c>
      <c r="Z32" s="47">
        <f>(Commercial_calculation!Z64-Z27-Z28)/$B$18</f>
        <v>21.722475244832989</v>
      </c>
      <c r="AA32" s="47">
        <f>(Commercial_calculation!AA64-AA27-AA28)/$B$18</f>
        <v>21.896255046791648</v>
      </c>
      <c r="AB32" s="47">
        <f>(Commercial_calculation!AB64-AB27-AB28)/$B$18</f>
        <v>22.071425087165984</v>
      </c>
      <c r="AC32" s="47">
        <f>(Commercial_calculation!AC64-AC27-AC28)/$B$18</f>
        <v>22.247996487863304</v>
      </c>
      <c r="AD32" s="47">
        <f>(Commercial_calculation!AD64-AD27-AD28)/$B$18</f>
        <v>22.425980459766208</v>
      </c>
      <c r="AE32" s="47">
        <f>(Commercial_calculation!AE64-AE27-AE28)/$B$18</f>
        <v>22.605388303444343</v>
      </c>
      <c r="AF32" s="47">
        <f>(Commercial_calculation!AF64-AF27-AF28)/$B$18</f>
        <v>22.786231409871892</v>
      </c>
      <c r="AG32" s="47">
        <f>(Commercial_calculation!AG64-AG27-AG28)/$B$18</f>
        <v>22.968521261150869</v>
      </c>
    </row>
    <row r="34" spans="1:33">
      <c r="A34" s="52" t="s">
        <v>172</v>
      </c>
      <c r="B34" s="53" t="str">
        <f>IF(MIN(B31:AG32)&lt;0,"★ Negative value found","OK — all values positive")</f>
        <v>OK — all values positive</v>
      </c>
      <c r="C34" s="53"/>
      <c r="D34" s="53"/>
      <c r="E34" s="5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row>
    <row r="36" spans="1:33">
      <c r="A36" s="52" t="s">
        <v>173</v>
      </c>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row>
    <row r="38" spans="1:33">
      <c r="A38" s="57" t="s">
        <v>174</v>
      </c>
    </row>
    <row r="39" spans="1:33">
      <c r="A39" s="57" t="s">
        <v>175</v>
      </c>
    </row>
    <row r="40" spans="1:33">
      <c r="A40" s="57" t="s">
        <v>176</v>
      </c>
    </row>
    <row r="41" spans="1:33">
      <c r="A41" s="57" t="s">
        <v>177</v>
      </c>
    </row>
    <row r="42" spans="1:33">
      <c r="A42" s="57" t="s">
        <v>178</v>
      </c>
    </row>
    <row r="43" spans="1:33">
      <c r="A43" s="57" t="s">
        <v>179</v>
      </c>
    </row>
    <row r="44" spans="1:33">
      <c r="A44" s="57" t="s">
        <v>180</v>
      </c>
    </row>
    <row r="45" spans="1:33">
      <c r="A45" s="57"/>
    </row>
    <row r="46" spans="1:33">
      <c r="A46" s="57" t="s">
        <v>181</v>
      </c>
    </row>
    <row r="47" spans="1:33">
      <c r="A47" s="57" t="s">
        <v>182</v>
      </c>
    </row>
    <row r="48" spans="1:33">
      <c r="A48" s="57" t="s">
        <v>183</v>
      </c>
    </row>
    <row r="49" spans="1:1">
      <c r="A49" s="57" t="s">
        <v>184</v>
      </c>
    </row>
    <row r="50" spans="1:1">
      <c r="A50" s="57" t="s">
        <v>185</v>
      </c>
    </row>
    <row r="51" spans="1:1">
      <c r="A51" s="57"/>
    </row>
    <row r="52" spans="1:1">
      <c r="A52" s="57" t="s">
        <v>186</v>
      </c>
    </row>
    <row r="53" spans="1:1">
      <c r="A53" s="57" t="s">
        <v>187</v>
      </c>
    </row>
    <row r="54" spans="1:1">
      <c r="A54" s="57" t="s">
        <v>188</v>
      </c>
    </row>
    <row r="55" spans="1:1">
      <c r="A55" s="57" t="s">
        <v>189</v>
      </c>
    </row>
    <row r="56" spans="1:1">
      <c r="A56" s="57" t="s">
        <v>190</v>
      </c>
    </row>
    <row r="57" spans="1:1">
      <c r="A57" s="57" t="s">
        <v>191</v>
      </c>
    </row>
    <row r="58" spans="1:1">
      <c r="A58" s="57" t="s">
        <v>192</v>
      </c>
    </row>
    <row r="59" spans="1:1">
      <c r="A59" s="57" t="s">
        <v>193</v>
      </c>
    </row>
    <row r="60" spans="1:1">
      <c r="A60" s="57"/>
    </row>
    <row r="61" spans="1:1">
      <c r="A61" s="57" t="s">
        <v>194</v>
      </c>
    </row>
    <row r="62" spans="1:1">
      <c r="A62" s="57" t="s">
        <v>209</v>
      </c>
    </row>
    <row r="63" spans="1:1">
      <c r="A63" s="57"/>
    </row>
    <row r="64" spans="1:1">
      <c r="A64" s="57" t="s">
        <v>195</v>
      </c>
    </row>
    <row r="65" spans="1:1">
      <c r="A65" s="57" t="s">
        <v>196</v>
      </c>
    </row>
    <row r="66" spans="1:1">
      <c r="A66" s="57" t="s">
        <v>197</v>
      </c>
    </row>
    <row r="67" spans="1:1">
      <c r="A67" s="57" t="s">
        <v>198</v>
      </c>
    </row>
    <row r="68" spans="1:1">
      <c r="A68" s="57" t="s">
        <v>199</v>
      </c>
    </row>
    <row r="69" spans="1:1">
      <c r="A69" s="57" t="s">
        <v>200</v>
      </c>
    </row>
    <row r="70" spans="1:1">
      <c r="A70" s="57" t="s">
        <v>201</v>
      </c>
    </row>
  </sheetData>
  <phoneticPr fontId="11" type="noConversion"/>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43D3D-1C43-4AD5-8A34-3CB6E2718E2E}">
  <dimension ref="A2:AG73"/>
  <sheetViews>
    <sheetView topLeftCell="K55" zoomScale="70" zoomScaleNormal="70" workbookViewId="0">
      <selection activeCell="B40" sqref="B40"/>
    </sheetView>
  </sheetViews>
  <sheetFormatPr defaultColWidth="8.75" defaultRowHeight="16.5"/>
  <cols>
    <col min="1" max="1" width="30.25" bestFit="1" customWidth="1"/>
    <col min="5" max="33" width="14.25" bestFit="1" customWidth="1"/>
  </cols>
  <sheetData>
    <row r="2" spans="1:33">
      <c r="A2" s="15" t="s">
        <v>44</v>
      </c>
    </row>
    <row r="3" spans="1:33">
      <c r="A3" s="15" t="s">
        <v>37</v>
      </c>
      <c r="B3" s="1">
        <v>2019</v>
      </c>
      <c r="C3" s="1">
        <v>2020</v>
      </c>
      <c r="D3" s="1">
        <v>2021</v>
      </c>
      <c r="E3" s="1">
        <v>2022</v>
      </c>
      <c r="F3" s="1">
        <v>2023</v>
      </c>
      <c r="G3" s="1">
        <v>2024</v>
      </c>
      <c r="H3" s="1">
        <v>2025</v>
      </c>
      <c r="I3" s="1">
        <v>2026</v>
      </c>
      <c r="J3" s="1">
        <v>2027</v>
      </c>
      <c r="K3" s="1">
        <v>2028</v>
      </c>
      <c r="L3" s="1">
        <v>2029</v>
      </c>
      <c r="M3" s="1">
        <v>2030</v>
      </c>
      <c r="N3" s="1">
        <v>2031</v>
      </c>
      <c r="O3" s="1">
        <v>2032</v>
      </c>
      <c r="P3" s="1">
        <v>2033</v>
      </c>
      <c r="Q3" s="1">
        <v>2034</v>
      </c>
      <c r="R3" s="1">
        <v>2035</v>
      </c>
      <c r="S3" s="1">
        <v>2036</v>
      </c>
      <c r="T3" s="1">
        <v>2037</v>
      </c>
      <c r="U3" s="1">
        <v>2038</v>
      </c>
      <c r="V3" s="1">
        <v>2039</v>
      </c>
      <c r="W3" s="1">
        <v>2040</v>
      </c>
      <c r="X3" s="1">
        <v>2041</v>
      </c>
      <c r="Y3" s="1">
        <v>2042</v>
      </c>
      <c r="Z3" s="1">
        <v>2043</v>
      </c>
      <c r="AA3" s="1">
        <v>2044</v>
      </c>
      <c r="AB3" s="1">
        <v>2045</v>
      </c>
      <c r="AC3" s="1">
        <v>2046</v>
      </c>
      <c r="AD3" s="1">
        <v>2047</v>
      </c>
      <c r="AE3" s="1">
        <v>2048</v>
      </c>
      <c r="AF3" s="1">
        <v>2049</v>
      </c>
      <c r="AG3" s="1">
        <v>2050</v>
      </c>
    </row>
    <row r="4" spans="1:33">
      <c r="A4" s="15" t="s">
        <v>2</v>
      </c>
      <c r="B4" s="2">
        <f>INDEX('2019'!$B$14:$G$23, MATCH($A4, '2019'!$A$2:$A$11, 0), MATCH(Urban_res_calculation!$A$3, '2019'!$B$1:$G$1, 0))</f>
        <v>64335875076647.898</v>
      </c>
      <c r="C4" s="2">
        <f>INDEX('2020'!$B$14:$G$23, MATCH($A4, '2020'!$A$2:$A$11, 0), MATCH(Urban_res_calculation!$A$3, '2020'!$B$1:$G$1, 0))</f>
        <v>67639098395954.93</v>
      </c>
      <c r="D4" s="2">
        <f>INDEX('2021'!$B$14:$G$23, MATCH($A4, '2021'!$A$2:$A$11, 0), MATCH(Urban_res_calculation!$A$3, '2021'!$B$1:$G$1, 0))</f>
        <v>70821277852066.547</v>
      </c>
      <c r="E4" s="2">
        <f>MAX(0, D4*(1+Forecast!$B3))</f>
        <v>71246205519178.953</v>
      </c>
      <c r="F4" s="2">
        <f>MAX(0, E4*(1+Forecast!$B3))</f>
        <v>71673682752294.031</v>
      </c>
      <c r="G4" s="2">
        <f>MAX(0, F4*(1+Forecast!$B3))</f>
        <v>72103724848807.797</v>
      </c>
      <c r="H4" s="2">
        <f>MAX(0, G4*(1+Forecast!$B3))</f>
        <v>72536347197900.641</v>
      </c>
      <c r="I4" s="2">
        <f>MAX(0, H4*(1+Forecast!$B3))</f>
        <v>72971565281088.047</v>
      </c>
      <c r="J4" s="2">
        <f>MAX(0, I4*(1+Forecast!$B3))</f>
        <v>73409394672774.578</v>
      </c>
      <c r="K4" s="2">
        <f>MAX(0, J4*(1+Forecast!$B3))</f>
        <v>73849851040811.219</v>
      </c>
      <c r="L4" s="2">
        <f>MAX(0, K4*(1+Forecast!$B3))</f>
        <v>74292950147056.094</v>
      </c>
      <c r="M4" s="2">
        <f>MAX(0, L4*(1+Forecast!$B3))</f>
        <v>74738707847938.438</v>
      </c>
      <c r="N4" s="2">
        <f>MAX(0, M4*(1+Forecast!$B3))</f>
        <v>75187140095026.063</v>
      </c>
      <c r="O4" s="2">
        <f>MAX(0, N4*(1+Forecast!$B3))</f>
        <v>75638262935596.219</v>
      </c>
      <c r="P4" s="2">
        <f>MAX(0, O4*(1+Forecast!$B3))</f>
        <v>76092092513209.797</v>
      </c>
      <c r="Q4" s="2">
        <f>MAX(0, P4*(1+Forecast!$B3))</f>
        <v>76548645068289.063</v>
      </c>
      <c r="R4" s="2">
        <f>MAX(0, Q4*(1+Forecast!$B3))</f>
        <v>77007936938698.797</v>
      </c>
      <c r="S4" s="2">
        <f>MAX(0, R4*(1+Forecast!$B3))</f>
        <v>77469984560330.984</v>
      </c>
      <c r="T4" s="2">
        <f>MAX(0, S4*(1+Forecast!$B3))</f>
        <v>77934804467692.969</v>
      </c>
      <c r="U4" s="2">
        <f>MAX(0, T4*(1+Forecast!$B3))</f>
        <v>78402413294499.125</v>
      </c>
      <c r="V4" s="2">
        <f>MAX(0, U4*(1+Forecast!$B3))</f>
        <v>78872827774266.125</v>
      </c>
      <c r="W4" s="2">
        <f>MAX(0, V4*(1+Forecast!$B3))</f>
        <v>79346064740911.719</v>
      </c>
      <c r="X4" s="2">
        <f>MAX(0, W4*(1+Forecast!$B3))</f>
        <v>79822141129357.188</v>
      </c>
      <c r="Y4" s="2">
        <f>MAX(0, X4*(1+Forecast!$B3))</f>
        <v>80301073976133.328</v>
      </c>
      <c r="Z4" s="2">
        <f>MAX(0, Y4*(1+Forecast!$B3))</f>
        <v>80782880419990.125</v>
      </c>
      <c r="AA4" s="2">
        <f>MAX(0, Z4*(1+Forecast!$B3))</f>
        <v>81267577702510.063</v>
      </c>
      <c r="AB4" s="2">
        <f>MAX(0, AA4*(1+Forecast!$B3))</f>
        <v>81755183168725.125</v>
      </c>
      <c r="AC4" s="2">
        <f>MAX(0, AB4*(1+Forecast!$B3))</f>
        <v>82245714267737.469</v>
      </c>
      <c r="AD4" s="2">
        <f>MAX(0, AC4*(1+Forecast!$B3))</f>
        <v>82739188553343.891</v>
      </c>
      <c r="AE4" s="2">
        <f>MAX(0, AD4*(1+Forecast!$B3))</f>
        <v>83235623684663.953</v>
      </c>
      <c r="AF4" s="2">
        <f>MAX(0, AE4*(1+Forecast!$B3))</f>
        <v>83735037426771.938</v>
      </c>
      <c r="AG4" s="2">
        <f>MAX(0, AF4*(1+Forecast!$B3))</f>
        <v>84237447651332.563</v>
      </c>
    </row>
    <row r="5" spans="1:33">
      <c r="A5" s="15" t="s">
        <v>3</v>
      </c>
      <c r="B5" s="2">
        <f>INDEX('2019'!$B$14:$G$23, MATCH($A5, '2019'!$A$2:$A$11, 0), MATCH(Urban_res_calculation!$A$3, '2019'!$B$1:$G$1, 0))</f>
        <v>10785423073635.699</v>
      </c>
      <c r="C5" s="2">
        <f>INDEX('2020'!$B$14:$G$23, MATCH($A5, '2020'!$A$2:$A$11, 0), MATCH(Urban_res_calculation!$A$3, '2020'!$B$1:$G$1, 0))</f>
        <v>7996184333100.001</v>
      </c>
      <c r="D5" s="2">
        <f>INDEX('2021'!$B$14:$G$23, MATCH($A5, '2021'!$A$2:$A$11, 0), MATCH(Urban_res_calculation!$A$3, '2021'!$B$1:$G$1, 0))</f>
        <v>7038099376560.002</v>
      </c>
      <c r="E5" s="2">
        <f>MAX(0, D5*(1+Forecast!$B4))</f>
        <v>6151298855113.4414</v>
      </c>
      <c r="F5" s="2">
        <f>MAX(0, E5*(1+Forecast!$B4))</f>
        <v>5376235199369.1475</v>
      </c>
      <c r="G5" s="2">
        <f>MAX(0, F5*(1+Forecast!$B4))</f>
        <v>4698829564248.6348</v>
      </c>
      <c r="H5" s="2">
        <f>MAX(0, G5*(1+Forecast!$B4))</f>
        <v>4106777039153.3066</v>
      </c>
      <c r="I5" s="2">
        <f>MAX(0, H5*(1+Forecast!$B4))</f>
        <v>3589323132219.9902</v>
      </c>
      <c r="J5" s="2">
        <f>MAX(0, I5*(1+Forecast!$B4))</f>
        <v>3137068417560.2715</v>
      </c>
      <c r="K5" s="2">
        <f>MAX(0, J5*(1+Forecast!$B4))</f>
        <v>2741797796947.6772</v>
      </c>
      <c r="L5" s="2">
        <f>MAX(0, K5*(1+Forecast!$B4))</f>
        <v>2396331274532.27</v>
      </c>
      <c r="M5" s="2">
        <f>MAX(0, L5*(1+Forecast!$B4))</f>
        <v>2094393533941.2041</v>
      </c>
      <c r="N5" s="2">
        <f>MAX(0, M5*(1+Forecast!$B4))</f>
        <v>1830499948664.6123</v>
      </c>
      <c r="O5" s="2">
        <f>MAX(0, N5*(1+Forecast!$B4))</f>
        <v>1599856955132.8711</v>
      </c>
      <c r="P5" s="2">
        <f>MAX(0, O5*(1+Forecast!$B4))</f>
        <v>1398274978786.1294</v>
      </c>
      <c r="Q5" s="2">
        <f>MAX(0, P5*(1+Forecast!$B4))</f>
        <v>1222092331459.0771</v>
      </c>
      <c r="R5" s="2">
        <f>MAX(0, Q5*(1+Forecast!$B4))</f>
        <v>1068108697695.2334</v>
      </c>
      <c r="S5" s="2">
        <f>MAX(0, R5*(1+Forecast!$B4))</f>
        <v>933527001785.63403</v>
      </c>
      <c r="T5" s="2">
        <f>MAX(0, S5*(1+Forecast!$B4))</f>
        <v>815902599560.64417</v>
      </c>
      <c r="U5" s="2">
        <f>MAX(0, T5*(1+Forecast!$B4))</f>
        <v>713098872016.00305</v>
      </c>
      <c r="V5" s="2">
        <f>MAX(0, U5*(1+Forecast!$B4))</f>
        <v>623248414141.98669</v>
      </c>
      <c r="W5" s="2">
        <f>MAX(0, V5*(1+Forecast!$B4))</f>
        <v>544719113960.09637</v>
      </c>
      <c r="X5" s="2">
        <f>MAX(0, W5*(1+Forecast!$B4))</f>
        <v>476084505601.12421</v>
      </c>
      <c r="Y5" s="2">
        <f>MAX(0, X5*(1+Forecast!$B4))</f>
        <v>416097857895.38257</v>
      </c>
      <c r="Z5" s="2">
        <f>MAX(0, Y5*(1+Forecast!$B4))</f>
        <v>363669527800.56439</v>
      </c>
      <c r="AA5" s="2">
        <f>MAX(0, Z5*(1+Forecast!$B4))</f>
        <v>317847167297.6933</v>
      </c>
      <c r="AB5" s="2">
        <f>MAX(0, AA5*(1+Forecast!$B4))</f>
        <v>277798424218.18396</v>
      </c>
      <c r="AC5" s="2">
        <f>MAX(0, AB5*(1+Forecast!$B4))</f>
        <v>242795822766.69278</v>
      </c>
      <c r="AD5" s="2">
        <f>MAX(0, AC5*(1+Forecast!$B4))</f>
        <v>212203549098.08948</v>
      </c>
      <c r="AE5" s="2">
        <f>MAX(0, AD5*(1+Forecast!$B4))</f>
        <v>185465901911.73019</v>
      </c>
      <c r="AF5" s="2">
        <f>MAX(0, AE5*(1+Forecast!$B4))</f>
        <v>162097198270.8522</v>
      </c>
      <c r="AG5" s="2">
        <f>MAX(0, AF5*(1+Forecast!$B4))</f>
        <v>141672951288.72482</v>
      </c>
    </row>
    <row r="6" spans="1:33">
      <c r="A6" s="15" t="s">
        <v>4</v>
      </c>
      <c r="B6" s="2">
        <f>INDEX('2019'!$B$14:$G$23, MATCH($A6, '2019'!$A$2:$A$11, 0), MATCH(Urban_res_calculation!$A$3, '2019'!$B$1:$G$1, 0))</f>
        <v>315994095657678.75</v>
      </c>
      <c r="C6" s="2">
        <f>INDEX('2020'!$B$14:$G$23, MATCH($A6, '2020'!$A$2:$A$11, 0), MATCH(Urban_res_calculation!$A$3, '2020'!$B$1:$G$1, 0))</f>
        <v>328232931999360.94</v>
      </c>
      <c r="D6" s="2">
        <f>INDEX('2021'!$B$14:$G$23, MATCH($A6, '2021'!$A$2:$A$11, 0), MATCH(Urban_res_calculation!$A$3, '2021'!$B$1:$G$1, 0))</f>
        <v>334354759387182.44</v>
      </c>
      <c r="E6" s="2">
        <f>MAX(0, D6*(1+Forecast!$B5))</f>
        <v>331679921312085</v>
      </c>
      <c r="F6" s="2">
        <f>MAX(0, E6*(1+Forecast!$B5))</f>
        <v>329026481941588.31</v>
      </c>
      <c r="G6" s="2">
        <f>MAX(0, F6*(1+Forecast!$B5))</f>
        <v>326394270086055.63</v>
      </c>
      <c r="H6" s="2">
        <f>MAX(0, G6*(1+Forecast!$B5))</f>
        <v>323783115925367.19</v>
      </c>
      <c r="I6" s="2">
        <f>MAX(0, H6*(1+Forecast!$B5))</f>
        <v>321192850997964.25</v>
      </c>
      <c r="J6" s="2">
        <f>MAX(0, I6*(1+Forecast!$B5))</f>
        <v>318623308189980.56</v>
      </c>
      <c r="K6" s="2">
        <f>MAX(0, J6*(1+Forecast!$B5))</f>
        <v>316074321724460.69</v>
      </c>
      <c r="L6" s="2">
        <f>MAX(0, K6*(1+Forecast!$B5))</f>
        <v>313545727150665</v>
      </c>
      <c r="M6" s="2">
        <f>MAX(0, L6*(1+Forecast!$B5))</f>
        <v>311037361333459.69</v>
      </c>
      <c r="N6" s="2">
        <f>MAX(0, M6*(1+Forecast!$B5))</f>
        <v>308549062442792</v>
      </c>
      <c r="O6" s="2">
        <f>MAX(0, N6*(1+Forecast!$B5))</f>
        <v>306080669943249.69</v>
      </c>
      <c r="P6" s="2">
        <f>MAX(0, O6*(1+Forecast!$B5))</f>
        <v>303632024583703.69</v>
      </c>
      <c r="Q6" s="2">
        <f>MAX(0, P6*(1+Forecast!$B5))</f>
        <v>301202968387034.06</v>
      </c>
      <c r="R6" s="2">
        <f>MAX(0, Q6*(1+Forecast!$B5))</f>
        <v>298793344639937.81</v>
      </c>
      <c r="S6" s="2">
        <f>MAX(0, R6*(1+Forecast!$B5))</f>
        <v>296402997882818.31</v>
      </c>
      <c r="T6" s="2">
        <f>MAX(0, S6*(1+Forecast!$B5))</f>
        <v>294031773899755.75</v>
      </c>
      <c r="U6" s="2">
        <f>MAX(0, T6*(1+Forecast!$B5))</f>
        <v>291679519708557.69</v>
      </c>
      <c r="V6" s="2">
        <f>MAX(0, U6*(1+Forecast!$B5))</f>
        <v>289346083550889.25</v>
      </c>
      <c r="W6" s="2">
        <f>MAX(0, V6*(1+Forecast!$B5))</f>
        <v>287031314882482.13</v>
      </c>
      <c r="X6" s="2">
        <f>MAX(0, W6*(1+Forecast!$B5))</f>
        <v>284735064363422.25</v>
      </c>
      <c r="Y6" s="2">
        <f>MAX(0, X6*(1+Forecast!$B5))</f>
        <v>282457183848514.88</v>
      </c>
      <c r="Z6" s="2">
        <f>MAX(0, Y6*(1+Forecast!$B5))</f>
        <v>280197526377726.75</v>
      </c>
      <c r="AA6" s="2">
        <f>MAX(0, Z6*(1+Forecast!$B5))</f>
        <v>277955946166704.94</v>
      </c>
      <c r="AB6" s="2">
        <f>MAX(0, AA6*(1+Forecast!$B5))</f>
        <v>275732298597371.28</v>
      </c>
      <c r="AC6" s="2">
        <f>MAX(0, AB6*(1+Forecast!$B5))</f>
        <v>273526440208592.31</v>
      </c>
      <c r="AD6" s="2">
        <f>MAX(0, AC6*(1+Forecast!$B5))</f>
        <v>271338228686923.56</v>
      </c>
      <c r="AE6" s="2">
        <f>MAX(0, AD6*(1+Forecast!$B5))</f>
        <v>269167522857428.19</v>
      </c>
      <c r="AF6" s="2">
        <f>MAX(0, AE6*(1+Forecast!$B5))</f>
        <v>267014182674568.75</v>
      </c>
      <c r="AG6" s="2">
        <f>MAX(0, AF6*(1+Forecast!$B5))</f>
        <v>264878069213172.19</v>
      </c>
    </row>
    <row r="7" spans="1:33">
      <c r="A7" s="15" t="s">
        <v>5</v>
      </c>
      <c r="B7" s="2">
        <f>INDEX('2019'!$B$14:$G$23, MATCH($A7, '2019'!$A$2:$A$11, 0), MATCH(Urban_res_calculation!$A$3, '2019'!$B$1:$G$1, 0))</f>
        <v>0</v>
      </c>
      <c r="C7" s="2">
        <f>INDEX('2020'!$B$14:$G$23, MATCH($A7, '2020'!$A$2:$A$11, 0), MATCH(Urban_res_calculation!$A$3, '2020'!$B$1:$G$1, 0))</f>
        <v>0</v>
      </c>
      <c r="D7" s="2">
        <f>INDEX('2021'!$B$14:$G$23, MATCH($A7, '2021'!$A$2:$A$11, 0), MATCH(Urban_res_calculation!$A$3, '2021'!$B$1:$G$1, 0))</f>
        <v>0</v>
      </c>
      <c r="E7" s="2">
        <f>MAX(0, D7*(1+Forecast!$B6))</f>
        <v>0</v>
      </c>
      <c r="F7" s="2">
        <f>MAX(0, E7*(1+Forecast!$B6))</f>
        <v>0</v>
      </c>
      <c r="G7" s="2">
        <f>MAX(0, F7*(1+Forecast!$B6))</f>
        <v>0</v>
      </c>
      <c r="H7" s="2">
        <f>MAX(0, G7*(1+Forecast!$B6))</f>
        <v>0</v>
      </c>
      <c r="I7" s="2">
        <f>MAX(0, H7*(1+Forecast!$B6))</f>
        <v>0</v>
      </c>
      <c r="J7" s="2">
        <f>MAX(0, I7*(1+Forecast!$B6))</f>
        <v>0</v>
      </c>
      <c r="K7" s="2">
        <f>MAX(0, J7*(1+Forecast!$B6))</f>
        <v>0</v>
      </c>
      <c r="L7" s="2">
        <f>MAX(0, K7*(1+Forecast!$B6))</f>
        <v>0</v>
      </c>
      <c r="M7" s="2">
        <f>MAX(0, L7*(1+Forecast!$B6))</f>
        <v>0</v>
      </c>
      <c r="N7" s="2">
        <f>MAX(0, M7*(1+Forecast!$B6))</f>
        <v>0</v>
      </c>
      <c r="O7" s="2">
        <f>MAX(0, N7*(1+Forecast!$B6))</f>
        <v>0</v>
      </c>
      <c r="P7" s="2">
        <f>MAX(0, O7*(1+Forecast!$B6))</f>
        <v>0</v>
      </c>
      <c r="Q7" s="2">
        <f>MAX(0, P7*(1+Forecast!$B6))</f>
        <v>0</v>
      </c>
      <c r="R7" s="2">
        <f>MAX(0, Q7*(1+Forecast!$B6))</f>
        <v>0</v>
      </c>
      <c r="S7" s="2">
        <f>MAX(0, R7*(1+Forecast!$B6))</f>
        <v>0</v>
      </c>
      <c r="T7" s="2">
        <f>MAX(0, S7*(1+Forecast!$B6))</f>
        <v>0</v>
      </c>
      <c r="U7" s="2">
        <f>MAX(0, T7*(1+Forecast!$B6))</f>
        <v>0</v>
      </c>
      <c r="V7" s="2">
        <f>MAX(0, U7*(1+Forecast!$B6))</f>
        <v>0</v>
      </c>
      <c r="W7" s="2">
        <f>MAX(0, V7*(1+Forecast!$B6))</f>
        <v>0</v>
      </c>
      <c r="X7" s="2">
        <f>MAX(0, W7*(1+Forecast!$B6))</f>
        <v>0</v>
      </c>
      <c r="Y7" s="2">
        <f>MAX(0, X7*(1+Forecast!$B6))</f>
        <v>0</v>
      </c>
      <c r="Z7" s="2">
        <f>MAX(0, Y7*(1+Forecast!$B6))</f>
        <v>0</v>
      </c>
      <c r="AA7" s="2">
        <f>MAX(0, Z7*(1+Forecast!$B6))</f>
        <v>0</v>
      </c>
      <c r="AB7" s="2">
        <f>MAX(0, AA7*(1+Forecast!$B6))</f>
        <v>0</v>
      </c>
      <c r="AC7" s="2">
        <f>MAX(0, AB7*(1+Forecast!$B6))</f>
        <v>0</v>
      </c>
      <c r="AD7" s="2">
        <f>MAX(0, AC7*(1+Forecast!$B6))</f>
        <v>0</v>
      </c>
      <c r="AE7" s="2">
        <f>MAX(0, AD7*(1+Forecast!$B6))</f>
        <v>0</v>
      </c>
      <c r="AF7" s="2">
        <f>MAX(0, AE7*(1+Forecast!$B6))</f>
        <v>0</v>
      </c>
      <c r="AG7" s="2">
        <f>MAX(0, AF7*(1+Forecast!$B6))</f>
        <v>0</v>
      </c>
    </row>
    <row r="8" spans="1:33">
      <c r="A8" s="15" t="s">
        <v>7</v>
      </c>
      <c r="B8" s="2">
        <f>INDEX('2019'!$B$14:$G$23, MATCH($A8, '2019'!$A$2:$A$11, 0), MATCH(Urban_res_calculation!$A$3, '2019'!$B$1:$G$1, 0))</f>
        <v>75772498464000</v>
      </c>
      <c r="C8" s="2">
        <f>INDEX('2020'!$B$14:$G$23, MATCH($A8, '2020'!$A$2:$A$11, 0), MATCH(Urban_res_calculation!$A$3, '2020'!$B$1:$G$1, 0))</f>
        <v>80129417125680</v>
      </c>
      <c r="D8" s="2">
        <f>INDEX('2021'!$B$14:$G$23, MATCH($A8, '2021'!$A$2:$A$11, 0), MATCH(Urban_res_calculation!$A$3, '2021'!$B$1:$G$1, 0))</f>
        <v>82519165154160</v>
      </c>
      <c r="E8" s="2">
        <f>MAX(0, D8*(1+Forecast!$B7))</f>
        <v>82436645989005.844</v>
      </c>
      <c r="F8" s="2">
        <f>MAX(0, E8*(1+Forecast!$B7))</f>
        <v>82354209343016.844</v>
      </c>
      <c r="G8" s="2">
        <f>MAX(0, F8*(1+Forecast!$B7))</f>
        <v>82271855133673.828</v>
      </c>
      <c r="H8" s="2">
        <f>MAX(0, G8*(1+Forecast!$B7))</f>
        <v>82189583278540.156</v>
      </c>
      <c r="I8" s="2">
        <f>MAX(0, H8*(1+Forecast!$B7))</f>
        <v>82107393695261.609</v>
      </c>
      <c r="J8" s="2">
        <f>MAX(0, I8*(1+Forecast!$B7))</f>
        <v>82025286301566.344</v>
      </c>
      <c r="K8" s="2">
        <f>MAX(0, J8*(1+Forecast!$B7))</f>
        <v>81943261015264.781</v>
      </c>
      <c r="L8" s="2">
        <f>MAX(0, K8*(1+Forecast!$B7))</f>
        <v>81861317754249.516</v>
      </c>
      <c r="M8" s="2">
        <f>MAX(0, L8*(1+Forecast!$B7))</f>
        <v>81779456436495.266</v>
      </c>
      <c r="N8" s="2">
        <f>MAX(0, M8*(1+Forecast!$B7))</f>
        <v>81697676980058.766</v>
      </c>
      <c r="O8" s="2">
        <f>MAX(0, N8*(1+Forecast!$B7))</f>
        <v>81615979303078.703</v>
      </c>
      <c r="P8" s="2">
        <f>MAX(0, O8*(1+Forecast!$B7))</f>
        <v>81534363323775.625</v>
      </c>
      <c r="Q8" s="2">
        <f>MAX(0, P8*(1+Forecast!$B7))</f>
        <v>81452828960451.844</v>
      </c>
      <c r="R8" s="2">
        <f>MAX(0, Q8*(1+Forecast!$B7))</f>
        <v>81371376131491.391</v>
      </c>
      <c r="S8" s="2">
        <f>MAX(0, R8*(1+Forecast!$B7))</f>
        <v>81290004755359.906</v>
      </c>
      <c r="T8" s="2">
        <f>MAX(0, S8*(1+Forecast!$B7))</f>
        <v>81208714750604.547</v>
      </c>
      <c r="U8" s="2">
        <f>MAX(0, T8*(1+Forecast!$B7))</f>
        <v>81127506035853.938</v>
      </c>
      <c r="V8" s="2">
        <f>MAX(0, U8*(1+Forecast!$B7))</f>
        <v>81046378529818.078</v>
      </c>
      <c r="W8" s="2">
        <f>MAX(0, V8*(1+Forecast!$B7))</f>
        <v>80965332151288.266</v>
      </c>
      <c r="X8" s="2">
        <f>MAX(0, W8*(1+Forecast!$B7))</f>
        <v>80884366819136.984</v>
      </c>
      <c r="Y8" s="2">
        <f>MAX(0, X8*(1+Forecast!$B7))</f>
        <v>80803482452317.844</v>
      </c>
      <c r="Z8" s="2">
        <f>MAX(0, Y8*(1+Forecast!$B7))</f>
        <v>80722678969865.531</v>
      </c>
      <c r="AA8" s="2">
        <f>MAX(0, Z8*(1+Forecast!$B7))</f>
        <v>80641956290895.672</v>
      </c>
      <c r="AB8" s="2">
        <f>MAX(0, AA8*(1+Forecast!$B7))</f>
        <v>80561314334604.781</v>
      </c>
      <c r="AC8" s="2">
        <f>MAX(0, AB8*(1+Forecast!$B7))</f>
        <v>80480753020270.172</v>
      </c>
      <c r="AD8" s="2">
        <f>MAX(0, AC8*(1+Forecast!$B7))</f>
        <v>80400272267249.906</v>
      </c>
      <c r="AE8" s="2">
        <f>MAX(0, AD8*(1+Forecast!$B7))</f>
        <v>80319871994982.656</v>
      </c>
      <c r="AF8" s="2">
        <f>MAX(0, AE8*(1+Forecast!$B7))</f>
        <v>80239552122987.672</v>
      </c>
      <c r="AG8" s="2">
        <f>MAX(0, AF8*(1+Forecast!$B7))</f>
        <v>80159312570864.688</v>
      </c>
    </row>
    <row r="9" spans="1:33">
      <c r="A9" s="15" t="s">
        <v>11</v>
      </c>
      <c r="B9" s="2">
        <f>INDEX('2019'!$B$14:$G$23, MATCH($A9, '2019'!$A$2:$A$11, 0), MATCH(Urban_res_calculation!$A$3, '2019'!$B$1:$G$1, 0))</f>
        <v>4830496777080.001</v>
      </c>
      <c r="C9" s="2">
        <f>INDEX('2020'!$B$14:$G$23, MATCH($A9, '2020'!$A$2:$A$11, 0), MATCH(Urban_res_calculation!$A$3, '2020'!$B$1:$G$1, 0))</f>
        <v>4611922262280</v>
      </c>
      <c r="D9" s="2">
        <f>INDEX('2021'!$B$14:$G$23, MATCH($A9, '2021'!$A$2:$A$11, 0), MATCH(Urban_res_calculation!$A$3, '2021'!$B$1:$G$1, 0))</f>
        <v>4630136805180.001</v>
      </c>
      <c r="E9" s="2">
        <f>MAX(0, D9*(1+Forecast!$B8))</f>
        <v>4657917626011.0811</v>
      </c>
      <c r="F9" s="2">
        <f>MAX(0, E9*(1+Forecast!$B8))</f>
        <v>4685865131767.1475</v>
      </c>
      <c r="G9" s="2">
        <f>MAX(0, F9*(1+Forecast!$B8))</f>
        <v>4713980322557.75</v>
      </c>
      <c r="H9" s="2">
        <f>MAX(0, G9*(1+Forecast!$B8))</f>
        <v>4742264204493.0967</v>
      </c>
      <c r="I9" s="2">
        <f>MAX(0, H9*(1+Forecast!$B8))</f>
        <v>4770717789720.0557</v>
      </c>
      <c r="J9" s="2">
        <f>MAX(0, I9*(1+Forecast!$B8))</f>
        <v>4799342096458.376</v>
      </c>
      <c r="K9" s="2">
        <f>MAX(0, J9*(1+Forecast!$B8))</f>
        <v>4828138149037.126</v>
      </c>
      <c r="L9" s="2">
        <f>MAX(0, K9*(1+Forecast!$B8))</f>
        <v>4857106977931.3486</v>
      </c>
      <c r="M9" s="2">
        <f>MAX(0, L9*(1+Forecast!$B8))</f>
        <v>4886249619798.9365</v>
      </c>
      <c r="N9" s="2">
        <f>MAX(0, M9*(1+Forecast!$B8))</f>
        <v>4915567117517.7305</v>
      </c>
      <c r="O9" s="2">
        <f>MAX(0, N9*(1+Forecast!$B8))</f>
        <v>4945060520222.8369</v>
      </c>
      <c r="P9" s="2">
        <f>MAX(0, O9*(1+Forecast!$B8))</f>
        <v>4974730883344.1738</v>
      </c>
      <c r="Q9" s="2">
        <f>MAX(0, P9*(1+Forecast!$B8))</f>
        <v>5004579268644.2393</v>
      </c>
      <c r="R9" s="2">
        <f>MAX(0, Q9*(1+Forecast!$B8))</f>
        <v>5034606744256.1045</v>
      </c>
      <c r="S9" s="2">
        <f>MAX(0, R9*(1+Forecast!$B8))</f>
        <v>5064814384721.6416</v>
      </c>
      <c r="T9" s="2">
        <f>MAX(0, S9*(1+Forecast!$B8))</f>
        <v>5095203271029.9717</v>
      </c>
      <c r="U9" s="2">
        <f>MAX(0, T9*(1+Forecast!$B8))</f>
        <v>5125774490656.1514</v>
      </c>
      <c r="V9" s="2">
        <f>MAX(0, U9*(1+Forecast!$B8))</f>
        <v>5156529137600.0879</v>
      </c>
      <c r="W9" s="2">
        <f>MAX(0, V9*(1+Forecast!$B8))</f>
        <v>5187468312425.6885</v>
      </c>
      <c r="X9" s="2">
        <f>MAX(0, W9*(1+Forecast!$B8))</f>
        <v>5218593122300.2422</v>
      </c>
      <c r="Y9" s="2">
        <f>MAX(0, X9*(1+Forecast!$B8))</f>
        <v>5249904681034.0439</v>
      </c>
      <c r="Z9" s="2">
        <f>MAX(0, Y9*(1+Forecast!$B8))</f>
        <v>5281404109120.248</v>
      </c>
      <c r="AA9" s="2">
        <f>MAX(0, Z9*(1+Forecast!$B8))</f>
        <v>5313092533774.9697</v>
      </c>
      <c r="AB9" s="2">
        <f>MAX(0, AA9*(1+Forecast!$B8))</f>
        <v>5344971088977.6191</v>
      </c>
      <c r="AC9" s="2">
        <f>MAX(0, AB9*(1+Forecast!$B8))</f>
        <v>5377040915511.4854</v>
      </c>
      <c r="AD9" s="2">
        <f>MAX(0, AC9*(1+Forecast!$B8))</f>
        <v>5409303161004.5547</v>
      </c>
      <c r="AE9" s="2">
        <f>MAX(0, AD9*(1+Forecast!$B8))</f>
        <v>5441758979970.582</v>
      </c>
      <c r="AF9" s="2">
        <f>MAX(0, AE9*(1+Forecast!$B8))</f>
        <v>5474409533850.4053</v>
      </c>
      <c r="AG9" s="2">
        <f>MAX(0, AF9*(1+Forecast!$B8))</f>
        <v>5507255991053.5078</v>
      </c>
    </row>
    <row r="10" spans="1:33">
      <c r="A10" s="15" t="s">
        <v>13</v>
      </c>
      <c r="B10" s="2">
        <f>INDEX('2019'!$B$14:$G$23, MATCH($A10, '2019'!$A$2:$A$11, 0), MATCH(Urban_res_calculation!$A$3, '2019'!$B$1:$G$1, 0))</f>
        <v>0</v>
      </c>
      <c r="C10" s="2">
        <f>INDEX('2020'!$B$14:$G$23, MATCH($A10, '2020'!$A$2:$A$11, 0), MATCH(Urban_res_calculation!$A$3, '2020'!$B$1:$G$1, 0))</f>
        <v>0</v>
      </c>
      <c r="D10" s="2">
        <f>INDEX('2021'!$B$14:$G$23, MATCH($A10, '2021'!$A$2:$A$11, 0), MATCH(Urban_res_calculation!$A$3, '2021'!$B$1:$G$1, 0))</f>
        <v>0</v>
      </c>
      <c r="E10" s="2">
        <f>MAX(0, D10*(1+Forecast!$B9))</f>
        <v>0</v>
      </c>
      <c r="F10" s="2">
        <f>MAX(0, E10*(1+Forecast!$B9))</f>
        <v>0</v>
      </c>
      <c r="G10" s="2">
        <f>MAX(0, F10*(1+Forecast!$B9))</f>
        <v>0</v>
      </c>
      <c r="H10" s="2">
        <f>MAX(0, G10*(1+Forecast!$B9))</f>
        <v>0</v>
      </c>
      <c r="I10" s="2">
        <f>MAX(0, H10*(1+Forecast!$B9))</f>
        <v>0</v>
      </c>
      <c r="J10" s="2">
        <f>MAX(0, I10*(1+Forecast!$B9))</f>
        <v>0</v>
      </c>
      <c r="K10" s="2">
        <f>MAX(0, J10*(1+Forecast!$B9))</f>
        <v>0</v>
      </c>
      <c r="L10" s="2">
        <f>MAX(0, K10*(1+Forecast!$B9))</f>
        <v>0</v>
      </c>
      <c r="M10" s="2">
        <f>MAX(0, L10*(1+Forecast!$B9))</f>
        <v>0</v>
      </c>
      <c r="N10" s="2">
        <f>MAX(0, M10*(1+Forecast!$B9))</f>
        <v>0</v>
      </c>
      <c r="O10" s="2">
        <f>MAX(0, N10*(1+Forecast!$B9))</f>
        <v>0</v>
      </c>
      <c r="P10" s="2">
        <f>MAX(0, O10*(1+Forecast!$B9))</f>
        <v>0</v>
      </c>
      <c r="Q10" s="2">
        <f>MAX(0, P10*(1+Forecast!$B9))</f>
        <v>0</v>
      </c>
      <c r="R10" s="2">
        <f>MAX(0, Q10*(1+Forecast!$B9))</f>
        <v>0</v>
      </c>
      <c r="S10" s="2">
        <f>MAX(0, R10*(1+Forecast!$B9))</f>
        <v>0</v>
      </c>
      <c r="T10" s="2">
        <f>MAX(0, S10*(1+Forecast!$B9))</f>
        <v>0</v>
      </c>
      <c r="U10" s="2">
        <f>MAX(0, T10*(1+Forecast!$B9))</f>
        <v>0</v>
      </c>
      <c r="V10" s="2">
        <f>MAX(0, U10*(1+Forecast!$B9))</f>
        <v>0</v>
      </c>
      <c r="W10" s="2">
        <f>MAX(0, V10*(1+Forecast!$B9))</f>
        <v>0</v>
      </c>
      <c r="X10" s="2">
        <f>MAX(0, W10*(1+Forecast!$B9))</f>
        <v>0</v>
      </c>
      <c r="Y10" s="2">
        <f>MAX(0, X10*(1+Forecast!$B9))</f>
        <v>0</v>
      </c>
      <c r="Z10" s="2">
        <f>MAX(0, Y10*(1+Forecast!$B9))</f>
        <v>0</v>
      </c>
      <c r="AA10" s="2">
        <f>MAX(0, Z10*(1+Forecast!$B9))</f>
        <v>0</v>
      </c>
      <c r="AB10" s="2">
        <f>MAX(0, AA10*(1+Forecast!$B9))</f>
        <v>0</v>
      </c>
      <c r="AC10" s="2">
        <f>MAX(0, AB10*(1+Forecast!$B9))</f>
        <v>0</v>
      </c>
      <c r="AD10" s="2">
        <f>MAX(0, AC10*(1+Forecast!$B9))</f>
        <v>0</v>
      </c>
      <c r="AE10" s="2">
        <f>MAX(0, AD10*(1+Forecast!$B9))</f>
        <v>0</v>
      </c>
      <c r="AF10" s="2">
        <f>MAX(0, AE10*(1+Forecast!$B9))</f>
        <v>0</v>
      </c>
      <c r="AG10" s="2">
        <f>MAX(0, AF10*(1+Forecast!$B9))</f>
        <v>0</v>
      </c>
    </row>
    <row r="11" spans="1:33">
      <c r="A11" s="15" t="s">
        <v>14</v>
      </c>
      <c r="B11" s="2">
        <f>INDEX('2019'!$B$14:$G$23, MATCH($A11, '2019'!$A$2:$A$11, 0), MATCH(Urban_res_calculation!$A$3, '2019'!$B$1:$G$1, 0))</f>
        <v>57204593431740.008</v>
      </c>
      <c r="C11" s="2">
        <f>INDEX('2020'!$B$14:$G$23, MATCH($A11, '2020'!$A$2:$A$11, 0), MATCH(Urban_res_calculation!$A$3, '2020'!$B$1:$G$1, 0))</f>
        <v>55753145501365.469</v>
      </c>
      <c r="D11" s="2">
        <f>INDEX('2021'!$B$14:$G$23, MATCH($A11, '2021'!$A$2:$A$11, 0), MATCH(Urban_res_calculation!$A$3, '2021'!$B$1:$G$1, 0))</f>
        <v>55723903876394.539</v>
      </c>
      <c r="E11" s="2">
        <f>MAX(0, D11*(1+Forecast!$B10))</f>
        <v>53383499913585.969</v>
      </c>
      <c r="F11" s="2">
        <f>MAX(0, E11*(1+Forecast!$B10))</f>
        <v>51141392917215.359</v>
      </c>
      <c r="G11" s="2">
        <f>MAX(0, F11*(1+Forecast!$B10))</f>
        <v>48993454414692.313</v>
      </c>
      <c r="H11" s="2">
        <f>MAX(0, G11*(1+Forecast!$B10))</f>
        <v>46935729329275.234</v>
      </c>
      <c r="I11" s="2">
        <f>MAX(0, H11*(1+Forecast!$B10))</f>
        <v>44964428697445.672</v>
      </c>
      <c r="J11" s="2">
        <f>MAX(0, I11*(1+Forecast!$B10))</f>
        <v>43075922692152.953</v>
      </c>
      <c r="K11" s="2">
        <f>MAX(0, J11*(1+Forecast!$B10))</f>
        <v>41266733939082.531</v>
      </c>
      <c r="L11" s="2">
        <f>MAX(0, K11*(1+Forecast!$B10))</f>
        <v>39533531113641.063</v>
      </c>
      <c r="M11" s="2">
        <f>MAX(0, L11*(1+Forecast!$B10))</f>
        <v>37873122806868.133</v>
      </c>
      <c r="N11" s="2">
        <f>MAX(0, M11*(1+Forecast!$B10))</f>
        <v>36282451648979.672</v>
      </c>
      <c r="O11" s="2">
        <f>MAX(0, N11*(1+Forecast!$B10))</f>
        <v>34758588679722.523</v>
      </c>
      <c r="P11" s="2">
        <f>MAX(0, O11*(1+Forecast!$B10))</f>
        <v>33298727955174.176</v>
      </c>
      <c r="Q11" s="2">
        <f>MAX(0, P11*(1+Forecast!$B10))</f>
        <v>31900181381056.859</v>
      </c>
      <c r="R11" s="2">
        <f>MAX(0, Q11*(1+Forecast!$B10))</f>
        <v>30560373763052.469</v>
      </c>
      <c r="S11" s="2">
        <f>MAX(0, R11*(1+Forecast!$B10))</f>
        <v>29276838065004.266</v>
      </c>
      <c r="T11" s="2">
        <f>MAX(0, S11*(1+Forecast!$B10))</f>
        <v>28047210866274.086</v>
      </c>
      <c r="U11" s="2">
        <f>MAX(0, T11*(1+Forecast!$B10))</f>
        <v>26869228009890.574</v>
      </c>
      <c r="V11" s="2">
        <f>MAX(0, U11*(1+Forecast!$B10))</f>
        <v>25740720433475.168</v>
      </c>
      <c r="W11" s="2">
        <f>MAX(0, V11*(1+Forecast!$B10))</f>
        <v>24659610175269.211</v>
      </c>
      <c r="X11" s="2">
        <f>MAX(0, W11*(1+Forecast!$B10))</f>
        <v>23623906547907.902</v>
      </c>
      <c r="Y11" s="2">
        <f>MAX(0, X11*(1+Forecast!$B10))</f>
        <v>22631702472895.77</v>
      </c>
      <c r="Z11" s="2">
        <f>MAX(0, Y11*(1+Forecast!$B10))</f>
        <v>21681170969034.145</v>
      </c>
      <c r="AA11" s="2">
        <f>MAX(0, Z11*(1+Forecast!$B10))</f>
        <v>20770561788334.711</v>
      </c>
      <c r="AB11" s="2">
        <f>MAX(0, AA11*(1+Forecast!$B10))</f>
        <v>19898198193224.652</v>
      </c>
      <c r="AC11" s="2">
        <f>MAX(0, AB11*(1+Forecast!$B10))</f>
        <v>19062473869109.215</v>
      </c>
      <c r="AD11" s="2">
        <f>MAX(0, AC11*(1+Forecast!$B10))</f>
        <v>18261849966606.629</v>
      </c>
      <c r="AE11" s="2">
        <f>MAX(0, AD11*(1+Forecast!$B10))</f>
        <v>17494852268009.15</v>
      </c>
      <c r="AF11" s="2">
        <f>MAX(0, AE11*(1+Forecast!$B10))</f>
        <v>16760068472752.766</v>
      </c>
      <c r="AG11" s="2">
        <f>MAX(0, AF11*(1+Forecast!$B10))</f>
        <v>16056145596897.148</v>
      </c>
    </row>
    <row r="12" spans="1:33">
      <c r="A12" s="15" t="s">
        <v>15</v>
      </c>
      <c r="B12" s="2">
        <f>INDEX('2019'!$B$14:$G$23, MATCH($A12, '2019'!$A$2:$A$11, 0), MATCH(Urban_res_calculation!$A$3, '2019'!$B$1:$G$1, 0))</f>
        <v>17513304519217.666</v>
      </c>
      <c r="C12" s="2">
        <f>INDEX('2020'!$B$14:$G$23, MATCH($A12, '2020'!$A$2:$A$11, 0), MATCH(Urban_res_calculation!$A$3, '2020'!$B$1:$G$1, 0))</f>
        <v>17068940735236.404</v>
      </c>
      <c r="D12" s="2">
        <f>INDEX('2021'!$B$14:$G$23, MATCH($A12, '2021'!$A$2:$A$11, 0), MATCH(Urban_res_calculation!$A$3, '2021'!$B$1:$G$1, 0))</f>
        <v>17059988351310.039</v>
      </c>
      <c r="E12" s="2">
        <f>MAX(0, D12*(1+Forecast!$B11))</f>
        <v>16343468840555.018</v>
      </c>
      <c r="F12" s="2">
        <f>MAX(0, E12*(1+Forecast!$B11))</f>
        <v>15657043149251.707</v>
      </c>
      <c r="G12" s="2">
        <f>MAX(0, F12*(1+Forecast!$B11))</f>
        <v>14999447336983.135</v>
      </c>
      <c r="H12" s="2">
        <f>MAX(0, G12*(1+Forecast!$B11))</f>
        <v>14369470548829.842</v>
      </c>
      <c r="I12" s="2">
        <f>MAX(0, H12*(1+Forecast!$B11))</f>
        <v>13765952785778.988</v>
      </c>
      <c r="J12" s="2">
        <f>MAX(0, I12*(1+Forecast!$B11))</f>
        <v>13187782768776.27</v>
      </c>
      <c r="K12" s="2">
        <f>MAX(0, J12*(1+Forecast!$B11))</f>
        <v>12633895892487.666</v>
      </c>
      <c r="L12" s="2">
        <f>MAX(0, K12*(1+Forecast!$B11))</f>
        <v>12103272265003.184</v>
      </c>
      <c r="M12" s="2">
        <f>MAX(0, L12*(1+Forecast!$B11))</f>
        <v>11594934829873.049</v>
      </c>
      <c r="N12" s="2">
        <f>MAX(0, M12*(1+Forecast!$B11))</f>
        <v>11107947567018.381</v>
      </c>
      <c r="O12" s="2">
        <f>MAX(0, N12*(1+Forecast!$B11))</f>
        <v>10641413769203.609</v>
      </c>
      <c r="P12" s="2">
        <f>MAX(0, O12*(1+Forecast!$B11))</f>
        <v>10194474390897.057</v>
      </c>
      <c r="Q12" s="2">
        <f>MAX(0, P12*(1+Forecast!$B11))</f>
        <v>9766306466479.3789</v>
      </c>
      <c r="R12" s="2">
        <f>MAX(0, Q12*(1+Forecast!$B11))</f>
        <v>9356121594887.2441</v>
      </c>
      <c r="S12" s="2">
        <f>MAX(0, R12*(1+Forecast!$B11))</f>
        <v>8963164487901.9805</v>
      </c>
      <c r="T12" s="2">
        <f>MAX(0, S12*(1+Forecast!$B11))</f>
        <v>8586711579410.0967</v>
      </c>
      <c r="U12" s="2">
        <f>MAX(0, T12*(1+Forecast!$B11))</f>
        <v>8226069693074.8721</v>
      </c>
      <c r="V12" s="2">
        <f>MAX(0, U12*(1+Forecast!$B11))</f>
        <v>7880574765965.7275</v>
      </c>
      <c r="W12" s="2">
        <f>MAX(0, V12*(1+Forecast!$B11))</f>
        <v>7549590625795.167</v>
      </c>
      <c r="X12" s="2">
        <f>MAX(0, W12*(1+Forecast!$B11))</f>
        <v>7232507819511.7695</v>
      </c>
      <c r="Y12" s="2">
        <f>MAX(0, X12*(1+Forecast!$B11))</f>
        <v>6928742491092.2754</v>
      </c>
      <c r="Z12" s="2">
        <f>MAX(0, Y12*(1+Forecast!$B11))</f>
        <v>6637735306466.3994</v>
      </c>
      <c r="AA12" s="2">
        <f>MAX(0, Z12*(1+Forecast!$B11))</f>
        <v>6358950423594.8105</v>
      </c>
      <c r="AB12" s="2">
        <f>MAX(0, AA12*(1+Forecast!$B11))</f>
        <v>6091874505803.8281</v>
      </c>
      <c r="AC12" s="2">
        <f>MAX(0, AB12*(1+Forecast!$B11))</f>
        <v>5836015776560.0674</v>
      </c>
      <c r="AD12" s="2">
        <f>MAX(0, AC12*(1+Forecast!$B11))</f>
        <v>5590903113944.5439</v>
      </c>
      <c r="AE12" s="2">
        <f>MAX(0, AD12*(1+Forecast!$B11))</f>
        <v>5356085183158.873</v>
      </c>
      <c r="AF12" s="2">
        <f>MAX(0, AE12*(1+Forecast!$B11))</f>
        <v>5131129605466.2002</v>
      </c>
      <c r="AG12" s="2">
        <f>MAX(0, AF12*(1+Forecast!$B11))</f>
        <v>4915622162036.6191</v>
      </c>
    </row>
    <row r="13" spans="1:33">
      <c r="A13" s="15" t="s">
        <v>16</v>
      </c>
      <c r="B13" s="2">
        <f>INDEX('2019'!$B$14:$G$23, MATCH($A13, '2019'!$A$2:$A$11, 0), MATCH(Urban_res_calculation!$A$3, '2019'!$B$1:$G$1, 0))</f>
        <v>0</v>
      </c>
      <c r="C13" s="2">
        <f>INDEX('2020'!$B$14:$G$23, MATCH($A13, '2020'!$A$2:$A$11, 0), MATCH(Urban_res_calculation!$A$3, '2020'!$B$1:$G$1, 0))</f>
        <v>0</v>
      </c>
      <c r="D13" s="2">
        <f>INDEX('2021'!$B$14:$G$23, MATCH($A13, '2021'!$A$2:$A$11, 0), MATCH(Urban_res_calculation!$A$3, '2021'!$B$1:$G$1, 0))</f>
        <v>0</v>
      </c>
      <c r="E13" s="2">
        <f>MAX(0, D13*(1+Forecast!$B12))</f>
        <v>0</v>
      </c>
      <c r="F13" s="2">
        <f>MAX(0, E13*(1+Forecast!$B12))</f>
        <v>0</v>
      </c>
      <c r="G13" s="2">
        <f>MAX(0, F13*(1+Forecast!$B12))</f>
        <v>0</v>
      </c>
      <c r="H13" s="2">
        <f>MAX(0, G13*(1+Forecast!$B12))</f>
        <v>0</v>
      </c>
      <c r="I13" s="2">
        <f>MAX(0, H13*(1+Forecast!$B12))</f>
        <v>0</v>
      </c>
      <c r="J13" s="2">
        <f>MAX(0, I13*(1+Forecast!$B12))</f>
        <v>0</v>
      </c>
      <c r="K13" s="2">
        <f>MAX(0, J13*(1+Forecast!$B12))</f>
        <v>0</v>
      </c>
      <c r="L13" s="2">
        <f>MAX(0, K13*(1+Forecast!$B12))</f>
        <v>0</v>
      </c>
      <c r="M13" s="2">
        <f>MAX(0, L13*(1+Forecast!$B12))</f>
        <v>0</v>
      </c>
      <c r="N13" s="2">
        <f>MAX(0, M13*(1+Forecast!$B12))</f>
        <v>0</v>
      </c>
      <c r="O13" s="2">
        <f>MAX(0, N13*(1+Forecast!$B12))</f>
        <v>0</v>
      </c>
      <c r="P13" s="2">
        <f>MAX(0, O13*(1+Forecast!$B12))</f>
        <v>0</v>
      </c>
      <c r="Q13" s="2">
        <f>MAX(0, P13*(1+Forecast!$B12))</f>
        <v>0</v>
      </c>
      <c r="R13" s="2">
        <f>MAX(0, Q13*(1+Forecast!$B12))</f>
        <v>0</v>
      </c>
      <c r="S13" s="2">
        <f>MAX(0, R13*(1+Forecast!$B12))</f>
        <v>0</v>
      </c>
      <c r="T13" s="2">
        <f>MAX(0, S13*(1+Forecast!$B12))</f>
        <v>0</v>
      </c>
      <c r="U13" s="2">
        <f>MAX(0, T13*(1+Forecast!$B12))</f>
        <v>0</v>
      </c>
      <c r="V13" s="2">
        <f>MAX(0, U13*(1+Forecast!$B12))</f>
        <v>0</v>
      </c>
      <c r="W13" s="2">
        <f>MAX(0, V13*(1+Forecast!$B12))</f>
        <v>0</v>
      </c>
      <c r="X13" s="2">
        <f>MAX(0, W13*(1+Forecast!$B12))</f>
        <v>0</v>
      </c>
      <c r="Y13" s="2">
        <f>MAX(0, X13*(1+Forecast!$B12))</f>
        <v>0</v>
      </c>
      <c r="Z13" s="2">
        <f>MAX(0, Y13*(1+Forecast!$B12))</f>
        <v>0</v>
      </c>
      <c r="AA13" s="2">
        <f>MAX(0, Z13*(1+Forecast!$B12))</f>
        <v>0</v>
      </c>
      <c r="AB13" s="2">
        <f>MAX(0, AA13*(1+Forecast!$B12))</f>
        <v>0</v>
      </c>
      <c r="AC13" s="2">
        <f>MAX(0, AB13*(1+Forecast!$B12))</f>
        <v>0</v>
      </c>
      <c r="AD13" s="2">
        <f>MAX(0, AC13*(1+Forecast!$B12))</f>
        <v>0</v>
      </c>
      <c r="AE13" s="2">
        <f>MAX(0, AD13*(1+Forecast!$B12))</f>
        <v>0</v>
      </c>
      <c r="AF13" s="2">
        <f>MAX(0, AE13*(1+Forecast!$B12))</f>
        <v>0</v>
      </c>
      <c r="AG13" s="2">
        <f>MAX(0, AF13*(1+Forecast!$B12))</f>
        <v>0</v>
      </c>
    </row>
    <row r="15" spans="1:33">
      <c r="A15" s="15" t="s">
        <v>38</v>
      </c>
      <c r="B15" s="1">
        <v>2019</v>
      </c>
      <c r="C15" s="1">
        <v>2020</v>
      </c>
      <c r="D15" s="1">
        <v>2021</v>
      </c>
      <c r="E15" s="1">
        <v>2022</v>
      </c>
      <c r="F15" s="1">
        <v>2023</v>
      </c>
      <c r="G15" s="1">
        <v>2024</v>
      </c>
      <c r="H15" s="1">
        <v>2025</v>
      </c>
      <c r="I15" s="1">
        <v>2026</v>
      </c>
      <c r="J15" s="1">
        <v>2027</v>
      </c>
      <c r="K15" s="1">
        <v>2028</v>
      </c>
      <c r="L15" s="1">
        <v>2029</v>
      </c>
      <c r="M15" s="1">
        <v>2030</v>
      </c>
      <c r="N15" s="1">
        <v>2031</v>
      </c>
      <c r="O15" s="1">
        <v>2032</v>
      </c>
      <c r="P15" s="1">
        <v>2033</v>
      </c>
      <c r="Q15" s="1">
        <v>2034</v>
      </c>
      <c r="R15" s="1">
        <v>2035</v>
      </c>
      <c r="S15" s="1">
        <v>2036</v>
      </c>
      <c r="T15" s="1">
        <v>2037</v>
      </c>
      <c r="U15" s="1">
        <v>2038</v>
      </c>
      <c r="V15" s="1">
        <v>2039</v>
      </c>
      <c r="W15" s="1">
        <v>2040</v>
      </c>
      <c r="X15" s="1">
        <v>2041</v>
      </c>
      <c r="Y15" s="1">
        <v>2042</v>
      </c>
      <c r="Z15" s="1">
        <v>2043</v>
      </c>
      <c r="AA15" s="1">
        <v>2044</v>
      </c>
      <c r="AB15" s="1">
        <v>2045</v>
      </c>
      <c r="AC15" s="1">
        <v>2046</v>
      </c>
      <c r="AD15" s="1">
        <v>2047</v>
      </c>
      <c r="AE15" s="1">
        <v>2048</v>
      </c>
      <c r="AF15" s="1">
        <v>2049</v>
      </c>
      <c r="AG15" s="1">
        <v>2050</v>
      </c>
    </row>
    <row r="16" spans="1:33">
      <c r="A16" s="15" t="s">
        <v>2</v>
      </c>
      <c r="B16" s="2">
        <f>INDEX('2019'!$B$14:$G$23, MATCH($A16, '2019'!$A$2:$A$11, 0), MATCH(Urban_res_calculation!$A$15, '2019'!$B$1:$G$1, 0))</f>
        <v>36429085800000</v>
      </c>
      <c r="C16" s="2">
        <f>INDEX('2020'!$B$14:$G$23, MATCH($A16, '2020'!$A$2:$A$11, 0), MATCH(Urban_res_calculation!$A$15, '2020'!$B$1:$G$1, 0))</f>
        <v>38299479349046.078</v>
      </c>
      <c r="D16" s="2">
        <f>INDEX('2021'!$B$14:$G$23, MATCH($A16, '2021'!$A$2:$A$11, 0), MATCH(Urban_res_calculation!$A$15, '2021'!$B$1:$G$1, 0))</f>
        <v>40101333886651.703</v>
      </c>
      <c r="E16" s="2">
        <f>MAX(0, D16*(1+Forecast!$B3))</f>
        <v>40341941889971.617</v>
      </c>
      <c r="F16" s="2">
        <f>MAX(0, E16*(1+Forecast!$B3))</f>
        <v>40583993541311.445</v>
      </c>
      <c r="G16" s="2">
        <f>MAX(0, F16*(1+Forecast!$B3))</f>
        <v>40827497502559.313</v>
      </c>
      <c r="H16" s="2">
        <f>MAX(0, G16*(1+Forecast!$B3))</f>
        <v>41072462487574.672</v>
      </c>
      <c r="I16" s="2">
        <f>MAX(0, H16*(1+Forecast!$B3))</f>
        <v>41318897262500.117</v>
      </c>
      <c r="J16" s="2">
        <f>MAX(0, I16*(1+Forecast!$B3))</f>
        <v>41566810646075.117</v>
      </c>
      <c r="K16" s="2">
        <f>MAX(0, J16*(1+Forecast!$B3))</f>
        <v>41816211509951.57</v>
      </c>
      <c r="L16" s="2">
        <f>MAX(0, K16*(1+Forecast!$B3))</f>
        <v>42067108779011.281</v>
      </c>
      <c r="M16" s="2">
        <f>MAX(0, L16*(1+Forecast!$B3))</f>
        <v>42319511431685.352</v>
      </c>
      <c r="N16" s="2">
        <f>MAX(0, M16*(1+Forecast!$B3))</f>
        <v>42573428500275.461</v>
      </c>
      <c r="O16" s="2">
        <f>MAX(0, N16*(1+Forecast!$B3))</f>
        <v>42828869071277.117</v>
      </c>
      <c r="P16" s="2">
        <f>MAX(0, O16*(1+Forecast!$B3))</f>
        <v>43085842285704.781</v>
      </c>
      <c r="Q16" s="2">
        <f>MAX(0, P16*(1+Forecast!$B3))</f>
        <v>43344357339419.008</v>
      </c>
      <c r="R16" s="2">
        <f>MAX(0, Q16*(1+Forecast!$B3))</f>
        <v>43604423483455.523</v>
      </c>
      <c r="S16" s="2">
        <f>MAX(0, R16*(1+Forecast!$B3))</f>
        <v>43866050024356.258</v>
      </c>
      <c r="T16" s="2">
        <f>MAX(0, S16*(1+Forecast!$B3))</f>
        <v>44129246324502.398</v>
      </c>
      <c r="U16" s="2">
        <f>MAX(0, T16*(1+Forecast!$B3))</f>
        <v>44394021802449.414</v>
      </c>
      <c r="V16" s="2">
        <f>MAX(0, U16*(1+Forecast!$B3))</f>
        <v>44660385933264.109</v>
      </c>
      <c r="W16" s="2">
        <f>MAX(0, V16*(1+Forecast!$B3))</f>
        <v>44928348248863.695</v>
      </c>
      <c r="X16" s="2">
        <f>MAX(0, W16*(1+Forecast!$B3))</f>
        <v>45197918338356.875</v>
      </c>
      <c r="Y16" s="2">
        <f>MAX(0, X16*(1+Forecast!$B3))</f>
        <v>45469105848387.016</v>
      </c>
      <c r="Z16" s="2">
        <f>MAX(0, Y16*(1+Forecast!$B3))</f>
        <v>45741920483477.336</v>
      </c>
      <c r="AA16" s="2">
        <f>MAX(0, Z16*(1+Forecast!$B3))</f>
        <v>46016372006378.203</v>
      </c>
      <c r="AB16" s="2">
        <f>MAX(0, AA16*(1+Forecast!$B3))</f>
        <v>46292470238416.469</v>
      </c>
      <c r="AC16" s="2">
        <f>MAX(0, AB16*(1+Forecast!$B3))</f>
        <v>46570225059846.969</v>
      </c>
      <c r="AD16" s="2">
        <f>MAX(0, AC16*(1+Forecast!$B3))</f>
        <v>46849646410206.055</v>
      </c>
      <c r="AE16" s="2">
        <f>MAX(0, AD16*(1+Forecast!$B3))</f>
        <v>47130744288667.289</v>
      </c>
      <c r="AF16" s="2">
        <f>MAX(0, AE16*(1+Forecast!$B3))</f>
        <v>47413528754399.297</v>
      </c>
      <c r="AG16" s="2">
        <f>MAX(0, AF16*(1+Forecast!$B3))</f>
        <v>47698009926925.695</v>
      </c>
    </row>
    <row r="17" spans="1:33">
      <c r="A17" s="15" t="s">
        <v>3</v>
      </c>
      <c r="B17" s="2">
        <f>INDEX('2019'!$B$14:$G$23, MATCH($A17, '2019'!$A$2:$A$11, 0), MATCH(Urban_res_calculation!$A$15, '2019'!$B$1:$G$1, 0))</f>
        <v>0</v>
      </c>
      <c r="C17" s="2">
        <f>INDEX('2020'!$B$14:$G$23, MATCH($A17, '2020'!$A$2:$A$11, 0), MATCH(Urban_res_calculation!$A$15, '2020'!$B$1:$G$1, 0))</f>
        <v>0</v>
      </c>
      <c r="D17" s="2">
        <f>INDEX('2021'!$B$14:$G$23, MATCH($A17, '2021'!$A$2:$A$11, 0), MATCH(Urban_res_calculation!$A$15, '2021'!$B$1:$G$1, 0))</f>
        <v>0</v>
      </c>
      <c r="E17" s="2">
        <f>MAX(0, D17*(1+Forecast!$B4))</f>
        <v>0</v>
      </c>
      <c r="F17" s="2">
        <f>MAX(0, E17*(1+Forecast!$B4))</f>
        <v>0</v>
      </c>
      <c r="G17" s="2">
        <f>MAX(0, F17*(1+Forecast!$B4))</f>
        <v>0</v>
      </c>
      <c r="H17" s="2">
        <f>MAX(0, G17*(1+Forecast!$B4))</f>
        <v>0</v>
      </c>
      <c r="I17" s="2">
        <f>MAX(0, H17*(1+Forecast!$B4))</f>
        <v>0</v>
      </c>
      <c r="J17" s="2">
        <f>MAX(0, I17*(1+Forecast!$B4))</f>
        <v>0</v>
      </c>
      <c r="K17" s="2">
        <f>MAX(0, J17*(1+Forecast!$B4))</f>
        <v>0</v>
      </c>
      <c r="L17" s="2">
        <f>MAX(0, K17*(1+Forecast!$B4))</f>
        <v>0</v>
      </c>
      <c r="M17" s="2">
        <f>MAX(0, L17*(1+Forecast!$B4))</f>
        <v>0</v>
      </c>
      <c r="N17" s="2">
        <f>MAX(0, M17*(1+Forecast!$B4))</f>
        <v>0</v>
      </c>
      <c r="O17" s="2">
        <f>MAX(0, N17*(1+Forecast!$B4))</f>
        <v>0</v>
      </c>
      <c r="P17" s="2">
        <f>MAX(0, O17*(1+Forecast!$B4))</f>
        <v>0</v>
      </c>
      <c r="Q17" s="2">
        <f>MAX(0, P17*(1+Forecast!$B4))</f>
        <v>0</v>
      </c>
      <c r="R17" s="2">
        <f>MAX(0, Q17*(1+Forecast!$B4))</f>
        <v>0</v>
      </c>
      <c r="S17" s="2">
        <f>MAX(0, R17*(1+Forecast!$B4))</f>
        <v>0</v>
      </c>
      <c r="T17" s="2">
        <f>MAX(0, S17*(1+Forecast!$B4))</f>
        <v>0</v>
      </c>
      <c r="U17" s="2">
        <f>MAX(0, T17*(1+Forecast!$B4))</f>
        <v>0</v>
      </c>
      <c r="V17" s="2">
        <f>MAX(0, U17*(1+Forecast!$B4))</f>
        <v>0</v>
      </c>
      <c r="W17" s="2">
        <f>MAX(0, V17*(1+Forecast!$B4))</f>
        <v>0</v>
      </c>
      <c r="X17" s="2">
        <f>MAX(0, W17*(1+Forecast!$B4))</f>
        <v>0</v>
      </c>
      <c r="Y17" s="2">
        <f>MAX(0, X17*(1+Forecast!$B4))</f>
        <v>0</v>
      </c>
      <c r="Z17" s="2">
        <f>MAX(0, Y17*(1+Forecast!$B4))</f>
        <v>0</v>
      </c>
      <c r="AA17" s="2">
        <f>MAX(0, Z17*(1+Forecast!$B4))</f>
        <v>0</v>
      </c>
      <c r="AB17" s="2">
        <f>MAX(0, AA17*(1+Forecast!$B4))</f>
        <v>0</v>
      </c>
      <c r="AC17" s="2">
        <f>MAX(0, AB17*(1+Forecast!$B4))</f>
        <v>0</v>
      </c>
      <c r="AD17" s="2">
        <f>MAX(0, AC17*(1+Forecast!$B4))</f>
        <v>0</v>
      </c>
      <c r="AE17" s="2">
        <f>MAX(0, AD17*(1+Forecast!$B4))</f>
        <v>0</v>
      </c>
      <c r="AF17" s="2">
        <f>MAX(0, AE17*(1+Forecast!$B4))</f>
        <v>0</v>
      </c>
      <c r="AG17" s="2">
        <f>MAX(0, AF17*(1+Forecast!$B4))</f>
        <v>0</v>
      </c>
    </row>
    <row r="18" spans="1:33">
      <c r="A18" s="15" t="s">
        <v>4</v>
      </c>
      <c r="B18" s="2">
        <f>INDEX('2019'!$B$14:$G$23, MATCH($A18, '2019'!$A$2:$A$11, 0), MATCH(Urban_res_calculation!$A$15, '2019'!$B$1:$G$1, 0))</f>
        <v>0</v>
      </c>
      <c r="C18" s="2">
        <f>INDEX('2020'!$B$14:$G$23, MATCH($A18, '2020'!$A$2:$A$11, 0), MATCH(Urban_res_calculation!$A$15, '2020'!$B$1:$G$1, 0))</f>
        <v>0</v>
      </c>
      <c r="D18" s="2">
        <f>INDEX('2021'!$B$14:$G$23, MATCH($A18, '2021'!$A$2:$A$11, 0), MATCH(Urban_res_calculation!$A$15, '2021'!$B$1:$G$1, 0))</f>
        <v>0</v>
      </c>
      <c r="E18" s="2">
        <f>MAX(0, D18*(1+Forecast!$B5))</f>
        <v>0</v>
      </c>
      <c r="F18" s="2">
        <f>MAX(0, E18*(1+Forecast!$B5))</f>
        <v>0</v>
      </c>
      <c r="G18" s="2">
        <f>MAX(0, F18*(1+Forecast!$B5))</f>
        <v>0</v>
      </c>
      <c r="H18" s="2">
        <f>MAX(0, G18*(1+Forecast!$B5))</f>
        <v>0</v>
      </c>
      <c r="I18" s="2">
        <f>MAX(0, H18*(1+Forecast!$B5))</f>
        <v>0</v>
      </c>
      <c r="J18" s="2">
        <f>MAX(0, I18*(1+Forecast!$B5))</f>
        <v>0</v>
      </c>
      <c r="K18" s="2">
        <f>MAX(0, J18*(1+Forecast!$B5))</f>
        <v>0</v>
      </c>
      <c r="L18" s="2">
        <f>MAX(0, K18*(1+Forecast!$B5))</f>
        <v>0</v>
      </c>
      <c r="M18" s="2">
        <f>MAX(0, L18*(1+Forecast!$B5))</f>
        <v>0</v>
      </c>
      <c r="N18" s="2">
        <f>MAX(0, M18*(1+Forecast!$B5))</f>
        <v>0</v>
      </c>
      <c r="O18" s="2">
        <f>MAX(0, N18*(1+Forecast!$B5))</f>
        <v>0</v>
      </c>
      <c r="P18" s="2">
        <f>MAX(0, O18*(1+Forecast!$B5))</f>
        <v>0</v>
      </c>
      <c r="Q18" s="2">
        <f>MAX(0, P18*(1+Forecast!$B5))</f>
        <v>0</v>
      </c>
      <c r="R18" s="2">
        <f>MAX(0, Q18*(1+Forecast!$B5))</f>
        <v>0</v>
      </c>
      <c r="S18" s="2">
        <f>MAX(0, R18*(1+Forecast!$B5))</f>
        <v>0</v>
      </c>
      <c r="T18" s="2">
        <f>MAX(0, S18*(1+Forecast!$B5))</f>
        <v>0</v>
      </c>
      <c r="U18" s="2">
        <f>MAX(0, T18*(1+Forecast!$B5))</f>
        <v>0</v>
      </c>
      <c r="V18" s="2">
        <f>MAX(0, U18*(1+Forecast!$B5))</f>
        <v>0</v>
      </c>
      <c r="W18" s="2">
        <f>MAX(0, V18*(1+Forecast!$B5))</f>
        <v>0</v>
      </c>
      <c r="X18" s="2">
        <f>MAX(0, W18*(1+Forecast!$B5))</f>
        <v>0</v>
      </c>
      <c r="Y18" s="2">
        <f>MAX(0, X18*(1+Forecast!$B5))</f>
        <v>0</v>
      </c>
      <c r="Z18" s="2">
        <f>MAX(0, Y18*(1+Forecast!$B5))</f>
        <v>0</v>
      </c>
      <c r="AA18" s="2">
        <f>MAX(0, Z18*(1+Forecast!$B5))</f>
        <v>0</v>
      </c>
      <c r="AB18" s="2">
        <f>MAX(0, AA18*(1+Forecast!$B5))</f>
        <v>0</v>
      </c>
      <c r="AC18" s="2">
        <f>MAX(0, AB18*(1+Forecast!$B5))</f>
        <v>0</v>
      </c>
      <c r="AD18" s="2">
        <f>MAX(0, AC18*(1+Forecast!$B5))</f>
        <v>0</v>
      </c>
      <c r="AE18" s="2">
        <f>MAX(0, AD18*(1+Forecast!$B5))</f>
        <v>0</v>
      </c>
      <c r="AF18" s="2">
        <f>MAX(0, AE18*(1+Forecast!$B5))</f>
        <v>0</v>
      </c>
      <c r="AG18" s="2">
        <f>MAX(0, AF18*(1+Forecast!$B5))</f>
        <v>0</v>
      </c>
    </row>
    <row r="19" spans="1:33">
      <c r="A19" s="15" t="s">
        <v>5</v>
      </c>
      <c r="B19" s="2">
        <f>INDEX('2019'!$B$14:$G$23, MATCH($A19, '2019'!$A$2:$A$11, 0), MATCH(Urban_res_calculation!$A$15, '2019'!$B$1:$G$1, 0))</f>
        <v>0</v>
      </c>
      <c r="C19" s="2">
        <f>INDEX('2020'!$B$14:$G$23, MATCH($A19, '2020'!$A$2:$A$11, 0), MATCH(Urban_res_calculation!$A$15, '2020'!$B$1:$G$1, 0))</f>
        <v>0</v>
      </c>
      <c r="D19" s="2">
        <f>INDEX('2021'!$B$14:$G$23, MATCH($A19, '2021'!$A$2:$A$11, 0), MATCH(Urban_res_calculation!$A$15, '2021'!$B$1:$G$1, 0))</f>
        <v>0</v>
      </c>
      <c r="E19" s="2">
        <f>MAX(0, D19*(1+Forecast!$B6))</f>
        <v>0</v>
      </c>
      <c r="F19" s="2">
        <f>MAX(0, E19*(1+Forecast!$B6))</f>
        <v>0</v>
      </c>
      <c r="G19" s="2">
        <f>MAX(0, F19*(1+Forecast!$B6))</f>
        <v>0</v>
      </c>
      <c r="H19" s="2">
        <f>MAX(0, G19*(1+Forecast!$B6))</f>
        <v>0</v>
      </c>
      <c r="I19" s="2">
        <f>MAX(0, H19*(1+Forecast!$B6))</f>
        <v>0</v>
      </c>
      <c r="J19" s="2">
        <f>MAX(0, I19*(1+Forecast!$B6))</f>
        <v>0</v>
      </c>
      <c r="K19" s="2">
        <f>MAX(0, J19*(1+Forecast!$B6))</f>
        <v>0</v>
      </c>
      <c r="L19" s="2">
        <f>MAX(0, K19*(1+Forecast!$B6))</f>
        <v>0</v>
      </c>
      <c r="M19" s="2">
        <f>MAX(0, L19*(1+Forecast!$B6))</f>
        <v>0</v>
      </c>
      <c r="N19" s="2">
        <f>MAX(0, M19*(1+Forecast!$B6))</f>
        <v>0</v>
      </c>
      <c r="O19" s="2">
        <f>MAX(0, N19*(1+Forecast!$B6))</f>
        <v>0</v>
      </c>
      <c r="P19" s="2">
        <f>MAX(0, O19*(1+Forecast!$B6))</f>
        <v>0</v>
      </c>
      <c r="Q19" s="2">
        <f>MAX(0, P19*(1+Forecast!$B6))</f>
        <v>0</v>
      </c>
      <c r="R19" s="2">
        <f>MAX(0, Q19*(1+Forecast!$B6))</f>
        <v>0</v>
      </c>
      <c r="S19" s="2">
        <f>MAX(0, R19*(1+Forecast!$B6))</f>
        <v>0</v>
      </c>
      <c r="T19" s="2">
        <f>MAX(0, S19*(1+Forecast!$B6))</f>
        <v>0</v>
      </c>
      <c r="U19" s="2">
        <f>MAX(0, T19*(1+Forecast!$B6))</f>
        <v>0</v>
      </c>
      <c r="V19" s="2">
        <f>MAX(0, U19*(1+Forecast!$B6))</f>
        <v>0</v>
      </c>
      <c r="W19" s="2">
        <f>MAX(0, V19*(1+Forecast!$B6))</f>
        <v>0</v>
      </c>
      <c r="X19" s="2">
        <f>MAX(0, W19*(1+Forecast!$B6))</f>
        <v>0</v>
      </c>
      <c r="Y19" s="2">
        <f>MAX(0, X19*(1+Forecast!$B6))</f>
        <v>0</v>
      </c>
      <c r="Z19" s="2">
        <f>MAX(0, Y19*(1+Forecast!$B6))</f>
        <v>0</v>
      </c>
      <c r="AA19" s="2">
        <f>MAX(0, Z19*(1+Forecast!$B6))</f>
        <v>0</v>
      </c>
      <c r="AB19" s="2">
        <f>MAX(0, AA19*(1+Forecast!$B6))</f>
        <v>0</v>
      </c>
      <c r="AC19" s="2">
        <f>MAX(0, AB19*(1+Forecast!$B6))</f>
        <v>0</v>
      </c>
      <c r="AD19" s="2">
        <f>MAX(0, AC19*(1+Forecast!$B6))</f>
        <v>0</v>
      </c>
      <c r="AE19" s="2">
        <f>MAX(0, AD19*(1+Forecast!$B6))</f>
        <v>0</v>
      </c>
      <c r="AF19" s="2">
        <f>MAX(0, AE19*(1+Forecast!$B6))</f>
        <v>0</v>
      </c>
      <c r="AG19" s="2">
        <f>MAX(0, AF19*(1+Forecast!$B6))</f>
        <v>0</v>
      </c>
    </row>
    <row r="20" spans="1:33">
      <c r="A20" s="15" t="s">
        <v>7</v>
      </c>
      <c r="B20" s="2">
        <f>INDEX('2019'!$B$14:$G$23, MATCH($A20, '2019'!$A$2:$A$11, 0), MATCH(Urban_res_calculation!$A$15, '2019'!$B$1:$G$1, 0))</f>
        <v>0</v>
      </c>
      <c r="C20" s="2">
        <f>INDEX('2020'!$B$14:$G$23, MATCH($A20, '2020'!$A$2:$A$11, 0), MATCH(Urban_res_calculation!$A$15, '2020'!$B$1:$G$1, 0))</f>
        <v>0</v>
      </c>
      <c r="D20" s="2">
        <f>INDEX('2021'!$B$14:$G$23, MATCH($A20, '2021'!$A$2:$A$11, 0), MATCH(Urban_res_calculation!$A$15, '2021'!$B$1:$G$1, 0))</f>
        <v>0</v>
      </c>
      <c r="E20" s="2">
        <f>MAX(0, D20*(1+Forecast!$B7))</f>
        <v>0</v>
      </c>
      <c r="F20" s="2">
        <f>MAX(0, E20*(1+Forecast!$B7))</f>
        <v>0</v>
      </c>
      <c r="G20" s="2">
        <f>MAX(0, F20*(1+Forecast!$B7))</f>
        <v>0</v>
      </c>
      <c r="H20" s="2">
        <f>MAX(0, G20*(1+Forecast!$B7))</f>
        <v>0</v>
      </c>
      <c r="I20" s="2">
        <f>MAX(0, H20*(1+Forecast!$B7))</f>
        <v>0</v>
      </c>
      <c r="J20" s="2">
        <f>MAX(0, I20*(1+Forecast!$B7))</f>
        <v>0</v>
      </c>
      <c r="K20" s="2">
        <f>MAX(0, J20*(1+Forecast!$B7))</f>
        <v>0</v>
      </c>
      <c r="L20" s="2">
        <f>MAX(0, K20*(1+Forecast!$B7))</f>
        <v>0</v>
      </c>
      <c r="M20" s="2">
        <f>MAX(0, L20*(1+Forecast!$B7))</f>
        <v>0</v>
      </c>
      <c r="N20" s="2">
        <f>MAX(0, M20*(1+Forecast!$B7))</f>
        <v>0</v>
      </c>
      <c r="O20" s="2">
        <f>MAX(0, N20*(1+Forecast!$B7))</f>
        <v>0</v>
      </c>
      <c r="P20" s="2">
        <f>MAX(0, O20*(1+Forecast!$B7))</f>
        <v>0</v>
      </c>
      <c r="Q20" s="2">
        <f>MAX(0, P20*(1+Forecast!$B7))</f>
        <v>0</v>
      </c>
      <c r="R20" s="2">
        <f>MAX(0, Q20*(1+Forecast!$B7))</f>
        <v>0</v>
      </c>
      <c r="S20" s="2">
        <f>MAX(0, R20*(1+Forecast!$B7))</f>
        <v>0</v>
      </c>
      <c r="T20" s="2">
        <f>MAX(0, S20*(1+Forecast!$B7))</f>
        <v>0</v>
      </c>
      <c r="U20" s="2">
        <f>MAX(0, T20*(1+Forecast!$B7))</f>
        <v>0</v>
      </c>
      <c r="V20" s="2">
        <f>MAX(0, U20*(1+Forecast!$B7))</f>
        <v>0</v>
      </c>
      <c r="W20" s="2">
        <f>MAX(0, V20*(1+Forecast!$B7))</f>
        <v>0</v>
      </c>
      <c r="X20" s="2">
        <f>MAX(0, W20*(1+Forecast!$B7))</f>
        <v>0</v>
      </c>
      <c r="Y20" s="2">
        <f>MAX(0, X20*(1+Forecast!$B7))</f>
        <v>0</v>
      </c>
      <c r="Z20" s="2">
        <f>MAX(0, Y20*(1+Forecast!$B7))</f>
        <v>0</v>
      </c>
      <c r="AA20" s="2">
        <f>MAX(0, Z20*(1+Forecast!$B7))</f>
        <v>0</v>
      </c>
      <c r="AB20" s="2">
        <f>MAX(0, AA20*(1+Forecast!$B7))</f>
        <v>0</v>
      </c>
      <c r="AC20" s="2">
        <f>MAX(0, AB20*(1+Forecast!$B7))</f>
        <v>0</v>
      </c>
      <c r="AD20" s="2">
        <f>MAX(0, AC20*(1+Forecast!$B7))</f>
        <v>0</v>
      </c>
      <c r="AE20" s="2">
        <f>MAX(0, AD20*(1+Forecast!$B7))</f>
        <v>0</v>
      </c>
      <c r="AF20" s="2">
        <f>MAX(0, AE20*(1+Forecast!$B7))</f>
        <v>0</v>
      </c>
      <c r="AG20" s="2">
        <f>MAX(0, AF20*(1+Forecast!$B7))</f>
        <v>0</v>
      </c>
    </row>
    <row r="21" spans="1:33">
      <c r="A21" s="15" t="s">
        <v>11</v>
      </c>
      <c r="B21" s="2">
        <f>INDEX('2019'!$B$14:$G$23, MATCH($A21, '2019'!$A$2:$A$11, 0), MATCH(Urban_res_calculation!$A$15, '2019'!$B$1:$G$1, 0))</f>
        <v>0</v>
      </c>
      <c r="C21" s="2">
        <f>INDEX('2020'!$B$14:$G$23, MATCH($A21, '2020'!$A$2:$A$11, 0), MATCH(Urban_res_calculation!$A$15, '2020'!$B$1:$G$1, 0))</f>
        <v>0</v>
      </c>
      <c r="D21" s="2">
        <f>INDEX('2021'!$B$14:$G$23, MATCH($A21, '2021'!$A$2:$A$11, 0), MATCH(Urban_res_calculation!$A$15, '2021'!$B$1:$G$1, 0))</f>
        <v>0</v>
      </c>
      <c r="E21" s="2">
        <f>MAX(0, D21*(1+Forecast!$B8))</f>
        <v>0</v>
      </c>
      <c r="F21" s="2">
        <f>MAX(0, E21*(1+Forecast!$B8))</f>
        <v>0</v>
      </c>
      <c r="G21" s="2">
        <f>MAX(0, F21*(1+Forecast!$B8))</f>
        <v>0</v>
      </c>
      <c r="H21" s="2">
        <f>MAX(0, G21*(1+Forecast!$B8))</f>
        <v>0</v>
      </c>
      <c r="I21" s="2">
        <f>MAX(0, H21*(1+Forecast!$B8))</f>
        <v>0</v>
      </c>
      <c r="J21" s="2">
        <f>MAX(0, I21*(1+Forecast!$B8))</f>
        <v>0</v>
      </c>
      <c r="K21" s="2">
        <f>MAX(0, J21*(1+Forecast!$B8))</f>
        <v>0</v>
      </c>
      <c r="L21" s="2">
        <f>MAX(0, K21*(1+Forecast!$B8))</f>
        <v>0</v>
      </c>
      <c r="M21" s="2">
        <f>MAX(0, L21*(1+Forecast!$B8))</f>
        <v>0</v>
      </c>
      <c r="N21" s="2">
        <f>MAX(0, M21*(1+Forecast!$B8))</f>
        <v>0</v>
      </c>
      <c r="O21" s="2">
        <f>MAX(0, N21*(1+Forecast!$B8))</f>
        <v>0</v>
      </c>
      <c r="P21" s="2">
        <f>MAX(0, O21*(1+Forecast!$B8))</f>
        <v>0</v>
      </c>
      <c r="Q21" s="2">
        <f>MAX(0, P21*(1+Forecast!$B8))</f>
        <v>0</v>
      </c>
      <c r="R21" s="2">
        <f>MAX(0, Q21*(1+Forecast!$B8))</f>
        <v>0</v>
      </c>
      <c r="S21" s="2">
        <f>MAX(0, R21*(1+Forecast!$B8))</f>
        <v>0</v>
      </c>
      <c r="T21" s="2">
        <f>MAX(0, S21*(1+Forecast!$B8))</f>
        <v>0</v>
      </c>
      <c r="U21" s="2">
        <f>MAX(0, T21*(1+Forecast!$B8))</f>
        <v>0</v>
      </c>
      <c r="V21" s="2">
        <f>MAX(0, U21*(1+Forecast!$B8))</f>
        <v>0</v>
      </c>
      <c r="W21" s="2">
        <f>MAX(0, V21*(1+Forecast!$B8))</f>
        <v>0</v>
      </c>
      <c r="X21" s="2">
        <f>MAX(0, W21*(1+Forecast!$B8))</f>
        <v>0</v>
      </c>
      <c r="Y21" s="2">
        <f>MAX(0, X21*(1+Forecast!$B8))</f>
        <v>0</v>
      </c>
      <c r="Z21" s="2">
        <f>MAX(0, Y21*(1+Forecast!$B8))</f>
        <v>0</v>
      </c>
      <c r="AA21" s="2">
        <f>MAX(0, Z21*(1+Forecast!$B8))</f>
        <v>0</v>
      </c>
      <c r="AB21" s="2">
        <f>MAX(0, AA21*(1+Forecast!$B8))</f>
        <v>0</v>
      </c>
      <c r="AC21" s="2">
        <f>MAX(0, AB21*(1+Forecast!$B8))</f>
        <v>0</v>
      </c>
      <c r="AD21" s="2">
        <f>MAX(0, AC21*(1+Forecast!$B8))</f>
        <v>0</v>
      </c>
      <c r="AE21" s="2">
        <f>MAX(0, AD21*(1+Forecast!$B8))</f>
        <v>0</v>
      </c>
      <c r="AF21" s="2">
        <f>MAX(0, AE21*(1+Forecast!$B8))</f>
        <v>0</v>
      </c>
      <c r="AG21" s="2">
        <f>MAX(0, AF21*(1+Forecast!$B8))</f>
        <v>0</v>
      </c>
    </row>
    <row r="22" spans="1:33">
      <c r="A22" s="15" t="s">
        <v>13</v>
      </c>
      <c r="B22" s="2">
        <f>INDEX('2019'!$B$14:$G$23, MATCH($A22, '2019'!$A$2:$A$11, 0), MATCH(Urban_res_calculation!$A$15, '2019'!$B$1:$G$1, 0))</f>
        <v>0</v>
      </c>
      <c r="C22" s="2">
        <f>INDEX('2020'!$B$14:$G$23, MATCH($A22, '2020'!$A$2:$A$11, 0), MATCH(Urban_res_calculation!$A$15, '2020'!$B$1:$G$1, 0))</f>
        <v>0</v>
      </c>
      <c r="D22" s="2">
        <f>INDEX('2021'!$B$14:$G$23, MATCH($A22, '2021'!$A$2:$A$11, 0), MATCH(Urban_res_calculation!$A$15, '2021'!$B$1:$G$1, 0))</f>
        <v>0</v>
      </c>
      <c r="E22" s="2">
        <f>MAX(0, D22*(1+Forecast!$B9))</f>
        <v>0</v>
      </c>
      <c r="F22" s="2">
        <f>MAX(0, E22*(1+Forecast!$B9))</f>
        <v>0</v>
      </c>
      <c r="G22" s="2">
        <f>MAX(0, F22*(1+Forecast!$B9))</f>
        <v>0</v>
      </c>
      <c r="H22" s="2">
        <f>MAX(0, G22*(1+Forecast!$B9))</f>
        <v>0</v>
      </c>
      <c r="I22" s="2">
        <f>MAX(0, H22*(1+Forecast!$B9))</f>
        <v>0</v>
      </c>
      <c r="J22" s="2">
        <f>MAX(0, I22*(1+Forecast!$B9))</f>
        <v>0</v>
      </c>
      <c r="K22" s="2">
        <f>MAX(0, J22*(1+Forecast!$B9))</f>
        <v>0</v>
      </c>
      <c r="L22" s="2">
        <f>MAX(0, K22*(1+Forecast!$B9))</f>
        <v>0</v>
      </c>
      <c r="M22" s="2">
        <f>MAX(0, L22*(1+Forecast!$B9))</f>
        <v>0</v>
      </c>
      <c r="N22" s="2">
        <f>MAX(0, M22*(1+Forecast!$B9))</f>
        <v>0</v>
      </c>
      <c r="O22" s="2">
        <f>MAX(0, N22*(1+Forecast!$B9))</f>
        <v>0</v>
      </c>
      <c r="P22" s="2">
        <f>MAX(0, O22*(1+Forecast!$B9))</f>
        <v>0</v>
      </c>
      <c r="Q22" s="2">
        <f>MAX(0, P22*(1+Forecast!$B9))</f>
        <v>0</v>
      </c>
      <c r="R22" s="2">
        <f>MAX(0, Q22*(1+Forecast!$B9))</f>
        <v>0</v>
      </c>
      <c r="S22" s="2">
        <f>MAX(0, R22*(1+Forecast!$B9))</f>
        <v>0</v>
      </c>
      <c r="T22" s="2">
        <f>MAX(0, S22*(1+Forecast!$B9))</f>
        <v>0</v>
      </c>
      <c r="U22" s="2">
        <f>MAX(0, T22*(1+Forecast!$B9))</f>
        <v>0</v>
      </c>
      <c r="V22" s="2">
        <f>MAX(0, U22*(1+Forecast!$B9))</f>
        <v>0</v>
      </c>
      <c r="W22" s="2">
        <f>MAX(0, V22*(1+Forecast!$B9))</f>
        <v>0</v>
      </c>
      <c r="X22" s="2">
        <f>MAX(0, W22*(1+Forecast!$B9))</f>
        <v>0</v>
      </c>
      <c r="Y22" s="2">
        <f>MAX(0, X22*(1+Forecast!$B9))</f>
        <v>0</v>
      </c>
      <c r="Z22" s="2">
        <f>MAX(0, Y22*(1+Forecast!$B9))</f>
        <v>0</v>
      </c>
      <c r="AA22" s="2">
        <f>MAX(0, Z22*(1+Forecast!$B9))</f>
        <v>0</v>
      </c>
      <c r="AB22" s="2">
        <f>MAX(0, AA22*(1+Forecast!$B9))</f>
        <v>0</v>
      </c>
      <c r="AC22" s="2">
        <f>MAX(0, AB22*(1+Forecast!$B9))</f>
        <v>0</v>
      </c>
      <c r="AD22" s="2">
        <f>MAX(0, AC22*(1+Forecast!$B9))</f>
        <v>0</v>
      </c>
      <c r="AE22" s="2">
        <f>MAX(0, AD22*(1+Forecast!$B9))</f>
        <v>0</v>
      </c>
      <c r="AF22" s="2">
        <f>MAX(0, AE22*(1+Forecast!$B9))</f>
        <v>0</v>
      </c>
      <c r="AG22" s="2">
        <f>MAX(0, AF22*(1+Forecast!$B9))</f>
        <v>0</v>
      </c>
    </row>
    <row r="23" spans="1:33">
      <c r="A23" s="15" t="s">
        <v>14</v>
      </c>
      <c r="B23" s="2">
        <f>INDEX('2019'!$B$14:$G$23, MATCH($A23, '2019'!$A$2:$A$11, 0), MATCH(Urban_res_calculation!$A$15, '2019'!$B$1:$G$1, 0))</f>
        <v>0</v>
      </c>
      <c r="C23" s="2">
        <f>INDEX('2020'!$B$14:$G$23, MATCH($A23, '2020'!$A$2:$A$11, 0), MATCH(Urban_res_calculation!$A$15, '2020'!$B$1:$G$1, 0))</f>
        <v>0</v>
      </c>
      <c r="D23" s="2">
        <f>INDEX('2021'!$B$14:$G$23, MATCH($A23, '2021'!$A$2:$A$11, 0), MATCH(Urban_res_calculation!$A$15, '2021'!$B$1:$G$1, 0))</f>
        <v>0</v>
      </c>
      <c r="E23" s="2">
        <f>MAX(0, D23*(1+Forecast!$B10))</f>
        <v>0</v>
      </c>
      <c r="F23" s="2">
        <f>MAX(0, E23*(1+Forecast!$B10))</f>
        <v>0</v>
      </c>
      <c r="G23" s="2">
        <f>MAX(0, F23*(1+Forecast!$B10))</f>
        <v>0</v>
      </c>
      <c r="H23" s="2">
        <f>MAX(0, G23*(1+Forecast!$B10))</f>
        <v>0</v>
      </c>
      <c r="I23" s="2">
        <f>MAX(0, H23*(1+Forecast!$B10))</f>
        <v>0</v>
      </c>
      <c r="J23" s="2">
        <f>MAX(0, I23*(1+Forecast!$B10))</f>
        <v>0</v>
      </c>
      <c r="K23" s="2">
        <f>MAX(0, J23*(1+Forecast!$B10))</f>
        <v>0</v>
      </c>
      <c r="L23" s="2">
        <f>MAX(0, K23*(1+Forecast!$B10))</f>
        <v>0</v>
      </c>
      <c r="M23" s="2">
        <f>MAX(0, L23*(1+Forecast!$B10))</f>
        <v>0</v>
      </c>
      <c r="N23" s="2">
        <f>MAX(0, M23*(1+Forecast!$B10))</f>
        <v>0</v>
      </c>
      <c r="O23" s="2">
        <f>MAX(0, N23*(1+Forecast!$B10))</f>
        <v>0</v>
      </c>
      <c r="P23" s="2">
        <f>MAX(0, O23*(1+Forecast!$B10))</f>
        <v>0</v>
      </c>
      <c r="Q23" s="2">
        <f>MAX(0, P23*(1+Forecast!$B10))</f>
        <v>0</v>
      </c>
      <c r="R23" s="2">
        <f>MAX(0, Q23*(1+Forecast!$B10))</f>
        <v>0</v>
      </c>
      <c r="S23" s="2">
        <f>MAX(0, R23*(1+Forecast!$B10))</f>
        <v>0</v>
      </c>
      <c r="T23" s="2">
        <f>MAX(0, S23*(1+Forecast!$B10))</f>
        <v>0</v>
      </c>
      <c r="U23" s="2">
        <f>MAX(0, T23*(1+Forecast!$B10))</f>
        <v>0</v>
      </c>
      <c r="V23" s="2">
        <f>MAX(0, U23*(1+Forecast!$B10))</f>
        <v>0</v>
      </c>
      <c r="W23" s="2">
        <f>MAX(0, V23*(1+Forecast!$B10))</f>
        <v>0</v>
      </c>
      <c r="X23" s="2">
        <f>MAX(0, W23*(1+Forecast!$B10))</f>
        <v>0</v>
      </c>
      <c r="Y23" s="2">
        <f>MAX(0, X23*(1+Forecast!$B10))</f>
        <v>0</v>
      </c>
      <c r="Z23" s="2">
        <f>MAX(0, Y23*(1+Forecast!$B10))</f>
        <v>0</v>
      </c>
      <c r="AA23" s="2">
        <f>MAX(0, Z23*(1+Forecast!$B10))</f>
        <v>0</v>
      </c>
      <c r="AB23" s="2">
        <f>MAX(0, AA23*(1+Forecast!$B10))</f>
        <v>0</v>
      </c>
      <c r="AC23" s="2">
        <f>MAX(0, AB23*(1+Forecast!$B10))</f>
        <v>0</v>
      </c>
      <c r="AD23" s="2">
        <f>MAX(0, AC23*(1+Forecast!$B10))</f>
        <v>0</v>
      </c>
      <c r="AE23" s="2">
        <f>MAX(0, AD23*(1+Forecast!$B10))</f>
        <v>0</v>
      </c>
      <c r="AF23" s="2">
        <f>MAX(0, AE23*(1+Forecast!$B10))</f>
        <v>0</v>
      </c>
      <c r="AG23" s="2">
        <f>MAX(0, AF23*(1+Forecast!$B10))</f>
        <v>0</v>
      </c>
    </row>
    <row r="24" spans="1:33">
      <c r="A24" s="15" t="s">
        <v>15</v>
      </c>
      <c r="B24" s="2">
        <f>INDEX('2019'!$B$14:$G$23, MATCH($A24, '2019'!$A$2:$A$11, 0), MATCH(Urban_res_calculation!$A$15, '2019'!$B$1:$G$1, 0))</f>
        <v>0</v>
      </c>
      <c r="C24" s="2">
        <f>INDEX('2020'!$B$14:$G$23, MATCH($A24, '2020'!$A$2:$A$11, 0), MATCH(Urban_res_calculation!$A$15, '2020'!$B$1:$G$1, 0))</f>
        <v>0</v>
      </c>
      <c r="D24" s="2">
        <f>INDEX('2021'!$B$14:$G$23, MATCH($A24, '2021'!$A$2:$A$11, 0), MATCH(Urban_res_calculation!$A$15, '2021'!$B$1:$G$1, 0))</f>
        <v>0</v>
      </c>
      <c r="E24" s="2">
        <f>MAX(0, D24*(1+Forecast!$B11))</f>
        <v>0</v>
      </c>
      <c r="F24" s="2">
        <f>MAX(0, E24*(1+Forecast!$B11))</f>
        <v>0</v>
      </c>
      <c r="G24" s="2">
        <f>MAX(0, F24*(1+Forecast!$B11))</f>
        <v>0</v>
      </c>
      <c r="H24" s="2">
        <f>MAX(0, G24*(1+Forecast!$B11))</f>
        <v>0</v>
      </c>
      <c r="I24" s="2">
        <f>MAX(0, H24*(1+Forecast!$B11))</f>
        <v>0</v>
      </c>
      <c r="J24" s="2">
        <f>MAX(0, I24*(1+Forecast!$B11))</f>
        <v>0</v>
      </c>
      <c r="K24" s="2">
        <f>MAX(0, J24*(1+Forecast!$B11))</f>
        <v>0</v>
      </c>
      <c r="L24" s="2">
        <f>MAX(0, K24*(1+Forecast!$B11))</f>
        <v>0</v>
      </c>
      <c r="M24" s="2">
        <f>MAX(0, L24*(1+Forecast!$B11))</f>
        <v>0</v>
      </c>
      <c r="N24" s="2">
        <f>MAX(0, M24*(1+Forecast!$B11))</f>
        <v>0</v>
      </c>
      <c r="O24" s="2">
        <f>MAX(0, N24*(1+Forecast!$B11))</f>
        <v>0</v>
      </c>
      <c r="P24" s="2">
        <f>MAX(0, O24*(1+Forecast!$B11))</f>
        <v>0</v>
      </c>
      <c r="Q24" s="2">
        <f>MAX(0, P24*(1+Forecast!$B11))</f>
        <v>0</v>
      </c>
      <c r="R24" s="2">
        <f>MAX(0, Q24*(1+Forecast!$B11))</f>
        <v>0</v>
      </c>
      <c r="S24" s="2">
        <f>MAX(0, R24*(1+Forecast!$B11))</f>
        <v>0</v>
      </c>
      <c r="T24" s="2">
        <f>MAX(0, S24*(1+Forecast!$B11))</f>
        <v>0</v>
      </c>
      <c r="U24" s="2">
        <f>MAX(0, T24*(1+Forecast!$B11))</f>
        <v>0</v>
      </c>
      <c r="V24" s="2">
        <f>MAX(0, U24*(1+Forecast!$B11))</f>
        <v>0</v>
      </c>
      <c r="W24" s="2">
        <f>MAX(0, V24*(1+Forecast!$B11))</f>
        <v>0</v>
      </c>
      <c r="X24" s="2">
        <f>MAX(0, W24*(1+Forecast!$B11))</f>
        <v>0</v>
      </c>
      <c r="Y24" s="2">
        <f>MAX(0, X24*(1+Forecast!$B11))</f>
        <v>0</v>
      </c>
      <c r="Z24" s="2">
        <f>MAX(0, Y24*(1+Forecast!$B11))</f>
        <v>0</v>
      </c>
      <c r="AA24" s="2">
        <f>MAX(0, Z24*(1+Forecast!$B11))</f>
        <v>0</v>
      </c>
      <c r="AB24" s="2">
        <f>MAX(0, AA24*(1+Forecast!$B11))</f>
        <v>0</v>
      </c>
      <c r="AC24" s="2">
        <f>MAX(0, AB24*(1+Forecast!$B11))</f>
        <v>0</v>
      </c>
      <c r="AD24" s="2">
        <f>MAX(0, AC24*(1+Forecast!$B11))</f>
        <v>0</v>
      </c>
      <c r="AE24" s="2">
        <f>MAX(0, AD24*(1+Forecast!$B11))</f>
        <v>0</v>
      </c>
      <c r="AF24" s="2">
        <f>MAX(0, AE24*(1+Forecast!$B11))</f>
        <v>0</v>
      </c>
      <c r="AG24" s="2">
        <f>MAX(0, AF24*(1+Forecast!$B11))</f>
        <v>0</v>
      </c>
    </row>
    <row r="25" spans="1:33">
      <c r="A25" s="15" t="s">
        <v>16</v>
      </c>
      <c r="B25" s="2">
        <f>INDEX('2019'!$B$14:$G$23, MATCH($A25, '2019'!$A$2:$A$11, 0), MATCH(Urban_res_calculation!$A$15, '2019'!$B$1:$G$1, 0))</f>
        <v>0</v>
      </c>
      <c r="C25" s="2">
        <f>INDEX('2020'!$B$14:$G$23, MATCH($A25, '2020'!$A$2:$A$11, 0), MATCH(Urban_res_calculation!$A$15, '2020'!$B$1:$G$1, 0))</f>
        <v>0</v>
      </c>
      <c r="D25" s="2">
        <f>INDEX('2021'!$B$14:$G$23, MATCH($A25, '2021'!$A$2:$A$11, 0), MATCH(Urban_res_calculation!$A$15, '2021'!$B$1:$G$1, 0))</f>
        <v>0</v>
      </c>
      <c r="E25" s="2">
        <f>MAX(0, D25*(1+Forecast!$B12))</f>
        <v>0</v>
      </c>
      <c r="F25" s="2">
        <f>MAX(0, E25*(1+Forecast!$B12))</f>
        <v>0</v>
      </c>
      <c r="G25" s="2">
        <f>MAX(0, F25*(1+Forecast!$B12))</f>
        <v>0</v>
      </c>
      <c r="H25" s="2">
        <f>MAX(0, G25*(1+Forecast!$B12))</f>
        <v>0</v>
      </c>
      <c r="I25" s="2">
        <f>MAX(0, H25*(1+Forecast!$B12))</f>
        <v>0</v>
      </c>
      <c r="J25" s="2">
        <f>MAX(0, I25*(1+Forecast!$B12))</f>
        <v>0</v>
      </c>
      <c r="K25" s="2">
        <f>MAX(0, J25*(1+Forecast!$B12))</f>
        <v>0</v>
      </c>
      <c r="L25" s="2">
        <f>MAX(0, K25*(1+Forecast!$B12))</f>
        <v>0</v>
      </c>
      <c r="M25" s="2">
        <f>MAX(0, L25*(1+Forecast!$B12))</f>
        <v>0</v>
      </c>
      <c r="N25" s="2">
        <f>MAX(0, M25*(1+Forecast!$B12))</f>
        <v>0</v>
      </c>
      <c r="O25" s="2">
        <f>MAX(0, N25*(1+Forecast!$B12))</f>
        <v>0</v>
      </c>
      <c r="P25" s="2">
        <f>MAX(0, O25*(1+Forecast!$B12))</f>
        <v>0</v>
      </c>
      <c r="Q25" s="2">
        <f>MAX(0, P25*(1+Forecast!$B12))</f>
        <v>0</v>
      </c>
      <c r="R25" s="2">
        <f>MAX(0, Q25*(1+Forecast!$B12))</f>
        <v>0</v>
      </c>
      <c r="S25" s="2">
        <f>MAX(0, R25*(1+Forecast!$B12))</f>
        <v>0</v>
      </c>
      <c r="T25" s="2">
        <f>MAX(0, S25*(1+Forecast!$B12))</f>
        <v>0</v>
      </c>
      <c r="U25" s="2">
        <f>MAX(0, T25*(1+Forecast!$B12))</f>
        <v>0</v>
      </c>
      <c r="V25" s="2">
        <f>MAX(0, U25*(1+Forecast!$B12))</f>
        <v>0</v>
      </c>
      <c r="W25" s="2">
        <f>MAX(0, V25*(1+Forecast!$B12))</f>
        <v>0</v>
      </c>
      <c r="X25" s="2">
        <f>MAX(0, W25*(1+Forecast!$B12))</f>
        <v>0</v>
      </c>
      <c r="Y25" s="2">
        <f>MAX(0, X25*(1+Forecast!$B12))</f>
        <v>0</v>
      </c>
      <c r="Z25" s="2">
        <f>MAX(0, Y25*(1+Forecast!$B12))</f>
        <v>0</v>
      </c>
      <c r="AA25" s="2">
        <f>MAX(0, Z25*(1+Forecast!$B12))</f>
        <v>0</v>
      </c>
      <c r="AB25" s="2">
        <f>MAX(0, AA25*(1+Forecast!$B12))</f>
        <v>0</v>
      </c>
      <c r="AC25" s="2">
        <f>MAX(0, AB25*(1+Forecast!$B12))</f>
        <v>0</v>
      </c>
      <c r="AD25" s="2">
        <f>MAX(0, AC25*(1+Forecast!$B12))</f>
        <v>0</v>
      </c>
      <c r="AE25" s="2">
        <f>MAX(0, AD25*(1+Forecast!$B12))</f>
        <v>0</v>
      </c>
      <c r="AF25" s="2">
        <f>MAX(0, AE25*(1+Forecast!$B12))</f>
        <v>0</v>
      </c>
      <c r="AG25" s="2">
        <f>MAX(0, AF25*(1+Forecast!$B12))</f>
        <v>0</v>
      </c>
    </row>
    <row r="27" spans="1:33">
      <c r="A27" s="15" t="s">
        <v>39</v>
      </c>
      <c r="B27" s="1">
        <v>2019</v>
      </c>
      <c r="C27" s="1">
        <v>2020</v>
      </c>
      <c r="D27" s="1">
        <v>2021</v>
      </c>
      <c r="E27" s="1">
        <v>2022</v>
      </c>
      <c r="F27" s="1">
        <v>2023</v>
      </c>
      <c r="G27" s="1">
        <v>2024</v>
      </c>
      <c r="H27" s="1">
        <v>2025</v>
      </c>
      <c r="I27" s="1">
        <v>2026</v>
      </c>
      <c r="J27" s="1">
        <v>2027</v>
      </c>
      <c r="K27" s="1">
        <v>2028</v>
      </c>
      <c r="L27" s="1">
        <v>2029</v>
      </c>
      <c r="M27" s="1">
        <v>2030</v>
      </c>
      <c r="N27" s="1">
        <v>2031</v>
      </c>
      <c r="O27" s="1">
        <v>2032</v>
      </c>
      <c r="P27" s="1">
        <v>2033</v>
      </c>
      <c r="Q27" s="1">
        <v>2034</v>
      </c>
      <c r="R27" s="1">
        <v>2035</v>
      </c>
      <c r="S27" s="1">
        <v>2036</v>
      </c>
      <c r="T27" s="1">
        <v>2037</v>
      </c>
      <c r="U27" s="1">
        <v>2038</v>
      </c>
      <c r="V27" s="1">
        <v>2039</v>
      </c>
      <c r="W27" s="1">
        <v>2040</v>
      </c>
      <c r="X27" s="1">
        <v>2041</v>
      </c>
      <c r="Y27" s="1">
        <v>2042</v>
      </c>
      <c r="Z27" s="1">
        <v>2043</v>
      </c>
      <c r="AA27" s="1">
        <v>2044</v>
      </c>
      <c r="AB27" s="1">
        <v>2045</v>
      </c>
      <c r="AC27" s="1">
        <v>2046</v>
      </c>
      <c r="AD27" s="1">
        <v>2047</v>
      </c>
      <c r="AE27" s="1">
        <v>2048</v>
      </c>
      <c r="AF27" s="1">
        <v>2049</v>
      </c>
      <c r="AG27" s="1">
        <v>2050</v>
      </c>
    </row>
    <row r="28" spans="1:33">
      <c r="A28" s="15" t="s">
        <v>2</v>
      </c>
      <c r="B28" s="2">
        <f>INDEX('2019'!$B$14:$G$23, MATCH($A28, '2019'!$A$2:$A$11, 0), MATCH(Urban_res_calculation!$A$27, '2019'!$B$1:$G$1, 0))</f>
        <v>0</v>
      </c>
      <c r="C28" s="2">
        <f>INDEX('2020'!$B$14:$G$23, MATCH($A28, '2020'!$A$2:$A$11, 0), MATCH(Urban_res_calculation!$A$27, '2020'!$B$1:$G$1, 0))</f>
        <v>0</v>
      </c>
      <c r="D28" s="2">
        <f>INDEX('2021'!$B$14:$G$23, MATCH($A28, '2021'!$A$2:$A$11, 0), MATCH(Urban_res_calculation!$A$27, '2021'!$B$1:$G$1, 0))</f>
        <v>0</v>
      </c>
      <c r="E28" s="2">
        <f>MAX(0, D28*(1+Forecast!$B3))</f>
        <v>0</v>
      </c>
      <c r="F28" s="2">
        <f>MAX(0, E28*(1+Forecast!$B3))</f>
        <v>0</v>
      </c>
      <c r="G28" s="2">
        <f>MAX(0, F28*(1+Forecast!$B3))</f>
        <v>0</v>
      </c>
      <c r="H28" s="2">
        <f>MAX(0, G28*(1+Forecast!$B3))</f>
        <v>0</v>
      </c>
      <c r="I28" s="2">
        <f>MAX(0, H28*(1+Forecast!$B3))</f>
        <v>0</v>
      </c>
      <c r="J28" s="2">
        <f>MAX(0, I28*(1+Forecast!$B3))</f>
        <v>0</v>
      </c>
      <c r="K28" s="2">
        <f>MAX(0, J28*(1+Forecast!$B3))</f>
        <v>0</v>
      </c>
      <c r="L28" s="2">
        <f>MAX(0, K28*(1+Forecast!$B3))</f>
        <v>0</v>
      </c>
      <c r="M28" s="2">
        <f>MAX(0, L28*(1+Forecast!$B3))</f>
        <v>0</v>
      </c>
      <c r="N28" s="2">
        <f>MAX(0, M28*(1+Forecast!$B3))</f>
        <v>0</v>
      </c>
      <c r="O28" s="2">
        <f>MAX(0, N28*(1+Forecast!$B3))</f>
        <v>0</v>
      </c>
      <c r="P28" s="2">
        <f>MAX(0, O28*(1+Forecast!$B3))</f>
        <v>0</v>
      </c>
      <c r="Q28" s="2">
        <f>MAX(0, P28*(1+Forecast!$B3))</f>
        <v>0</v>
      </c>
      <c r="R28" s="2">
        <f>MAX(0, Q28*(1+Forecast!$B3))</f>
        <v>0</v>
      </c>
      <c r="S28" s="2">
        <f>MAX(0, R28*(1+Forecast!$B3))</f>
        <v>0</v>
      </c>
      <c r="T28" s="2">
        <f>MAX(0, S28*(1+Forecast!$B3))</f>
        <v>0</v>
      </c>
      <c r="U28" s="2">
        <f>MAX(0, T28*(1+Forecast!$B3))</f>
        <v>0</v>
      </c>
      <c r="V28" s="2">
        <f>MAX(0, U28*(1+Forecast!$B3))</f>
        <v>0</v>
      </c>
      <c r="W28" s="2">
        <f>MAX(0, V28*(1+Forecast!$B3))</f>
        <v>0</v>
      </c>
      <c r="X28" s="2">
        <f>MAX(0, W28*(1+Forecast!$B3))</f>
        <v>0</v>
      </c>
      <c r="Y28" s="2">
        <f>MAX(0, X28*(1+Forecast!$B3))</f>
        <v>0</v>
      </c>
      <c r="Z28" s="2">
        <f>MAX(0, Y28*(1+Forecast!$B3))</f>
        <v>0</v>
      </c>
      <c r="AA28" s="2">
        <f>MAX(0, Z28*(1+Forecast!$B3))</f>
        <v>0</v>
      </c>
      <c r="AB28" s="2">
        <f>MAX(0, AA28*(1+Forecast!$B3))</f>
        <v>0</v>
      </c>
      <c r="AC28" s="2">
        <f>MAX(0, AB28*(1+Forecast!$B3))</f>
        <v>0</v>
      </c>
      <c r="AD28" s="2">
        <f>MAX(0, AC28*(1+Forecast!$B3))</f>
        <v>0</v>
      </c>
      <c r="AE28" s="2">
        <f>MAX(0, AD28*(1+Forecast!$B3))</f>
        <v>0</v>
      </c>
      <c r="AF28" s="2">
        <f>MAX(0, AE28*(1+Forecast!$B3))</f>
        <v>0</v>
      </c>
      <c r="AG28" s="2">
        <f>MAX(0, AF28*(1+Forecast!$B3))</f>
        <v>0</v>
      </c>
    </row>
    <row r="29" spans="1:33">
      <c r="A29" s="15" t="s">
        <v>3</v>
      </c>
      <c r="B29" s="2">
        <f>INDEX('2019'!$B$14:$G$23, MATCH($A29, '2019'!$A$2:$A$11, 0), MATCH(Urban_res_calculation!$A$27, '2019'!$B$1:$G$1, 0))</f>
        <v>0</v>
      </c>
      <c r="C29" s="2">
        <f>INDEX('2020'!$B$14:$G$23, MATCH($A29, '2020'!$A$2:$A$11, 0), MATCH(Urban_res_calculation!$A$27, '2020'!$B$1:$G$1, 0))</f>
        <v>0</v>
      </c>
      <c r="D29" s="2">
        <f>INDEX('2021'!$B$14:$G$23, MATCH($A29, '2021'!$A$2:$A$11, 0), MATCH(Urban_res_calculation!$A$27, '2021'!$B$1:$G$1, 0))</f>
        <v>0</v>
      </c>
      <c r="E29" s="2">
        <f>MAX(0, D29*(1+Forecast!$B4))</f>
        <v>0</v>
      </c>
      <c r="F29" s="2">
        <f>MAX(0, E29*(1+Forecast!$B4))</f>
        <v>0</v>
      </c>
      <c r="G29" s="2">
        <f>MAX(0, F29*(1+Forecast!$B4))</f>
        <v>0</v>
      </c>
      <c r="H29" s="2">
        <f>MAX(0, G29*(1+Forecast!$B4))</f>
        <v>0</v>
      </c>
      <c r="I29" s="2">
        <f>MAX(0, H29*(1+Forecast!$B4))</f>
        <v>0</v>
      </c>
      <c r="J29" s="2">
        <f>MAX(0, I29*(1+Forecast!$B4))</f>
        <v>0</v>
      </c>
      <c r="K29" s="2">
        <f>MAX(0, J29*(1+Forecast!$B4))</f>
        <v>0</v>
      </c>
      <c r="L29" s="2">
        <f>MAX(0, K29*(1+Forecast!$B4))</f>
        <v>0</v>
      </c>
      <c r="M29" s="2">
        <f>MAX(0, L29*(1+Forecast!$B4))</f>
        <v>0</v>
      </c>
      <c r="N29" s="2">
        <f>MAX(0, M29*(1+Forecast!$B4))</f>
        <v>0</v>
      </c>
      <c r="O29" s="2">
        <f>MAX(0, N29*(1+Forecast!$B4))</f>
        <v>0</v>
      </c>
      <c r="P29" s="2">
        <f>MAX(0, O29*(1+Forecast!$B4))</f>
        <v>0</v>
      </c>
      <c r="Q29" s="2">
        <f>MAX(0, P29*(1+Forecast!$B4))</f>
        <v>0</v>
      </c>
      <c r="R29" s="2">
        <f>MAX(0, Q29*(1+Forecast!$B4))</f>
        <v>0</v>
      </c>
      <c r="S29" s="2">
        <f>MAX(0, R29*(1+Forecast!$B4))</f>
        <v>0</v>
      </c>
      <c r="T29" s="2">
        <f>MAX(0, S29*(1+Forecast!$B4))</f>
        <v>0</v>
      </c>
      <c r="U29" s="2">
        <f>MAX(0, T29*(1+Forecast!$B4))</f>
        <v>0</v>
      </c>
      <c r="V29" s="2">
        <f>MAX(0, U29*(1+Forecast!$B4))</f>
        <v>0</v>
      </c>
      <c r="W29" s="2">
        <f>MAX(0, V29*(1+Forecast!$B4))</f>
        <v>0</v>
      </c>
      <c r="X29" s="2">
        <f>MAX(0, W29*(1+Forecast!$B4))</f>
        <v>0</v>
      </c>
      <c r="Y29" s="2">
        <f>MAX(0, X29*(1+Forecast!$B4))</f>
        <v>0</v>
      </c>
      <c r="Z29" s="2">
        <f>MAX(0, Y29*(1+Forecast!$B4))</f>
        <v>0</v>
      </c>
      <c r="AA29" s="2">
        <f>MAX(0, Z29*(1+Forecast!$B4))</f>
        <v>0</v>
      </c>
      <c r="AB29" s="2">
        <f>MAX(0, AA29*(1+Forecast!$B4))</f>
        <v>0</v>
      </c>
      <c r="AC29" s="2">
        <f>MAX(0, AB29*(1+Forecast!$B4))</f>
        <v>0</v>
      </c>
      <c r="AD29" s="2">
        <f>MAX(0, AC29*(1+Forecast!$B4))</f>
        <v>0</v>
      </c>
      <c r="AE29" s="2">
        <f>MAX(0, AD29*(1+Forecast!$B4))</f>
        <v>0</v>
      </c>
      <c r="AF29" s="2">
        <f>MAX(0, AE29*(1+Forecast!$B4))</f>
        <v>0</v>
      </c>
      <c r="AG29" s="2">
        <f>MAX(0, AF29*(1+Forecast!$B4))</f>
        <v>0</v>
      </c>
    </row>
    <row r="30" spans="1:33">
      <c r="A30" s="15" t="s">
        <v>4</v>
      </c>
      <c r="B30" s="2">
        <f>INDEX('2019'!$B$14:$G$23, MATCH($A30, '2019'!$A$2:$A$11, 0), MATCH(Urban_res_calculation!$A$27, '2019'!$B$1:$G$1, 0))</f>
        <v>0</v>
      </c>
      <c r="C30" s="2">
        <f>INDEX('2020'!$B$14:$G$23, MATCH($A30, '2020'!$A$2:$A$11, 0), MATCH(Urban_res_calculation!$A$27, '2020'!$B$1:$G$1, 0))</f>
        <v>0</v>
      </c>
      <c r="D30" s="2">
        <f>INDEX('2021'!$B$14:$G$23, MATCH($A30, '2021'!$A$2:$A$11, 0), MATCH(Urban_res_calculation!$A$27, '2021'!$B$1:$G$1, 0))</f>
        <v>0</v>
      </c>
      <c r="E30" s="2">
        <f>MAX(0, D30*(1+Forecast!$B5))</f>
        <v>0</v>
      </c>
      <c r="F30" s="2">
        <f>MAX(0, E30*(1+Forecast!$B5))</f>
        <v>0</v>
      </c>
      <c r="G30" s="2">
        <f>MAX(0, F30*(1+Forecast!$B5))</f>
        <v>0</v>
      </c>
      <c r="H30" s="2">
        <f>MAX(0, G30*(1+Forecast!$B5))</f>
        <v>0</v>
      </c>
      <c r="I30" s="2">
        <f>MAX(0, H30*(1+Forecast!$B5))</f>
        <v>0</v>
      </c>
      <c r="J30" s="2">
        <f>MAX(0, I30*(1+Forecast!$B5))</f>
        <v>0</v>
      </c>
      <c r="K30" s="2">
        <f>MAX(0, J30*(1+Forecast!$B5))</f>
        <v>0</v>
      </c>
      <c r="L30" s="2">
        <f>MAX(0, K30*(1+Forecast!$B5))</f>
        <v>0</v>
      </c>
      <c r="M30" s="2">
        <f>MAX(0, L30*(1+Forecast!$B5))</f>
        <v>0</v>
      </c>
      <c r="N30" s="2">
        <f>MAX(0, M30*(1+Forecast!$B5))</f>
        <v>0</v>
      </c>
      <c r="O30" s="2">
        <f>MAX(0, N30*(1+Forecast!$B5))</f>
        <v>0</v>
      </c>
      <c r="P30" s="2">
        <f>MAX(0, O30*(1+Forecast!$B5))</f>
        <v>0</v>
      </c>
      <c r="Q30" s="2">
        <f>MAX(0, P30*(1+Forecast!$B5))</f>
        <v>0</v>
      </c>
      <c r="R30" s="2">
        <f>MAX(0, Q30*(1+Forecast!$B5))</f>
        <v>0</v>
      </c>
      <c r="S30" s="2">
        <f>MAX(0, R30*(1+Forecast!$B5))</f>
        <v>0</v>
      </c>
      <c r="T30" s="2">
        <f>MAX(0, S30*(1+Forecast!$B5))</f>
        <v>0</v>
      </c>
      <c r="U30" s="2">
        <f>MAX(0, T30*(1+Forecast!$B5))</f>
        <v>0</v>
      </c>
      <c r="V30" s="2">
        <f>MAX(0, U30*(1+Forecast!$B5))</f>
        <v>0</v>
      </c>
      <c r="W30" s="2">
        <f>MAX(0, V30*(1+Forecast!$B5))</f>
        <v>0</v>
      </c>
      <c r="X30" s="2">
        <f>MAX(0, W30*(1+Forecast!$B5))</f>
        <v>0</v>
      </c>
      <c r="Y30" s="2">
        <f>MAX(0, X30*(1+Forecast!$B5))</f>
        <v>0</v>
      </c>
      <c r="Z30" s="2">
        <f>MAX(0, Y30*(1+Forecast!$B5))</f>
        <v>0</v>
      </c>
      <c r="AA30" s="2">
        <f>MAX(0, Z30*(1+Forecast!$B5))</f>
        <v>0</v>
      </c>
      <c r="AB30" s="2">
        <f>MAX(0, AA30*(1+Forecast!$B5))</f>
        <v>0</v>
      </c>
      <c r="AC30" s="2">
        <f>MAX(0, AB30*(1+Forecast!$B5))</f>
        <v>0</v>
      </c>
      <c r="AD30" s="2">
        <f>MAX(0, AC30*(1+Forecast!$B5))</f>
        <v>0</v>
      </c>
      <c r="AE30" s="2">
        <f>MAX(0, AD30*(1+Forecast!$B5))</f>
        <v>0</v>
      </c>
      <c r="AF30" s="2">
        <f>MAX(0, AE30*(1+Forecast!$B5))</f>
        <v>0</v>
      </c>
      <c r="AG30" s="2">
        <f>MAX(0, AF30*(1+Forecast!$B5))</f>
        <v>0</v>
      </c>
    </row>
    <row r="31" spans="1:33">
      <c r="A31" s="15" t="s">
        <v>5</v>
      </c>
      <c r="B31" s="2">
        <f>INDEX('2019'!$B$14:$G$23, MATCH($A31, '2019'!$A$2:$A$11, 0), MATCH(Urban_res_calculation!$A$27, '2019'!$B$1:$G$1, 0))</f>
        <v>0</v>
      </c>
      <c r="C31" s="2">
        <f>INDEX('2020'!$B$14:$G$23, MATCH($A31, '2020'!$A$2:$A$11, 0), MATCH(Urban_res_calculation!$A$27, '2020'!$B$1:$G$1, 0))</f>
        <v>0</v>
      </c>
      <c r="D31" s="2">
        <f>INDEX('2021'!$B$14:$G$23, MATCH($A31, '2021'!$A$2:$A$11, 0), MATCH(Urban_res_calculation!$A$27, '2021'!$B$1:$G$1, 0))</f>
        <v>0</v>
      </c>
      <c r="E31" s="2">
        <f>MAX(0, D31*(1+Forecast!$B6))</f>
        <v>0</v>
      </c>
      <c r="F31" s="2">
        <f>MAX(0, E31*(1+Forecast!$B6))</f>
        <v>0</v>
      </c>
      <c r="G31" s="2">
        <f>MAX(0, F31*(1+Forecast!$B6))</f>
        <v>0</v>
      </c>
      <c r="H31" s="2">
        <f>MAX(0, G31*(1+Forecast!$B6))</f>
        <v>0</v>
      </c>
      <c r="I31" s="2">
        <f>MAX(0, H31*(1+Forecast!$B6))</f>
        <v>0</v>
      </c>
      <c r="J31" s="2">
        <f>MAX(0, I31*(1+Forecast!$B6))</f>
        <v>0</v>
      </c>
      <c r="K31" s="2">
        <f>MAX(0, J31*(1+Forecast!$B6))</f>
        <v>0</v>
      </c>
      <c r="L31" s="2">
        <f>MAX(0, K31*(1+Forecast!$B6))</f>
        <v>0</v>
      </c>
      <c r="M31" s="2">
        <f>MAX(0, L31*(1+Forecast!$B6))</f>
        <v>0</v>
      </c>
      <c r="N31" s="2">
        <f>MAX(0, M31*(1+Forecast!$B6))</f>
        <v>0</v>
      </c>
      <c r="O31" s="2">
        <f>MAX(0, N31*(1+Forecast!$B6))</f>
        <v>0</v>
      </c>
      <c r="P31" s="2">
        <f>MAX(0, O31*(1+Forecast!$B6))</f>
        <v>0</v>
      </c>
      <c r="Q31" s="2">
        <f>MAX(0, P31*(1+Forecast!$B6))</f>
        <v>0</v>
      </c>
      <c r="R31" s="2">
        <f>MAX(0, Q31*(1+Forecast!$B6))</f>
        <v>0</v>
      </c>
      <c r="S31" s="2">
        <f>MAX(0, R31*(1+Forecast!$B6))</f>
        <v>0</v>
      </c>
      <c r="T31" s="2">
        <f>MAX(0, S31*(1+Forecast!$B6))</f>
        <v>0</v>
      </c>
      <c r="U31" s="2">
        <f>MAX(0, T31*(1+Forecast!$B6))</f>
        <v>0</v>
      </c>
      <c r="V31" s="2">
        <f>MAX(0, U31*(1+Forecast!$B6))</f>
        <v>0</v>
      </c>
      <c r="W31" s="2">
        <f>MAX(0, V31*(1+Forecast!$B6))</f>
        <v>0</v>
      </c>
      <c r="X31" s="2">
        <f>MAX(0, W31*(1+Forecast!$B6))</f>
        <v>0</v>
      </c>
      <c r="Y31" s="2">
        <f>MAX(0, X31*(1+Forecast!$B6))</f>
        <v>0</v>
      </c>
      <c r="Z31" s="2">
        <f>MAX(0, Y31*(1+Forecast!$B6))</f>
        <v>0</v>
      </c>
      <c r="AA31" s="2">
        <f>MAX(0, Z31*(1+Forecast!$B6))</f>
        <v>0</v>
      </c>
      <c r="AB31" s="2">
        <f>MAX(0, AA31*(1+Forecast!$B6))</f>
        <v>0</v>
      </c>
      <c r="AC31" s="2">
        <f>MAX(0, AB31*(1+Forecast!$B6))</f>
        <v>0</v>
      </c>
      <c r="AD31" s="2">
        <f>MAX(0, AC31*(1+Forecast!$B6))</f>
        <v>0</v>
      </c>
      <c r="AE31" s="2">
        <f>MAX(0, AD31*(1+Forecast!$B6))</f>
        <v>0</v>
      </c>
      <c r="AF31" s="2">
        <f>MAX(0, AE31*(1+Forecast!$B6))</f>
        <v>0</v>
      </c>
      <c r="AG31" s="2">
        <f>MAX(0, AF31*(1+Forecast!$B6))</f>
        <v>0</v>
      </c>
    </row>
    <row r="32" spans="1:33">
      <c r="A32" s="15" t="s">
        <v>7</v>
      </c>
      <c r="B32" s="2">
        <f>INDEX('2019'!$B$14:$G$23, MATCH($A32, '2019'!$A$2:$A$11, 0), MATCH(Urban_res_calculation!$A$27, '2019'!$B$1:$G$1, 0))</f>
        <v>0</v>
      </c>
      <c r="C32" s="2">
        <f>INDEX('2020'!$B$14:$G$23, MATCH($A32, '2020'!$A$2:$A$11, 0), MATCH(Urban_res_calculation!$A$27, '2020'!$B$1:$G$1, 0))</f>
        <v>0</v>
      </c>
      <c r="D32" s="2">
        <f>INDEX('2021'!$B$14:$G$23, MATCH($A32, '2021'!$A$2:$A$11, 0), MATCH(Urban_res_calculation!$A$27, '2021'!$B$1:$G$1, 0))</f>
        <v>0</v>
      </c>
      <c r="E32" s="2">
        <f>MAX(0, D32*(1+Forecast!$B7))</f>
        <v>0</v>
      </c>
      <c r="F32" s="2">
        <f>MAX(0, E32*(1+Forecast!$B7))</f>
        <v>0</v>
      </c>
      <c r="G32" s="2">
        <f>MAX(0, F32*(1+Forecast!$B7))</f>
        <v>0</v>
      </c>
      <c r="H32" s="2">
        <f>MAX(0, G32*(1+Forecast!$B7))</f>
        <v>0</v>
      </c>
      <c r="I32" s="2">
        <f>MAX(0, H32*(1+Forecast!$B7))</f>
        <v>0</v>
      </c>
      <c r="J32" s="2">
        <f>MAX(0, I32*(1+Forecast!$B7))</f>
        <v>0</v>
      </c>
      <c r="K32" s="2">
        <f>MAX(0, J32*(1+Forecast!$B7))</f>
        <v>0</v>
      </c>
      <c r="L32" s="2">
        <f>MAX(0, K32*(1+Forecast!$B7))</f>
        <v>0</v>
      </c>
      <c r="M32" s="2">
        <f>MAX(0, L32*(1+Forecast!$B7))</f>
        <v>0</v>
      </c>
      <c r="N32" s="2">
        <f>MAX(0, M32*(1+Forecast!$B7))</f>
        <v>0</v>
      </c>
      <c r="O32" s="2">
        <f>MAX(0, N32*(1+Forecast!$B7))</f>
        <v>0</v>
      </c>
      <c r="P32" s="2">
        <f>MAX(0, O32*(1+Forecast!$B7))</f>
        <v>0</v>
      </c>
      <c r="Q32" s="2">
        <f>MAX(0, P32*(1+Forecast!$B7))</f>
        <v>0</v>
      </c>
      <c r="R32" s="2">
        <f>MAX(0, Q32*(1+Forecast!$B7))</f>
        <v>0</v>
      </c>
      <c r="S32" s="2">
        <f>MAX(0, R32*(1+Forecast!$B7))</f>
        <v>0</v>
      </c>
      <c r="T32" s="2">
        <f>MAX(0, S32*(1+Forecast!$B7))</f>
        <v>0</v>
      </c>
      <c r="U32" s="2">
        <f>MAX(0, T32*(1+Forecast!$B7))</f>
        <v>0</v>
      </c>
      <c r="V32" s="2">
        <f>MAX(0, U32*(1+Forecast!$B7))</f>
        <v>0</v>
      </c>
      <c r="W32" s="2">
        <f>MAX(0, V32*(1+Forecast!$B7))</f>
        <v>0</v>
      </c>
      <c r="X32" s="2">
        <f>MAX(0, W32*(1+Forecast!$B7))</f>
        <v>0</v>
      </c>
      <c r="Y32" s="2">
        <f>MAX(0, X32*(1+Forecast!$B7))</f>
        <v>0</v>
      </c>
      <c r="Z32" s="2">
        <f>MAX(0, Y32*(1+Forecast!$B7))</f>
        <v>0</v>
      </c>
      <c r="AA32" s="2">
        <f>MAX(0, Z32*(1+Forecast!$B7))</f>
        <v>0</v>
      </c>
      <c r="AB32" s="2">
        <f>MAX(0, AA32*(1+Forecast!$B7))</f>
        <v>0</v>
      </c>
      <c r="AC32" s="2">
        <f>MAX(0, AB32*(1+Forecast!$B7))</f>
        <v>0</v>
      </c>
      <c r="AD32" s="2">
        <f>MAX(0, AC32*(1+Forecast!$B7))</f>
        <v>0</v>
      </c>
      <c r="AE32" s="2">
        <f>MAX(0, AD32*(1+Forecast!$B7))</f>
        <v>0</v>
      </c>
      <c r="AF32" s="2">
        <f>MAX(0, AE32*(1+Forecast!$B7))</f>
        <v>0</v>
      </c>
      <c r="AG32" s="2">
        <f>MAX(0, AF32*(1+Forecast!$B7))</f>
        <v>0</v>
      </c>
    </row>
    <row r="33" spans="1:33">
      <c r="A33" s="15" t="s">
        <v>11</v>
      </c>
      <c r="B33" s="2">
        <f>INDEX('2019'!$B$14:$G$23, MATCH($A33, '2019'!$A$2:$A$11, 0), MATCH(Urban_res_calculation!$A$27, '2019'!$B$1:$G$1, 0))</f>
        <v>0</v>
      </c>
      <c r="C33" s="2">
        <f>INDEX('2020'!$B$14:$G$23, MATCH($A33, '2020'!$A$2:$A$11, 0), MATCH(Urban_res_calculation!$A$27, '2020'!$B$1:$G$1, 0))</f>
        <v>0</v>
      </c>
      <c r="D33" s="2">
        <f>INDEX('2021'!$B$14:$G$23, MATCH($A33, '2021'!$A$2:$A$11, 0), MATCH(Urban_res_calculation!$A$27, '2021'!$B$1:$G$1, 0))</f>
        <v>0</v>
      </c>
      <c r="E33" s="2">
        <f>MAX(0, D33*(1+Forecast!$B8))</f>
        <v>0</v>
      </c>
      <c r="F33" s="2">
        <f>MAX(0, E33*(1+Forecast!$B8))</f>
        <v>0</v>
      </c>
      <c r="G33" s="2">
        <f>MAX(0, F33*(1+Forecast!$B8))</f>
        <v>0</v>
      </c>
      <c r="H33" s="2">
        <f>MAX(0, G33*(1+Forecast!$B8))</f>
        <v>0</v>
      </c>
      <c r="I33" s="2">
        <f>MAX(0, H33*(1+Forecast!$B8))</f>
        <v>0</v>
      </c>
      <c r="J33" s="2">
        <f>MAX(0, I33*(1+Forecast!$B8))</f>
        <v>0</v>
      </c>
      <c r="K33" s="2">
        <f>MAX(0, J33*(1+Forecast!$B8))</f>
        <v>0</v>
      </c>
      <c r="L33" s="2">
        <f>MAX(0, K33*(1+Forecast!$B8))</f>
        <v>0</v>
      </c>
      <c r="M33" s="2">
        <f>MAX(0, L33*(1+Forecast!$B8))</f>
        <v>0</v>
      </c>
      <c r="N33" s="2">
        <f>MAX(0, M33*(1+Forecast!$B8))</f>
        <v>0</v>
      </c>
      <c r="O33" s="2">
        <f>MAX(0, N33*(1+Forecast!$B8))</f>
        <v>0</v>
      </c>
      <c r="P33" s="2">
        <f>MAX(0, O33*(1+Forecast!$B8))</f>
        <v>0</v>
      </c>
      <c r="Q33" s="2">
        <f>MAX(0, P33*(1+Forecast!$B8))</f>
        <v>0</v>
      </c>
      <c r="R33" s="2">
        <f>MAX(0, Q33*(1+Forecast!$B8))</f>
        <v>0</v>
      </c>
      <c r="S33" s="2">
        <f>MAX(0, R33*(1+Forecast!$B8))</f>
        <v>0</v>
      </c>
      <c r="T33" s="2">
        <f>MAX(0, S33*(1+Forecast!$B8))</f>
        <v>0</v>
      </c>
      <c r="U33" s="2">
        <f>MAX(0, T33*(1+Forecast!$B8))</f>
        <v>0</v>
      </c>
      <c r="V33" s="2">
        <f>MAX(0, U33*(1+Forecast!$B8))</f>
        <v>0</v>
      </c>
      <c r="W33" s="2">
        <f>MAX(0, V33*(1+Forecast!$B8))</f>
        <v>0</v>
      </c>
      <c r="X33" s="2">
        <f>MAX(0, W33*(1+Forecast!$B8))</f>
        <v>0</v>
      </c>
      <c r="Y33" s="2">
        <f>MAX(0, X33*(1+Forecast!$B8))</f>
        <v>0</v>
      </c>
      <c r="Z33" s="2">
        <f>MAX(0, Y33*(1+Forecast!$B8))</f>
        <v>0</v>
      </c>
      <c r="AA33" s="2">
        <f>MAX(0, Z33*(1+Forecast!$B8))</f>
        <v>0</v>
      </c>
      <c r="AB33" s="2">
        <f>MAX(0, AA33*(1+Forecast!$B8))</f>
        <v>0</v>
      </c>
      <c r="AC33" s="2">
        <f>MAX(0, AB33*(1+Forecast!$B8))</f>
        <v>0</v>
      </c>
      <c r="AD33" s="2">
        <f>MAX(0, AC33*(1+Forecast!$B8))</f>
        <v>0</v>
      </c>
      <c r="AE33" s="2">
        <f>MAX(0, AD33*(1+Forecast!$B8))</f>
        <v>0</v>
      </c>
      <c r="AF33" s="2">
        <f>MAX(0, AE33*(1+Forecast!$B8))</f>
        <v>0</v>
      </c>
      <c r="AG33" s="2">
        <f>MAX(0, AF33*(1+Forecast!$B8))</f>
        <v>0</v>
      </c>
    </row>
    <row r="34" spans="1:33">
      <c r="A34" s="15" t="s">
        <v>13</v>
      </c>
      <c r="B34" s="2">
        <f>INDEX('2019'!$B$14:$G$23, MATCH($A34, '2019'!$A$2:$A$11, 0), MATCH(Urban_res_calculation!$A$27, '2019'!$B$1:$G$1, 0))</f>
        <v>0</v>
      </c>
      <c r="C34" s="2">
        <f>INDEX('2020'!$B$14:$G$23, MATCH($A34, '2020'!$A$2:$A$11, 0), MATCH(Urban_res_calculation!$A$27, '2020'!$B$1:$G$1, 0))</f>
        <v>0</v>
      </c>
      <c r="D34" s="2">
        <f>INDEX('2021'!$B$14:$G$23, MATCH($A34, '2021'!$A$2:$A$11, 0), MATCH(Urban_res_calculation!$A$27, '2021'!$B$1:$G$1, 0))</f>
        <v>0</v>
      </c>
      <c r="E34" s="2">
        <f>MAX(0, D34*(1+Forecast!$B9))</f>
        <v>0</v>
      </c>
      <c r="F34" s="2">
        <f>MAX(0, E34*(1+Forecast!$B9))</f>
        <v>0</v>
      </c>
      <c r="G34" s="2">
        <f>MAX(0, F34*(1+Forecast!$B9))</f>
        <v>0</v>
      </c>
      <c r="H34" s="2">
        <f>MAX(0, G34*(1+Forecast!$B9))</f>
        <v>0</v>
      </c>
      <c r="I34" s="2">
        <f>MAX(0, H34*(1+Forecast!$B9))</f>
        <v>0</v>
      </c>
      <c r="J34" s="2">
        <f>MAX(0, I34*(1+Forecast!$B9))</f>
        <v>0</v>
      </c>
      <c r="K34" s="2">
        <f>MAX(0, J34*(1+Forecast!$B9))</f>
        <v>0</v>
      </c>
      <c r="L34" s="2">
        <f>MAX(0, K34*(1+Forecast!$B9))</f>
        <v>0</v>
      </c>
      <c r="M34" s="2">
        <f>MAX(0, L34*(1+Forecast!$B9))</f>
        <v>0</v>
      </c>
      <c r="N34" s="2">
        <f>MAX(0, M34*(1+Forecast!$B9))</f>
        <v>0</v>
      </c>
      <c r="O34" s="2">
        <f>MAX(0, N34*(1+Forecast!$B9))</f>
        <v>0</v>
      </c>
      <c r="P34" s="2">
        <f>MAX(0, O34*(1+Forecast!$B9))</f>
        <v>0</v>
      </c>
      <c r="Q34" s="2">
        <f>MAX(0, P34*(1+Forecast!$B9))</f>
        <v>0</v>
      </c>
      <c r="R34" s="2">
        <f>MAX(0, Q34*(1+Forecast!$B9))</f>
        <v>0</v>
      </c>
      <c r="S34" s="2">
        <f>MAX(0, R34*(1+Forecast!$B9))</f>
        <v>0</v>
      </c>
      <c r="T34" s="2">
        <f>MAX(0, S34*(1+Forecast!$B9))</f>
        <v>0</v>
      </c>
      <c r="U34" s="2">
        <f>MAX(0, T34*(1+Forecast!$B9))</f>
        <v>0</v>
      </c>
      <c r="V34" s="2">
        <f>MAX(0, U34*(1+Forecast!$B9))</f>
        <v>0</v>
      </c>
      <c r="W34" s="2">
        <f>MAX(0, V34*(1+Forecast!$B9))</f>
        <v>0</v>
      </c>
      <c r="X34" s="2">
        <f>MAX(0, W34*(1+Forecast!$B9))</f>
        <v>0</v>
      </c>
      <c r="Y34" s="2">
        <f>MAX(0, X34*(1+Forecast!$B9))</f>
        <v>0</v>
      </c>
      <c r="Z34" s="2">
        <f>MAX(0, Y34*(1+Forecast!$B9))</f>
        <v>0</v>
      </c>
      <c r="AA34" s="2">
        <f>MAX(0, Z34*(1+Forecast!$B9))</f>
        <v>0</v>
      </c>
      <c r="AB34" s="2">
        <f>MAX(0, AA34*(1+Forecast!$B9))</f>
        <v>0</v>
      </c>
      <c r="AC34" s="2">
        <f>MAX(0, AB34*(1+Forecast!$B9))</f>
        <v>0</v>
      </c>
      <c r="AD34" s="2">
        <f>MAX(0, AC34*(1+Forecast!$B9))</f>
        <v>0</v>
      </c>
      <c r="AE34" s="2">
        <f>MAX(0, AD34*(1+Forecast!$B9))</f>
        <v>0</v>
      </c>
      <c r="AF34" s="2">
        <f>MAX(0, AE34*(1+Forecast!$B9))</f>
        <v>0</v>
      </c>
      <c r="AG34" s="2">
        <f>MAX(0, AF34*(1+Forecast!$B9))</f>
        <v>0</v>
      </c>
    </row>
    <row r="35" spans="1:33">
      <c r="A35" s="15" t="s">
        <v>14</v>
      </c>
      <c r="B35" s="2">
        <f>INDEX('2019'!$B$14:$G$23, MATCH($A35, '2019'!$A$2:$A$11, 0), MATCH(Urban_res_calculation!$A$27, '2019'!$B$1:$G$1, 0))</f>
        <v>0</v>
      </c>
      <c r="C35" s="2">
        <f>INDEX('2020'!$B$14:$G$23, MATCH($A35, '2020'!$A$2:$A$11, 0), MATCH(Urban_res_calculation!$A$27, '2020'!$B$1:$G$1, 0))</f>
        <v>0</v>
      </c>
      <c r="D35" s="2">
        <f>INDEX('2021'!$B$14:$G$23, MATCH($A35, '2021'!$A$2:$A$11, 0), MATCH(Urban_res_calculation!$A$27, '2021'!$B$1:$G$1, 0))</f>
        <v>0</v>
      </c>
      <c r="E35" s="2">
        <f>MAX(0, D35*(1+Forecast!$B10))</f>
        <v>0</v>
      </c>
      <c r="F35" s="2">
        <f>MAX(0, E35*(1+Forecast!$B10))</f>
        <v>0</v>
      </c>
      <c r="G35" s="2">
        <f>MAX(0, F35*(1+Forecast!$B10))</f>
        <v>0</v>
      </c>
      <c r="H35" s="2">
        <f>MAX(0, G35*(1+Forecast!$B10))</f>
        <v>0</v>
      </c>
      <c r="I35" s="2">
        <f>MAX(0, H35*(1+Forecast!$B10))</f>
        <v>0</v>
      </c>
      <c r="J35" s="2">
        <f>MAX(0, I35*(1+Forecast!$B10))</f>
        <v>0</v>
      </c>
      <c r="K35" s="2">
        <f>MAX(0, J35*(1+Forecast!$B10))</f>
        <v>0</v>
      </c>
      <c r="L35" s="2">
        <f>MAX(0, K35*(1+Forecast!$B10))</f>
        <v>0</v>
      </c>
      <c r="M35" s="2">
        <f>MAX(0, L35*(1+Forecast!$B10))</f>
        <v>0</v>
      </c>
      <c r="N35" s="2">
        <f>MAX(0, M35*(1+Forecast!$B10))</f>
        <v>0</v>
      </c>
      <c r="O35" s="2">
        <f>MAX(0, N35*(1+Forecast!$B10))</f>
        <v>0</v>
      </c>
      <c r="P35" s="2">
        <f>MAX(0, O35*(1+Forecast!$B10))</f>
        <v>0</v>
      </c>
      <c r="Q35" s="2">
        <f>MAX(0, P35*(1+Forecast!$B10))</f>
        <v>0</v>
      </c>
      <c r="R35" s="2">
        <f>MAX(0, Q35*(1+Forecast!$B10))</f>
        <v>0</v>
      </c>
      <c r="S35" s="2">
        <f>MAX(0, R35*(1+Forecast!$B10))</f>
        <v>0</v>
      </c>
      <c r="T35" s="2">
        <f>MAX(0, S35*(1+Forecast!$B10))</f>
        <v>0</v>
      </c>
      <c r="U35" s="2">
        <f>MAX(0, T35*(1+Forecast!$B10))</f>
        <v>0</v>
      </c>
      <c r="V35" s="2">
        <f>MAX(0, U35*(1+Forecast!$B10))</f>
        <v>0</v>
      </c>
      <c r="W35" s="2">
        <f>MAX(0, V35*(1+Forecast!$B10))</f>
        <v>0</v>
      </c>
      <c r="X35" s="2">
        <f>MAX(0, W35*(1+Forecast!$B10))</f>
        <v>0</v>
      </c>
      <c r="Y35" s="2">
        <f>MAX(0, X35*(1+Forecast!$B10))</f>
        <v>0</v>
      </c>
      <c r="Z35" s="2">
        <f>MAX(0, Y35*(1+Forecast!$B10))</f>
        <v>0</v>
      </c>
      <c r="AA35" s="2">
        <f>MAX(0, Z35*(1+Forecast!$B10))</f>
        <v>0</v>
      </c>
      <c r="AB35" s="2">
        <f>MAX(0, AA35*(1+Forecast!$B10))</f>
        <v>0</v>
      </c>
      <c r="AC35" s="2">
        <f>MAX(0, AB35*(1+Forecast!$B10))</f>
        <v>0</v>
      </c>
      <c r="AD35" s="2">
        <f>MAX(0, AC35*(1+Forecast!$B10))</f>
        <v>0</v>
      </c>
      <c r="AE35" s="2">
        <f>MAX(0, AD35*(1+Forecast!$B10))</f>
        <v>0</v>
      </c>
      <c r="AF35" s="2">
        <f>MAX(0, AE35*(1+Forecast!$B10))</f>
        <v>0</v>
      </c>
      <c r="AG35" s="2">
        <f>MAX(0, AF35*(1+Forecast!$B10))</f>
        <v>0</v>
      </c>
    </row>
    <row r="36" spans="1:33">
      <c r="A36" s="15" t="s">
        <v>15</v>
      </c>
      <c r="B36" s="2">
        <f>INDEX('2019'!$B$14:$G$23, MATCH($A36, '2019'!$A$2:$A$11, 0), MATCH(Urban_res_calculation!$A$27, '2019'!$B$1:$G$1, 0))</f>
        <v>0</v>
      </c>
      <c r="C36" s="2">
        <f>INDEX('2020'!$B$14:$G$23, MATCH($A36, '2020'!$A$2:$A$11, 0), MATCH(Urban_res_calculation!$A$27, '2020'!$B$1:$G$1, 0))</f>
        <v>0</v>
      </c>
      <c r="D36" s="2">
        <f>INDEX('2021'!$B$14:$G$23, MATCH($A36, '2021'!$A$2:$A$11, 0), MATCH(Urban_res_calculation!$A$27, '2021'!$B$1:$G$1, 0))</f>
        <v>0</v>
      </c>
      <c r="E36" s="2">
        <f>MAX(0, D36*(1+Forecast!$B11))</f>
        <v>0</v>
      </c>
      <c r="F36" s="2">
        <f>MAX(0, E36*(1+Forecast!$B11))</f>
        <v>0</v>
      </c>
      <c r="G36" s="2">
        <f>MAX(0, F36*(1+Forecast!$B11))</f>
        <v>0</v>
      </c>
      <c r="H36" s="2">
        <f>MAX(0, G36*(1+Forecast!$B11))</f>
        <v>0</v>
      </c>
      <c r="I36" s="2">
        <f>MAX(0, H36*(1+Forecast!$B11))</f>
        <v>0</v>
      </c>
      <c r="J36" s="2">
        <f>MAX(0, I36*(1+Forecast!$B11))</f>
        <v>0</v>
      </c>
      <c r="K36" s="2">
        <f>MAX(0, J36*(1+Forecast!$B11))</f>
        <v>0</v>
      </c>
      <c r="L36" s="2">
        <f>MAX(0, K36*(1+Forecast!$B11))</f>
        <v>0</v>
      </c>
      <c r="M36" s="2">
        <f>MAX(0, L36*(1+Forecast!$B11))</f>
        <v>0</v>
      </c>
      <c r="N36" s="2">
        <f>MAX(0, M36*(1+Forecast!$B11))</f>
        <v>0</v>
      </c>
      <c r="O36" s="2">
        <f>MAX(0, N36*(1+Forecast!$B11))</f>
        <v>0</v>
      </c>
      <c r="P36" s="2">
        <f>MAX(0, O36*(1+Forecast!$B11))</f>
        <v>0</v>
      </c>
      <c r="Q36" s="2">
        <f>MAX(0, P36*(1+Forecast!$B11))</f>
        <v>0</v>
      </c>
      <c r="R36" s="2">
        <f>MAX(0, Q36*(1+Forecast!$B11))</f>
        <v>0</v>
      </c>
      <c r="S36" s="2">
        <f>MAX(0, R36*(1+Forecast!$B11))</f>
        <v>0</v>
      </c>
      <c r="T36" s="2">
        <f>MAX(0, S36*(1+Forecast!$B11))</f>
        <v>0</v>
      </c>
      <c r="U36" s="2">
        <f>MAX(0, T36*(1+Forecast!$B11))</f>
        <v>0</v>
      </c>
      <c r="V36" s="2">
        <f>MAX(0, U36*(1+Forecast!$B11))</f>
        <v>0</v>
      </c>
      <c r="W36" s="2">
        <f>MAX(0, V36*(1+Forecast!$B11))</f>
        <v>0</v>
      </c>
      <c r="X36" s="2">
        <f>MAX(0, W36*(1+Forecast!$B11))</f>
        <v>0</v>
      </c>
      <c r="Y36" s="2">
        <f>MAX(0, X36*(1+Forecast!$B11))</f>
        <v>0</v>
      </c>
      <c r="Z36" s="2">
        <f>MAX(0, Y36*(1+Forecast!$B11))</f>
        <v>0</v>
      </c>
      <c r="AA36" s="2">
        <f>MAX(0, Z36*(1+Forecast!$B11))</f>
        <v>0</v>
      </c>
      <c r="AB36" s="2">
        <f>MAX(0, AA36*(1+Forecast!$B11))</f>
        <v>0</v>
      </c>
      <c r="AC36" s="2">
        <f>MAX(0, AB36*(1+Forecast!$B11))</f>
        <v>0</v>
      </c>
      <c r="AD36" s="2">
        <f>MAX(0, AC36*(1+Forecast!$B11))</f>
        <v>0</v>
      </c>
      <c r="AE36" s="2">
        <f>MAX(0, AD36*(1+Forecast!$B11))</f>
        <v>0</v>
      </c>
      <c r="AF36" s="2">
        <f>MAX(0, AE36*(1+Forecast!$B11))</f>
        <v>0</v>
      </c>
      <c r="AG36" s="2">
        <f>MAX(0, AF36*(1+Forecast!$B11))</f>
        <v>0</v>
      </c>
    </row>
    <row r="37" spans="1:33">
      <c r="A37" s="15" t="s">
        <v>16</v>
      </c>
      <c r="B37" s="2">
        <f>INDEX('2019'!$B$14:$G$23, MATCH($A37, '2019'!$A$2:$A$11, 0), MATCH(Urban_res_calculation!$A$27, '2019'!$B$1:$G$1, 0))</f>
        <v>0</v>
      </c>
      <c r="C37" s="2">
        <f>INDEX('2020'!$B$14:$G$23, MATCH($A37, '2020'!$A$2:$A$11, 0), MATCH(Urban_res_calculation!$A$27, '2020'!$B$1:$G$1, 0))</f>
        <v>0</v>
      </c>
      <c r="D37" s="2">
        <f>INDEX('2021'!$B$14:$G$23, MATCH($A37, '2021'!$A$2:$A$11, 0), MATCH(Urban_res_calculation!$A$27, '2021'!$B$1:$G$1, 0))</f>
        <v>0</v>
      </c>
      <c r="E37" s="2">
        <f>MAX(0, D37*(1+Forecast!$B12))</f>
        <v>0</v>
      </c>
      <c r="F37" s="2">
        <f>MAX(0, E37*(1+Forecast!$B12))</f>
        <v>0</v>
      </c>
      <c r="G37" s="2">
        <f>MAX(0, F37*(1+Forecast!$B12))</f>
        <v>0</v>
      </c>
      <c r="H37" s="2">
        <f>MAX(0, G37*(1+Forecast!$B12))</f>
        <v>0</v>
      </c>
      <c r="I37" s="2">
        <f>MAX(0, H37*(1+Forecast!$B12))</f>
        <v>0</v>
      </c>
      <c r="J37" s="2">
        <f>MAX(0, I37*(1+Forecast!$B12))</f>
        <v>0</v>
      </c>
      <c r="K37" s="2">
        <f>MAX(0, J37*(1+Forecast!$B12))</f>
        <v>0</v>
      </c>
      <c r="L37" s="2">
        <f>MAX(0, K37*(1+Forecast!$B12))</f>
        <v>0</v>
      </c>
      <c r="M37" s="2">
        <f>MAX(0, L37*(1+Forecast!$B12))</f>
        <v>0</v>
      </c>
      <c r="N37" s="2">
        <f>MAX(0, M37*(1+Forecast!$B12))</f>
        <v>0</v>
      </c>
      <c r="O37" s="2">
        <f>MAX(0, N37*(1+Forecast!$B12))</f>
        <v>0</v>
      </c>
      <c r="P37" s="2">
        <f>MAX(0, O37*(1+Forecast!$B12))</f>
        <v>0</v>
      </c>
      <c r="Q37" s="2">
        <f>MAX(0, P37*(1+Forecast!$B12))</f>
        <v>0</v>
      </c>
      <c r="R37" s="2">
        <f>MAX(0, Q37*(1+Forecast!$B12))</f>
        <v>0</v>
      </c>
      <c r="S37" s="2">
        <f>MAX(0, R37*(1+Forecast!$B12))</f>
        <v>0</v>
      </c>
      <c r="T37" s="2">
        <f>MAX(0, S37*(1+Forecast!$B12))</f>
        <v>0</v>
      </c>
      <c r="U37" s="2">
        <f>MAX(0, T37*(1+Forecast!$B12))</f>
        <v>0</v>
      </c>
      <c r="V37" s="2">
        <f>MAX(0, U37*(1+Forecast!$B12))</f>
        <v>0</v>
      </c>
      <c r="W37" s="2">
        <f>MAX(0, V37*(1+Forecast!$B12))</f>
        <v>0</v>
      </c>
      <c r="X37" s="2">
        <f>MAX(0, W37*(1+Forecast!$B12))</f>
        <v>0</v>
      </c>
      <c r="Y37" s="2">
        <f>MAX(0, X37*(1+Forecast!$B12))</f>
        <v>0</v>
      </c>
      <c r="Z37" s="2">
        <f>MAX(0, Y37*(1+Forecast!$B12))</f>
        <v>0</v>
      </c>
      <c r="AA37" s="2">
        <f>MAX(0, Z37*(1+Forecast!$B12))</f>
        <v>0</v>
      </c>
      <c r="AB37" s="2">
        <f>MAX(0, AA37*(1+Forecast!$B12))</f>
        <v>0</v>
      </c>
      <c r="AC37" s="2">
        <f>MAX(0, AB37*(1+Forecast!$B12))</f>
        <v>0</v>
      </c>
      <c r="AD37" s="2">
        <f>MAX(0, AC37*(1+Forecast!$B12))</f>
        <v>0</v>
      </c>
      <c r="AE37" s="2">
        <f>MAX(0, AD37*(1+Forecast!$B12))</f>
        <v>0</v>
      </c>
      <c r="AF37" s="2">
        <f>MAX(0, AE37*(1+Forecast!$B12))</f>
        <v>0</v>
      </c>
      <c r="AG37" s="2">
        <f>MAX(0, AF37*(1+Forecast!$B12))</f>
        <v>0</v>
      </c>
    </row>
    <row r="39" spans="1:33">
      <c r="A39" s="15" t="s">
        <v>40</v>
      </c>
      <c r="B39" s="1">
        <v>2019</v>
      </c>
      <c r="C39" s="1">
        <v>2020</v>
      </c>
      <c r="D39" s="1">
        <v>2021</v>
      </c>
      <c r="E39" s="1">
        <v>2022</v>
      </c>
      <c r="F39" s="1">
        <v>2023</v>
      </c>
      <c r="G39" s="1">
        <v>2024</v>
      </c>
      <c r="H39" s="1">
        <v>2025</v>
      </c>
      <c r="I39" s="1">
        <v>2026</v>
      </c>
      <c r="J39" s="1">
        <v>2027</v>
      </c>
      <c r="K39" s="1">
        <v>2028</v>
      </c>
      <c r="L39" s="1">
        <v>2029</v>
      </c>
      <c r="M39" s="1">
        <v>2030</v>
      </c>
      <c r="N39" s="1">
        <v>2031</v>
      </c>
      <c r="O39" s="1">
        <v>2032</v>
      </c>
      <c r="P39" s="1">
        <v>2033</v>
      </c>
      <c r="Q39" s="1">
        <v>2034</v>
      </c>
      <c r="R39" s="1">
        <v>2035</v>
      </c>
      <c r="S39" s="1">
        <v>2036</v>
      </c>
      <c r="T39" s="1">
        <v>2037</v>
      </c>
      <c r="U39" s="1">
        <v>2038</v>
      </c>
      <c r="V39" s="1">
        <v>2039</v>
      </c>
      <c r="W39" s="1">
        <v>2040</v>
      </c>
      <c r="X39" s="1">
        <v>2041</v>
      </c>
      <c r="Y39" s="1">
        <v>2042</v>
      </c>
      <c r="Z39" s="1">
        <v>2043</v>
      </c>
      <c r="AA39" s="1">
        <v>2044</v>
      </c>
      <c r="AB39" s="1">
        <v>2045</v>
      </c>
      <c r="AC39" s="1">
        <v>2046</v>
      </c>
      <c r="AD39" s="1">
        <v>2047</v>
      </c>
      <c r="AE39" s="1">
        <v>2048</v>
      </c>
      <c r="AF39" s="1">
        <v>2049</v>
      </c>
      <c r="AG39" s="1">
        <v>2050</v>
      </c>
    </row>
    <row r="40" spans="1:33">
      <c r="A40" s="15" t="s">
        <v>2</v>
      </c>
      <c r="B40" s="2">
        <f>INDEX('2019'!$B$14:$G$23, MATCH($A40, '2019'!$A$2:$A$11, 0), MATCH(Urban_res_calculation!$A$39, '2019'!$B$1:$G$1, 0))</f>
        <v>36429085800000</v>
      </c>
      <c r="C40" s="2">
        <f>INDEX('2020'!$B$14:$G$23, MATCH($A40, '2020'!$A$2:$A$11, 0), MATCH(Urban_res_calculation!$A$39, '2020'!$B$1:$G$1, 0))</f>
        <v>38299479349046.078</v>
      </c>
      <c r="D40" s="2">
        <f>INDEX('2021'!$B$14:$G$23, MATCH($A40, '2021'!$A$2:$A$11, 0), MATCH(Urban_res_calculation!$A$39, '2021'!$B$1:$G$1, 0))</f>
        <v>40101333886651.703</v>
      </c>
      <c r="E40" s="2">
        <f>MAX(0, D40*(1+Forecast!$B3))</f>
        <v>40341941889971.617</v>
      </c>
      <c r="F40" s="2">
        <f>MAX(0, E40*(1+Forecast!$B3))</f>
        <v>40583993541311.445</v>
      </c>
      <c r="G40" s="2">
        <f>MAX(0, F40*(1+Forecast!$B3))</f>
        <v>40827497502559.313</v>
      </c>
      <c r="H40" s="2">
        <f>MAX(0, G40*(1+Forecast!$B3))</f>
        <v>41072462487574.672</v>
      </c>
      <c r="I40" s="2">
        <f>MAX(0, H40*(1+Forecast!$B3))</f>
        <v>41318897262500.117</v>
      </c>
      <c r="J40" s="2">
        <f>MAX(0, I40*(1+Forecast!$B3))</f>
        <v>41566810646075.117</v>
      </c>
      <c r="K40" s="2">
        <f>MAX(0, J40*(1+Forecast!$B3))</f>
        <v>41816211509951.57</v>
      </c>
      <c r="L40" s="2">
        <f>MAX(0, K40*(1+Forecast!$B3))</f>
        <v>42067108779011.281</v>
      </c>
      <c r="M40" s="2">
        <f>MAX(0, L40*(1+Forecast!$B3))</f>
        <v>42319511431685.352</v>
      </c>
      <c r="N40" s="2">
        <f>MAX(0, M40*(1+Forecast!$B3))</f>
        <v>42573428500275.461</v>
      </c>
      <c r="O40" s="2">
        <f>MAX(0, N40*(1+Forecast!$B3))</f>
        <v>42828869071277.117</v>
      </c>
      <c r="P40" s="2">
        <f>MAX(0, O40*(1+Forecast!$B3))</f>
        <v>43085842285704.781</v>
      </c>
      <c r="Q40" s="2">
        <f>MAX(0, P40*(1+Forecast!$B3))</f>
        <v>43344357339419.008</v>
      </c>
      <c r="R40" s="2">
        <f>MAX(0, Q40*(1+Forecast!$B3))</f>
        <v>43604423483455.523</v>
      </c>
      <c r="S40" s="2">
        <f>MAX(0, R40*(1+Forecast!$B3))</f>
        <v>43866050024356.258</v>
      </c>
      <c r="T40" s="2">
        <f>MAX(0, S40*(1+Forecast!$B3))</f>
        <v>44129246324502.398</v>
      </c>
      <c r="U40" s="2">
        <f>MAX(0, T40*(1+Forecast!$B3))</f>
        <v>44394021802449.414</v>
      </c>
      <c r="V40" s="2">
        <f>MAX(0, U40*(1+Forecast!$B3))</f>
        <v>44660385933264.109</v>
      </c>
      <c r="W40" s="2">
        <f>MAX(0, V40*(1+Forecast!$B3))</f>
        <v>44928348248863.695</v>
      </c>
      <c r="X40" s="2">
        <f>MAX(0, W40*(1+Forecast!$B3))</f>
        <v>45197918338356.875</v>
      </c>
      <c r="Y40" s="2">
        <f>MAX(0, X40*(1+Forecast!$B3))</f>
        <v>45469105848387.016</v>
      </c>
      <c r="Z40" s="2">
        <f>MAX(0, Y40*(1+Forecast!$B3))</f>
        <v>45741920483477.336</v>
      </c>
      <c r="AA40" s="2">
        <f>MAX(0, Z40*(1+Forecast!$B3))</f>
        <v>46016372006378.203</v>
      </c>
      <c r="AB40" s="2">
        <f>MAX(0, AA40*(1+Forecast!$B3))</f>
        <v>46292470238416.469</v>
      </c>
      <c r="AC40" s="2">
        <f>MAX(0, AB40*(1+Forecast!$B3))</f>
        <v>46570225059846.969</v>
      </c>
      <c r="AD40" s="2">
        <f>MAX(0, AC40*(1+Forecast!$B3))</f>
        <v>46849646410206.055</v>
      </c>
      <c r="AE40" s="2">
        <f>MAX(0, AD40*(1+Forecast!$B3))</f>
        <v>47130744288667.289</v>
      </c>
      <c r="AF40" s="2">
        <f>MAX(0, AE40*(1+Forecast!$B3))</f>
        <v>47413528754399.297</v>
      </c>
      <c r="AG40" s="2">
        <f>MAX(0, AF40*(1+Forecast!$B3))</f>
        <v>47698009926925.695</v>
      </c>
    </row>
    <row r="41" spans="1:33">
      <c r="A41" s="15" t="s">
        <v>3</v>
      </c>
      <c r="B41" s="2">
        <f>INDEX('2019'!$B$14:$G$23, MATCH($A41, '2019'!$A$2:$A$11, 0), MATCH(Urban_res_calculation!$A$39, '2019'!$B$1:$G$1, 0))</f>
        <v>0</v>
      </c>
      <c r="C41" s="2">
        <f>INDEX('2020'!$B$14:$G$23, MATCH($A41, '2020'!$A$2:$A$11, 0), MATCH(Urban_res_calculation!$A$39, '2020'!$B$1:$G$1, 0))</f>
        <v>0</v>
      </c>
      <c r="D41" s="2">
        <f>INDEX('2021'!$B$14:$G$23, MATCH($A41, '2021'!$A$2:$A$11, 0), MATCH(Urban_res_calculation!$A$39, '2021'!$B$1:$G$1, 0))</f>
        <v>0</v>
      </c>
      <c r="E41" s="2">
        <f>MAX(0, D41*(1+Forecast!$B4))</f>
        <v>0</v>
      </c>
      <c r="F41" s="2">
        <f>MAX(0, E41*(1+Forecast!$B4))</f>
        <v>0</v>
      </c>
      <c r="G41" s="2">
        <f>MAX(0, F41*(1+Forecast!$B4))</f>
        <v>0</v>
      </c>
      <c r="H41" s="2">
        <f>MAX(0, G41*(1+Forecast!$B4))</f>
        <v>0</v>
      </c>
      <c r="I41" s="2">
        <f>MAX(0, H41*(1+Forecast!$B4))</f>
        <v>0</v>
      </c>
      <c r="J41" s="2">
        <f>MAX(0, I41*(1+Forecast!$B4))</f>
        <v>0</v>
      </c>
      <c r="K41" s="2">
        <f>MAX(0, J41*(1+Forecast!$B4))</f>
        <v>0</v>
      </c>
      <c r="L41" s="2">
        <f>MAX(0, K41*(1+Forecast!$B4))</f>
        <v>0</v>
      </c>
      <c r="M41" s="2">
        <f>MAX(0, L41*(1+Forecast!$B4))</f>
        <v>0</v>
      </c>
      <c r="N41" s="2">
        <f>MAX(0, M41*(1+Forecast!$B4))</f>
        <v>0</v>
      </c>
      <c r="O41" s="2">
        <f>MAX(0, N41*(1+Forecast!$B4))</f>
        <v>0</v>
      </c>
      <c r="P41" s="2">
        <f>MAX(0, O41*(1+Forecast!$B4))</f>
        <v>0</v>
      </c>
      <c r="Q41" s="2">
        <f>MAX(0, P41*(1+Forecast!$B4))</f>
        <v>0</v>
      </c>
      <c r="R41" s="2">
        <f>MAX(0, Q41*(1+Forecast!$B4))</f>
        <v>0</v>
      </c>
      <c r="S41" s="2">
        <f>MAX(0, R41*(1+Forecast!$B4))</f>
        <v>0</v>
      </c>
      <c r="T41" s="2">
        <f>MAX(0, S41*(1+Forecast!$B4))</f>
        <v>0</v>
      </c>
      <c r="U41" s="2">
        <f>MAX(0, T41*(1+Forecast!$B4))</f>
        <v>0</v>
      </c>
      <c r="V41" s="2">
        <f>MAX(0, U41*(1+Forecast!$B4))</f>
        <v>0</v>
      </c>
      <c r="W41" s="2">
        <f>MAX(0, V41*(1+Forecast!$B4))</f>
        <v>0</v>
      </c>
      <c r="X41" s="2">
        <f>MAX(0, W41*(1+Forecast!$B4))</f>
        <v>0</v>
      </c>
      <c r="Y41" s="2">
        <f>MAX(0, X41*(1+Forecast!$B4))</f>
        <v>0</v>
      </c>
      <c r="Z41" s="2">
        <f>MAX(0, Y41*(1+Forecast!$B4))</f>
        <v>0</v>
      </c>
      <c r="AA41" s="2">
        <f>MAX(0, Z41*(1+Forecast!$B4))</f>
        <v>0</v>
      </c>
      <c r="AB41" s="2">
        <f>MAX(0, AA41*(1+Forecast!$B4))</f>
        <v>0</v>
      </c>
      <c r="AC41" s="2">
        <f>MAX(0, AB41*(1+Forecast!$B4))</f>
        <v>0</v>
      </c>
      <c r="AD41" s="2">
        <f>MAX(0, AC41*(1+Forecast!$B4))</f>
        <v>0</v>
      </c>
      <c r="AE41" s="2">
        <f>MAX(0, AD41*(1+Forecast!$B4))</f>
        <v>0</v>
      </c>
      <c r="AF41" s="2">
        <f>MAX(0, AE41*(1+Forecast!$B4))</f>
        <v>0</v>
      </c>
      <c r="AG41" s="2">
        <f>MAX(0, AF41*(1+Forecast!$B4))</f>
        <v>0</v>
      </c>
    </row>
    <row r="42" spans="1:33">
      <c r="A42" s="15" t="s">
        <v>4</v>
      </c>
      <c r="B42" s="2">
        <f>INDEX('2019'!$B$14:$G$23, MATCH($A42, '2019'!$A$2:$A$11, 0), MATCH(Urban_res_calculation!$A$39, '2019'!$B$1:$G$1, 0))</f>
        <v>0</v>
      </c>
      <c r="C42" s="2">
        <f>INDEX('2020'!$B$14:$G$23, MATCH($A42, '2020'!$A$2:$A$11, 0), MATCH(Urban_res_calculation!$A$39, '2020'!$B$1:$G$1, 0))</f>
        <v>0</v>
      </c>
      <c r="D42" s="2">
        <f>INDEX('2021'!$B$14:$G$23, MATCH($A42, '2021'!$A$2:$A$11, 0), MATCH(Urban_res_calculation!$A$39, '2021'!$B$1:$G$1, 0))</f>
        <v>0</v>
      </c>
      <c r="E42" s="2">
        <f>MAX(0, D42*(1+Forecast!$B5))</f>
        <v>0</v>
      </c>
      <c r="F42" s="2">
        <f>MAX(0, E42*(1+Forecast!$B5))</f>
        <v>0</v>
      </c>
      <c r="G42" s="2">
        <f>MAX(0, F42*(1+Forecast!$B5))</f>
        <v>0</v>
      </c>
      <c r="H42" s="2">
        <f>MAX(0, G42*(1+Forecast!$B5))</f>
        <v>0</v>
      </c>
      <c r="I42" s="2">
        <f>MAX(0, H42*(1+Forecast!$B5))</f>
        <v>0</v>
      </c>
      <c r="J42" s="2">
        <f>MAX(0, I42*(1+Forecast!$B5))</f>
        <v>0</v>
      </c>
      <c r="K42" s="2">
        <f>MAX(0, J42*(1+Forecast!$B5))</f>
        <v>0</v>
      </c>
      <c r="L42" s="2">
        <f>MAX(0, K42*(1+Forecast!$B5))</f>
        <v>0</v>
      </c>
      <c r="M42" s="2">
        <f>MAX(0, L42*(1+Forecast!$B5))</f>
        <v>0</v>
      </c>
      <c r="N42" s="2">
        <f>MAX(0, M42*(1+Forecast!$B5))</f>
        <v>0</v>
      </c>
      <c r="O42" s="2">
        <f>MAX(0, N42*(1+Forecast!$B5))</f>
        <v>0</v>
      </c>
      <c r="P42" s="2">
        <f>MAX(0, O42*(1+Forecast!$B5))</f>
        <v>0</v>
      </c>
      <c r="Q42" s="2">
        <f>MAX(0, P42*(1+Forecast!$B5))</f>
        <v>0</v>
      </c>
      <c r="R42" s="2">
        <f>MAX(0, Q42*(1+Forecast!$B5))</f>
        <v>0</v>
      </c>
      <c r="S42" s="2">
        <f>MAX(0, R42*(1+Forecast!$B5))</f>
        <v>0</v>
      </c>
      <c r="T42" s="2">
        <f>MAX(0, S42*(1+Forecast!$B5))</f>
        <v>0</v>
      </c>
      <c r="U42" s="2">
        <f>MAX(0, T42*(1+Forecast!$B5))</f>
        <v>0</v>
      </c>
      <c r="V42" s="2">
        <f>MAX(0, U42*(1+Forecast!$B5))</f>
        <v>0</v>
      </c>
      <c r="W42" s="2">
        <f>MAX(0, V42*(1+Forecast!$B5))</f>
        <v>0</v>
      </c>
      <c r="X42" s="2">
        <f>MAX(0, W42*(1+Forecast!$B5))</f>
        <v>0</v>
      </c>
      <c r="Y42" s="2">
        <f>MAX(0, X42*(1+Forecast!$B5))</f>
        <v>0</v>
      </c>
      <c r="Z42" s="2">
        <f>MAX(0, Y42*(1+Forecast!$B5))</f>
        <v>0</v>
      </c>
      <c r="AA42" s="2">
        <f>MAX(0, Z42*(1+Forecast!$B5))</f>
        <v>0</v>
      </c>
      <c r="AB42" s="2">
        <f>MAX(0, AA42*(1+Forecast!$B5))</f>
        <v>0</v>
      </c>
      <c r="AC42" s="2">
        <f>MAX(0, AB42*(1+Forecast!$B5))</f>
        <v>0</v>
      </c>
      <c r="AD42" s="2">
        <f>MAX(0, AC42*(1+Forecast!$B5))</f>
        <v>0</v>
      </c>
      <c r="AE42" s="2">
        <f>MAX(0, AD42*(1+Forecast!$B5))</f>
        <v>0</v>
      </c>
      <c r="AF42" s="2">
        <f>MAX(0, AE42*(1+Forecast!$B5))</f>
        <v>0</v>
      </c>
      <c r="AG42" s="2">
        <f>MAX(0, AF42*(1+Forecast!$B5))</f>
        <v>0</v>
      </c>
    </row>
    <row r="43" spans="1:33">
      <c r="A43" s="15" t="s">
        <v>5</v>
      </c>
      <c r="B43" s="2">
        <f>INDEX('2019'!$B$14:$G$23, MATCH($A43, '2019'!$A$2:$A$11, 0), MATCH(Urban_res_calculation!$A$39, '2019'!$B$1:$G$1, 0))</f>
        <v>0</v>
      </c>
      <c r="C43" s="2">
        <f>INDEX('2020'!$B$14:$G$23, MATCH($A43, '2020'!$A$2:$A$11, 0), MATCH(Urban_res_calculation!$A$39, '2020'!$B$1:$G$1, 0))</f>
        <v>0</v>
      </c>
      <c r="D43" s="2">
        <f>INDEX('2021'!$B$14:$G$23, MATCH($A43, '2021'!$A$2:$A$11, 0), MATCH(Urban_res_calculation!$A$39, '2021'!$B$1:$G$1, 0))</f>
        <v>0</v>
      </c>
      <c r="E43" s="2">
        <f>MAX(0, D43*(1+Forecast!$B6))</f>
        <v>0</v>
      </c>
      <c r="F43" s="2">
        <f>MAX(0, E43*(1+Forecast!$B6))</f>
        <v>0</v>
      </c>
      <c r="G43" s="2">
        <f>MAX(0, F43*(1+Forecast!$B6))</f>
        <v>0</v>
      </c>
      <c r="H43" s="2">
        <f>MAX(0, G43*(1+Forecast!$B6))</f>
        <v>0</v>
      </c>
      <c r="I43" s="2">
        <f>MAX(0, H43*(1+Forecast!$B6))</f>
        <v>0</v>
      </c>
      <c r="J43" s="2">
        <f>MAX(0, I43*(1+Forecast!$B6))</f>
        <v>0</v>
      </c>
      <c r="K43" s="2">
        <f>MAX(0, J43*(1+Forecast!$B6))</f>
        <v>0</v>
      </c>
      <c r="L43" s="2">
        <f>MAX(0, K43*(1+Forecast!$B6))</f>
        <v>0</v>
      </c>
      <c r="M43" s="2">
        <f>MAX(0, L43*(1+Forecast!$B6))</f>
        <v>0</v>
      </c>
      <c r="N43" s="2">
        <f>MAX(0, M43*(1+Forecast!$B6))</f>
        <v>0</v>
      </c>
      <c r="O43" s="2">
        <f>MAX(0, N43*(1+Forecast!$B6))</f>
        <v>0</v>
      </c>
      <c r="P43" s="2">
        <f>MAX(0, O43*(1+Forecast!$B6))</f>
        <v>0</v>
      </c>
      <c r="Q43" s="2">
        <f>MAX(0, P43*(1+Forecast!$B6))</f>
        <v>0</v>
      </c>
      <c r="R43" s="2">
        <f>MAX(0, Q43*(1+Forecast!$B6))</f>
        <v>0</v>
      </c>
      <c r="S43" s="2">
        <f>MAX(0, R43*(1+Forecast!$B6))</f>
        <v>0</v>
      </c>
      <c r="T43" s="2">
        <f>MAX(0, S43*(1+Forecast!$B6))</f>
        <v>0</v>
      </c>
      <c r="U43" s="2">
        <f>MAX(0, T43*(1+Forecast!$B6))</f>
        <v>0</v>
      </c>
      <c r="V43" s="2">
        <f>MAX(0, U43*(1+Forecast!$B6))</f>
        <v>0</v>
      </c>
      <c r="W43" s="2">
        <f>MAX(0, V43*(1+Forecast!$B6))</f>
        <v>0</v>
      </c>
      <c r="X43" s="2">
        <f>MAX(0, W43*(1+Forecast!$B6))</f>
        <v>0</v>
      </c>
      <c r="Y43" s="2">
        <f>MAX(0, X43*(1+Forecast!$B6))</f>
        <v>0</v>
      </c>
      <c r="Z43" s="2">
        <f>MAX(0, Y43*(1+Forecast!$B6))</f>
        <v>0</v>
      </c>
      <c r="AA43" s="2">
        <f>MAX(0, Z43*(1+Forecast!$B6))</f>
        <v>0</v>
      </c>
      <c r="AB43" s="2">
        <f>MAX(0, AA43*(1+Forecast!$B6))</f>
        <v>0</v>
      </c>
      <c r="AC43" s="2">
        <f>MAX(0, AB43*(1+Forecast!$B6))</f>
        <v>0</v>
      </c>
      <c r="AD43" s="2">
        <f>MAX(0, AC43*(1+Forecast!$B6))</f>
        <v>0</v>
      </c>
      <c r="AE43" s="2">
        <f>MAX(0, AD43*(1+Forecast!$B6))</f>
        <v>0</v>
      </c>
      <c r="AF43" s="2">
        <f>MAX(0, AE43*(1+Forecast!$B6))</f>
        <v>0</v>
      </c>
      <c r="AG43" s="2">
        <f>MAX(0, AF43*(1+Forecast!$B6))</f>
        <v>0</v>
      </c>
    </row>
    <row r="44" spans="1:33">
      <c r="A44" s="15" t="s">
        <v>7</v>
      </c>
      <c r="B44" s="2">
        <f>INDEX('2019'!$B$14:$G$23, MATCH($A44, '2019'!$A$2:$A$11, 0), MATCH(Urban_res_calculation!$A$39, '2019'!$B$1:$G$1, 0))</f>
        <v>0</v>
      </c>
      <c r="C44" s="2">
        <f>INDEX('2020'!$B$14:$G$23, MATCH($A44, '2020'!$A$2:$A$11, 0), MATCH(Urban_res_calculation!$A$39, '2020'!$B$1:$G$1, 0))</f>
        <v>0</v>
      </c>
      <c r="D44" s="2">
        <f>INDEX('2021'!$B$14:$G$23, MATCH($A44, '2021'!$A$2:$A$11, 0), MATCH(Urban_res_calculation!$A$39, '2021'!$B$1:$G$1, 0))</f>
        <v>0</v>
      </c>
      <c r="E44" s="2">
        <f>MAX(0, D44*(1+Forecast!$B7))</f>
        <v>0</v>
      </c>
      <c r="F44" s="2">
        <f>MAX(0, E44*(1+Forecast!$B7))</f>
        <v>0</v>
      </c>
      <c r="G44" s="2">
        <f>MAX(0, F44*(1+Forecast!$B7))</f>
        <v>0</v>
      </c>
      <c r="H44" s="2">
        <f>MAX(0, G44*(1+Forecast!$B7))</f>
        <v>0</v>
      </c>
      <c r="I44" s="2">
        <f>MAX(0, H44*(1+Forecast!$B7))</f>
        <v>0</v>
      </c>
      <c r="J44" s="2">
        <f>MAX(0, I44*(1+Forecast!$B7))</f>
        <v>0</v>
      </c>
      <c r="K44" s="2">
        <f>MAX(0, J44*(1+Forecast!$B7))</f>
        <v>0</v>
      </c>
      <c r="L44" s="2">
        <f>MAX(0, K44*(1+Forecast!$B7))</f>
        <v>0</v>
      </c>
      <c r="M44" s="2">
        <f>MAX(0, L44*(1+Forecast!$B7))</f>
        <v>0</v>
      </c>
      <c r="N44" s="2">
        <f>MAX(0, M44*(1+Forecast!$B7))</f>
        <v>0</v>
      </c>
      <c r="O44" s="2">
        <f>MAX(0, N44*(1+Forecast!$B7))</f>
        <v>0</v>
      </c>
      <c r="P44" s="2">
        <f>MAX(0, O44*(1+Forecast!$B7))</f>
        <v>0</v>
      </c>
      <c r="Q44" s="2">
        <f>MAX(0, P44*(1+Forecast!$B7))</f>
        <v>0</v>
      </c>
      <c r="R44" s="2">
        <f>MAX(0, Q44*(1+Forecast!$B7))</f>
        <v>0</v>
      </c>
      <c r="S44" s="2">
        <f>MAX(0, R44*(1+Forecast!$B7))</f>
        <v>0</v>
      </c>
      <c r="T44" s="2">
        <f>MAX(0, S44*(1+Forecast!$B7))</f>
        <v>0</v>
      </c>
      <c r="U44" s="2">
        <f>MAX(0, T44*(1+Forecast!$B7))</f>
        <v>0</v>
      </c>
      <c r="V44" s="2">
        <f>MAX(0, U44*(1+Forecast!$B7))</f>
        <v>0</v>
      </c>
      <c r="W44" s="2">
        <f>MAX(0, V44*(1+Forecast!$B7))</f>
        <v>0</v>
      </c>
      <c r="X44" s="2">
        <f>MAX(0, W44*(1+Forecast!$B7))</f>
        <v>0</v>
      </c>
      <c r="Y44" s="2">
        <f>MAX(0, X44*(1+Forecast!$B7))</f>
        <v>0</v>
      </c>
      <c r="Z44" s="2">
        <f>MAX(0, Y44*(1+Forecast!$B7))</f>
        <v>0</v>
      </c>
      <c r="AA44" s="2">
        <f>MAX(0, Z44*(1+Forecast!$B7))</f>
        <v>0</v>
      </c>
      <c r="AB44" s="2">
        <f>MAX(0, AA44*(1+Forecast!$B7))</f>
        <v>0</v>
      </c>
      <c r="AC44" s="2">
        <f>MAX(0, AB44*(1+Forecast!$B7))</f>
        <v>0</v>
      </c>
      <c r="AD44" s="2">
        <f>MAX(0, AC44*(1+Forecast!$B7))</f>
        <v>0</v>
      </c>
      <c r="AE44" s="2">
        <f>MAX(0, AD44*(1+Forecast!$B7))</f>
        <v>0</v>
      </c>
      <c r="AF44" s="2">
        <f>MAX(0, AE44*(1+Forecast!$B7))</f>
        <v>0</v>
      </c>
      <c r="AG44" s="2">
        <f>MAX(0, AF44*(1+Forecast!$B7))</f>
        <v>0</v>
      </c>
    </row>
    <row r="45" spans="1:33">
      <c r="A45" s="15" t="s">
        <v>11</v>
      </c>
      <c r="B45" s="2">
        <f>INDEX('2019'!$B$14:$G$23, MATCH($A45, '2019'!$A$2:$A$11, 0), MATCH(Urban_res_calculation!$A$39, '2019'!$B$1:$G$1, 0))</f>
        <v>0</v>
      </c>
      <c r="C45" s="2">
        <f>INDEX('2020'!$B$14:$G$23, MATCH($A45, '2020'!$A$2:$A$11, 0), MATCH(Urban_res_calculation!$A$39, '2020'!$B$1:$G$1, 0))</f>
        <v>0</v>
      </c>
      <c r="D45" s="2">
        <f>INDEX('2021'!$B$14:$G$23, MATCH($A45, '2021'!$A$2:$A$11, 0), MATCH(Urban_res_calculation!$A$39, '2021'!$B$1:$G$1, 0))</f>
        <v>0</v>
      </c>
      <c r="E45" s="2">
        <f>MAX(0, D45*(1+Forecast!$B8))</f>
        <v>0</v>
      </c>
      <c r="F45" s="2">
        <f>MAX(0, E45*(1+Forecast!$B8))</f>
        <v>0</v>
      </c>
      <c r="G45" s="2">
        <f>MAX(0, F45*(1+Forecast!$B8))</f>
        <v>0</v>
      </c>
      <c r="H45" s="2">
        <f>MAX(0, G45*(1+Forecast!$B8))</f>
        <v>0</v>
      </c>
      <c r="I45" s="2">
        <f>MAX(0, H45*(1+Forecast!$B8))</f>
        <v>0</v>
      </c>
      <c r="J45" s="2">
        <f>MAX(0, I45*(1+Forecast!$B8))</f>
        <v>0</v>
      </c>
      <c r="K45" s="2">
        <f>MAX(0, J45*(1+Forecast!$B8))</f>
        <v>0</v>
      </c>
      <c r="L45" s="2">
        <f>MAX(0, K45*(1+Forecast!$B8))</f>
        <v>0</v>
      </c>
      <c r="M45" s="2">
        <f>MAX(0, L45*(1+Forecast!$B8))</f>
        <v>0</v>
      </c>
      <c r="N45" s="2">
        <f>MAX(0, M45*(1+Forecast!$B8))</f>
        <v>0</v>
      </c>
      <c r="O45" s="2">
        <f>MAX(0, N45*(1+Forecast!$B8))</f>
        <v>0</v>
      </c>
      <c r="P45" s="2">
        <f>MAX(0, O45*(1+Forecast!$B8))</f>
        <v>0</v>
      </c>
      <c r="Q45" s="2">
        <f>MAX(0, P45*(1+Forecast!$B8))</f>
        <v>0</v>
      </c>
      <c r="R45" s="2">
        <f>MAX(0, Q45*(1+Forecast!$B8))</f>
        <v>0</v>
      </c>
      <c r="S45" s="2">
        <f>MAX(0, R45*(1+Forecast!$B8))</f>
        <v>0</v>
      </c>
      <c r="T45" s="2">
        <f>MAX(0, S45*(1+Forecast!$B8))</f>
        <v>0</v>
      </c>
      <c r="U45" s="2">
        <f>MAX(0, T45*(1+Forecast!$B8))</f>
        <v>0</v>
      </c>
      <c r="V45" s="2">
        <f>MAX(0, U45*(1+Forecast!$B8))</f>
        <v>0</v>
      </c>
      <c r="W45" s="2">
        <f>MAX(0, V45*(1+Forecast!$B8))</f>
        <v>0</v>
      </c>
      <c r="X45" s="2">
        <f>MAX(0, W45*(1+Forecast!$B8))</f>
        <v>0</v>
      </c>
      <c r="Y45" s="2">
        <f>MAX(0, X45*(1+Forecast!$B8))</f>
        <v>0</v>
      </c>
      <c r="Z45" s="2">
        <f>MAX(0, Y45*(1+Forecast!$B8))</f>
        <v>0</v>
      </c>
      <c r="AA45" s="2">
        <f>MAX(0, Z45*(1+Forecast!$B8))</f>
        <v>0</v>
      </c>
      <c r="AB45" s="2">
        <f>MAX(0, AA45*(1+Forecast!$B8))</f>
        <v>0</v>
      </c>
      <c r="AC45" s="2">
        <f>MAX(0, AB45*(1+Forecast!$B8))</f>
        <v>0</v>
      </c>
      <c r="AD45" s="2">
        <f>MAX(0, AC45*(1+Forecast!$B8))</f>
        <v>0</v>
      </c>
      <c r="AE45" s="2">
        <f>MAX(0, AD45*(1+Forecast!$B8))</f>
        <v>0</v>
      </c>
      <c r="AF45" s="2">
        <f>MAX(0, AE45*(1+Forecast!$B8))</f>
        <v>0</v>
      </c>
      <c r="AG45" s="2">
        <f>MAX(0, AF45*(1+Forecast!$B8))</f>
        <v>0</v>
      </c>
    </row>
    <row r="46" spans="1:33">
      <c r="A46" s="15" t="s">
        <v>13</v>
      </c>
      <c r="B46" s="2">
        <f>INDEX('2019'!$B$14:$G$23, MATCH($A46, '2019'!$A$2:$A$11, 0), MATCH(Urban_res_calculation!$A$39, '2019'!$B$1:$G$1, 0))</f>
        <v>0</v>
      </c>
      <c r="C46" s="2">
        <f>INDEX('2020'!$B$14:$G$23, MATCH($A46, '2020'!$A$2:$A$11, 0), MATCH(Urban_res_calculation!$A$39, '2020'!$B$1:$G$1, 0))</f>
        <v>0</v>
      </c>
      <c r="D46" s="2">
        <f>INDEX('2021'!$B$14:$G$23, MATCH($A46, '2021'!$A$2:$A$11, 0), MATCH(Urban_res_calculation!$A$39, '2021'!$B$1:$G$1, 0))</f>
        <v>0</v>
      </c>
      <c r="E46" s="2">
        <f>MAX(0, D46*(1+Forecast!$B9))</f>
        <v>0</v>
      </c>
      <c r="F46" s="2">
        <f>MAX(0, E46*(1+Forecast!$B9))</f>
        <v>0</v>
      </c>
      <c r="G46" s="2">
        <f>MAX(0, F46*(1+Forecast!$B9))</f>
        <v>0</v>
      </c>
      <c r="H46" s="2">
        <f>MAX(0, G46*(1+Forecast!$B9))</f>
        <v>0</v>
      </c>
      <c r="I46" s="2">
        <f>MAX(0, H46*(1+Forecast!$B9))</f>
        <v>0</v>
      </c>
      <c r="J46" s="2">
        <f>MAX(0, I46*(1+Forecast!$B9))</f>
        <v>0</v>
      </c>
      <c r="K46" s="2">
        <f>MAX(0, J46*(1+Forecast!$B9))</f>
        <v>0</v>
      </c>
      <c r="L46" s="2">
        <f>MAX(0, K46*(1+Forecast!$B9))</f>
        <v>0</v>
      </c>
      <c r="M46" s="2">
        <f>MAX(0, L46*(1+Forecast!$B9))</f>
        <v>0</v>
      </c>
      <c r="N46" s="2">
        <f>MAX(0, M46*(1+Forecast!$B9))</f>
        <v>0</v>
      </c>
      <c r="O46" s="2">
        <f>MAX(0, N46*(1+Forecast!$B9))</f>
        <v>0</v>
      </c>
      <c r="P46" s="2">
        <f>MAX(0, O46*(1+Forecast!$B9))</f>
        <v>0</v>
      </c>
      <c r="Q46" s="2">
        <f>MAX(0, P46*(1+Forecast!$B9))</f>
        <v>0</v>
      </c>
      <c r="R46" s="2">
        <f>MAX(0, Q46*(1+Forecast!$B9))</f>
        <v>0</v>
      </c>
      <c r="S46" s="2">
        <f>MAX(0, R46*(1+Forecast!$B9))</f>
        <v>0</v>
      </c>
      <c r="T46" s="2">
        <f>MAX(0, S46*(1+Forecast!$B9))</f>
        <v>0</v>
      </c>
      <c r="U46" s="2">
        <f>MAX(0, T46*(1+Forecast!$B9))</f>
        <v>0</v>
      </c>
      <c r="V46" s="2">
        <f>MAX(0, U46*(1+Forecast!$B9))</f>
        <v>0</v>
      </c>
      <c r="W46" s="2">
        <f>MAX(0, V46*(1+Forecast!$B9))</f>
        <v>0</v>
      </c>
      <c r="X46" s="2">
        <f>MAX(0, W46*(1+Forecast!$B9))</f>
        <v>0</v>
      </c>
      <c r="Y46" s="2">
        <f>MAX(0, X46*(1+Forecast!$B9))</f>
        <v>0</v>
      </c>
      <c r="Z46" s="2">
        <f>MAX(0, Y46*(1+Forecast!$B9))</f>
        <v>0</v>
      </c>
      <c r="AA46" s="2">
        <f>MAX(0, Z46*(1+Forecast!$B9))</f>
        <v>0</v>
      </c>
      <c r="AB46" s="2">
        <f>MAX(0, AA46*(1+Forecast!$B9))</f>
        <v>0</v>
      </c>
      <c r="AC46" s="2">
        <f>MAX(0, AB46*(1+Forecast!$B9))</f>
        <v>0</v>
      </c>
      <c r="AD46" s="2">
        <f>MAX(0, AC46*(1+Forecast!$B9))</f>
        <v>0</v>
      </c>
      <c r="AE46" s="2">
        <f>MAX(0, AD46*(1+Forecast!$B9))</f>
        <v>0</v>
      </c>
      <c r="AF46" s="2">
        <f>MAX(0, AE46*(1+Forecast!$B9))</f>
        <v>0</v>
      </c>
      <c r="AG46" s="2">
        <f>MAX(0, AF46*(1+Forecast!$B9))</f>
        <v>0</v>
      </c>
    </row>
    <row r="47" spans="1:33">
      <c r="A47" s="15" t="s">
        <v>14</v>
      </c>
      <c r="B47" s="2">
        <f>INDEX('2019'!$B$14:$G$23, MATCH($A47, '2019'!$A$2:$A$11, 0), MATCH(Urban_res_calculation!$A$39, '2019'!$B$1:$G$1, 0))</f>
        <v>0</v>
      </c>
      <c r="C47" s="2">
        <f>INDEX('2020'!$B$14:$G$23, MATCH($A47, '2020'!$A$2:$A$11, 0), MATCH(Urban_res_calculation!$A$39, '2020'!$B$1:$G$1, 0))</f>
        <v>0</v>
      </c>
      <c r="D47" s="2">
        <f>INDEX('2021'!$B$14:$G$23, MATCH($A47, '2021'!$A$2:$A$11, 0), MATCH(Urban_res_calculation!$A$39, '2021'!$B$1:$G$1, 0))</f>
        <v>0</v>
      </c>
      <c r="E47" s="2">
        <f>MAX(0, D47*(1+Forecast!$B10))</f>
        <v>0</v>
      </c>
      <c r="F47" s="2">
        <f>MAX(0, E47*(1+Forecast!$B10))</f>
        <v>0</v>
      </c>
      <c r="G47" s="2">
        <f>MAX(0, F47*(1+Forecast!$B10))</f>
        <v>0</v>
      </c>
      <c r="H47" s="2">
        <f>MAX(0, G47*(1+Forecast!$B10))</f>
        <v>0</v>
      </c>
      <c r="I47" s="2">
        <f>MAX(0, H47*(1+Forecast!$B10))</f>
        <v>0</v>
      </c>
      <c r="J47" s="2">
        <f>MAX(0, I47*(1+Forecast!$B10))</f>
        <v>0</v>
      </c>
      <c r="K47" s="2">
        <f>MAX(0, J47*(1+Forecast!$B10))</f>
        <v>0</v>
      </c>
      <c r="L47" s="2">
        <f>MAX(0, K47*(1+Forecast!$B10))</f>
        <v>0</v>
      </c>
      <c r="M47" s="2">
        <f>MAX(0, L47*(1+Forecast!$B10))</f>
        <v>0</v>
      </c>
      <c r="N47" s="2">
        <f>MAX(0, M47*(1+Forecast!$B10))</f>
        <v>0</v>
      </c>
      <c r="O47" s="2">
        <f>MAX(0, N47*(1+Forecast!$B10))</f>
        <v>0</v>
      </c>
      <c r="P47" s="2">
        <f>MAX(0, O47*(1+Forecast!$B10))</f>
        <v>0</v>
      </c>
      <c r="Q47" s="2">
        <f>MAX(0, P47*(1+Forecast!$B10))</f>
        <v>0</v>
      </c>
      <c r="R47" s="2">
        <f>MAX(0, Q47*(1+Forecast!$B10))</f>
        <v>0</v>
      </c>
      <c r="S47" s="2">
        <f>MAX(0, R47*(1+Forecast!$B10))</f>
        <v>0</v>
      </c>
      <c r="T47" s="2">
        <f>MAX(0, S47*(1+Forecast!$B10))</f>
        <v>0</v>
      </c>
      <c r="U47" s="2">
        <f>MAX(0, T47*(1+Forecast!$B10))</f>
        <v>0</v>
      </c>
      <c r="V47" s="2">
        <f>MAX(0, U47*(1+Forecast!$B10))</f>
        <v>0</v>
      </c>
      <c r="W47" s="2">
        <f>MAX(0, V47*(1+Forecast!$B10))</f>
        <v>0</v>
      </c>
      <c r="X47" s="2">
        <f>MAX(0, W47*(1+Forecast!$B10))</f>
        <v>0</v>
      </c>
      <c r="Y47" s="2">
        <f>MAX(0, X47*(1+Forecast!$B10))</f>
        <v>0</v>
      </c>
      <c r="Z47" s="2">
        <f>MAX(0, Y47*(1+Forecast!$B10))</f>
        <v>0</v>
      </c>
      <c r="AA47" s="2">
        <f>MAX(0, Z47*(1+Forecast!$B10))</f>
        <v>0</v>
      </c>
      <c r="AB47" s="2">
        <f>MAX(0, AA47*(1+Forecast!$B10))</f>
        <v>0</v>
      </c>
      <c r="AC47" s="2">
        <f>MAX(0, AB47*(1+Forecast!$B10))</f>
        <v>0</v>
      </c>
      <c r="AD47" s="2">
        <f>MAX(0, AC47*(1+Forecast!$B10))</f>
        <v>0</v>
      </c>
      <c r="AE47" s="2">
        <f>MAX(0, AD47*(1+Forecast!$B10))</f>
        <v>0</v>
      </c>
      <c r="AF47" s="2">
        <f>MAX(0, AE47*(1+Forecast!$B10))</f>
        <v>0</v>
      </c>
      <c r="AG47" s="2">
        <f>MAX(0, AF47*(1+Forecast!$B10))</f>
        <v>0</v>
      </c>
    </row>
    <row r="48" spans="1:33">
      <c r="A48" s="15" t="s">
        <v>15</v>
      </c>
      <c r="B48" s="2">
        <f>INDEX('2019'!$B$14:$G$23, MATCH($A48, '2019'!$A$2:$A$11, 0), MATCH(Urban_res_calculation!$A$39, '2019'!$B$1:$G$1, 0))</f>
        <v>0</v>
      </c>
      <c r="C48" s="2">
        <f>INDEX('2020'!$B$14:$G$23, MATCH($A48, '2020'!$A$2:$A$11, 0), MATCH(Urban_res_calculation!$A$39, '2020'!$B$1:$G$1, 0))</f>
        <v>0</v>
      </c>
      <c r="D48" s="2">
        <f>INDEX('2021'!$B$14:$G$23, MATCH($A48, '2021'!$A$2:$A$11, 0), MATCH(Urban_res_calculation!$A$39, '2021'!$B$1:$G$1, 0))</f>
        <v>0</v>
      </c>
      <c r="E48" s="2">
        <f>MAX(0, D48*(1+Forecast!$B11))</f>
        <v>0</v>
      </c>
      <c r="F48" s="2">
        <f>MAX(0, E48*(1+Forecast!$B11))</f>
        <v>0</v>
      </c>
      <c r="G48" s="2">
        <f>MAX(0, F48*(1+Forecast!$B11))</f>
        <v>0</v>
      </c>
      <c r="H48" s="2">
        <f>MAX(0, G48*(1+Forecast!$B11))</f>
        <v>0</v>
      </c>
      <c r="I48" s="2">
        <f>MAX(0, H48*(1+Forecast!$B11))</f>
        <v>0</v>
      </c>
      <c r="J48" s="2">
        <f>MAX(0, I48*(1+Forecast!$B11))</f>
        <v>0</v>
      </c>
      <c r="K48" s="2">
        <f>MAX(0, J48*(1+Forecast!$B11))</f>
        <v>0</v>
      </c>
      <c r="L48" s="2">
        <f>MAX(0, K48*(1+Forecast!$B11))</f>
        <v>0</v>
      </c>
      <c r="M48" s="2">
        <f>MAX(0, L48*(1+Forecast!$B11))</f>
        <v>0</v>
      </c>
      <c r="N48" s="2">
        <f>MAX(0, M48*(1+Forecast!$B11))</f>
        <v>0</v>
      </c>
      <c r="O48" s="2">
        <f>MAX(0, N48*(1+Forecast!$B11))</f>
        <v>0</v>
      </c>
      <c r="P48" s="2">
        <f>MAX(0, O48*(1+Forecast!$B11))</f>
        <v>0</v>
      </c>
      <c r="Q48" s="2">
        <f>MAX(0, P48*(1+Forecast!$B11))</f>
        <v>0</v>
      </c>
      <c r="R48" s="2">
        <f>MAX(0, Q48*(1+Forecast!$B11))</f>
        <v>0</v>
      </c>
      <c r="S48" s="2">
        <f>MAX(0, R48*(1+Forecast!$B11))</f>
        <v>0</v>
      </c>
      <c r="T48" s="2">
        <f>MAX(0, S48*(1+Forecast!$B11))</f>
        <v>0</v>
      </c>
      <c r="U48" s="2">
        <f>MAX(0, T48*(1+Forecast!$B11))</f>
        <v>0</v>
      </c>
      <c r="V48" s="2">
        <f>MAX(0, U48*(1+Forecast!$B11))</f>
        <v>0</v>
      </c>
      <c r="W48" s="2">
        <f>MAX(0, V48*(1+Forecast!$B11))</f>
        <v>0</v>
      </c>
      <c r="X48" s="2">
        <f>MAX(0, W48*(1+Forecast!$B11))</f>
        <v>0</v>
      </c>
      <c r="Y48" s="2">
        <f>MAX(0, X48*(1+Forecast!$B11))</f>
        <v>0</v>
      </c>
      <c r="Z48" s="2">
        <f>MAX(0, Y48*(1+Forecast!$B11))</f>
        <v>0</v>
      </c>
      <c r="AA48" s="2">
        <f>MAX(0, Z48*(1+Forecast!$B11))</f>
        <v>0</v>
      </c>
      <c r="AB48" s="2">
        <f>MAX(0, AA48*(1+Forecast!$B11))</f>
        <v>0</v>
      </c>
      <c r="AC48" s="2">
        <f>MAX(0, AB48*(1+Forecast!$B11))</f>
        <v>0</v>
      </c>
      <c r="AD48" s="2">
        <f>MAX(0, AC48*(1+Forecast!$B11))</f>
        <v>0</v>
      </c>
      <c r="AE48" s="2">
        <f>MAX(0, AD48*(1+Forecast!$B11))</f>
        <v>0</v>
      </c>
      <c r="AF48" s="2">
        <f>MAX(0, AE48*(1+Forecast!$B11))</f>
        <v>0</v>
      </c>
      <c r="AG48" s="2">
        <f>MAX(0, AF48*(1+Forecast!$B11))</f>
        <v>0</v>
      </c>
    </row>
    <row r="49" spans="1:33">
      <c r="A49" s="15" t="s">
        <v>16</v>
      </c>
      <c r="B49" s="2">
        <f>INDEX('2019'!$B$14:$G$23, MATCH($A49, '2019'!$A$2:$A$11, 0), MATCH(Urban_res_calculation!$A$39, '2019'!$B$1:$G$1, 0))</f>
        <v>0</v>
      </c>
      <c r="C49" s="2">
        <f>INDEX('2020'!$B$14:$G$23, MATCH($A49, '2020'!$A$2:$A$11, 0), MATCH(Urban_res_calculation!$A$39, '2020'!$B$1:$G$1, 0))</f>
        <v>0</v>
      </c>
      <c r="D49" s="2">
        <f>INDEX('2021'!$B$14:$G$23, MATCH($A49, '2021'!$A$2:$A$11, 0), MATCH(Urban_res_calculation!$A$39, '2021'!$B$1:$G$1, 0))</f>
        <v>0</v>
      </c>
      <c r="E49" s="2">
        <f>MAX(0, D49*(1+Forecast!$B12))</f>
        <v>0</v>
      </c>
      <c r="F49" s="2">
        <f>MAX(0, E49*(1+Forecast!$B12))</f>
        <v>0</v>
      </c>
      <c r="G49" s="2">
        <f>MAX(0, F49*(1+Forecast!$B12))</f>
        <v>0</v>
      </c>
      <c r="H49" s="2">
        <f>MAX(0, G49*(1+Forecast!$B12))</f>
        <v>0</v>
      </c>
      <c r="I49" s="2">
        <f>MAX(0, H49*(1+Forecast!$B12))</f>
        <v>0</v>
      </c>
      <c r="J49" s="2">
        <f>MAX(0, I49*(1+Forecast!$B12))</f>
        <v>0</v>
      </c>
      <c r="K49" s="2">
        <f>MAX(0, J49*(1+Forecast!$B12))</f>
        <v>0</v>
      </c>
      <c r="L49" s="2">
        <f>MAX(0, K49*(1+Forecast!$B12))</f>
        <v>0</v>
      </c>
      <c r="M49" s="2">
        <f>MAX(0, L49*(1+Forecast!$B12))</f>
        <v>0</v>
      </c>
      <c r="N49" s="2">
        <f>MAX(0, M49*(1+Forecast!$B12))</f>
        <v>0</v>
      </c>
      <c r="O49" s="2">
        <f>MAX(0, N49*(1+Forecast!$B12))</f>
        <v>0</v>
      </c>
      <c r="P49" s="2">
        <f>MAX(0, O49*(1+Forecast!$B12))</f>
        <v>0</v>
      </c>
      <c r="Q49" s="2">
        <f>MAX(0, P49*(1+Forecast!$B12))</f>
        <v>0</v>
      </c>
      <c r="R49" s="2">
        <f>MAX(0, Q49*(1+Forecast!$B12))</f>
        <v>0</v>
      </c>
      <c r="S49" s="2">
        <f>MAX(0, R49*(1+Forecast!$B12))</f>
        <v>0</v>
      </c>
      <c r="T49" s="2">
        <f>MAX(0, S49*(1+Forecast!$B12))</f>
        <v>0</v>
      </c>
      <c r="U49" s="2">
        <f>MAX(0, T49*(1+Forecast!$B12))</f>
        <v>0</v>
      </c>
      <c r="V49" s="2">
        <f>MAX(0, U49*(1+Forecast!$B12))</f>
        <v>0</v>
      </c>
      <c r="W49" s="2">
        <f>MAX(0, V49*(1+Forecast!$B12))</f>
        <v>0</v>
      </c>
      <c r="X49" s="2">
        <f>MAX(0, W49*(1+Forecast!$B12))</f>
        <v>0</v>
      </c>
      <c r="Y49" s="2">
        <f>MAX(0, X49*(1+Forecast!$B12))</f>
        <v>0</v>
      </c>
      <c r="Z49" s="2">
        <f>MAX(0, Y49*(1+Forecast!$B12))</f>
        <v>0</v>
      </c>
      <c r="AA49" s="2">
        <f>MAX(0, Z49*(1+Forecast!$B12))</f>
        <v>0</v>
      </c>
      <c r="AB49" s="2">
        <f>MAX(0, AA49*(1+Forecast!$B12))</f>
        <v>0</v>
      </c>
      <c r="AC49" s="2">
        <f>MAX(0, AB49*(1+Forecast!$B12))</f>
        <v>0</v>
      </c>
      <c r="AD49" s="2">
        <f>MAX(0, AC49*(1+Forecast!$B12))</f>
        <v>0</v>
      </c>
      <c r="AE49" s="2">
        <f>MAX(0, AD49*(1+Forecast!$B12))</f>
        <v>0</v>
      </c>
      <c r="AF49" s="2">
        <f>MAX(0, AE49*(1+Forecast!$B12))</f>
        <v>0</v>
      </c>
      <c r="AG49" s="2">
        <f>MAX(0, AF49*(1+Forecast!$B12))</f>
        <v>0</v>
      </c>
    </row>
    <row r="51" spans="1:33">
      <c r="A51" s="15" t="s">
        <v>46</v>
      </c>
      <c r="B51" s="1">
        <v>2019</v>
      </c>
      <c r="C51" s="1">
        <v>2020</v>
      </c>
      <c r="D51" s="1">
        <v>2021</v>
      </c>
      <c r="E51" s="1">
        <v>2022</v>
      </c>
      <c r="F51" s="1">
        <v>2023</v>
      </c>
      <c r="G51" s="1">
        <v>2024</v>
      </c>
      <c r="H51" s="1">
        <v>2025</v>
      </c>
      <c r="I51" s="1">
        <v>2026</v>
      </c>
      <c r="J51" s="1">
        <v>2027</v>
      </c>
      <c r="K51" s="1">
        <v>2028</v>
      </c>
      <c r="L51" s="1">
        <v>2029</v>
      </c>
      <c r="M51" s="1">
        <v>2030</v>
      </c>
      <c r="N51" s="1">
        <v>2031</v>
      </c>
      <c r="O51" s="1">
        <v>2032</v>
      </c>
      <c r="P51" s="1">
        <v>2033</v>
      </c>
      <c r="Q51" s="1">
        <v>2034</v>
      </c>
      <c r="R51" s="1">
        <v>2035</v>
      </c>
      <c r="S51" s="1">
        <v>2036</v>
      </c>
      <c r="T51" s="1">
        <v>2037</v>
      </c>
      <c r="U51" s="1">
        <v>2038</v>
      </c>
      <c r="V51" s="1">
        <v>2039</v>
      </c>
      <c r="W51" s="1">
        <v>2040</v>
      </c>
      <c r="X51" s="1">
        <v>2041</v>
      </c>
      <c r="Y51" s="1">
        <v>2042</v>
      </c>
      <c r="Z51" s="1">
        <v>2043</v>
      </c>
      <c r="AA51" s="1">
        <v>2044</v>
      </c>
      <c r="AB51" s="1">
        <v>2045</v>
      </c>
      <c r="AC51" s="1">
        <v>2046</v>
      </c>
      <c r="AD51" s="1">
        <v>2047</v>
      </c>
      <c r="AE51" s="1">
        <v>2048</v>
      </c>
      <c r="AF51" s="1">
        <v>2049</v>
      </c>
      <c r="AG51" s="1">
        <v>2050</v>
      </c>
    </row>
    <row r="52" spans="1:33">
      <c r="A52" s="15" t="s">
        <v>2</v>
      </c>
      <c r="B52" s="2">
        <f>INDEX('2019'!$B$14:$G$23, MATCH($A52, '2019'!$A$2:$A$11, 0), MATCH(Urban_res_calculation!$A$51, '2019'!$B$1:$G$1, 0))</f>
        <v>83537070002712.109</v>
      </c>
      <c r="C52" s="2">
        <f>INDEX('2020'!$B$14:$G$23, MATCH($A52, '2020'!$A$2:$A$11, 0), MATCH(Urban_res_calculation!$A$51, '2020'!$B$1:$G$1, 0))</f>
        <v>87826148177692.922</v>
      </c>
      <c r="D52" s="2">
        <f>INDEX('2021'!$B$14:$G$23, MATCH($A52, '2021'!$A$2:$A$11, 0), MATCH(Urban_res_calculation!$A$51, '2021'!$B$1:$G$1, 0))</f>
        <v>91958056660630.078</v>
      </c>
      <c r="E52" s="2">
        <f>MAX(0, D52*(1+Forecast!$B3))</f>
        <v>92509805000593.859</v>
      </c>
      <c r="F52" s="2">
        <f>MAX(0, E52*(1+Forecast!$B3))</f>
        <v>93064863830597.422</v>
      </c>
      <c r="G52" s="2">
        <f>MAX(0, F52*(1+Forecast!$B3))</f>
        <v>93623253013581</v>
      </c>
      <c r="H52" s="2">
        <f>MAX(0, G52*(1+Forecast!$B3))</f>
        <v>94184992531662.484</v>
      </c>
      <c r="I52" s="2">
        <f>MAX(0, H52*(1+Forecast!$B3))</f>
        <v>94750102486852.453</v>
      </c>
      <c r="J52" s="2">
        <f>MAX(0, I52*(1+Forecast!$B3))</f>
        <v>95318603101773.563</v>
      </c>
      <c r="K52" s="2">
        <f>MAX(0, J52*(1+Forecast!$B3))</f>
        <v>95890514720384.203</v>
      </c>
      <c r="L52" s="2">
        <f>MAX(0, K52*(1+Forecast!$B3))</f>
        <v>96465857808706.516</v>
      </c>
      <c r="M52" s="2">
        <f>MAX(0, L52*(1+Forecast!$B3))</f>
        <v>97044652955558.75</v>
      </c>
      <c r="N52" s="2">
        <f>MAX(0, M52*(1+Forecast!$B3))</f>
        <v>97626920873292.109</v>
      </c>
      <c r="O52" s="2">
        <f>MAX(0, N52*(1+Forecast!$B3))</f>
        <v>98212682398531.859</v>
      </c>
      <c r="P52" s="2">
        <f>MAX(0, O52*(1+Forecast!$B3))</f>
        <v>98801958492923.047</v>
      </c>
      <c r="Q52" s="2">
        <f>MAX(0, P52*(1+Forecast!$B3))</f>
        <v>99394770243880.578</v>
      </c>
      <c r="R52" s="2">
        <f>MAX(0, Q52*(1+Forecast!$B3))</f>
        <v>99991138865343.859</v>
      </c>
      <c r="S52" s="2">
        <f>MAX(0, R52*(1+Forecast!$B3))</f>
        <v>100591085698535.92</v>
      </c>
      <c r="T52" s="2">
        <f>MAX(0, S52*(1+Forecast!$B3))</f>
        <v>101194632212727.14</v>
      </c>
      <c r="U52" s="2">
        <f>MAX(0, T52*(1+Forecast!$B3))</f>
        <v>101801800006003.5</v>
      </c>
      <c r="V52" s="2">
        <f>MAX(0, U52*(1+Forecast!$B3))</f>
        <v>102412610806039.52</v>
      </c>
      <c r="W52" s="2">
        <f>MAX(0, V52*(1+Forecast!$B3))</f>
        <v>103027086470875.75</v>
      </c>
      <c r="X52" s="2">
        <f>MAX(0, W52*(1+Forecast!$B3))</f>
        <v>103645248989701</v>
      </c>
      <c r="Y52" s="2">
        <f>MAX(0, X52*(1+Forecast!$B3))</f>
        <v>104267120483639.2</v>
      </c>
      <c r="Z52" s="2">
        <f>MAX(0, Y52*(1+Forecast!$B3))</f>
        <v>104892723206541.03</v>
      </c>
      <c r="AA52" s="2">
        <f>MAX(0, Z52*(1+Forecast!$B3))</f>
        <v>105522079545780.28</v>
      </c>
      <c r="AB52" s="2">
        <f>MAX(0, AA52*(1+Forecast!$B3))</f>
        <v>106155212023054.97</v>
      </c>
      <c r="AC52" s="2">
        <f>MAX(0, AB52*(1+Forecast!$B3))</f>
        <v>106792143295193.3</v>
      </c>
      <c r="AD52" s="2">
        <f>MAX(0, AC52*(1+Forecast!$B3))</f>
        <v>107432896154964.45</v>
      </c>
      <c r="AE52" s="2">
        <f>MAX(0, AD52*(1+Forecast!$B3))</f>
        <v>108077493531894.23</v>
      </c>
      <c r="AF52" s="2">
        <f>MAX(0, AE52*(1+Forecast!$B3))</f>
        <v>108725958493085.59</v>
      </c>
      <c r="AG52" s="2">
        <f>MAX(0, AF52*(1+Forecast!$B3))</f>
        <v>109378314244044.11</v>
      </c>
    </row>
    <row r="53" spans="1:33">
      <c r="A53" s="15" t="s">
        <v>3</v>
      </c>
      <c r="B53" s="2">
        <f>INDEX('2019'!$B$14:$G$23, MATCH($A53, '2019'!$A$2:$A$11, 0), MATCH(Urban_res_calculation!$A$51, '2019'!$B$1:$G$1, 0))</f>
        <v>0</v>
      </c>
      <c r="C53" s="2">
        <f>INDEX('2020'!$B$14:$G$23, MATCH($A53, '2020'!$A$2:$A$11, 0), MATCH(Urban_res_calculation!$A$51, '2020'!$B$1:$G$1, 0))</f>
        <v>0</v>
      </c>
      <c r="D53" s="2">
        <f>INDEX('2021'!$B$14:$G$23, MATCH($A53, '2021'!$A$2:$A$11, 0), MATCH(Urban_res_calculation!$A$51, '2021'!$B$1:$G$1, 0))</f>
        <v>0</v>
      </c>
      <c r="E53" s="2">
        <f>MAX(0, D53*(1+Forecast!$B4))</f>
        <v>0</v>
      </c>
      <c r="F53" s="2">
        <f>MAX(0, E53*(1+Forecast!$B4))</f>
        <v>0</v>
      </c>
      <c r="G53" s="2">
        <f>MAX(0, F53*(1+Forecast!$B4))</f>
        <v>0</v>
      </c>
      <c r="H53" s="2">
        <f>MAX(0, G53*(1+Forecast!$B4))</f>
        <v>0</v>
      </c>
      <c r="I53" s="2">
        <f>MAX(0, H53*(1+Forecast!$B4))</f>
        <v>0</v>
      </c>
      <c r="J53" s="2">
        <f>MAX(0, I53*(1+Forecast!$B4))</f>
        <v>0</v>
      </c>
      <c r="K53" s="2">
        <f>MAX(0, J53*(1+Forecast!$B4))</f>
        <v>0</v>
      </c>
      <c r="L53" s="2">
        <f>MAX(0, K53*(1+Forecast!$B4))</f>
        <v>0</v>
      </c>
      <c r="M53" s="2">
        <f>MAX(0, L53*(1+Forecast!$B4))</f>
        <v>0</v>
      </c>
      <c r="N53" s="2">
        <f>MAX(0, M53*(1+Forecast!$B4))</f>
        <v>0</v>
      </c>
      <c r="O53" s="2">
        <f>MAX(0, N53*(1+Forecast!$B4))</f>
        <v>0</v>
      </c>
      <c r="P53" s="2">
        <f>MAX(0, O53*(1+Forecast!$B4))</f>
        <v>0</v>
      </c>
      <c r="Q53" s="2">
        <f>MAX(0, P53*(1+Forecast!$B4))</f>
        <v>0</v>
      </c>
      <c r="R53" s="2">
        <f>MAX(0, Q53*(1+Forecast!$B4))</f>
        <v>0</v>
      </c>
      <c r="S53" s="2">
        <f>MAX(0, R53*(1+Forecast!$B4))</f>
        <v>0</v>
      </c>
      <c r="T53" s="2">
        <f>MAX(0, S53*(1+Forecast!$B4))</f>
        <v>0</v>
      </c>
      <c r="U53" s="2">
        <f>MAX(0, T53*(1+Forecast!$B4))</f>
        <v>0</v>
      </c>
      <c r="V53" s="2">
        <f>MAX(0, U53*(1+Forecast!$B4))</f>
        <v>0</v>
      </c>
      <c r="W53" s="2">
        <f>MAX(0, V53*(1+Forecast!$B4))</f>
        <v>0</v>
      </c>
      <c r="X53" s="2">
        <f>MAX(0, W53*(1+Forecast!$B4))</f>
        <v>0</v>
      </c>
      <c r="Y53" s="2">
        <f>MAX(0, X53*(1+Forecast!$B4))</f>
        <v>0</v>
      </c>
      <c r="Z53" s="2">
        <f>MAX(0, Y53*(1+Forecast!$B4))</f>
        <v>0</v>
      </c>
      <c r="AA53" s="2">
        <f>MAX(0, Z53*(1+Forecast!$B4))</f>
        <v>0</v>
      </c>
      <c r="AB53" s="2">
        <f>MAX(0, AA53*(1+Forecast!$B4))</f>
        <v>0</v>
      </c>
      <c r="AC53" s="2">
        <f>MAX(0, AB53*(1+Forecast!$B4))</f>
        <v>0</v>
      </c>
      <c r="AD53" s="2">
        <f>MAX(0, AC53*(1+Forecast!$B4))</f>
        <v>0</v>
      </c>
      <c r="AE53" s="2">
        <f>MAX(0, AD53*(1+Forecast!$B4))</f>
        <v>0</v>
      </c>
      <c r="AF53" s="2">
        <f>MAX(0, AE53*(1+Forecast!$B4))</f>
        <v>0</v>
      </c>
      <c r="AG53" s="2">
        <f>MAX(0, AF53*(1+Forecast!$B4))</f>
        <v>0</v>
      </c>
    </row>
    <row r="54" spans="1:33">
      <c r="A54" s="15" t="s">
        <v>4</v>
      </c>
      <c r="B54" s="2">
        <f>INDEX('2019'!$B$14:$G$23, MATCH($A54, '2019'!$A$2:$A$11, 0), MATCH(Urban_res_calculation!$A$51, '2019'!$B$1:$G$1, 0))</f>
        <v>66287631222265.641</v>
      </c>
      <c r="C54" s="2">
        <f>INDEX('2020'!$B$14:$G$23, MATCH($A54, '2020'!$A$2:$A$11, 0), MATCH(Urban_res_calculation!$A$51, '2020'!$B$1:$G$1, 0))</f>
        <v>68855031946379.063</v>
      </c>
      <c r="D54" s="2">
        <f>INDEX('2021'!$B$14:$G$23, MATCH($A54, '2021'!$A$2:$A$11, 0), MATCH(Urban_res_calculation!$A$51, '2021'!$B$1:$G$1, 0))</f>
        <v>70139237701697.617</v>
      </c>
      <c r="E54" s="2">
        <f>MAX(0, D54*(1+Forecast!$B5))</f>
        <v>69578123800084.039</v>
      </c>
      <c r="F54" s="2">
        <f>MAX(0, E54*(1+Forecast!$B5))</f>
        <v>69021498809683.367</v>
      </c>
      <c r="G54" s="2">
        <f>MAX(0, F54*(1+Forecast!$B5))</f>
        <v>68469326819205.898</v>
      </c>
      <c r="H54" s="2">
        <f>MAX(0, G54*(1+Forecast!$B5))</f>
        <v>67921572204652.25</v>
      </c>
      <c r="I54" s="2">
        <f>MAX(0, H54*(1+Forecast!$B5))</f>
        <v>67378199627015.031</v>
      </c>
      <c r="J54" s="2">
        <f>MAX(0, I54*(1+Forecast!$B5))</f>
        <v>66839174029998.914</v>
      </c>
      <c r="K54" s="2">
        <f>MAX(0, J54*(1+Forecast!$B5))</f>
        <v>66304460637758.922</v>
      </c>
      <c r="L54" s="2">
        <f>MAX(0, K54*(1+Forecast!$B5))</f>
        <v>65774024952656.852</v>
      </c>
      <c r="M54" s="2">
        <f>MAX(0, L54*(1+Forecast!$B5))</f>
        <v>65247832753035.594</v>
      </c>
      <c r="N54" s="2">
        <f>MAX(0, M54*(1+Forecast!$B5))</f>
        <v>64725850091011.305</v>
      </c>
      <c r="O54" s="2">
        <f>MAX(0, N54*(1+Forecast!$B5))</f>
        <v>64208043290283.211</v>
      </c>
      <c r="P54" s="2">
        <f>MAX(0, O54*(1+Forecast!$B5))</f>
        <v>63694378943960.945</v>
      </c>
      <c r="Q54" s="2">
        <f>MAX(0, P54*(1+Forecast!$B5))</f>
        <v>63184823912409.258</v>
      </c>
      <c r="R54" s="2">
        <f>MAX(0, Q54*(1+Forecast!$B5))</f>
        <v>62679345321109.984</v>
      </c>
      <c r="S54" s="2">
        <f>MAX(0, R54*(1+Forecast!$B5))</f>
        <v>62177910558541.102</v>
      </c>
      <c r="T54" s="2">
        <f>MAX(0, S54*(1+Forecast!$B5))</f>
        <v>61680487274072.773</v>
      </c>
      <c r="U54" s="2">
        <f>MAX(0, T54*(1+Forecast!$B5))</f>
        <v>61187043375880.188</v>
      </c>
      <c r="V54" s="2">
        <f>MAX(0, U54*(1+Forecast!$B5))</f>
        <v>60697547028873.148</v>
      </c>
      <c r="W54" s="2">
        <f>MAX(0, V54*(1+Forecast!$B5))</f>
        <v>60211966652642.164</v>
      </c>
      <c r="X54" s="2">
        <f>MAX(0, W54*(1+Forecast!$B5))</f>
        <v>59730270919421.023</v>
      </c>
      <c r="Y54" s="2">
        <f>MAX(0, X54*(1+Forecast!$B5))</f>
        <v>59252428752065.656</v>
      </c>
      <c r="Z54" s="2">
        <f>MAX(0, Y54*(1+Forecast!$B5))</f>
        <v>58778409322049.133</v>
      </c>
      <c r="AA54" s="2">
        <f>MAX(0, Z54*(1+Forecast!$B5))</f>
        <v>58308182047472.742</v>
      </c>
      <c r="AB54" s="2">
        <f>MAX(0, AA54*(1+Forecast!$B5))</f>
        <v>57841716591092.961</v>
      </c>
      <c r="AC54" s="2">
        <f>MAX(0, AB54*(1+Forecast!$B5))</f>
        <v>57378982858364.219</v>
      </c>
      <c r="AD54" s="2">
        <f>MAX(0, AC54*(1+Forecast!$B5))</f>
        <v>56919950995497.305</v>
      </c>
      <c r="AE54" s="2">
        <f>MAX(0, AD54*(1+Forecast!$B5))</f>
        <v>56464591387533.328</v>
      </c>
      <c r="AF54" s="2">
        <f>MAX(0, AE54*(1+Forecast!$B5))</f>
        <v>56012874656433.063</v>
      </c>
      <c r="AG54" s="2">
        <f>MAX(0, AF54*(1+Forecast!$B5))</f>
        <v>55564771659181.594</v>
      </c>
    </row>
    <row r="55" spans="1:33">
      <c r="A55" s="15" t="s">
        <v>5</v>
      </c>
      <c r="B55" s="2">
        <f>INDEX('2019'!$B$14:$G$23, MATCH($A55, '2019'!$A$2:$A$11, 0), MATCH(Urban_res_calculation!$A$51, '2019'!$B$1:$G$1, 0))</f>
        <v>0</v>
      </c>
      <c r="C55" s="2">
        <f>INDEX('2020'!$B$14:$G$23, MATCH($A55, '2020'!$A$2:$A$11, 0), MATCH(Urban_res_calculation!$A$51, '2020'!$B$1:$G$1, 0))</f>
        <v>0</v>
      </c>
      <c r="D55" s="2">
        <f>INDEX('2021'!$B$14:$G$23, MATCH($A55, '2021'!$A$2:$A$11, 0), MATCH(Urban_res_calculation!$A$51, '2021'!$B$1:$G$1, 0))</f>
        <v>0</v>
      </c>
      <c r="E55" s="2">
        <f>MAX(0, D55*(1+Forecast!$B6))</f>
        <v>0</v>
      </c>
      <c r="F55" s="2">
        <f>MAX(0, E55*(1+Forecast!$B6))</f>
        <v>0</v>
      </c>
      <c r="G55" s="2">
        <f>MAX(0, F55*(1+Forecast!$B6))</f>
        <v>0</v>
      </c>
      <c r="H55" s="2">
        <f>MAX(0, G55*(1+Forecast!$B6))</f>
        <v>0</v>
      </c>
      <c r="I55" s="2">
        <f>MAX(0, H55*(1+Forecast!$B6))</f>
        <v>0</v>
      </c>
      <c r="J55" s="2">
        <f>MAX(0, I55*(1+Forecast!$B6))</f>
        <v>0</v>
      </c>
      <c r="K55" s="2">
        <f>MAX(0, J55*(1+Forecast!$B6))</f>
        <v>0</v>
      </c>
      <c r="L55" s="2">
        <f>MAX(0, K55*(1+Forecast!$B6))</f>
        <v>0</v>
      </c>
      <c r="M55" s="2">
        <f>MAX(0, L55*(1+Forecast!$B6))</f>
        <v>0</v>
      </c>
      <c r="N55" s="2">
        <f>MAX(0, M55*(1+Forecast!$B6))</f>
        <v>0</v>
      </c>
      <c r="O55" s="2">
        <f>MAX(0, N55*(1+Forecast!$B6))</f>
        <v>0</v>
      </c>
      <c r="P55" s="2">
        <f>MAX(0, O55*(1+Forecast!$B6))</f>
        <v>0</v>
      </c>
      <c r="Q55" s="2">
        <f>MAX(0, P55*(1+Forecast!$B6))</f>
        <v>0</v>
      </c>
      <c r="R55" s="2">
        <f>MAX(0, Q55*(1+Forecast!$B6))</f>
        <v>0</v>
      </c>
      <c r="S55" s="2">
        <f>MAX(0, R55*(1+Forecast!$B6))</f>
        <v>0</v>
      </c>
      <c r="T55" s="2">
        <f>MAX(0, S55*(1+Forecast!$B6))</f>
        <v>0</v>
      </c>
      <c r="U55" s="2">
        <f>MAX(0, T55*(1+Forecast!$B6))</f>
        <v>0</v>
      </c>
      <c r="V55" s="2">
        <f>MAX(0, U55*(1+Forecast!$B6))</f>
        <v>0</v>
      </c>
      <c r="W55" s="2">
        <f>MAX(0, V55*(1+Forecast!$B6))</f>
        <v>0</v>
      </c>
      <c r="X55" s="2">
        <f>MAX(0, W55*(1+Forecast!$B6))</f>
        <v>0</v>
      </c>
      <c r="Y55" s="2">
        <f>MAX(0, X55*(1+Forecast!$B6))</f>
        <v>0</v>
      </c>
      <c r="Z55" s="2">
        <f>MAX(0, Y55*(1+Forecast!$B6))</f>
        <v>0</v>
      </c>
      <c r="AA55" s="2">
        <f>MAX(0, Z55*(1+Forecast!$B6))</f>
        <v>0</v>
      </c>
      <c r="AB55" s="2">
        <f>MAX(0, AA55*(1+Forecast!$B6))</f>
        <v>0</v>
      </c>
      <c r="AC55" s="2">
        <f>MAX(0, AB55*(1+Forecast!$B6))</f>
        <v>0</v>
      </c>
      <c r="AD55" s="2">
        <f>MAX(0, AC55*(1+Forecast!$B6))</f>
        <v>0</v>
      </c>
      <c r="AE55" s="2">
        <f>MAX(0, AD55*(1+Forecast!$B6))</f>
        <v>0</v>
      </c>
      <c r="AF55" s="2">
        <f>MAX(0, AE55*(1+Forecast!$B6))</f>
        <v>0</v>
      </c>
      <c r="AG55" s="2">
        <f>MAX(0, AF55*(1+Forecast!$B6))</f>
        <v>0</v>
      </c>
    </row>
    <row r="56" spans="1:33">
      <c r="A56" s="15" t="s">
        <v>7</v>
      </c>
      <c r="B56" s="2">
        <f>INDEX('2019'!$B$14:$G$23, MATCH($A56, '2019'!$A$2:$A$11, 0), MATCH(Urban_res_calculation!$A$51, '2019'!$B$1:$G$1, 0))</f>
        <v>0</v>
      </c>
      <c r="C56" s="2">
        <f>INDEX('2020'!$B$14:$G$23, MATCH($A56, '2020'!$A$2:$A$11, 0), MATCH(Urban_res_calculation!$A$51, '2020'!$B$1:$G$1, 0))</f>
        <v>0</v>
      </c>
      <c r="D56" s="2">
        <f>INDEX('2021'!$B$14:$G$23, MATCH($A56, '2021'!$A$2:$A$11, 0), MATCH(Urban_res_calculation!$A$51, '2021'!$B$1:$G$1, 0))</f>
        <v>0</v>
      </c>
      <c r="E56" s="2">
        <f>MAX(0, D56*(1+Forecast!$B7))</f>
        <v>0</v>
      </c>
      <c r="F56" s="2">
        <f>MAX(0, E56*(1+Forecast!$B7))</f>
        <v>0</v>
      </c>
      <c r="G56" s="2">
        <f>MAX(0, F56*(1+Forecast!$B7))</f>
        <v>0</v>
      </c>
      <c r="H56" s="2">
        <f>MAX(0, G56*(1+Forecast!$B7))</f>
        <v>0</v>
      </c>
      <c r="I56" s="2">
        <f>MAX(0, H56*(1+Forecast!$B7))</f>
        <v>0</v>
      </c>
      <c r="J56" s="2">
        <f>MAX(0, I56*(1+Forecast!$B7))</f>
        <v>0</v>
      </c>
      <c r="K56" s="2">
        <f>MAX(0, J56*(1+Forecast!$B7))</f>
        <v>0</v>
      </c>
      <c r="L56" s="2">
        <f>MAX(0, K56*(1+Forecast!$B7))</f>
        <v>0</v>
      </c>
      <c r="M56" s="2">
        <f>MAX(0, L56*(1+Forecast!$B7))</f>
        <v>0</v>
      </c>
      <c r="N56" s="2">
        <f>MAX(0, M56*(1+Forecast!$B7))</f>
        <v>0</v>
      </c>
      <c r="O56" s="2">
        <f>MAX(0, N56*(1+Forecast!$B7))</f>
        <v>0</v>
      </c>
      <c r="P56" s="2">
        <f>MAX(0, O56*(1+Forecast!$B7))</f>
        <v>0</v>
      </c>
      <c r="Q56" s="2">
        <f>MAX(0, P56*(1+Forecast!$B7))</f>
        <v>0</v>
      </c>
      <c r="R56" s="2">
        <f>MAX(0, Q56*(1+Forecast!$B7))</f>
        <v>0</v>
      </c>
      <c r="S56" s="2">
        <f>MAX(0, R56*(1+Forecast!$B7))</f>
        <v>0</v>
      </c>
      <c r="T56" s="2">
        <f>MAX(0, S56*(1+Forecast!$B7))</f>
        <v>0</v>
      </c>
      <c r="U56" s="2">
        <f>MAX(0, T56*(1+Forecast!$B7))</f>
        <v>0</v>
      </c>
      <c r="V56" s="2">
        <f>MAX(0, U56*(1+Forecast!$B7))</f>
        <v>0</v>
      </c>
      <c r="W56" s="2">
        <f>MAX(0, V56*(1+Forecast!$B7))</f>
        <v>0</v>
      </c>
      <c r="X56" s="2">
        <f>MAX(0, W56*(1+Forecast!$B7))</f>
        <v>0</v>
      </c>
      <c r="Y56" s="2">
        <f>MAX(0, X56*(1+Forecast!$B7))</f>
        <v>0</v>
      </c>
      <c r="Z56" s="2">
        <f>MAX(0, Y56*(1+Forecast!$B7))</f>
        <v>0</v>
      </c>
      <c r="AA56" s="2">
        <f>MAX(0, Z56*(1+Forecast!$B7))</f>
        <v>0</v>
      </c>
      <c r="AB56" s="2">
        <f>MAX(0, AA56*(1+Forecast!$B7))</f>
        <v>0</v>
      </c>
      <c r="AC56" s="2">
        <f>MAX(0, AB56*(1+Forecast!$B7))</f>
        <v>0</v>
      </c>
      <c r="AD56" s="2">
        <f>MAX(0, AC56*(1+Forecast!$B7))</f>
        <v>0</v>
      </c>
      <c r="AE56" s="2">
        <f>MAX(0, AD56*(1+Forecast!$B7))</f>
        <v>0</v>
      </c>
      <c r="AF56" s="2">
        <f>MAX(0, AE56*(1+Forecast!$B7))</f>
        <v>0</v>
      </c>
      <c r="AG56" s="2">
        <f>MAX(0, AF56*(1+Forecast!$B7))</f>
        <v>0</v>
      </c>
    </row>
    <row r="57" spans="1:33">
      <c r="A57" s="15" t="s">
        <v>11</v>
      </c>
      <c r="B57" s="2">
        <f>INDEX('2019'!$B$14:$G$23, MATCH($A57, '2019'!$A$2:$A$11, 0), MATCH(Urban_res_calculation!$A$51, '2019'!$B$1:$G$1, 0))</f>
        <v>0</v>
      </c>
      <c r="C57" s="2">
        <f>INDEX('2020'!$B$14:$G$23, MATCH($A57, '2020'!$A$2:$A$11, 0), MATCH(Urban_res_calculation!$A$51, '2020'!$B$1:$G$1, 0))</f>
        <v>0</v>
      </c>
      <c r="D57" s="2">
        <f>INDEX('2021'!$B$14:$G$23, MATCH($A57, '2021'!$A$2:$A$11, 0), MATCH(Urban_res_calculation!$A$51, '2021'!$B$1:$G$1, 0))</f>
        <v>0</v>
      </c>
      <c r="E57" s="2">
        <f>MAX(0, D57*(1+Forecast!$B8))</f>
        <v>0</v>
      </c>
      <c r="F57" s="2">
        <f>MAX(0, E57*(1+Forecast!$B8))</f>
        <v>0</v>
      </c>
      <c r="G57" s="2">
        <f>MAX(0, F57*(1+Forecast!$B8))</f>
        <v>0</v>
      </c>
      <c r="H57" s="2">
        <f>MAX(0, G57*(1+Forecast!$B8))</f>
        <v>0</v>
      </c>
      <c r="I57" s="2">
        <f>MAX(0, H57*(1+Forecast!$B8))</f>
        <v>0</v>
      </c>
      <c r="J57" s="2">
        <f>MAX(0, I57*(1+Forecast!$B8))</f>
        <v>0</v>
      </c>
      <c r="K57" s="2">
        <f>MAX(0, J57*(1+Forecast!$B8))</f>
        <v>0</v>
      </c>
      <c r="L57" s="2">
        <f>MAX(0, K57*(1+Forecast!$B8))</f>
        <v>0</v>
      </c>
      <c r="M57" s="2">
        <f>MAX(0, L57*(1+Forecast!$B8))</f>
        <v>0</v>
      </c>
      <c r="N57" s="2">
        <f>MAX(0, M57*(1+Forecast!$B8))</f>
        <v>0</v>
      </c>
      <c r="O57" s="2">
        <f>MAX(0, N57*(1+Forecast!$B8))</f>
        <v>0</v>
      </c>
      <c r="P57" s="2">
        <f>MAX(0, O57*(1+Forecast!$B8))</f>
        <v>0</v>
      </c>
      <c r="Q57" s="2">
        <f>MAX(0, P57*(1+Forecast!$B8))</f>
        <v>0</v>
      </c>
      <c r="R57" s="2">
        <f>MAX(0, Q57*(1+Forecast!$B8))</f>
        <v>0</v>
      </c>
      <c r="S57" s="2">
        <f>MAX(0, R57*(1+Forecast!$B8))</f>
        <v>0</v>
      </c>
      <c r="T57" s="2">
        <f>MAX(0, S57*(1+Forecast!$B8))</f>
        <v>0</v>
      </c>
      <c r="U57" s="2">
        <f>MAX(0, T57*(1+Forecast!$B8))</f>
        <v>0</v>
      </c>
      <c r="V57" s="2">
        <f>MAX(0, U57*(1+Forecast!$B8))</f>
        <v>0</v>
      </c>
      <c r="W57" s="2">
        <f>MAX(0, V57*(1+Forecast!$B8))</f>
        <v>0</v>
      </c>
      <c r="X57" s="2">
        <f>MAX(0, W57*(1+Forecast!$B8))</f>
        <v>0</v>
      </c>
      <c r="Y57" s="2">
        <f>MAX(0, X57*(1+Forecast!$B8))</f>
        <v>0</v>
      </c>
      <c r="Z57" s="2">
        <f>MAX(0, Y57*(1+Forecast!$B8))</f>
        <v>0</v>
      </c>
      <c r="AA57" s="2">
        <f>MAX(0, Z57*(1+Forecast!$B8))</f>
        <v>0</v>
      </c>
      <c r="AB57" s="2">
        <f>MAX(0, AA57*(1+Forecast!$B8))</f>
        <v>0</v>
      </c>
      <c r="AC57" s="2">
        <f>MAX(0, AB57*(1+Forecast!$B8))</f>
        <v>0</v>
      </c>
      <c r="AD57" s="2">
        <f>MAX(0, AC57*(1+Forecast!$B8))</f>
        <v>0</v>
      </c>
      <c r="AE57" s="2">
        <f>MAX(0, AD57*(1+Forecast!$B8))</f>
        <v>0</v>
      </c>
      <c r="AF57" s="2">
        <f>MAX(0, AE57*(1+Forecast!$B8))</f>
        <v>0</v>
      </c>
      <c r="AG57" s="2">
        <f>MAX(0, AF57*(1+Forecast!$B8))</f>
        <v>0</v>
      </c>
    </row>
    <row r="58" spans="1:33">
      <c r="A58" s="15" t="s">
        <v>13</v>
      </c>
      <c r="B58" s="2">
        <f>INDEX('2019'!$B$14:$G$23, MATCH($A58, '2019'!$A$2:$A$11, 0), MATCH(Urban_res_calculation!$A$51, '2019'!$B$1:$G$1, 0))</f>
        <v>0</v>
      </c>
      <c r="C58" s="2">
        <f>INDEX('2020'!$B$14:$G$23, MATCH($A58, '2020'!$A$2:$A$11, 0), MATCH(Urban_res_calculation!$A$51, '2020'!$B$1:$G$1, 0))</f>
        <v>0</v>
      </c>
      <c r="D58" s="2">
        <f>INDEX('2021'!$B$14:$G$23, MATCH($A58, '2021'!$A$2:$A$11, 0), MATCH(Urban_res_calculation!$A$51, '2021'!$B$1:$G$1, 0))</f>
        <v>0</v>
      </c>
      <c r="E58" s="2">
        <f>MAX(0, D58*(1+Forecast!$B9))</f>
        <v>0</v>
      </c>
      <c r="F58" s="2">
        <f>MAX(0, E58*(1+Forecast!$B9))</f>
        <v>0</v>
      </c>
      <c r="G58" s="2">
        <f>MAX(0, F58*(1+Forecast!$B9))</f>
        <v>0</v>
      </c>
      <c r="H58" s="2">
        <f>MAX(0, G58*(1+Forecast!$B9))</f>
        <v>0</v>
      </c>
      <c r="I58" s="2">
        <f>MAX(0, H58*(1+Forecast!$B9))</f>
        <v>0</v>
      </c>
      <c r="J58" s="2">
        <f>MAX(0, I58*(1+Forecast!$B9))</f>
        <v>0</v>
      </c>
      <c r="K58" s="2">
        <f>MAX(0, J58*(1+Forecast!$B9))</f>
        <v>0</v>
      </c>
      <c r="L58" s="2">
        <f>MAX(0, K58*(1+Forecast!$B9))</f>
        <v>0</v>
      </c>
      <c r="M58" s="2">
        <f>MAX(0, L58*(1+Forecast!$B9))</f>
        <v>0</v>
      </c>
      <c r="N58" s="2">
        <f>MAX(0, M58*(1+Forecast!$B9))</f>
        <v>0</v>
      </c>
      <c r="O58" s="2">
        <f>MAX(0, N58*(1+Forecast!$B9))</f>
        <v>0</v>
      </c>
      <c r="P58" s="2">
        <f>MAX(0, O58*(1+Forecast!$B9))</f>
        <v>0</v>
      </c>
      <c r="Q58" s="2">
        <f>MAX(0, P58*(1+Forecast!$B9))</f>
        <v>0</v>
      </c>
      <c r="R58" s="2">
        <f>MAX(0, Q58*(1+Forecast!$B9))</f>
        <v>0</v>
      </c>
      <c r="S58" s="2">
        <f>MAX(0, R58*(1+Forecast!$B9))</f>
        <v>0</v>
      </c>
      <c r="T58" s="2">
        <f>MAX(0, S58*(1+Forecast!$B9))</f>
        <v>0</v>
      </c>
      <c r="U58" s="2">
        <f>MAX(0, T58*(1+Forecast!$B9))</f>
        <v>0</v>
      </c>
      <c r="V58" s="2">
        <f>MAX(0, U58*(1+Forecast!$B9))</f>
        <v>0</v>
      </c>
      <c r="W58" s="2">
        <f>MAX(0, V58*(1+Forecast!$B9))</f>
        <v>0</v>
      </c>
      <c r="X58" s="2">
        <f>MAX(0, W58*(1+Forecast!$B9))</f>
        <v>0</v>
      </c>
      <c r="Y58" s="2">
        <f>MAX(0, X58*(1+Forecast!$B9))</f>
        <v>0</v>
      </c>
      <c r="Z58" s="2">
        <f>MAX(0, Y58*(1+Forecast!$B9))</f>
        <v>0</v>
      </c>
      <c r="AA58" s="2">
        <f>MAX(0, Z58*(1+Forecast!$B9))</f>
        <v>0</v>
      </c>
      <c r="AB58" s="2">
        <f>MAX(0, AA58*(1+Forecast!$B9))</f>
        <v>0</v>
      </c>
      <c r="AC58" s="2">
        <f>MAX(0, AB58*(1+Forecast!$B9))</f>
        <v>0</v>
      </c>
      <c r="AD58" s="2">
        <f>MAX(0, AC58*(1+Forecast!$B9))</f>
        <v>0</v>
      </c>
      <c r="AE58" s="2">
        <f>MAX(0, AD58*(1+Forecast!$B9))</f>
        <v>0</v>
      </c>
      <c r="AF58" s="2">
        <f>MAX(0, AE58*(1+Forecast!$B9))</f>
        <v>0</v>
      </c>
      <c r="AG58" s="2">
        <f>MAX(0, AF58*(1+Forecast!$B9))</f>
        <v>0</v>
      </c>
    </row>
    <row r="59" spans="1:33">
      <c r="A59" s="15" t="s">
        <v>14</v>
      </c>
      <c r="B59" s="2">
        <f>INDEX('2019'!$B$14:$G$23, MATCH($A59, '2019'!$A$2:$A$11, 0), MATCH(Urban_res_calculation!$A$51, '2019'!$B$1:$G$1, 0))</f>
        <v>0</v>
      </c>
      <c r="C59" s="2">
        <f>INDEX('2020'!$B$14:$G$23, MATCH($A59, '2020'!$A$2:$A$11, 0), MATCH(Urban_res_calculation!$A$51, '2020'!$B$1:$G$1, 0))</f>
        <v>0</v>
      </c>
      <c r="D59" s="2">
        <f>INDEX('2021'!$B$14:$G$23, MATCH($A59, '2021'!$A$2:$A$11, 0), MATCH(Urban_res_calculation!$A$51, '2021'!$B$1:$G$1, 0))</f>
        <v>0</v>
      </c>
      <c r="E59" s="2">
        <f>MAX(0, D59*(1+Forecast!$B10))</f>
        <v>0</v>
      </c>
      <c r="F59" s="2">
        <f>MAX(0, E59*(1+Forecast!$B10))</f>
        <v>0</v>
      </c>
      <c r="G59" s="2">
        <f>MAX(0, F59*(1+Forecast!$B10))</f>
        <v>0</v>
      </c>
      <c r="H59" s="2">
        <f>MAX(0, G59*(1+Forecast!$B10))</f>
        <v>0</v>
      </c>
      <c r="I59" s="2">
        <f>MAX(0, H59*(1+Forecast!$B10))</f>
        <v>0</v>
      </c>
      <c r="J59" s="2">
        <f>MAX(0, I59*(1+Forecast!$B10))</f>
        <v>0</v>
      </c>
      <c r="K59" s="2">
        <f>MAX(0, J59*(1+Forecast!$B10))</f>
        <v>0</v>
      </c>
      <c r="L59" s="2">
        <f>MAX(0, K59*(1+Forecast!$B10))</f>
        <v>0</v>
      </c>
      <c r="M59" s="2">
        <f>MAX(0, L59*(1+Forecast!$B10))</f>
        <v>0</v>
      </c>
      <c r="N59" s="2">
        <f>MAX(0, M59*(1+Forecast!$B10))</f>
        <v>0</v>
      </c>
      <c r="O59" s="2">
        <f>MAX(0, N59*(1+Forecast!$B10))</f>
        <v>0</v>
      </c>
      <c r="P59" s="2">
        <f>MAX(0, O59*(1+Forecast!$B10))</f>
        <v>0</v>
      </c>
      <c r="Q59" s="2">
        <f>MAX(0, P59*(1+Forecast!$B10))</f>
        <v>0</v>
      </c>
      <c r="R59" s="2">
        <f>MAX(0, Q59*(1+Forecast!$B10))</f>
        <v>0</v>
      </c>
      <c r="S59" s="2">
        <f>MAX(0, R59*(1+Forecast!$B10))</f>
        <v>0</v>
      </c>
      <c r="T59" s="2">
        <f>MAX(0, S59*(1+Forecast!$B10))</f>
        <v>0</v>
      </c>
      <c r="U59" s="2">
        <f>MAX(0, T59*(1+Forecast!$B10))</f>
        <v>0</v>
      </c>
      <c r="V59" s="2">
        <f>MAX(0, U59*(1+Forecast!$B10))</f>
        <v>0</v>
      </c>
      <c r="W59" s="2">
        <f>MAX(0, V59*(1+Forecast!$B10))</f>
        <v>0</v>
      </c>
      <c r="X59" s="2">
        <f>MAX(0, W59*(1+Forecast!$B10))</f>
        <v>0</v>
      </c>
      <c r="Y59" s="2">
        <f>MAX(0, X59*(1+Forecast!$B10))</f>
        <v>0</v>
      </c>
      <c r="Z59" s="2">
        <f>MAX(0, Y59*(1+Forecast!$B10))</f>
        <v>0</v>
      </c>
      <c r="AA59" s="2">
        <f>MAX(0, Z59*(1+Forecast!$B10))</f>
        <v>0</v>
      </c>
      <c r="AB59" s="2">
        <f>MAX(0, AA59*(1+Forecast!$B10))</f>
        <v>0</v>
      </c>
      <c r="AC59" s="2">
        <f>MAX(0, AB59*(1+Forecast!$B10))</f>
        <v>0</v>
      </c>
      <c r="AD59" s="2">
        <f>MAX(0, AC59*(1+Forecast!$B10))</f>
        <v>0</v>
      </c>
      <c r="AE59" s="2">
        <f>MAX(0, AD59*(1+Forecast!$B10))</f>
        <v>0</v>
      </c>
      <c r="AF59" s="2">
        <f>MAX(0, AE59*(1+Forecast!$B10))</f>
        <v>0</v>
      </c>
      <c r="AG59" s="2">
        <f>MAX(0, AF59*(1+Forecast!$B10))</f>
        <v>0</v>
      </c>
    </row>
    <row r="60" spans="1:33">
      <c r="A60" s="15" t="s">
        <v>15</v>
      </c>
      <c r="B60" s="2">
        <f>INDEX('2019'!$B$14:$G$23, MATCH($A60, '2019'!$A$2:$A$11, 0), MATCH(Urban_res_calculation!$A$51, '2019'!$B$1:$G$1, 0))</f>
        <v>3673851782062.3345</v>
      </c>
      <c r="C60" s="2">
        <f>INDEX('2020'!$B$14:$G$23, MATCH($A60, '2020'!$A$2:$A$11, 0), MATCH(Urban_res_calculation!$A$51, '2020'!$B$1:$G$1, 0))</f>
        <v>3580635411738.1543</v>
      </c>
      <c r="D60" s="2">
        <f>INDEX('2021'!$B$14:$G$23, MATCH($A60, '2021'!$A$2:$A$11, 0), MATCH(Urban_res_calculation!$A$51, '2021'!$B$1:$G$1, 0))</f>
        <v>3578757426255.4331</v>
      </c>
      <c r="E60" s="2">
        <f>MAX(0, D60*(1+Forecast!$B11))</f>
        <v>3428449614352.7046</v>
      </c>
      <c r="F60" s="2">
        <f>MAX(0, E60*(1+Forecast!$B11))</f>
        <v>3284454730549.8906</v>
      </c>
      <c r="G60" s="2">
        <f>MAX(0, F60*(1+Forecast!$B11))</f>
        <v>3146507631866.7949</v>
      </c>
      <c r="H60" s="2">
        <f>MAX(0, G60*(1+Forecast!$B11))</f>
        <v>3014354311328.3896</v>
      </c>
      <c r="I60" s="2">
        <f>MAX(0, H60*(1+Forecast!$B11))</f>
        <v>2887751430252.5972</v>
      </c>
      <c r="J60" s="2">
        <f>MAX(0, I60*(1+Forecast!$B11))</f>
        <v>2766465870181.9878</v>
      </c>
      <c r="K60" s="2">
        <f>MAX(0, J60*(1+Forecast!$B11))</f>
        <v>2650274303634.3442</v>
      </c>
      <c r="L60" s="2">
        <f>MAX(0, K60*(1+Forecast!$B11))</f>
        <v>2538962782881.7017</v>
      </c>
      <c r="M60" s="2">
        <f>MAX(0, L60*(1+Forecast!$B11))</f>
        <v>2432326346000.6699</v>
      </c>
      <c r="N60" s="2">
        <f>MAX(0, M60*(1+Forecast!$B11))</f>
        <v>2330168639468.6416</v>
      </c>
      <c r="O60" s="2">
        <f>MAX(0, N60*(1+Forecast!$B11))</f>
        <v>2232301556610.9585</v>
      </c>
      <c r="P60" s="2">
        <f>MAX(0, O60*(1+Forecast!$B11))</f>
        <v>2138544891233.2981</v>
      </c>
      <c r="Q60" s="2">
        <f>MAX(0, P60*(1+Forecast!$B11))</f>
        <v>2048726005801.4995</v>
      </c>
      <c r="R60" s="2">
        <f>MAX(0, Q60*(1+Forecast!$B11))</f>
        <v>1962679513557.8364</v>
      </c>
      <c r="S60" s="2">
        <f>MAX(0, R60*(1+Forecast!$B11))</f>
        <v>1880246973988.4072</v>
      </c>
      <c r="T60" s="2">
        <f>MAX(0, S60*(1+Forecast!$B11))</f>
        <v>1801276601080.894</v>
      </c>
      <c r="U60" s="2">
        <f>MAX(0, T60*(1+Forecast!$B11))</f>
        <v>1725622983835.4963</v>
      </c>
      <c r="V60" s="2">
        <f>MAX(0, U60*(1+Forecast!$B11))</f>
        <v>1653146818514.4055</v>
      </c>
      <c r="W60" s="2">
        <f>MAX(0, V60*(1+Forecast!$B11))</f>
        <v>1583714652136.8005</v>
      </c>
      <c r="X60" s="2">
        <f>MAX(0, W60*(1+Forecast!$B11))</f>
        <v>1517198636747.0549</v>
      </c>
      <c r="Y60" s="2">
        <f>MAX(0, X60*(1+Forecast!$B11))</f>
        <v>1453476294003.6785</v>
      </c>
      <c r="Z60" s="2">
        <f>MAX(0, Y60*(1+Forecast!$B11))</f>
        <v>1392430289655.5239</v>
      </c>
      <c r="AA60" s="2">
        <f>MAX(0, Z60*(1+Forecast!$B11))</f>
        <v>1333948217489.9919</v>
      </c>
      <c r="AB60" s="2">
        <f>MAX(0, AA60*(1+Forecast!$B11))</f>
        <v>1277922392355.4124</v>
      </c>
      <c r="AC60" s="2">
        <f>MAX(0, AB60*(1+Forecast!$B11))</f>
        <v>1224249651876.4851</v>
      </c>
      <c r="AD60" s="2">
        <f>MAX(0, AC60*(1+Forecast!$B11))</f>
        <v>1172831166497.6726</v>
      </c>
      <c r="AE60" s="2">
        <f>MAX(0, AD60*(1+Forecast!$B11))</f>
        <v>1123572257504.7703</v>
      </c>
      <c r="AF60" s="2">
        <f>MAX(0, AE60*(1+Forecast!$B11))</f>
        <v>1076382222689.5698</v>
      </c>
      <c r="AG60" s="2">
        <f>MAX(0, AF60*(1+Forecast!$B11))</f>
        <v>1031174169336.6079</v>
      </c>
    </row>
    <row r="61" spans="1:33">
      <c r="A61" s="15" t="s">
        <v>16</v>
      </c>
      <c r="B61" s="2">
        <f>INDEX('2019'!$B$14:$G$23, MATCH($A61, '2019'!$A$2:$A$11, 0), MATCH(Urban_res_calculation!$A$51, '2019'!$B$1:$G$1, 0))</f>
        <v>0</v>
      </c>
      <c r="C61" s="2">
        <f>INDEX('2020'!$B$14:$G$23, MATCH($A61, '2020'!$A$2:$A$11, 0), MATCH(Urban_res_calculation!$A$51, '2020'!$B$1:$G$1, 0))</f>
        <v>0</v>
      </c>
      <c r="D61" s="2">
        <f>INDEX('2021'!$B$14:$G$23, MATCH($A61, '2021'!$A$2:$A$11, 0), MATCH(Urban_res_calculation!$A$51, '2021'!$B$1:$G$1, 0))</f>
        <v>0</v>
      </c>
      <c r="E61" s="2">
        <f>MAX(0, D61*(1+Forecast!$B12))</f>
        <v>0</v>
      </c>
      <c r="F61" s="2">
        <f>MAX(0, E61*(1+Forecast!$B12))</f>
        <v>0</v>
      </c>
      <c r="G61" s="2">
        <f>MAX(0, F61*(1+Forecast!$B12))</f>
        <v>0</v>
      </c>
      <c r="H61" s="2">
        <f>MAX(0, G61*(1+Forecast!$B12))</f>
        <v>0</v>
      </c>
      <c r="I61" s="2">
        <f>MAX(0, H61*(1+Forecast!$B12))</f>
        <v>0</v>
      </c>
      <c r="J61" s="2">
        <f>MAX(0, I61*(1+Forecast!$B12))</f>
        <v>0</v>
      </c>
      <c r="K61" s="2">
        <f>MAX(0, J61*(1+Forecast!$B12))</f>
        <v>0</v>
      </c>
      <c r="L61" s="2">
        <f>MAX(0, K61*(1+Forecast!$B12))</f>
        <v>0</v>
      </c>
      <c r="M61" s="2">
        <f>MAX(0, L61*(1+Forecast!$B12))</f>
        <v>0</v>
      </c>
      <c r="N61" s="2">
        <f>MAX(0, M61*(1+Forecast!$B12))</f>
        <v>0</v>
      </c>
      <c r="O61" s="2">
        <f>MAX(0, N61*(1+Forecast!$B12))</f>
        <v>0</v>
      </c>
      <c r="P61" s="2">
        <f>MAX(0, O61*(1+Forecast!$B12))</f>
        <v>0</v>
      </c>
      <c r="Q61" s="2">
        <f>MAX(0, P61*(1+Forecast!$B12))</f>
        <v>0</v>
      </c>
      <c r="R61" s="2">
        <f>MAX(0, Q61*(1+Forecast!$B12))</f>
        <v>0</v>
      </c>
      <c r="S61" s="2">
        <f>MAX(0, R61*(1+Forecast!$B12))</f>
        <v>0</v>
      </c>
      <c r="T61" s="2">
        <f>MAX(0, S61*(1+Forecast!$B12))</f>
        <v>0</v>
      </c>
      <c r="U61" s="2">
        <f>MAX(0, T61*(1+Forecast!$B12))</f>
        <v>0</v>
      </c>
      <c r="V61" s="2">
        <f>MAX(0, U61*(1+Forecast!$B12))</f>
        <v>0</v>
      </c>
      <c r="W61" s="2">
        <f>MAX(0, V61*(1+Forecast!$B12))</f>
        <v>0</v>
      </c>
      <c r="X61" s="2">
        <f>MAX(0, W61*(1+Forecast!$B12))</f>
        <v>0</v>
      </c>
      <c r="Y61" s="2">
        <f>MAX(0, X61*(1+Forecast!$B12))</f>
        <v>0</v>
      </c>
      <c r="Z61" s="2">
        <f>MAX(0, Y61*(1+Forecast!$B12))</f>
        <v>0</v>
      </c>
      <c r="AA61" s="2">
        <f>MAX(0, Z61*(1+Forecast!$B12))</f>
        <v>0</v>
      </c>
      <c r="AB61" s="2">
        <f>MAX(0, AA61*(1+Forecast!$B12))</f>
        <v>0</v>
      </c>
      <c r="AC61" s="2">
        <f>MAX(0, AB61*(1+Forecast!$B12))</f>
        <v>0</v>
      </c>
      <c r="AD61" s="2">
        <f>MAX(0, AC61*(1+Forecast!$B12))</f>
        <v>0</v>
      </c>
      <c r="AE61" s="2">
        <f>MAX(0, AD61*(1+Forecast!$B12))</f>
        <v>0</v>
      </c>
      <c r="AF61" s="2">
        <f>MAX(0, AE61*(1+Forecast!$B12))</f>
        <v>0</v>
      </c>
      <c r="AG61" s="2">
        <f>MAX(0, AF61*(1+Forecast!$B12))</f>
        <v>0</v>
      </c>
    </row>
    <row r="63" spans="1:33">
      <c r="A63" s="15" t="s">
        <v>42</v>
      </c>
      <c r="B63" s="1">
        <v>2019</v>
      </c>
      <c r="C63" s="1">
        <v>2020</v>
      </c>
      <c r="D63" s="1">
        <v>2021</v>
      </c>
      <c r="E63" s="1">
        <v>2022</v>
      </c>
      <c r="F63" s="1">
        <v>2023</v>
      </c>
      <c r="G63" s="1">
        <v>2024</v>
      </c>
      <c r="H63" s="1">
        <v>2025</v>
      </c>
      <c r="I63" s="1">
        <v>2026</v>
      </c>
      <c r="J63" s="1">
        <v>2027</v>
      </c>
      <c r="K63" s="1">
        <v>2028</v>
      </c>
      <c r="L63" s="1">
        <v>2029</v>
      </c>
      <c r="M63" s="1">
        <v>2030</v>
      </c>
      <c r="N63" s="1">
        <v>2031</v>
      </c>
      <c r="O63" s="1">
        <v>2032</v>
      </c>
      <c r="P63" s="1">
        <v>2033</v>
      </c>
      <c r="Q63" s="1">
        <v>2034</v>
      </c>
      <c r="R63" s="1">
        <v>2035</v>
      </c>
      <c r="S63" s="1">
        <v>2036</v>
      </c>
      <c r="T63" s="1">
        <v>2037</v>
      </c>
      <c r="U63" s="1">
        <v>2038</v>
      </c>
      <c r="V63" s="1">
        <v>2039</v>
      </c>
      <c r="W63" s="1">
        <v>2040</v>
      </c>
      <c r="X63" s="1">
        <v>2041</v>
      </c>
      <c r="Y63" s="1">
        <v>2042</v>
      </c>
      <c r="Z63" s="1">
        <v>2043</v>
      </c>
      <c r="AA63" s="1">
        <v>2044</v>
      </c>
      <c r="AB63" s="1">
        <v>2045</v>
      </c>
      <c r="AC63" s="1">
        <v>2046</v>
      </c>
      <c r="AD63" s="1">
        <v>2047</v>
      </c>
      <c r="AE63" s="1">
        <v>2048</v>
      </c>
      <c r="AF63" s="1">
        <v>2049</v>
      </c>
      <c r="AG63" s="1">
        <v>2050</v>
      </c>
    </row>
    <row r="64" spans="1:33">
      <c r="A64" s="15" t="s">
        <v>2</v>
      </c>
      <c r="B64" s="2">
        <f>INDEX('2019'!$B$14:$G$23, MATCH($A64, '2019'!$A$2:$A$11, 0), MATCH(Urban_res_calculation!$A$63, '2019'!$B$1:$G$1, 0))</f>
        <v>0</v>
      </c>
      <c r="C64" s="2">
        <f>INDEX('2020'!$B$14:$G$23, MATCH($A64, '2020'!$A$2:$A$11, 0), MATCH(Urban_res_calculation!$A$63, '2020'!$B$1:$G$1, 0))</f>
        <v>0</v>
      </c>
      <c r="D64" s="2">
        <f>INDEX('2021'!$B$14:$G$23, MATCH($A64, '2021'!$A$2:$A$11, 0), MATCH(Urban_res_calculation!$A$63, '2021'!$B$1:$G$1, 0))</f>
        <v>0</v>
      </c>
      <c r="E64" s="2">
        <f>MAX(0, D64*(1+Forecast!$B3))</f>
        <v>0</v>
      </c>
      <c r="F64" s="2">
        <f>MAX(0, E64*(1+Forecast!$B3))</f>
        <v>0</v>
      </c>
      <c r="G64" s="2">
        <f>MAX(0, F64*(1+Forecast!$B3))</f>
        <v>0</v>
      </c>
      <c r="H64" s="2">
        <f>MAX(0, G64*(1+Forecast!$B3))</f>
        <v>0</v>
      </c>
      <c r="I64" s="2">
        <f>MAX(0, H64*(1+Forecast!$B3))</f>
        <v>0</v>
      </c>
      <c r="J64" s="2">
        <f>MAX(0, I64*(1+Forecast!$B3))</f>
        <v>0</v>
      </c>
      <c r="K64" s="2">
        <f>MAX(0, J64*(1+Forecast!$B3))</f>
        <v>0</v>
      </c>
      <c r="L64" s="2">
        <f>MAX(0, K64*(1+Forecast!$B3))</f>
        <v>0</v>
      </c>
      <c r="M64" s="2">
        <f>MAX(0, L64*(1+Forecast!$B3))</f>
        <v>0</v>
      </c>
      <c r="N64" s="2">
        <f>MAX(0, M64*(1+Forecast!$B3))</f>
        <v>0</v>
      </c>
      <c r="O64" s="2">
        <f>MAX(0, N64*(1+Forecast!$B3))</f>
        <v>0</v>
      </c>
      <c r="P64" s="2">
        <f>MAX(0, O64*(1+Forecast!$B3))</f>
        <v>0</v>
      </c>
      <c r="Q64" s="2">
        <f>MAX(0, P64*(1+Forecast!$B3))</f>
        <v>0</v>
      </c>
      <c r="R64" s="2">
        <f>MAX(0, Q64*(1+Forecast!$B3))</f>
        <v>0</v>
      </c>
      <c r="S64" s="2">
        <f>MAX(0, R64*(1+Forecast!$B3))</f>
        <v>0</v>
      </c>
      <c r="T64" s="2">
        <f>MAX(0, S64*(1+Forecast!$B3))</f>
        <v>0</v>
      </c>
      <c r="U64" s="2">
        <f>MAX(0, T64*(1+Forecast!$B3))</f>
        <v>0</v>
      </c>
      <c r="V64" s="2">
        <f>MAX(0, U64*(1+Forecast!$B3))</f>
        <v>0</v>
      </c>
      <c r="W64" s="2">
        <f>MAX(0, V64*(1+Forecast!$B3))</f>
        <v>0</v>
      </c>
      <c r="X64" s="2">
        <f>MAX(0, W64*(1+Forecast!$B3))</f>
        <v>0</v>
      </c>
      <c r="Y64" s="2">
        <f>MAX(0, X64*(1+Forecast!$B3))</f>
        <v>0</v>
      </c>
      <c r="Z64" s="2">
        <f>MAX(0, Y64*(1+Forecast!$B3))</f>
        <v>0</v>
      </c>
      <c r="AA64" s="2">
        <f>MAX(0, Z64*(1+Forecast!$B3))</f>
        <v>0</v>
      </c>
      <c r="AB64" s="2">
        <f>MAX(0, AA64*(1+Forecast!$B3))</f>
        <v>0</v>
      </c>
      <c r="AC64" s="2">
        <f>MAX(0, AB64*(1+Forecast!$B3))</f>
        <v>0</v>
      </c>
      <c r="AD64" s="2">
        <f>MAX(0, AC64*(1+Forecast!$B3))</f>
        <v>0</v>
      </c>
      <c r="AE64" s="2">
        <f>MAX(0, AD64*(1+Forecast!$B3))</f>
        <v>0</v>
      </c>
      <c r="AF64" s="2">
        <f>MAX(0, AE64*(1+Forecast!$B3))</f>
        <v>0</v>
      </c>
      <c r="AG64" s="2">
        <f>MAX(0, AF64*(1+Forecast!$B3))</f>
        <v>0</v>
      </c>
    </row>
    <row r="65" spans="1:33">
      <c r="A65" s="15" t="s">
        <v>3</v>
      </c>
      <c r="B65" s="2">
        <f>INDEX('2019'!$B$14:$G$23, MATCH($A65, '2019'!$A$2:$A$11, 0), MATCH(Urban_res_calculation!$A$63, '2019'!$B$1:$G$1, 0))</f>
        <v>0</v>
      </c>
      <c r="C65" s="2">
        <f>INDEX('2020'!$B$14:$G$23, MATCH($A65, '2020'!$A$2:$A$11, 0), MATCH(Urban_res_calculation!$A$63, '2020'!$B$1:$G$1, 0))</f>
        <v>0</v>
      </c>
      <c r="D65" s="2">
        <f>INDEX('2021'!$B$14:$G$23, MATCH($A65, '2021'!$A$2:$A$11, 0), MATCH(Urban_res_calculation!$A$63, '2021'!$B$1:$G$1, 0))</f>
        <v>0</v>
      </c>
      <c r="E65" s="2">
        <f>MAX(0, D65*(1+Forecast!$B4))</f>
        <v>0</v>
      </c>
      <c r="F65" s="2">
        <f>MAX(0, E65*(1+Forecast!$B4))</f>
        <v>0</v>
      </c>
      <c r="G65" s="2">
        <f>MAX(0, F65*(1+Forecast!$B4))</f>
        <v>0</v>
      </c>
      <c r="H65" s="2">
        <f>MAX(0, G65*(1+Forecast!$B4))</f>
        <v>0</v>
      </c>
      <c r="I65" s="2">
        <f>MAX(0, H65*(1+Forecast!$B4))</f>
        <v>0</v>
      </c>
      <c r="J65" s="2">
        <f>MAX(0, I65*(1+Forecast!$B4))</f>
        <v>0</v>
      </c>
      <c r="K65" s="2">
        <f>MAX(0, J65*(1+Forecast!$B4))</f>
        <v>0</v>
      </c>
      <c r="L65" s="2">
        <f>MAX(0, K65*(1+Forecast!$B4))</f>
        <v>0</v>
      </c>
      <c r="M65" s="2">
        <f>MAX(0, L65*(1+Forecast!$B4))</f>
        <v>0</v>
      </c>
      <c r="N65" s="2">
        <f>MAX(0, M65*(1+Forecast!$B4))</f>
        <v>0</v>
      </c>
      <c r="O65" s="2">
        <f>MAX(0, N65*(1+Forecast!$B4))</f>
        <v>0</v>
      </c>
      <c r="P65" s="2">
        <f>MAX(0, O65*(1+Forecast!$B4))</f>
        <v>0</v>
      </c>
      <c r="Q65" s="2">
        <f>MAX(0, P65*(1+Forecast!$B4))</f>
        <v>0</v>
      </c>
      <c r="R65" s="2">
        <f>MAX(0, Q65*(1+Forecast!$B4))</f>
        <v>0</v>
      </c>
      <c r="S65" s="2">
        <f>MAX(0, R65*(1+Forecast!$B4))</f>
        <v>0</v>
      </c>
      <c r="T65" s="2">
        <f>MAX(0, S65*(1+Forecast!$B4))</f>
        <v>0</v>
      </c>
      <c r="U65" s="2">
        <f>MAX(0, T65*(1+Forecast!$B4))</f>
        <v>0</v>
      </c>
      <c r="V65" s="2">
        <f>MAX(0, U65*(1+Forecast!$B4))</f>
        <v>0</v>
      </c>
      <c r="W65" s="2">
        <f>MAX(0, V65*(1+Forecast!$B4))</f>
        <v>0</v>
      </c>
      <c r="X65" s="2">
        <f>MAX(0, W65*(1+Forecast!$B4))</f>
        <v>0</v>
      </c>
      <c r="Y65" s="2">
        <f>MAX(0, X65*(1+Forecast!$B4))</f>
        <v>0</v>
      </c>
      <c r="Z65" s="2">
        <f>MAX(0, Y65*(1+Forecast!$B4))</f>
        <v>0</v>
      </c>
      <c r="AA65" s="2">
        <f>MAX(0, Z65*(1+Forecast!$B4))</f>
        <v>0</v>
      </c>
      <c r="AB65" s="2">
        <f>MAX(0, AA65*(1+Forecast!$B4))</f>
        <v>0</v>
      </c>
      <c r="AC65" s="2">
        <f>MAX(0, AB65*(1+Forecast!$B4))</f>
        <v>0</v>
      </c>
      <c r="AD65" s="2">
        <f>MAX(0, AC65*(1+Forecast!$B4))</f>
        <v>0</v>
      </c>
      <c r="AE65" s="2">
        <f>MAX(0, AD65*(1+Forecast!$B4))</f>
        <v>0</v>
      </c>
      <c r="AF65" s="2">
        <f>MAX(0, AE65*(1+Forecast!$B4))</f>
        <v>0</v>
      </c>
      <c r="AG65" s="2">
        <f>MAX(0, AF65*(1+Forecast!$B4))</f>
        <v>0</v>
      </c>
    </row>
    <row r="66" spans="1:33">
      <c r="A66" s="15" t="s">
        <v>4</v>
      </c>
      <c r="B66" s="2">
        <f>INDEX('2019'!$B$14:$G$23, MATCH($A66, '2019'!$A$2:$A$11, 0), MATCH(Urban_res_calculation!$A$63, '2019'!$B$1:$G$1, 0))</f>
        <v>0</v>
      </c>
      <c r="C66" s="2">
        <f>INDEX('2020'!$B$14:$G$23, MATCH($A66, '2020'!$A$2:$A$11, 0), MATCH(Urban_res_calculation!$A$63, '2020'!$B$1:$G$1, 0))</f>
        <v>0</v>
      </c>
      <c r="D66" s="2">
        <f>INDEX('2021'!$B$14:$G$23, MATCH($A66, '2021'!$A$2:$A$11, 0), MATCH(Urban_res_calculation!$A$63, '2021'!$B$1:$G$1, 0))</f>
        <v>0</v>
      </c>
      <c r="E66" s="2">
        <f>MAX(0, D66*(1+Forecast!$B5))</f>
        <v>0</v>
      </c>
      <c r="F66" s="2">
        <f>MAX(0, E66*(1+Forecast!$B5))</f>
        <v>0</v>
      </c>
      <c r="G66" s="2">
        <f>MAX(0, F66*(1+Forecast!$B5))</f>
        <v>0</v>
      </c>
      <c r="H66" s="2">
        <f>MAX(0, G66*(1+Forecast!$B5))</f>
        <v>0</v>
      </c>
      <c r="I66" s="2">
        <f>MAX(0, H66*(1+Forecast!$B5))</f>
        <v>0</v>
      </c>
      <c r="J66" s="2">
        <f>MAX(0, I66*(1+Forecast!$B5))</f>
        <v>0</v>
      </c>
      <c r="K66" s="2">
        <f>MAX(0, J66*(1+Forecast!$B5))</f>
        <v>0</v>
      </c>
      <c r="L66" s="2">
        <f>MAX(0, K66*(1+Forecast!$B5))</f>
        <v>0</v>
      </c>
      <c r="M66" s="2">
        <f>MAX(0, L66*(1+Forecast!$B5))</f>
        <v>0</v>
      </c>
      <c r="N66" s="2">
        <f>MAX(0, M66*(1+Forecast!$B5))</f>
        <v>0</v>
      </c>
      <c r="O66" s="2">
        <f>MAX(0, N66*(1+Forecast!$B5))</f>
        <v>0</v>
      </c>
      <c r="P66" s="2">
        <f>MAX(0, O66*(1+Forecast!$B5))</f>
        <v>0</v>
      </c>
      <c r="Q66" s="2">
        <f>MAX(0, P66*(1+Forecast!$B5))</f>
        <v>0</v>
      </c>
      <c r="R66" s="2">
        <f>MAX(0, Q66*(1+Forecast!$B5))</f>
        <v>0</v>
      </c>
      <c r="S66" s="2">
        <f>MAX(0, R66*(1+Forecast!$B5))</f>
        <v>0</v>
      </c>
      <c r="T66" s="2">
        <f>MAX(0, S66*(1+Forecast!$B5))</f>
        <v>0</v>
      </c>
      <c r="U66" s="2">
        <f>MAX(0, T66*(1+Forecast!$B5))</f>
        <v>0</v>
      </c>
      <c r="V66" s="2">
        <f>MAX(0, U66*(1+Forecast!$B5))</f>
        <v>0</v>
      </c>
      <c r="W66" s="2">
        <f>MAX(0, V66*(1+Forecast!$B5))</f>
        <v>0</v>
      </c>
      <c r="X66" s="2">
        <f>MAX(0, W66*(1+Forecast!$B5))</f>
        <v>0</v>
      </c>
      <c r="Y66" s="2">
        <f>MAX(0, X66*(1+Forecast!$B5))</f>
        <v>0</v>
      </c>
      <c r="Z66" s="2">
        <f>MAX(0, Y66*(1+Forecast!$B5))</f>
        <v>0</v>
      </c>
      <c r="AA66" s="2">
        <f>MAX(0, Z66*(1+Forecast!$B5))</f>
        <v>0</v>
      </c>
      <c r="AB66" s="2">
        <f>MAX(0, AA66*(1+Forecast!$B5))</f>
        <v>0</v>
      </c>
      <c r="AC66" s="2">
        <f>MAX(0, AB66*(1+Forecast!$B5))</f>
        <v>0</v>
      </c>
      <c r="AD66" s="2">
        <f>MAX(0, AC66*(1+Forecast!$B5))</f>
        <v>0</v>
      </c>
      <c r="AE66" s="2">
        <f>MAX(0, AD66*(1+Forecast!$B5))</f>
        <v>0</v>
      </c>
      <c r="AF66" s="2">
        <f>MAX(0, AE66*(1+Forecast!$B5))</f>
        <v>0</v>
      </c>
      <c r="AG66" s="2">
        <f>MAX(0, AF66*(1+Forecast!$B5))</f>
        <v>0</v>
      </c>
    </row>
    <row r="67" spans="1:33">
      <c r="A67" s="15" t="s">
        <v>5</v>
      </c>
      <c r="B67" s="2">
        <f>INDEX('2019'!$B$14:$G$23, MATCH($A67, '2019'!$A$2:$A$11, 0), MATCH(Urban_res_calculation!$A$63, '2019'!$B$1:$G$1, 0))</f>
        <v>0</v>
      </c>
      <c r="C67" s="2">
        <f>INDEX('2020'!$B$14:$G$23, MATCH($A67, '2020'!$A$2:$A$11, 0), MATCH(Urban_res_calculation!$A$63, '2020'!$B$1:$G$1, 0))</f>
        <v>0</v>
      </c>
      <c r="D67" s="2">
        <f>INDEX('2021'!$B$14:$G$23, MATCH($A67, '2021'!$A$2:$A$11, 0), MATCH(Urban_res_calculation!$A$63, '2021'!$B$1:$G$1, 0))</f>
        <v>0</v>
      </c>
      <c r="E67" s="2">
        <f>MAX(0, D67*(1+Forecast!$B6))</f>
        <v>0</v>
      </c>
      <c r="F67" s="2">
        <f>MAX(0, E67*(1+Forecast!$B6))</f>
        <v>0</v>
      </c>
      <c r="G67" s="2">
        <f>MAX(0, F67*(1+Forecast!$B6))</f>
        <v>0</v>
      </c>
      <c r="H67" s="2">
        <f>MAX(0, G67*(1+Forecast!$B6))</f>
        <v>0</v>
      </c>
      <c r="I67" s="2">
        <f>MAX(0, H67*(1+Forecast!$B6))</f>
        <v>0</v>
      </c>
      <c r="J67" s="2">
        <f>MAX(0, I67*(1+Forecast!$B6))</f>
        <v>0</v>
      </c>
      <c r="K67" s="2">
        <f>MAX(0, J67*(1+Forecast!$B6))</f>
        <v>0</v>
      </c>
      <c r="L67" s="2">
        <f>MAX(0, K67*(1+Forecast!$B6))</f>
        <v>0</v>
      </c>
      <c r="M67" s="2">
        <f>MAX(0, L67*(1+Forecast!$B6))</f>
        <v>0</v>
      </c>
      <c r="N67" s="2">
        <f>MAX(0, M67*(1+Forecast!$B6))</f>
        <v>0</v>
      </c>
      <c r="O67" s="2">
        <f>MAX(0, N67*(1+Forecast!$B6))</f>
        <v>0</v>
      </c>
      <c r="P67" s="2">
        <f>MAX(0, O67*(1+Forecast!$B6))</f>
        <v>0</v>
      </c>
      <c r="Q67" s="2">
        <f>MAX(0, P67*(1+Forecast!$B6))</f>
        <v>0</v>
      </c>
      <c r="R67" s="2">
        <f>MAX(0, Q67*(1+Forecast!$B6))</f>
        <v>0</v>
      </c>
      <c r="S67" s="2">
        <f>MAX(0, R67*(1+Forecast!$B6))</f>
        <v>0</v>
      </c>
      <c r="T67" s="2">
        <f>MAX(0, S67*(1+Forecast!$B6))</f>
        <v>0</v>
      </c>
      <c r="U67" s="2">
        <f>MAX(0, T67*(1+Forecast!$B6))</f>
        <v>0</v>
      </c>
      <c r="V67" s="2">
        <f>MAX(0, U67*(1+Forecast!$B6))</f>
        <v>0</v>
      </c>
      <c r="W67" s="2">
        <f>MAX(0, V67*(1+Forecast!$B6))</f>
        <v>0</v>
      </c>
      <c r="X67" s="2">
        <f>MAX(0, W67*(1+Forecast!$B6))</f>
        <v>0</v>
      </c>
      <c r="Y67" s="2">
        <f>MAX(0, X67*(1+Forecast!$B6))</f>
        <v>0</v>
      </c>
      <c r="Z67" s="2">
        <f>MAX(0, Y67*(1+Forecast!$B6))</f>
        <v>0</v>
      </c>
      <c r="AA67" s="2">
        <f>MAX(0, Z67*(1+Forecast!$B6))</f>
        <v>0</v>
      </c>
      <c r="AB67" s="2">
        <f>MAX(0, AA67*(1+Forecast!$B6))</f>
        <v>0</v>
      </c>
      <c r="AC67" s="2">
        <f>MAX(0, AB67*(1+Forecast!$B6))</f>
        <v>0</v>
      </c>
      <c r="AD67" s="2">
        <f>MAX(0, AC67*(1+Forecast!$B6))</f>
        <v>0</v>
      </c>
      <c r="AE67" s="2">
        <f>MAX(0, AD67*(1+Forecast!$B6))</f>
        <v>0</v>
      </c>
      <c r="AF67" s="2">
        <f>MAX(0, AE67*(1+Forecast!$B6))</f>
        <v>0</v>
      </c>
      <c r="AG67" s="2">
        <f>MAX(0, AF67*(1+Forecast!$B6))</f>
        <v>0</v>
      </c>
    </row>
    <row r="68" spans="1:33">
      <c r="A68" s="15" t="s">
        <v>7</v>
      </c>
      <c r="B68" s="2">
        <f>INDEX('2019'!$B$14:$G$23, MATCH($A68, '2019'!$A$2:$A$11, 0), MATCH(Urban_res_calculation!$A$63, '2019'!$B$1:$G$1, 0))</f>
        <v>0</v>
      </c>
      <c r="C68" s="2">
        <f>INDEX('2020'!$B$14:$G$23, MATCH($A68, '2020'!$A$2:$A$11, 0), MATCH(Urban_res_calculation!$A$63, '2020'!$B$1:$G$1, 0))</f>
        <v>0</v>
      </c>
      <c r="D68" s="2">
        <f>INDEX('2021'!$B$14:$G$23, MATCH($A68, '2021'!$A$2:$A$11, 0), MATCH(Urban_res_calculation!$A$63, '2021'!$B$1:$G$1, 0))</f>
        <v>0</v>
      </c>
      <c r="E68" s="2">
        <f>MAX(0, D68*(1+Forecast!$B7))</f>
        <v>0</v>
      </c>
      <c r="F68" s="2">
        <f>MAX(0, E68*(1+Forecast!$B7))</f>
        <v>0</v>
      </c>
      <c r="G68" s="2">
        <f>MAX(0, F68*(1+Forecast!$B7))</f>
        <v>0</v>
      </c>
      <c r="H68" s="2">
        <f>MAX(0, G68*(1+Forecast!$B7))</f>
        <v>0</v>
      </c>
      <c r="I68" s="2">
        <f>MAX(0, H68*(1+Forecast!$B7))</f>
        <v>0</v>
      </c>
      <c r="J68" s="2">
        <f>MAX(0, I68*(1+Forecast!$B7))</f>
        <v>0</v>
      </c>
      <c r="K68" s="2">
        <f>MAX(0, J68*(1+Forecast!$B7))</f>
        <v>0</v>
      </c>
      <c r="L68" s="2">
        <f>MAX(0, K68*(1+Forecast!$B7))</f>
        <v>0</v>
      </c>
      <c r="M68" s="2">
        <f>MAX(0, L68*(1+Forecast!$B7))</f>
        <v>0</v>
      </c>
      <c r="N68" s="2">
        <f>MAX(0, M68*(1+Forecast!$B7))</f>
        <v>0</v>
      </c>
      <c r="O68" s="2">
        <f>MAX(0, N68*(1+Forecast!$B7))</f>
        <v>0</v>
      </c>
      <c r="P68" s="2">
        <f>MAX(0, O68*(1+Forecast!$B7))</f>
        <v>0</v>
      </c>
      <c r="Q68" s="2">
        <f>MAX(0, P68*(1+Forecast!$B7))</f>
        <v>0</v>
      </c>
      <c r="R68" s="2">
        <f>MAX(0, Q68*(1+Forecast!$B7))</f>
        <v>0</v>
      </c>
      <c r="S68" s="2">
        <f>MAX(0, R68*(1+Forecast!$B7))</f>
        <v>0</v>
      </c>
      <c r="T68" s="2">
        <f>MAX(0, S68*(1+Forecast!$B7))</f>
        <v>0</v>
      </c>
      <c r="U68" s="2">
        <f>MAX(0, T68*(1+Forecast!$B7))</f>
        <v>0</v>
      </c>
      <c r="V68" s="2">
        <f>MAX(0, U68*(1+Forecast!$B7))</f>
        <v>0</v>
      </c>
      <c r="W68" s="2">
        <f>MAX(0, V68*(1+Forecast!$B7))</f>
        <v>0</v>
      </c>
      <c r="X68" s="2">
        <f>MAX(0, W68*(1+Forecast!$B7))</f>
        <v>0</v>
      </c>
      <c r="Y68" s="2">
        <f>MAX(0, X68*(1+Forecast!$B7))</f>
        <v>0</v>
      </c>
      <c r="Z68" s="2">
        <f>MAX(0, Y68*(1+Forecast!$B7))</f>
        <v>0</v>
      </c>
      <c r="AA68" s="2">
        <f>MAX(0, Z68*(1+Forecast!$B7))</f>
        <v>0</v>
      </c>
      <c r="AB68" s="2">
        <f>MAX(0, AA68*(1+Forecast!$B7))</f>
        <v>0</v>
      </c>
      <c r="AC68" s="2">
        <f>MAX(0, AB68*(1+Forecast!$B7))</f>
        <v>0</v>
      </c>
      <c r="AD68" s="2">
        <f>MAX(0, AC68*(1+Forecast!$B7))</f>
        <v>0</v>
      </c>
      <c r="AE68" s="2">
        <f>MAX(0, AD68*(1+Forecast!$B7))</f>
        <v>0</v>
      </c>
      <c r="AF68" s="2">
        <f>MAX(0, AE68*(1+Forecast!$B7))</f>
        <v>0</v>
      </c>
      <c r="AG68" s="2">
        <f>MAX(0, AF68*(1+Forecast!$B7))</f>
        <v>0</v>
      </c>
    </row>
    <row r="69" spans="1:33">
      <c r="A69" s="15" t="s">
        <v>11</v>
      </c>
      <c r="B69" s="2">
        <f>INDEX('2019'!$B$14:$G$23, MATCH($A69, '2019'!$A$2:$A$11, 0), MATCH(Urban_res_calculation!$A$63, '2019'!$B$1:$G$1, 0))</f>
        <v>0</v>
      </c>
      <c r="C69" s="2">
        <f>INDEX('2020'!$B$14:$G$23, MATCH($A69, '2020'!$A$2:$A$11, 0), MATCH(Urban_res_calculation!$A$63, '2020'!$B$1:$G$1, 0))</f>
        <v>0</v>
      </c>
      <c r="D69" s="2">
        <f>INDEX('2021'!$B$14:$G$23, MATCH($A69, '2021'!$A$2:$A$11, 0), MATCH(Urban_res_calculation!$A$63, '2021'!$B$1:$G$1, 0))</f>
        <v>0</v>
      </c>
      <c r="E69" s="2">
        <f>MAX(0, D69*(1+Forecast!$B8))</f>
        <v>0</v>
      </c>
      <c r="F69" s="2">
        <f>MAX(0, E69*(1+Forecast!$B8))</f>
        <v>0</v>
      </c>
      <c r="G69" s="2">
        <f>MAX(0, F69*(1+Forecast!$B8))</f>
        <v>0</v>
      </c>
      <c r="H69" s="2">
        <f>MAX(0, G69*(1+Forecast!$B8))</f>
        <v>0</v>
      </c>
      <c r="I69" s="2">
        <f>MAX(0, H69*(1+Forecast!$B8))</f>
        <v>0</v>
      </c>
      <c r="J69" s="2">
        <f>MAX(0, I69*(1+Forecast!$B8))</f>
        <v>0</v>
      </c>
      <c r="K69" s="2">
        <f>MAX(0, J69*(1+Forecast!$B8))</f>
        <v>0</v>
      </c>
      <c r="L69" s="2">
        <f>MAX(0, K69*(1+Forecast!$B8))</f>
        <v>0</v>
      </c>
      <c r="M69" s="2">
        <f>MAX(0, L69*(1+Forecast!$B8))</f>
        <v>0</v>
      </c>
      <c r="N69" s="2">
        <f>MAX(0, M69*(1+Forecast!$B8))</f>
        <v>0</v>
      </c>
      <c r="O69" s="2">
        <f>MAX(0, N69*(1+Forecast!$B8))</f>
        <v>0</v>
      </c>
      <c r="P69" s="2">
        <f>MAX(0, O69*(1+Forecast!$B8))</f>
        <v>0</v>
      </c>
      <c r="Q69" s="2">
        <f>MAX(0, P69*(1+Forecast!$B8))</f>
        <v>0</v>
      </c>
      <c r="R69" s="2">
        <f>MAX(0, Q69*(1+Forecast!$B8))</f>
        <v>0</v>
      </c>
      <c r="S69" s="2">
        <f>MAX(0, R69*(1+Forecast!$B8))</f>
        <v>0</v>
      </c>
      <c r="T69" s="2">
        <f>MAX(0, S69*(1+Forecast!$B8))</f>
        <v>0</v>
      </c>
      <c r="U69" s="2">
        <f>MAX(0, T69*(1+Forecast!$B8))</f>
        <v>0</v>
      </c>
      <c r="V69" s="2">
        <f>MAX(0, U69*(1+Forecast!$B8))</f>
        <v>0</v>
      </c>
      <c r="W69" s="2">
        <f>MAX(0, V69*(1+Forecast!$B8))</f>
        <v>0</v>
      </c>
      <c r="X69" s="2">
        <f>MAX(0, W69*(1+Forecast!$B8))</f>
        <v>0</v>
      </c>
      <c r="Y69" s="2">
        <f>MAX(0, X69*(1+Forecast!$B8))</f>
        <v>0</v>
      </c>
      <c r="Z69" s="2">
        <f>MAX(0, Y69*(1+Forecast!$B8))</f>
        <v>0</v>
      </c>
      <c r="AA69" s="2">
        <f>MAX(0, Z69*(1+Forecast!$B8))</f>
        <v>0</v>
      </c>
      <c r="AB69" s="2">
        <f>MAX(0, AA69*(1+Forecast!$B8))</f>
        <v>0</v>
      </c>
      <c r="AC69" s="2">
        <f>MAX(0, AB69*(1+Forecast!$B8))</f>
        <v>0</v>
      </c>
      <c r="AD69" s="2">
        <f>MAX(0, AC69*(1+Forecast!$B8))</f>
        <v>0</v>
      </c>
      <c r="AE69" s="2">
        <f>MAX(0, AD69*(1+Forecast!$B8))</f>
        <v>0</v>
      </c>
      <c r="AF69" s="2">
        <f>MAX(0, AE69*(1+Forecast!$B8))</f>
        <v>0</v>
      </c>
      <c r="AG69" s="2">
        <f>MAX(0, AF69*(1+Forecast!$B8))</f>
        <v>0</v>
      </c>
    </row>
    <row r="70" spans="1:33">
      <c r="A70" s="15" t="s">
        <v>13</v>
      </c>
      <c r="B70" s="2">
        <f>INDEX('2019'!$B$14:$G$23, MATCH($A70, '2019'!$A$2:$A$11, 0), MATCH(Urban_res_calculation!$A$63, '2019'!$B$1:$G$1, 0))</f>
        <v>0</v>
      </c>
      <c r="C70" s="2">
        <f>INDEX('2020'!$B$14:$G$23, MATCH($A70, '2020'!$A$2:$A$11, 0), MATCH(Urban_res_calculation!$A$63, '2020'!$B$1:$G$1, 0))</f>
        <v>0</v>
      </c>
      <c r="D70" s="2">
        <f>INDEX('2021'!$B$14:$G$23, MATCH($A70, '2021'!$A$2:$A$11, 0), MATCH(Urban_res_calculation!$A$63, '2021'!$B$1:$G$1, 0))</f>
        <v>0</v>
      </c>
      <c r="E70" s="2">
        <f>MAX(0, D70*(1+Forecast!$B9))</f>
        <v>0</v>
      </c>
      <c r="F70" s="2">
        <f>MAX(0, E70*(1+Forecast!$B9))</f>
        <v>0</v>
      </c>
      <c r="G70" s="2">
        <f>MAX(0, F70*(1+Forecast!$B9))</f>
        <v>0</v>
      </c>
      <c r="H70" s="2">
        <f>MAX(0, G70*(1+Forecast!$B9))</f>
        <v>0</v>
      </c>
      <c r="I70" s="2">
        <f>MAX(0, H70*(1+Forecast!$B9))</f>
        <v>0</v>
      </c>
      <c r="J70" s="2">
        <f>MAX(0, I70*(1+Forecast!$B9))</f>
        <v>0</v>
      </c>
      <c r="K70" s="2">
        <f>MAX(0, J70*(1+Forecast!$B9))</f>
        <v>0</v>
      </c>
      <c r="L70" s="2">
        <f>MAX(0, K70*(1+Forecast!$B9))</f>
        <v>0</v>
      </c>
      <c r="M70" s="2">
        <f>MAX(0, L70*(1+Forecast!$B9))</f>
        <v>0</v>
      </c>
      <c r="N70" s="2">
        <f>MAX(0, M70*(1+Forecast!$B9))</f>
        <v>0</v>
      </c>
      <c r="O70" s="2">
        <f>MAX(0, N70*(1+Forecast!$B9))</f>
        <v>0</v>
      </c>
      <c r="P70" s="2">
        <f>MAX(0, O70*(1+Forecast!$B9))</f>
        <v>0</v>
      </c>
      <c r="Q70" s="2">
        <f>MAX(0, P70*(1+Forecast!$B9))</f>
        <v>0</v>
      </c>
      <c r="R70" s="2">
        <f>MAX(0, Q70*(1+Forecast!$B9))</f>
        <v>0</v>
      </c>
      <c r="S70" s="2">
        <f>MAX(0, R70*(1+Forecast!$B9))</f>
        <v>0</v>
      </c>
      <c r="T70" s="2">
        <f>MAX(0, S70*(1+Forecast!$B9))</f>
        <v>0</v>
      </c>
      <c r="U70" s="2">
        <f>MAX(0, T70*(1+Forecast!$B9))</f>
        <v>0</v>
      </c>
      <c r="V70" s="2">
        <f>MAX(0, U70*(1+Forecast!$B9))</f>
        <v>0</v>
      </c>
      <c r="W70" s="2">
        <f>MAX(0, V70*(1+Forecast!$B9))</f>
        <v>0</v>
      </c>
      <c r="X70" s="2">
        <f>MAX(0, W70*(1+Forecast!$B9))</f>
        <v>0</v>
      </c>
      <c r="Y70" s="2">
        <f>MAX(0, X70*(1+Forecast!$B9))</f>
        <v>0</v>
      </c>
      <c r="Z70" s="2">
        <f>MAX(0, Y70*(1+Forecast!$B9))</f>
        <v>0</v>
      </c>
      <c r="AA70" s="2">
        <f>MAX(0, Z70*(1+Forecast!$B9))</f>
        <v>0</v>
      </c>
      <c r="AB70" s="2">
        <f>MAX(0, AA70*(1+Forecast!$B9))</f>
        <v>0</v>
      </c>
      <c r="AC70" s="2">
        <f>MAX(0, AB70*(1+Forecast!$B9))</f>
        <v>0</v>
      </c>
      <c r="AD70" s="2">
        <f>MAX(0, AC70*(1+Forecast!$B9))</f>
        <v>0</v>
      </c>
      <c r="AE70" s="2">
        <f>MAX(0, AD70*(1+Forecast!$B9))</f>
        <v>0</v>
      </c>
      <c r="AF70" s="2">
        <f>MAX(0, AE70*(1+Forecast!$B9))</f>
        <v>0</v>
      </c>
      <c r="AG70" s="2">
        <f>MAX(0, AF70*(1+Forecast!$B9))</f>
        <v>0</v>
      </c>
    </row>
    <row r="71" spans="1:33">
      <c r="A71" s="15" t="s">
        <v>14</v>
      </c>
      <c r="B71" s="2">
        <f>INDEX('2019'!$B$14:$G$23, MATCH($A71, '2019'!$A$2:$A$11, 0), MATCH(Urban_res_calculation!$A$63, '2019'!$B$1:$G$1, 0))</f>
        <v>0</v>
      </c>
      <c r="C71" s="2">
        <f>INDEX('2020'!$B$14:$G$23, MATCH($A71, '2020'!$A$2:$A$11, 0), MATCH(Urban_res_calculation!$A$63, '2020'!$B$1:$G$1, 0))</f>
        <v>0</v>
      </c>
      <c r="D71" s="2">
        <f>INDEX('2021'!$B$14:$G$23, MATCH($A71, '2021'!$A$2:$A$11, 0), MATCH(Urban_res_calculation!$A$63, '2021'!$B$1:$G$1, 0))</f>
        <v>0</v>
      </c>
      <c r="E71" s="2">
        <f>MAX(0, D71*(1+Forecast!$B10))</f>
        <v>0</v>
      </c>
      <c r="F71" s="2">
        <f>MAX(0, E71*(1+Forecast!$B10))</f>
        <v>0</v>
      </c>
      <c r="G71" s="2">
        <f>MAX(0, F71*(1+Forecast!$B10))</f>
        <v>0</v>
      </c>
      <c r="H71" s="2">
        <f>MAX(0, G71*(1+Forecast!$B10))</f>
        <v>0</v>
      </c>
      <c r="I71" s="2">
        <f>MAX(0, H71*(1+Forecast!$B10))</f>
        <v>0</v>
      </c>
      <c r="J71" s="2">
        <f>MAX(0, I71*(1+Forecast!$B10))</f>
        <v>0</v>
      </c>
      <c r="K71" s="2">
        <f>MAX(0, J71*(1+Forecast!$B10))</f>
        <v>0</v>
      </c>
      <c r="L71" s="2">
        <f>MAX(0, K71*(1+Forecast!$B10))</f>
        <v>0</v>
      </c>
      <c r="M71" s="2">
        <f>MAX(0, L71*(1+Forecast!$B10))</f>
        <v>0</v>
      </c>
      <c r="N71" s="2">
        <f>MAX(0, M71*(1+Forecast!$B10))</f>
        <v>0</v>
      </c>
      <c r="O71" s="2">
        <f>MAX(0, N71*(1+Forecast!$B10))</f>
        <v>0</v>
      </c>
      <c r="P71" s="2">
        <f>MAX(0, O71*(1+Forecast!$B10))</f>
        <v>0</v>
      </c>
      <c r="Q71" s="2">
        <f>MAX(0, P71*(1+Forecast!$B10))</f>
        <v>0</v>
      </c>
      <c r="R71" s="2">
        <f>MAX(0, Q71*(1+Forecast!$B10))</f>
        <v>0</v>
      </c>
      <c r="S71" s="2">
        <f>MAX(0, R71*(1+Forecast!$B10))</f>
        <v>0</v>
      </c>
      <c r="T71" s="2">
        <f>MAX(0, S71*(1+Forecast!$B10))</f>
        <v>0</v>
      </c>
      <c r="U71" s="2">
        <f>MAX(0, T71*(1+Forecast!$B10))</f>
        <v>0</v>
      </c>
      <c r="V71" s="2">
        <f>MAX(0, U71*(1+Forecast!$B10))</f>
        <v>0</v>
      </c>
      <c r="W71" s="2">
        <f>MAX(0, V71*(1+Forecast!$B10))</f>
        <v>0</v>
      </c>
      <c r="X71" s="2">
        <f>MAX(0, W71*(1+Forecast!$B10))</f>
        <v>0</v>
      </c>
      <c r="Y71" s="2">
        <f>MAX(0, X71*(1+Forecast!$B10))</f>
        <v>0</v>
      </c>
      <c r="Z71" s="2">
        <f>MAX(0, Y71*(1+Forecast!$B10))</f>
        <v>0</v>
      </c>
      <c r="AA71" s="2">
        <f>MAX(0, Z71*(1+Forecast!$B10))</f>
        <v>0</v>
      </c>
      <c r="AB71" s="2">
        <f>MAX(0, AA71*(1+Forecast!$B10))</f>
        <v>0</v>
      </c>
      <c r="AC71" s="2">
        <f>MAX(0, AB71*(1+Forecast!$B10))</f>
        <v>0</v>
      </c>
      <c r="AD71" s="2">
        <f>MAX(0, AC71*(1+Forecast!$B10))</f>
        <v>0</v>
      </c>
      <c r="AE71" s="2">
        <f>MAX(0, AD71*(1+Forecast!$B10))</f>
        <v>0</v>
      </c>
      <c r="AF71" s="2">
        <f>MAX(0, AE71*(1+Forecast!$B10))</f>
        <v>0</v>
      </c>
      <c r="AG71" s="2">
        <f>MAX(0, AF71*(1+Forecast!$B10))</f>
        <v>0</v>
      </c>
    </row>
    <row r="72" spans="1:33">
      <c r="A72" s="15" t="s">
        <v>15</v>
      </c>
      <c r="B72" s="2">
        <f>INDEX('2019'!$B$14:$G$23, MATCH($A72, '2019'!$A$2:$A$11, 0), MATCH(Urban_res_calculation!$A$63, '2019'!$B$1:$G$1, 0))</f>
        <v>0</v>
      </c>
      <c r="C72" s="2">
        <f>INDEX('2020'!$B$14:$G$23, MATCH($A72, '2020'!$A$2:$A$11, 0), MATCH(Urban_res_calculation!$A$63, '2020'!$B$1:$G$1, 0))</f>
        <v>0</v>
      </c>
      <c r="D72" s="2">
        <f>INDEX('2021'!$B$14:$G$23, MATCH($A72, '2021'!$A$2:$A$11, 0), MATCH(Urban_res_calculation!$A$63, '2021'!$B$1:$G$1, 0))</f>
        <v>0</v>
      </c>
      <c r="E72" s="2">
        <f>MAX(0, D72*(1+Forecast!$B11))</f>
        <v>0</v>
      </c>
      <c r="F72" s="2">
        <f>MAX(0, E72*(1+Forecast!$B11))</f>
        <v>0</v>
      </c>
      <c r="G72" s="2">
        <f>MAX(0, F72*(1+Forecast!$B11))</f>
        <v>0</v>
      </c>
      <c r="H72" s="2">
        <f>MAX(0, G72*(1+Forecast!$B11))</f>
        <v>0</v>
      </c>
      <c r="I72" s="2">
        <f>MAX(0, H72*(1+Forecast!$B11))</f>
        <v>0</v>
      </c>
      <c r="J72" s="2">
        <f>MAX(0, I72*(1+Forecast!$B11))</f>
        <v>0</v>
      </c>
      <c r="K72" s="2">
        <f>MAX(0, J72*(1+Forecast!$B11))</f>
        <v>0</v>
      </c>
      <c r="L72" s="2">
        <f>MAX(0, K72*(1+Forecast!$B11))</f>
        <v>0</v>
      </c>
      <c r="M72" s="2">
        <f>MAX(0, L72*(1+Forecast!$B11))</f>
        <v>0</v>
      </c>
      <c r="N72" s="2">
        <f>MAX(0, M72*(1+Forecast!$B11))</f>
        <v>0</v>
      </c>
      <c r="O72" s="2">
        <f>MAX(0, N72*(1+Forecast!$B11))</f>
        <v>0</v>
      </c>
      <c r="P72" s="2">
        <f>MAX(0, O72*(1+Forecast!$B11))</f>
        <v>0</v>
      </c>
      <c r="Q72" s="2">
        <f>MAX(0, P72*(1+Forecast!$B11))</f>
        <v>0</v>
      </c>
      <c r="R72" s="2">
        <f>MAX(0, Q72*(1+Forecast!$B11))</f>
        <v>0</v>
      </c>
      <c r="S72" s="2">
        <f>MAX(0, R72*(1+Forecast!$B11))</f>
        <v>0</v>
      </c>
      <c r="T72" s="2">
        <f>MAX(0, S72*(1+Forecast!$B11))</f>
        <v>0</v>
      </c>
      <c r="U72" s="2">
        <f>MAX(0, T72*(1+Forecast!$B11))</f>
        <v>0</v>
      </c>
      <c r="V72" s="2">
        <f>MAX(0, U72*(1+Forecast!$B11))</f>
        <v>0</v>
      </c>
      <c r="W72" s="2">
        <f>MAX(0, V72*(1+Forecast!$B11))</f>
        <v>0</v>
      </c>
      <c r="X72" s="2">
        <f>MAX(0, W72*(1+Forecast!$B11))</f>
        <v>0</v>
      </c>
      <c r="Y72" s="2">
        <f>MAX(0, X72*(1+Forecast!$B11))</f>
        <v>0</v>
      </c>
      <c r="Z72" s="2">
        <f>MAX(0, Y72*(1+Forecast!$B11))</f>
        <v>0</v>
      </c>
      <c r="AA72" s="2">
        <f>MAX(0, Z72*(1+Forecast!$B11))</f>
        <v>0</v>
      </c>
      <c r="AB72" s="2">
        <f>MAX(0, AA72*(1+Forecast!$B11))</f>
        <v>0</v>
      </c>
      <c r="AC72" s="2">
        <f>MAX(0, AB72*(1+Forecast!$B11))</f>
        <v>0</v>
      </c>
      <c r="AD72" s="2">
        <f>MAX(0, AC72*(1+Forecast!$B11))</f>
        <v>0</v>
      </c>
      <c r="AE72" s="2">
        <f>MAX(0, AD72*(1+Forecast!$B11))</f>
        <v>0</v>
      </c>
      <c r="AF72" s="2">
        <f>MAX(0, AE72*(1+Forecast!$B11))</f>
        <v>0</v>
      </c>
      <c r="AG72" s="2">
        <f>MAX(0, AF72*(1+Forecast!$B11))</f>
        <v>0</v>
      </c>
    </row>
    <row r="73" spans="1:33">
      <c r="A73" s="15" t="s">
        <v>16</v>
      </c>
      <c r="B73" s="2">
        <f>INDEX('2019'!$B$14:$G$23, MATCH($A73, '2019'!$A$2:$A$11, 0), MATCH(Urban_res_calculation!$A$63, '2019'!$B$1:$G$1, 0))</f>
        <v>0</v>
      </c>
      <c r="C73" s="2">
        <f>INDEX('2020'!$B$14:$G$23, MATCH($A73, '2020'!$A$2:$A$11, 0), MATCH(Urban_res_calculation!$A$63, '2020'!$B$1:$G$1, 0))</f>
        <v>0</v>
      </c>
      <c r="D73" s="2">
        <f>INDEX('2021'!$B$14:$G$23, MATCH($A73, '2021'!$A$2:$A$11, 0), MATCH(Urban_res_calculation!$A$63, '2021'!$B$1:$G$1, 0))</f>
        <v>0</v>
      </c>
      <c r="E73" s="2">
        <f>MAX(0, D73*(1+Forecast!$B12))</f>
        <v>0</v>
      </c>
      <c r="F73" s="2">
        <f>MAX(0, E73*(1+Forecast!$B12))</f>
        <v>0</v>
      </c>
      <c r="G73" s="2">
        <f>MAX(0, F73*(1+Forecast!$B12))</f>
        <v>0</v>
      </c>
      <c r="H73" s="2">
        <f>MAX(0, G73*(1+Forecast!$B12))</f>
        <v>0</v>
      </c>
      <c r="I73" s="2">
        <f>MAX(0, H73*(1+Forecast!$B12))</f>
        <v>0</v>
      </c>
      <c r="J73" s="2">
        <f>MAX(0, I73*(1+Forecast!$B12))</f>
        <v>0</v>
      </c>
      <c r="K73" s="2">
        <f>MAX(0, J73*(1+Forecast!$B12))</f>
        <v>0</v>
      </c>
      <c r="L73" s="2">
        <f>MAX(0, K73*(1+Forecast!$B12))</f>
        <v>0</v>
      </c>
      <c r="M73" s="2">
        <f>MAX(0, L73*(1+Forecast!$B12))</f>
        <v>0</v>
      </c>
      <c r="N73" s="2">
        <f>MAX(0, M73*(1+Forecast!$B12))</f>
        <v>0</v>
      </c>
      <c r="O73" s="2">
        <f>MAX(0, N73*(1+Forecast!$B12))</f>
        <v>0</v>
      </c>
      <c r="P73" s="2">
        <f>MAX(0, O73*(1+Forecast!$B12))</f>
        <v>0</v>
      </c>
      <c r="Q73" s="2">
        <f>MAX(0, P73*(1+Forecast!$B12))</f>
        <v>0</v>
      </c>
      <c r="R73" s="2">
        <f>MAX(0, Q73*(1+Forecast!$B12))</f>
        <v>0</v>
      </c>
      <c r="S73" s="2">
        <f>MAX(0, R73*(1+Forecast!$B12))</f>
        <v>0</v>
      </c>
      <c r="T73" s="2">
        <f>MAX(0, S73*(1+Forecast!$B12))</f>
        <v>0</v>
      </c>
      <c r="U73" s="2">
        <f>MAX(0, T73*(1+Forecast!$B12))</f>
        <v>0</v>
      </c>
      <c r="V73" s="2">
        <f>MAX(0, U73*(1+Forecast!$B12))</f>
        <v>0</v>
      </c>
      <c r="W73" s="2">
        <f>MAX(0, V73*(1+Forecast!$B12))</f>
        <v>0</v>
      </c>
      <c r="X73" s="2">
        <f>MAX(0, W73*(1+Forecast!$B12))</f>
        <v>0</v>
      </c>
      <c r="Y73" s="2">
        <f>MAX(0, X73*(1+Forecast!$B12))</f>
        <v>0</v>
      </c>
      <c r="Z73" s="2">
        <f>MAX(0, Y73*(1+Forecast!$B12))</f>
        <v>0</v>
      </c>
      <c r="AA73" s="2">
        <f>MAX(0, Z73*(1+Forecast!$B12))</f>
        <v>0</v>
      </c>
      <c r="AB73" s="2">
        <f>MAX(0, AA73*(1+Forecast!$B12))</f>
        <v>0</v>
      </c>
      <c r="AC73" s="2">
        <f>MAX(0, AB73*(1+Forecast!$B12))</f>
        <v>0</v>
      </c>
      <c r="AD73" s="2">
        <f>MAX(0, AC73*(1+Forecast!$B12))</f>
        <v>0</v>
      </c>
      <c r="AE73" s="2">
        <f>MAX(0, AD73*(1+Forecast!$B12))</f>
        <v>0</v>
      </c>
      <c r="AF73" s="2">
        <f>MAX(0, AE73*(1+Forecast!$B12))</f>
        <v>0</v>
      </c>
      <c r="AG73" s="2">
        <f>MAX(0, AF73*(1+Forecast!$B12))</f>
        <v>0</v>
      </c>
    </row>
  </sheetData>
  <phoneticPr fontId="1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8465F-F9D9-40CE-B3F9-4DB0BC05364C}">
  <dimension ref="A2:AI73"/>
  <sheetViews>
    <sheetView topLeftCell="A29" zoomScale="70" zoomScaleNormal="70" workbookViewId="0">
      <selection activeCell="B77" sqref="B77"/>
    </sheetView>
  </sheetViews>
  <sheetFormatPr defaultColWidth="8.75" defaultRowHeight="16.5"/>
  <cols>
    <col min="1" max="1" width="30.25" bestFit="1" customWidth="1"/>
    <col min="5" max="35" width="14.25" bestFit="1" customWidth="1"/>
  </cols>
  <sheetData>
    <row r="2" spans="1:35">
      <c r="A2" s="15" t="s">
        <v>45</v>
      </c>
    </row>
    <row r="3" spans="1:35">
      <c r="A3" s="15" t="s">
        <v>37</v>
      </c>
      <c r="B3" s="1">
        <v>2019</v>
      </c>
      <c r="C3" s="1">
        <v>2020</v>
      </c>
      <c r="D3" s="1">
        <v>2021</v>
      </c>
      <c r="E3" s="1">
        <v>2022</v>
      </c>
      <c r="F3" s="1">
        <v>2023</v>
      </c>
      <c r="G3" s="1">
        <v>2024</v>
      </c>
      <c r="H3" s="1">
        <v>2025</v>
      </c>
      <c r="I3" s="1">
        <v>2026</v>
      </c>
      <c r="J3" s="1">
        <v>2027</v>
      </c>
      <c r="K3" s="1">
        <v>2028</v>
      </c>
      <c r="L3" s="1">
        <v>2029</v>
      </c>
      <c r="M3" s="1">
        <v>2030</v>
      </c>
      <c r="N3" s="1">
        <v>2031</v>
      </c>
      <c r="O3" s="1">
        <v>2032</v>
      </c>
      <c r="P3" s="1">
        <v>2033</v>
      </c>
      <c r="Q3" s="1">
        <v>2034</v>
      </c>
      <c r="R3" s="1">
        <v>2035</v>
      </c>
      <c r="S3" s="1">
        <v>2036</v>
      </c>
      <c r="T3" s="1">
        <v>2037</v>
      </c>
      <c r="U3" s="1">
        <v>2038</v>
      </c>
      <c r="V3" s="1">
        <v>2039</v>
      </c>
      <c r="W3" s="1">
        <v>2040</v>
      </c>
      <c r="X3" s="1">
        <v>2041</v>
      </c>
      <c r="Y3" s="1">
        <v>2042</v>
      </c>
      <c r="Z3" s="1">
        <v>2043</v>
      </c>
      <c r="AA3" s="1">
        <v>2044</v>
      </c>
      <c r="AB3" s="1">
        <v>2045</v>
      </c>
      <c r="AC3" s="1">
        <v>2046</v>
      </c>
      <c r="AD3" s="1">
        <v>2047</v>
      </c>
      <c r="AE3" s="1">
        <v>2048</v>
      </c>
      <c r="AF3" s="1">
        <v>2049</v>
      </c>
      <c r="AG3" s="1">
        <v>2050</v>
      </c>
      <c r="AH3" s="1"/>
      <c r="AI3" s="1"/>
    </row>
    <row r="4" spans="1:35">
      <c r="A4" s="15" t="s">
        <v>2</v>
      </c>
      <c r="B4" s="2">
        <f>INDEX('2019'!$B$26:$G$35, MATCH($A4, '2019'!$A$2:$A$11, 0), MATCH(Rural_res_calculation!$A$3, '2019'!$B$1:$G$1, 0))</f>
        <v>5746777512293.1641</v>
      </c>
      <c r="C4" s="2">
        <f>INDEX('2020'!$B$26:$G$35, MATCH($A4, '2020'!$A$2:$A$11, 0), MATCH(Rural_res_calculation!$A$3, '2020'!$B$1:$G$1, 0))</f>
        <v>6041836675891.3965</v>
      </c>
      <c r="D4" s="2">
        <f>INDEX('2021'!$B$26:$G$35, MATCH($A4, '2021'!$A$2:$A$11, 0), MATCH(Rural_res_calculation!$A$3, '2021'!$B$1:$G$1, 0))</f>
        <v>6326083642559.3174</v>
      </c>
      <c r="E4" s="2">
        <f>MAX(0, D4*(1+Forecast!$B3))</f>
        <v>6364040144414.6729</v>
      </c>
      <c r="F4" s="2">
        <f>MAX(0, E4*(1+Forecast!$B3))</f>
        <v>6402224385281.1611</v>
      </c>
      <c r="G4" s="2">
        <f>MAX(0, F4*(1+Forecast!$B3))</f>
        <v>6440637731592.8477</v>
      </c>
      <c r="H4" s="2">
        <f>MAX(0, G4*(1+Forecast!$B3))</f>
        <v>6479281557982.4043</v>
      </c>
      <c r="I4" s="2">
        <f>MAX(0, H4*(1+Forecast!$B3))</f>
        <v>6518157247330.2988</v>
      </c>
      <c r="J4" s="2">
        <f>MAX(0, I4*(1+Forecast!$B3))</f>
        <v>6557266190814.2803</v>
      </c>
      <c r="K4" s="2">
        <f>MAX(0, J4*(1+Forecast!$B3))</f>
        <v>6596609787959.166</v>
      </c>
      <c r="L4" s="2">
        <f>MAX(0, K4*(1+Forecast!$B3))</f>
        <v>6636189446686.9209</v>
      </c>
      <c r="M4" s="2">
        <f>MAX(0, L4*(1+Forecast!$B3))</f>
        <v>6676006583367.042</v>
      </c>
      <c r="N4" s="2">
        <f>MAX(0, M4*(1+Forecast!$B3))</f>
        <v>6716062622867.2441</v>
      </c>
      <c r="O4" s="2">
        <f>MAX(0, N4*(1+Forecast!$B3))</f>
        <v>6756358998604.4473</v>
      </c>
      <c r="P4" s="2">
        <f>MAX(0, O4*(1+Forecast!$B3))</f>
        <v>6796897152596.0742</v>
      </c>
      <c r="Q4" s="2">
        <f>MAX(0, P4*(1+Forecast!$B3))</f>
        <v>6837678535511.6504</v>
      </c>
      <c r="R4" s="2">
        <f>MAX(0, Q4*(1+Forecast!$B3))</f>
        <v>6878704606724.7207</v>
      </c>
      <c r="S4" s="2">
        <f>MAX(0, R4*(1+Forecast!$B3))</f>
        <v>6919976834365.0693</v>
      </c>
      <c r="T4" s="2">
        <f>MAX(0, S4*(1+Forecast!$B3))</f>
        <v>6961496695371.2598</v>
      </c>
      <c r="U4" s="2">
        <f>MAX(0, T4*(1+Forecast!$B3))</f>
        <v>7003265675543.4873</v>
      </c>
      <c r="V4" s="2">
        <f>MAX(0, U4*(1+Forecast!$B3))</f>
        <v>7045285269596.748</v>
      </c>
      <c r="W4" s="2">
        <f>MAX(0, V4*(1+Forecast!$B3))</f>
        <v>7087556981214.3281</v>
      </c>
      <c r="X4" s="2">
        <f>MAX(0, W4*(1+Forecast!$B3))</f>
        <v>7130082323101.6143</v>
      </c>
      <c r="Y4" s="2">
        <f>MAX(0, X4*(1+Forecast!$B3))</f>
        <v>7172862817040.2236</v>
      </c>
      <c r="Z4" s="2">
        <f>MAX(0, Y4*(1+Forecast!$B3))</f>
        <v>7215899993942.4648</v>
      </c>
      <c r="AA4" s="2">
        <f>MAX(0, Z4*(1+Forecast!$B3))</f>
        <v>7259195393906.1201</v>
      </c>
      <c r="AB4" s="2">
        <f>MAX(0, AA4*(1+Forecast!$B3))</f>
        <v>7302750566269.5566</v>
      </c>
      <c r="AC4" s="2">
        <f>MAX(0, AB4*(1+Forecast!$B3))</f>
        <v>7346567069667.1738</v>
      </c>
      <c r="AD4" s="2">
        <f>MAX(0, AC4*(1+Forecast!$B3))</f>
        <v>7390646472085.1768</v>
      </c>
      <c r="AE4" s="2">
        <f>MAX(0, AD4*(1+Forecast!$B3))</f>
        <v>7434990350917.6875</v>
      </c>
      <c r="AF4" s="2">
        <f>MAX(0, AE4*(1+Forecast!$B3))</f>
        <v>7479600293023.1934</v>
      </c>
      <c r="AG4" s="2">
        <f>MAX(0, AF4*(1+Forecast!$B3))</f>
        <v>7524477894781.333</v>
      </c>
      <c r="AH4" s="2"/>
      <c r="AI4" s="2"/>
    </row>
    <row r="5" spans="1:35">
      <c r="A5" s="15" t="s">
        <v>3</v>
      </c>
      <c r="B5" s="2">
        <f>INDEX('2019'!$B$26:$G$35, MATCH($A5, '2019'!$A$2:$A$11, 0), MATCH(Rural_res_calculation!$A$3, '2019'!$B$1:$G$1, 0))</f>
        <v>963403803963.1012</v>
      </c>
      <c r="C5" s="2">
        <f>INDEX('2020'!$B$26:$G$35, MATCH($A5, '2020'!$A$2:$A$11, 0), MATCH(Rural_res_calculation!$A$3, '2020'!$B$1:$G$1, 0))</f>
        <v>714256116899.99976</v>
      </c>
      <c r="D5" s="2">
        <f>INDEX('2021'!$B$26:$G$35, MATCH($A5, '2021'!$A$2:$A$11, 0), MATCH(Rural_res_calculation!$A$3, '2021'!$B$1:$G$1, 0))</f>
        <v>628675543439.99988</v>
      </c>
      <c r="E5" s="2">
        <f>MAX(0, D5*(1+Forecast!$B4))</f>
        <v>549462424966.55988</v>
      </c>
      <c r="F5" s="2">
        <f>MAX(0, E5*(1+Forecast!$B4))</f>
        <v>480230159420.77332</v>
      </c>
      <c r="G5" s="2">
        <f>MAX(0, F5*(1+Forecast!$B4))</f>
        <v>419721159333.75586</v>
      </c>
      <c r="H5" s="2">
        <f>MAX(0, G5*(1+Forecast!$B4))</f>
        <v>366836293257.70264</v>
      </c>
      <c r="I5" s="2">
        <f>MAX(0, H5*(1+Forecast!$B4))</f>
        <v>320614920307.23212</v>
      </c>
      <c r="J5" s="2">
        <f>MAX(0, I5*(1+Forecast!$B4))</f>
        <v>280217440348.52087</v>
      </c>
      <c r="K5" s="2">
        <f>MAX(0, J5*(1+Forecast!$B4))</f>
        <v>244910042864.60724</v>
      </c>
      <c r="L5" s="2">
        <f>MAX(0, K5*(1+Forecast!$B4))</f>
        <v>214051377463.66672</v>
      </c>
      <c r="M5" s="2">
        <f>MAX(0, L5*(1+Forecast!$B4))</f>
        <v>187080903903.24472</v>
      </c>
      <c r="N5" s="2">
        <f>MAX(0, M5*(1+Forecast!$B4))</f>
        <v>163508710011.43588</v>
      </c>
      <c r="O5" s="2">
        <f>MAX(0, N5*(1+Forecast!$B4))</f>
        <v>142906612549.99496</v>
      </c>
      <c r="P5" s="2">
        <f>MAX(0, O5*(1+Forecast!$B4))</f>
        <v>124900379368.6956</v>
      </c>
      <c r="Q5" s="2">
        <f>MAX(0, P5*(1+Forecast!$B4))</f>
        <v>109162931568.23996</v>
      </c>
      <c r="R5" s="2">
        <f>MAX(0, Q5*(1+Forecast!$B4))</f>
        <v>95408402190.641724</v>
      </c>
      <c r="S5" s="2">
        <f>MAX(0, R5*(1+Forecast!$B4))</f>
        <v>83386943514.620865</v>
      </c>
      <c r="T5" s="2">
        <f>MAX(0, S5*(1+Forecast!$B4))</f>
        <v>72880188631.778641</v>
      </c>
      <c r="U5" s="2">
        <f>MAX(0, T5*(1+Forecast!$B4))</f>
        <v>63697284864.17453</v>
      </c>
      <c r="V5" s="2">
        <f>MAX(0, U5*(1+Forecast!$B4))</f>
        <v>55671426971.288536</v>
      </c>
      <c r="W5" s="2">
        <f>MAX(0, V5*(1+Forecast!$B4))</f>
        <v>48656827172.906181</v>
      </c>
      <c r="X5" s="2">
        <f>MAX(0, W5*(1+Forecast!$B4))</f>
        <v>42526066949.120003</v>
      </c>
      <c r="Y5" s="2">
        <f>MAX(0, X5*(1+Forecast!$B4))</f>
        <v>37167782513.530884</v>
      </c>
      <c r="Z5" s="2">
        <f>MAX(0, Y5*(1+Forecast!$B4))</f>
        <v>32484641916.825993</v>
      </c>
      <c r="AA5" s="2">
        <f>MAX(0, Z5*(1+Forecast!$B4))</f>
        <v>28391577035.305916</v>
      </c>
      <c r="AB5" s="2">
        <f>MAX(0, AA5*(1+Forecast!$B4))</f>
        <v>24814238328.857372</v>
      </c>
      <c r="AC5" s="2">
        <f>MAX(0, AB5*(1+Forecast!$B4))</f>
        <v>21687644299.421345</v>
      </c>
      <c r="AD5" s="2">
        <f>MAX(0, AC5*(1+Forecast!$B4))</f>
        <v>18955001117.694256</v>
      </c>
      <c r="AE5" s="2">
        <f>MAX(0, AD5*(1+Forecast!$B4))</f>
        <v>16566670976.86478</v>
      </c>
      <c r="AF5" s="2">
        <f>MAX(0, AE5*(1+Forecast!$B4))</f>
        <v>14479270433.779818</v>
      </c>
      <c r="AG5" s="2">
        <f>MAX(0, AF5*(1+Forecast!$B4))</f>
        <v>12654882359.12356</v>
      </c>
      <c r="AH5" s="2"/>
      <c r="AI5" s="2"/>
    </row>
    <row r="6" spans="1:35">
      <c r="A6" s="15" t="s">
        <v>4</v>
      </c>
      <c r="B6" s="2">
        <f>INDEX('2019'!$B$26:$G$35, MATCH($A6, '2019'!$A$2:$A$11, 0), MATCH(Rural_res_calculation!$A$3, '2019'!$B$1:$G$1, 0))</f>
        <v>28226052117570.422</v>
      </c>
      <c r="C6" s="2">
        <f>INDEX('2020'!$B$26:$G$35, MATCH($A6, '2020'!$A$2:$A$11, 0), MATCH(Rural_res_calculation!$A$3, '2020'!$B$1:$G$1, 0))</f>
        <v>29319281507568.176</v>
      </c>
      <c r="D6" s="2">
        <f>INDEX('2021'!$B$26:$G$35, MATCH($A6, '2021'!$A$2:$A$11, 0), MATCH(Rural_res_calculation!$A$3, '2021'!$B$1:$G$1, 0))</f>
        <v>29866111404955.277</v>
      </c>
      <c r="E6" s="2">
        <f>MAX(0, D6*(1+Forecast!$B5))</f>
        <v>29627182513715.637</v>
      </c>
      <c r="F6" s="2">
        <f>MAX(0, E6*(1+Forecast!$B5))</f>
        <v>29390165053605.91</v>
      </c>
      <c r="G6" s="2">
        <f>MAX(0, F6*(1+Forecast!$B5))</f>
        <v>29155043733177.063</v>
      </c>
      <c r="H6" s="2">
        <f>MAX(0, G6*(1+Forecast!$B5))</f>
        <v>28921803383311.645</v>
      </c>
      <c r="I6" s="2">
        <f>MAX(0, H6*(1+Forecast!$B5))</f>
        <v>28690428956245.152</v>
      </c>
      <c r="J6" s="2">
        <f>MAX(0, I6*(1+Forecast!$B5))</f>
        <v>28460905524595.191</v>
      </c>
      <c r="K6" s="2">
        <f>MAX(0, J6*(1+Forecast!$B5))</f>
        <v>28233218280398.43</v>
      </c>
      <c r="L6" s="2">
        <f>MAX(0, K6*(1+Forecast!$B5))</f>
        <v>28007352534155.242</v>
      </c>
      <c r="M6" s="2">
        <f>MAX(0, L6*(1+Forecast!$B5))</f>
        <v>27783293713882</v>
      </c>
      <c r="N6" s="2">
        <f>MAX(0, M6*(1+Forecast!$B5))</f>
        <v>27561027364170.945</v>
      </c>
      <c r="O6" s="2">
        <f>MAX(0, N6*(1+Forecast!$B5))</f>
        <v>27340539145257.578</v>
      </c>
      <c r="P6" s="2">
        <f>MAX(0, O6*(1+Forecast!$B5))</f>
        <v>27121814832095.516</v>
      </c>
      <c r="Q6" s="2">
        <f>MAX(0, P6*(1+Forecast!$B5))</f>
        <v>26904840313438.75</v>
      </c>
      <c r="R6" s="2">
        <f>MAX(0, Q6*(1+Forecast!$B5))</f>
        <v>26689601590931.238</v>
      </c>
      <c r="S6" s="2">
        <f>MAX(0, R6*(1+Forecast!$B5))</f>
        <v>26476084778203.789</v>
      </c>
      <c r="T6" s="2">
        <f>MAX(0, S6*(1+Forecast!$B5))</f>
        <v>26264276099978.16</v>
      </c>
      <c r="U6" s="2">
        <f>MAX(0, T6*(1+Forecast!$B5))</f>
        <v>26054161891178.336</v>
      </c>
      <c r="V6" s="2">
        <f>MAX(0, U6*(1+Forecast!$B5))</f>
        <v>25845728596048.91</v>
      </c>
      <c r="W6" s="2">
        <f>MAX(0, V6*(1+Forecast!$B5))</f>
        <v>25638962767280.52</v>
      </c>
      <c r="X6" s="2">
        <f>MAX(0, W6*(1+Forecast!$B5))</f>
        <v>25433851065142.273</v>
      </c>
      <c r="Y6" s="2">
        <f>MAX(0, X6*(1+Forecast!$B5))</f>
        <v>25230380256621.137</v>
      </c>
      <c r="Z6" s="2">
        <f>MAX(0, Y6*(1+Forecast!$B5))</f>
        <v>25028537214568.168</v>
      </c>
      <c r="AA6" s="2">
        <f>MAX(0, Z6*(1+Forecast!$B5))</f>
        <v>24828308916851.621</v>
      </c>
      <c r="AB6" s="2">
        <f>MAX(0, AA6*(1+Forecast!$B5))</f>
        <v>24629682445516.809</v>
      </c>
      <c r="AC6" s="2">
        <f>MAX(0, AB6*(1+Forecast!$B5))</f>
        <v>24432644985952.676</v>
      </c>
      <c r="AD6" s="2">
        <f>MAX(0, AC6*(1+Forecast!$B5))</f>
        <v>24237183826065.055</v>
      </c>
      <c r="AE6" s="2">
        <f>MAX(0, AD6*(1+Forecast!$B5))</f>
        <v>24043286355456.535</v>
      </c>
      <c r="AF6" s="2">
        <f>MAX(0, AE6*(1+Forecast!$B5))</f>
        <v>23850940064612.883</v>
      </c>
      <c r="AG6" s="2">
        <f>MAX(0, AF6*(1+Forecast!$B5))</f>
        <v>23660132544095.98</v>
      </c>
      <c r="AH6" s="2"/>
      <c r="AI6" s="2"/>
    </row>
    <row r="7" spans="1:35">
      <c r="A7" s="15" t="s">
        <v>5</v>
      </c>
      <c r="B7" s="2">
        <f>INDEX('2019'!$B$26:$G$35, MATCH($A7, '2019'!$A$2:$A$11, 0), MATCH(Rural_res_calculation!$A$3, '2019'!$B$1:$G$1, 0))</f>
        <v>0</v>
      </c>
      <c r="C7" s="2">
        <f>INDEX('2020'!$B$26:$G$35, MATCH($A7, '2020'!$A$2:$A$11, 0), MATCH(Rural_res_calculation!$A$3, '2020'!$B$1:$G$1, 0))</f>
        <v>0</v>
      </c>
      <c r="D7" s="2">
        <f>INDEX('2021'!$B$26:$G$35, MATCH($A7, '2021'!$A$2:$A$11, 0), MATCH(Rural_res_calculation!$A$3, '2021'!$B$1:$G$1, 0))</f>
        <v>0</v>
      </c>
      <c r="E7" s="2">
        <f>MAX(0, D7*(1+Forecast!$B6))</f>
        <v>0</v>
      </c>
      <c r="F7" s="2">
        <f>MAX(0, E7*(1+Forecast!$B6))</f>
        <v>0</v>
      </c>
      <c r="G7" s="2">
        <f>MAX(0, F7*(1+Forecast!$B6))</f>
        <v>0</v>
      </c>
      <c r="H7" s="2">
        <f>MAX(0, G7*(1+Forecast!$B6))</f>
        <v>0</v>
      </c>
      <c r="I7" s="2">
        <f>MAX(0, H7*(1+Forecast!$B6))</f>
        <v>0</v>
      </c>
      <c r="J7" s="2">
        <f>MAX(0, I7*(1+Forecast!$B6))</f>
        <v>0</v>
      </c>
      <c r="K7" s="2">
        <f>MAX(0, J7*(1+Forecast!$B6))</f>
        <v>0</v>
      </c>
      <c r="L7" s="2">
        <f>MAX(0, K7*(1+Forecast!$B6))</f>
        <v>0</v>
      </c>
      <c r="M7" s="2">
        <f>MAX(0, L7*(1+Forecast!$B6))</f>
        <v>0</v>
      </c>
      <c r="N7" s="2">
        <f>MAX(0, M7*(1+Forecast!$B6))</f>
        <v>0</v>
      </c>
      <c r="O7" s="2">
        <f>MAX(0, N7*(1+Forecast!$B6))</f>
        <v>0</v>
      </c>
      <c r="P7" s="2">
        <f>MAX(0, O7*(1+Forecast!$B6))</f>
        <v>0</v>
      </c>
      <c r="Q7" s="2">
        <f>MAX(0, P7*(1+Forecast!$B6))</f>
        <v>0</v>
      </c>
      <c r="R7" s="2">
        <f>MAX(0, Q7*(1+Forecast!$B6))</f>
        <v>0</v>
      </c>
      <c r="S7" s="2">
        <f>MAX(0, R7*(1+Forecast!$B6))</f>
        <v>0</v>
      </c>
      <c r="T7" s="2">
        <f>MAX(0, S7*(1+Forecast!$B6))</f>
        <v>0</v>
      </c>
      <c r="U7" s="2">
        <f>MAX(0, T7*(1+Forecast!$B6))</f>
        <v>0</v>
      </c>
      <c r="V7" s="2">
        <f>MAX(0, U7*(1+Forecast!$B6))</f>
        <v>0</v>
      </c>
      <c r="W7" s="2">
        <f>MAX(0, V7*(1+Forecast!$B6))</f>
        <v>0</v>
      </c>
      <c r="X7" s="2">
        <f>MAX(0, W7*(1+Forecast!$B6))</f>
        <v>0</v>
      </c>
      <c r="Y7" s="2">
        <f>MAX(0, X7*(1+Forecast!$B6))</f>
        <v>0</v>
      </c>
      <c r="Z7" s="2">
        <f>MAX(0, Y7*(1+Forecast!$B6))</f>
        <v>0</v>
      </c>
      <c r="AA7" s="2">
        <f>MAX(0, Z7*(1+Forecast!$B6))</f>
        <v>0</v>
      </c>
      <c r="AB7" s="2">
        <f>MAX(0, AA7*(1+Forecast!$B6))</f>
        <v>0</v>
      </c>
      <c r="AC7" s="2">
        <f>MAX(0, AB7*(1+Forecast!$B6))</f>
        <v>0</v>
      </c>
      <c r="AD7" s="2">
        <f>MAX(0, AC7*(1+Forecast!$B6))</f>
        <v>0</v>
      </c>
      <c r="AE7" s="2">
        <f>MAX(0, AD7*(1+Forecast!$B6))</f>
        <v>0</v>
      </c>
      <c r="AF7" s="2">
        <f>MAX(0, AE7*(1+Forecast!$B6))</f>
        <v>0</v>
      </c>
      <c r="AG7" s="2">
        <f>MAX(0, AF7*(1+Forecast!$B6))</f>
        <v>0</v>
      </c>
      <c r="AH7" s="2"/>
      <c r="AI7" s="2"/>
    </row>
    <row r="8" spans="1:35">
      <c r="A8" s="15" t="s">
        <v>7</v>
      </c>
      <c r="B8" s="2">
        <f>INDEX('2019'!$B$26:$G$35, MATCH($A8, '2019'!$A$2:$A$11, 0), MATCH(Rural_res_calculation!$A$3, '2019'!$B$1:$G$1, 0))</f>
        <v>6768349535999.9971</v>
      </c>
      <c r="C8" s="2">
        <f>INDEX('2020'!$B$26:$G$35, MATCH($A8, '2020'!$A$2:$A$11, 0), MATCH(Rural_res_calculation!$A$3, '2020'!$B$1:$G$1, 0))</f>
        <v>7157529634319.9971</v>
      </c>
      <c r="D8" s="2">
        <f>INDEX('2021'!$B$26:$G$35, MATCH($A8, '2021'!$A$2:$A$11, 0), MATCH(Rural_res_calculation!$A$3, '2021'!$B$1:$G$1, 0))</f>
        <v>7370992965839.9961</v>
      </c>
      <c r="E8" s="2">
        <f>MAX(0, D8*(1+Forecast!$B7))</f>
        <v>7363621972874.1563</v>
      </c>
      <c r="F8" s="2">
        <f>MAX(0, E8*(1+Forecast!$B7))</f>
        <v>7356258350901.2822</v>
      </c>
      <c r="G8" s="2">
        <f>MAX(0, F8*(1+Forecast!$B7))</f>
        <v>7348902092550.3809</v>
      </c>
      <c r="H8" s="2">
        <f>MAX(0, G8*(1+Forecast!$B7))</f>
        <v>7341553190457.8301</v>
      </c>
      <c r="I8" s="2">
        <f>MAX(0, H8*(1+Forecast!$B7))</f>
        <v>7334211637267.3721</v>
      </c>
      <c r="J8" s="2">
        <f>MAX(0, I8*(1+Forecast!$B7))</f>
        <v>7326877425630.1045</v>
      </c>
      <c r="K8" s="2">
        <f>MAX(0, J8*(1+Forecast!$B7))</f>
        <v>7319550548204.4746</v>
      </c>
      <c r="L8" s="2">
        <f>MAX(0, K8*(1+Forecast!$B7))</f>
        <v>7312230997656.2705</v>
      </c>
      <c r="M8" s="2">
        <f>MAX(0, L8*(1+Forecast!$B7))</f>
        <v>7304918766658.6143</v>
      </c>
      <c r="N8" s="2">
        <f>MAX(0, M8*(1+Forecast!$B7))</f>
        <v>7297613847891.9561</v>
      </c>
      <c r="O8" s="2">
        <f>MAX(0, N8*(1+Forecast!$B7))</f>
        <v>7290316234044.0645</v>
      </c>
      <c r="P8" s="2">
        <f>MAX(0, O8*(1+Forecast!$B7))</f>
        <v>7283025917810.0205</v>
      </c>
      <c r="Q8" s="2">
        <f>MAX(0, P8*(1+Forecast!$B7))</f>
        <v>7275742891892.2109</v>
      </c>
      <c r="R8" s="2">
        <f>MAX(0, Q8*(1+Forecast!$B7))</f>
        <v>7268467149000.3184</v>
      </c>
      <c r="S8" s="2">
        <f>MAX(0, R8*(1+Forecast!$B7))</f>
        <v>7261198681851.3184</v>
      </c>
      <c r="T8" s="2">
        <f>MAX(0, S8*(1+Forecast!$B7))</f>
        <v>7253937483169.4668</v>
      </c>
      <c r="U8" s="2">
        <f>MAX(0, T8*(1+Forecast!$B7))</f>
        <v>7246683545686.2969</v>
      </c>
      <c r="V8" s="2">
        <f>MAX(0, U8*(1+Forecast!$B7))</f>
        <v>7239436862140.6104</v>
      </c>
      <c r="W8" s="2">
        <f>MAX(0, V8*(1+Forecast!$B7))</f>
        <v>7232197425278.4697</v>
      </c>
      <c r="X8" s="2">
        <f>MAX(0, W8*(1+Forecast!$B7))</f>
        <v>7224965227853.1914</v>
      </c>
      <c r="Y8" s="2">
        <f>MAX(0, X8*(1+Forecast!$B7))</f>
        <v>7217740262625.3379</v>
      </c>
      <c r="Z8" s="2">
        <f>MAX(0, Y8*(1+Forecast!$B7))</f>
        <v>7210522522362.7129</v>
      </c>
      <c r="AA8" s="2">
        <f>MAX(0, Z8*(1+Forecast!$B7))</f>
        <v>7203311999840.3506</v>
      </c>
      <c r="AB8" s="2">
        <f>MAX(0, AA8*(1+Forecast!$B7))</f>
        <v>7196108687840.5098</v>
      </c>
      <c r="AC8" s="2">
        <f>MAX(0, AB8*(1+Forecast!$B7))</f>
        <v>7188912579152.6689</v>
      </c>
      <c r="AD8" s="2">
        <f>MAX(0, AC8*(1+Forecast!$B7))</f>
        <v>7181723666573.5166</v>
      </c>
      <c r="AE8" s="2">
        <f>MAX(0, AD8*(1+Forecast!$B7))</f>
        <v>7174541942906.9434</v>
      </c>
      <c r="AF8" s="2">
        <f>MAX(0, AE8*(1+Forecast!$B7))</f>
        <v>7167367400964.0361</v>
      </c>
      <c r="AG8" s="2">
        <f>MAX(0, AF8*(1+Forecast!$B7))</f>
        <v>7160200033563.0723</v>
      </c>
      <c r="AH8" s="2"/>
      <c r="AI8" s="2"/>
    </row>
    <row r="9" spans="1:35">
      <c r="A9" s="15" t="s">
        <v>11</v>
      </c>
      <c r="B9" s="2">
        <f>INDEX('2019'!$B$26:$G$35, MATCH($A9, '2019'!$A$2:$A$11, 0), MATCH(Rural_res_calculation!$A$3, '2019'!$B$1:$G$1, 0))</f>
        <v>431482282919.99988</v>
      </c>
      <c r="C9" s="2">
        <f>INDEX('2020'!$B$26:$G$35, MATCH($A9, '2020'!$A$2:$A$11, 0), MATCH(Rural_res_calculation!$A$3, '2020'!$B$1:$G$1, 0))</f>
        <v>411958197719.99982</v>
      </c>
      <c r="D9" s="2">
        <f>INDEX('2021'!$B$26:$G$35, MATCH($A9, '2021'!$A$2:$A$11, 0), MATCH(Rural_res_calculation!$A$3, '2021'!$B$1:$G$1, 0))</f>
        <v>413585204819.99988</v>
      </c>
      <c r="E9" s="2">
        <f>MAX(0, D9*(1+Forecast!$B8))</f>
        <v>416066716048.91986</v>
      </c>
      <c r="F9" s="2">
        <f>MAX(0, E9*(1+Forecast!$B8))</f>
        <v>418563116345.21338</v>
      </c>
      <c r="G9" s="2">
        <f>MAX(0, F9*(1+Forecast!$B8))</f>
        <v>421074495043.28467</v>
      </c>
      <c r="H9" s="2">
        <f>MAX(0, G9*(1+Forecast!$B8))</f>
        <v>423600942013.54437</v>
      </c>
      <c r="I9" s="2">
        <f>MAX(0, H9*(1+Forecast!$B8))</f>
        <v>426142547665.62567</v>
      </c>
      <c r="J9" s="2">
        <f>MAX(0, I9*(1+Forecast!$B8))</f>
        <v>428699402951.61945</v>
      </c>
      <c r="K9" s="2">
        <f>MAX(0, J9*(1+Forecast!$B8))</f>
        <v>431271599369.32916</v>
      </c>
      <c r="L9" s="2">
        <f>MAX(0, K9*(1+Forecast!$B8))</f>
        <v>433859228965.54517</v>
      </c>
      <c r="M9" s="2">
        <f>MAX(0, L9*(1+Forecast!$B8))</f>
        <v>436462384339.33844</v>
      </c>
      <c r="N9" s="2">
        <f>MAX(0, M9*(1+Forecast!$B8))</f>
        <v>439081158645.37445</v>
      </c>
      <c r="O9" s="2">
        <f>MAX(0, N9*(1+Forecast!$B8))</f>
        <v>441715645597.2467</v>
      </c>
      <c r="P9" s="2">
        <f>MAX(0, O9*(1+Forecast!$B8))</f>
        <v>444365939470.8302</v>
      </c>
      <c r="Q9" s="2">
        <f>MAX(0, P9*(1+Forecast!$B8))</f>
        <v>447032135107.65521</v>
      </c>
      <c r="R9" s="2">
        <f>MAX(0, Q9*(1+Forecast!$B8))</f>
        <v>449714327918.30115</v>
      </c>
      <c r="S9" s="2">
        <f>MAX(0, R9*(1+Forecast!$B8))</f>
        <v>452412613885.81097</v>
      </c>
      <c r="T9" s="2">
        <f>MAX(0, S9*(1+Forecast!$B8))</f>
        <v>455127089569.12585</v>
      </c>
      <c r="U9" s="2">
        <f>MAX(0, T9*(1+Forecast!$B8))</f>
        <v>457857852106.54059</v>
      </c>
      <c r="V9" s="2">
        <f>MAX(0, U9*(1+Forecast!$B8))</f>
        <v>460604999219.17981</v>
      </c>
      <c r="W9" s="2">
        <f>MAX(0, V9*(1+Forecast!$B8))</f>
        <v>463368629214.49487</v>
      </c>
      <c r="X9" s="2">
        <f>MAX(0, W9*(1+Forecast!$B8))</f>
        <v>466148840989.78186</v>
      </c>
      <c r="Y9" s="2">
        <f>MAX(0, X9*(1+Forecast!$B8))</f>
        <v>468945734035.72058</v>
      </c>
      <c r="Z9" s="2">
        <f>MAX(0, Y9*(1+Forecast!$B8))</f>
        <v>471759408439.93494</v>
      </c>
      <c r="AA9" s="2">
        <f>MAX(0, Z9*(1+Forecast!$B8))</f>
        <v>474589964890.57452</v>
      </c>
      <c r="AB9" s="2">
        <f>MAX(0, AA9*(1+Forecast!$B8))</f>
        <v>477437504679.91797</v>
      </c>
      <c r="AC9" s="2">
        <f>MAX(0, AB9*(1+Forecast!$B8))</f>
        <v>480302129707.9975</v>
      </c>
      <c r="AD9" s="2">
        <f>MAX(0, AC9*(1+Forecast!$B8))</f>
        <v>483183942486.24548</v>
      </c>
      <c r="AE9" s="2">
        <f>MAX(0, AD9*(1+Forecast!$B8))</f>
        <v>486083046141.16296</v>
      </c>
      <c r="AF9" s="2">
        <f>MAX(0, AE9*(1+Forecast!$B8))</f>
        <v>488999544418.00995</v>
      </c>
      <c r="AG9" s="2">
        <f>MAX(0, AF9*(1+Forecast!$B8))</f>
        <v>491933541684.51801</v>
      </c>
      <c r="AH9" s="2"/>
      <c r="AI9" s="2"/>
    </row>
    <row r="10" spans="1:35">
      <c r="A10" s="15" t="s">
        <v>13</v>
      </c>
      <c r="B10" s="2">
        <f>INDEX('2019'!$B$26:$G$35, MATCH($A10, '2019'!$A$2:$A$11, 0), MATCH(Rural_res_calculation!$A$3, '2019'!$B$1:$G$1, 0))</f>
        <v>0</v>
      </c>
      <c r="C10" s="2">
        <f>INDEX('2020'!$B$26:$G$35, MATCH($A10, '2020'!$A$2:$A$11, 0), MATCH(Rural_res_calculation!$A$3, '2020'!$B$1:$G$1, 0))</f>
        <v>0</v>
      </c>
      <c r="D10" s="2">
        <f>INDEX('2021'!$B$26:$G$35, MATCH($A10, '2021'!$A$2:$A$11, 0), MATCH(Rural_res_calculation!$A$3, '2021'!$B$1:$G$1, 0))</f>
        <v>0</v>
      </c>
      <c r="E10" s="2">
        <f>MAX(0, D10*(1+Forecast!$B9))</f>
        <v>0</v>
      </c>
      <c r="F10" s="2">
        <f>MAX(0, E10*(1+Forecast!$B9))</f>
        <v>0</v>
      </c>
      <c r="G10" s="2">
        <f>MAX(0, F10*(1+Forecast!$B9))</f>
        <v>0</v>
      </c>
      <c r="H10" s="2">
        <f>MAX(0, G10*(1+Forecast!$B9))</f>
        <v>0</v>
      </c>
      <c r="I10" s="2">
        <f>MAX(0, H10*(1+Forecast!$B9))</f>
        <v>0</v>
      </c>
      <c r="J10" s="2">
        <f>MAX(0, I10*(1+Forecast!$B9))</f>
        <v>0</v>
      </c>
      <c r="K10" s="2">
        <f>MAX(0, J10*(1+Forecast!$B9))</f>
        <v>0</v>
      </c>
      <c r="L10" s="2">
        <f>MAX(0, K10*(1+Forecast!$B9))</f>
        <v>0</v>
      </c>
      <c r="M10" s="2">
        <f>MAX(0, L10*(1+Forecast!$B9))</f>
        <v>0</v>
      </c>
      <c r="N10" s="2">
        <f>MAX(0, M10*(1+Forecast!$B9))</f>
        <v>0</v>
      </c>
      <c r="O10" s="2">
        <f>MAX(0, N10*(1+Forecast!$B9))</f>
        <v>0</v>
      </c>
      <c r="P10" s="2">
        <f>MAX(0, O10*(1+Forecast!$B9))</f>
        <v>0</v>
      </c>
      <c r="Q10" s="2">
        <f>MAX(0, P10*(1+Forecast!$B9))</f>
        <v>0</v>
      </c>
      <c r="R10" s="2">
        <f>MAX(0, Q10*(1+Forecast!$B9))</f>
        <v>0</v>
      </c>
      <c r="S10" s="2">
        <f>MAX(0, R10*(1+Forecast!$B9))</f>
        <v>0</v>
      </c>
      <c r="T10" s="2">
        <f>MAX(0, S10*(1+Forecast!$B9))</f>
        <v>0</v>
      </c>
      <c r="U10" s="2">
        <f>MAX(0, T10*(1+Forecast!$B9))</f>
        <v>0</v>
      </c>
      <c r="V10" s="2">
        <f>MAX(0, U10*(1+Forecast!$B9))</f>
        <v>0</v>
      </c>
      <c r="W10" s="2">
        <f>MAX(0, V10*(1+Forecast!$B9))</f>
        <v>0</v>
      </c>
      <c r="X10" s="2">
        <f>MAX(0, W10*(1+Forecast!$B9))</f>
        <v>0</v>
      </c>
      <c r="Y10" s="2">
        <f>MAX(0, X10*(1+Forecast!$B9))</f>
        <v>0</v>
      </c>
      <c r="Z10" s="2">
        <f>MAX(0, Y10*(1+Forecast!$B9))</f>
        <v>0</v>
      </c>
      <c r="AA10" s="2">
        <f>MAX(0, Z10*(1+Forecast!$B9))</f>
        <v>0</v>
      </c>
      <c r="AB10" s="2">
        <f>MAX(0, AA10*(1+Forecast!$B9))</f>
        <v>0</v>
      </c>
      <c r="AC10" s="2">
        <f>MAX(0, AB10*(1+Forecast!$B9))</f>
        <v>0</v>
      </c>
      <c r="AD10" s="2">
        <f>MAX(0, AC10*(1+Forecast!$B9))</f>
        <v>0</v>
      </c>
      <c r="AE10" s="2">
        <f>MAX(0, AD10*(1+Forecast!$B9))</f>
        <v>0</v>
      </c>
      <c r="AF10" s="2">
        <f>MAX(0, AE10*(1+Forecast!$B9))</f>
        <v>0</v>
      </c>
      <c r="AG10" s="2">
        <f>MAX(0, AF10*(1+Forecast!$B9))</f>
        <v>0</v>
      </c>
      <c r="AH10" s="2"/>
      <c r="AI10" s="2"/>
    </row>
    <row r="11" spans="1:35">
      <c r="A11" s="15" t="s">
        <v>14</v>
      </c>
      <c r="B11" s="2">
        <f>INDEX('2019'!$B$26:$G$35, MATCH($A11, '2019'!$A$2:$A$11, 0), MATCH(Rural_res_calculation!$A$3, '2019'!$B$1:$G$1, 0))</f>
        <v>5109778498259.998</v>
      </c>
      <c r="C11" s="2">
        <f>INDEX('2020'!$B$26:$G$35, MATCH($A11, '2020'!$A$2:$A$11, 0), MATCH(Rural_res_calculation!$A$3, '2020'!$B$1:$G$1, 0))</f>
        <v>4980128465263.5791</v>
      </c>
      <c r="D11" s="2">
        <f>INDEX('2021'!$B$26:$G$35, MATCH($A11, '2021'!$A$2:$A$11, 0), MATCH(Rural_res_calculation!$A$3, '2021'!$B$1:$G$1, 0))</f>
        <v>4977516468261.8193</v>
      </c>
      <c r="E11" s="2">
        <f>MAX(0, D11*(1+Forecast!$B10))</f>
        <v>4768460776594.8223</v>
      </c>
      <c r="F11" s="2">
        <f>MAX(0, E11*(1+Forecast!$B10))</f>
        <v>4568185423977.8398</v>
      </c>
      <c r="G11" s="2">
        <f>MAX(0, F11*(1+Forecast!$B10))</f>
        <v>4376321636170.7705</v>
      </c>
      <c r="H11" s="2">
        <f>MAX(0, G11*(1+Forecast!$B10))</f>
        <v>4192516127451.5981</v>
      </c>
      <c r="I11" s="2">
        <f>MAX(0, H11*(1+Forecast!$B10))</f>
        <v>4016430450098.6309</v>
      </c>
      <c r="J11" s="2">
        <f>MAX(0, I11*(1+Forecast!$B10))</f>
        <v>3847740371194.4883</v>
      </c>
      <c r="K11" s="2">
        <f>MAX(0, J11*(1+Forecast!$B10))</f>
        <v>3686135275604.3198</v>
      </c>
      <c r="L11" s="2">
        <f>MAX(0, K11*(1+Forecast!$B10))</f>
        <v>3531317594028.9385</v>
      </c>
      <c r="M11" s="2">
        <f>MAX(0, L11*(1+Forecast!$B10))</f>
        <v>3383002255079.7231</v>
      </c>
      <c r="N11" s="2">
        <f>MAX(0, M11*(1+Forecast!$B10))</f>
        <v>3240916160366.3745</v>
      </c>
      <c r="O11" s="2">
        <f>MAX(0, N11*(1+Forecast!$B10))</f>
        <v>3104797681630.9868</v>
      </c>
      <c r="P11" s="2">
        <f>MAX(0, O11*(1+Forecast!$B10))</f>
        <v>2974396179002.4854</v>
      </c>
      <c r="Q11" s="2">
        <f>MAX(0, P11*(1+Forecast!$B10))</f>
        <v>2849471539484.3809</v>
      </c>
      <c r="R11" s="2">
        <f>MAX(0, Q11*(1+Forecast!$B10))</f>
        <v>2729793734826.0366</v>
      </c>
      <c r="S11" s="2">
        <f>MAX(0, R11*(1+Forecast!$B10))</f>
        <v>2615142397963.3428</v>
      </c>
      <c r="T11" s="2">
        <f>MAX(0, S11*(1+Forecast!$B10))</f>
        <v>2505306417248.8823</v>
      </c>
      <c r="U11" s="2">
        <f>MAX(0, T11*(1+Forecast!$B10))</f>
        <v>2400083547724.4292</v>
      </c>
      <c r="V11" s="2">
        <f>MAX(0, U11*(1+Forecast!$B10))</f>
        <v>2299280038720.0029</v>
      </c>
      <c r="W11" s="2">
        <f>MAX(0, V11*(1+Forecast!$B10))</f>
        <v>2202710277093.7627</v>
      </c>
      <c r="X11" s="2">
        <f>MAX(0, W11*(1+Forecast!$B10))</f>
        <v>2110196445455.8245</v>
      </c>
      <c r="Y11" s="2">
        <f>MAX(0, X11*(1+Forecast!$B10))</f>
        <v>2021568194746.6797</v>
      </c>
      <c r="Z11" s="2">
        <f>MAX(0, Y11*(1+Forecast!$B10))</f>
        <v>1936662330567.3191</v>
      </c>
      <c r="AA11" s="2">
        <f>MAX(0, Z11*(1+Forecast!$B10))</f>
        <v>1855322512683.4917</v>
      </c>
      <c r="AB11" s="2">
        <f>MAX(0, AA11*(1+Forecast!$B10))</f>
        <v>1777398967150.7849</v>
      </c>
      <c r="AC11" s="2">
        <f>MAX(0, AB11*(1+Forecast!$B10))</f>
        <v>1702748210530.4519</v>
      </c>
      <c r="AD11" s="2">
        <f>MAX(0, AC11*(1+Forecast!$B10))</f>
        <v>1631232785688.1729</v>
      </c>
      <c r="AE11" s="2">
        <f>MAX(0, AD11*(1+Forecast!$B10))</f>
        <v>1562721008689.2695</v>
      </c>
      <c r="AF11" s="2">
        <f>MAX(0, AE11*(1+Forecast!$B10))</f>
        <v>1497086726324.3201</v>
      </c>
      <c r="AG11" s="2">
        <f>MAX(0, AF11*(1+Forecast!$B10))</f>
        <v>1434209083818.6985</v>
      </c>
      <c r="AH11" s="2"/>
      <c r="AI11" s="2"/>
    </row>
    <row r="12" spans="1:35">
      <c r="A12" s="15" t="s">
        <v>15</v>
      </c>
      <c r="B12" s="2">
        <f>INDEX('2019'!$B$26:$G$35, MATCH($A12, '2019'!$A$2:$A$11, 0), MATCH(Rural_res_calculation!$A$3, '2019'!$B$1:$G$1, 0))</f>
        <v>1564369248993.2983</v>
      </c>
      <c r="C12" s="2">
        <f>INDEX('2020'!$B$26:$G$35, MATCH($A12, '2020'!$A$2:$A$11, 0), MATCH(Rural_res_calculation!$A$3, '2020'!$B$1:$G$1, 0))</f>
        <v>1524676623408.9155</v>
      </c>
      <c r="D12" s="2">
        <f>INDEX('2021'!$B$26:$G$35, MATCH($A12, '2021'!$A$2:$A$11, 0), MATCH(Rural_res_calculation!$A$3, '2021'!$B$1:$G$1, 0))</f>
        <v>1523876955127.9111</v>
      </c>
      <c r="E12" s="2">
        <f>MAX(0, D12*(1+Forecast!$B11))</f>
        <v>1459874123012.5388</v>
      </c>
      <c r="F12" s="2">
        <f>MAX(0, E12*(1+Forecast!$B11))</f>
        <v>1398559409846.0122</v>
      </c>
      <c r="G12" s="2">
        <f>MAX(0, F12*(1+Forecast!$B11))</f>
        <v>1339819914632.4797</v>
      </c>
      <c r="H12" s="2">
        <f>MAX(0, G12*(1+Forecast!$B11))</f>
        <v>1283547478217.9155</v>
      </c>
      <c r="I12" s="2">
        <f>MAX(0, H12*(1+Forecast!$B11))</f>
        <v>1229638484132.7629</v>
      </c>
      <c r="J12" s="2">
        <f>MAX(0, I12*(1+Forecast!$B11))</f>
        <v>1177993667799.1868</v>
      </c>
      <c r="K12" s="2">
        <f>MAX(0, J12*(1+Forecast!$B11))</f>
        <v>1128517933751.6208</v>
      </c>
      <c r="L12" s="2">
        <f>MAX(0, K12*(1+Forecast!$B11))</f>
        <v>1081120180534.0527</v>
      </c>
      <c r="M12" s="2">
        <f>MAX(0, L12*(1+Forecast!$B11))</f>
        <v>1035713132951.6224</v>
      </c>
      <c r="N12" s="2">
        <f>MAX(0, M12*(1+Forecast!$B11))</f>
        <v>992213181367.6543</v>
      </c>
      <c r="O12" s="2">
        <f>MAX(0, N12*(1+Forecast!$B11))</f>
        <v>950540227750.21277</v>
      </c>
      <c r="P12" s="2">
        <f>MAX(0, O12*(1+Forecast!$B11))</f>
        <v>910617538184.70386</v>
      </c>
      <c r="Q12" s="2">
        <f>MAX(0, P12*(1+Forecast!$B11))</f>
        <v>872371601580.94629</v>
      </c>
      <c r="R12" s="2">
        <f>MAX(0, Q12*(1+Forecast!$B11))</f>
        <v>835731994314.54651</v>
      </c>
      <c r="S12" s="2">
        <f>MAX(0, R12*(1+Forecast!$B11))</f>
        <v>800631250553.33557</v>
      </c>
      <c r="T12" s="2">
        <f>MAX(0, S12*(1+Forecast!$B11))</f>
        <v>767004738030.09546</v>
      </c>
      <c r="U12" s="2">
        <f>MAX(0, T12*(1+Forecast!$B11))</f>
        <v>734790539032.83142</v>
      </c>
      <c r="V12" s="2">
        <f>MAX(0, U12*(1+Forecast!$B11))</f>
        <v>703929336393.45251</v>
      </c>
      <c r="W12" s="2">
        <f>MAX(0, V12*(1+Forecast!$B11))</f>
        <v>674364304264.92749</v>
      </c>
      <c r="X12" s="2">
        <f>MAX(0, W12*(1+Forecast!$B11))</f>
        <v>646041003485.80054</v>
      </c>
      <c r="Y12" s="2">
        <f>MAX(0, X12*(1+Forecast!$B11))</f>
        <v>618907281339.39685</v>
      </c>
      <c r="Z12" s="2">
        <f>MAX(0, Y12*(1+Forecast!$B11))</f>
        <v>592913175523.14221</v>
      </c>
      <c r="AA12" s="2">
        <f>MAX(0, Z12*(1+Forecast!$B11))</f>
        <v>568010822151.17017</v>
      </c>
      <c r="AB12" s="2">
        <f>MAX(0, AA12*(1+Forecast!$B11))</f>
        <v>544154367620.82098</v>
      </c>
      <c r="AC12" s="2">
        <f>MAX(0, AB12*(1+Forecast!$B11))</f>
        <v>521299884180.74646</v>
      </c>
      <c r="AD12" s="2">
        <f>MAX(0, AC12*(1+Forecast!$B11))</f>
        <v>499405289045.15509</v>
      </c>
      <c r="AE12" s="2">
        <f>MAX(0, AD12*(1+Forecast!$B11))</f>
        <v>478430266905.25854</v>
      </c>
      <c r="AF12" s="2">
        <f>MAX(0, AE12*(1+Forecast!$B11))</f>
        <v>458336195695.23767</v>
      </c>
      <c r="AG12" s="2">
        <f>MAX(0, AF12*(1+Forecast!$B11))</f>
        <v>439086075476.03766</v>
      </c>
      <c r="AH12" s="2"/>
      <c r="AI12" s="2"/>
    </row>
    <row r="13" spans="1:35">
      <c r="A13" s="15" t="s">
        <v>16</v>
      </c>
      <c r="B13" s="2">
        <f>INDEX('2019'!$B$26:$G$35, MATCH($A13, '2019'!$A$2:$A$11, 0), MATCH(Rural_res_calculation!$A$3, '2019'!$B$1:$G$1, 0))</f>
        <v>0</v>
      </c>
      <c r="C13" s="2">
        <f>INDEX('2020'!$B$26:$G$35, MATCH($A13, '2020'!$A$2:$A$11, 0), MATCH(Rural_res_calculation!$A$3, '2020'!$B$1:$G$1, 0))</f>
        <v>0</v>
      </c>
      <c r="D13" s="2">
        <f>INDEX('2021'!$B$26:$G$35, MATCH($A13, '2021'!$A$2:$A$11, 0), MATCH(Rural_res_calculation!$A$3, '2021'!$B$1:$G$1, 0))</f>
        <v>0</v>
      </c>
      <c r="E13" s="2">
        <f>MAX(0, D13*(1+Forecast!$B12))</f>
        <v>0</v>
      </c>
      <c r="F13" s="2">
        <f>MAX(0, E13*(1+Forecast!$B12))</f>
        <v>0</v>
      </c>
      <c r="G13" s="2">
        <f>MAX(0, F13*(1+Forecast!$B12))</f>
        <v>0</v>
      </c>
      <c r="H13" s="2">
        <f>MAX(0, G13*(1+Forecast!$B12))</f>
        <v>0</v>
      </c>
      <c r="I13" s="2">
        <f>MAX(0, H13*(1+Forecast!$B12))</f>
        <v>0</v>
      </c>
      <c r="J13" s="2">
        <f>MAX(0, I13*(1+Forecast!$B12))</f>
        <v>0</v>
      </c>
      <c r="K13" s="2">
        <f>MAX(0, J13*(1+Forecast!$B12))</f>
        <v>0</v>
      </c>
      <c r="L13" s="2">
        <f>MAX(0, K13*(1+Forecast!$B12))</f>
        <v>0</v>
      </c>
      <c r="M13" s="2">
        <f>MAX(0, L13*(1+Forecast!$B12))</f>
        <v>0</v>
      </c>
      <c r="N13" s="2">
        <f>MAX(0, M13*(1+Forecast!$B12))</f>
        <v>0</v>
      </c>
      <c r="O13" s="2">
        <f>MAX(0, N13*(1+Forecast!$B12))</f>
        <v>0</v>
      </c>
      <c r="P13" s="2">
        <f>MAX(0, O13*(1+Forecast!$B12))</f>
        <v>0</v>
      </c>
      <c r="Q13" s="2">
        <f>MAX(0, P13*(1+Forecast!$B12))</f>
        <v>0</v>
      </c>
      <c r="R13" s="2">
        <f>MAX(0, Q13*(1+Forecast!$B12))</f>
        <v>0</v>
      </c>
      <c r="S13" s="2">
        <f>MAX(0, R13*(1+Forecast!$B12))</f>
        <v>0</v>
      </c>
      <c r="T13" s="2">
        <f>MAX(0, S13*(1+Forecast!$B12))</f>
        <v>0</v>
      </c>
      <c r="U13" s="2">
        <f>MAX(0, T13*(1+Forecast!$B12))</f>
        <v>0</v>
      </c>
      <c r="V13" s="2">
        <f>MAX(0, U13*(1+Forecast!$B12))</f>
        <v>0</v>
      </c>
      <c r="W13" s="2">
        <f>MAX(0, V13*(1+Forecast!$B12))</f>
        <v>0</v>
      </c>
      <c r="X13" s="2">
        <f>MAX(0, W13*(1+Forecast!$B12))</f>
        <v>0</v>
      </c>
      <c r="Y13" s="2">
        <f>MAX(0, X13*(1+Forecast!$B12))</f>
        <v>0</v>
      </c>
      <c r="Z13" s="2">
        <f>MAX(0, Y13*(1+Forecast!$B12))</f>
        <v>0</v>
      </c>
      <c r="AA13" s="2">
        <f>MAX(0, Z13*(1+Forecast!$B12))</f>
        <v>0</v>
      </c>
      <c r="AB13" s="2">
        <f>MAX(0, AA13*(1+Forecast!$B12))</f>
        <v>0</v>
      </c>
      <c r="AC13" s="2">
        <f>MAX(0, AB13*(1+Forecast!$B12))</f>
        <v>0</v>
      </c>
      <c r="AD13" s="2">
        <f>MAX(0, AC13*(1+Forecast!$B12))</f>
        <v>0</v>
      </c>
      <c r="AE13" s="2">
        <f>MAX(0, AD13*(1+Forecast!$B12))</f>
        <v>0</v>
      </c>
      <c r="AF13" s="2">
        <f>MAX(0, AE13*(1+Forecast!$B12))</f>
        <v>0</v>
      </c>
      <c r="AG13" s="2">
        <f>MAX(0, AF13*(1+Forecast!$B12))</f>
        <v>0</v>
      </c>
      <c r="AH13" s="2"/>
      <c r="AI13" s="2"/>
    </row>
    <row r="15" spans="1:35">
      <c r="A15" s="15" t="s">
        <v>38</v>
      </c>
      <c r="B15" s="1">
        <v>2019</v>
      </c>
      <c r="C15" s="1">
        <v>2020</v>
      </c>
      <c r="D15" s="1">
        <v>2021</v>
      </c>
      <c r="E15" s="1">
        <v>2022</v>
      </c>
      <c r="F15" s="1">
        <v>2023</v>
      </c>
      <c r="G15" s="1">
        <v>2024</v>
      </c>
      <c r="H15" s="1">
        <v>2025</v>
      </c>
      <c r="I15" s="1">
        <v>2026</v>
      </c>
      <c r="J15" s="1">
        <v>2027</v>
      </c>
      <c r="K15" s="1">
        <v>2028</v>
      </c>
      <c r="L15" s="1">
        <v>2029</v>
      </c>
      <c r="M15" s="1">
        <v>2030</v>
      </c>
      <c r="N15" s="1">
        <v>2031</v>
      </c>
      <c r="O15" s="1">
        <v>2032</v>
      </c>
      <c r="P15" s="1">
        <v>2033</v>
      </c>
      <c r="Q15" s="1">
        <v>2034</v>
      </c>
      <c r="R15" s="1">
        <v>2035</v>
      </c>
      <c r="S15" s="1">
        <v>2036</v>
      </c>
      <c r="T15" s="1">
        <v>2037</v>
      </c>
      <c r="U15" s="1">
        <v>2038</v>
      </c>
      <c r="V15" s="1">
        <v>2039</v>
      </c>
      <c r="W15" s="1">
        <v>2040</v>
      </c>
      <c r="X15" s="1">
        <v>2041</v>
      </c>
      <c r="Y15" s="1">
        <v>2042</v>
      </c>
      <c r="Z15" s="1">
        <v>2043</v>
      </c>
      <c r="AA15" s="1">
        <v>2044</v>
      </c>
      <c r="AB15" s="1">
        <v>2045</v>
      </c>
      <c r="AC15" s="1">
        <v>2046</v>
      </c>
      <c r="AD15" s="1">
        <v>2047</v>
      </c>
      <c r="AE15" s="1">
        <v>2048</v>
      </c>
      <c r="AF15" s="1">
        <v>2049</v>
      </c>
      <c r="AG15" s="1">
        <v>2050</v>
      </c>
      <c r="AH15" s="1"/>
      <c r="AI15" s="1"/>
    </row>
    <row r="16" spans="1:35">
      <c r="A16" s="15" t="s">
        <v>2</v>
      </c>
      <c r="B16" s="2">
        <f>INDEX('2019'!$B$26:$G$35, MATCH($A16, '2019'!$A$2:$A$11, 0), MATCH(Rural_res_calculation!$A$15, '2019'!$B$1:$G$1, 0))</f>
        <v>3254014199999.9985</v>
      </c>
      <c r="C16" s="2">
        <f>INDEX('2020'!$B$26:$G$35, MATCH($A16, '2020'!$A$2:$A$11, 0), MATCH(Rural_res_calculation!$A$15, '2020'!$B$1:$G$1, 0))</f>
        <v>3421086390655.5303</v>
      </c>
      <c r="D16" s="2">
        <f>INDEX('2021'!$B$26:$G$35, MATCH($A16, '2021'!$A$2:$A$11, 0), MATCH(Rural_res_calculation!$A$15, '2021'!$B$1:$G$1, 0))</f>
        <v>3582036360245.5752</v>
      </c>
      <c r="E16" s="2">
        <f>MAX(0, D16*(1+Forecast!$B3))</f>
        <v>3603528578407.0488</v>
      </c>
      <c r="F16" s="2">
        <f>MAX(0, E16*(1+Forecast!$B3))</f>
        <v>3625149749877.4912</v>
      </c>
      <c r="G16" s="2">
        <f>MAX(0, F16*(1+Forecast!$B3))</f>
        <v>3646900648376.7563</v>
      </c>
      <c r="H16" s="2">
        <f>MAX(0, G16*(1+Forecast!$B3))</f>
        <v>3668782052267.0171</v>
      </c>
      <c r="I16" s="2">
        <f>MAX(0, H16*(1+Forecast!$B3))</f>
        <v>3690794744580.6191</v>
      </c>
      <c r="J16" s="2">
        <f>MAX(0, I16*(1+Forecast!$B3))</f>
        <v>3712939513048.103</v>
      </c>
      <c r="K16" s="2">
        <f>MAX(0, J16*(1+Forecast!$B3))</f>
        <v>3735217150126.3916</v>
      </c>
      <c r="L16" s="2">
        <f>MAX(0, K16*(1+Forecast!$B3))</f>
        <v>3757628453027.1499</v>
      </c>
      <c r="M16" s="2">
        <f>MAX(0, L16*(1+Forecast!$B3))</f>
        <v>3780174223745.313</v>
      </c>
      <c r="N16" s="2">
        <f>MAX(0, M16*(1+Forecast!$B3))</f>
        <v>3802855269087.7847</v>
      </c>
      <c r="O16" s="2">
        <f>MAX(0, N16*(1+Forecast!$B3))</f>
        <v>3825672400702.3115</v>
      </c>
      <c r="P16" s="2">
        <f>MAX(0, O16*(1+Forecast!$B3))</f>
        <v>3848626435106.5254</v>
      </c>
      <c r="Q16" s="2">
        <f>MAX(0, P16*(1+Forecast!$B3))</f>
        <v>3871718193717.1646</v>
      </c>
      <c r="R16" s="2">
        <f>MAX(0, Q16*(1+Forecast!$B3))</f>
        <v>3894948502879.4678</v>
      </c>
      <c r="S16" s="2">
        <f>MAX(0, R16*(1+Forecast!$B3))</f>
        <v>3918318193896.7446</v>
      </c>
      <c r="T16" s="2">
        <f>MAX(0, S16*(1+Forecast!$B3))</f>
        <v>3941828103060.125</v>
      </c>
      <c r="U16" s="2">
        <f>MAX(0, T16*(1+Forecast!$B3))</f>
        <v>3965479071678.4858</v>
      </c>
      <c r="V16" s="2">
        <f>MAX(0, U16*(1+Forecast!$B3))</f>
        <v>3989271946108.5566</v>
      </c>
      <c r="W16" s="2">
        <f>MAX(0, V16*(1+Forecast!$B3))</f>
        <v>4013207577785.208</v>
      </c>
      <c r="X16" s="2">
        <f>MAX(0, W16*(1+Forecast!$B3))</f>
        <v>4037286823251.9194</v>
      </c>
      <c r="Y16" s="2">
        <f>MAX(0, X16*(1+Forecast!$B3))</f>
        <v>4061510544191.4312</v>
      </c>
      <c r="Z16" s="2">
        <f>MAX(0, Y16*(1+Forecast!$B3))</f>
        <v>4085879607456.5796</v>
      </c>
      <c r="AA16" s="2">
        <f>MAX(0, Z16*(1+Forecast!$B3))</f>
        <v>4110394885101.3188</v>
      </c>
      <c r="AB16" s="2">
        <f>MAX(0, AA16*(1+Forecast!$B3))</f>
        <v>4135057254411.9268</v>
      </c>
      <c r="AC16" s="2">
        <f>MAX(0, AB16*(1+Forecast!$B3))</f>
        <v>4159867597938.3984</v>
      </c>
      <c r="AD16" s="2">
        <f>MAX(0, AC16*(1+Forecast!$B3))</f>
        <v>4184826803526.0288</v>
      </c>
      <c r="AE16" s="2">
        <f>MAX(0, AD16*(1+Forecast!$B3))</f>
        <v>4209935764347.1851</v>
      </c>
      <c r="AF16" s="2">
        <f>MAX(0, AE16*(1+Forecast!$B3))</f>
        <v>4235195378933.2681</v>
      </c>
      <c r="AG16" s="2">
        <f>MAX(0, AF16*(1+Forecast!$B3))</f>
        <v>4260606551206.8677</v>
      </c>
      <c r="AH16" s="2"/>
      <c r="AI16" s="2"/>
    </row>
    <row r="17" spans="1:35">
      <c r="A17" s="15" t="s">
        <v>3</v>
      </c>
      <c r="B17" s="2">
        <f>INDEX('2019'!$B$26:$G$35, MATCH($A17, '2019'!$A$2:$A$11, 0), MATCH(Rural_res_calculation!$A$15, '2019'!$B$1:$G$1, 0))</f>
        <v>0</v>
      </c>
      <c r="C17" s="2">
        <f>INDEX('2020'!$B$26:$G$35, MATCH($A17, '2020'!$A$2:$A$11, 0), MATCH(Rural_res_calculation!$A$15, '2020'!$B$1:$G$1, 0))</f>
        <v>0</v>
      </c>
      <c r="D17" s="2">
        <f>INDEX('2021'!$B$26:$G$35, MATCH($A17, '2021'!$A$2:$A$11, 0), MATCH(Rural_res_calculation!$A$15, '2021'!$B$1:$G$1, 0))</f>
        <v>0</v>
      </c>
      <c r="E17" s="2">
        <f>MAX(0, D17*(1+Forecast!$B4))</f>
        <v>0</v>
      </c>
      <c r="F17" s="2">
        <f>MAX(0, E17*(1+Forecast!$B4))</f>
        <v>0</v>
      </c>
      <c r="G17" s="2">
        <f>MAX(0, F17*(1+Forecast!$B4))</f>
        <v>0</v>
      </c>
      <c r="H17" s="2">
        <f>MAX(0, G17*(1+Forecast!$B4))</f>
        <v>0</v>
      </c>
      <c r="I17" s="2">
        <f>MAX(0, H17*(1+Forecast!$B4))</f>
        <v>0</v>
      </c>
      <c r="J17" s="2">
        <f>MAX(0, I17*(1+Forecast!$B4))</f>
        <v>0</v>
      </c>
      <c r="K17" s="2">
        <f>MAX(0, J17*(1+Forecast!$B4))</f>
        <v>0</v>
      </c>
      <c r="L17" s="2">
        <f>MAX(0, K17*(1+Forecast!$B4))</f>
        <v>0</v>
      </c>
      <c r="M17" s="2">
        <f>MAX(0, L17*(1+Forecast!$B4))</f>
        <v>0</v>
      </c>
      <c r="N17" s="2">
        <f>MAX(0, M17*(1+Forecast!$B4))</f>
        <v>0</v>
      </c>
      <c r="O17" s="2">
        <f>MAX(0, N17*(1+Forecast!$B4))</f>
        <v>0</v>
      </c>
      <c r="P17" s="2">
        <f>MAX(0, O17*(1+Forecast!$B4))</f>
        <v>0</v>
      </c>
      <c r="Q17" s="2">
        <f>MAX(0, P17*(1+Forecast!$B4))</f>
        <v>0</v>
      </c>
      <c r="R17" s="2">
        <f>MAX(0, Q17*(1+Forecast!$B4))</f>
        <v>0</v>
      </c>
      <c r="S17" s="2">
        <f>MAX(0, R17*(1+Forecast!$B4))</f>
        <v>0</v>
      </c>
      <c r="T17" s="2">
        <f>MAX(0, S17*(1+Forecast!$B4))</f>
        <v>0</v>
      </c>
      <c r="U17" s="2">
        <f>MAX(0, T17*(1+Forecast!$B4))</f>
        <v>0</v>
      </c>
      <c r="V17" s="2">
        <f>MAX(0, U17*(1+Forecast!$B4))</f>
        <v>0</v>
      </c>
      <c r="W17" s="2">
        <f>MAX(0, V17*(1+Forecast!$B4))</f>
        <v>0</v>
      </c>
      <c r="X17" s="2">
        <f>MAX(0, W17*(1+Forecast!$B4))</f>
        <v>0</v>
      </c>
      <c r="Y17" s="2">
        <f>MAX(0, X17*(1+Forecast!$B4))</f>
        <v>0</v>
      </c>
      <c r="Z17" s="2">
        <f>MAX(0, Y17*(1+Forecast!$B4))</f>
        <v>0</v>
      </c>
      <c r="AA17" s="2">
        <f>MAX(0, Z17*(1+Forecast!$B4))</f>
        <v>0</v>
      </c>
      <c r="AB17" s="2">
        <f>MAX(0, AA17*(1+Forecast!$B4))</f>
        <v>0</v>
      </c>
      <c r="AC17" s="2">
        <f>MAX(0, AB17*(1+Forecast!$B4))</f>
        <v>0</v>
      </c>
      <c r="AD17" s="2">
        <f>MAX(0, AC17*(1+Forecast!$B4))</f>
        <v>0</v>
      </c>
      <c r="AE17" s="2">
        <f>MAX(0, AD17*(1+Forecast!$B4))</f>
        <v>0</v>
      </c>
      <c r="AF17" s="2">
        <f>MAX(0, AE17*(1+Forecast!$B4))</f>
        <v>0</v>
      </c>
      <c r="AG17" s="2">
        <f>MAX(0, AF17*(1+Forecast!$B4))</f>
        <v>0</v>
      </c>
      <c r="AH17" s="2"/>
      <c r="AI17" s="2"/>
    </row>
    <row r="18" spans="1:35">
      <c r="A18" s="15" t="s">
        <v>4</v>
      </c>
      <c r="B18" s="2">
        <f>INDEX('2019'!$B$26:$G$35, MATCH($A18, '2019'!$A$2:$A$11, 0), MATCH(Rural_res_calculation!$A$15, '2019'!$B$1:$G$1, 0))</f>
        <v>0</v>
      </c>
      <c r="C18" s="2">
        <f>INDEX('2020'!$B$26:$G$35, MATCH($A18, '2020'!$A$2:$A$11, 0), MATCH(Rural_res_calculation!$A$15, '2020'!$B$1:$G$1, 0))</f>
        <v>0</v>
      </c>
      <c r="D18" s="2">
        <f>INDEX('2021'!$B$26:$G$35, MATCH($A18, '2021'!$A$2:$A$11, 0), MATCH(Rural_res_calculation!$A$15, '2021'!$B$1:$G$1, 0))</f>
        <v>0</v>
      </c>
      <c r="E18" s="2">
        <f>MAX(0, D18*(1+Forecast!$B5))</f>
        <v>0</v>
      </c>
      <c r="F18" s="2">
        <f>MAX(0, E18*(1+Forecast!$B5))</f>
        <v>0</v>
      </c>
      <c r="G18" s="2">
        <f>MAX(0, F18*(1+Forecast!$B5))</f>
        <v>0</v>
      </c>
      <c r="H18" s="2">
        <f>MAX(0, G18*(1+Forecast!$B5))</f>
        <v>0</v>
      </c>
      <c r="I18" s="2">
        <f>MAX(0, H18*(1+Forecast!$B5))</f>
        <v>0</v>
      </c>
      <c r="J18" s="2">
        <f>MAX(0, I18*(1+Forecast!$B5))</f>
        <v>0</v>
      </c>
      <c r="K18" s="2">
        <f>MAX(0, J18*(1+Forecast!$B5))</f>
        <v>0</v>
      </c>
      <c r="L18" s="2">
        <f>MAX(0, K18*(1+Forecast!$B5))</f>
        <v>0</v>
      </c>
      <c r="M18" s="2">
        <f>MAX(0, L18*(1+Forecast!$B5))</f>
        <v>0</v>
      </c>
      <c r="N18" s="2">
        <f>MAX(0, M18*(1+Forecast!$B5))</f>
        <v>0</v>
      </c>
      <c r="O18" s="2">
        <f>MAX(0, N18*(1+Forecast!$B5))</f>
        <v>0</v>
      </c>
      <c r="P18" s="2">
        <f>MAX(0, O18*(1+Forecast!$B5))</f>
        <v>0</v>
      </c>
      <c r="Q18" s="2">
        <f>MAX(0, P18*(1+Forecast!$B5))</f>
        <v>0</v>
      </c>
      <c r="R18" s="2">
        <f>MAX(0, Q18*(1+Forecast!$B5))</f>
        <v>0</v>
      </c>
      <c r="S18" s="2">
        <f>MAX(0, R18*(1+Forecast!$B5))</f>
        <v>0</v>
      </c>
      <c r="T18" s="2">
        <f>MAX(0, S18*(1+Forecast!$B5))</f>
        <v>0</v>
      </c>
      <c r="U18" s="2">
        <f>MAX(0, T18*(1+Forecast!$B5))</f>
        <v>0</v>
      </c>
      <c r="V18" s="2">
        <f>MAX(0, U18*(1+Forecast!$B5))</f>
        <v>0</v>
      </c>
      <c r="W18" s="2">
        <f>MAX(0, V18*(1+Forecast!$B5))</f>
        <v>0</v>
      </c>
      <c r="X18" s="2">
        <f>MAX(0, W18*(1+Forecast!$B5))</f>
        <v>0</v>
      </c>
      <c r="Y18" s="2">
        <f>MAX(0, X18*(1+Forecast!$B5))</f>
        <v>0</v>
      </c>
      <c r="Z18" s="2">
        <f>MAX(0, Y18*(1+Forecast!$B5))</f>
        <v>0</v>
      </c>
      <c r="AA18" s="2">
        <f>MAX(0, Z18*(1+Forecast!$B5))</f>
        <v>0</v>
      </c>
      <c r="AB18" s="2">
        <f>MAX(0, AA18*(1+Forecast!$B5))</f>
        <v>0</v>
      </c>
      <c r="AC18" s="2">
        <f>MAX(0, AB18*(1+Forecast!$B5))</f>
        <v>0</v>
      </c>
      <c r="AD18" s="2">
        <f>MAX(0, AC18*(1+Forecast!$B5))</f>
        <v>0</v>
      </c>
      <c r="AE18" s="2">
        <f>MAX(0, AD18*(1+Forecast!$B5))</f>
        <v>0</v>
      </c>
      <c r="AF18" s="2">
        <f>MAX(0, AE18*(1+Forecast!$B5))</f>
        <v>0</v>
      </c>
      <c r="AG18" s="2">
        <f>MAX(0, AF18*(1+Forecast!$B5))</f>
        <v>0</v>
      </c>
      <c r="AH18" s="2"/>
      <c r="AI18" s="2"/>
    </row>
    <row r="19" spans="1:35">
      <c r="A19" s="15" t="s">
        <v>5</v>
      </c>
      <c r="B19" s="2">
        <f>INDEX('2019'!$B$26:$G$35, MATCH($A19, '2019'!$A$2:$A$11, 0), MATCH(Rural_res_calculation!$A$15, '2019'!$B$1:$G$1, 0))</f>
        <v>0</v>
      </c>
      <c r="C19" s="2">
        <f>INDEX('2020'!$B$26:$G$35, MATCH($A19, '2020'!$A$2:$A$11, 0), MATCH(Rural_res_calculation!$A$15, '2020'!$B$1:$G$1, 0))</f>
        <v>0</v>
      </c>
      <c r="D19" s="2">
        <f>INDEX('2021'!$B$26:$G$35, MATCH($A19, '2021'!$A$2:$A$11, 0), MATCH(Rural_res_calculation!$A$15, '2021'!$B$1:$G$1, 0))</f>
        <v>0</v>
      </c>
      <c r="E19" s="2">
        <f>MAX(0, D19*(1+Forecast!$B6))</f>
        <v>0</v>
      </c>
      <c r="F19" s="2">
        <f>MAX(0, E19*(1+Forecast!$B6))</f>
        <v>0</v>
      </c>
      <c r="G19" s="2">
        <f>MAX(0, F19*(1+Forecast!$B6))</f>
        <v>0</v>
      </c>
      <c r="H19" s="2">
        <f>MAX(0, G19*(1+Forecast!$B6))</f>
        <v>0</v>
      </c>
      <c r="I19" s="2">
        <f>MAX(0, H19*(1+Forecast!$B6))</f>
        <v>0</v>
      </c>
      <c r="J19" s="2">
        <f>MAX(0, I19*(1+Forecast!$B6))</f>
        <v>0</v>
      </c>
      <c r="K19" s="2">
        <f>MAX(0, J19*(1+Forecast!$B6))</f>
        <v>0</v>
      </c>
      <c r="L19" s="2">
        <f>MAX(0, K19*(1+Forecast!$B6))</f>
        <v>0</v>
      </c>
      <c r="M19" s="2">
        <f>MAX(0, L19*(1+Forecast!$B6))</f>
        <v>0</v>
      </c>
      <c r="N19" s="2">
        <f>MAX(0, M19*(1+Forecast!$B6))</f>
        <v>0</v>
      </c>
      <c r="O19" s="2">
        <f>MAX(0, N19*(1+Forecast!$B6))</f>
        <v>0</v>
      </c>
      <c r="P19" s="2">
        <f>MAX(0, O19*(1+Forecast!$B6))</f>
        <v>0</v>
      </c>
      <c r="Q19" s="2">
        <f>MAX(0, P19*(1+Forecast!$B6))</f>
        <v>0</v>
      </c>
      <c r="R19" s="2">
        <f>MAX(0, Q19*(1+Forecast!$B6))</f>
        <v>0</v>
      </c>
      <c r="S19" s="2">
        <f>MAX(0, R19*(1+Forecast!$B6))</f>
        <v>0</v>
      </c>
      <c r="T19" s="2">
        <f>MAX(0, S19*(1+Forecast!$B6))</f>
        <v>0</v>
      </c>
      <c r="U19" s="2">
        <f>MAX(0, T19*(1+Forecast!$B6))</f>
        <v>0</v>
      </c>
      <c r="V19" s="2">
        <f>MAX(0, U19*(1+Forecast!$B6))</f>
        <v>0</v>
      </c>
      <c r="W19" s="2">
        <f>MAX(0, V19*(1+Forecast!$B6))</f>
        <v>0</v>
      </c>
      <c r="X19" s="2">
        <f>MAX(0, W19*(1+Forecast!$B6))</f>
        <v>0</v>
      </c>
      <c r="Y19" s="2">
        <f>MAX(0, X19*(1+Forecast!$B6))</f>
        <v>0</v>
      </c>
      <c r="Z19" s="2">
        <f>MAX(0, Y19*(1+Forecast!$B6))</f>
        <v>0</v>
      </c>
      <c r="AA19" s="2">
        <f>MAX(0, Z19*(1+Forecast!$B6))</f>
        <v>0</v>
      </c>
      <c r="AB19" s="2">
        <f>MAX(0, AA19*(1+Forecast!$B6))</f>
        <v>0</v>
      </c>
      <c r="AC19" s="2">
        <f>MAX(0, AB19*(1+Forecast!$B6))</f>
        <v>0</v>
      </c>
      <c r="AD19" s="2">
        <f>MAX(0, AC19*(1+Forecast!$B6))</f>
        <v>0</v>
      </c>
      <c r="AE19" s="2">
        <f>MAX(0, AD19*(1+Forecast!$B6))</f>
        <v>0</v>
      </c>
      <c r="AF19" s="2">
        <f>MAX(0, AE19*(1+Forecast!$B6))</f>
        <v>0</v>
      </c>
      <c r="AG19" s="2">
        <f>MAX(0, AF19*(1+Forecast!$B6))</f>
        <v>0</v>
      </c>
      <c r="AH19" s="2"/>
      <c r="AI19" s="2"/>
    </row>
    <row r="20" spans="1:35">
      <c r="A20" s="15" t="s">
        <v>7</v>
      </c>
      <c r="B20" s="2">
        <f>INDEX('2019'!$B$26:$G$35, MATCH($A20, '2019'!$A$2:$A$11, 0), MATCH(Rural_res_calculation!$A$15, '2019'!$B$1:$G$1, 0))</f>
        <v>0</v>
      </c>
      <c r="C20" s="2">
        <f>INDEX('2020'!$B$26:$G$35, MATCH($A20, '2020'!$A$2:$A$11, 0), MATCH(Rural_res_calculation!$A$15, '2020'!$B$1:$G$1, 0))</f>
        <v>0</v>
      </c>
      <c r="D20" s="2">
        <f>INDEX('2021'!$B$26:$G$35, MATCH($A20, '2021'!$A$2:$A$11, 0), MATCH(Rural_res_calculation!$A$15, '2021'!$B$1:$G$1, 0))</f>
        <v>0</v>
      </c>
      <c r="E20" s="2">
        <f>MAX(0, D20*(1+Forecast!$B7))</f>
        <v>0</v>
      </c>
      <c r="F20" s="2">
        <f>MAX(0, E20*(1+Forecast!$B7))</f>
        <v>0</v>
      </c>
      <c r="G20" s="2">
        <f>MAX(0, F20*(1+Forecast!$B7))</f>
        <v>0</v>
      </c>
      <c r="H20" s="2">
        <f>MAX(0, G20*(1+Forecast!$B7))</f>
        <v>0</v>
      </c>
      <c r="I20" s="2">
        <f>MAX(0, H20*(1+Forecast!$B7))</f>
        <v>0</v>
      </c>
      <c r="J20" s="2">
        <f>MAX(0, I20*(1+Forecast!$B7))</f>
        <v>0</v>
      </c>
      <c r="K20" s="2">
        <f>MAX(0, J20*(1+Forecast!$B7))</f>
        <v>0</v>
      </c>
      <c r="L20" s="2">
        <f>MAX(0, K20*(1+Forecast!$B7))</f>
        <v>0</v>
      </c>
      <c r="M20" s="2">
        <f>MAX(0, L20*(1+Forecast!$B7))</f>
        <v>0</v>
      </c>
      <c r="N20" s="2">
        <f>MAX(0, M20*(1+Forecast!$B7))</f>
        <v>0</v>
      </c>
      <c r="O20" s="2">
        <f>MAX(0, N20*(1+Forecast!$B7))</f>
        <v>0</v>
      </c>
      <c r="P20" s="2">
        <f>MAX(0, O20*(1+Forecast!$B7))</f>
        <v>0</v>
      </c>
      <c r="Q20" s="2">
        <f>MAX(0, P20*(1+Forecast!$B7))</f>
        <v>0</v>
      </c>
      <c r="R20" s="2">
        <f>MAX(0, Q20*(1+Forecast!$B7))</f>
        <v>0</v>
      </c>
      <c r="S20" s="2">
        <f>MAX(0, R20*(1+Forecast!$B7))</f>
        <v>0</v>
      </c>
      <c r="T20" s="2">
        <f>MAX(0, S20*(1+Forecast!$B7))</f>
        <v>0</v>
      </c>
      <c r="U20" s="2">
        <f>MAX(0, T20*(1+Forecast!$B7))</f>
        <v>0</v>
      </c>
      <c r="V20" s="2">
        <f>MAX(0, U20*(1+Forecast!$B7))</f>
        <v>0</v>
      </c>
      <c r="W20" s="2">
        <f>MAX(0, V20*(1+Forecast!$B7))</f>
        <v>0</v>
      </c>
      <c r="X20" s="2">
        <f>MAX(0, W20*(1+Forecast!$B7))</f>
        <v>0</v>
      </c>
      <c r="Y20" s="2">
        <f>MAX(0, X20*(1+Forecast!$B7))</f>
        <v>0</v>
      </c>
      <c r="Z20" s="2">
        <f>MAX(0, Y20*(1+Forecast!$B7))</f>
        <v>0</v>
      </c>
      <c r="AA20" s="2">
        <f>MAX(0, Z20*(1+Forecast!$B7))</f>
        <v>0</v>
      </c>
      <c r="AB20" s="2">
        <f>MAX(0, AA20*(1+Forecast!$B7))</f>
        <v>0</v>
      </c>
      <c r="AC20" s="2">
        <f>MAX(0, AB20*(1+Forecast!$B7))</f>
        <v>0</v>
      </c>
      <c r="AD20" s="2">
        <f>MAX(0, AC20*(1+Forecast!$B7))</f>
        <v>0</v>
      </c>
      <c r="AE20" s="2">
        <f>MAX(0, AD20*(1+Forecast!$B7))</f>
        <v>0</v>
      </c>
      <c r="AF20" s="2">
        <f>MAX(0, AE20*(1+Forecast!$B7))</f>
        <v>0</v>
      </c>
      <c r="AG20" s="2">
        <f>MAX(0, AF20*(1+Forecast!$B7))</f>
        <v>0</v>
      </c>
      <c r="AH20" s="2"/>
      <c r="AI20" s="2"/>
    </row>
    <row r="21" spans="1:35">
      <c r="A21" s="15" t="s">
        <v>11</v>
      </c>
      <c r="B21" s="2">
        <f>INDEX('2019'!$B$26:$G$35, MATCH($A21, '2019'!$A$2:$A$11, 0), MATCH(Rural_res_calculation!$A$15, '2019'!$B$1:$G$1, 0))</f>
        <v>0</v>
      </c>
      <c r="C21" s="2">
        <f>INDEX('2020'!$B$26:$G$35, MATCH($A21, '2020'!$A$2:$A$11, 0), MATCH(Rural_res_calculation!$A$15, '2020'!$B$1:$G$1, 0))</f>
        <v>0</v>
      </c>
      <c r="D21" s="2">
        <f>INDEX('2021'!$B$26:$G$35, MATCH($A21, '2021'!$A$2:$A$11, 0), MATCH(Rural_res_calculation!$A$15, '2021'!$B$1:$G$1, 0))</f>
        <v>0</v>
      </c>
      <c r="E21" s="2">
        <f>MAX(0, D21*(1+Forecast!$B8))</f>
        <v>0</v>
      </c>
      <c r="F21" s="2">
        <f>MAX(0, E21*(1+Forecast!$B8))</f>
        <v>0</v>
      </c>
      <c r="G21" s="2">
        <f>MAX(0, F21*(1+Forecast!$B8))</f>
        <v>0</v>
      </c>
      <c r="H21" s="2">
        <f>MAX(0, G21*(1+Forecast!$B8))</f>
        <v>0</v>
      </c>
      <c r="I21" s="2">
        <f>MAX(0, H21*(1+Forecast!$B8))</f>
        <v>0</v>
      </c>
      <c r="J21" s="2">
        <f>MAX(0, I21*(1+Forecast!$B8))</f>
        <v>0</v>
      </c>
      <c r="K21" s="2">
        <f>MAX(0, J21*(1+Forecast!$B8))</f>
        <v>0</v>
      </c>
      <c r="L21" s="2">
        <f>MAX(0, K21*(1+Forecast!$B8))</f>
        <v>0</v>
      </c>
      <c r="M21" s="2">
        <f>MAX(0, L21*(1+Forecast!$B8))</f>
        <v>0</v>
      </c>
      <c r="N21" s="2">
        <f>MAX(0, M21*(1+Forecast!$B8))</f>
        <v>0</v>
      </c>
      <c r="O21" s="2">
        <f>MAX(0, N21*(1+Forecast!$B8))</f>
        <v>0</v>
      </c>
      <c r="P21" s="2">
        <f>MAX(0, O21*(1+Forecast!$B8))</f>
        <v>0</v>
      </c>
      <c r="Q21" s="2">
        <f>MAX(0, P21*(1+Forecast!$B8))</f>
        <v>0</v>
      </c>
      <c r="R21" s="2">
        <f>MAX(0, Q21*(1+Forecast!$B8))</f>
        <v>0</v>
      </c>
      <c r="S21" s="2">
        <f>MAX(0, R21*(1+Forecast!$B8))</f>
        <v>0</v>
      </c>
      <c r="T21" s="2">
        <f>MAX(0, S21*(1+Forecast!$B8))</f>
        <v>0</v>
      </c>
      <c r="U21" s="2">
        <f>MAX(0, T21*(1+Forecast!$B8))</f>
        <v>0</v>
      </c>
      <c r="V21" s="2">
        <f>MAX(0, U21*(1+Forecast!$B8))</f>
        <v>0</v>
      </c>
      <c r="W21" s="2">
        <f>MAX(0, V21*(1+Forecast!$B8))</f>
        <v>0</v>
      </c>
      <c r="X21" s="2">
        <f>MAX(0, W21*(1+Forecast!$B8))</f>
        <v>0</v>
      </c>
      <c r="Y21" s="2">
        <f>MAX(0, X21*(1+Forecast!$B8))</f>
        <v>0</v>
      </c>
      <c r="Z21" s="2">
        <f>MAX(0, Y21*(1+Forecast!$B8))</f>
        <v>0</v>
      </c>
      <c r="AA21" s="2">
        <f>MAX(0, Z21*(1+Forecast!$B8))</f>
        <v>0</v>
      </c>
      <c r="AB21" s="2">
        <f>MAX(0, AA21*(1+Forecast!$B8))</f>
        <v>0</v>
      </c>
      <c r="AC21" s="2">
        <f>MAX(0, AB21*(1+Forecast!$B8))</f>
        <v>0</v>
      </c>
      <c r="AD21" s="2">
        <f>MAX(0, AC21*(1+Forecast!$B8))</f>
        <v>0</v>
      </c>
      <c r="AE21" s="2">
        <f>MAX(0, AD21*(1+Forecast!$B8))</f>
        <v>0</v>
      </c>
      <c r="AF21" s="2">
        <f>MAX(0, AE21*(1+Forecast!$B8))</f>
        <v>0</v>
      </c>
      <c r="AG21" s="2">
        <f>MAX(0, AF21*(1+Forecast!$B8))</f>
        <v>0</v>
      </c>
      <c r="AH21" s="2"/>
      <c r="AI21" s="2"/>
    </row>
    <row r="22" spans="1:35">
      <c r="A22" s="15" t="s">
        <v>13</v>
      </c>
      <c r="B22" s="2">
        <f>INDEX('2019'!$B$26:$G$35, MATCH($A22, '2019'!$A$2:$A$11, 0), MATCH(Rural_res_calculation!$A$15, '2019'!$B$1:$G$1, 0))</f>
        <v>0</v>
      </c>
      <c r="C22" s="2">
        <f>INDEX('2020'!$B$26:$G$35, MATCH($A22, '2020'!$A$2:$A$11, 0), MATCH(Rural_res_calculation!$A$15, '2020'!$B$1:$G$1, 0))</f>
        <v>0</v>
      </c>
      <c r="D22" s="2">
        <f>INDEX('2021'!$B$26:$G$35, MATCH($A22, '2021'!$A$2:$A$11, 0), MATCH(Rural_res_calculation!$A$15, '2021'!$B$1:$G$1, 0))</f>
        <v>0</v>
      </c>
      <c r="E22" s="2">
        <f>MAX(0, D22*(1+Forecast!$B9))</f>
        <v>0</v>
      </c>
      <c r="F22" s="2">
        <f>MAX(0, E22*(1+Forecast!$B9))</f>
        <v>0</v>
      </c>
      <c r="G22" s="2">
        <f>MAX(0, F22*(1+Forecast!$B9))</f>
        <v>0</v>
      </c>
      <c r="H22" s="2">
        <f>MAX(0, G22*(1+Forecast!$B9))</f>
        <v>0</v>
      </c>
      <c r="I22" s="2">
        <f>MAX(0, H22*(1+Forecast!$B9))</f>
        <v>0</v>
      </c>
      <c r="J22" s="2">
        <f>MAX(0, I22*(1+Forecast!$B9))</f>
        <v>0</v>
      </c>
      <c r="K22" s="2">
        <f>MAX(0, J22*(1+Forecast!$B9))</f>
        <v>0</v>
      </c>
      <c r="L22" s="2">
        <f>MAX(0, K22*(1+Forecast!$B9))</f>
        <v>0</v>
      </c>
      <c r="M22" s="2">
        <f>MAX(0, L22*(1+Forecast!$B9))</f>
        <v>0</v>
      </c>
      <c r="N22" s="2">
        <f>MAX(0, M22*(1+Forecast!$B9))</f>
        <v>0</v>
      </c>
      <c r="O22" s="2">
        <f>MAX(0, N22*(1+Forecast!$B9))</f>
        <v>0</v>
      </c>
      <c r="P22" s="2">
        <f>MAX(0, O22*(1+Forecast!$B9))</f>
        <v>0</v>
      </c>
      <c r="Q22" s="2">
        <f>MAX(0, P22*(1+Forecast!$B9))</f>
        <v>0</v>
      </c>
      <c r="R22" s="2">
        <f>MAX(0, Q22*(1+Forecast!$B9))</f>
        <v>0</v>
      </c>
      <c r="S22" s="2">
        <f>MAX(0, R22*(1+Forecast!$B9))</f>
        <v>0</v>
      </c>
      <c r="T22" s="2">
        <f>MAX(0, S22*(1+Forecast!$B9))</f>
        <v>0</v>
      </c>
      <c r="U22" s="2">
        <f>MAX(0, T22*(1+Forecast!$B9))</f>
        <v>0</v>
      </c>
      <c r="V22" s="2">
        <f>MAX(0, U22*(1+Forecast!$B9))</f>
        <v>0</v>
      </c>
      <c r="W22" s="2">
        <f>MAX(0, V22*(1+Forecast!$B9))</f>
        <v>0</v>
      </c>
      <c r="X22" s="2">
        <f>MAX(0, W22*(1+Forecast!$B9))</f>
        <v>0</v>
      </c>
      <c r="Y22" s="2">
        <f>MAX(0, X22*(1+Forecast!$B9))</f>
        <v>0</v>
      </c>
      <c r="Z22" s="2">
        <f>MAX(0, Y22*(1+Forecast!$B9))</f>
        <v>0</v>
      </c>
      <c r="AA22" s="2">
        <f>MAX(0, Z22*(1+Forecast!$B9))</f>
        <v>0</v>
      </c>
      <c r="AB22" s="2">
        <f>MAX(0, AA22*(1+Forecast!$B9))</f>
        <v>0</v>
      </c>
      <c r="AC22" s="2">
        <f>MAX(0, AB22*(1+Forecast!$B9))</f>
        <v>0</v>
      </c>
      <c r="AD22" s="2">
        <f>MAX(0, AC22*(1+Forecast!$B9))</f>
        <v>0</v>
      </c>
      <c r="AE22" s="2">
        <f>MAX(0, AD22*(1+Forecast!$B9))</f>
        <v>0</v>
      </c>
      <c r="AF22" s="2">
        <f>MAX(0, AE22*(1+Forecast!$B9))</f>
        <v>0</v>
      </c>
      <c r="AG22" s="2">
        <f>MAX(0, AF22*(1+Forecast!$B9))</f>
        <v>0</v>
      </c>
      <c r="AH22" s="2"/>
      <c r="AI22" s="2"/>
    </row>
    <row r="23" spans="1:35">
      <c r="A23" s="15" t="s">
        <v>14</v>
      </c>
      <c r="B23" s="2">
        <f>INDEX('2019'!$B$26:$G$35, MATCH($A23, '2019'!$A$2:$A$11, 0), MATCH(Rural_res_calculation!$A$15, '2019'!$B$1:$G$1, 0))</f>
        <v>0</v>
      </c>
      <c r="C23" s="2">
        <f>INDEX('2020'!$B$26:$G$35, MATCH($A23, '2020'!$A$2:$A$11, 0), MATCH(Rural_res_calculation!$A$15, '2020'!$B$1:$G$1, 0))</f>
        <v>0</v>
      </c>
      <c r="D23" s="2">
        <f>INDEX('2021'!$B$26:$G$35, MATCH($A23, '2021'!$A$2:$A$11, 0), MATCH(Rural_res_calculation!$A$15, '2021'!$B$1:$G$1, 0))</f>
        <v>0</v>
      </c>
      <c r="E23" s="2">
        <f>MAX(0, D23*(1+Forecast!$B10))</f>
        <v>0</v>
      </c>
      <c r="F23" s="2">
        <f>MAX(0, E23*(1+Forecast!$B10))</f>
        <v>0</v>
      </c>
      <c r="G23" s="2">
        <f>MAX(0, F23*(1+Forecast!$B10))</f>
        <v>0</v>
      </c>
      <c r="H23" s="2">
        <f>MAX(0, G23*(1+Forecast!$B10))</f>
        <v>0</v>
      </c>
      <c r="I23" s="2">
        <f>MAX(0, H23*(1+Forecast!$B10))</f>
        <v>0</v>
      </c>
      <c r="J23" s="2">
        <f>MAX(0, I23*(1+Forecast!$B10))</f>
        <v>0</v>
      </c>
      <c r="K23" s="2">
        <f>MAX(0, J23*(1+Forecast!$B10))</f>
        <v>0</v>
      </c>
      <c r="L23" s="2">
        <f>MAX(0, K23*(1+Forecast!$B10))</f>
        <v>0</v>
      </c>
      <c r="M23" s="2">
        <f>MAX(0, L23*(1+Forecast!$B10))</f>
        <v>0</v>
      </c>
      <c r="N23" s="2">
        <f>MAX(0, M23*(1+Forecast!$B10))</f>
        <v>0</v>
      </c>
      <c r="O23" s="2">
        <f>MAX(0, N23*(1+Forecast!$B10))</f>
        <v>0</v>
      </c>
      <c r="P23" s="2">
        <f>MAX(0, O23*(1+Forecast!$B10))</f>
        <v>0</v>
      </c>
      <c r="Q23" s="2">
        <f>MAX(0, P23*(1+Forecast!$B10))</f>
        <v>0</v>
      </c>
      <c r="R23" s="2">
        <f>MAX(0, Q23*(1+Forecast!$B10))</f>
        <v>0</v>
      </c>
      <c r="S23" s="2">
        <f>MAX(0, R23*(1+Forecast!$B10))</f>
        <v>0</v>
      </c>
      <c r="T23" s="2">
        <f>MAX(0, S23*(1+Forecast!$B10))</f>
        <v>0</v>
      </c>
      <c r="U23" s="2">
        <f>MAX(0, T23*(1+Forecast!$B10))</f>
        <v>0</v>
      </c>
      <c r="V23" s="2">
        <f>MAX(0, U23*(1+Forecast!$B10))</f>
        <v>0</v>
      </c>
      <c r="W23" s="2">
        <f>MAX(0, V23*(1+Forecast!$B10))</f>
        <v>0</v>
      </c>
      <c r="X23" s="2">
        <f>MAX(0, W23*(1+Forecast!$B10))</f>
        <v>0</v>
      </c>
      <c r="Y23" s="2">
        <f>MAX(0, X23*(1+Forecast!$B10))</f>
        <v>0</v>
      </c>
      <c r="Z23" s="2">
        <f>MAX(0, Y23*(1+Forecast!$B10))</f>
        <v>0</v>
      </c>
      <c r="AA23" s="2">
        <f>MAX(0, Z23*(1+Forecast!$B10))</f>
        <v>0</v>
      </c>
      <c r="AB23" s="2">
        <f>MAX(0, AA23*(1+Forecast!$B10))</f>
        <v>0</v>
      </c>
      <c r="AC23" s="2">
        <f>MAX(0, AB23*(1+Forecast!$B10))</f>
        <v>0</v>
      </c>
      <c r="AD23" s="2">
        <f>MAX(0, AC23*(1+Forecast!$B10))</f>
        <v>0</v>
      </c>
      <c r="AE23" s="2">
        <f>MAX(0, AD23*(1+Forecast!$B10))</f>
        <v>0</v>
      </c>
      <c r="AF23" s="2">
        <f>MAX(0, AE23*(1+Forecast!$B10))</f>
        <v>0</v>
      </c>
      <c r="AG23" s="2">
        <f>MAX(0, AF23*(1+Forecast!$B10))</f>
        <v>0</v>
      </c>
      <c r="AH23" s="2"/>
      <c r="AI23" s="2"/>
    </row>
    <row r="24" spans="1:35">
      <c r="A24" s="15" t="s">
        <v>15</v>
      </c>
      <c r="B24" s="2">
        <f>INDEX('2019'!$B$26:$G$35, MATCH($A24, '2019'!$A$2:$A$11, 0), MATCH(Rural_res_calculation!$A$15, '2019'!$B$1:$G$1, 0))</f>
        <v>0</v>
      </c>
      <c r="C24" s="2">
        <f>INDEX('2020'!$B$26:$G$35, MATCH($A24, '2020'!$A$2:$A$11, 0), MATCH(Rural_res_calculation!$A$15, '2020'!$B$1:$G$1, 0))</f>
        <v>0</v>
      </c>
      <c r="D24" s="2">
        <f>INDEX('2021'!$B$26:$G$35, MATCH($A24, '2021'!$A$2:$A$11, 0), MATCH(Rural_res_calculation!$A$15, '2021'!$B$1:$G$1, 0))</f>
        <v>0</v>
      </c>
      <c r="E24" s="2">
        <f>MAX(0, D24*(1+Forecast!$B11))</f>
        <v>0</v>
      </c>
      <c r="F24" s="2">
        <f>MAX(0, E24*(1+Forecast!$B11))</f>
        <v>0</v>
      </c>
      <c r="G24" s="2">
        <f>MAX(0, F24*(1+Forecast!$B11))</f>
        <v>0</v>
      </c>
      <c r="H24" s="2">
        <f>MAX(0, G24*(1+Forecast!$B11))</f>
        <v>0</v>
      </c>
      <c r="I24" s="2">
        <f>MAX(0, H24*(1+Forecast!$B11))</f>
        <v>0</v>
      </c>
      <c r="J24" s="2">
        <f>MAX(0, I24*(1+Forecast!$B11))</f>
        <v>0</v>
      </c>
      <c r="K24" s="2">
        <f>MAX(0, J24*(1+Forecast!$B11))</f>
        <v>0</v>
      </c>
      <c r="L24" s="2">
        <f>MAX(0, K24*(1+Forecast!$B11))</f>
        <v>0</v>
      </c>
      <c r="M24" s="2">
        <f>MAX(0, L24*(1+Forecast!$B11))</f>
        <v>0</v>
      </c>
      <c r="N24" s="2">
        <f>MAX(0, M24*(1+Forecast!$B11))</f>
        <v>0</v>
      </c>
      <c r="O24" s="2">
        <f>MAX(0, N24*(1+Forecast!$B11))</f>
        <v>0</v>
      </c>
      <c r="P24" s="2">
        <f>MAX(0, O24*(1+Forecast!$B11))</f>
        <v>0</v>
      </c>
      <c r="Q24" s="2">
        <f>MAX(0, P24*(1+Forecast!$B11))</f>
        <v>0</v>
      </c>
      <c r="R24" s="2">
        <f>MAX(0, Q24*(1+Forecast!$B11))</f>
        <v>0</v>
      </c>
      <c r="S24" s="2">
        <f>MAX(0, R24*(1+Forecast!$B11))</f>
        <v>0</v>
      </c>
      <c r="T24" s="2">
        <f>MAX(0, S24*(1+Forecast!$B11))</f>
        <v>0</v>
      </c>
      <c r="U24" s="2">
        <f>MAX(0, T24*(1+Forecast!$B11))</f>
        <v>0</v>
      </c>
      <c r="V24" s="2">
        <f>MAX(0, U24*(1+Forecast!$B11))</f>
        <v>0</v>
      </c>
      <c r="W24" s="2">
        <f>MAX(0, V24*(1+Forecast!$B11))</f>
        <v>0</v>
      </c>
      <c r="X24" s="2">
        <f>MAX(0, W24*(1+Forecast!$B11))</f>
        <v>0</v>
      </c>
      <c r="Y24" s="2">
        <f>MAX(0, X24*(1+Forecast!$B11))</f>
        <v>0</v>
      </c>
      <c r="Z24" s="2">
        <f>MAX(0, Y24*(1+Forecast!$B11))</f>
        <v>0</v>
      </c>
      <c r="AA24" s="2">
        <f>MAX(0, Z24*(1+Forecast!$B11))</f>
        <v>0</v>
      </c>
      <c r="AB24" s="2">
        <f>MAX(0, AA24*(1+Forecast!$B11))</f>
        <v>0</v>
      </c>
      <c r="AC24" s="2">
        <f>MAX(0, AB24*(1+Forecast!$B11))</f>
        <v>0</v>
      </c>
      <c r="AD24" s="2">
        <f>MAX(0, AC24*(1+Forecast!$B11))</f>
        <v>0</v>
      </c>
      <c r="AE24" s="2">
        <f>MAX(0, AD24*(1+Forecast!$B11))</f>
        <v>0</v>
      </c>
      <c r="AF24" s="2">
        <f>MAX(0, AE24*(1+Forecast!$B11))</f>
        <v>0</v>
      </c>
      <c r="AG24" s="2">
        <f>MAX(0, AF24*(1+Forecast!$B11))</f>
        <v>0</v>
      </c>
      <c r="AH24" s="2"/>
      <c r="AI24" s="2"/>
    </row>
    <row r="25" spans="1:35">
      <c r="A25" s="15" t="s">
        <v>16</v>
      </c>
      <c r="B25" s="2">
        <f>INDEX('2019'!$B$26:$G$35, MATCH($A25, '2019'!$A$2:$A$11, 0), MATCH(Rural_res_calculation!$A$15, '2019'!$B$1:$G$1, 0))</f>
        <v>0</v>
      </c>
      <c r="C25" s="2">
        <f>INDEX('2020'!$B$26:$G$35, MATCH($A25, '2020'!$A$2:$A$11, 0), MATCH(Rural_res_calculation!$A$15, '2020'!$B$1:$G$1, 0))</f>
        <v>0</v>
      </c>
      <c r="D25" s="2">
        <f>INDEX('2021'!$B$26:$G$35, MATCH($A25, '2021'!$A$2:$A$11, 0), MATCH(Rural_res_calculation!$A$15, '2021'!$B$1:$G$1, 0))</f>
        <v>0</v>
      </c>
      <c r="E25" s="2">
        <f>MAX(0, D25*(1+Forecast!$B12))</f>
        <v>0</v>
      </c>
      <c r="F25" s="2">
        <f>MAX(0, E25*(1+Forecast!$B12))</f>
        <v>0</v>
      </c>
      <c r="G25" s="2">
        <f>MAX(0, F25*(1+Forecast!$B12))</f>
        <v>0</v>
      </c>
      <c r="H25" s="2">
        <f>MAX(0, G25*(1+Forecast!$B12))</f>
        <v>0</v>
      </c>
      <c r="I25" s="2">
        <f>MAX(0, H25*(1+Forecast!$B12))</f>
        <v>0</v>
      </c>
      <c r="J25" s="2">
        <f>MAX(0, I25*(1+Forecast!$B12))</f>
        <v>0</v>
      </c>
      <c r="K25" s="2">
        <f>MAX(0, J25*(1+Forecast!$B12))</f>
        <v>0</v>
      </c>
      <c r="L25" s="2">
        <f>MAX(0, K25*(1+Forecast!$B12))</f>
        <v>0</v>
      </c>
      <c r="M25" s="2">
        <f>MAX(0, L25*(1+Forecast!$B12))</f>
        <v>0</v>
      </c>
      <c r="N25" s="2">
        <f>MAX(0, M25*(1+Forecast!$B12))</f>
        <v>0</v>
      </c>
      <c r="O25" s="2">
        <f>MAX(0, N25*(1+Forecast!$B12))</f>
        <v>0</v>
      </c>
      <c r="P25" s="2">
        <f>MAX(0, O25*(1+Forecast!$B12))</f>
        <v>0</v>
      </c>
      <c r="Q25" s="2">
        <f>MAX(0, P25*(1+Forecast!$B12))</f>
        <v>0</v>
      </c>
      <c r="R25" s="2">
        <f>MAX(0, Q25*(1+Forecast!$B12))</f>
        <v>0</v>
      </c>
      <c r="S25" s="2">
        <f>MAX(0, R25*(1+Forecast!$B12))</f>
        <v>0</v>
      </c>
      <c r="T25" s="2">
        <f>MAX(0, S25*(1+Forecast!$B12))</f>
        <v>0</v>
      </c>
      <c r="U25" s="2">
        <f>MAX(0, T25*(1+Forecast!$B12))</f>
        <v>0</v>
      </c>
      <c r="V25" s="2">
        <f>MAX(0, U25*(1+Forecast!$B12))</f>
        <v>0</v>
      </c>
      <c r="W25" s="2">
        <f>MAX(0, V25*(1+Forecast!$B12))</f>
        <v>0</v>
      </c>
      <c r="X25" s="2">
        <f>MAX(0, W25*(1+Forecast!$B12))</f>
        <v>0</v>
      </c>
      <c r="Y25" s="2">
        <f>MAX(0, X25*(1+Forecast!$B12))</f>
        <v>0</v>
      </c>
      <c r="Z25" s="2">
        <f>MAX(0, Y25*(1+Forecast!$B12))</f>
        <v>0</v>
      </c>
      <c r="AA25" s="2">
        <f>MAX(0, Z25*(1+Forecast!$B12))</f>
        <v>0</v>
      </c>
      <c r="AB25" s="2">
        <f>MAX(0, AA25*(1+Forecast!$B12))</f>
        <v>0</v>
      </c>
      <c r="AC25" s="2">
        <f>MAX(0, AB25*(1+Forecast!$B12))</f>
        <v>0</v>
      </c>
      <c r="AD25" s="2">
        <f>MAX(0, AC25*(1+Forecast!$B12))</f>
        <v>0</v>
      </c>
      <c r="AE25" s="2">
        <f>MAX(0, AD25*(1+Forecast!$B12))</f>
        <v>0</v>
      </c>
      <c r="AF25" s="2">
        <f>MAX(0, AE25*(1+Forecast!$B12))</f>
        <v>0</v>
      </c>
      <c r="AG25" s="2">
        <f>MAX(0, AF25*(1+Forecast!$B12))</f>
        <v>0</v>
      </c>
      <c r="AH25" s="2"/>
      <c r="AI25" s="2"/>
    </row>
    <row r="27" spans="1:35">
      <c r="A27" s="15" t="s">
        <v>39</v>
      </c>
      <c r="B27" s="1">
        <v>2019</v>
      </c>
      <c r="C27" s="1">
        <v>2020</v>
      </c>
      <c r="D27" s="1">
        <v>2021</v>
      </c>
      <c r="E27" s="1">
        <v>2022</v>
      </c>
      <c r="F27" s="1">
        <v>2023</v>
      </c>
      <c r="G27" s="1">
        <v>2024</v>
      </c>
      <c r="H27" s="1">
        <v>2025</v>
      </c>
      <c r="I27" s="1">
        <v>2026</v>
      </c>
      <c r="J27" s="1">
        <v>2027</v>
      </c>
      <c r="K27" s="1">
        <v>2028</v>
      </c>
      <c r="L27" s="1">
        <v>2029</v>
      </c>
      <c r="M27" s="1">
        <v>2030</v>
      </c>
      <c r="N27" s="1">
        <v>2031</v>
      </c>
      <c r="O27" s="1">
        <v>2032</v>
      </c>
      <c r="P27" s="1">
        <v>2033</v>
      </c>
      <c r="Q27" s="1">
        <v>2034</v>
      </c>
      <c r="R27" s="1">
        <v>2035</v>
      </c>
      <c r="S27" s="1">
        <v>2036</v>
      </c>
      <c r="T27" s="1">
        <v>2037</v>
      </c>
      <c r="U27" s="1">
        <v>2038</v>
      </c>
      <c r="V27" s="1">
        <v>2039</v>
      </c>
      <c r="W27" s="1">
        <v>2040</v>
      </c>
      <c r="X27" s="1">
        <v>2041</v>
      </c>
      <c r="Y27" s="1">
        <v>2042</v>
      </c>
      <c r="Z27" s="1">
        <v>2043</v>
      </c>
      <c r="AA27" s="1">
        <v>2044</v>
      </c>
      <c r="AB27" s="1">
        <v>2045</v>
      </c>
      <c r="AC27" s="1">
        <v>2046</v>
      </c>
      <c r="AD27" s="1">
        <v>2047</v>
      </c>
      <c r="AE27" s="1">
        <v>2048</v>
      </c>
      <c r="AF27" s="1">
        <v>2049</v>
      </c>
      <c r="AG27" s="1">
        <v>2050</v>
      </c>
      <c r="AH27" s="1"/>
      <c r="AI27" s="1"/>
    </row>
    <row r="28" spans="1:35">
      <c r="A28" s="15" t="s">
        <v>2</v>
      </c>
      <c r="B28" s="2">
        <f>INDEX('2019'!$B$26:$G$35, MATCH($A28, '2019'!$A$2:$A$11, 0), MATCH(Rural_res_calculation!$A$27, '2019'!$B$1:$G$1, 0))</f>
        <v>0</v>
      </c>
      <c r="C28" s="2">
        <f>INDEX('2020'!$B$26:$G$35, MATCH($A28, '2020'!$A$2:$A$11, 0), MATCH(Rural_res_calculation!$A$27, '2020'!$B$1:$G$1, 0))</f>
        <v>0</v>
      </c>
      <c r="D28" s="2">
        <f>INDEX('2021'!$B$26:$G$35, MATCH($A28, '2021'!$A$2:$A$11, 0), MATCH(Rural_res_calculation!$A$27, '2021'!$B$1:$G$1, 0))</f>
        <v>0</v>
      </c>
      <c r="E28" s="2">
        <f>MAX(0, D28*(1+Forecast!$B3))</f>
        <v>0</v>
      </c>
      <c r="F28" s="2">
        <f>MAX(0, E28*(1+Forecast!$B3))</f>
        <v>0</v>
      </c>
      <c r="G28" s="2">
        <f>MAX(0, F28*(1+Forecast!$B3))</f>
        <v>0</v>
      </c>
      <c r="H28" s="2">
        <f>MAX(0, G28*(1+Forecast!$B3))</f>
        <v>0</v>
      </c>
      <c r="I28" s="2">
        <f>MAX(0, H28*(1+Forecast!$B3))</f>
        <v>0</v>
      </c>
      <c r="J28" s="2">
        <f>MAX(0, I28*(1+Forecast!$B3))</f>
        <v>0</v>
      </c>
      <c r="K28" s="2">
        <f>MAX(0, J28*(1+Forecast!$B3))</f>
        <v>0</v>
      </c>
      <c r="L28" s="2">
        <f>MAX(0, K28*(1+Forecast!$B3))</f>
        <v>0</v>
      </c>
      <c r="M28" s="2">
        <f>MAX(0, L28*(1+Forecast!$B3))</f>
        <v>0</v>
      </c>
      <c r="N28" s="2">
        <f>MAX(0, M28*(1+Forecast!$B3))</f>
        <v>0</v>
      </c>
      <c r="O28" s="2">
        <f>MAX(0, N28*(1+Forecast!$B3))</f>
        <v>0</v>
      </c>
      <c r="P28" s="2">
        <f>MAX(0, O28*(1+Forecast!$B3))</f>
        <v>0</v>
      </c>
      <c r="Q28" s="2">
        <f>MAX(0, P28*(1+Forecast!$B3))</f>
        <v>0</v>
      </c>
      <c r="R28" s="2">
        <f>MAX(0, Q28*(1+Forecast!$B3))</f>
        <v>0</v>
      </c>
      <c r="S28" s="2">
        <f>MAX(0, R28*(1+Forecast!$B3))</f>
        <v>0</v>
      </c>
      <c r="T28" s="2">
        <f>MAX(0, S28*(1+Forecast!$B3))</f>
        <v>0</v>
      </c>
      <c r="U28" s="2">
        <f>MAX(0, T28*(1+Forecast!$B3))</f>
        <v>0</v>
      </c>
      <c r="V28" s="2">
        <f>MAX(0, U28*(1+Forecast!$B3))</f>
        <v>0</v>
      </c>
      <c r="W28" s="2">
        <f>MAX(0, V28*(1+Forecast!$B3))</f>
        <v>0</v>
      </c>
      <c r="X28" s="2">
        <f>MAX(0, W28*(1+Forecast!$B3))</f>
        <v>0</v>
      </c>
      <c r="Y28" s="2">
        <f>MAX(0, X28*(1+Forecast!$B3))</f>
        <v>0</v>
      </c>
      <c r="Z28" s="2">
        <f>MAX(0, Y28*(1+Forecast!$B3))</f>
        <v>0</v>
      </c>
      <c r="AA28" s="2">
        <f>MAX(0, Z28*(1+Forecast!$B3))</f>
        <v>0</v>
      </c>
      <c r="AB28" s="2">
        <f>MAX(0, AA28*(1+Forecast!$B3))</f>
        <v>0</v>
      </c>
      <c r="AC28" s="2">
        <f>MAX(0, AB28*(1+Forecast!$B3))</f>
        <v>0</v>
      </c>
      <c r="AD28" s="2">
        <f>MAX(0, AC28*(1+Forecast!$B3))</f>
        <v>0</v>
      </c>
      <c r="AE28" s="2">
        <f>MAX(0, AD28*(1+Forecast!$B3))</f>
        <v>0</v>
      </c>
      <c r="AF28" s="2">
        <f>MAX(0, AE28*(1+Forecast!$B3))</f>
        <v>0</v>
      </c>
      <c r="AG28" s="2">
        <f>MAX(0, AF28*(1+Forecast!$B3))</f>
        <v>0</v>
      </c>
      <c r="AH28" s="2"/>
      <c r="AI28" s="2"/>
    </row>
    <row r="29" spans="1:35">
      <c r="A29" s="15" t="s">
        <v>3</v>
      </c>
      <c r="B29" s="2">
        <f>INDEX('2019'!$B$26:$G$35, MATCH($A29, '2019'!$A$2:$A$11, 0), MATCH(Rural_res_calculation!$A$27, '2019'!$B$1:$G$1, 0))</f>
        <v>0</v>
      </c>
      <c r="C29" s="2">
        <f>INDEX('2020'!$B$26:$G$35, MATCH($A29, '2020'!$A$2:$A$11, 0), MATCH(Rural_res_calculation!$A$27, '2020'!$B$1:$G$1, 0))</f>
        <v>0</v>
      </c>
      <c r="D29" s="2">
        <f>INDEX('2021'!$B$26:$G$35, MATCH($A29, '2021'!$A$2:$A$11, 0), MATCH(Rural_res_calculation!$A$27, '2021'!$B$1:$G$1, 0))</f>
        <v>0</v>
      </c>
      <c r="E29" s="2">
        <f>MAX(0, D29*(1+Forecast!$B4))</f>
        <v>0</v>
      </c>
      <c r="F29" s="2">
        <f>MAX(0, E29*(1+Forecast!$B4))</f>
        <v>0</v>
      </c>
      <c r="G29" s="2">
        <f>MAX(0, F29*(1+Forecast!$B4))</f>
        <v>0</v>
      </c>
      <c r="H29" s="2">
        <f>MAX(0, G29*(1+Forecast!$B4))</f>
        <v>0</v>
      </c>
      <c r="I29" s="2">
        <f>MAX(0, H29*(1+Forecast!$B4))</f>
        <v>0</v>
      </c>
      <c r="J29" s="2">
        <f>MAX(0, I29*(1+Forecast!$B4))</f>
        <v>0</v>
      </c>
      <c r="K29" s="2">
        <f>MAX(0, J29*(1+Forecast!$B4))</f>
        <v>0</v>
      </c>
      <c r="L29" s="2">
        <f>MAX(0, K29*(1+Forecast!$B4))</f>
        <v>0</v>
      </c>
      <c r="M29" s="2">
        <f>MAX(0, L29*(1+Forecast!$B4))</f>
        <v>0</v>
      </c>
      <c r="N29" s="2">
        <f>MAX(0, M29*(1+Forecast!$B4))</f>
        <v>0</v>
      </c>
      <c r="O29" s="2">
        <f>MAX(0, N29*(1+Forecast!$B4))</f>
        <v>0</v>
      </c>
      <c r="P29" s="2">
        <f>MAX(0, O29*(1+Forecast!$B4))</f>
        <v>0</v>
      </c>
      <c r="Q29" s="2">
        <f>MAX(0, P29*(1+Forecast!$B4))</f>
        <v>0</v>
      </c>
      <c r="R29" s="2">
        <f>MAX(0, Q29*(1+Forecast!$B4))</f>
        <v>0</v>
      </c>
      <c r="S29" s="2">
        <f>MAX(0, R29*(1+Forecast!$B4))</f>
        <v>0</v>
      </c>
      <c r="T29" s="2">
        <f>MAX(0, S29*(1+Forecast!$B4))</f>
        <v>0</v>
      </c>
      <c r="U29" s="2">
        <f>MAX(0, T29*(1+Forecast!$B4))</f>
        <v>0</v>
      </c>
      <c r="V29" s="2">
        <f>MAX(0, U29*(1+Forecast!$B4))</f>
        <v>0</v>
      </c>
      <c r="W29" s="2">
        <f>MAX(0, V29*(1+Forecast!$B4))</f>
        <v>0</v>
      </c>
      <c r="X29" s="2">
        <f>MAX(0, W29*(1+Forecast!$B4))</f>
        <v>0</v>
      </c>
      <c r="Y29" s="2">
        <f>MAX(0, X29*(1+Forecast!$B4))</f>
        <v>0</v>
      </c>
      <c r="Z29" s="2">
        <f>MAX(0, Y29*(1+Forecast!$B4))</f>
        <v>0</v>
      </c>
      <c r="AA29" s="2">
        <f>MAX(0, Z29*(1+Forecast!$B4))</f>
        <v>0</v>
      </c>
      <c r="AB29" s="2">
        <f>MAX(0, AA29*(1+Forecast!$B4))</f>
        <v>0</v>
      </c>
      <c r="AC29" s="2">
        <f>MAX(0, AB29*(1+Forecast!$B4))</f>
        <v>0</v>
      </c>
      <c r="AD29" s="2">
        <f>MAX(0, AC29*(1+Forecast!$B4))</f>
        <v>0</v>
      </c>
      <c r="AE29" s="2">
        <f>MAX(0, AD29*(1+Forecast!$B4))</f>
        <v>0</v>
      </c>
      <c r="AF29" s="2">
        <f>MAX(0, AE29*(1+Forecast!$B4))</f>
        <v>0</v>
      </c>
      <c r="AG29" s="2">
        <f>MAX(0, AF29*(1+Forecast!$B4))</f>
        <v>0</v>
      </c>
      <c r="AH29" s="2"/>
      <c r="AI29" s="2"/>
    </row>
    <row r="30" spans="1:35">
      <c r="A30" s="15" t="s">
        <v>4</v>
      </c>
      <c r="B30" s="2">
        <f>INDEX('2019'!$B$26:$G$35, MATCH($A30, '2019'!$A$2:$A$11, 0), MATCH(Rural_res_calculation!$A$27, '2019'!$B$1:$G$1, 0))</f>
        <v>0</v>
      </c>
      <c r="C30" s="2">
        <f>INDEX('2020'!$B$26:$G$35, MATCH($A30, '2020'!$A$2:$A$11, 0), MATCH(Rural_res_calculation!$A$27, '2020'!$B$1:$G$1, 0))</f>
        <v>0</v>
      </c>
      <c r="D30" s="2">
        <f>INDEX('2021'!$B$26:$G$35, MATCH($A30, '2021'!$A$2:$A$11, 0), MATCH(Rural_res_calculation!$A$27, '2021'!$B$1:$G$1, 0))</f>
        <v>0</v>
      </c>
      <c r="E30" s="2">
        <f>MAX(0, D30*(1+Forecast!$B5))</f>
        <v>0</v>
      </c>
      <c r="F30" s="2">
        <f>MAX(0, E30*(1+Forecast!$B5))</f>
        <v>0</v>
      </c>
      <c r="G30" s="2">
        <f>MAX(0, F30*(1+Forecast!$B5))</f>
        <v>0</v>
      </c>
      <c r="H30" s="2">
        <f>MAX(0, G30*(1+Forecast!$B5))</f>
        <v>0</v>
      </c>
      <c r="I30" s="2">
        <f>MAX(0, H30*(1+Forecast!$B5))</f>
        <v>0</v>
      </c>
      <c r="J30" s="2">
        <f>MAX(0, I30*(1+Forecast!$B5))</f>
        <v>0</v>
      </c>
      <c r="K30" s="2">
        <f>MAX(0, J30*(1+Forecast!$B5))</f>
        <v>0</v>
      </c>
      <c r="L30" s="2">
        <f>MAX(0, K30*(1+Forecast!$B5))</f>
        <v>0</v>
      </c>
      <c r="M30" s="2">
        <f>MAX(0, L30*(1+Forecast!$B5))</f>
        <v>0</v>
      </c>
      <c r="N30" s="2">
        <f>MAX(0, M30*(1+Forecast!$B5))</f>
        <v>0</v>
      </c>
      <c r="O30" s="2">
        <f>MAX(0, N30*(1+Forecast!$B5))</f>
        <v>0</v>
      </c>
      <c r="P30" s="2">
        <f>MAX(0, O30*(1+Forecast!$B5))</f>
        <v>0</v>
      </c>
      <c r="Q30" s="2">
        <f>MAX(0, P30*(1+Forecast!$B5))</f>
        <v>0</v>
      </c>
      <c r="R30" s="2">
        <f>MAX(0, Q30*(1+Forecast!$B5))</f>
        <v>0</v>
      </c>
      <c r="S30" s="2">
        <f>MAX(0, R30*(1+Forecast!$B5))</f>
        <v>0</v>
      </c>
      <c r="T30" s="2">
        <f>MAX(0, S30*(1+Forecast!$B5))</f>
        <v>0</v>
      </c>
      <c r="U30" s="2">
        <f>MAX(0, T30*(1+Forecast!$B5))</f>
        <v>0</v>
      </c>
      <c r="V30" s="2">
        <f>MAX(0, U30*(1+Forecast!$B5))</f>
        <v>0</v>
      </c>
      <c r="W30" s="2">
        <f>MAX(0, V30*(1+Forecast!$B5))</f>
        <v>0</v>
      </c>
      <c r="X30" s="2">
        <f>MAX(0, W30*(1+Forecast!$B5))</f>
        <v>0</v>
      </c>
      <c r="Y30" s="2">
        <f>MAX(0, X30*(1+Forecast!$B5))</f>
        <v>0</v>
      </c>
      <c r="Z30" s="2">
        <f>MAX(0, Y30*(1+Forecast!$B5))</f>
        <v>0</v>
      </c>
      <c r="AA30" s="2">
        <f>MAX(0, Z30*(1+Forecast!$B5))</f>
        <v>0</v>
      </c>
      <c r="AB30" s="2">
        <f>MAX(0, AA30*(1+Forecast!$B5))</f>
        <v>0</v>
      </c>
      <c r="AC30" s="2">
        <f>MAX(0, AB30*(1+Forecast!$B5))</f>
        <v>0</v>
      </c>
      <c r="AD30" s="2">
        <f>MAX(0, AC30*(1+Forecast!$B5))</f>
        <v>0</v>
      </c>
      <c r="AE30" s="2">
        <f>MAX(0, AD30*(1+Forecast!$B5))</f>
        <v>0</v>
      </c>
      <c r="AF30" s="2">
        <f>MAX(0, AE30*(1+Forecast!$B5))</f>
        <v>0</v>
      </c>
      <c r="AG30" s="2">
        <f>MAX(0, AF30*(1+Forecast!$B5))</f>
        <v>0</v>
      </c>
      <c r="AH30" s="2"/>
      <c r="AI30" s="2"/>
    </row>
    <row r="31" spans="1:35">
      <c r="A31" s="15" t="s">
        <v>5</v>
      </c>
      <c r="B31" s="2">
        <f>INDEX('2019'!$B$26:$G$35, MATCH($A31, '2019'!$A$2:$A$11, 0), MATCH(Rural_res_calculation!$A$27, '2019'!$B$1:$G$1, 0))</f>
        <v>0</v>
      </c>
      <c r="C31" s="2">
        <f>INDEX('2020'!$B$26:$G$35, MATCH($A31, '2020'!$A$2:$A$11, 0), MATCH(Rural_res_calculation!$A$27, '2020'!$B$1:$G$1, 0))</f>
        <v>0</v>
      </c>
      <c r="D31" s="2">
        <f>INDEX('2021'!$B$26:$G$35, MATCH($A31, '2021'!$A$2:$A$11, 0), MATCH(Rural_res_calculation!$A$27, '2021'!$B$1:$G$1, 0))</f>
        <v>0</v>
      </c>
      <c r="E31" s="2">
        <f>MAX(0, D31*(1+Forecast!$B6))</f>
        <v>0</v>
      </c>
      <c r="F31" s="2">
        <f>MAX(0, E31*(1+Forecast!$B6))</f>
        <v>0</v>
      </c>
      <c r="G31" s="2">
        <f>MAX(0, F31*(1+Forecast!$B6))</f>
        <v>0</v>
      </c>
      <c r="H31" s="2">
        <f>MAX(0, G31*(1+Forecast!$B6))</f>
        <v>0</v>
      </c>
      <c r="I31" s="2">
        <f>MAX(0, H31*(1+Forecast!$B6))</f>
        <v>0</v>
      </c>
      <c r="J31" s="2">
        <f>MAX(0, I31*(1+Forecast!$B6))</f>
        <v>0</v>
      </c>
      <c r="K31" s="2">
        <f>MAX(0, J31*(1+Forecast!$B6))</f>
        <v>0</v>
      </c>
      <c r="L31" s="2">
        <f>MAX(0, K31*(1+Forecast!$B6))</f>
        <v>0</v>
      </c>
      <c r="M31" s="2">
        <f>MAX(0, L31*(1+Forecast!$B6))</f>
        <v>0</v>
      </c>
      <c r="N31" s="2">
        <f>MAX(0, M31*(1+Forecast!$B6))</f>
        <v>0</v>
      </c>
      <c r="O31" s="2">
        <f>MAX(0, N31*(1+Forecast!$B6))</f>
        <v>0</v>
      </c>
      <c r="P31" s="2">
        <f>MAX(0, O31*(1+Forecast!$B6))</f>
        <v>0</v>
      </c>
      <c r="Q31" s="2">
        <f>MAX(0, P31*(1+Forecast!$B6))</f>
        <v>0</v>
      </c>
      <c r="R31" s="2">
        <f>MAX(0, Q31*(1+Forecast!$B6))</f>
        <v>0</v>
      </c>
      <c r="S31" s="2">
        <f>MAX(0, R31*(1+Forecast!$B6))</f>
        <v>0</v>
      </c>
      <c r="T31" s="2">
        <f>MAX(0, S31*(1+Forecast!$B6))</f>
        <v>0</v>
      </c>
      <c r="U31" s="2">
        <f>MAX(0, T31*(1+Forecast!$B6))</f>
        <v>0</v>
      </c>
      <c r="V31" s="2">
        <f>MAX(0, U31*(1+Forecast!$B6))</f>
        <v>0</v>
      </c>
      <c r="W31" s="2">
        <f>MAX(0, V31*(1+Forecast!$B6))</f>
        <v>0</v>
      </c>
      <c r="X31" s="2">
        <f>MAX(0, W31*(1+Forecast!$B6))</f>
        <v>0</v>
      </c>
      <c r="Y31" s="2">
        <f>MAX(0, X31*(1+Forecast!$B6))</f>
        <v>0</v>
      </c>
      <c r="Z31" s="2">
        <f>MAX(0, Y31*(1+Forecast!$B6))</f>
        <v>0</v>
      </c>
      <c r="AA31" s="2">
        <f>MAX(0, Z31*(1+Forecast!$B6))</f>
        <v>0</v>
      </c>
      <c r="AB31" s="2">
        <f>MAX(0, AA31*(1+Forecast!$B6))</f>
        <v>0</v>
      </c>
      <c r="AC31" s="2">
        <f>MAX(0, AB31*(1+Forecast!$B6))</f>
        <v>0</v>
      </c>
      <c r="AD31" s="2">
        <f>MAX(0, AC31*(1+Forecast!$B6))</f>
        <v>0</v>
      </c>
      <c r="AE31" s="2">
        <f>MAX(0, AD31*(1+Forecast!$B6))</f>
        <v>0</v>
      </c>
      <c r="AF31" s="2">
        <f>MAX(0, AE31*(1+Forecast!$B6))</f>
        <v>0</v>
      </c>
      <c r="AG31" s="2">
        <f>MAX(0, AF31*(1+Forecast!$B6))</f>
        <v>0</v>
      </c>
      <c r="AH31" s="2"/>
      <c r="AI31" s="2"/>
    </row>
    <row r="32" spans="1:35">
      <c r="A32" s="15" t="s">
        <v>7</v>
      </c>
      <c r="B32" s="2">
        <f>INDEX('2019'!$B$26:$G$35, MATCH($A32, '2019'!$A$2:$A$11, 0), MATCH(Rural_res_calculation!$A$27, '2019'!$B$1:$G$1, 0))</f>
        <v>0</v>
      </c>
      <c r="C32" s="2">
        <f>INDEX('2020'!$B$26:$G$35, MATCH($A32, '2020'!$A$2:$A$11, 0), MATCH(Rural_res_calculation!$A$27, '2020'!$B$1:$G$1, 0))</f>
        <v>0</v>
      </c>
      <c r="D32" s="2">
        <f>INDEX('2021'!$B$26:$G$35, MATCH($A32, '2021'!$A$2:$A$11, 0), MATCH(Rural_res_calculation!$A$27, '2021'!$B$1:$G$1, 0))</f>
        <v>0</v>
      </c>
      <c r="E32" s="2">
        <f>MAX(0, D32*(1+Forecast!$B7))</f>
        <v>0</v>
      </c>
      <c r="F32" s="2">
        <f>MAX(0, E32*(1+Forecast!$B7))</f>
        <v>0</v>
      </c>
      <c r="G32" s="2">
        <f>MAX(0, F32*(1+Forecast!$B7))</f>
        <v>0</v>
      </c>
      <c r="H32" s="2">
        <f>MAX(0, G32*(1+Forecast!$B7))</f>
        <v>0</v>
      </c>
      <c r="I32" s="2">
        <f>MAX(0, H32*(1+Forecast!$B7))</f>
        <v>0</v>
      </c>
      <c r="J32" s="2">
        <f>MAX(0, I32*(1+Forecast!$B7))</f>
        <v>0</v>
      </c>
      <c r="K32" s="2">
        <f>MAX(0, J32*(1+Forecast!$B7))</f>
        <v>0</v>
      </c>
      <c r="L32" s="2">
        <f>MAX(0, K32*(1+Forecast!$B7))</f>
        <v>0</v>
      </c>
      <c r="M32" s="2">
        <f>MAX(0, L32*(1+Forecast!$B7))</f>
        <v>0</v>
      </c>
      <c r="N32" s="2">
        <f>MAX(0, M32*(1+Forecast!$B7))</f>
        <v>0</v>
      </c>
      <c r="O32" s="2">
        <f>MAX(0, N32*(1+Forecast!$B7))</f>
        <v>0</v>
      </c>
      <c r="P32" s="2">
        <f>MAX(0, O32*(1+Forecast!$B7))</f>
        <v>0</v>
      </c>
      <c r="Q32" s="2">
        <f>MAX(0, P32*(1+Forecast!$B7))</f>
        <v>0</v>
      </c>
      <c r="R32" s="2">
        <f>MAX(0, Q32*(1+Forecast!$B7))</f>
        <v>0</v>
      </c>
      <c r="S32" s="2">
        <f>MAX(0, R32*(1+Forecast!$B7))</f>
        <v>0</v>
      </c>
      <c r="T32" s="2">
        <f>MAX(0, S32*(1+Forecast!$B7))</f>
        <v>0</v>
      </c>
      <c r="U32" s="2">
        <f>MAX(0, T32*(1+Forecast!$B7))</f>
        <v>0</v>
      </c>
      <c r="V32" s="2">
        <f>MAX(0, U32*(1+Forecast!$B7))</f>
        <v>0</v>
      </c>
      <c r="W32" s="2">
        <f>MAX(0, V32*(1+Forecast!$B7))</f>
        <v>0</v>
      </c>
      <c r="X32" s="2">
        <f>MAX(0, W32*(1+Forecast!$B7))</f>
        <v>0</v>
      </c>
      <c r="Y32" s="2">
        <f>MAX(0, X32*(1+Forecast!$B7))</f>
        <v>0</v>
      </c>
      <c r="Z32" s="2">
        <f>MAX(0, Y32*(1+Forecast!$B7))</f>
        <v>0</v>
      </c>
      <c r="AA32" s="2">
        <f>MAX(0, Z32*(1+Forecast!$B7))</f>
        <v>0</v>
      </c>
      <c r="AB32" s="2">
        <f>MAX(0, AA32*(1+Forecast!$B7))</f>
        <v>0</v>
      </c>
      <c r="AC32" s="2">
        <f>MAX(0, AB32*(1+Forecast!$B7))</f>
        <v>0</v>
      </c>
      <c r="AD32" s="2">
        <f>MAX(0, AC32*(1+Forecast!$B7))</f>
        <v>0</v>
      </c>
      <c r="AE32" s="2">
        <f>MAX(0, AD32*(1+Forecast!$B7))</f>
        <v>0</v>
      </c>
      <c r="AF32" s="2">
        <f>MAX(0, AE32*(1+Forecast!$B7))</f>
        <v>0</v>
      </c>
      <c r="AG32" s="2">
        <f>MAX(0, AF32*(1+Forecast!$B7))</f>
        <v>0</v>
      </c>
      <c r="AH32" s="2"/>
      <c r="AI32" s="2"/>
    </row>
    <row r="33" spans="1:35">
      <c r="A33" s="15" t="s">
        <v>11</v>
      </c>
      <c r="B33" s="2">
        <f>INDEX('2019'!$B$26:$G$35, MATCH($A33, '2019'!$A$2:$A$11, 0), MATCH(Rural_res_calculation!$A$27, '2019'!$B$1:$G$1, 0))</f>
        <v>0</v>
      </c>
      <c r="C33" s="2">
        <f>INDEX('2020'!$B$26:$G$35, MATCH($A33, '2020'!$A$2:$A$11, 0), MATCH(Rural_res_calculation!$A$27, '2020'!$B$1:$G$1, 0))</f>
        <v>0</v>
      </c>
      <c r="D33" s="2">
        <f>INDEX('2021'!$B$26:$G$35, MATCH($A33, '2021'!$A$2:$A$11, 0), MATCH(Rural_res_calculation!$A$27, '2021'!$B$1:$G$1, 0))</f>
        <v>0</v>
      </c>
      <c r="E33" s="2">
        <f>MAX(0, D33*(1+Forecast!$B8))</f>
        <v>0</v>
      </c>
      <c r="F33" s="2">
        <f>MAX(0, E33*(1+Forecast!$B8))</f>
        <v>0</v>
      </c>
      <c r="G33" s="2">
        <f>MAX(0, F33*(1+Forecast!$B8))</f>
        <v>0</v>
      </c>
      <c r="H33" s="2">
        <f>MAX(0, G33*(1+Forecast!$B8))</f>
        <v>0</v>
      </c>
      <c r="I33" s="2">
        <f>MAX(0, H33*(1+Forecast!$B8))</f>
        <v>0</v>
      </c>
      <c r="J33" s="2">
        <f>MAX(0, I33*(1+Forecast!$B8))</f>
        <v>0</v>
      </c>
      <c r="K33" s="2">
        <f>MAX(0, J33*(1+Forecast!$B8))</f>
        <v>0</v>
      </c>
      <c r="L33" s="2">
        <f>MAX(0, K33*(1+Forecast!$B8))</f>
        <v>0</v>
      </c>
      <c r="M33" s="2">
        <f>MAX(0, L33*(1+Forecast!$B8))</f>
        <v>0</v>
      </c>
      <c r="N33" s="2">
        <f>MAX(0, M33*(1+Forecast!$B8))</f>
        <v>0</v>
      </c>
      <c r="O33" s="2">
        <f>MAX(0, N33*(1+Forecast!$B8))</f>
        <v>0</v>
      </c>
      <c r="P33" s="2">
        <f>MAX(0, O33*(1+Forecast!$B8))</f>
        <v>0</v>
      </c>
      <c r="Q33" s="2">
        <f>MAX(0, P33*(1+Forecast!$B8))</f>
        <v>0</v>
      </c>
      <c r="R33" s="2">
        <f>MAX(0, Q33*(1+Forecast!$B8))</f>
        <v>0</v>
      </c>
      <c r="S33" s="2">
        <f>MAX(0, R33*(1+Forecast!$B8))</f>
        <v>0</v>
      </c>
      <c r="T33" s="2">
        <f>MAX(0, S33*(1+Forecast!$B8))</f>
        <v>0</v>
      </c>
      <c r="U33" s="2">
        <f>MAX(0, T33*(1+Forecast!$B8))</f>
        <v>0</v>
      </c>
      <c r="V33" s="2">
        <f>MAX(0, U33*(1+Forecast!$B8))</f>
        <v>0</v>
      </c>
      <c r="W33" s="2">
        <f>MAX(0, V33*(1+Forecast!$B8))</f>
        <v>0</v>
      </c>
      <c r="X33" s="2">
        <f>MAX(0, W33*(1+Forecast!$B8))</f>
        <v>0</v>
      </c>
      <c r="Y33" s="2">
        <f>MAX(0, X33*(1+Forecast!$B8))</f>
        <v>0</v>
      </c>
      <c r="Z33" s="2">
        <f>MAX(0, Y33*(1+Forecast!$B8))</f>
        <v>0</v>
      </c>
      <c r="AA33" s="2">
        <f>MAX(0, Z33*(1+Forecast!$B8))</f>
        <v>0</v>
      </c>
      <c r="AB33" s="2">
        <f>MAX(0, AA33*(1+Forecast!$B8))</f>
        <v>0</v>
      </c>
      <c r="AC33" s="2">
        <f>MAX(0, AB33*(1+Forecast!$B8))</f>
        <v>0</v>
      </c>
      <c r="AD33" s="2">
        <f>MAX(0, AC33*(1+Forecast!$B8))</f>
        <v>0</v>
      </c>
      <c r="AE33" s="2">
        <f>MAX(0, AD33*(1+Forecast!$B8))</f>
        <v>0</v>
      </c>
      <c r="AF33" s="2">
        <f>MAX(0, AE33*(1+Forecast!$B8))</f>
        <v>0</v>
      </c>
      <c r="AG33" s="2">
        <f>MAX(0, AF33*(1+Forecast!$B8))</f>
        <v>0</v>
      </c>
      <c r="AH33" s="2"/>
      <c r="AI33" s="2"/>
    </row>
    <row r="34" spans="1:35">
      <c r="A34" s="15" t="s">
        <v>13</v>
      </c>
      <c r="B34" s="2">
        <f>INDEX('2019'!$B$26:$G$35, MATCH($A34, '2019'!$A$2:$A$11, 0), MATCH(Rural_res_calculation!$A$27, '2019'!$B$1:$G$1, 0))</f>
        <v>0</v>
      </c>
      <c r="C34" s="2">
        <f>INDEX('2020'!$B$26:$G$35, MATCH($A34, '2020'!$A$2:$A$11, 0), MATCH(Rural_res_calculation!$A$27, '2020'!$B$1:$G$1, 0))</f>
        <v>0</v>
      </c>
      <c r="D34" s="2">
        <f>INDEX('2021'!$B$26:$G$35, MATCH($A34, '2021'!$A$2:$A$11, 0), MATCH(Rural_res_calculation!$A$27, '2021'!$B$1:$G$1, 0))</f>
        <v>0</v>
      </c>
      <c r="E34" s="2">
        <f>MAX(0, D34*(1+Forecast!$B9))</f>
        <v>0</v>
      </c>
      <c r="F34" s="2">
        <f>MAX(0, E34*(1+Forecast!$B9))</f>
        <v>0</v>
      </c>
      <c r="G34" s="2">
        <f>MAX(0, F34*(1+Forecast!$B9))</f>
        <v>0</v>
      </c>
      <c r="H34" s="2">
        <f>MAX(0, G34*(1+Forecast!$B9))</f>
        <v>0</v>
      </c>
      <c r="I34" s="2">
        <f>MAX(0, H34*(1+Forecast!$B9))</f>
        <v>0</v>
      </c>
      <c r="J34" s="2">
        <f>MAX(0, I34*(1+Forecast!$B9))</f>
        <v>0</v>
      </c>
      <c r="K34" s="2">
        <f>MAX(0, J34*(1+Forecast!$B9))</f>
        <v>0</v>
      </c>
      <c r="L34" s="2">
        <f>MAX(0, K34*(1+Forecast!$B9))</f>
        <v>0</v>
      </c>
      <c r="M34" s="2">
        <f>MAX(0, L34*(1+Forecast!$B9))</f>
        <v>0</v>
      </c>
      <c r="N34" s="2">
        <f>MAX(0, M34*(1+Forecast!$B9))</f>
        <v>0</v>
      </c>
      <c r="O34" s="2">
        <f>MAX(0, N34*(1+Forecast!$B9))</f>
        <v>0</v>
      </c>
      <c r="P34" s="2">
        <f>MAX(0, O34*(1+Forecast!$B9))</f>
        <v>0</v>
      </c>
      <c r="Q34" s="2">
        <f>MAX(0, P34*(1+Forecast!$B9))</f>
        <v>0</v>
      </c>
      <c r="R34" s="2">
        <f>MAX(0, Q34*(1+Forecast!$B9))</f>
        <v>0</v>
      </c>
      <c r="S34" s="2">
        <f>MAX(0, R34*(1+Forecast!$B9))</f>
        <v>0</v>
      </c>
      <c r="T34" s="2">
        <f>MAX(0, S34*(1+Forecast!$B9))</f>
        <v>0</v>
      </c>
      <c r="U34" s="2">
        <f>MAX(0, T34*(1+Forecast!$B9))</f>
        <v>0</v>
      </c>
      <c r="V34" s="2">
        <f>MAX(0, U34*(1+Forecast!$B9))</f>
        <v>0</v>
      </c>
      <c r="W34" s="2">
        <f>MAX(0, V34*(1+Forecast!$B9))</f>
        <v>0</v>
      </c>
      <c r="X34" s="2">
        <f>MAX(0, W34*(1+Forecast!$B9))</f>
        <v>0</v>
      </c>
      <c r="Y34" s="2">
        <f>MAX(0, X34*(1+Forecast!$B9))</f>
        <v>0</v>
      </c>
      <c r="Z34" s="2">
        <f>MAX(0, Y34*(1+Forecast!$B9))</f>
        <v>0</v>
      </c>
      <c r="AA34" s="2">
        <f>MAX(0, Z34*(1+Forecast!$B9))</f>
        <v>0</v>
      </c>
      <c r="AB34" s="2">
        <f>MAX(0, AA34*(1+Forecast!$B9))</f>
        <v>0</v>
      </c>
      <c r="AC34" s="2">
        <f>MAX(0, AB34*(1+Forecast!$B9))</f>
        <v>0</v>
      </c>
      <c r="AD34" s="2">
        <f>MAX(0, AC34*(1+Forecast!$B9))</f>
        <v>0</v>
      </c>
      <c r="AE34" s="2">
        <f>MAX(0, AD34*(1+Forecast!$B9))</f>
        <v>0</v>
      </c>
      <c r="AF34" s="2">
        <f>MAX(0, AE34*(1+Forecast!$B9))</f>
        <v>0</v>
      </c>
      <c r="AG34" s="2">
        <f>MAX(0, AF34*(1+Forecast!$B9))</f>
        <v>0</v>
      </c>
      <c r="AH34" s="2"/>
      <c r="AI34" s="2"/>
    </row>
    <row r="35" spans="1:35">
      <c r="A35" s="15" t="s">
        <v>14</v>
      </c>
      <c r="B35" s="2">
        <f>INDEX('2019'!$B$26:$G$35, MATCH($A35, '2019'!$A$2:$A$11, 0), MATCH(Rural_res_calculation!$A$27, '2019'!$B$1:$G$1, 0))</f>
        <v>0</v>
      </c>
      <c r="C35" s="2">
        <f>INDEX('2020'!$B$26:$G$35, MATCH($A35, '2020'!$A$2:$A$11, 0), MATCH(Rural_res_calculation!$A$27, '2020'!$B$1:$G$1, 0))</f>
        <v>0</v>
      </c>
      <c r="D35" s="2">
        <f>INDEX('2021'!$B$26:$G$35, MATCH($A35, '2021'!$A$2:$A$11, 0), MATCH(Rural_res_calculation!$A$27, '2021'!$B$1:$G$1, 0))</f>
        <v>0</v>
      </c>
      <c r="E35" s="2">
        <f>MAX(0, D35*(1+Forecast!$B10))</f>
        <v>0</v>
      </c>
      <c r="F35" s="2">
        <f>MAX(0, E35*(1+Forecast!$B10))</f>
        <v>0</v>
      </c>
      <c r="G35" s="2">
        <f>MAX(0, F35*(1+Forecast!$B10))</f>
        <v>0</v>
      </c>
      <c r="H35" s="2">
        <f>MAX(0, G35*(1+Forecast!$B10))</f>
        <v>0</v>
      </c>
      <c r="I35" s="2">
        <f>MAX(0, H35*(1+Forecast!$B10))</f>
        <v>0</v>
      </c>
      <c r="J35" s="2">
        <f>MAX(0, I35*(1+Forecast!$B10))</f>
        <v>0</v>
      </c>
      <c r="K35" s="2">
        <f>MAX(0, J35*(1+Forecast!$B10))</f>
        <v>0</v>
      </c>
      <c r="L35" s="2">
        <f>MAX(0, K35*(1+Forecast!$B10))</f>
        <v>0</v>
      </c>
      <c r="M35" s="2">
        <f>MAX(0, L35*(1+Forecast!$B10))</f>
        <v>0</v>
      </c>
      <c r="N35" s="2">
        <f>MAX(0, M35*(1+Forecast!$B10))</f>
        <v>0</v>
      </c>
      <c r="O35" s="2">
        <f>MAX(0, N35*(1+Forecast!$B10))</f>
        <v>0</v>
      </c>
      <c r="P35" s="2">
        <f>MAX(0, O35*(1+Forecast!$B10))</f>
        <v>0</v>
      </c>
      <c r="Q35" s="2">
        <f>MAX(0, P35*(1+Forecast!$B10))</f>
        <v>0</v>
      </c>
      <c r="R35" s="2">
        <f>MAX(0, Q35*(1+Forecast!$B10))</f>
        <v>0</v>
      </c>
      <c r="S35" s="2">
        <f>MAX(0, R35*(1+Forecast!$B10))</f>
        <v>0</v>
      </c>
      <c r="T35" s="2">
        <f>MAX(0, S35*(1+Forecast!$B10))</f>
        <v>0</v>
      </c>
      <c r="U35" s="2">
        <f>MAX(0, T35*(1+Forecast!$B10))</f>
        <v>0</v>
      </c>
      <c r="V35" s="2">
        <f>MAX(0, U35*(1+Forecast!$B10))</f>
        <v>0</v>
      </c>
      <c r="W35" s="2">
        <f>MAX(0, V35*(1+Forecast!$B10))</f>
        <v>0</v>
      </c>
      <c r="X35" s="2">
        <f>MAX(0, W35*(1+Forecast!$B10))</f>
        <v>0</v>
      </c>
      <c r="Y35" s="2">
        <f>MAX(0, X35*(1+Forecast!$B10))</f>
        <v>0</v>
      </c>
      <c r="Z35" s="2">
        <f>MAX(0, Y35*(1+Forecast!$B10))</f>
        <v>0</v>
      </c>
      <c r="AA35" s="2">
        <f>MAX(0, Z35*(1+Forecast!$B10))</f>
        <v>0</v>
      </c>
      <c r="AB35" s="2">
        <f>MAX(0, AA35*(1+Forecast!$B10))</f>
        <v>0</v>
      </c>
      <c r="AC35" s="2">
        <f>MAX(0, AB35*(1+Forecast!$B10))</f>
        <v>0</v>
      </c>
      <c r="AD35" s="2">
        <f>MAX(0, AC35*(1+Forecast!$B10))</f>
        <v>0</v>
      </c>
      <c r="AE35" s="2">
        <f>MAX(0, AD35*(1+Forecast!$B10))</f>
        <v>0</v>
      </c>
      <c r="AF35" s="2">
        <f>MAX(0, AE35*(1+Forecast!$B10))</f>
        <v>0</v>
      </c>
      <c r="AG35" s="2">
        <f>MAX(0, AF35*(1+Forecast!$B10))</f>
        <v>0</v>
      </c>
      <c r="AH35" s="2"/>
      <c r="AI35" s="2"/>
    </row>
    <row r="36" spans="1:35">
      <c r="A36" s="15" t="s">
        <v>15</v>
      </c>
      <c r="B36" s="2">
        <f>INDEX('2019'!$B$26:$G$35, MATCH($A36, '2019'!$A$2:$A$11, 0), MATCH(Rural_res_calculation!$A$27, '2019'!$B$1:$G$1, 0))</f>
        <v>0</v>
      </c>
      <c r="C36" s="2">
        <f>INDEX('2020'!$B$26:$G$35, MATCH($A36, '2020'!$A$2:$A$11, 0), MATCH(Rural_res_calculation!$A$27, '2020'!$B$1:$G$1, 0))</f>
        <v>0</v>
      </c>
      <c r="D36" s="2">
        <f>INDEX('2021'!$B$26:$G$35, MATCH($A36, '2021'!$A$2:$A$11, 0), MATCH(Rural_res_calculation!$A$27, '2021'!$B$1:$G$1, 0))</f>
        <v>0</v>
      </c>
      <c r="E36" s="2">
        <f>MAX(0, D36*(1+Forecast!$B11))</f>
        <v>0</v>
      </c>
      <c r="F36" s="2">
        <f>MAX(0, E36*(1+Forecast!$B11))</f>
        <v>0</v>
      </c>
      <c r="G36" s="2">
        <f>MAX(0, F36*(1+Forecast!$B11))</f>
        <v>0</v>
      </c>
      <c r="H36" s="2">
        <f>MAX(0, G36*(1+Forecast!$B11))</f>
        <v>0</v>
      </c>
      <c r="I36" s="2">
        <f>MAX(0, H36*(1+Forecast!$B11))</f>
        <v>0</v>
      </c>
      <c r="J36" s="2">
        <f>MAX(0, I36*(1+Forecast!$B11))</f>
        <v>0</v>
      </c>
      <c r="K36" s="2">
        <f>MAX(0, J36*(1+Forecast!$B11))</f>
        <v>0</v>
      </c>
      <c r="L36" s="2">
        <f>MAX(0, K36*(1+Forecast!$B11))</f>
        <v>0</v>
      </c>
      <c r="M36" s="2">
        <f>MAX(0, L36*(1+Forecast!$B11))</f>
        <v>0</v>
      </c>
      <c r="N36" s="2">
        <f>MAX(0, M36*(1+Forecast!$B11))</f>
        <v>0</v>
      </c>
      <c r="O36" s="2">
        <f>MAX(0, N36*(1+Forecast!$B11))</f>
        <v>0</v>
      </c>
      <c r="P36" s="2">
        <f>MAX(0, O36*(1+Forecast!$B11))</f>
        <v>0</v>
      </c>
      <c r="Q36" s="2">
        <f>MAX(0, P36*(1+Forecast!$B11))</f>
        <v>0</v>
      </c>
      <c r="R36" s="2">
        <f>MAX(0, Q36*(1+Forecast!$B11))</f>
        <v>0</v>
      </c>
      <c r="S36" s="2">
        <f>MAX(0, R36*(1+Forecast!$B11))</f>
        <v>0</v>
      </c>
      <c r="T36" s="2">
        <f>MAX(0, S36*(1+Forecast!$B11))</f>
        <v>0</v>
      </c>
      <c r="U36" s="2">
        <f>MAX(0, T36*(1+Forecast!$B11))</f>
        <v>0</v>
      </c>
      <c r="V36" s="2">
        <f>MAX(0, U36*(1+Forecast!$B11))</f>
        <v>0</v>
      </c>
      <c r="W36" s="2">
        <f>MAX(0, V36*(1+Forecast!$B11))</f>
        <v>0</v>
      </c>
      <c r="X36" s="2">
        <f>MAX(0, W36*(1+Forecast!$B11))</f>
        <v>0</v>
      </c>
      <c r="Y36" s="2">
        <f>MAX(0, X36*(1+Forecast!$B11))</f>
        <v>0</v>
      </c>
      <c r="Z36" s="2">
        <f>MAX(0, Y36*(1+Forecast!$B11))</f>
        <v>0</v>
      </c>
      <c r="AA36" s="2">
        <f>MAX(0, Z36*(1+Forecast!$B11))</f>
        <v>0</v>
      </c>
      <c r="AB36" s="2">
        <f>MAX(0, AA36*(1+Forecast!$B11))</f>
        <v>0</v>
      </c>
      <c r="AC36" s="2">
        <f>MAX(0, AB36*(1+Forecast!$B11))</f>
        <v>0</v>
      </c>
      <c r="AD36" s="2">
        <f>MAX(0, AC36*(1+Forecast!$B11))</f>
        <v>0</v>
      </c>
      <c r="AE36" s="2">
        <f>MAX(0, AD36*(1+Forecast!$B11))</f>
        <v>0</v>
      </c>
      <c r="AF36" s="2">
        <f>MAX(0, AE36*(1+Forecast!$B11))</f>
        <v>0</v>
      </c>
      <c r="AG36" s="2">
        <f>MAX(0, AF36*(1+Forecast!$B11))</f>
        <v>0</v>
      </c>
      <c r="AH36" s="2"/>
      <c r="AI36" s="2"/>
    </row>
    <row r="37" spans="1:35">
      <c r="A37" s="15" t="s">
        <v>16</v>
      </c>
      <c r="B37" s="2">
        <f>INDEX('2019'!$B$26:$G$35, MATCH($A37, '2019'!$A$2:$A$11, 0), MATCH(Rural_res_calculation!$A$27, '2019'!$B$1:$G$1, 0))</f>
        <v>0</v>
      </c>
      <c r="C37" s="2">
        <f>INDEX('2020'!$B$26:$G$35, MATCH($A37, '2020'!$A$2:$A$11, 0), MATCH(Rural_res_calculation!$A$27, '2020'!$B$1:$G$1, 0))</f>
        <v>0</v>
      </c>
      <c r="D37" s="2">
        <f>INDEX('2021'!$B$26:$G$35, MATCH($A37, '2021'!$A$2:$A$11, 0), MATCH(Rural_res_calculation!$A$27, '2021'!$B$1:$G$1, 0))</f>
        <v>0</v>
      </c>
      <c r="E37" s="2">
        <f>MAX(0, D37*(1+Forecast!$B12))</f>
        <v>0</v>
      </c>
      <c r="F37" s="2">
        <f>MAX(0, E37*(1+Forecast!$B12))</f>
        <v>0</v>
      </c>
      <c r="G37" s="2">
        <f>MAX(0, F37*(1+Forecast!$B12))</f>
        <v>0</v>
      </c>
      <c r="H37" s="2">
        <f>MAX(0, G37*(1+Forecast!$B12))</f>
        <v>0</v>
      </c>
      <c r="I37" s="2">
        <f>MAX(0, H37*(1+Forecast!$B12))</f>
        <v>0</v>
      </c>
      <c r="J37" s="2">
        <f>MAX(0, I37*(1+Forecast!$B12))</f>
        <v>0</v>
      </c>
      <c r="K37" s="2">
        <f>MAX(0, J37*(1+Forecast!$B12))</f>
        <v>0</v>
      </c>
      <c r="L37" s="2">
        <f>MAX(0, K37*(1+Forecast!$B12))</f>
        <v>0</v>
      </c>
      <c r="M37" s="2">
        <f>MAX(0, L37*(1+Forecast!$B12))</f>
        <v>0</v>
      </c>
      <c r="N37" s="2">
        <f>MAX(0, M37*(1+Forecast!$B12))</f>
        <v>0</v>
      </c>
      <c r="O37" s="2">
        <f>MAX(0, N37*(1+Forecast!$B12))</f>
        <v>0</v>
      </c>
      <c r="P37" s="2">
        <f>MAX(0, O37*(1+Forecast!$B12))</f>
        <v>0</v>
      </c>
      <c r="Q37" s="2">
        <f>MAX(0, P37*(1+Forecast!$B12))</f>
        <v>0</v>
      </c>
      <c r="R37" s="2">
        <f>MAX(0, Q37*(1+Forecast!$B12))</f>
        <v>0</v>
      </c>
      <c r="S37" s="2">
        <f>MAX(0, R37*(1+Forecast!$B12))</f>
        <v>0</v>
      </c>
      <c r="T37" s="2">
        <f>MAX(0, S37*(1+Forecast!$B12))</f>
        <v>0</v>
      </c>
      <c r="U37" s="2">
        <f>MAX(0, T37*(1+Forecast!$B12))</f>
        <v>0</v>
      </c>
      <c r="V37" s="2">
        <f>MAX(0, U37*(1+Forecast!$B12))</f>
        <v>0</v>
      </c>
      <c r="W37" s="2">
        <f>MAX(0, V37*(1+Forecast!$B12))</f>
        <v>0</v>
      </c>
      <c r="X37" s="2">
        <f>MAX(0, W37*(1+Forecast!$B12))</f>
        <v>0</v>
      </c>
      <c r="Y37" s="2">
        <f>MAX(0, X37*(1+Forecast!$B12))</f>
        <v>0</v>
      </c>
      <c r="Z37" s="2">
        <f>MAX(0, Y37*(1+Forecast!$B12))</f>
        <v>0</v>
      </c>
      <c r="AA37" s="2">
        <f>MAX(0, Z37*(1+Forecast!$B12))</f>
        <v>0</v>
      </c>
      <c r="AB37" s="2">
        <f>MAX(0, AA37*(1+Forecast!$B12))</f>
        <v>0</v>
      </c>
      <c r="AC37" s="2">
        <f>MAX(0, AB37*(1+Forecast!$B12))</f>
        <v>0</v>
      </c>
      <c r="AD37" s="2">
        <f>MAX(0, AC37*(1+Forecast!$B12))</f>
        <v>0</v>
      </c>
      <c r="AE37" s="2">
        <f>MAX(0, AD37*(1+Forecast!$B12))</f>
        <v>0</v>
      </c>
      <c r="AF37" s="2">
        <f>MAX(0, AE37*(1+Forecast!$B12))</f>
        <v>0</v>
      </c>
      <c r="AG37" s="2">
        <f>MAX(0, AF37*(1+Forecast!$B12))</f>
        <v>0</v>
      </c>
      <c r="AH37" s="2"/>
      <c r="AI37" s="2"/>
    </row>
    <row r="39" spans="1:35">
      <c r="A39" s="15" t="s">
        <v>40</v>
      </c>
      <c r="B39" s="1">
        <v>2019</v>
      </c>
      <c r="C39" s="1">
        <v>2020</v>
      </c>
      <c r="D39" s="1">
        <v>2021</v>
      </c>
      <c r="E39" s="1">
        <v>2022</v>
      </c>
      <c r="F39" s="1">
        <v>2023</v>
      </c>
      <c r="G39" s="1">
        <v>2024</v>
      </c>
      <c r="H39" s="1">
        <v>2025</v>
      </c>
      <c r="I39" s="1">
        <v>2026</v>
      </c>
      <c r="J39" s="1">
        <v>2027</v>
      </c>
      <c r="K39" s="1">
        <v>2028</v>
      </c>
      <c r="L39" s="1">
        <v>2029</v>
      </c>
      <c r="M39" s="1">
        <v>2030</v>
      </c>
      <c r="N39" s="1">
        <v>2031</v>
      </c>
      <c r="O39" s="1">
        <v>2032</v>
      </c>
      <c r="P39" s="1">
        <v>2033</v>
      </c>
      <c r="Q39" s="1">
        <v>2034</v>
      </c>
      <c r="R39" s="1">
        <v>2035</v>
      </c>
      <c r="S39" s="1">
        <v>2036</v>
      </c>
      <c r="T39" s="1">
        <v>2037</v>
      </c>
      <c r="U39" s="1">
        <v>2038</v>
      </c>
      <c r="V39" s="1">
        <v>2039</v>
      </c>
      <c r="W39" s="1">
        <v>2040</v>
      </c>
      <c r="X39" s="1">
        <v>2041</v>
      </c>
      <c r="Y39" s="1">
        <v>2042</v>
      </c>
      <c r="Z39" s="1">
        <v>2043</v>
      </c>
      <c r="AA39" s="1">
        <v>2044</v>
      </c>
      <c r="AB39" s="1">
        <v>2045</v>
      </c>
      <c r="AC39" s="1">
        <v>2046</v>
      </c>
      <c r="AD39" s="1">
        <v>2047</v>
      </c>
      <c r="AE39" s="1">
        <v>2048</v>
      </c>
      <c r="AF39" s="1">
        <v>2049</v>
      </c>
      <c r="AG39" s="1">
        <v>2050</v>
      </c>
      <c r="AH39" s="1"/>
      <c r="AI39" s="1"/>
    </row>
    <row r="40" spans="1:35">
      <c r="A40" s="15" t="s">
        <v>2</v>
      </c>
      <c r="B40" s="2">
        <f>INDEX('2019'!$B$26:$G$35, MATCH($A40, '2019'!$A$2:$A$11, 0), MATCH(Rural_res_calculation!$A$39, '2019'!$B$1:$G$1, 0))</f>
        <v>3254014199999.9985</v>
      </c>
      <c r="C40" s="2">
        <f>INDEX('2020'!$B$26:$G$35, MATCH($A40, '2020'!$A$2:$A$11, 0), MATCH(Rural_res_calculation!$A$39, '2020'!$B$1:$G$1, 0))</f>
        <v>3421086390655.5303</v>
      </c>
      <c r="D40" s="2">
        <f>INDEX('2021'!$B$26:$G$35, MATCH($A40, '2021'!$A$2:$A$11, 0), MATCH(Rural_res_calculation!$A$39, '2021'!$B$1:$G$1, 0))</f>
        <v>3582036360245.5752</v>
      </c>
      <c r="E40" s="2">
        <f>MAX(0, D40*(1+Forecast!$B3))</f>
        <v>3603528578407.0488</v>
      </c>
      <c r="F40" s="2">
        <f>MAX(0, E40*(1+Forecast!$B3))</f>
        <v>3625149749877.4912</v>
      </c>
      <c r="G40" s="2">
        <f>MAX(0, F40*(1+Forecast!$B3))</f>
        <v>3646900648376.7563</v>
      </c>
      <c r="H40" s="2">
        <f>MAX(0, G40*(1+Forecast!$B3))</f>
        <v>3668782052267.0171</v>
      </c>
      <c r="I40" s="2">
        <f>MAX(0, H40*(1+Forecast!$B3))</f>
        <v>3690794744580.6191</v>
      </c>
      <c r="J40" s="2">
        <f>MAX(0, I40*(1+Forecast!$B3))</f>
        <v>3712939513048.103</v>
      </c>
      <c r="K40" s="2">
        <f>MAX(0, J40*(1+Forecast!$B3))</f>
        <v>3735217150126.3916</v>
      </c>
      <c r="L40" s="2">
        <f>MAX(0, K40*(1+Forecast!$B3))</f>
        <v>3757628453027.1499</v>
      </c>
      <c r="M40" s="2">
        <f>MAX(0, L40*(1+Forecast!$B3))</f>
        <v>3780174223745.313</v>
      </c>
      <c r="N40" s="2">
        <f>MAX(0, M40*(1+Forecast!$B3))</f>
        <v>3802855269087.7847</v>
      </c>
      <c r="O40" s="2">
        <f>MAX(0, N40*(1+Forecast!$B3))</f>
        <v>3825672400702.3115</v>
      </c>
      <c r="P40" s="2">
        <f>MAX(0, O40*(1+Forecast!$B3))</f>
        <v>3848626435106.5254</v>
      </c>
      <c r="Q40" s="2">
        <f>MAX(0, P40*(1+Forecast!$B3))</f>
        <v>3871718193717.1646</v>
      </c>
      <c r="R40" s="2">
        <f>MAX(0, Q40*(1+Forecast!$B3))</f>
        <v>3894948502879.4678</v>
      </c>
      <c r="S40" s="2">
        <f>MAX(0, R40*(1+Forecast!$B3))</f>
        <v>3918318193896.7446</v>
      </c>
      <c r="T40" s="2">
        <f>MAX(0, S40*(1+Forecast!$B3))</f>
        <v>3941828103060.125</v>
      </c>
      <c r="U40" s="2">
        <f>MAX(0, T40*(1+Forecast!$B3))</f>
        <v>3965479071678.4858</v>
      </c>
      <c r="V40" s="2">
        <f>MAX(0, U40*(1+Forecast!$B3))</f>
        <v>3989271946108.5566</v>
      </c>
      <c r="W40" s="2">
        <f>MAX(0, V40*(1+Forecast!$B3))</f>
        <v>4013207577785.208</v>
      </c>
      <c r="X40" s="2">
        <f>MAX(0, W40*(1+Forecast!$B3))</f>
        <v>4037286823251.9194</v>
      </c>
      <c r="Y40" s="2">
        <f>MAX(0, X40*(1+Forecast!$B3))</f>
        <v>4061510544191.4312</v>
      </c>
      <c r="Z40" s="2">
        <f>MAX(0, Y40*(1+Forecast!$B3))</f>
        <v>4085879607456.5796</v>
      </c>
      <c r="AA40" s="2">
        <f>MAX(0, Z40*(1+Forecast!$B3))</f>
        <v>4110394885101.3188</v>
      </c>
      <c r="AB40" s="2">
        <f>MAX(0, AA40*(1+Forecast!$B3))</f>
        <v>4135057254411.9268</v>
      </c>
      <c r="AC40" s="2">
        <f>MAX(0, AB40*(1+Forecast!$B3))</f>
        <v>4159867597938.3984</v>
      </c>
      <c r="AD40" s="2">
        <f>MAX(0, AC40*(1+Forecast!$B3))</f>
        <v>4184826803526.0288</v>
      </c>
      <c r="AE40" s="2">
        <f>MAX(0, AD40*(1+Forecast!$B3))</f>
        <v>4209935764347.1851</v>
      </c>
      <c r="AF40" s="2">
        <f>MAX(0, AE40*(1+Forecast!$B3))</f>
        <v>4235195378933.2681</v>
      </c>
      <c r="AG40" s="2">
        <f>MAX(0, AF40*(1+Forecast!$B3))</f>
        <v>4260606551206.8677</v>
      </c>
      <c r="AH40" s="2"/>
      <c r="AI40" s="2"/>
    </row>
    <row r="41" spans="1:35">
      <c r="A41" s="15" t="s">
        <v>3</v>
      </c>
      <c r="B41" s="2">
        <f>INDEX('2019'!$B$26:$G$35, MATCH($A41, '2019'!$A$2:$A$11, 0), MATCH(Rural_res_calculation!$A$39, '2019'!$B$1:$G$1, 0))</f>
        <v>0</v>
      </c>
      <c r="C41" s="2">
        <f>INDEX('2020'!$B$26:$G$35, MATCH($A41, '2020'!$A$2:$A$11, 0), MATCH(Rural_res_calculation!$A$39, '2020'!$B$1:$G$1, 0))</f>
        <v>0</v>
      </c>
      <c r="D41" s="2">
        <f>INDEX('2021'!$B$26:$G$35, MATCH($A41, '2021'!$A$2:$A$11, 0), MATCH(Rural_res_calculation!$A$39, '2021'!$B$1:$G$1, 0))</f>
        <v>0</v>
      </c>
      <c r="E41" s="2">
        <f>MAX(0, D41*(1+Forecast!$B4))</f>
        <v>0</v>
      </c>
      <c r="F41" s="2">
        <f>MAX(0, E41*(1+Forecast!$B4))</f>
        <v>0</v>
      </c>
      <c r="G41" s="2">
        <f>MAX(0, F41*(1+Forecast!$B4))</f>
        <v>0</v>
      </c>
      <c r="H41" s="2">
        <f>MAX(0, G41*(1+Forecast!$B4))</f>
        <v>0</v>
      </c>
      <c r="I41" s="2">
        <f>MAX(0, H41*(1+Forecast!$B4))</f>
        <v>0</v>
      </c>
      <c r="J41" s="2">
        <f>MAX(0, I41*(1+Forecast!$B4))</f>
        <v>0</v>
      </c>
      <c r="K41" s="2">
        <f>MAX(0, J41*(1+Forecast!$B4))</f>
        <v>0</v>
      </c>
      <c r="L41" s="2">
        <f>MAX(0, K41*(1+Forecast!$B4))</f>
        <v>0</v>
      </c>
      <c r="M41" s="2">
        <f>MAX(0, L41*(1+Forecast!$B4))</f>
        <v>0</v>
      </c>
      <c r="N41" s="2">
        <f>MAX(0, M41*(1+Forecast!$B4))</f>
        <v>0</v>
      </c>
      <c r="O41" s="2">
        <f>MAX(0, N41*(1+Forecast!$B4))</f>
        <v>0</v>
      </c>
      <c r="P41" s="2">
        <f>MAX(0, O41*(1+Forecast!$B4))</f>
        <v>0</v>
      </c>
      <c r="Q41" s="2">
        <f>MAX(0, P41*(1+Forecast!$B4))</f>
        <v>0</v>
      </c>
      <c r="R41" s="2">
        <f>MAX(0, Q41*(1+Forecast!$B4))</f>
        <v>0</v>
      </c>
      <c r="S41" s="2">
        <f>MAX(0, R41*(1+Forecast!$B4))</f>
        <v>0</v>
      </c>
      <c r="T41" s="2">
        <f>MAX(0, S41*(1+Forecast!$B4))</f>
        <v>0</v>
      </c>
      <c r="U41" s="2">
        <f>MAX(0, T41*(1+Forecast!$B4))</f>
        <v>0</v>
      </c>
      <c r="V41" s="2">
        <f>MAX(0, U41*(1+Forecast!$B4))</f>
        <v>0</v>
      </c>
      <c r="W41" s="2">
        <f>MAX(0, V41*(1+Forecast!$B4))</f>
        <v>0</v>
      </c>
      <c r="X41" s="2">
        <f>MAX(0, W41*(1+Forecast!$B4))</f>
        <v>0</v>
      </c>
      <c r="Y41" s="2">
        <f>MAX(0, X41*(1+Forecast!$B4))</f>
        <v>0</v>
      </c>
      <c r="Z41" s="2">
        <f>MAX(0, Y41*(1+Forecast!$B4))</f>
        <v>0</v>
      </c>
      <c r="AA41" s="2">
        <f>MAX(0, Z41*(1+Forecast!$B4))</f>
        <v>0</v>
      </c>
      <c r="AB41" s="2">
        <f>MAX(0, AA41*(1+Forecast!$B4))</f>
        <v>0</v>
      </c>
      <c r="AC41" s="2">
        <f>MAX(0, AB41*(1+Forecast!$B4))</f>
        <v>0</v>
      </c>
      <c r="AD41" s="2">
        <f>MAX(0, AC41*(1+Forecast!$B4))</f>
        <v>0</v>
      </c>
      <c r="AE41" s="2">
        <f>MAX(0, AD41*(1+Forecast!$B4))</f>
        <v>0</v>
      </c>
      <c r="AF41" s="2">
        <f>MAX(0, AE41*(1+Forecast!$B4))</f>
        <v>0</v>
      </c>
      <c r="AG41" s="2">
        <f>MAX(0, AF41*(1+Forecast!$B4))</f>
        <v>0</v>
      </c>
      <c r="AH41" s="2"/>
      <c r="AI41" s="2"/>
    </row>
    <row r="42" spans="1:35">
      <c r="A42" s="15" t="s">
        <v>4</v>
      </c>
      <c r="B42" s="2">
        <f>INDEX('2019'!$B$26:$G$35, MATCH($A42, '2019'!$A$2:$A$11, 0), MATCH(Rural_res_calculation!$A$39, '2019'!$B$1:$G$1, 0))</f>
        <v>0</v>
      </c>
      <c r="C42" s="2">
        <f>INDEX('2020'!$B$26:$G$35, MATCH($A42, '2020'!$A$2:$A$11, 0), MATCH(Rural_res_calculation!$A$39, '2020'!$B$1:$G$1, 0))</f>
        <v>0</v>
      </c>
      <c r="D42" s="2">
        <f>INDEX('2021'!$B$26:$G$35, MATCH($A42, '2021'!$A$2:$A$11, 0), MATCH(Rural_res_calculation!$A$39, '2021'!$B$1:$G$1, 0))</f>
        <v>0</v>
      </c>
      <c r="E42" s="2">
        <f>MAX(0, D42*(1+Forecast!$B5))</f>
        <v>0</v>
      </c>
      <c r="F42" s="2">
        <f>MAX(0, E42*(1+Forecast!$B5))</f>
        <v>0</v>
      </c>
      <c r="G42" s="2">
        <f>MAX(0, F42*(1+Forecast!$B5))</f>
        <v>0</v>
      </c>
      <c r="H42" s="2">
        <f>MAX(0, G42*(1+Forecast!$B5))</f>
        <v>0</v>
      </c>
      <c r="I42" s="2">
        <f>MAX(0, H42*(1+Forecast!$B5))</f>
        <v>0</v>
      </c>
      <c r="J42" s="2">
        <f>MAX(0, I42*(1+Forecast!$B5))</f>
        <v>0</v>
      </c>
      <c r="K42" s="2">
        <f>MAX(0, J42*(1+Forecast!$B5))</f>
        <v>0</v>
      </c>
      <c r="L42" s="2">
        <f>MAX(0, K42*(1+Forecast!$B5))</f>
        <v>0</v>
      </c>
      <c r="M42" s="2">
        <f>MAX(0, L42*(1+Forecast!$B5))</f>
        <v>0</v>
      </c>
      <c r="N42" s="2">
        <f>MAX(0, M42*(1+Forecast!$B5))</f>
        <v>0</v>
      </c>
      <c r="O42" s="2">
        <f>MAX(0, N42*(1+Forecast!$B5))</f>
        <v>0</v>
      </c>
      <c r="P42" s="2">
        <f>MAX(0, O42*(1+Forecast!$B5))</f>
        <v>0</v>
      </c>
      <c r="Q42" s="2">
        <f>MAX(0, P42*(1+Forecast!$B5))</f>
        <v>0</v>
      </c>
      <c r="R42" s="2">
        <f>MAX(0, Q42*(1+Forecast!$B5))</f>
        <v>0</v>
      </c>
      <c r="S42" s="2">
        <f>MAX(0, R42*(1+Forecast!$B5))</f>
        <v>0</v>
      </c>
      <c r="T42" s="2">
        <f>MAX(0, S42*(1+Forecast!$B5))</f>
        <v>0</v>
      </c>
      <c r="U42" s="2">
        <f>MAX(0, T42*(1+Forecast!$B5))</f>
        <v>0</v>
      </c>
      <c r="V42" s="2">
        <f>MAX(0, U42*(1+Forecast!$B5))</f>
        <v>0</v>
      </c>
      <c r="W42" s="2">
        <f>MAX(0, V42*(1+Forecast!$B5))</f>
        <v>0</v>
      </c>
      <c r="X42" s="2">
        <f>MAX(0, W42*(1+Forecast!$B5))</f>
        <v>0</v>
      </c>
      <c r="Y42" s="2">
        <f>MAX(0, X42*(1+Forecast!$B5))</f>
        <v>0</v>
      </c>
      <c r="Z42" s="2">
        <f>MAX(0, Y42*(1+Forecast!$B5))</f>
        <v>0</v>
      </c>
      <c r="AA42" s="2">
        <f>MAX(0, Z42*(1+Forecast!$B5))</f>
        <v>0</v>
      </c>
      <c r="AB42" s="2">
        <f>MAX(0, AA42*(1+Forecast!$B5))</f>
        <v>0</v>
      </c>
      <c r="AC42" s="2">
        <f>MAX(0, AB42*(1+Forecast!$B5))</f>
        <v>0</v>
      </c>
      <c r="AD42" s="2">
        <f>MAX(0, AC42*(1+Forecast!$B5))</f>
        <v>0</v>
      </c>
      <c r="AE42" s="2">
        <f>MAX(0, AD42*(1+Forecast!$B5))</f>
        <v>0</v>
      </c>
      <c r="AF42" s="2">
        <f>MAX(0, AE42*(1+Forecast!$B5))</f>
        <v>0</v>
      </c>
      <c r="AG42" s="2">
        <f>MAX(0, AF42*(1+Forecast!$B5))</f>
        <v>0</v>
      </c>
      <c r="AH42" s="2"/>
      <c r="AI42" s="2"/>
    </row>
    <row r="43" spans="1:35">
      <c r="A43" s="15" t="s">
        <v>5</v>
      </c>
      <c r="B43" s="2">
        <f>INDEX('2019'!$B$26:$G$35, MATCH($A43, '2019'!$A$2:$A$11, 0), MATCH(Rural_res_calculation!$A$39, '2019'!$B$1:$G$1, 0))</f>
        <v>0</v>
      </c>
      <c r="C43" s="2">
        <f>INDEX('2020'!$B$26:$G$35, MATCH($A43, '2020'!$A$2:$A$11, 0), MATCH(Rural_res_calculation!$A$39, '2020'!$B$1:$G$1, 0))</f>
        <v>0</v>
      </c>
      <c r="D43" s="2">
        <f>INDEX('2021'!$B$26:$G$35, MATCH($A43, '2021'!$A$2:$A$11, 0), MATCH(Rural_res_calculation!$A$39, '2021'!$B$1:$G$1, 0))</f>
        <v>0</v>
      </c>
      <c r="E43" s="2">
        <f>MAX(0, D43*(1+Forecast!$B6))</f>
        <v>0</v>
      </c>
      <c r="F43" s="2">
        <f>MAX(0, E43*(1+Forecast!$B6))</f>
        <v>0</v>
      </c>
      <c r="G43" s="2">
        <f>MAX(0, F43*(1+Forecast!$B6))</f>
        <v>0</v>
      </c>
      <c r="H43" s="2">
        <f>MAX(0, G43*(1+Forecast!$B6))</f>
        <v>0</v>
      </c>
      <c r="I43" s="2">
        <f>MAX(0, H43*(1+Forecast!$B6))</f>
        <v>0</v>
      </c>
      <c r="J43" s="2">
        <f>MAX(0, I43*(1+Forecast!$B6))</f>
        <v>0</v>
      </c>
      <c r="K43" s="2">
        <f>MAX(0, J43*(1+Forecast!$B6))</f>
        <v>0</v>
      </c>
      <c r="L43" s="2">
        <f>MAX(0, K43*(1+Forecast!$B6))</f>
        <v>0</v>
      </c>
      <c r="M43" s="2">
        <f>MAX(0, L43*(1+Forecast!$B6))</f>
        <v>0</v>
      </c>
      <c r="N43" s="2">
        <f>MAX(0, M43*(1+Forecast!$B6))</f>
        <v>0</v>
      </c>
      <c r="O43" s="2">
        <f>MAX(0, N43*(1+Forecast!$B6))</f>
        <v>0</v>
      </c>
      <c r="P43" s="2">
        <f>MAX(0, O43*(1+Forecast!$B6))</f>
        <v>0</v>
      </c>
      <c r="Q43" s="2">
        <f>MAX(0, P43*(1+Forecast!$B6))</f>
        <v>0</v>
      </c>
      <c r="R43" s="2">
        <f>MAX(0, Q43*(1+Forecast!$B6))</f>
        <v>0</v>
      </c>
      <c r="S43" s="2">
        <f>MAX(0, R43*(1+Forecast!$B6))</f>
        <v>0</v>
      </c>
      <c r="T43" s="2">
        <f>MAX(0, S43*(1+Forecast!$B6))</f>
        <v>0</v>
      </c>
      <c r="U43" s="2">
        <f>MAX(0, T43*(1+Forecast!$B6))</f>
        <v>0</v>
      </c>
      <c r="V43" s="2">
        <f>MAX(0, U43*(1+Forecast!$B6))</f>
        <v>0</v>
      </c>
      <c r="W43" s="2">
        <f>MAX(0, V43*(1+Forecast!$B6))</f>
        <v>0</v>
      </c>
      <c r="X43" s="2">
        <f>MAX(0, W43*(1+Forecast!$B6))</f>
        <v>0</v>
      </c>
      <c r="Y43" s="2">
        <f>MAX(0, X43*(1+Forecast!$B6))</f>
        <v>0</v>
      </c>
      <c r="Z43" s="2">
        <f>MAX(0, Y43*(1+Forecast!$B6))</f>
        <v>0</v>
      </c>
      <c r="AA43" s="2">
        <f>MAX(0, Z43*(1+Forecast!$B6))</f>
        <v>0</v>
      </c>
      <c r="AB43" s="2">
        <f>MAX(0, AA43*(1+Forecast!$B6))</f>
        <v>0</v>
      </c>
      <c r="AC43" s="2">
        <f>MAX(0, AB43*(1+Forecast!$B6))</f>
        <v>0</v>
      </c>
      <c r="AD43" s="2">
        <f>MAX(0, AC43*(1+Forecast!$B6))</f>
        <v>0</v>
      </c>
      <c r="AE43" s="2">
        <f>MAX(0, AD43*(1+Forecast!$B6))</f>
        <v>0</v>
      </c>
      <c r="AF43" s="2">
        <f>MAX(0, AE43*(1+Forecast!$B6))</f>
        <v>0</v>
      </c>
      <c r="AG43" s="2">
        <f>MAX(0, AF43*(1+Forecast!$B6))</f>
        <v>0</v>
      </c>
      <c r="AH43" s="2"/>
      <c r="AI43" s="2"/>
    </row>
    <row r="44" spans="1:35">
      <c r="A44" s="15" t="s">
        <v>7</v>
      </c>
      <c r="B44" s="2">
        <f>INDEX('2019'!$B$26:$G$35, MATCH($A44, '2019'!$A$2:$A$11, 0), MATCH(Rural_res_calculation!$A$39, '2019'!$B$1:$G$1, 0))</f>
        <v>0</v>
      </c>
      <c r="C44" s="2">
        <f>INDEX('2020'!$B$26:$G$35, MATCH($A44, '2020'!$A$2:$A$11, 0), MATCH(Rural_res_calculation!$A$39, '2020'!$B$1:$G$1, 0))</f>
        <v>0</v>
      </c>
      <c r="D44" s="2">
        <f>INDEX('2021'!$B$26:$G$35, MATCH($A44, '2021'!$A$2:$A$11, 0), MATCH(Rural_res_calculation!$A$39, '2021'!$B$1:$G$1, 0))</f>
        <v>0</v>
      </c>
      <c r="E44" s="2">
        <f>MAX(0, D44*(1+Forecast!$B7))</f>
        <v>0</v>
      </c>
      <c r="F44" s="2">
        <f>MAX(0, E44*(1+Forecast!$B7))</f>
        <v>0</v>
      </c>
      <c r="G44" s="2">
        <f>MAX(0, F44*(1+Forecast!$B7))</f>
        <v>0</v>
      </c>
      <c r="H44" s="2">
        <f>MAX(0, G44*(1+Forecast!$B7))</f>
        <v>0</v>
      </c>
      <c r="I44" s="2">
        <f>MAX(0, H44*(1+Forecast!$B7))</f>
        <v>0</v>
      </c>
      <c r="J44" s="2">
        <f>MAX(0, I44*(1+Forecast!$B7))</f>
        <v>0</v>
      </c>
      <c r="K44" s="2">
        <f>MAX(0, J44*(1+Forecast!$B7))</f>
        <v>0</v>
      </c>
      <c r="L44" s="2">
        <f>MAX(0, K44*(1+Forecast!$B7))</f>
        <v>0</v>
      </c>
      <c r="M44" s="2">
        <f>MAX(0, L44*(1+Forecast!$B7))</f>
        <v>0</v>
      </c>
      <c r="N44" s="2">
        <f>MAX(0, M44*(1+Forecast!$B7))</f>
        <v>0</v>
      </c>
      <c r="O44" s="2">
        <f>MAX(0, N44*(1+Forecast!$B7))</f>
        <v>0</v>
      </c>
      <c r="P44" s="2">
        <f>MAX(0, O44*(1+Forecast!$B7))</f>
        <v>0</v>
      </c>
      <c r="Q44" s="2">
        <f>MAX(0, P44*(1+Forecast!$B7))</f>
        <v>0</v>
      </c>
      <c r="R44" s="2">
        <f>MAX(0, Q44*(1+Forecast!$B7))</f>
        <v>0</v>
      </c>
      <c r="S44" s="2">
        <f>MAX(0, R44*(1+Forecast!$B7))</f>
        <v>0</v>
      </c>
      <c r="T44" s="2">
        <f>MAX(0, S44*(1+Forecast!$B7))</f>
        <v>0</v>
      </c>
      <c r="U44" s="2">
        <f>MAX(0, T44*(1+Forecast!$B7))</f>
        <v>0</v>
      </c>
      <c r="V44" s="2">
        <f>MAX(0, U44*(1+Forecast!$B7))</f>
        <v>0</v>
      </c>
      <c r="W44" s="2">
        <f>MAX(0, V44*(1+Forecast!$B7))</f>
        <v>0</v>
      </c>
      <c r="X44" s="2">
        <f>MAX(0, W44*(1+Forecast!$B7))</f>
        <v>0</v>
      </c>
      <c r="Y44" s="2">
        <f>MAX(0, X44*(1+Forecast!$B7))</f>
        <v>0</v>
      </c>
      <c r="Z44" s="2">
        <f>MAX(0, Y44*(1+Forecast!$B7))</f>
        <v>0</v>
      </c>
      <c r="AA44" s="2">
        <f>MAX(0, Z44*(1+Forecast!$B7))</f>
        <v>0</v>
      </c>
      <c r="AB44" s="2">
        <f>MAX(0, AA44*(1+Forecast!$B7))</f>
        <v>0</v>
      </c>
      <c r="AC44" s="2">
        <f>MAX(0, AB44*(1+Forecast!$B7))</f>
        <v>0</v>
      </c>
      <c r="AD44" s="2">
        <f>MAX(0, AC44*(1+Forecast!$B7))</f>
        <v>0</v>
      </c>
      <c r="AE44" s="2">
        <f>MAX(0, AD44*(1+Forecast!$B7))</f>
        <v>0</v>
      </c>
      <c r="AF44" s="2">
        <f>MAX(0, AE44*(1+Forecast!$B7))</f>
        <v>0</v>
      </c>
      <c r="AG44" s="2">
        <f>MAX(0, AF44*(1+Forecast!$B7))</f>
        <v>0</v>
      </c>
      <c r="AH44" s="2"/>
      <c r="AI44" s="2"/>
    </row>
    <row r="45" spans="1:35">
      <c r="A45" s="15" t="s">
        <v>11</v>
      </c>
      <c r="B45" s="2">
        <f>INDEX('2019'!$B$26:$G$35, MATCH($A45, '2019'!$A$2:$A$11, 0), MATCH(Rural_res_calculation!$A$39, '2019'!$B$1:$G$1, 0))</f>
        <v>0</v>
      </c>
      <c r="C45" s="2">
        <f>INDEX('2020'!$B$26:$G$35, MATCH($A45, '2020'!$A$2:$A$11, 0), MATCH(Rural_res_calculation!$A$39, '2020'!$B$1:$G$1, 0))</f>
        <v>0</v>
      </c>
      <c r="D45" s="2">
        <f>INDEX('2021'!$B$26:$G$35, MATCH($A45, '2021'!$A$2:$A$11, 0), MATCH(Rural_res_calculation!$A$39, '2021'!$B$1:$G$1, 0))</f>
        <v>0</v>
      </c>
      <c r="E45" s="2">
        <f>MAX(0, D45*(1+Forecast!$B8))</f>
        <v>0</v>
      </c>
      <c r="F45" s="2">
        <f>MAX(0, E45*(1+Forecast!$B8))</f>
        <v>0</v>
      </c>
      <c r="G45" s="2">
        <f>MAX(0, F45*(1+Forecast!$B8))</f>
        <v>0</v>
      </c>
      <c r="H45" s="2">
        <f>MAX(0, G45*(1+Forecast!$B8))</f>
        <v>0</v>
      </c>
      <c r="I45" s="2">
        <f>MAX(0, H45*(1+Forecast!$B8))</f>
        <v>0</v>
      </c>
      <c r="J45" s="2">
        <f>MAX(0, I45*(1+Forecast!$B8))</f>
        <v>0</v>
      </c>
      <c r="K45" s="2">
        <f>MAX(0, J45*(1+Forecast!$B8))</f>
        <v>0</v>
      </c>
      <c r="L45" s="2">
        <f>MAX(0, K45*(1+Forecast!$B8))</f>
        <v>0</v>
      </c>
      <c r="M45" s="2">
        <f>MAX(0, L45*(1+Forecast!$B8))</f>
        <v>0</v>
      </c>
      <c r="N45" s="2">
        <f>MAX(0, M45*(1+Forecast!$B8))</f>
        <v>0</v>
      </c>
      <c r="O45" s="2">
        <f>MAX(0, N45*(1+Forecast!$B8))</f>
        <v>0</v>
      </c>
      <c r="P45" s="2">
        <f>MAX(0, O45*(1+Forecast!$B8))</f>
        <v>0</v>
      </c>
      <c r="Q45" s="2">
        <f>MAX(0, P45*(1+Forecast!$B8))</f>
        <v>0</v>
      </c>
      <c r="R45" s="2">
        <f>MAX(0, Q45*(1+Forecast!$B8))</f>
        <v>0</v>
      </c>
      <c r="S45" s="2">
        <f>MAX(0, R45*(1+Forecast!$B8))</f>
        <v>0</v>
      </c>
      <c r="T45" s="2">
        <f>MAX(0, S45*(1+Forecast!$B8))</f>
        <v>0</v>
      </c>
      <c r="U45" s="2">
        <f>MAX(0, T45*(1+Forecast!$B8))</f>
        <v>0</v>
      </c>
      <c r="V45" s="2">
        <f>MAX(0, U45*(1+Forecast!$B8))</f>
        <v>0</v>
      </c>
      <c r="W45" s="2">
        <f>MAX(0, V45*(1+Forecast!$B8))</f>
        <v>0</v>
      </c>
      <c r="X45" s="2">
        <f>MAX(0, W45*(1+Forecast!$B8))</f>
        <v>0</v>
      </c>
      <c r="Y45" s="2">
        <f>MAX(0, X45*(1+Forecast!$B8))</f>
        <v>0</v>
      </c>
      <c r="Z45" s="2">
        <f>MAX(0, Y45*(1+Forecast!$B8))</f>
        <v>0</v>
      </c>
      <c r="AA45" s="2">
        <f>MAX(0, Z45*(1+Forecast!$B8))</f>
        <v>0</v>
      </c>
      <c r="AB45" s="2">
        <f>MAX(0, AA45*(1+Forecast!$B8))</f>
        <v>0</v>
      </c>
      <c r="AC45" s="2">
        <f>MAX(0, AB45*(1+Forecast!$B8))</f>
        <v>0</v>
      </c>
      <c r="AD45" s="2">
        <f>MAX(0, AC45*(1+Forecast!$B8))</f>
        <v>0</v>
      </c>
      <c r="AE45" s="2">
        <f>MAX(0, AD45*(1+Forecast!$B8))</f>
        <v>0</v>
      </c>
      <c r="AF45" s="2">
        <f>MAX(0, AE45*(1+Forecast!$B8))</f>
        <v>0</v>
      </c>
      <c r="AG45" s="2">
        <f>MAX(0, AF45*(1+Forecast!$B8))</f>
        <v>0</v>
      </c>
      <c r="AH45" s="2"/>
      <c r="AI45" s="2"/>
    </row>
    <row r="46" spans="1:35">
      <c r="A46" s="15" t="s">
        <v>13</v>
      </c>
      <c r="B46" s="2">
        <f>INDEX('2019'!$B$26:$G$35, MATCH($A46, '2019'!$A$2:$A$11, 0), MATCH(Rural_res_calculation!$A$39, '2019'!$B$1:$G$1, 0))</f>
        <v>0</v>
      </c>
      <c r="C46" s="2">
        <f>INDEX('2020'!$B$26:$G$35, MATCH($A46, '2020'!$A$2:$A$11, 0), MATCH(Rural_res_calculation!$A$39, '2020'!$B$1:$G$1, 0))</f>
        <v>0</v>
      </c>
      <c r="D46" s="2">
        <f>INDEX('2021'!$B$26:$G$35, MATCH($A46, '2021'!$A$2:$A$11, 0), MATCH(Rural_res_calculation!$A$39, '2021'!$B$1:$G$1, 0))</f>
        <v>0</v>
      </c>
      <c r="E46" s="2">
        <f>MAX(0, D46*(1+Forecast!$B9))</f>
        <v>0</v>
      </c>
      <c r="F46" s="2">
        <f>MAX(0, E46*(1+Forecast!$B9))</f>
        <v>0</v>
      </c>
      <c r="G46" s="2">
        <f>MAX(0, F46*(1+Forecast!$B9))</f>
        <v>0</v>
      </c>
      <c r="H46" s="2">
        <f>MAX(0, G46*(1+Forecast!$B9))</f>
        <v>0</v>
      </c>
      <c r="I46" s="2">
        <f>MAX(0, H46*(1+Forecast!$B9))</f>
        <v>0</v>
      </c>
      <c r="J46" s="2">
        <f>MAX(0, I46*(1+Forecast!$B9))</f>
        <v>0</v>
      </c>
      <c r="K46" s="2">
        <f>MAX(0, J46*(1+Forecast!$B9))</f>
        <v>0</v>
      </c>
      <c r="L46" s="2">
        <f>MAX(0, K46*(1+Forecast!$B9))</f>
        <v>0</v>
      </c>
      <c r="M46" s="2">
        <f>MAX(0, L46*(1+Forecast!$B9))</f>
        <v>0</v>
      </c>
      <c r="N46" s="2">
        <f>MAX(0, M46*(1+Forecast!$B9))</f>
        <v>0</v>
      </c>
      <c r="O46" s="2">
        <f>MAX(0, N46*(1+Forecast!$B9))</f>
        <v>0</v>
      </c>
      <c r="P46" s="2">
        <f>MAX(0, O46*(1+Forecast!$B9))</f>
        <v>0</v>
      </c>
      <c r="Q46" s="2">
        <f>MAX(0, P46*(1+Forecast!$B9))</f>
        <v>0</v>
      </c>
      <c r="R46" s="2">
        <f>MAX(0, Q46*(1+Forecast!$B9))</f>
        <v>0</v>
      </c>
      <c r="S46" s="2">
        <f>MAX(0, R46*(1+Forecast!$B9))</f>
        <v>0</v>
      </c>
      <c r="T46" s="2">
        <f>MAX(0, S46*(1+Forecast!$B9))</f>
        <v>0</v>
      </c>
      <c r="U46" s="2">
        <f>MAX(0, T46*(1+Forecast!$B9))</f>
        <v>0</v>
      </c>
      <c r="V46" s="2">
        <f>MAX(0, U46*(1+Forecast!$B9))</f>
        <v>0</v>
      </c>
      <c r="W46" s="2">
        <f>MAX(0, V46*(1+Forecast!$B9))</f>
        <v>0</v>
      </c>
      <c r="X46" s="2">
        <f>MAX(0, W46*(1+Forecast!$B9))</f>
        <v>0</v>
      </c>
      <c r="Y46" s="2">
        <f>MAX(0, X46*(1+Forecast!$B9))</f>
        <v>0</v>
      </c>
      <c r="Z46" s="2">
        <f>MAX(0, Y46*(1+Forecast!$B9))</f>
        <v>0</v>
      </c>
      <c r="AA46" s="2">
        <f>MAX(0, Z46*(1+Forecast!$B9))</f>
        <v>0</v>
      </c>
      <c r="AB46" s="2">
        <f>MAX(0, AA46*(1+Forecast!$B9))</f>
        <v>0</v>
      </c>
      <c r="AC46" s="2">
        <f>MAX(0, AB46*(1+Forecast!$B9))</f>
        <v>0</v>
      </c>
      <c r="AD46" s="2">
        <f>MAX(0, AC46*(1+Forecast!$B9))</f>
        <v>0</v>
      </c>
      <c r="AE46" s="2">
        <f>MAX(0, AD46*(1+Forecast!$B9))</f>
        <v>0</v>
      </c>
      <c r="AF46" s="2">
        <f>MAX(0, AE46*(1+Forecast!$B9))</f>
        <v>0</v>
      </c>
      <c r="AG46" s="2">
        <f>MAX(0, AF46*(1+Forecast!$B9))</f>
        <v>0</v>
      </c>
      <c r="AH46" s="2"/>
      <c r="AI46" s="2"/>
    </row>
    <row r="47" spans="1:35">
      <c r="A47" s="15" t="s">
        <v>14</v>
      </c>
      <c r="B47" s="2">
        <f>INDEX('2019'!$B$26:$G$35, MATCH($A47, '2019'!$A$2:$A$11, 0), MATCH(Rural_res_calculation!$A$39, '2019'!$B$1:$G$1, 0))</f>
        <v>0</v>
      </c>
      <c r="C47" s="2">
        <f>INDEX('2020'!$B$26:$G$35, MATCH($A47, '2020'!$A$2:$A$11, 0), MATCH(Rural_res_calculation!$A$39, '2020'!$B$1:$G$1, 0))</f>
        <v>0</v>
      </c>
      <c r="D47" s="2">
        <f>INDEX('2021'!$B$26:$G$35, MATCH($A47, '2021'!$A$2:$A$11, 0), MATCH(Rural_res_calculation!$A$39, '2021'!$B$1:$G$1, 0))</f>
        <v>0</v>
      </c>
      <c r="E47" s="2">
        <f>MAX(0, D47*(1+Forecast!$B10))</f>
        <v>0</v>
      </c>
      <c r="F47" s="2">
        <f>MAX(0, E47*(1+Forecast!$B10))</f>
        <v>0</v>
      </c>
      <c r="G47" s="2">
        <f>MAX(0, F47*(1+Forecast!$B10))</f>
        <v>0</v>
      </c>
      <c r="H47" s="2">
        <f>MAX(0, G47*(1+Forecast!$B10))</f>
        <v>0</v>
      </c>
      <c r="I47" s="2">
        <f>MAX(0, H47*(1+Forecast!$B10))</f>
        <v>0</v>
      </c>
      <c r="J47" s="2">
        <f>MAX(0, I47*(1+Forecast!$B10))</f>
        <v>0</v>
      </c>
      <c r="K47" s="2">
        <f>MAX(0, J47*(1+Forecast!$B10))</f>
        <v>0</v>
      </c>
      <c r="L47" s="2">
        <f>MAX(0, K47*(1+Forecast!$B10))</f>
        <v>0</v>
      </c>
      <c r="M47" s="2">
        <f>MAX(0, L47*(1+Forecast!$B10))</f>
        <v>0</v>
      </c>
      <c r="N47" s="2">
        <f>MAX(0, M47*(1+Forecast!$B10))</f>
        <v>0</v>
      </c>
      <c r="O47" s="2">
        <f>MAX(0, N47*(1+Forecast!$B10))</f>
        <v>0</v>
      </c>
      <c r="P47" s="2">
        <f>MAX(0, O47*(1+Forecast!$B10))</f>
        <v>0</v>
      </c>
      <c r="Q47" s="2">
        <f>MAX(0, P47*(1+Forecast!$B10))</f>
        <v>0</v>
      </c>
      <c r="R47" s="2">
        <f>MAX(0, Q47*(1+Forecast!$B10))</f>
        <v>0</v>
      </c>
      <c r="S47" s="2">
        <f>MAX(0, R47*(1+Forecast!$B10))</f>
        <v>0</v>
      </c>
      <c r="T47" s="2">
        <f>MAX(0, S47*(1+Forecast!$B10))</f>
        <v>0</v>
      </c>
      <c r="U47" s="2">
        <f>MAX(0, T47*(1+Forecast!$B10))</f>
        <v>0</v>
      </c>
      <c r="V47" s="2">
        <f>MAX(0, U47*(1+Forecast!$B10))</f>
        <v>0</v>
      </c>
      <c r="W47" s="2">
        <f>MAX(0, V47*(1+Forecast!$B10))</f>
        <v>0</v>
      </c>
      <c r="X47" s="2">
        <f>MAX(0, W47*(1+Forecast!$B10))</f>
        <v>0</v>
      </c>
      <c r="Y47" s="2">
        <f>MAX(0, X47*(1+Forecast!$B10))</f>
        <v>0</v>
      </c>
      <c r="Z47" s="2">
        <f>MAX(0, Y47*(1+Forecast!$B10))</f>
        <v>0</v>
      </c>
      <c r="AA47" s="2">
        <f>MAX(0, Z47*(1+Forecast!$B10))</f>
        <v>0</v>
      </c>
      <c r="AB47" s="2">
        <f>MAX(0, AA47*(1+Forecast!$B10))</f>
        <v>0</v>
      </c>
      <c r="AC47" s="2">
        <f>MAX(0, AB47*(1+Forecast!$B10))</f>
        <v>0</v>
      </c>
      <c r="AD47" s="2">
        <f>MAX(0, AC47*(1+Forecast!$B10))</f>
        <v>0</v>
      </c>
      <c r="AE47" s="2">
        <f>MAX(0, AD47*(1+Forecast!$B10))</f>
        <v>0</v>
      </c>
      <c r="AF47" s="2">
        <f>MAX(0, AE47*(1+Forecast!$B10))</f>
        <v>0</v>
      </c>
      <c r="AG47" s="2">
        <f>MAX(0, AF47*(1+Forecast!$B10))</f>
        <v>0</v>
      </c>
      <c r="AH47" s="2"/>
      <c r="AI47" s="2"/>
    </row>
    <row r="48" spans="1:35">
      <c r="A48" s="15" t="s">
        <v>15</v>
      </c>
      <c r="B48" s="2">
        <f>INDEX('2019'!$B$26:$G$35, MATCH($A48, '2019'!$A$2:$A$11, 0), MATCH(Rural_res_calculation!$A$39, '2019'!$B$1:$G$1, 0))</f>
        <v>0</v>
      </c>
      <c r="C48" s="2">
        <f>INDEX('2020'!$B$26:$G$35, MATCH($A48, '2020'!$A$2:$A$11, 0), MATCH(Rural_res_calculation!$A$39, '2020'!$B$1:$G$1, 0))</f>
        <v>0</v>
      </c>
      <c r="D48" s="2">
        <f>INDEX('2021'!$B$26:$G$35, MATCH($A48, '2021'!$A$2:$A$11, 0), MATCH(Rural_res_calculation!$A$39, '2021'!$B$1:$G$1, 0))</f>
        <v>0</v>
      </c>
      <c r="E48" s="2">
        <f>MAX(0, D48*(1+Forecast!$B11))</f>
        <v>0</v>
      </c>
      <c r="F48" s="2">
        <f>MAX(0, E48*(1+Forecast!$B11))</f>
        <v>0</v>
      </c>
      <c r="G48" s="2">
        <f>MAX(0, F48*(1+Forecast!$B11))</f>
        <v>0</v>
      </c>
      <c r="H48" s="2">
        <f>MAX(0, G48*(1+Forecast!$B11))</f>
        <v>0</v>
      </c>
      <c r="I48" s="2">
        <f>MAX(0, H48*(1+Forecast!$B11))</f>
        <v>0</v>
      </c>
      <c r="J48" s="2">
        <f>MAX(0, I48*(1+Forecast!$B11))</f>
        <v>0</v>
      </c>
      <c r="K48" s="2">
        <f>MAX(0, J48*(1+Forecast!$B11))</f>
        <v>0</v>
      </c>
      <c r="L48" s="2">
        <f>MAX(0, K48*(1+Forecast!$B11))</f>
        <v>0</v>
      </c>
      <c r="M48" s="2">
        <f>MAX(0, L48*(1+Forecast!$B11))</f>
        <v>0</v>
      </c>
      <c r="N48" s="2">
        <f>MAX(0, M48*(1+Forecast!$B11))</f>
        <v>0</v>
      </c>
      <c r="O48" s="2">
        <f>MAX(0, N48*(1+Forecast!$B11))</f>
        <v>0</v>
      </c>
      <c r="P48" s="2">
        <f>MAX(0, O48*(1+Forecast!$B11))</f>
        <v>0</v>
      </c>
      <c r="Q48" s="2">
        <f>MAX(0, P48*(1+Forecast!$B11))</f>
        <v>0</v>
      </c>
      <c r="R48" s="2">
        <f>MAX(0, Q48*(1+Forecast!$B11))</f>
        <v>0</v>
      </c>
      <c r="S48" s="2">
        <f>MAX(0, R48*(1+Forecast!$B11))</f>
        <v>0</v>
      </c>
      <c r="T48" s="2">
        <f>MAX(0, S48*(1+Forecast!$B11))</f>
        <v>0</v>
      </c>
      <c r="U48" s="2">
        <f>MAX(0, T48*(1+Forecast!$B11))</f>
        <v>0</v>
      </c>
      <c r="V48" s="2">
        <f>MAX(0, U48*(1+Forecast!$B11))</f>
        <v>0</v>
      </c>
      <c r="W48" s="2">
        <f>MAX(0, V48*(1+Forecast!$B11))</f>
        <v>0</v>
      </c>
      <c r="X48" s="2">
        <f>MAX(0, W48*(1+Forecast!$B11))</f>
        <v>0</v>
      </c>
      <c r="Y48" s="2">
        <f>MAX(0, X48*(1+Forecast!$B11))</f>
        <v>0</v>
      </c>
      <c r="Z48" s="2">
        <f>MAX(0, Y48*(1+Forecast!$B11))</f>
        <v>0</v>
      </c>
      <c r="AA48" s="2">
        <f>MAX(0, Z48*(1+Forecast!$B11))</f>
        <v>0</v>
      </c>
      <c r="AB48" s="2">
        <f>MAX(0, AA48*(1+Forecast!$B11))</f>
        <v>0</v>
      </c>
      <c r="AC48" s="2">
        <f>MAX(0, AB48*(1+Forecast!$B11))</f>
        <v>0</v>
      </c>
      <c r="AD48" s="2">
        <f>MAX(0, AC48*(1+Forecast!$B11))</f>
        <v>0</v>
      </c>
      <c r="AE48" s="2">
        <f>MAX(0, AD48*(1+Forecast!$B11))</f>
        <v>0</v>
      </c>
      <c r="AF48" s="2">
        <f>MAX(0, AE48*(1+Forecast!$B11))</f>
        <v>0</v>
      </c>
      <c r="AG48" s="2">
        <f>MAX(0, AF48*(1+Forecast!$B11))</f>
        <v>0</v>
      </c>
      <c r="AH48" s="2"/>
      <c r="AI48" s="2"/>
    </row>
    <row r="49" spans="1:35">
      <c r="A49" s="15" t="s">
        <v>16</v>
      </c>
      <c r="B49" s="2">
        <f>INDEX('2019'!$B$26:$G$35, MATCH($A49, '2019'!$A$2:$A$11, 0), MATCH(Rural_res_calculation!$A$39, '2019'!$B$1:$G$1, 0))</f>
        <v>0</v>
      </c>
      <c r="C49" s="2">
        <f>INDEX('2020'!$B$26:$G$35, MATCH($A49, '2020'!$A$2:$A$11, 0), MATCH(Rural_res_calculation!$A$39, '2020'!$B$1:$G$1, 0))</f>
        <v>0</v>
      </c>
      <c r="D49" s="2">
        <f>INDEX('2021'!$B$26:$G$35, MATCH($A49, '2021'!$A$2:$A$11, 0), MATCH(Rural_res_calculation!$A$39, '2021'!$B$1:$G$1, 0))</f>
        <v>0</v>
      </c>
      <c r="E49" s="2">
        <f>MAX(0, D49*(1+Forecast!$B12))</f>
        <v>0</v>
      </c>
      <c r="F49" s="2">
        <f>MAX(0, E49*(1+Forecast!$B12))</f>
        <v>0</v>
      </c>
      <c r="G49" s="2">
        <f>MAX(0, F49*(1+Forecast!$B12))</f>
        <v>0</v>
      </c>
      <c r="H49" s="2">
        <f>MAX(0, G49*(1+Forecast!$B12))</f>
        <v>0</v>
      </c>
      <c r="I49" s="2">
        <f>MAX(0, H49*(1+Forecast!$B12))</f>
        <v>0</v>
      </c>
      <c r="J49" s="2">
        <f>MAX(0, I49*(1+Forecast!$B12))</f>
        <v>0</v>
      </c>
      <c r="K49" s="2">
        <f>MAX(0, J49*(1+Forecast!$B12))</f>
        <v>0</v>
      </c>
      <c r="L49" s="2">
        <f>MAX(0, K49*(1+Forecast!$B12))</f>
        <v>0</v>
      </c>
      <c r="M49" s="2">
        <f>MAX(0, L49*(1+Forecast!$B12))</f>
        <v>0</v>
      </c>
      <c r="N49" s="2">
        <f>MAX(0, M49*(1+Forecast!$B12))</f>
        <v>0</v>
      </c>
      <c r="O49" s="2">
        <f>MAX(0, N49*(1+Forecast!$B12))</f>
        <v>0</v>
      </c>
      <c r="P49" s="2">
        <f>MAX(0, O49*(1+Forecast!$B12))</f>
        <v>0</v>
      </c>
      <c r="Q49" s="2">
        <f>MAX(0, P49*(1+Forecast!$B12))</f>
        <v>0</v>
      </c>
      <c r="R49" s="2">
        <f>MAX(0, Q49*(1+Forecast!$B12))</f>
        <v>0</v>
      </c>
      <c r="S49" s="2">
        <f>MAX(0, R49*(1+Forecast!$B12))</f>
        <v>0</v>
      </c>
      <c r="T49" s="2">
        <f>MAX(0, S49*(1+Forecast!$B12))</f>
        <v>0</v>
      </c>
      <c r="U49" s="2">
        <f>MAX(0, T49*(1+Forecast!$B12))</f>
        <v>0</v>
      </c>
      <c r="V49" s="2">
        <f>MAX(0, U49*(1+Forecast!$B12))</f>
        <v>0</v>
      </c>
      <c r="W49" s="2">
        <f>MAX(0, V49*(1+Forecast!$B12))</f>
        <v>0</v>
      </c>
      <c r="X49" s="2">
        <f>MAX(0, W49*(1+Forecast!$B12))</f>
        <v>0</v>
      </c>
      <c r="Y49" s="2">
        <f>MAX(0, X49*(1+Forecast!$B12))</f>
        <v>0</v>
      </c>
      <c r="Z49" s="2">
        <f>MAX(0, Y49*(1+Forecast!$B12))</f>
        <v>0</v>
      </c>
      <c r="AA49" s="2">
        <f>MAX(0, Z49*(1+Forecast!$B12))</f>
        <v>0</v>
      </c>
      <c r="AB49" s="2">
        <f>MAX(0, AA49*(1+Forecast!$B12))</f>
        <v>0</v>
      </c>
      <c r="AC49" s="2">
        <f>MAX(0, AB49*(1+Forecast!$B12))</f>
        <v>0</v>
      </c>
      <c r="AD49" s="2">
        <f>MAX(0, AC49*(1+Forecast!$B12))</f>
        <v>0</v>
      </c>
      <c r="AE49" s="2">
        <f>MAX(0, AD49*(1+Forecast!$B12))</f>
        <v>0</v>
      </c>
      <c r="AF49" s="2">
        <f>MAX(0, AE49*(1+Forecast!$B12))</f>
        <v>0</v>
      </c>
      <c r="AG49" s="2">
        <f>MAX(0, AF49*(1+Forecast!$B12))</f>
        <v>0</v>
      </c>
      <c r="AH49" s="2"/>
      <c r="AI49" s="2"/>
    </row>
    <row r="51" spans="1:35">
      <c r="A51" s="15" t="s">
        <v>46</v>
      </c>
      <c r="B51" s="1">
        <v>2019</v>
      </c>
      <c r="C51" s="1">
        <v>2020</v>
      </c>
      <c r="D51" s="1">
        <v>2021</v>
      </c>
      <c r="E51" s="1">
        <v>2022</v>
      </c>
      <c r="F51" s="1">
        <v>2023</v>
      </c>
      <c r="G51" s="1">
        <v>2024</v>
      </c>
      <c r="H51" s="1">
        <v>2025</v>
      </c>
      <c r="I51" s="1">
        <v>2026</v>
      </c>
      <c r="J51" s="1">
        <v>2027</v>
      </c>
      <c r="K51" s="1">
        <v>2028</v>
      </c>
      <c r="L51" s="1">
        <v>2029</v>
      </c>
      <c r="M51" s="1">
        <v>2030</v>
      </c>
      <c r="N51" s="1">
        <v>2031</v>
      </c>
      <c r="O51" s="1">
        <v>2032</v>
      </c>
      <c r="P51" s="1">
        <v>2033</v>
      </c>
      <c r="Q51" s="1">
        <v>2034</v>
      </c>
      <c r="R51" s="1">
        <v>2035</v>
      </c>
      <c r="S51" s="1">
        <v>2036</v>
      </c>
      <c r="T51" s="1">
        <v>2037</v>
      </c>
      <c r="U51" s="1">
        <v>2038</v>
      </c>
      <c r="V51" s="1">
        <v>2039</v>
      </c>
      <c r="W51" s="1">
        <v>2040</v>
      </c>
      <c r="X51" s="1">
        <v>2041</v>
      </c>
      <c r="Y51" s="1">
        <v>2042</v>
      </c>
      <c r="Z51" s="1">
        <v>2043</v>
      </c>
      <c r="AA51" s="1">
        <v>2044</v>
      </c>
      <c r="AB51" s="1">
        <v>2045</v>
      </c>
      <c r="AC51" s="1">
        <v>2046</v>
      </c>
      <c r="AD51" s="1">
        <v>2047</v>
      </c>
      <c r="AE51" s="1">
        <v>2048</v>
      </c>
      <c r="AF51" s="1">
        <v>2049</v>
      </c>
      <c r="AG51" s="1">
        <v>2050</v>
      </c>
      <c r="AH51" s="1"/>
      <c r="AI51" s="1"/>
    </row>
    <row r="52" spans="1:35">
      <c r="A52" s="15" t="s">
        <v>2</v>
      </c>
      <c r="B52" s="2">
        <f>INDEX('2019'!$B$26:$G$35, MATCH($A52, '2019'!$A$2:$A$11, 0), MATCH(Rural_res_calculation!$A$51, '2019'!$B$1:$G$1, 0))</f>
        <v>7461916928346.8291</v>
      </c>
      <c r="C52" s="2">
        <f>INDEX('2020'!$B$26:$G$35, MATCH($A52, '2020'!$A$2:$A$11, 0), MATCH(Rural_res_calculation!$A$51, '2020'!$B$1:$G$1, 0))</f>
        <v>7845037201057.5332</v>
      </c>
      <c r="D52" s="2">
        <f>INDEX('2021'!$B$26:$G$35, MATCH($A52, '2021'!$A$2:$A$11, 0), MATCH(Rural_res_calculation!$A$51, '2021'!$B$1:$G$1, 0))</f>
        <v>8214118350949.5244</v>
      </c>
      <c r="E52" s="2">
        <f>MAX(0, D52*(1+Forecast!$B3))</f>
        <v>8263403061055.2217</v>
      </c>
      <c r="F52" s="2">
        <f>MAX(0, E52*(1+Forecast!$B3))</f>
        <v>8312983479421.5527</v>
      </c>
      <c r="G52" s="2">
        <f>MAX(0, F52*(1+Forecast!$B3))</f>
        <v>8362861380298.082</v>
      </c>
      <c r="H52" s="2">
        <f>MAX(0, G52*(1+Forecast!$B3))</f>
        <v>8413038548579.8701</v>
      </c>
      <c r="I52" s="2">
        <f>MAX(0, H52*(1+Forecast!$B3))</f>
        <v>8463516779871.3496</v>
      </c>
      <c r="J52" s="2">
        <f>MAX(0, I52*(1+Forecast!$B3))</f>
        <v>8514297880550.5781</v>
      </c>
      <c r="K52" s="2">
        <f>MAX(0, J52*(1+Forecast!$B3))</f>
        <v>8565383667833.8818</v>
      </c>
      <c r="L52" s="2">
        <f>MAX(0, K52*(1+Forecast!$B3))</f>
        <v>8616775969840.8848</v>
      </c>
      <c r="M52" s="2">
        <f>MAX(0, L52*(1+Forecast!$B3))</f>
        <v>8668476625659.9297</v>
      </c>
      <c r="N52" s="2">
        <f>MAX(0, M52*(1+Forecast!$B3))</f>
        <v>8720487485413.8896</v>
      </c>
      <c r="O52" s="2">
        <f>MAX(0, N52*(1+Forecast!$B3))</f>
        <v>8772810410326.373</v>
      </c>
      <c r="P52" s="2">
        <f>MAX(0, O52*(1+Forecast!$B3))</f>
        <v>8825447272788.332</v>
      </c>
      <c r="Q52" s="2">
        <f>MAX(0, P52*(1+Forecast!$B3))</f>
        <v>8878399956425.0625</v>
      </c>
      <c r="R52" s="2">
        <f>MAX(0, Q52*(1+Forecast!$B3))</f>
        <v>8931670356163.6133</v>
      </c>
      <c r="S52" s="2">
        <f>MAX(0, R52*(1+Forecast!$B3))</f>
        <v>8985260378300.5957</v>
      </c>
      <c r="T52" s="2">
        <f>MAX(0, S52*(1+Forecast!$B3))</f>
        <v>9039171940570.3984</v>
      </c>
      <c r="U52" s="2">
        <f>MAX(0, T52*(1+Forecast!$B3))</f>
        <v>9093406972213.8203</v>
      </c>
      <c r="V52" s="2">
        <f>MAX(0, U52*(1+Forecast!$B3))</f>
        <v>9147967414047.1035</v>
      </c>
      <c r="W52" s="2">
        <f>MAX(0, V52*(1+Forecast!$B3))</f>
        <v>9202855218531.3867</v>
      </c>
      <c r="X52" s="2">
        <f>MAX(0, W52*(1+Forecast!$B3))</f>
        <v>9258072349842.5742</v>
      </c>
      <c r="Y52" s="2">
        <f>MAX(0, X52*(1+Forecast!$B3))</f>
        <v>9313620783941.6289</v>
      </c>
      <c r="Z52" s="2">
        <f>MAX(0, Y52*(1+Forecast!$B3))</f>
        <v>9369502508645.2793</v>
      </c>
      <c r="AA52" s="2">
        <f>MAX(0, Z52*(1+Forecast!$B3))</f>
        <v>9425719523697.1504</v>
      </c>
      <c r="AB52" s="2">
        <f>MAX(0, AA52*(1+Forecast!$B3))</f>
        <v>9482273840839.334</v>
      </c>
      <c r="AC52" s="2">
        <f>MAX(0, AB52*(1+Forecast!$B3))</f>
        <v>9539167483884.3691</v>
      </c>
      <c r="AD52" s="2">
        <f>MAX(0, AC52*(1+Forecast!$B3))</f>
        <v>9596402488787.6758</v>
      </c>
      <c r="AE52" s="2">
        <f>MAX(0, AD52*(1+Forecast!$B3))</f>
        <v>9653980903720.4023</v>
      </c>
      <c r="AF52" s="2">
        <f>MAX(0, AE52*(1+Forecast!$B3))</f>
        <v>9711904789142.7246</v>
      </c>
      <c r="AG52" s="2">
        <f>MAX(0, AF52*(1+Forecast!$B3))</f>
        <v>9770176217877.5801</v>
      </c>
      <c r="AH52" s="2"/>
      <c r="AI52" s="2"/>
    </row>
    <row r="53" spans="1:35">
      <c r="A53" s="15" t="s">
        <v>3</v>
      </c>
      <c r="B53" s="2">
        <f>INDEX('2019'!$B$26:$G$35, MATCH($A53, '2019'!$A$2:$A$11, 0), MATCH(Rural_res_calculation!$A$51, '2019'!$B$1:$G$1, 0))</f>
        <v>0</v>
      </c>
      <c r="C53" s="2">
        <f>INDEX('2020'!$B$26:$G$35, MATCH($A53, '2020'!$A$2:$A$11, 0), MATCH(Rural_res_calculation!$A$51, '2020'!$B$1:$G$1, 0))</f>
        <v>0</v>
      </c>
      <c r="D53" s="2">
        <f>INDEX('2021'!$B$26:$G$35, MATCH($A53, '2021'!$A$2:$A$11, 0), MATCH(Rural_res_calculation!$A$51, '2021'!$B$1:$G$1, 0))</f>
        <v>0</v>
      </c>
      <c r="E53" s="2">
        <f>MAX(0, D53*(1+Forecast!$B4))</f>
        <v>0</v>
      </c>
      <c r="F53" s="2">
        <f>MAX(0, E53*(1+Forecast!$B4))</f>
        <v>0</v>
      </c>
      <c r="G53" s="2">
        <f>MAX(0, F53*(1+Forecast!$B4))</f>
        <v>0</v>
      </c>
      <c r="H53" s="2">
        <f>MAX(0, G53*(1+Forecast!$B4))</f>
        <v>0</v>
      </c>
      <c r="I53" s="2">
        <f>MAX(0, H53*(1+Forecast!$B4))</f>
        <v>0</v>
      </c>
      <c r="J53" s="2">
        <f>MAX(0, I53*(1+Forecast!$B4))</f>
        <v>0</v>
      </c>
      <c r="K53" s="2">
        <f>MAX(0, J53*(1+Forecast!$B4))</f>
        <v>0</v>
      </c>
      <c r="L53" s="2">
        <f>MAX(0, K53*(1+Forecast!$B4))</f>
        <v>0</v>
      </c>
      <c r="M53" s="2">
        <f>MAX(0, L53*(1+Forecast!$B4))</f>
        <v>0</v>
      </c>
      <c r="N53" s="2">
        <f>MAX(0, M53*(1+Forecast!$B4))</f>
        <v>0</v>
      </c>
      <c r="O53" s="2">
        <f>MAX(0, N53*(1+Forecast!$B4))</f>
        <v>0</v>
      </c>
      <c r="P53" s="2">
        <f>MAX(0, O53*(1+Forecast!$B4))</f>
        <v>0</v>
      </c>
      <c r="Q53" s="2">
        <f>MAX(0, P53*(1+Forecast!$B4))</f>
        <v>0</v>
      </c>
      <c r="R53" s="2">
        <f>MAX(0, Q53*(1+Forecast!$B4))</f>
        <v>0</v>
      </c>
      <c r="S53" s="2">
        <f>MAX(0, R53*(1+Forecast!$B4))</f>
        <v>0</v>
      </c>
      <c r="T53" s="2">
        <f>MAX(0, S53*(1+Forecast!$B4))</f>
        <v>0</v>
      </c>
      <c r="U53" s="2">
        <f>MAX(0, T53*(1+Forecast!$B4))</f>
        <v>0</v>
      </c>
      <c r="V53" s="2">
        <f>MAX(0, U53*(1+Forecast!$B4))</f>
        <v>0</v>
      </c>
      <c r="W53" s="2">
        <f>MAX(0, V53*(1+Forecast!$B4))</f>
        <v>0</v>
      </c>
      <c r="X53" s="2">
        <f>MAX(0, W53*(1+Forecast!$B4))</f>
        <v>0</v>
      </c>
      <c r="Y53" s="2">
        <f>MAX(0, X53*(1+Forecast!$B4))</f>
        <v>0</v>
      </c>
      <c r="Z53" s="2">
        <f>MAX(0, Y53*(1+Forecast!$B4))</f>
        <v>0</v>
      </c>
      <c r="AA53" s="2">
        <f>MAX(0, Z53*(1+Forecast!$B4))</f>
        <v>0</v>
      </c>
      <c r="AB53" s="2">
        <f>MAX(0, AA53*(1+Forecast!$B4))</f>
        <v>0</v>
      </c>
      <c r="AC53" s="2">
        <f>MAX(0, AB53*(1+Forecast!$B4))</f>
        <v>0</v>
      </c>
      <c r="AD53" s="2">
        <f>MAX(0, AC53*(1+Forecast!$B4))</f>
        <v>0</v>
      </c>
      <c r="AE53" s="2">
        <f>MAX(0, AD53*(1+Forecast!$B4))</f>
        <v>0</v>
      </c>
      <c r="AF53" s="2">
        <f>MAX(0, AE53*(1+Forecast!$B4))</f>
        <v>0</v>
      </c>
      <c r="AG53" s="2">
        <f>MAX(0, AF53*(1+Forecast!$B4))</f>
        <v>0</v>
      </c>
      <c r="AH53" s="2"/>
      <c r="AI53" s="2"/>
    </row>
    <row r="54" spans="1:35">
      <c r="A54" s="15" t="s">
        <v>4</v>
      </c>
      <c r="B54" s="2">
        <f>INDEX('2019'!$B$26:$G$35, MATCH($A54, '2019'!$A$2:$A$11, 0), MATCH(Rural_res_calculation!$A$51, '2019'!$B$1:$G$1, 0))</f>
        <v>5921117385866.8623</v>
      </c>
      <c r="C54" s="2">
        <f>INDEX('2020'!$B$26:$G$35, MATCH($A54, '2020'!$A$2:$A$11, 0), MATCH(Rural_res_calculation!$A$51, '2020'!$B$1:$G$1, 0))</f>
        <v>6150449476691.8086</v>
      </c>
      <c r="D54" s="2">
        <f>INDEX('2021'!$B$26:$G$35, MATCH($A54, '2021'!$A$2:$A$11, 0), MATCH(Rural_res_calculation!$A$51, '2021'!$B$1:$G$1, 0))</f>
        <v>6265160666164.708</v>
      </c>
      <c r="E54" s="2">
        <f>MAX(0, D54*(1+Forecast!$B5))</f>
        <v>6215039380835.3906</v>
      </c>
      <c r="F54" s="2">
        <f>MAX(0, E54*(1+Forecast!$B5))</f>
        <v>6165319065788.707</v>
      </c>
      <c r="G54" s="2">
        <f>MAX(0, F54*(1+Forecast!$B5))</f>
        <v>6115996513262.3975</v>
      </c>
      <c r="H54" s="2">
        <f>MAX(0, G54*(1+Forecast!$B5))</f>
        <v>6067068541156.2979</v>
      </c>
      <c r="I54" s="2">
        <f>MAX(0, H54*(1+Forecast!$B5))</f>
        <v>6018531992827.0479</v>
      </c>
      <c r="J54" s="2">
        <f>MAX(0, I54*(1+Forecast!$B5))</f>
        <v>5970383736884.4316</v>
      </c>
      <c r="K54" s="2">
        <f>MAX(0, J54*(1+Forecast!$B5))</f>
        <v>5922620666989.3564</v>
      </c>
      <c r="L54" s="2">
        <f>MAX(0, K54*(1+Forecast!$B5))</f>
        <v>5875239701653.4414</v>
      </c>
      <c r="M54" s="2">
        <f>MAX(0, L54*(1+Forecast!$B5))</f>
        <v>5828237784040.2139</v>
      </c>
      <c r="N54" s="2">
        <f>MAX(0, M54*(1+Forecast!$B5))</f>
        <v>5781611881767.8926</v>
      </c>
      <c r="O54" s="2">
        <f>MAX(0, N54*(1+Forecast!$B5))</f>
        <v>5735358986713.749</v>
      </c>
      <c r="P54" s="2">
        <f>MAX(0, O54*(1+Forecast!$B5))</f>
        <v>5689476114820.0391</v>
      </c>
      <c r="Q54" s="2">
        <f>MAX(0, P54*(1+Forecast!$B5))</f>
        <v>5643960305901.4785</v>
      </c>
      <c r="R54" s="2">
        <f>MAX(0, Q54*(1+Forecast!$B5))</f>
        <v>5598808623454.2666</v>
      </c>
      <c r="S54" s="2">
        <f>MAX(0, R54*(1+Forecast!$B5))</f>
        <v>5554018154466.6328</v>
      </c>
      <c r="T54" s="2">
        <f>MAX(0, S54*(1+Forecast!$B5))</f>
        <v>5509586009230.8994</v>
      </c>
      <c r="U54" s="2">
        <f>MAX(0, T54*(1+Forecast!$B5))</f>
        <v>5465509321157.0518</v>
      </c>
      <c r="V54" s="2">
        <f>MAX(0, U54*(1+Forecast!$B5))</f>
        <v>5421785246587.7949</v>
      </c>
      <c r="W54" s="2">
        <f>MAX(0, V54*(1+Forecast!$B5))</f>
        <v>5378410964615.0928</v>
      </c>
      <c r="X54" s="2">
        <f>MAX(0, W54*(1+Forecast!$B5))</f>
        <v>5335383676898.1719</v>
      </c>
      <c r="Y54" s="2">
        <f>MAX(0, X54*(1+Forecast!$B5))</f>
        <v>5292700607482.9863</v>
      </c>
      <c r="Z54" s="2">
        <f>MAX(0, Y54*(1+Forecast!$B5))</f>
        <v>5250359002623.1221</v>
      </c>
      <c r="AA54" s="2">
        <f>MAX(0, Z54*(1+Forecast!$B5))</f>
        <v>5208356130602.1367</v>
      </c>
      <c r="AB54" s="2">
        <f>MAX(0, AA54*(1+Forecast!$B5))</f>
        <v>5166689281557.3193</v>
      </c>
      <c r="AC54" s="2">
        <f>MAX(0, AB54*(1+Forecast!$B5))</f>
        <v>5125355767304.8604</v>
      </c>
      <c r="AD54" s="2">
        <f>MAX(0, AC54*(1+Forecast!$B5))</f>
        <v>5084352921166.4219</v>
      </c>
      <c r="AE54" s="2">
        <f>MAX(0, AD54*(1+Forecast!$B5))</f>
        <v>5043678097797.0908</v>
      </c>
      <c r="AF54" s="2">
        <f>MAX(0, AE54*(1+Forecast!$B5))</f>
        <v>5003328673014.7139</v>
      </c>
      <c r="AG54" s="2">
        <f>MAX(0, AF54*(1+Forecast!$B5))</f>
        <v>4963302043630.5957</v>
      </c>
      <c r="AH54" s="2"/>
      <c r="AI54" s="2"/>
    </row>
    <row r="55" spans="1:35">
      <c r="A55" s="15" t="s">
        <v>5</v>
      </c>
      <c r="B55" s="2">
        <f>INDEX('2019'!$B$26:$G$35, MATCH($A55, '2019'!$A$2:$A$11, 0), MATCH(Rural_res_calculation!$A$51, '2019'!$B$1:$G$1, 0))</f>
        <v>0</v>
      </c>
      <c r="C55" s="2">
        <f>INDEX('2020'!$B$26:$G$35, MATCH($A55, '2020'!$A$2:$A$11, 0), MATCH(Rural_res_calculation!$A$51, '2020'!$B$1:$G$1, 0))</f>
        <v>0</v>
      </c>
      <c r="D55" s="2">
        <f>INDEX('2021'!$B$26:$G$35, MATCH($A55, '2021'!$A$2:$A$11, 0), MATCH(Rural_res_calculation!$A$51, '2021'!$B$1:$G$1, 0))</f>
        <v>0</v>
      </c>
      <c r="E55" s="2">
        <f>MAX(0, D55*(1+Forecast!$B6))</f>
        <v>0</v>
      </c>
      <c r="F55" s="2">
        <f>MAX(0, E55*(1+Forecast!$B6))</f>
        <v>0</v>
      </c>
      <c r="G55" s="2">
        <f>MAX(0, F55*(1+Forecast!$B6))</f>
        <v>0</v>
      </c>
      <c r="H55" s="2">
        <f>MAX(0, G55*(1+Forecast!$B6))</f>
        <v>0</v>
      </c>
      <c r="I55" s="2">
        <f>MAX(0, H55*(1+Forecast!$B6))</f>
        <v>0</v>
      </c>
      <c r="J55" s="2">
        <f>MAX(0, I55*(1+Forecast!$B6))</f>
        <v>0</v>
      </c>
      <c r="K55" s="2">
        <f>MAX(0, J55*(1+Forecast!$B6))</f>
        <v>0</v>
      </c>
      <c r="L55" s="2">
        <f>MAX(0, K55*(1+Forecast!$B6))</f>
        <v>0</v>
      </c>
      <c r="M55" s="2">
        <f>MAX(0, L55*(1+Forecast!$B6))</f>
        <v>0</v>
      </c>
      <c r="N55" s="2">
        <f>MAX(0, M55*(1+Forecast!$B6))</f>
        <v>0</v>
      </c>
      <c r="O55" s="2">
        <f>MAX(0, N55*(1+Forecast!$B6))</f>
        <v>0</v>
      </c>
      <c r="P55" s="2">
        <f>MAX(0, O55*(1+Forecast!$B6))</f>
        <v>0</v>
      </c>
      <c r="Q55" s="2">
        <f>MAX(0, P55*(1+Forecast!$B6))</f>
        <v>0</v>
      </c>
      <c r="R55" s="2">
        <f>MAX(0, Q55*(1+Forecast!$B6))</f>
        <v>0</v>
      </c>
      <c r="S55" s="2">
        <f>MAX(0, R55*(1+Forecast!$B6))</f>
        <v>0</v>
      </c>
      <c r="T55" s="2">
        <f>MAX(0, S55*(1+Forecast!$B6))</f>
        <v>0</v>
      </c>
      <c r="U55" s="2">
        <f>MAX(0, T55*(1+Forecast!$B6))</f>
        <v>0</v>
      </c>
      <c r="V55" s="2">
        <f>MAX(0, U55*(1+Forecast!$B6))</f>
        <v>0</v>
      </c>
      <c r="W55" s="2">
        <f>MAX(0, V55*(1+Forecast!$B6))</f>
        <v>0</v>
      </c>
      <c r="X55" s="2">
        <f>MAX(0, W55*(1+Forecast!$B6))</f>
        <v>0</v>
      </c>
      <c r="Y55" s="2">
        <f>MAX(0, X55*(1+Forecast!$B6))</f>
        <v>0</v>
      </c>
      <c r="Z55" s="2">
        <f>MAX(0, Y55*(1+Forecast!$B6))</f>
        <v>0</v>
      </c>
      <c r="AA55" s="2">
        <f>MAX(0, Z55*(1+Forecast!$B6))</f>
        <v>0</v>
      </c>
      <c r="AB55" s="2">
        <f>MAX(0, AA55*(1+Forecast!$B6))</f>
        <v>0</v>
      </c>
      <c r="AC55" s="2">
        <f>MAX(0, AB55*(1+Forecast!$B6))</f>
        <v>0</v>
      </c>
      <c r="AD55" s="2">
        <f>MAX(0, AC55*(1+Forecast!$B6))</f>
        <v>0</v>
      </c>
      <c r="AE55" s="2">
        <f>MAX(0, AD55*(1+Forecast!$B6))</f>
        <v>0</v>
      </c>
      <c r="AF55" s="2">
        <f>MAX(0, AE55*(1+Forecast!$B6))</f>
        <v>0</v>
      </c>
      <c r="AG55" s="2">
        <f>MAX(0, AF55*(1+Forecast!$B6))</f>
        <v>0</v>
      </c>
      <c r="AH55" s="2"/>
      <c r="AI55" s="2"/>
    </row>
    <row r="56" spans="1:35">
      <c r="A56" s="15" t="s">
        <v>7</v>
      </c>
      <c r="B56" s="2">
        <f>INDEX('2019'!$B$26:$G$35, MATCH($A56, '2019'!$A$2:$A$11, 0), MATCH(Rural_res_calculation!$A$51, '2019'!$B$1:$G$1, 0))</f>
        <v>0</v>
      </c>
      <c r="C56" s="2">
        <f>INDEX('2020'!$B$26:$G$35, MATCH($A56, '2020'!$A$2:$A$11, 0), MATCH(Rural_res_calculation!$A$51, '2020'!$B$1:$G$1, 0))</f>
        <v>0</v>
      </c>
      <c r="D56" s="2">
        <f>INDEX('2021'!$B$26:$G$35, MATCH($A56, '2021'!$A$2:$A$11, 0), MATCH(Rural_res_calculation!$A$51, '2021'!$B$1:$G$1, 0))</f>
        <v>0</v>
      </c>
      <c r="E56" s="2">
        <f>MAX(0, D56*(1+Forecast!$B7))</f>
        <v>0</v>
      </c>
      <c r="F56" s="2">
        <f>MAX(0, E56*(1+Forecast!$B7))</f>
        <v>0</v>
      </c>
      <c r="G56" s="2">
        <f>MAX(0, F56*(1+Forecast!$B7))</f>
        <v>0</v>
      </c>
      <c r="H56" s="2">
        <f>MAX(0, G56*(1+Forecast!$B7))</f>
        <v>0</v>
      </c>
      <c r="I56" s="2">
        <f>MAX(0, H56*(1+Forecast!$B7))</f>
        <v>0</v>
      </c>
      <c r="J56" s="2">
        <f>MAX(0, I56*(1+Forecast!$B7))</f>
        <v>0</v>
      </c>
      <c r="K56" s="2">
        <f>MAX(0, J56*(1+Forecast!$B7))</f>
        <v>0</v>
      </c>
      <c r="L56" s="2">
        <f>MAX(0, K56*(1+Forecast!$B7))</f>
        <v>0</v>
      </c>
      <c r="M56" s="2">
        <f>MAX(0, L56*(1+Forecast!$B7))</f>
        <v>0</v>
      </c>
      <c r="N56" s="2">
        <f>MAX(0, M56*(1+Forecast!$B7))</f>
        <v>0</v>
      </c>
      <c r="O56" s="2">
        <f>MAX(0, N56*(1+Forecast!$B7))</f>
        <v>0</v>
      </c>
      <c r="P56" s="2">
        <f>MAX(0, O56*(1+Forecast!$B7))</f>
        <v>0</v>
      </c>
      <c r="Q56" s="2">
        <f>MAX(0, P56*(1+Forecast!$B7))</f>
        <v>0</v>
      </c>
      <c r="R56" s="2">
        <f>MAX(0, Q56*(1+Forecast!$B7))</f>
        <v>0</v>
      </c>
      <c r="S56" s="2">
        <f>MAX(0, R56*(1+Forecast!$B7))</f>
        <v>0</v>
      </c>
      <c r="T56" s="2">
        <f>MAX(0, S56*(1+Forecast!$B7))</f>
        <v>0</v>
      </c>
      <c r="U56" s="2">
        <f>MAX(0, T56*(1+Forecast!$B7))</f>
        <v>0</v>
      </c>
      <c r="V56" s="2">
        <f>MAX(0, U56*(1+Forecast!$B7))</f>
        <v>0</v>
      </c>
      <c r="W56" s="2">
        <f>MAX(0, V56*(1+Forecast!$B7))</f>
        <v>0</v>
      </c>
      <c r="X56" s="2">
        <f>MAX(0, W56*(1+Forecast!$B7))</f>
        <v>0</v>
      </c>
      <c r="Y56" s="2">
        <f>MAX(0, X56*(1+Forecast!$B7))</f>
        <v>0</v>
      </c>
      <c r="Z56" s="2">
        <f>MAX(0, Y56*(1+Forecast!$B7))</f>
        <v>0</v>
      </c>
      <c r="AA56" s="2">
        <f>MAX(0, Z56*(1+Forecast!$B7))</f>
        <v>0</v>
      </c>
      <c r="AB56" s="2">
        <f>MAX(0, AA56*(1+Forecast!$B7))</f>
        <v>0</v>
      </c>
      <c r="AC56" s="2">
        <f>MAX(0, AB56*(1+Forecast!$B7))</f>
        <v>0</v>
      </c>
      <c r="AD56" s="2">
        <f>MAX(0, AC56*(1+Forecast!$B7))</f>
        <v>0</v>
      </c>
      <c r="AE56" s="2">
        <f>MAX(0, AD56*(1+Forecast!$B7))</f>
        <v>0</v>
      </c>
      <c r="AF56" s="2">
        <f>MAX(0, AE56*(1+Forecast!$B7))</f>
        <v>0</v>
      </c>
      <c r="AG56" s="2">
        <f>MAX(0, AF56*(1+Forecast!$B7))</f>
        <v>0</v>
      </c>
      <c r="AH56" s="2"/>
      <c r="AI56" s="2"/>
    </row>
    <row r="57" spans="1:35">
      <c r="A57" s="15" t="s">
        <v>11</v>
      </c>
      <c r="B57" s="2">
        <f>INDEX('2019'!$B$26:$G$35, MATCH($A57, '2019'!$A$2:$A$11, 0), MATCH(Rural_res_calculation!$A$51, '2019'!$B$1:$G$1, 0))</f>
        <v>0</v>
      </c>
      <c r="C57" s="2">
        <f>INDEX('2020'!$B$26:$G$35, MATCH($A57, '2020'!$A$2:$A$11, 0), MATCH(Rural_res_calculation!$A$51, '2020'!$B$1:$G$1, 0))</f>
        <v>0</v>
      </c>
      <c r="D57" s="2">
        <f>INDEX('2021'!$B$26:$G$35, MATCH($A57, '2021'!$A$2:$A$11, 0), MATCH(Rural_res_calculation!$A$51, '2021'!$B$1:$G$1, 0))</f>
        <v>0</v>
      </c>
      <c r="E57" s="2">
        <f>MAX(0, D57*(1+Forecast!$B8))</f>
        <v>0</v>
      </c>
      <c r="F57" s="2">
        <f>MAX(0, E57*(1+Forecast!$B8))</f>
        <v>0</v>
      </c>
      <c r="G57" s="2">
        <f>MAX(0, F57*(1+Forecast!$B8))</f>
        <v>0</v>
      </c>
      <c r="H57" s="2">
        <f>MAX(0, G57*(1+Forecast!$B8))</f>
        <v>0</v>
      </c>
      <c r="I57" s="2">
        <f>MAX(0, H57*(1+Forecast!$B8))</f>
        <v>0</v>
      </c>
      <c r="J57" s="2">
        <f>MAX(0, I57*(1+Forecast!$B8))</f>
        <v>0</v>
      </c>
      <c r="K57" s="2">
        <f>MAX(0, J57*(1+Forecast!$B8))</f>
        <v>0</v>
      </c>
      <c r="L57" s="2">
        <f>MAX(0, K57*(1+Forecast!$B8))</f>
        <v>0</v>
      </c>
      <c r="M57" s="2">
        <f>MAX(0, L57*(1+Forecast!$B8))</f>
        <v>0</v>
      </c>
      <c r="N57" s="2">
        <f>MAX(0, M57*(1+Forecast!$B8))</f>
        <v>0</v>
      </c>
      <c r="O57" s="2">
        <f>MAX(0, N57*(1+Forecast!$B8))</f>
        <v>0</v>
      </c>
      <c r="P57" s="2">
        <f>MAX(0, O57*(1+Forecast!$B8))</f>
        <v>0</v>
      </c>
      <c r="Q57" s="2">
        <f>MAX(0, P57*(1+Forecast!$B8))</f>
        <v>0</v>
      </c>
      <c r="R57" s="2">
        <f>MAX(0, Q57*(1+Forecast!$B8))</f>
        <v>0</v>
      </c>
      <c r="S57" s="2">
        <f>MAX(0, R57*(1+Forecast!$B8))</f>
        <v>0</v>
      </c>
      <c r="T57" s="2">
        <f>MAX(0, S57*(1+Forecast!$B8))</f>
        <v>0</v>
      </c>
      <c r="U57" s="2">
        <f>MAX(0, T57*(1+Forecast!$B8))</f>
        <v>0</v>
      </c>
      <c r="V57" s="2">
        <f>MAX(0, U57*(1+Forecast!$B8))</f>
        <v>0</v>
      </c>
      <c r="W57" s="2">
        <f>MAX(0, V57*(1+Forecast!$B8))</f>
        <v>0</v>
      </c>
      <c r="X57" s="2">
        <f>MAX(0, W57*(1+Forecast!$B8))</f>
        <v>0</v>
      </c>
      <c r="Y57" s="2">
        <f>MAX(0, X57*(1+Forecast!$B8))</f>
        <v>0</v>
      </c>
      <c r="Z57" s="2">
        <f>MAX(0, Y57*(1+Forecast!$B8))</f>
        <v>0</v>
      </c>
      <c r="AA57" s="2">
        <f>MAX(0, Z57*(1+Forecast!$B8))</f>
        <v>0</v>
      </c>
      <c r="AB57" s="2">
        <f>MAX(0, AA57*(1+Forecast!$B8))</f>
        <v>0</v>
      </c>
      <c r="AC57" s="2">
        <f>MAX(0, AB57*(1+Forecast!$B8))</f>
        <v>0</v>
      </c>
      <c r="AD57" s="2">
        <f>MAX(0, AC57*(1+Forecast!$B8))</f>
        <v>0</v>
      </c>
      <c r="AE57" s="2">
        <f>MAX(0, AD57*(1+Forecast!$B8))</f>
        <v>0</v>
      </c>
      <c r="AF57" s="2">
        <f>MAX(0, AE57*(1+Forecast!$B8))</f>
        <v>0</v>
      </c>
      <c r="AG57" s="2">
        <f>MAX(0, AF57*(1+Forecast!$B8))</f>
        <v>0</v>
      </c>
      <c r="AH57" s="2"/>
      <c r="AI57" s="2"/>
    </row>
    <row r="58" spans="1:35">
      <c r="A58" s="15" t="s">
        <v>13</v>
      </c>
      <c r="B58" s="2">
        <f>INDEX('2019'!$B$26:$G$35, MATCH($A58, '2019'!$A$2:$A$11, 0), MATCH(Rural_res_calculation!$A$51, '2019'!$B$1:$G$1, 0))</f>
        <v>0</v>
      </c>
      <c r="C58" s="2">
        <f>INDEX('2020'!$B$26:$G$35, MATCH($A58, '2020'!$A$2:$A$11, 0), MATCH(Rural_res_calculation!$A$51, '2020'!$B$1:$G$1, 0))</f>
        <v>0</v>
      </c>
      <c r="D58" s="2">
        <f>INDEX('2021'!$B$26:$G$35, MATCH($A58, '2021'!$A$2:$A$11, 0), MATCH(Rural_res_calculation!$A$51, '2021'!$B$1:$G$1, 0))</f>
        <v>0</v>
      </c>
      <c r="E58" s="2">
        <f>MAX(0, D58*(1+Forecast!$B9))</f>
        <v>0</v>
      </c>
      <c r="F58" s="2">
        <f>MAX(0, E58*(1+Forecast!$B9))</f>
        <v>0</v>
      </c>
      <c r="G58" s="2">
        <f>MAX(0, F58*(1+Forecast!$B9))</f>
        <v>0</v>
      </c>
      <c r="H58" s="2">
        <f>MAX(0, G58*(1+Forecast!$B9))</f>
        <v>0</v>
      </c>
      <c r="I58" s="2">
        <f>MAX(0, H58*(1+Forecast!$B9))</f>
        <v>0</v>
      </c>
      <c r="J58" s="2">
        <f>MAX(0, I58*(1+Forecast!$B9))</f>
        <v>0</v>
      </c>
      <c r="K58" s="2">
        <f>MAX(0, J58*(1+Forecast!$B9))</f>
        <v>0</v>
      </c>
      <c r="L58" s="2">
        <f>MAX(0, K58*(1+Forecast!$B9))</f>
        <v>0</v>
      </c>
      <c r="M58" s="2">
        <f>MAX(0, L58*(1+Forecast!$B9))</f>
        <v>0</v>
      </c>
      <c r="N58" s="2">
        <f>MAX(0, M58*(1+Forecast!$B9))</f>
        <v>0</v>
      </c>
      <c r="O58" s="2">
        <f>MAX(0, N58*(1+Forecast!$B9))</f>
        <v>0</v>
      </c>
      <c r="P58" s="2">
        <f>MAX(0, O58*(1+Forecast!$B9))</f>
        <v>0</v>
      </c>
      <c r="Q58" s="2">
        <f>MAX(0, P58*(1+Forecast!$B9))</f>
        <v>0</v>
      </c>
      <c r="R58" s="2">
        <f>MAX(0, Q58*(1+Forecast!$B9))</f>
        <v>0</v>
      </c>
      <c r="S58" s="2">
        <f>MAX(0, R58*(1+Forecast!$B9))</f>
        <v>0</v>
      </c>
      <c r="T58" s="2">
        <f>MAX(0, S58*(1+Forecast!$B9))</f>
        <v>0</v>
      </c>
      <c r="U58" s="2">
        <f>MAX(0, T58*(1+Forecast!$B9))</f>
        <v>0</v>
      </c>
      <c r="V58" s="2">
        <f>MAX(0, U58*(1+Forecast!$B9))</f>
        <v>0</v>
      </c>
      <c r="W58" s="2">
        <f>MAX(0, V58*(1+Forecast!$B9))</f>
        <v>0</v>
      </c>
      <c r="X58" s="2">
        <f>MAX(0, W58*(1+Forecast!$B9))</f>
        <v>0</v>
      </c>
      <c r="Y58" s="2">
        <f>MAX(0, X58*(1+Forecast!$B9))</f>
        <v>0</v>
      </c>
      <c r="Z58" s="2">
        <f>MAX(0, Y58*(1+Forecast!$B9))</f>
        <v>0</v>
      </c>
      <c r="AA58" s="2">
        <f>MAX(0, Z58*(1+Forecast!$B9))</f>
        <v>0</v>
      </c>
      <c r="AB58" s="2">
        <f>MAX(0, AA58*(1+Forecast!$B9))</f>
        <v>0</v>
      </c>
      <c r="AC58" s="2">
        <f>MAX(0, AB58*(1+Forecast!$B9))</f>
        <v>0</v>
      </c>
      <c r="AD58" s="2">
        <f>MAX(0, AC58*(1+Forecast!$B9))</f>
        <v>0</v>
      </c>
      <c r="AE58" s="2">
        <f>MAX(0, AD58*(1+Forecast!$B9))</f>
        <v>0</v>
      </c>
      <c r="AF58" s="2">
        <f>MAX(0, AE58*(1+Forecast!$B9))</f>
        <v>0</v>
      </c>
      <c r="AG58" s="2">
        <f>MAX(0, AF58*(1+Forecast!$B9))</f>
        <v>0</v>
      </c>
      <c r="AH58" s="2"/>
      <c r="AI58" s="2"/>
    </row>
    <row r="59" spans="1:35">
      <c r="A59" s="15" t="s">
        <v>14</v>
      </c>
      <c r="B59" s="2">
        <f>INDEX('2019'!$B$26:$G$35, MATCH($A59, '2019'!$A$2:$A$11, 0), MATCH(Rural_res_calculation!$A$51, '2019'!$B$1:$G$1, 0))</f>
        <v>0</v>
      </c>
      <c r="C59" s="2">
        <f>INDEX('2020'!$B$26:$G$35, MATCH($A59, '2020'!$A$2:$A$11, 0), MATCH(Rural_res_calculation!$A$51, '2020'!$B$1:$G$1, 0))</f>
        <v>0</v>
      </c>
      <c r="D59" s="2">
        <f>INDEX('2021'!$B$26:$G$35, MATCH($A59, '2021'!$A$2:$A$11, 0), MATCH(Rural_res_calculation!$A$51, '2021'!$B$1:$G$1, 0))</f>
        <v>0</v>
      </c>
      <c r="E59" s="2">
        <f>MAX(0, D59*(1+Forecast!$B10))</f>
        <v>0</v>
      </c>
      <c r="F59" s="2">
        <f>MAX(0, E59*(1+Forecast!$B10))</f>
        <v>0</v>
      </c>
      <c r="G59" s="2">
        <f>MAX(0, F59*(1+Forecast!$B10))</f>
        <v>0</v>
      </c>
      <c r="H59" s="2">
        <f>MAX(0, G59*(1+Forecast!$B10))</f>
        <v>0</v>
      </c>
      <c r="I59" s="2">
        <f>MAX(0, H59*(1+Forecast!$B10))</f>
        <v>0</v>
      </c>
      <c r="J59" s="2">
        <f>MAX(0, I59*(1+Forecast!$B10))</f>
        <v>0</v>
      </c>
      <c r="K59" s="2">
        <f>MAX(0, J59*(1+Forecast!$B10))</f>
        <v>0</v>
      </c>
      <c r="L59" s="2">
        <f>MAX(0, K59*(1+Forecast!$B10))</f>
        <v>0</v>
      </c>
      <c r="M59" s="2">
        <f>MAX(0, L59*(1+Forecast!$B10))</f>
        <v>0</v>
      </c>
      <c r="N59" s="2">
        <f>MAX(0, M59*(1+Forecast!$B10))</f>
        <v>0</v>
      </c>
      <c r="O59" s="2">
        <f>MAX(0, N59*(1+Forecast!$B10))</f>
        <v>0</v>
      </c>
      <c r="P59" s="2">
        <f>MAX(0, O59*(1+Forecast!$B10))</f>
        <v>0</v>
      </c>
      <c r="Q59" s="2">
        <f>MAX(0, P59*(1+Forecast!$B10))</f>
        <v>0</v>
      </c>
      <c r="R59" s="2">
        <f>MAX(0, Q59*(1+Forecast!$B10))</f>
        <v>0</v>
      </c>
      <c r="S59" s="2">
        <f>MAX(0, R59*(1+Forecast!$B10))</f>
        <v>0</v>
      </c>
      <c r="T59" s="2">
        <f>MAX(0, S59*(1+Forecast!$B10))</f>
        <v>0</v>
      </c>
      <c r="U59" s="2">
        <f>MAX(0, T59*(1+Forecast!$B10))</f>
        <v>0</v>
      </c>
      <c r="V59" s="2">
        <f>MAX(0, U59*(1+Forecast!$B10))</f>
        <v>0</v>
      </c>
      <c r="W59" s="2">
        <f>MAX(0, V59*(1+Forecast!$B10))</f>
        <v>0</v>
      </c>
      <c r="X59" s="2">
        <f>MAX(0, W59*(1+Forecast!$B10))</f>
        <v>0</v>
      </c>
      <c r="Y59" s="2">
        <f>MAX(0, X59*(1+Forecast!$B10))</f>
        <v>0</v>
      </c>
      <c r="Z59" s="2">
        <f>MAX(0, Y59*(1+Forecast!$B10))</f>
        <v>0</v>
      </c>
      <c r="AA59" s="2">
        <f>MAX(0, Z59*(1+Forecast!$B10))</f>
        <v>0</v>
      </c>
      <c r="AB59" s="2">
        <f>MAX(0, AA59*(1+Forecast!$B10))</f>
        <v>0</v>
      </c>
      <c r="AC59" s="2">
        <f>MAX(0, AB59*(1+Forecast!$B10))</f>
        <v>0</v>
      </c>
      <c r="AD59" s="2">
        <f>MAX(0, AC59*(1+Forecast!$B10))</f>
        <v>0</v>
      </c>
      <c r="AE59" s="2">
        <f>MAX(0, AD59*(1+Forecast!$B10))</f>
        <v>0</v>
      </c>
      <c r="AF59" s="2">
        <f>MAX(0, AE59*(1+Forecast!$B10))</f>
        <v>0</v>
      </c>
      <c r="AG59" s="2">
        <f>MAX(0, AF59*(1+Forecast!$B10))</f>
        <v>0</v>
      </c>
      <c r="AH59" s="2"/>
      <c r="AI59" s="2"/>
    </row>
    <row r="60" spans="1:35">
      <c r="A60" s="15" t="s">
        <v>15</v>
      </c>
      <c r="B60" s="2">
        <f>INDEX('2019'!$B$26:$G$35, MATCH($A60, '2019'!$A$2:$A$11, 0), MATCH(Rural_res_calculation!$A$51, '2019'!$B$1:$G$1, 0))</f>
        <v>328165409726.70074</v>
      </c>
      <c r="C60" s="2">
        <f>INDEX('2020'!$B$26:$G$35, MATCH($A60, '2020'!$A$2:$A$11, 0), MATCH(Rural_res_calculation!$A$51, '2020'!$B$1:$G$1, 0))</f>
        <v>319838892987.50385</v>
      </c>
      <c r="D60" s="2">
        <f>INDEX('2021'!$B$26:$G$35, MATCH($A60, '2021'!$A$2:$A$11, 0), MATCH(Rural_res_calculation!$A$51, '2021'!$B$1:$G$1, 0))</f>
        <v>319671142650.26727</v>
      </c>
      <c r="E60" s="2">
        <f>MAX(0, D60*(1+Forecast!$B11))</f>
        <v>306244954658.95605</v>
      </c>
      <c r="F60" s="2">
        <f>MAX(0, E60*(1+Forecast!$B11))</f>
        <v>293382666563.27991</v>
      </c>
      <c r="G60" s="2">
        <f>MAX(0, F60*(1+Forecast!$B11))</f>
        <v>281060594567.62213</v>
      </c>
      <c r="H60" s="2">
        <f>MAX(0, G60*(1+Forecast!$B11))</f>
        <v>269256049595.78198</v>
      </c>
      <c r="I60" s="2">
        <f>MAX(0, H60*(1+Forecast!$B11))</f>
        <v>257947295512.75912</v>
      </c>
      <c r="J60" s="2">
        <f>MAX(0, I60*(1+Forecast!$B11))</f>
        <v>247113509101.22324</v>
      </c>
      <c r="K60" s="2">
        <f>MAX(0, J60*(1+Forecast!$B11))</f>
        <v>236734741718.97186</v>
      </c>
      <c r="L60" s="2">
        <f>MAX(0, K60*(1+Forecast!$B11))</f>
        <v>226791882566.77502</v>
      </c>
      <c r="M60" s="2">
        <f>MAX(0, L60*(1+Forecast!$B11))</f>
        <v>217266623498.97046</v>
      </c>
      <c r="N60" s="2">
        <f>MAX(0, M60*(1+Forecast!$B11))</f>
        <v>208141425312.0137</v>
      </c>
      <c r="O60" s="2">
        <f>MAX(0, N60*(1+Forecast!$B11))</f>
        <v>199399485448.90912</v>
      </c>
      <c r="P60" s="2">
        <f>MAX(0, O60*(1+Forecast!$B11))</f>
        <v>191024707060.05493</v>
      </c>
      <c r="Q60" s="2">
        <f>MAX(0, P60*(1+Forecast!$B11))</f>
        <v>183001669363.53262</v>
      </c>
      <c r="R60" s="2">
        <f>MAX(0, Q60*(1+Forecast!$B11))</f>
        <v>175315599250.26425</v>
      </c>
      <c r="S60" s="2">
        <f>MAX(0, R60*(1+Forecast!$B11))</f>
        <v>167952344081.75314</v>
      </c>
      <c r="T60" s="2">
        <f>MAX(0, S60*(1+Forecast!$B11))</f>
        <v>160898345630.31952</v>
      </c>
      <c r="U60" s="2">
        <f>MAX(0, T60*(1+Forecast!$B11))</f>
        <v>154140615113.8461</v>
      </c>
      <c r="V60" s="2">
        <f>MAX(0, U60*(1+Forecast!$B11))</f>
        <v>147666709279.06454</v>
      </c>
      <c r="W60" s="2">
        <f>MAX(0, V60*(1+Forecast!$B11))</f>
        <v>141464707489.34384</v>
      </c>
      <c r="X60" s="2">
        <f>MAX(0, W60*(1+Forecast!$B11))</f>
        <v>135523189774.7914</v>
      </c>
      <c r="Y60" s="2">
        <f>MAX(0, X60*(1+Forecast!$B11))</f>
        <v>129831215804.25015</v>
      </c>
      <c r="Z60" s="2">
        <f>MAX(0, Y60*(1+Forecast!$B11))</f>
        <v>124378304740.47163</v>
      </c>
      <c r="AA60" s="2">
        <f>MAX(0, Z60*(1+Forecast!$B11))</f>
        <v>119154415941.37183</v>
      </c>
      <c r="AB60" s="2">
        <f>MAX(0, AA60*(1+Forecast!$B11))</f>
        <v>114149930471.8342</v>
      </c>
      <c r="AC60" s="2">
        <f>MAX(0, AB60*(1+Forecast!$B11))</f>
        <v>109355633392.01715</v>
      </c>
      <c r="AD60" s="2">
        <f>MAX(0, AC60*(1+Forecast!$B11))</f>
        <v>104762696789.55243</v>
      </c>
      <c r="AE60" s="2">
        <f>MAX(0, AD60*(1+Forecast!$B11))</f>
        <v>100362663524.39122</v>
      </c>
      <c r="AF60" s="2">
        <f>MAX(0, AE60*(1+Forecast!$B11))</f>
        <v>96147431656.366791</v>
      </c>
      <c r="AG60" s="2">
        <f>MAX(0, AF60*(1+Forecast!$B11))</f>
        <v>92109239526.799377</v>
      </c>
      <c r="AH60" s="2"/>
      <c r="AI60" s="2"/>
    </row>
    <row r="61" spans="1:35">
      <c r="A61" s="15" t="s">
        <v>16</v>
      </c>
      <c r="B61" s="2">
        <f>INDEX('2019'!$B$26:$G$35, MATCH($A61, '2019'!$A$2:$A$11, 0), MATCH(Rural_res_calculation!$A$51, '2019'!$B$1:$G$1, 0))</f>
        <v>0</v>
      </c>
      <c r="C61" s="2">
        <f>INDEX('2020'!$B$26:$G$35, MATCH($A61, '2020'!$A$2:$A$11, 0), MATCH(Rural_res_calculation!$A$51, '2020'!$B$1:$G$1, 0))</f>
        <v>0</v>
      </c>
      <c r="D61" s="2">
        <f>INDEX('2021'!$B$26:$G$35, MATCH($A61, '2021'!$A$2:$A$11, 0), MATCH(Rural_res_calculation!$A$51, '2021'!$B$1:$G$1, 0))</f>
        <v>0</v>
      </c>
      <c r="E61" s="2">
        <f>MAX(0, D61*(1+Forecast!$B12))</f>
        <v>0</v>
      </c>
      <c r="F61" s="2">
        <f>MAX(0, E61*(1+Forecast!$B12))</f>
        <v>0</v>
      </c>
      <c r="G61" s="2">
        <f>MAX(0, F61*(1+Forecast!$B12))</f>
        <v>0</v>
      </c>
      <c r="H61" s="2">
        <f>MAX(0, G61*(1+Forecast!$B12))</f>
        <v>0</v>
      </c>
      <c r="I61" s="2">
        <f>MAX(0, H61*(1+Forecast!$B12))</f>
        <v>0</v>
      </c>
      <c r="J61" s="2">
        <f>MAX(0, I61*(1+Forecast!$B12))</f>
        <v>0</v>
      </c>
      <c r="K61" s="2">
        <f>MAX(0, J61*(1+Forecast!$B12))</f>
        <v>0</v>
      </c>
      <c r="L61" s="2">
        <f>MAX(0, K61*(1+Forecast!$B12))</f>
        <v>0</v>
      </c>
      <c r="M61" s="2">
        <f>MAX(0, L61*(1+Forecast!$B12))</f>
        <v>0</v>
      </c>
      <c r="N61" s="2">
        <f>MAX(0, M61*(1+Forecast!$B12))</f>
        <v>0</v>
      </c>
      <c r="O61" s="2">
        <f>MAX(0, N61*(1+Forecast!$B12))</f>
        <v>0</v>
      </c>
      <c r="P61" s="2">
        <f>MAX(0, O61*(1+Forecast!$B12))</f>
        <v>0</v>
      </c>
      <c r="Q61" s="2">
        <f>MAX(0, P61*(1+Forecast!$B12))</f>
        <v>0</v>
      </c>
      <c r="R61" s="2">
        <f>MAX(0, Q61*(1+Forecast!$B12))</f>
        <v>0</v>
      </c>
      <c r="S61" s="2">
        <f>MAX(0, R61*(1+Forecast!$B12))</f>
        <v>0</v>
      </c>
      <c r="T61" s="2">
        <f>MAX(0, S61*(1+Forecast!$B12))</f>
        <v>0</v>
      </c>
      <c r="U61" s="2">
        <f>MAX(0, T61*(1+Forecast!$B12))</f>
        <v>0</v>
      </c>
      <c r="V61" s="2">
        <f>MAX(0, U61*(1+Forecast!$B12))</f>
        <v>0</v>
      </c>
      <c r="W61" s="2">
        <f>MAX(0, V61*(1+Forecast!$B12))</f>
        <v>0</v>
      </c>
      <c r="X61" s="2">
        <f>MAX(0, W61*(1+Forecast!$B12))</f>
        <v>0</v>
      </c>
      <c r="Y61" s="2">
        <f>MAX(0, X61*(1+Forecast!$B12))</f>
        <v>0</v>
      </c>
      <c r="Z61" s="2">
        <f>MAX(0, Y61*(1+Forecast!$B12))</f>
        <v>0</v>
      </c>
      <c r="AA61" s="2">
        <f>MAX(0, Z61*(1+Forecast!$B12))</f>
        <v>0</v>
      </c>
      <c r="AB61" s="2">
        <f>MAX(0, AA61*(1+Forecast!$B12))</f>
        <v>0</v>
      </c>
      <c r="AC61" s="2">
        <f>MAX(0, AB61*(1+Forecast!$B12))</f>
        <v>0</v>
      </c>
      <c r="AD61" s="2">
        <f>MAX(0, AC61*(1+Forecast!$B12))</f>
        <v>0</v>
      </c>
      <c r="AE61" s="2">
        <f>MAX(0, AD61*(1+Forecast!$B12))</f>
        <v>0</v>
      </c>
      <c r="AF61" s="2">
        <f>MAX(0, AE61*(1+Forecast!$B12))</f>
        <v>0</v>
      </c>
      <c r="AG61" s="2">
        <f>MAX(0, AF61*(1+Forecast!$B12))</f>
        <v>0</v>
      </c>
      <c r="AH61" s="2"/>
      <c r="AI61" s="2"/>
    </row>
    <row r="63" spans="1:35">
      <c r="A63" s="15" t="s">
        <v>42</v>
      </c>
      <c r="B63" s="1">
        <v>2019</v>
      </c>
      <c r="C63" s="1">
        <v>2020</v>
      </c>
      <c r="D63" s="1">
        <v>2021</v>
      </c>
      <c r="E63" s="1">
        <v>2022</v>
      </c>
      <c r="F63" s="1">
        <v>2023</v>
      </c>
      <c r="G63" s="1">
        <v>2024</v>
      </c>
      <c r="H63" s="1">
        <v>2025</v>
      </c>
      <c r="I63" s="1">
        <v>2026</v>
      </c>
      <c r="J63" s="1">
        <v>2027</v>
      </c>
      <c r="K63" s="1">
        <v>2028</v>
      </c>
      <c r="L63" s="1">
        <v>2029</v>
      </c>
      <c r="M63" s="1">
        <v>2030</v>
      </c>
      <c r="N63" s="1">
        <v>2031</v>
      </c>
      <c r="O63" s="1">
        <v>2032</v>
      </c>
      <c r="P63" s="1">
        <v>2033</v>
      </c>
      <c r="Q63" s="1">
        <v>2034</v>
      </c>
      <c r="R63" s="1">
        <v>2035</v>
      </c>
      <c r="S63" s="1">
        <v>2036</v>
      </c>
      <c r="T63" s="1">
        <v>2037</v>
      </c>
      <c r="U63" s="1">
        <v>2038</v>
      </c>
      <c r="V63" s="1">
        <v>2039</v>
      </c>
      <c r="W63" s="1">
        <v>2040</v>
      </c>
      <c r="X63" s="1">
        <v>2041</v>
      </c>
      <c r="Y63" s="1">
        <v>2042</v>
      </c>
      <c r="Z63" s="1">
        <v>2043</v>
      </c>
      <c r="AA63" s="1">
        <v>2044</v>
      </c>
      <c r="AB63" s="1">
        <v>2045</v>
      </c>
      <c r="AC63" s="1">
        <v>2046</v>
      </c>
      <c r="AD63" s="1">
        <v>2047</v>
      </c>
      <c r="AE63" s="1">
        <v>2048</v>
      </c>
      <c r="AF63" s="1">
        <v>2049</v>
      </c>
      <c r="AG63" s="1">
        <v>2050</v>
      </c>
      <c r="AH63" s="1"/>
      <c r="AI63" s="1"/>
    </row>
    <row r="64" spans="1:35">
      <c r="A64" s="15" t="s">
        <v>2</v>
      </c>
      <c r="B64" s="2">
        <f>INDEX('2019'!$B$26:$G$35, MATCH($A64, '2019'!$A$2:$A$11, 0), MATCH(Rural_res_calculation!$A$63, '2019'!$B$1:$G$1, 0))</f>
        <v>0</v>
      </c>
      <c r="C64" s="2">
        <f>INDEX('2020'!$B$26:$G$35, MATCH($A64, '2020'!$A$2:$A$11, 0), MATCH(Rural_res_calculation!$A$63, '2020'!$B$1:$G$1, 0))</f>
        <v>0</v>
      </c>
      <c r="D64" s="2">
        <f>INDEX('2021'!$B$26:$G$35, MATCH($A64, '2021'!$A$2:$A$11, 0), MATCH(Rural_res_calculation!$A$63, '2021'!$B$1:$G$1, 0))</f>
        <v>0</v>
      </c>
      <c r="E64" s="2">
        <f>MAX(0, D64*(1+Forecast!$B3))</f>
        <v>0</v>
      </c>
      <c r="F64" s="2">
        <f>MAX(0, E64*(1+Forecast!$B3))</f>
        <v>0</v>
      </c>
      <c r="G64" s="2">
        <f>MAX(0, F64*(1+Forecast!$B3))</f>
        <v>0</v>
      </c>
      <c r="H64" s="2">
        <f>MAX(0, G64*(1+Forecast!$B3))</f>
        <v>0</v>
      </c>
      <c r="I64" s="2">
        <f>MAX(0, H64*(1+Forecast!$B3))</f>
        <v>0</v>
      </c>
      <c r="J64" s="2">
        <f>MAX(0, I64*(1+Forecast!$B3))</f>
        <v>0</v>
      </c>
      <c r="K64" s="2">
        <f>MAX(0, J64*(1+Forecast!$B3))</f>
        <v>0</v>
      </c>
      <c r="L64" s="2">
        <f>MAX(0, K64*(1+Forecast!$B3))</f>
        <v>0</v>
      </c>
      <c r="M64" s="2">
        <f>MAX(0, L64*(1+Forecast!$B3))</f>
        <v>0</v>
      </c>
      <c r="N64" s="2">
        <f>MAX(0, M64*(1+Forecast!$B3))</f>
        <v>0</v>
      </c>
      <c r="O64" s="2">
        <f>MAX(0, N64*(1+Forecast!$B3))</f>
        <v>0</v>
      </c>
      <c r="P64" s="2">
        <f>MAX(0, O64*(1+Forecast!$B3))</f>
        <v>0</v>
      </c>
      <c r="Q64" s="2">
        <f>MAX(0, P64*(1+Forecast!$B3))</f>
        <v>0</v>
      </c>
      <c r="R64" s="2">
        <f>MAX(0, Q64*(1+Forecast!$B3))</f>
        <v>0</v>
      </c>
      <c r="S64" s="2">
        <f>MAX(0, R64*(1+Forecast!$B3))</f>
        <v>0</v>
      </c>
      <c r="T64" s="2">
        <f>MAX(0, S64*(1+Forecast!$B3))</f>
        <v>0</v>
      </c>
      <c r="U64" s="2">
        <f>MAX(0, T64*(1+Forecast!$B3))</f>
        <v>0</v>
      </c>
      <c r="V64" s="2">
        <f>MAX(0, U64*(1+Forecast!$B3))</f>
        <v>0</v>
      </c>
      <c r="W64" s="2">
        <f>MAX(0, V64*(1+Forecast!$B3))</f>
        <v>0</v>
      </c>
      <c r="X64" s="2">
        <f>MAX(0, W64*(1+Forecast!$B3))</f>
        <v>0</v>
      </c>
      <c r="Y64" s="2">
        <f>MAX(0, X64*(1+Forecast!$B3))</f>
        <v>0</v>
      </c>
      <c r="Z64" s="2">
        <f>MAX(0, Y64*(1+Forecast!$B3))</f>
        <v>0</v>
      </c>
      <c r="AA64" s="2">
        <f>MAX(0, Z64*(1+Forecast!$B3))</f>
        <v>0</v>
      </c>
      <c r="AB64" s="2">
        <f>MAX(0, AA64*(1+Forecast!$B3))</f>
        <v>0</v>
      </c>
      <c r="AC64" s="2">
        <f>MAX(0, AB64*(1+Forecast!$B3))</f>
        <v>0</v>
      </c>
      <c r="AD64" s="2">
        <f>MAX(0, AC64*(1+Forecast!$B3))</f>
        <v>0</v>
      </c>
      <c r="AE64" s="2">
        <f>MAX(0, AD64*(1+Forecast!$B3))</f>
        <v>0</v>
      </c>
      <c r="AF64" s="2">
        <f>MAX(0, AE64*(1+Forecast!$B3))</f>
        <v>0</v>
      </c>
      <c r="AG64" s="2">
        <f>MAX(0, AF64*(1+Forecast!$B3))</f>
        <v>0</v>
      </c>
      <c r="AH64" s="2"/>
      <c r="AI64" s="2"/>
    </row>
    <row r="65" spans="1:35">
      <c r="A65" s="15" t="s">
        <v>3</v>
      </c>
      <c r="B65" s="2">
        <f>INDEX('2019'!$B$26:$G$35, MATCH($A65, '2019'!$A$2:$A$11, 0), MATCH(Rural_res_calculation!$A$63, '2019'!$B$1:$G$1, 0))</f>
        <v>0</v>
      </c>
      <c r="C65" s="2">
        <f>INDEX('2020'!$B$26:$G$35, MATCH($A65, '2020'!$A$2:$A$11, 0), MATCH(Rural_res_calculation!$A$63, '2020'!$B$1:$G$1, 0))</f>
        <v>0</v>
      </c>
      <c r="D65" s="2">
        <f>INDEX('2021'!$B$26:$G$35, MATCH($A65, '2021'!$A$2:$A$11, 0), MATCH(Rural_res_calculation!$A$63, '2021'!$B$1:$G$1, 0))</f>
        <v>0</v>
      </c>
      <c r="E65" s="2">
        <f>MAX(0, D65*(1+Forecast!$B4))</f>
        <v>0</v>
      </c>
      <c r="F65" s="2">
        <f>MAX(0, E65*(1+Forecast!$B4))</f>
        <v>0</v>
      </c>
      <c r="G65" s="2">
        <f>MAX(0, F65*(1+Forecast!$B4))</f>
        <v>0</v>
      </c>
      <c r="H65" s="2">
        <f>MAX(0, G65*(1+Forecast!$B4))</f>
        <v>0</v>
      </c>
      <c r="I65" s="2">
        <f>MAX(0, H65*(1+Forecast!$B4))</f>
        <v>0</v>
      </c>
      <c r="J65" s="2">
        <f>MAX(0, I65*(1+Forecast!$B4))</f>
        <v>0</v>
      </c>
      <c r="K65" s="2">
        <f>MAX(0, J65*(1+Forecast!$B4))</f>
        <v>0</v>
      </c>
      <c r="L65" s="2">
        <f>MAX(0, K65*(1+Forecast!$B4))</f>
        <v>0</v>
      </c>
      <c r="M65" s="2">
        <f>MAX(0, L65*(1+Forecast!$B4))</f>
        <v>0</v>
      </c>
      <c r="N65" s="2">
        <f>MAX(0, M65*(1+Forecast!$B4))</f>
        <v>0</v>
      </c>
      <c r="O65" s="2">
        <f>MAX(0, N65*(1+Forecast!$B4))</f>
        <v>0</v>
      </c>
      <c r="P65" s="2">
        <f>MAX(0, O65*(1+Forecast!$B4))</f>
        <v>0</v>
      </c>
      <c r="Q65" s="2">
        <f>MAX(0, P65*(1+Forecast!$B4))</f>
        <v>0</v>
      </c>
      <c r="R65" s="2">
        <f>MAX(0, Q65*(1+Forecast!$B4))</f>
        <v>0</v>
      </c>
      <c r="S65" s="2">
        <f>MAX(0, R65*(1+Forecast!$B4))</f>
        <v>0</v>
      </c>
      <c r="T65" s="2">
        <f>MAX(0, S65*(1+Forecast!$B4))</f>
        <v>0</v>
      </c>
      <c r="U65" s="2">
        <f>MAX(0, T65*(1+Forecast!$B4))</f>
        <v>0</v>
      </c>
      <c r="V65" s="2">
        <f>MAX(0, U65*(1+Forecast!$B4))</f>
        <v>0</v>
      </c>
      <c r="W65" s="2">
        <f>MAX(0, V65*(1+Forecast!$B4))</f>
        <v>0</v>
      </c>
      <c r="X65" s="2">
        <f>MAX(0, W65*(1+Forecast!$B4))</f>
        <v>0</v>
      </c>
      <c r="Y65" s="2">
        <f>MAX(0, X65*(1+Forecast!$B4))</f>
        <v>0</v>
      </c>
      <c r="Z65" s="2">
        <f>MAX(0, Y65*(1+Forecast!$B4))</f>
        <v>0</v>
      </c>
      <c r="AA65" s="2">
        <f>MAX(0, Z65*(1+Forecast!$B4))</f>
        <v>0</v>
      </c>
      <c r="AB65" s="2">
        <f>MAX(0, AA65*(1+Forecast!$B4))</f>
        <v>0</v>
      </c>
      <c r="AC65" s="2">
        <f>MAX(0, AB65*(1+Forecast!$B4))</f>
        <v>0</v>
      </c>
      <c r="AD65" s="2">
        <f>MAX(0, AC65*(1+Forecast!$B4))</f>
        <v>0</v>
      </c>
      <c r="AE65" s="2">
        <f>MAX(0, AD65*(1+Forecast!$B4))</f>
        <v>0</v>
      </c>
      <c r="AF65" s="2">
        <f>MAX(0, AE65*(1+Forecast!$B4))</f>
        <v>0</v>
      </c>
      <c r="AG65" s="2">
        <f>MAX(0, AF65*(1+Forecast!$B4))</f>
        <v>0</v>
      </c>
      <c r="AH65" s="2"/>
      <c r="AI65" s="2"/>
    </row>
    <row r="66" spans="1:35">
      <c r="A66" s="15" t="s">
        <v>4</v>
      </c>
      <c r="B66" s="2">
        <f>INDEX('2019'!$B$26:$G$35, MATCH($A66, '2019'!$A$2:$A$11, 0), MATCH(Rural_res_calculation!$A$63, '2019'!$B$1:$G$1, 0))</f>
        <v>0</v>
      </c>
      <c r="C66" s="2">
        <f>INDEX('2020'!$B$26:$G$35, MATCH($A66, '2020'!$A$2:$A$11, 0), MATCH(Rural_res_calculation!$A$63, '2020'!$B$1:$G$1, 0))</f>
        <v>0</v>
      </c>
      <c r="D66" s="2">
        <f>INDEX('2021'!$B$26:$G$35, MATCH($A66, '2021'!$A$2:$A$11, 0), MATCH(Rural_res_calculation!$A$63, '2021'!$B$1:$G$1, 0))</f>
        <v>0</v>
      </c>
      <c r="E66" s="2">
        <f>MAX(0, D66*(1+Forecast!$B5))</f>
        <v>0</v>
      </c>
      <c r="F66" s="2">
        <f>MAX(0, E66*(1+Forecast!$B5))</f>
        <v>0</v>
      </c>
      <c r="G66" s="2">
        <f>MAX(0, F66*(1+Forecast!$B5))</f>
        <v>0</v>
      </c>
      <c r="H66" s="2">
        <f>MAX(0, G66*(1+Forecast!$B5))</f>
        <v>0</v>
      </c>
      <c r="I66" s="2">
        <f>MAX(0, H66*(1+Forecast!$B5))</f>
        <v>0</v>
      </c>
      <c r="J66" s="2">
        <f>MAX(0, I66*(1+Forecast!$B5))</f>
        <v>0</v>
      </c>
      <c r="K66" s="2">
        <f>MAX(0, J66*(1+Forecast!$B5))</f>
        <v>0</v>
      </c>
      <c r="L66" s="2">
        <f>MAX(0, K66*(1+Forecast!$B5))</f>
        <v>0</v>
      </c>
      <c r="M66" s="2">
        <f>MAX(0, L66*(1+Forecast!$B5))</f>
        <v>0</v>
      </c>
      <c r="N66" s="2">
        <f>MAX(0, M66*(1+Forecast!$B5))</f>
        <v>0</v>
      </c>
      <c r="O66" s="2">
        <f>MAX(0, N66*(1+Forecast!$B5))</f>
        <v>0</v>
      </c>
      <c r="P66" s="2">
        <f>MAX(0, O66*(1+Forecast!$B5))</f>
        <v>0</v>
      </c>
      <c r="Q66" s="2">
        <f>MAX(0, P66*(1+Forecast!$B5))</f>
        <v>0</v>
      </c>
      <c r="R66" s="2">
        <f>MAX(0, Q66*(1+Forecast!$B5))</f>
        <v>0</v>
      </c>
      <c r="S66" s="2">
        <f>MAX(0, R66*(1+Forecast!$B5))</f>
        <v>0</v>
      </c>
      <c r="T66" s="2">
        <f>MAX(0, S66*(1+Forecast!$B5))</f>
        <v>0</v>
      </c>
      <c r="U66" s="2">
        <f>MAX(0, T66*(1+Forecast!$B5))</f>
        <v>0</v>
      </c>
      <c r="V66" s="2">
        <f>MAX(0, U66*(1+Forecast!$B5))</f>
        <v>0</v>
      </c>
      <c r="W66" s="2">
        <f>MAX(0, V66*(1+Forecast!$B5))</f>
        <v>0</v>
      </c>
      <c r="X66" s="2">
        <f>MAX(0, W66*(1+Forecast!$B5))</f>
        <v>0</v>
      </c>
      <c r="Y66" s="2">
        <f>MAX(0, X66*(1+Forecast!$B5))</f>
        <v>0</v>
      </c>
      <c r="Z66" s="2">
        <f>MAX(0, Y66*(1+Forecast!$B5))</f>
        <v>0</v>
      </c>
      <c r="AA66" s="2">
        <f>MAX(0, Z66*(1+Forecast!$B5))</f>
        <v>0</v>
      </c>
      <c r="AB66" s="2">
        <f>MAX(0, AA66*(1+Forecast!$B5))</f>
        <v>0</v>
      </c>
      <c r="AC66" s="2">
        <f>MAX(0, AB66*(1+Forecast!$B5))</f>
        <v>0</v>
      </c>
      <c r="AD66" s="2">
        <f>MAX(0, AC66*(1+Forecast!$B5))</f>
        <v>0</v>
      </c>
      <c r="AE66" s="2">
        <f>MAX(0, AD66*(1+Forecast!$B5))</f>
        <v>0</v>
      </c>
      <c r="AF66" s="2">
        <f>MAX(0, AE66*(1+Forecast!$B5))</f>
        <v>0</v>
      </c>
      <c r="AG66" s="2">
        <f>MAX(0, AF66*(1+Forecast!$B5))</f>
        <v>0</v>
      </c>
      <c r="AH66" s="2"/>
      <c r="AI66" s="2"/>
    </row>
    <row r="67" spans="1:35">
      <c r="A67" s="15" t="s">
        <v>5</v>
      </c>
      <c r="B67" s="2">
        <f>INDEX('2019'!$B$26:$G$35, MATCH($A67, '2019'!$A$2:$A$11, 0), MATCH(Rural_res_calculation!$A$63, '2019'!$B$1:$G$1, 0))</f>
        <v>0</v>
      </c>
      <c r="C67" s="2">
        <f>INDEX('2020'!$B$26:$G$35, MATCH($A67, '2020'!$A$2:$A$11, 0), MATCH(Rural_res_calculation!$A$63, '2020'!$B$1:$G$1, 0))</f>
        <v>0</v>
      </c>
      <c r="D67" s="2">
        <f>INDEX('2021'!$B$26:$G$35, MATCH($A67, '2021'!$A$2:$A$11, 0), MATCH(Rural_res_calculation!$A$63, '2021'!$B$1:$G$1, 0))</f>
        <v>0</v>
      </c>
      <c r="E67" s="2">
        <f>MAX(0, D67*(1+Forecast!$B6))</f>
        <v>0</v>
      </c>
      <c r="F67" s="2">
        <f>MAX(0, E67*(1+Forecast!$B6))</f>
        <v>0</v>
      </c>
      <c r="G67" s="2">
        <f>MAX(0, F67*(1+Forecast!$B6))</f>
        <v>0</v>
      </c>
      <c r="H67" s="2">
        <f>MAX(0, G67*(1+Forecast!$B6))</f>
        <v>0</v>
      </c>
      <c r="I67" s="2">
        <f>MAX(0, H67*(1+Forecast!$B6))</f>
        <v>0</v>
      </c>
      <c r="J67" s="2">
        <f>MAX(0, I67*(1+Forecast!$B6))</f>
        <v>0</v>
      </c>
      <c r="K67" s="2">
        <f>MAX(0, J67*(1+Forecast!$B6))</f>
        <v>0</v>
      </c>
      <c r="L67" s="2">
        <f>MAX(0, K67*(1+Forecast!$B6))</f>
        <v>0</v>
      </c>
      <c r="M67" s="2">
        <f>MAX(0, L67*(1+Forecast!$B6))</f>
        <v>0</v>
      </c>
      <c r="N67" s="2">
        <f>MAX(0, M67*(1+Forecast!$B6))</f>
        <v>0</v>
      </c>
      <c r="O67" s="2">
        <f>MAX(0, N67*(1+Forecast!$B6))</f>
        <v>0</v>
      </c>
      <c r="P67" s="2">
        <f>MAX(0, O67*(1+Forecast!$B6))</f>
        <v>0</v>
      </c>
      <c r="Q67" s="2">
        <f>MAX(0, P67*(1+Forecast!$B6))</f>
        <v>0</v>
      </c>
      <c r="R67" s="2">
        <f>MAX(0, Q67*(1+Forecast!$B6))</f>
        <v>0</v>
      </c>
      <c r="S67" s="2">
        <f>MAX(0, R67*(1+Forecast!$B6))</f>
        <v>0</v>
      </c>
      <c r="T67" s="2">
        <f>MAX(0, S67*(1+Forecast!$B6))</f>
        <v>0</v>
      </c>
      <c r="U67" s="2">
        <f>MAX(0, T67*(1+Forecast!$B6))</f>
        <v>0</v>
      </c>
      <c r="V67" s="2">
        <f>MAX(0, U67*(1+Forecast!$B6))</f>
        <v>0</v>
      </c>
      <c r="W67" s="2">
        <f>MAX(0, V67*(1+Forecast!$B6))</f>
        <v>0</v>
      </c>
      <c r="X67" s="2">
        <f>MAX(0, W67*(1+Forecast!$B6))</f>
        <v>0</v>
      </c>
      <c r="Y67" s="2">
        <f>MAX(0, X67*(1+Forecast!$B6))</f>
        <v>0</v>
      </c>
      <c r="Z67" s="2">
        <f>MAX(0, Y67*(1+Forecast!$B6))</f>
        <v>0</v>
      </c>
      <c r="AA67" s="2">
        <f>MAX(0, Z67*(1+Forecast!$B6))</f>
        <v>0</v>
      </c>
      <c r="AB67" s="2">
        <f>MAX(0, AA67*(1+Forecast!$B6))</f>
        <v>0</v>
      </c>
      <c r="AC67" s="2">
        <f>MAX(0, AB67*(1+Forecast!$B6))</f>
        <v>0</v>
      </c>
      <c r="AD67" s="2">
        <f>MAX(0, AC67*(1+Forecast!$B6))</f>
        <v>0</v>
      </c>
      <c r="AE67" s="2">
        <f>MAX(0, AD67*(1+Forecast!$B6))</f>
        <v>0</v>
      </c>
      <c r="AF67" s="2">
        <f>MAX(0, AE67*(1+Forecast!$B6))</f>
        <v>0</v>
      </c>
      <c r="AG67" s="2">
        <f>MAX(0, AF67*(1+Forecast!$B6))</f>
        <v>0</v>
      </c>
      <c r="AH67" s="2"/>
      <c r="AI67" s="2"/>
    </row>
    <row r="68" spans="1:35">
      <c r="A68" s="15" t="s">
        <v>7</v>
      </c>
      <c r="B68" s="2">
        <f>INDEX('2019'!$B$26:$G$35, MATCH($A68, '2019'!$A$2:$A$11, 0), MATCH(Rural_res_calculation!$A$63, '2019'!$B$1:$G$1, 0))</f>
        <v>0</v>
      </c>
      <c r="C68" s="2">
        <f>INDEX('2020'!$B$26:$G$35, MATCH($A68, '2020'!$A$2:$A$11, 0), MATCH(Rural_res_calculation!$A$63, '2020'!$B$1:$G$1, 0))</f>
        <v>0</v>
      </c>
      <c r="D68" s="2">
        <f>INDEX('2021'!$B$26:$G$35, MATCH($A68, '2021'!$A$2:$A$11, 0), MATCH(Rural_res_calculation!$A$63, '2021'!$B$1:$G$1, 0))</f>
        <v>0</v>
      </c>
      <c r="E68" s="2">
        <f>MAX(0, D68*(1+Forecast!$B7))</f>
        <v>0</v>
      </c>
      <c r="F68" s="2">
        <f>MAX(0, E68*(1+Forecast!$B7))</f>
        <v>0</v>
      </c>
      <c r="G68" s="2">
        <f>MAX(0, F68*(1+Forecast!$B7))</f>
        <v>0</v>
      </c>
      <c r="H68" s="2">
        <f>MAX(0, G68*(1+Forecast!$B7))</f>
        <v>0</v>
      </c>
      <c r="I68" s="2">
        <f>MAX(0, H68*(1+Forecast!$B7))</f>
        <v>0</v>
      </c>
      <c r="J68" s="2">
        <f>MAX(0, I68*(1+Forecast!$B7))</f>
        <v>0</v>
      </c>
      <c r="K68" s="2">
        <f>MAX(0, J68*(1+Forecast!$B7))</f>
        <v>0</v>
      </c>
      <c r="L68" s="2">
        <f>MAX(0, K68*(1+Forecast!$B7))</f>
        <v>0</v>
      </c>
      <c r="M68" s="2">
        <f>MAX(0, L68*(1+Forecast!$B7))</f>
        <v>0</v>
      </c>
      <c r="N68" s="2">
        <f>MAX(0, M68*(1+Forecast!$B7))</f>
        <v>0</v>
      </c>
      <c r="O68" s="2">
        <f>MAX(0, N68*(1+Forecast!$B7))</f>
        <v>0</v>
      </c>
      <c r="P68" s="2">
        <f>MAX(0, O68*(1+Forecast!$B7))</f>
        <v>0</v>
      </c>
      <c r="Q68" s="2">
        <f>MAX(0, P68*(1+Forecast!$B7))</f>
        <v>0</v>
      </c>
      <c r="R68" s="2">
        <f>MAX(0, Q68*(1+Forecast!$B7))</f>
        <v>0</v>
      </c>
      <c r="S68" s="2">
        <f>MAX(0, R68*(1+Forecast!$B7))</f>
        <v>0</v>
      </c>
      <c r="T68" s="2">
        <f>MAX(0, S68*(1+Forecast!$B7))</f>
        <v>0</v>
      </c>
      <c r="U68" s="2">
        <f>MAX(0, T68*(1+Forecast!$B7))</f>
        <v>0</v>
      </c>
      <c r="V68" s="2">
        <f>MAX(0, U68*(1+Forecast!$B7))</f>
        <v>0</v>
      </c>
      <c r="W68" s="2">
        <f>MAX(0, V68*(1+Forecast!$B7))</f>
        <v>0</v>
      </c>
      <c r="X68" s="2">
        <f>MAX(0, W68*(1+Forecast!$B7))</f>
        <v>0</v>
      </c>
      <c r="Y68" s="2">
        <f>MAX(0, X68*(1+Forecast!$B7))</f>
        <v>0</v>
      </c>
      <c r="Z68" s="2">
        <f>MAX(0, Y68*(1+Forecast!$B7))</f>
        <v>0</v>
      </c>
      <c r="AA68" s="2">
        <f>MAX(0, Z68*(1+Forecast!$B7))</f>
        <v>0</v>
      </c>
      <c r="AB68" s="2">
        <f>MAX(0, AA68*(1+Forecast!$B7))</f>
        <v>0</v>
      </c>
      <c r="AC68" s="2">
        <f>MAX(0, AB68*(1+Forecast!$B7))</f>
        <v>0</v>
      </c>
      <c r="AD68" s="2">
        <f>MAX(0, AC68*(1+Forecast!$B7))</f>
        <v>0</v>
      </c>
      <c r="AE68" s="2">
        <f>MAX(0, AD68*(1+Forecast!$B7))</f>
        <v>0</v>
      </c>
      <c r="AF68" s="2">
        <f>MAX(0, AE68*(1+Forecast!$B7))</f>
        <v>0</v>
      </c>
      <c r="AG68" s="2">
        <f>MAX(0, AF68*(1+Forecast!$B7))</f>
        <v>0</v>
      </c>
      <c r="AH68" s="2"/>
      <c r="AI68" s="2"/>
    </row>
    <row r="69" spans="1:35">
      <c r="A69" s="15" t="s">
        <v>11</v>
      </c>
      <c r="B69" s="2">
        <f>INDEX('2019'!$B$26:$G$35, MATCH($A69, '2019'!$A$2:$A$11, 0), MATCH(Rural_res_calculation!$A$63, '2019'!$B$1:$G$1, 0))</f>
        <v>0</v>
      </c>
      <c r="C69" s="2">
        <f>INDEX('2020'!$B$26:$G$35, MATCH($A69, '2020'!$A$2:$A$11, 0), MATCH(Rural_res_calculation!$A$63, '2020'!$B$1:$G$1, 0))</f>
        <v>0</v>
      </c>
      <c r="D69" s="2">
        <f>INDEX('2021'!$B$26:$G$35, MATCH($A69, '2021'!$A$2:$A$11, 0), MATCH(Rural_res_calculation!$A$63, '2021'!$B$1:$G$1, 0))</f>
        <v>0</v>
      </c>
      <c r="E69" s="2">
        <f>MAX(0, D69*(1+Forecast!$B8))</f>
        <v>0</v>
      </c>
      <c r="F69" s="2">
        <f>MAX(0, E69*(1+Forecast!$B8))</f>
        <v>0</v>
      </c>
      <c r="G69" s="2">
        <f>MAX(0, F69*(1+Forecast!$B8))</f>
        <v>0</v>
      </c>
      <c r="H69" s="2">
        <f>MAX(0, G69*(1+Forecast!$B8))</f>
        <v>0</v>
      </c>
      <c r="I69" s="2">
        <f>MAX(0, H69*(1+Forecast!$B8))</f>
        <v>0</v>
      </c>
      <c r="J69" s="2">
        <f>MAX(0, I69*(1+Forecast!$B8))</f>
        <v>0</v>
      </c>
      <c r="K69" s="2">
        <f>MAX(0, J69*(1+Forecast!$B8))</f>
        <v>0</v>
      </c>
      <c r="L69" s="2">
        <f>MAX(0, K69*(1+Forecast!$B8))</f>
        <v>0</v>
      </c>
      <c r="M69" s="2">
        <f>MAX(0, L69*(1+Forecast!$B8))</f>
        <v>0</v>
      </c>
      <c r="N69" s="2">
        <f>MAX(0, M69*(1+Forecast!$B8))</f>
        <v>0</v>
      </c>
      <c r="O69" s="2">
        <f>MAX(0, N69*(1+Forecast!$B8))</f>
        <v>0</v>
      </c>
      <c r="P69" s="2">
        <f>MAX(0, O69*(1+Forecast!$B8))</f>
        <v>0</v>
      </c>
      <c r="Q69" s="2">
        <f>MAX(0, P69*(1+Forecast!$B8))</f>
        <v>0</v>
      </c>
      <c r="R69" s="2">
        <f>MAX(0, Q69*(1+Forecast!$B8))</f>
        <v>0</v>
      </c>
      <c r="S69" s="2">
        <f>MAX(0, R69*(1+Forecast!$B8))</f>
        <v>0</v>
      </c>
      <c r="T69" s="2">
        <f>MAX(0, S69*(1+Forecast!$B8))</f>
        <v>0</v>
      </c>
      <c r="U69" s="2">
        <f>MAX(0, T69*(1+Forecast!$B8))</f>
        <v>0</v>
      </c>
      <c r="V69" s="2">
        <f>MAX(0, U69*(1+Forecast!$B8))</f>
        <v>0</v>
      </c>
      <c r="W69" s="2">
        <f>MAX(0, V69*(1+Forecast!$B8))</f>
        <v>0</v>
      </c>
      <c r="X69" s="2">
        <f>MAX(0, W69*(1+Forecast!$B8))</f>
        <v>0</v>
      </c>
      <c r="Y69" s="2">
        <f>MAX(0, X69*(1+Forecast!$B8))</f>
        <v>0</v>
      </c>
      <c r="Z69" s="2">
        <f>MAX(0, Y69*(1+Forecast!$B8))</f>
        <v>0</v>
      </c>
      <c r="AA69" s="2">
        <f>MAX(0, Z69*(1+Forecast!$B8))</f>
        <v>0</v>
      </c>
      <c r="AB69" s="2">
        <f>MAX(0, AA69*(1+Forecast!$B8))</f>
        <v>0</v>
      </c>
      <c r="AC69" s="2">
        <f>MAX(0, AB69*(1+Forecast!$B8))</f>
        <v>0</v>
      </c>
      <c r="AD69" s="2">
        <f>MAX(0, AC69*(1+Forecast!$B8))</f>
        <v>0</v>
      </c>
      <c r="AE69" s="2">
        <f>MAX(0, AD69*(1+Forecast!$B8))</f>
        <v>0</v>
      </c>
      <c r="AF69" s="2">
        <f>MAX(0, AE69*(1+Forecast!$B8))</f>
        <v>0</v>
      </c>
      <c r="AG69" s="2">
        <f>MAX(0, AF69*(1+Forecast!$B8))</f>
        <v>0</v>
      </c>
      <c r="AH69" s="2"/>
      <c r="AI69" s="2"/>
    </row>
    <row r="70" spans="1:35">
      <c r="A70" s="15" t="s">
        <v>13</v>
      </c>
      <c r="B70" s="2">
        <f>INDEX('2019'!$B$26:$G$35, MATCH($A70, '2019'!$A$2:$A$11, 0), MATCH(Rural_res_calculation!$A$63, '2019'!$B$1:$G$1, 0))</f>
        <v>0</v>
      </c>
      <c r="C70" s="2">
        <f>INDEX('2020'!$B$26:$G$35, MATCH($A70, '2020'!$A$2:$A$11, 0), MATCH(Rural_res_calculation!$A$63, '2020'!$B$1:$G$1, 0))</f>
        <v>0</v>
      </c>
      <c r="D70" s="2">
        <f>INDEX('2021'!$B$26:$G$35, MATCH($A70, '2021'!$A$2:$A$11, 0), MATCH(Rural_res_calculation!$A$63, '2021'!$B$1:$G$1, 0))</f>
        <v>0</v>
      </c>
      <c r="E70" s="2">
        <f>MAX(0, D70*(1+Forecast!$B9))</f>
        <v>0</v>
      </c>
      <c r="F70" s="2">
        <f>MAX(0, E70*(1+Forecast!$B9))</f>
        <v>0</v>
      </c>
      <c r="G70" s="2">
        <f>MAX(0, F70*(1+Forecast!$B9))</f>
        <v>0</v>
      </c>
      <c r="H70" s="2">
        <f>MAX(0, G70*(1+Forecast!$B9))</f>
        <v>0</v>
      </c>
      <c r="I70" s="2">
        <f>MAX(0, H70*(1+Forecast!$B9))</f>
        <v>0</v>
      </c>
      <c r="J70" s="2">
        <f>MAX(0, I70*(1+Forecast!$B9))</f>
        <v>0</v>
      </c>
      <c r="K70" s="2">
        <f>MAX(0, J70*(1+Forecast!$B9))</f>
        <v>0</v>
      </c>
      <c r="L70" s="2">
        <f>MAX(0, K70*(1+Forecast!$B9))</f>
        <v>0</v>
      </c>
      <c r="M70" s="2">
        <f>MAX(0, L70*(1+Forecast!$B9))</f>
        <v>0</v>
      </c>
      <c r="N70" s="2">
        <f>MAX(0, M70*(1+Forecast!$B9))</f>
        <v>0</v>
      </c>
      <c r="O70" s="2">
        <f>MAX(0, N70*(1+Forecast!$B9))</f>
        <v>0</v>
      </c>
      <c r="P70" s="2">
        <f>MAX(0, O70*(1+Forecast!$B9))</f>
        <v>0</v>
      </c>
      <c r="Q70" s="2">
        <f>MAX(0, P70*(1+Forecast!$B9))</f>
        <v>0</v>
      </c>
      <c r="R70" s="2">
        <f>MAX(0, Q70*(1+Forecast!$B9))</f>
        <v>0</v>
      </c>
      <c r="S70" s="2">
        <f>MAX(0, R70*(1+Forecast!$B9))</f>
        <v>0</v>
      </c>
      <c r="T70" s="2">
        <f>MAX(0, S70*(1+Forecast!$B9))</f>
        <v>0</v>
      </c>
      <c r="U70" s="2">
        <f>MAX(0, T70*(1+Forecast!$B9))</f>
        <v>0</v>
      </c>
      <c r="V70" s="2">
        <f>MAX(0, U70*(1+Forecast!$B9))</f>
        <v>0</v>
      </c>
      <c r="W70" s="2">
        <f>MAX(0, V70*(1+Forecast!$B9))</f>
        <v>0</v>
      </c>
      <c r="X70" s="2">
        <f>MAX(0, W70*(1+Forecast!$B9))</f>
        <v>0</v>
      </c>
      <c r="Y70" s="2">
        <f>MAX(0, X70*(1+Forecast!$B9))</f>
        <v>0</v>
      </c>
      <c r="Z70" s="2">
        <f>MAX(0, Y70*(1+Forecast!$B9))</f>
        <v>0</v>
      </c>
      <c r="AA70" s="2">
        <f>MAX(0, Z70*(1+Forecast!$B9))</f>
        <v>0</v>
      </c>
      <c r="AB70" s="2">
        <f>MAX(0, AA70*(1+Forecast!$B9))</f>
        <v>0</v>
      </c>
      <c r="AC70" s="2">
        <f>MAX(0, AB70*(1+Forecast!$B9))</f>
        <v>0</v>
      </c>
      <c r="AD70" s="2">
        <f>MAX(0, AC70*(1+Forecast!$B9))</f>
        <v>0</v>
      </c>
      <c r="AE70" s="2">
        <f>MAX(0, AD70*(1+Forecast!$B9))</f>
        <v>0</v>
      </c>
      <c r="AF70" s="2">
        <f>MAX(0, AE70*(1+Forecast!$B9))</f>
        <v>0</v>
      </c>
      <c r="AG70" s="2">
        <f>MAX(0, AF70*(1+Forecast!$B9))</f>
        <v>0</v>
      </c>
      <c r="AH70" s="2"/>
      <c r="AI70" s="2"/>
    </row>
    <row r="71" spans="1:35">
      <c r="A71" s="15" t="s">
        <v>14</v>
      </c>
      <c r="B71" s="2">
        <f>INDEX('2019'!$B$26:$G$35, MATCH($A71, '2019'!$A$2:$A$11, 0), MATCH(Rural_res_calculation!$A$63, '2019'!$B$1:$G$1, 0))</f>
        <v>0</v>
      </c>
      <c r="C71" s="2">
        <f>INDEX('2020'!$B$26:$G$35, MATCH($A71, '2020'!$A$2:$A$11, 0), MATCH(Rural_res_calculation!$A$63, '2020'!$B$1:$G$1, 0))</f>
        <v>0</v>
      </c>
      <c r="D71" s="2">
        <f>INDEX('2021'!$B$26:$G$35, MATCH($A71, '2021'!$A$2:$A$11, 0), MATCH(Rural_res_calculation!$A$63, '2021'!$B$1:$G$1, 0))</f>
        <v>0</v>
      </c>
      <c r="E71" s="2">
        <f>MAX(0, D71*(1+Forecast!$B10))</f>
        <v>0</v>
      </c>
      <c r="F71" s="2">
        <f>MAX(0, E71*(1+Forecast!$B10))</f>
        <v>0</v>
      </c>
      <c r="G71" s="2">
        <f>MAX(0, F71*(1+Forecast!$B10))</f>
        <v>0</v>
      </c>
      <c r="H71" s="2">
        <f>MAX(0, G71*(1+Forecast!$B10))</f>
        <v>0</v>
      </c>
      <c r="I71" s="2">
        <f>MAX(0, H71*(1+Forecast!$B10))</f>
        <v>0</v>
      </c>
      <c r="J71" s="2">
        <f>MAX(0, I71*(1+Forecast!$B10))</f>
        <v>0</v>
      </c>
      <c r="K71" s="2">
        <f>MAX(0, J71*(1+Forecast!$B10))</f>
        <v>0</v>
      </c>
      <c r="L71" s="2">
        <f>MAX(0, K71*(1+Forecast!$B10))</f>
        <v>0</v>
      </c>
      <c r="M71" s="2">
        <f>MAX(0, L71*(1+Forecast!$B10))</f>
        <v>0</v>
      </c>
      <c r="N71" s="2">
        <f>MAX(0, M71*(1+Forecast!$B10))</f>
        <v>0</v>
      </c>
      <c r="O71" s="2">
        <f>MAX(0, N71*(1+Forecast!$B10))</f>
        <v>0</v>
      </c>
      <c r="P71" s="2">
        <f>MAX(0, O71*(1+Forecast!$B10))</f>
        <v>0</v>
      </c>
      <c r="Q71" s="2">
        <f>MAX(0, P71*(1+Forecast!$B10))</f>
        <v>0</v>
      </c>
      <c r="R71" s="2">
        <f>MAX(0, Q71*(1+Forecast!$B10))</f>
        <v>0</v>
      </c>
      <c r="S71" s="2">
        <f>MAX(0, R71*(1+Forecast!$B10))</f>
        <v>0</v>
      </c>
      <c r="T71" s="2">
        <f>MAX(0, S71*(1+Forecast!$B10))</f>
        <v>0</v>
      </c>
      <c r="U71" s="2">
        <f>MAX(0, T71*(1+Forecast!$B10))</f>
        <v>0</v>
      </c>
      <c r="V71" s="2">
        <f>MAX(0, U71*(1+Forecast!$B10))</f>
        <v>0</v>
      </c>
      <c r="W71" s="2">
        <f>MAX(0, V71*(1+Forecast!$B10))</f>
        <v>0</v>
      </c>
      <c r="X71" s="2">
        <f>MAX(0, W71*(1+Forecast!$B10))</f>
        <v>0</v>
      </c>
      <c r="Y71" s="2">
        <f>MAX(0, X71*(1+Forecast!$B10))</f>
        <v>0</v>
      </c>
      <c r="Z71" s="2">
        <f>MAX(0, Y71*(1+Forecast!$B10))</f>
        <v>0</v>
      </c>
      <c r="AA71" s="2">
        <f>MAX(0, Z71*(1+Forecast!$B10))</f>
        <v>0</v>
      </c>
      <c r="AB71" s="2">
        <f>MAX(0, AA71*(1+Forecast!$B10))</f>
        <v>0</v>
      </c>
      <c r="AC71" s="2">
        <f>MAX(0, AB71*(1+Forecast!$B10))</f>
        <v>0</v>
      </c>
      <c r="AD71" s="2">
        <f>MAX(0, AC71*(1+Forecast!$B10))</f>
        <v>0</v>
      </c>
      <c r="AE71" s="2">
        <f>MAX(0, AD71*(1+Forecast!$B10))</f>
        <v>0</v>
      </c>
      <c r="AF71" s="2">
        <f>MAX(0, AE71*(1+Forecast!$B10))</f>
        <v>0</v>
      </c>
      <c r="AG71" s="2">
        <f>MAX(0, AF71*(1+Forecast!$B10))</f>
        <v>0</v>
      </c>
      <c r="AH71" s="2"/>
      <c r="AI71" s="2"/>
    </row>
    <row r="72" spans="1:35">
      <c r="A72" s="15" t="s">
        <v>15</v>
      </c>
      <c r="B72" s="2">
        <f>INDEX('2019'!$B$26:$G$35, MATCH($A72, '2019'!$A$2:$A$11, 0), MATCH(Rural_res_calculation!$A$63, '2019'!$B$1:$G$1, 0))</f>
        <v>0</v>
      </c>
      <c r="C72" s="2">
        <f>INDEX('2020'!$B$26:$G$35, MATCH($A72, '2020'!$A$2:$A$11, 0), MATCH(Rural_res_calculation!$A$63, '2020'!$B$1:$G$1, 0))</f>
        <v>0</v>
      </c>
      <c r="D72" s="2">
        <f>INDEX('2021'!$B$26:$G$35, MATCH($A72, '2021'!$A$2:$A$11, 0), MATCH(Rural_res_calculation!$A$63, '2021'!$B$1:$G$1, 0))</f>
        <v>0</v>
      </c>
      <c r="E72" s="2">
        <f>MAX(0, D72*(1+Forecast!$B11))</f>
        <v>0</v>
      </c>
      <c r="F72" s="2">
        <f>MAX(0, E72*(1+Forecast!$B11))</f>
        <v>0</v>
      </c>
      <c r="G72" s="2">
        <f>MAX(0, F72*(1+Forecast!$B11))</f>
        <v>0</v>
      </c>
      <c r="H72" s="2">
        <f>MAX(0, G72*(1+Forecast!$B11))</f>
        <v>0</v>
      </c>
      <c r="I72" s="2">
        <f>MAX(0, H72*(1+Forecast!$B11))</f>
        <v>0</v>
      </c>
      <c r="J72" s="2">
        <f>MAX(0, I72*(1+Forecast!$B11))</f>
        <v>0</v>
      </c>
      <c r="K72" s="2">
        <f>MAX(0, J72*(1+Forecast!$B11))</f>
        <v>0</v>
      </c>
      <c r="L72" s="2">
        <f>MAX(0, K72*(1+Forecast!$B11))</f>
        <v>0</v>
      </c>
      <c r="M72" s="2">
        <f>MAX(0, L72*(1+Forecast!$B11))</f>
        <v>0</v>
      </c>
      <c r="N72" s="2">
        <f>MAX(0, M72*(1+Forecast!$B11))</f>
        <v>0</v>
      </c>
      <c r="O72" s="2">
        <f>MAX(0, N72*(1+Forecast!$B11))</f>
        <v>0</v>
      </c>
      <c r="P72" s="2">
        <f>MAX(0, O72*(1+Forecast!$B11))</f>
        <v>0</v>
      </c>
      <c r="Q72" s="2">
        <f>MAX(0, P72*(1+Forecast!$B11))</f>
        <v>0</v>
      </c>
      <c r="R72" s="2">
        <f>MAX(0, Q72*(1+Forecast!$B11))</f>
        <v>0</v>
      </c>
      <c r="S72" s="2">
        <f>MAX(0, R72*(1+Forecast!$B11))</f>
        <v>0</v>
      </c>
      <c r="T72" s="2">
        <f>MAX(0, S72*(1+Forecast!$B11))</f>
        <v>0</v>
      </c>
      <c r="U72" s="2">
        <f>MAX(0, T72*(1+Forecast!$B11))</f>
        <v>0</v>
      </c>
      <c r="V72" s="2">
        <f>MAX(0, U72*(1+Forecast!$B11))</f>
        <v>0</v>
      </c>
      <c r="W72" s="2">
        <f>MAX(0, V72*(1+Forecast!$B11))</f>
        <v>0</v>
      </c>
      <c r="X72" s="2">
        <f>MAX(0, W72*(1+Forecast!$B11))</f>
        <v>0</v>
      </c>
      <c r="Y72" s="2">
        <f>MAX(0, X72*(1+Forecast!$B11))</f>
        <v>0</v>
      </c>
      <c r="Z72" s="2">
        <f>MAX(0, Y72*(1+Forecast!$B11))</f>
        <v>0</v>
      </c>
      <c r="AA72" s="2">
        <f>MAX(0, Z72*(1+Forecast!$B11))</f>
        <v>0</v>
      </c>
      <c r="AB72" s="2">
        <f>MAX(0, AA72*(1+Forecast!$B11))</f>
        <v>0</v>
      </c>
      <c r="AC72" s="2">
        <f>MAX(0, AB72*(1+Forecast!$B11))</f>
        <v>0</v>
      </c>
      <c r="AD72" s="2">
        <f>MAX(0, AC72*(1+Forecast!$B11))</f>
        <v>0</v>
      </c>
      <c r="AE72" s="2">
        <f>MAX(0, AD72*(1+Forecast!$B11))</f>
        <v>0</v>
      </c>
      <c r="AF72" s="2">
        <f>MAX(0, AE72*(1+Forecast!$B11))</f>
        <v>0</v>
      </c>
      <c r="AG72" s="2">
        <f>MAX(0, AF72*(1+Forecast!$B11))</f>
        <v>0</v>
      </c>
      <c r="AH72" s="2"/>
      <c r="AI72" s="2"/>
    </row>
    <row r="73" spans="1:35">
      <c r="A73" s="15" t="s">
        <v>16</v>
      </c>
      <c r="B73" s="2">
        <f>INDEX('2019'!$B$26:$G$35, MATCH($A73, '2019'!$A$2:$A$11, 0), MATCH(Rural_res_calculation!$A$63, '2019'!$B$1:$G$1, 0))</f>
        <v>0</v>
      </c>
      <c r="C73" s="2">
        <f>INDEX('2020'!$B$26:$G$35, MATCH($A73, '2020'!$A$2:$A$11, 0), MATCH(Rural_res_calculation!$A$63, '2020'!$B$1:$G$1, 0))</f>
        <v>0</v>
      </c>
      <c r="D73" s="2">
        <f>INDEX('2021'!$B$26:$G$35, MATCH($A73, '2021'!$A$2:$A$11, 0), MATCH(Rural_res_calculation!$A$63, '2021'!$B$1:$G$1, 0))</f>
        <v>0</v>
      </c>
      <c r="E73" s="2">
        <f>MAX(0, D73*(1+Forecast!$B12))</f>
        <v>0</v>
      </c>
      <c r="F73" s="2">
        <f>MAX(0, E73*(1+Forecast!$B12))</f>
        <v>0</v>
      </c>
      <c r="G73" s="2">
        <f>MAX(0, F73*(1+Forecast!$B12))</f>
        <v>0</v>
      </c>
      <c r="H73" s="2">
        <f>MAX(0, G73*(1+Forecast!$B12))</f>
        <v>0</v>
      </c>
      <c r="I73" s="2">
        <f>MAX(0, H73*(1+Forecast!$B12))</f>
        <v>0</v>
      </c>
      <c r="J73" s="2">
        <f>MAX(0, I73*(1+Forecast!$B12))</f>
        <v>0</v>
      </c>
      <c r="K73" s="2">
        <f>MAX(0, J73*(1+Forecast!$B12))</f>
        <v>0</v>
      </c>
      <c r="L73" s="2">
        <f>MAX(0, K73*(1+Forecast!$B12))</f>
        <v>0</v>
      </c>
      <c r="M73" s="2">
        <f>MAX(0, L73*(1+Forecast!$B12))</f>
        <v>0</v>
      </c>
      <c r="N73" s="2">
        <f>MAX(0, M73*(1+Forecast!$B12))</f>
        <v>0</v>
      </c>
      <c r="O73" s="2">
        <f>MAX(0, N73*(1+Forecast!$B12))</f>
        <v>0</v>
      </c>
      <c r="P73" s="2">
        <f>MAX(0, O73*(1+Forecast!$B12))</f>
        <v>0</v>
      </c>
      <c r="Q73" s="2">
        <f>MAX(0, P73*(1+Forecast!$B12))</f>
        <v>0</v>
      </c>
      <c r="R73" s="2">
        <f>MAX(0, Q73*(1+Forecast!$B12))</f>
        <v>0</v>
      </c>
      <c r="S73" s="2">
        <f>MAX(0, R73*(1+Forecast!$B12))</f>
        <v>0</v>
      </c>
      <c r="T73" s="2">
        <f>MAX(0, S73*(1+Forecast!$B12))</f>
        <v>0</v>
      </c>
      <c r="U73" s="2">
        <f>MAX(0, T73*(1+Forecast!$B12))</f>
        <v>0</v>
      </c>
      <c r="V73" s="2">
        <f>MAX(0, U73*(1+Forecast!$B12))</f>
        <v>0</v>
      </c>
      <c r="W73" s="2">
        <f>MAX(0, V73*(1+Forecast!$B12))</f>
        <v>0</v>
      </c>
      <c r="X73" s="2">
        <f>MAX(0, W73*(1+Forecast!$B12))</f>
        <v>0</v>
      </c>
      <c r="Y73" s="2">
        <f>MAX(0, X73*(1+Forecast!$B12))</f>
        <v>0</v>
      </c>
      <c r="Z73" s="2">
        <f>MAX(0, Y73*(1+Forecast!$B12))</f>
        <v>0</v>
      </c>
      <c r="AA73" s="2">
        <f>MAX(0, Z73*(1+Forecast!$B12))</f>
        <v>0</v>
      </c>
      <c r="AB73" s="2">
        <f>MAX(0, AA73*(1+Forecast!$B12))</f>
        <v>0</v>
      </c>
      <c r="AC73" s="2">
        <f>MAX(0, AB73*(1+Forecast!$B12))</f>
        <v>0</v>
      </c>
      <c r="AD73" s="2">
        <f>MAX(0, AC73*(1+Forecast!$B12))</f>
        <v>0</v>
      </c>
      <c r="AE73" s="2">
        <f>MAX(0, AD73*(1+Forecast!$B12))</f>
        <v>0</v>
      </c>
      <c r="AF73" s="2">
        <f>MAX(0, AE73*(1+Forecast!$B12))</f>
        <v>0</v>
      </c>
      <c r="AG73" s="2">
        <f>MAX(0, AF73*(1+Forecast!$B12))</f>
        <v>0</v>
      </c>
      <c r="AH73" s="2"/>
      <c r="AI73" s="2"/>
    </row>
  </sheetData>
  <phoneticPr fontId="1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448C0-88C1-4222-975C-12A3F8DE86EE}">
  <dimension ref="A1:AL61"/>
  <sheetViews>
    <sheetView workbookViewId="0">
      <selection activeCell="D61" sqref="D61"/>
    </sheetView>
  </sheetViews>
  <sheetFormatPr defaultRowHeight="16.5"/>
  <cols>
    <col min="8" max="10" width="20.5" bestFit="1" customWidth="1"/>
  </cols>
  <sheetData>
    <row r="1" spans="1:38">
      <c r="A1" t="s">
        <v>128</v>
      </c>
    </row>
    <row r="2" spans="1:38">
      <c r="A2" t="s">
        <v>129</v>
      </c>
    </row>
    <row r="3" spans="1:38">
      <c r="A3" s="18" t="s">
        <v>54</v>
      </c>
      <c r="B3" s="18" t="s">
        <v>55</v>
      </c>
      <c r="C3" s="19" t="s">
        <v>56</v>
      </c>
      <c r="D3" s="19" t="s">
        <v>57</v>
      </c>
      <c r="E3" s="19" t="s">
        <v>58</v>
      </c>
      <c r="F3" s="19" t="s">
        <v>59</v>
      </c>
      <c r="G3" s="19" t="s">
        <v>60</v>
      </c>
      <c r="H3" s="19" t="s">
        <v>61</v>
      </c>
      <c r="I3" s="19" t="s">
        <v>62</v>
      </c>
      <c r="J3" s="19" t="s">
        <v>63</v>
      </c>
      <c r="K3" s="19" t="s">
        <v>64</v>
      </c>
      <c r="L3" s="19" t="s">
        <v>65</v>
      </c>
      <c r="M3" s="19" t="s">
        <v>66</v>
      </c>
      <c r="N3" s="19" t="s">
        <v>67</v>
      </c>
      <c r="O3" s="19" t="s">
        <v>68</v>
      </c>
      <c r="P3" s="19" t="s">
        <v>69</v>
      </c>
      <c r="Q3" s="19" t="s">
        <v>70</v>
      </c>
      <c r="R3" s="19" t="s">
        <v>71</v>
      </c>
      <c r="S3" s="19" t="s">
        <v>72</v>
      </c>
      <c r="T3" s="19" t="s">
        <v>73</v>
      </c>
      <c r="U3" s="19" t="s">
        <v>74</v>
      </c>
      <c r="V3" s="19" t="s">
        <v>75</v>
      </c>
      <c r="W3" s="19" t="s">
        <v>76</v>
      </c>
      <c r="X3" s="19" t="s">
        <v>77</v>
      </c>
      <c r="Y3" s="19" t="s">
        <v>78</v>
      </c>
      <c r="Z3" s="19" t="s">
        <v>79</v>
      </c>
      <c r="AA3" s="19" t="s">
        <v>93</v>
      </c>
      <c r="AB3" s="19" t="s">
        <v>94</v>
      </c>
      <c r="AC3" s="19" t="s">
        <v>95</v>
      </c>
      <c r="AD3" s="19" t="s">
        <v>96</v>
      </c>
      <c r="AE3" s="19" t="s">
        <v>97</v>
      </c>
      <c r="AF3" s="19" t="s">
        <v>98</v>
      </c>
      <c r="AG3" s="19" t="s">
        <v>99</v>
      </c>
      <c r="AH3" s="19" t="s">
        <v>100</v>
      </c>
      <c r="AI3" s="19" t="s">
        <v>101</v>
      </c>
      <c r="AJ3" s="19" t="s">
        <v>102</v>
      </c>
      <c r="AK3" s="28" t="s">
        <v>103</v>
      </c>
      <c r="AL3" s="28" t="s">
        <v>104</v>
      </c>
    </row>
    <row r="4" spans="1:38">
      <c r="A4" s="21" t="s">
        <v>80</v>
      </c>
      <c r="B4" s="21" t="s">
        <v>81</v>
      </c>
      <c r="C4" s="20">
        <v>3574</v>
      </c>
      <c r="D4" s="20">
        <v>3042</v>
      </c>
      <c r="E4" s="20">
        <v>2374</v>
      </c>
      <c r="F4" s="20">
        <v>1927</v>
      </c>
      <c r="G4" s="20">
        <v>1254</v>
      </c>
      <c r="H4" s="20">
        <v>990</v>
      </c>
      <c r="I4" s="20">
        <v>934</v>
      </c>
      <c r="J4" s="20">
        <v>1122</v>
      </c>
      <c r="K4" s="20">
        <v>1103</v>
      </c>
      <c r="L4" s="20">
        <v>1280</v>
      </c>
      <c r="M4" s="20">
        <v>2020</v>
      </c>
      <c r="N4" s="20">
        <v>2947</v>
      </c>
      <c r="O4" s="20">
        <v>3218</v>
      </c>
      <c r="P4" s="20">
        <v>2952</v>
      </c>
      <c r="Q4" s="20">
        <v>2455</v>
      </c>
      <c r="R4" s="20">
        <v>2005</v>
      </c>
      <c r="S4" s="20">
        <v>1468</v>
      </c>
      <c r="T4" s="20">
        <v>1044</v>
      </c>
      <c r="U4" s="20">
        <v>977</v>
      </c>
      <c r="V4" s="20">
        <v>1090</v>
      </c>
      <c r="W4" s="20">
        <v>1200</v>
      </c>
      <c r="X4" s="20">
        <v>1420</v>
      </c>
      <c r="Y4" s="20">
        <v>2109</v>
      </c>
      <c r="Z4" s="20">
        <v>3264</v>
      </c>
      <c r="AA4" s="20">
        <v>3903</v>
      </c>
      <c r="AB4" s="20">
        <v>3138</v>
      </c>
      <c r="AC4" s="20">
        <v>2374</v>
      </c>
      <c r="AD4" s="20">
        <v>1752</v>
      </c>
      <c r="AE4" s="20">
        <v>1357</v>
      </c>
      <c r="AF4" s="20">
        <v>1101</v>
      </c>
      <c r="AG4" s="20">
        <v>1028</v>
      </c>
      <c r="AH4" s="20">
        <v>1232</v>
      </c>
      <c r="AI4" s="20">
        <v>1133</v>
      </c>
      <c r="AJ4" s="20">
        <v>1425</v>
      </c>
      <c r="AK4" s="29">
        <f>SUM(AK6,AK8,AK10,AK12,AK14,AK16)</f>
        <v>2080.9041934730585</v>
      </c>
      <c r="AL4" s="29">
        <f>SUM(AL6,AL8,AL10,AL12,AL14,AL16)</f>
        <v>3180.5515313473202</v>
      </c>
    </row>
    <row r="5" spans="1:38">
      <c r="A5" s="23" t="s">
        <v>82</v>
      </c>
      <c r="B5" s="21" t="s">
        <v>83</v>
      </c>
      <c r="C5" s="20">
        <v>1976</v>
      </c>
      <c r="D5" s="20">
        <v>1757</v>
      </c>
      <c r="E5" s="20">
        <v>1473</v>
      </c>
      <c r="F5" s="20">
        <v>1383</v>
      </c>
      <c r="G5" s="20">
        <v>1204</v>
      </c>
      <c r="H5" s="20">
        <v>1212</v>
      </c>
      <c r="I5" s="20">
        <v>1348</v>
      </c>
      <c r="J5" s="20">
        <v>1504</v>
      </c>
      <c r="K5" s="20">
        <v>1334</v>
      </c>
      <c r="L5" s="20">
        <v>1226</v>
      </c>
      <c r="M5" s="20">
        <v>1358</v>
      </c>
      <c r="N5" s="20">
        <v>1713</v>
      </c>
      <c r="O5" s="20">
        <v>1823</v>
      </c>
      <c r="P5" s="20">
        <v>1680</v>
      </c>
      <c r="Q5" s="20">
        <v>1416</v>
      </c>
      <c r="R5" s="20">
        <v>1248</v>
      </c>
      <c r="S5" s="20">
        <v>1166</v>
      </c>
      <c r="T5" s="20">
        <v>1223</v>
      </c>
      <c r="U5" s="20">
        <v>1298</v>
      </c>
      <c r="V5" s="20">
        <v>1397</v>
      </c>
      <c r="W5" s="20">
        <v>1298</v>
      </c>
      <c r="X5" s="20">
        <v>1141</v>
      </c>
      <c r="Y5" s="20">
        <v>1342</v>
      </c>
      <c r="Z5" s="20">
        <v>1678</v>
      </c>
      <c r="AA5" s="20">
        <v>1967</v>
      </c>
      <c r="AB5" s="20">
        <v>1741</v>
      </c>
      <c r="AC5" s="20">
        <v>1475</v>
      </c>
      <c r="AD5" s="20">
        <v>1284</v>
      </c>
      <c r="AE5" s="20">
        <v>1208</v>
      </c>
      <c r="AF5" s="20">
        <v>1311</v>
      </c>
      <c r="AG5" s="20">
        <v>1433</v>
      </c>
      <c r="AH5" s="20">
        <v>1514</v>
      </c>
      <c r="AI5" s="20">
        <v>1340</v>
      </c>
      <c r="AJ5" s="20">
        <v>1274</v>
      </c>
      <c r="AK5" s="29">
        <f>SUM(AK7,AK9,AK11,AK13,AK15,AK17)</f>
        <v>1504.6829724434822</v>
      </c>
      <c r="AL5" s="29">
        <f>SUM(AL7,AL9,AL11,AL13,AL15,AL17)</f>
        <v>1885.5083481555948</v>
      </c>
    </row>
    <row r="6" spans="1:38">
      <c r="A6" s="21" t="s">
        <v>84</v>
      </c>
      <c r="B6" s="21" t="s">
        <v>81</v>
      </c>
      <c r="C6" s="20">
        <v>46</v>
      </c>
      <c r="D6" s="20">
        <v>27</v>
      </c>
      <c r="E6" s="20">
        <v>18</v>
      </c>
      <c r="F6" s="20">
        <v>13</v>
      </c>
      <c r="G6" s="20">
        <v>6</v>
      </c>
      <c r="H6" s="20">
        <v>4</v>
      </c>
      <c r="I6" s="20">
        <v>4</v>
      </c>
      <c r="J6" s="20">
        <v>6</v>
      </c>
      <c r="K6" s="20">
        <v>24</v>
      </c>
      <c r="L6" s="20">
        <v>51</v>
      </c>
      <c r="M6" s="20">
        <v>64</v>
      </c>
      <c r="N6" s="20">
        <v>43</v>
      </c>
      <c r="O6" s="20">
        <v>28</v>
      </c>
      <c r="P6" s="20">
        <v>23</v>
      </c>
      <c r="Q6" s="20">
        <v>18</v>
      </c>
      <c r="R6" s="20">
        <v>12</v>
      </c>
      <c r="S6" s="20">
        <v>5</v>
      </c>
      <c r="T6" s="20">
        <v>3</v>
      </c>
      <c r="U6" s="20">
        <v>2</v>
      </c>
      <c r="V6" s="20">
        <v>3</v>
      </c>
      <c r="W6" s="20">
        <v>17</v>
      </c>
      <c r="X6" s="20">
        <v>45</v>
      </c>
      <c r="Y6" s="20">
        <v>40</v>
      </c>
      <c r="Z6" s="20">
        <v>45</v>
      </c>
      <c r="AA6" s="20">
        <v>26</v>
      </c>
      <c r="AB6" s="20">
        <v>18</v>
      </c>
      <c r="AC6" s="20">
        <v>13</v>
      </c>
      <c r="AD6" s="20">
        <v>9</v>
      </c>
      <c r="AE6" s="20">
        <v>3</v>
      </c>
      <c r="AF6" s="20">
        <v>3</v>
      </c>
      <c r="AG6" s="20">
        <v>3</v>
      </c>
      <c r="AH6" s="20">
        <v>4</v>
      </c>
      <c r="AI6" s="20">
        <v>15</v>
      </c>
      <c r="AJ6" s="20">
        <v>36</v>
      </c>
      <c r="AK6" s="29">
        <f t="shared" ref="AK6:AL6" si="0">Y6+Y6*(AJ6-X6)/X6</f>
        <v>32</v>
      </c>
      <c r="AL6" s="29">
        <f t="shared" si="0"/>
        <v>36</v>
      </c>
    </row>
    <row r="7" spans="1:38">
      <c r="A7" s="23" t="s">
        <v>82</v>
      </c>
      <c r="B7" s="21" t="s">
        <v>83</v>
      </c>
      <c r="C7" s="20">
        <v>0</v>
      </c>
      <c r="D7" s="20">
        <v>0</v>
      </c>
      <c r="E7" s="20">
        <v>0</v>
      </c>
      <c r="F7" s="20">
        <v>0</v>
      </c>
      <c r="G7" s="20">
        <v>0</v>
      </c>
      <c r="H7" s="20">
        <v>0</v>
      </c>
      <c r="I7" s="20">
        <v>0</v>
      </c>
      <c r="J7" s="20">
        <v>0</v>
      </c>
      <c r="K7" s="20">
        <v>0</v>
      </c>
      <c r="L7" s="20">
        <v>0</v>
      </c>
      <c r="M7" s="20">
        <v>0</v>
      </c>
      <c r="N7" s="20">
        <v>0</v>
      </c>
      <c r="O7" s="20">
        <v>0</v>
      </c>
      <c r="P7" s="20">
        <v>0</v>
      </c>
      <c r="Q7" s="20">
        <v>0</v>
      </c>
      <c r="R7" s="20">
        <v>0</v>
      </c>
      <c r="S7" s="20">
        <v>0</v>
      </c>
      <c r="T7" s="20">
        <v>0</v>
      </c>
      <c r="U7" s="20">
        <v>0</v>
      </c>
      <c r="V7" s="20">
        <v>0</v>
      </c>
      <c r="W7" s="20">
        <v>0</v>
      </c>
      <c r="X7" s="20">
        <v>0</v>
      </c>
      <c r="Y7" s="20">
        <v>0</v>
      </c>
      <c r="Z7" s="20">
        <v>0</v>
      </c>
      <c r="AA7" s="20">
        <v>0</v>
      </c>
      <c r="AB7" s="20">
        <v>0</v>
      </c>
      <c r="AC7" s="20">
        <v>0</v>
      </c>
      <c r="AD7" s="20">
        <v>0</v>
      </c>
      <c r="AE7" s="20">
        <v>0</v>
      </c>
      <c r="AF7" s="20">
        <v>0</v>
      </c>
      <c r="AG7" s="20">
        <v>0</v>
      </c>
      <c r="AH7" s="20">
        <v>0</v>
      </c>
      <c r="AI7" s="20">
        <v>0</v>
      </c>
      <c r="AJ7" s="20">
        <v>0</v>
      </c>
      <c r="AK7" s="20">
        <v>0</v>
      </c>
      <c r="AL7" s="20">
        <v>0</v>
      </c>
    </row>
    <row r="8" spans="1:38">
      <c r="A8" s="21" t="s">
        <v>85</v>
      </c>
      <c r="B8" s="21" t="s">
        <v>81</v>
      </c>
      <c r="C8" s="20">
        <v>520</v>
      </c>
      <c r="D8" s="20">
        <v>353</v>
      </c>
      <c r="E8" s="20">
        <v>272</v>
      </c>
      <c r="F8" s="20">
        <v>247</v>
      </c>
      <c r="G8" s="20">
        <v>147</v>
      </c>
      <c r="H8" s="20">
        <v>127</v>
      </c>
      <c r="I8" s="20">
        <v>124</v>
      </c>
      <c r="J8" s="20">
        <v>168</v>
      </c>
      <c r="K8" s="20">
        <v>185</v>
      </c>
      <c r="L8" s="20">
        <v>225</v>
      </c>
      <c r="M8" s="20">
        <v>297</v>
      </c>
      <c r="N8" s="20">
        <v>386</v>
      </c>
      <c r="O8" s="20">
        <v>346</v>
      </c>
      <c r="P8" s="20">
        <v>289</v>
      </c>
      <c r="Q8" s="20">
        <v>247</v>
      </c>
      <c r="R8" s="20">
        <v>243</v>
      </c>
      <c r="S8" s="20">
        <v>250</v>
      </c>
      <c r="T8" s="20">
        <v>118</v>
      </c>
      <c r="U8" s="20">
        <v>96</v>
      </c>
      <c r="V8" s="20">
        <v>101</v>
      </c>
      <c r="W8" s="20">
        <v>149</v>
      </c>
      <c r="X8" s="20">
        <v>196</v>
      </c>
      <c r="Y8" s="20">
        <v>279</v>
      </c>
      <c r="Z8" s="20">
        <v>419</v>
      </c>
      <c r="AA8" s="20">
        <v>447</v>
      </c>
      <c r="AB8" s="20">
        <v>311</v>
      </c>
      <c r="AC8" s="20">
        <v>220</v>
      </c>
      <c r="AD8" s="20">
        <v>176</v>
      </c>
      <c r="AE8" s="20">
        <v>139</v>
      </c>
      <c r="AF8" s="20">
        <v>128</v>
      </c>
      <c r="AG8" s="20">
        <v>100</v>
      </c>
      <c r="AH8" s="20">
        <v>112</v>
      </c>
      <c r="AI8" s="20">
        <v>176</v>
      </c>
      <c r="AJ8" s="20">
        <v>233</v>
      </c>
      <c r="AK8" s="29">
        <f t="shared" ref="AK8:AL8" si="1">Y8+Y8*(AJ8-X8)/X8</f>
        <v>331.66836734693879</v>
      </c>
      <c r="AL8" s="29">
        <f t="shared" si="1"/>
        <v>498.09693877551024</v>
      </c>
    </row>
    <row r="9" spans="1:38">
      <c r="A9" s="23" t="s">
        <v>82</v>
      </c>
      <c r="B9" s="21" t="s">
        <v>83</v>
      </c>
      <c r="C9" s="20">
        <v>230</v>
      </c>
      <c r="D9" s="20">
        <v>175</v>
      </c>
      <c r="E9" s="20">
        <v>155</v>
      </c>
      <c r="F9" s="20">
        <v>155</v>
      </c>
      <c r="G9" s="20">
        <v>118</v>
      </c>
      <c r="H9" s="20">
        <v>100</v>
      </c>
      <c r="I9" s="20">
        <v>116</v>
      </c>
      <c r="J9" s="20">
        <v>115</v>
      </c>
      <c r="K9" s="20">
        <v>107</v>
      </c>
      <c r="L9" s="20">
        <v>141</v>
      </c>
      <c r="M9" s="20">
        <v>162</v>
      </c>
      <c r="N9" s="20">
        <v>201</v>
      </c>
      <c r="O9" s="20">
        <v>192</v>
      </c>
      <c r="P9" s="20">
        <v>154</v>
      </c>
      <c r="Q9" s="20">
        <v>136</v>
      </c>
      <c r="R9" s="20">
        <v>132</v>
      </c>
      <c r="S9" s="20">
        <v>141</v>
      </c>
      <c r="T9" s="20">
        <v>96</v>
      </c>
      <c r="U9" s="20">
        <v>94</v>
      </c>
      <c r="V9" s="20">
        <v>90</v>
      </c>
      <c r="W9" s="20">
        <v>103</v>
      </c>
      <c r="X9" s="20">
        <v>120</v>
      </c>
      <c r="Y9" s="20">
        <v>161</v>
      </c>
      <c r="Z9" s="20">
        <v>202</v>
      </c>
      <c r="AA9" s="20">
        <v>249</v>
      </c>
      <c r="AB9" s="20">
        <v>191</v>
      </c>
      <c r="AC9" s="20">
        <v>166</v>
      </c>
      <c r="AD9" s="20">
        <v>142</v>
      </c>
      <c r="AE9" s="20">
        <v>135</v>
      </c>
      <c r="AF9" s="20">
        <v>145</v>
      </c>
      <c r="AG9" s="20">
        <v>125</v>
      </c>
      <c r="AH9" s="20">
        <v>113</v>
      </c>
      <c r="AI9" s="20">
        <v>130</v>
      </c>
      <c r="AJ9" s="20">
        <v>142</v>
      </c>
      <c r="AK9" s="29">
        <f t="shared" ref="AK9:AL9" si="2">Y9+Y9*(AJ9-X9)/X9</f>
        <v>190.51666666666665</v>
      </c>
      <c r="AL9" s="29">
        <f t="shared" si="2"/>
        <v>239.0333333333333</v>
      </c>
    </row>
    <row r="10" spans="1:38">
      <c r="A10" s="21" t="s">
        <v>86</v>
      </c>
      <c r="B10" s="21" t="s">
        <v>81</v>
      </c>
      <c r="C10" s="20">
        <v>1996</v>
      </c>
      <c r="D10" s="20">
        <v>1738</v>
      </c>
      <c r="E10" s="20">
        <v>1321</v>
      </c>
      <c r="F10" s="20">
        <v>971</v>
      </c>
      <c r="G10" s="20">
        <v>535</v>
      </c>
      <c r="H10" s="20">
        <v>316</v>
      </c>
      <c r="I10" s="20">
        <v>244</v>
      </c>
      <c r="J10" s="20">
        <v>210</v>
      </c>
      <c r="K10" s="20">
        <v>234</v>
      </c>
      <c r="L10" s="20">
        <v>408</v>
      </c>
      <c r="M10" s="20">
        <v>912</v>
      </c>
      <c r="N10" s="20">
        <v>1594</v>
      </c>
      <c r="O10" s="20">
        <v>1852</v>
      </c>
      <c r="P10" s="20">
        <v>1693</v>
      </c>
      <c r="Q10" s="20">
        <v>1360</v>
      </c>
      <c r="R10" s="20">
        <v>999</v>
      </c>
      <c r="S10" s="20">
        <v>592</v>
      </c>
      <c r="T10" s="20">
        <v>326</v>
      </c>
      <c r="U10" s="20">
        <v>264</v>
      </c>
      <c r="V10" s="20">
        <v>261</v>
      </c>
      <c r="W10" s="20">
        <v>258</v>
      </c>
      <c r="X10" s="20">
        <v>521</v>
      </c>
      <c r="Y10" s="20">
        <v>995</v>
      </c>
      <c r="Z10" s="20">
        <v>1779</v>
      </c>
      <c r="AA10" s="20">
        <v>2268</v>
      </c>
      <c r="AB10" s="20">
        <v>1814</v>
      </c>
      <c r="AC10" s="20">
        <v>1334</v>
      </c>
      <c r="AD10" s="20">
        <v>854</v>
      </c>
      <c r="AE10" s="20">
        <v>577</v>
      </c>
      <c r="AF10" s="20">
        <v>355</v>
      </c>
      <c r="AG10" s="20">
        <v>237</v>
      </c>
      <c r="AH10" s="20">
        <v>222</v>
      </c>
      <c r="AI10" s="20">
        <v>234</v>
      </c>
      <c r="AJ10" s="20">
        <v>467</v>
      </c>
      <c r="AK10" s="29">
        <f t="shared" ref="AK10:AL10" si="3">Y10+Y10*(AJ10-X10)/X10</f>
        <v>891.87140115163152</v>
      </c>
      <c r="AL10" s="29">
        <f t="shared" si="3"/>
        <v>1594.612284069098</v>
      </c>
    </row>
    <row r="11" spans="1:38">
      <c r="A11" s="23" t="s">
        <v>82</v>
      </c>
      <c r="B11" s="21" t="s">
        <v>83</v>
      </c>
      <c r="C11" s="20">
        <v>486</v>
      </c>
      <c r="D11" s="20">
        <v>407</v>
      </c>
      <c r="E11" s="20">
        <v>333</v>
      </c>
      <c r="F11" s="20">
        <v>284</v>
      </c>
      <c r="G11" s="20">
        <v>226</v>
      </c>
      <c r="H11" s="20">
        <v>225</v>
      </c>
      <c r="I11" s="20">
        <v>256</v>
      </c>
      <c r="J11" s="20">
        <v>262</v>
      </c>
      <c r="K11" s="20">
        <v>224</v>
      </c>
      <c r="L11" s="20">
        <v>215</v>
      </c>
      <c r="M11" s="20">
        <v>294</v>
      </c>
      <c r="N11" s="20">
        <v>418</v>
      </c>
      <c r="O11" s="20">
        <v>430</v>
      </c>
      <c r="P11" s="20">
        <v>375</v>
      </c>
      <c r="Q11" s="20">
        <v>283</v>
      </c>
      <c r="R11" s="20">
        <v>219</v>
      </c>
      <c r="S11" s="20">
        <v>186</v>
      </c>
      <c r="T11" s="20">
        <v>213</v>
      </c>
      <c r="U11" s="20">
        <v>228</v>
      </c>
      <c r="V11" s="20">
        <v>240</v>
      </c>
      <c r="W11" s="20">
        <v>191</v>
      </c>
      <c r="X11" s="20">
        <v>193</v>
      </c>
      <c r="Y11" s="20">
        <v>271</v>
      </c>
      <c r="Z11" s="20">
        <v>389</v>
      </c>
      <c r="AA11" s="20">
        <v>448</v>
      </c>
      <c r="AB11" s="20">
        <v>372</v>
      </c>
      <c r="AC11" s="20">
        <v>318</v>
      </c>
      <c r="AD11" s="20">
        <v>226</v>
      </c>
      <c r="AE11" s="20">
        <v>211</v>
      </c>
      <c r="AF11" s="20">
        <v>231</v>
      </c>
      <c r="AG11" s="20">
        <v>238</v>
      </c>
      <c r="AH11" s="20">
        <v>228</v>
      </c>
      <c r="AI11" s="20">
        <v>197</v>
      </c>
      <c r="AJ11" s="20">
        <v>227</v>
      </c>
      <c r="AK11" s="29">
        <f t="shared" ref="AK11:AL11" si="4">Y11+Y11*(AJ11-X11)/X11</f>
        <v>318.74093264248705</v>
      </c>
      <c r="AL11" s="29">
        <f t="shared" si="4"/>
        <v>457.52849740932641</v>
      </c>
    </row>
    <row r="12" spans="1:38">
      <c r="A12" s="21" t="s">
        <v>87</v>
      </c>
      <c r="B12" s="21" t="s">
        <v>81</v>
      </c>
      <c r="C12" s="20">
        <v>537</v>
      </c>
      <c r="D12" s="20">
        <v>528</v>
      </c>
      <c r="E12" s="20">
        <v>460</v>
      </c>
      <c r="F12" s="20">
        <v>482</v>
      </c>
      <c r="G12" s="20">
        <v>448</v>
      </c>
      <c r="H12" s="20">
        <v>455</v>
      </c>
      <c r="I12" s="20">
        <v>482</v>
      </c>
      <c r="J12" s="20">
        <v>653</v>
      </c>
      <c r="K12" s="20">
        <v>572</v>
      </c>
      <c r="L12" s="20">
        <v>466</v>
      </c>
      <c r="M12" s="20">
        <v>475</v>
      </c>
      <c r="N12" s="20">
        <v>501</v>
      </c>
      <c r="O12" s="20">
        <v>538</v>
      </c>
      <c r="P12" s="20">
        <v>540</v>
      </c>
      <c r="Q12" s="20">
        <v>505</v>
      </c>
      <c r="R12" s="20">
        <v>510</v>
      </c>
      <c r="S12" s="20">
        <v>479</v>
      </c>
      <c r="T12" s="20">
        <v>495</v>
      </c>
      <c r="U12" s="20">
        <v>515</v>
      </c>
      <c r="V12" s="20">
        <v>617</v>
      </c>
      <c r="W12" s="20">
        <v>657</v>
      </c>
      <c r="X12" s="20">
        <v>482</v>
      </c>
      <c r="Y12" s="20">
        <v>501</v>
      </c>
      <c r="Z12" s="20">
        <v>533</v>
      </c>
      <c r="AA12" s="20">
        <v>597</v>
      </c>
      <c r="AB12" s="20">
        <v>575</v>
      </c>
      <c r="AC12" s="20">
        <v>495</v>
      </c>
      <c r="AD12" s="20">
        <v>508</v>
      </c>
      <c r="AE12" s="20">
        <v>481</v>
      </c>
      <c r="AF12" s="20">
        <v>502</v>
      </c>
      <c r="AG12" s="20">
        <v>582</v>
      </c>
      <c r="AH12" s="20">
        <v>776</v>
      </c>
      <c r="AI12" s="20">
        <v>596</v>
      </c>
      <c r="AJ12" s="20">
        <v>508</v>
      </c>
      <c r="AK12" s="29">
        <f t="shared" ref="AK12:AL12" si="5">Y12+Y12*(AJ12-X12)/X12</f>
        <v>528.02489626556019</v>
      </c>
      <c r="AL12" s="29">
        <f t="shared" si="5"/>
        <v>561.75103734439836</v>
      </c>
    </row>
    <row r="13" spans="1:38">
      <c r="A13" s="23" t="s">
        <v>82</v>
      </c>
      <c r="B13" s="21" t="s">
        <v>83</v>
      </c>
      <c r="C13" s="20">
        <v>1191</v>
      </c>
      <c r="D13" s="20">
        <v>1118</v>
      </c>
      <c r="E13" s="20">
        <v>946</v>
      </c>
      <c r="F13" s="20">
        <v>917</v>
      </c>
      <c r="G13" s="20">
        <v>836</v>
      </c>
      <c r="H13" s="20">
        <v>858</v>
      </c>
      <c r="I13" s="20">
        <v>937</v>
      </c>
      <c r="J13" s="20">
        <v>1081</v>
      </c>
      <c r="K13" s="20">
        <v>973</v>
      </c>
      <c r="L13" s="20">
        <v>848</v>
      </c>
      <c r="M13" s="20">
        <v>867</v>
      </c>
      <c r="N13" s="20">
        <v>1035</v>
      </c>
      <c r="O13" s="20">
        <v>1136</v>
      </c>
      <c r="P13" s="20">
        <v>1093</v>
      </c>
      <c r="Q13" s="20">
        <v>953</v>
      </c>
      <c r="R13" s="20">
        <v>869</v>
      </c>
      <c r="S13" s="20">
        <v>815</v>
      </c>
      <c r="T13" s="20">
        <v>876</v>
      </c>
      <c r="U13" s="20">
        <v>934</v>
      </c>
      <c r="V13" s="20">
        <v>1016</v>
      </c>
      <c r="W13" s="20">
        <v>971</v>
      </c>
      <c r="X13" s="20">
        <v>804</v>
      </c>
      <c r="Y13" s="20">
        <v>872</v>
      </c>
      <c r="Z13" s="20">
        <v>1018</v>
      </c>
      <c r="AA13" s="20">
        <v>1183</v>
      </c>
      <c r="AB13" s="20">
        <v>1113</v>
      </c>
      <c r="AC13" s="20">
        <v>944</v>
      </c>
      <c r="AD13" s="20">
        <v>884</v>
      </c>
      <c r="AE13" s="20">
        <v>831</v>
      </c>
      <c r="AF13" s="20">
        <v>889</v>
      </c>
      <c r="AG13" s="20">
        <v>1003</v>
      </c>
      <c r="AH13" s="20">
        <v>1109</v>
      </c>
      <c r="AI13" s="20">
        <v>967</v>
      </c>
      <c r="AJ13" s="20">
        <v>878</v>
      </c>
      <c r="AK13" s="29">
        <f t="shared" ref="AK13:AL13" si="6">Y13+Y13*(AJ13-X13)/X13</f>
        <v>952.25870646766168</v>
      </c>
      <c r="AL13" s="29">
        <f t="shared" si="6"/>
        <v>1111.6965174129352</v>
      </c>
    </row>
    <row r="14" spans="1:38">
      <c r="A14" s="21" t="s">
        <v>88</v>
      </c>
      <c r="B14" s="21" t="s">
        <v>81</v>
      </c>
      <c r="C14" s="20">
        <v>436</v>
      </c>
      <c r="D14" s="20">
        <v>356</v>
      </c>
      <c r="E14" s="20">
        <v>268</v>
      </c>
      <c r="F14" s="20">
        <v>178</v>
      </c>
      <c r="G14" s="20">
        <v>85</v>
      </c>
      <c r="H14" s="20">
        <v>54</v>
      </c>
      <c r="I14" s="20">
        <v>44</v>
      </c>
      <c r="J14" s="20">
        <v>37</v>
      </c>
      <c r="K14" s="20">
        <v>46</v>
      </c>
      <c r="L14" s="20">
        <v>97</v>
      </c>
      <c r="M14" s="20">
        <v>237</v>
      </c>
      <c r="N14" s="20">
        <v>386</v>
      </c>
      <c r="O14" s="20">
        <v>403</v>
      </c>
      <c r="P14" s="20">
        <v>356</v>
      </c>
      <c r="Q14" s="20">
        <v>277</v>
      </c>
      <c r="R14" s="20">
        <v>193</v>
      </c>
      <c r="S14" s="20">
        <v>96</v>
      </c>
      <c r="T14" s="20">
        <v>54</v>
      </c>
      <c r="U14" s="20">
        <v>51</v>
      </c>
      <c r="V14" s="20">
        <v>50</v>
      </c>
      <c r="W14" s="20">
        <v>56</v>
      </c>
      <c r="X14" s="20">
        <v>131</v>
      </c>
      <c r="Y14" s="20">
        <v>246</v>
      </c>
      <c r="Z14" s="20">
        <v>438</v>
      </c>
      <c r="AA14" s="20">
        <v>506</v>
      </c>
      <c r="AB14" s="20">
        <v>362</v>
      </c>
      <c r="AC14" s="20">
        <v>262</v>
      </c>
      <c r="AD14" s="20">
        <v>154</v>
      </c>
      <c r="AE14" s="20">
        <v>108</v>
      </c>
      <c r="AF14" s="20">
        <v>63</v>
      </c>
      <c r="AG14" s="20">
        <v>48</v>
      </c>
      <c r="AH14" s="20">
        <v>41</v>
      </c>
      <c r="AI14" s="20">
        <v>52</v>
      </c>
      <c r="AJ14" s="20">
        <v>130</v>
      </c>
      <c r="AK14" s="29">
        <f t="shared" ref="AK14:AL14" si="7">Y14+Y14*(AJ14-X14)/X14</f>
        <v>244.12213740458014</v>
      </c>
      <c r="AL14" s="29">
        <f t="shared" si="7"/>
        <v>434.6564885496183</v>
      </c>
    </row>
    <row r="15" spans="1:38">
      <c r="A15" s="23" t="s">
        <v>82</v>
      </c>
      <c r="B15" s="21" t="s">
        <v>83</v>
      </c>
      <c r="C15" s="20">
        <v>55</v>
      </c>
      <c r="D15" s="20">
        <v>44</v>
      </c>
      <c r="E15" s="20">
        <v>28</v>
      </c>
      <c r="F15" s="20">
        <v>17</v>
      </c>
      <c r="G15" s="20">
        <v>15</v>
      </c>
      <c r="H15" s="20">
        <v>19</v>
      </c>
      <c r="I15" s="20">
        <v>30</v>
      </c>
      <c r="J15" s="20">
        <v>35</v>
      </c>
      <c r="K15" s="20">
        <v>20</v>
      </c>
      <c r="L15" s="20">
        <v>12</v>
      </c>
      <c r="M15" s="20">
        <v>26</v>
      </c>
      <c r="N15" s="20">
        <v>48</v>
      </c>
      <c r="O15" s="20">
        <v>49</v>
      </c>
      <c r="P15" s="20">
        <v>43</v>
      </c>
      <c r="Q15" s="20">
        <v>29</v>
      </c>
      <c r="R15" s="20">
        <v>16</v>
      </c>
      <c r="S15" s="20">
        <v>13</v>
      </c>
      <c r="T15" s="20">
        <v>24</v>
      </c>
      <c r="U15" s="20">
        <v>29</v>
      </c>
      <c r="V15" s="20">
        <v>37</v>
      </c>
      <c r="W15" s="20">
        <v>20</v>
      </c>
      <c r="X15" s="20">
        <v>12</v>
      </c>
      <c r="Y15" s="20">
        <v>26</v>
      </c>
      <c r="Z15" s="20">
        <v>54</v>
      </c>
      <c r="AA15" s="20">
        <v>68</v>
      </c>
      <c r="AB15" s="20">
        <v>46</v>
      </c>
      <c r="AC15" s="20">
        <v>30</v>
      </c>
      <c r="AD15" s="20">
        <v>16</v>
      </c>
      <c r="AE15" s="20">
        <v>17</v>
      </c>
      <c r="AF15" s="20">
        <v>31</v>
      </c>
      <c r="AG15" s="20">
        <v>50</v>
      </c>
      <c r="AH15" s="20">
        <v>46</v>
      </c>
      <c r="AI15" s="20">
        <v>30</v>
      </c>
      <c r="AJ15" s="20">
        <v>13</v>
      </c>
      <c r="AK15" s="29">
        <f t="shared" ref="AK15:AL15" si="8">Y15+Y15*(AJ15-X15)/X15</f>
        <v>28.166666666666668</v>
      </c>
      <c r="AL15" s="29">
        <f t="shared" si="8"/>
        <v>58.5</v>
      </c>
    </row>
    <row r="16" spans="1:38">
      <c r="A16" s="21" t="s">
        <v>89</v>
      </c>
      <c r="B16" s="21" t="s">
        <v>81</v>
      </c>
      <c r="C16" s="20">
        <v>40</v>
      </c>
      <c r="D16" s="20">
        <v>39</v>
      </c>
      <c r="E16" s="20">
        <v>34</v>
      </c>
      <c r="F16" s="20">
        <v>36</v>
      </c>
      <c r="G16" s="20">
        <v>33</v>
      </c>
      <c r="H16" s="20">
        <v>34</v>
      </c>
      <c r="I16" s="20">
        <v>36</v>
      </c>
      <c r="J16" s="20">
        <v>48</v>
      </c>
      <c r="K16" s="20">
        <v>42</v>
      </c>
      <c r="L16" s="20">
        <v>34</v>
      </c>
      <c r="M16" s="20">
        <v>35</v>
      </c>
      <c r="N16" s="20">
        <v>37</v>
      </c>
      <c r="O16" s="20">
        <v>51</v>
      </c>
      <c r="P16" s="20">
        <v>51</v>
      </c>
      <c r="Q16" s="20">
        <v>48</v>
      </c>
      <c r="R16" s="20">
        <v>48</v>
      </c>
      <c r="S16" s="20">
        <v>45</v>
      </c>
      <c r="T16" s="20">
        <v>47</v>
      </c>
      <c r="U16" s="20">
        <v>49</v>
      </c>
      <c r="V16" s="20">
        <v>58</v>
      </c>
      <c r="W16" s="20">
        <v>62</v>
      </c>
      <c r="X16" s="20">
        <v>46</v>
      </c>
      <c r="Y16" s="20">
        <v>48</v>
      </c>
      <c r="Z16" s="20">
        <v>50</v>
      </c>
      <c r="AA16" s="20">
        <v>60</v>
      </c>
      <c r="AB16" s="20">
        <v>57</v>
      </c>
      <c r="AC16" s="20">
        <v>49</v>
      </c>
      <c r="AD16" s="20">
        <v>51</v>
      </c>
      <c r="AE16" s="20">
        <v>48</v>
      </c>
      <c r="AF16" s="20">
        <v>50</v>
      </c>
      <c r="AG16" s="20">
        <v>58</v>
      </c>
      <c r="AH16" s="20">
        <v>78</v>
      </c>
      <c r="AI16" s="20">
        <v>60</v>
      </c>
      <c r="AJ16" s="20">
        <v>51</v>
      </c>
      <c r="AK16" s="29">
        <f t="shared" ref="AK16:AL16" si="9">Y16+Y16*(AJ16-X16)/X16</f>
        <v>53.217391304347828</v>
      </c>
      <c r="AL16" s="29">
        <f t="shared" si="9"/>
        <v>55.434782608695656</v>
      </c>
    </row>
    <row r="17" spans="1:38">
      <c r="A17" s="24" t="s">
        <v>82</v>
      </c>
      <c r="B17" s="22" t="s">
        <v>83</v>
      </c>
      <c r="C17" s="20">
        <v>14</v>
      </c>
      <c r="D17" s="20">
        <v>13</v>
      </c>
      <c r="E17" s="20">
        <v>11</v>
      </c>
      <c r="F17" s="20">
        <v>10</v>
      </c>
      <c r="G17" s="20">
        <v>10</v>
      </c>
      <c r="H17" s="20">
        <v>10</v>
      </c>
      <c r="I17" s="20">
        <v>11</v>
      </c>
      <c r="J17" s="20">
        <v>12</v>
      </c>
      <c r="K17" s="20">
        <v>11</v>
      </c>
      <c r="L17" s="20">
        <v>10</v>
      </c>
      <c r="M17" s="20">
        <v>10</v>
      </c>
      <c r="N17" s="20">
        <v>12</v>
      </c>
      <c r="O17" s="20">
        <v>16</v>
      </c>
      <c r="P17" s="20">
        <v>16</v>
      </c>
      <c r="Q17" s="20">
        <v>14</v>
      </c>
      <c r="R17" s="20">
        <v>12</v>
      </c>
      <c r="S17" s="20">
        <v>12</v>
      </c>
      <c r="T17" s="20">
        <v>13</v>
      </c>
      <c r="U17" s="20">
        <v>13</v>
      </c>
      <c r="V17" s="20">
        <v>15</v>
      </c>
      <c r="W17" s="20">
        <v>14</v>
      </c>
      <c r="X17" s="20">
        <v>12</v>
      </c>
      <c r="Y17" s="20">
        <v>12</v>
      </c>
      <c r="Z17" s="20">
        <v>15</v>
      </c>
      <c r="AA17" s="20">
        <v>20</v>
      </c>
      <c r="AB17" s="20">
        <v>19</v>
      </c>
      <c r="AC17" s="20">
        <v>17</v>
      </c>
      <c r="AD17" s="20">
        <v>16</v>
      </c>
      <c r="AE17" s="20">
        <v>15</v>
      </c>
      <c r="AF17" s="20">
        <v>16</v>
      </c>
      <c r="AG17" s="20">
        <v>17</v>
      </c>
      <c r="AH17" s="20">
        <v>19</v>
      </c>
      <c r="AI17" s="20">
        <v>17</v>
      </c>
      <c r="AJ17" s="20">
        <v>15</v>
      </c>
      <c r="AK17" s="29">
        <f t="shared" ref="AK17:AL17" si="10">Y17+Y17*(AJ17-X17)/X17</f>
        <v>15</v>
      </c>
      <c r="AL17" s="29">
        <f t="shared" si="10"/>
        <v>18.75</v>
      </c>
    </row>
    <row r="19" spans="1:38">
      <c r="A19" s="18" t="s">
        <v>54</v>
      </c>
      <c r="B19" s="18" t="s">
        <v>55</v>
      </c>
      <c r="C19" s="25">
        <v>2019</v>
      </c>
      <c r="D19" s="25">
        <v>2020</v>
      </c>
      <c r="E19" s="25">
        <v>2021</v>
      </c>
      <c r="F19" t="s">
        <v>90</v>
      </c>
      <c r="G19" s="18" t="s">
        <v>54</v>
      </c>
      <c r="H19" s="18" t="s">
        <v>55</v>
      </c>
      <c r="I19" s="27">
        <v>2019</v>
      </c>
      <c r="J19" s="27">
        <v>2020</v>
      </c>
      <c r="K19" s="25">
        <v>2021</v>
      </c>
      <c r="L19" t="s">
        <v>91</v>
      </c>
    </row>
    <row r="20" spans="1:38">
      <c r="A20" s="21" t="s">
        <v>80</v>
      </c>
      <c r="B20" s="21" t="s">
        <v>81</v>
      </c>
      <c r="C20" s="17">
        <f>SUM(C4:N4)</f>
        <v>22567</v>
      </c>
      <c r="D20" s="17">
        <f>SUM(D4:O4)</f>
        <v>22211</v>
      </c>
      <c r="E20" s="17">
        <f>SUM(AA4:AL4)</f>
        <v>23704.455724820378</v>
      </c>
      <c r="G20" s="21" t="s">
        <v>80</v>
      </c>
      <c r="H20" s="21" t="s">
        <v>81</v>
      </c>
      <c r="I20" s="30">
        <f>C20*About!$B$30*10^9</f>
        <v>895528517700000.13</v>
      </c>
      <c r="J20" s="30">
        <f>D20*About!$B$30*10^9</f>
        <v>881401334100000.13</v>
      </c>
      <c r="K20" s="30">
        <f>E20*About!$B$30*10^9</f>
        <v>940666286973619.63</v>
      </c>
    </row>
    <row r="21" spans="1:38">
      <c r="A21" s="23" t="s">
        <v>82</v>
      </c>
      <c r="B21" s="21" t="s">
        <v>83</v>
      </c>
      <c r="C21" s="17">
        <f>SUM(C5:N5)+B46</f>
        <v>22888</v>
      </c>
      <c r="D21" s="17">
        <f>SUM(D5:O5)+C46</f>
        <v>22586</v>
      </c>
      <c r="E21" s="17">
        <f>SUM(E5:P5)+D46</f>
        <v>22760.5431348325</v>
      </c>
      <c r="G21" s="23" t="s">
        <v>82</v>
      </c>
      <c r="H21" s="21" t="s">
        <v>83</v>
      </c>
      <c r="I21" s="30">
        <f>C21*About!$B$30*10^9</f>
        <v>908266792800000</v>
      </c>
      <c r="J21" s="30">
        <f>D21*About!$B$30*10^9</f>
        <v>896282496600000.13</v>
      </c>
      <c r="K21" s="30">
        <f>E21*About!$B$30*10^9</f>
        <v>903208909273871.63</v>
      </c>
    </row>
    <row r="22" spans="1:38">
      <c r="A22" s="21" t="s">
        <v>84</v>
      </c>
      <c r="B22" s="21" t="s">
        <v>81</v>
      </c>
      <c r="C22" s="17">
        <f t="shared" ref="C22:D32" si="11">SUM(C6:N6)</f>
        <v>306</v>
      </c>
      <c r="D22" s="17">
        <f t="shared" si="11"/>
        <v>288</v>
      </c>
      <c r="E22" s="17">
        <f>SUM(AA6:AL6)</f>
        <v>198</v>
      </c>
      <c r="G22" s="21" t="s">
        <v>84</v>
      </c>
      <c r="H22" s="21" t="s">
        <v>81</v>
      </c>
      <c r="I22" s="30">
        <f>C22*About!$B$30*10^9</f>
        <v>12143028600000.002</v>
      </c>
      <c r="J22" s="30">
        <f>D22*About!$B$30*10^9</f>
        <v>11428732800000.002</v>
      </c>
      <c r="K22" s="30">
        <f>E22*About!$B$30*10^9</f>
        <v>7857253800000</v>
      </c>
    </row>
    <row r="23" spans="1:38">
      <c r="A23" s="23" t="s">
        <v>82</v>
      </c>
      <c r="B23" s="21" t="s">
        <v>83</v>
      </c>
      <c r="C23" s="17">
        <f t="shared" si="11"/>
        <v>0</v>
      </c>
      <c r="D23" s="17">
        <f t="shared" si="11"/>
        <v>0</v>
      </c>
      <c r="E23" s="17">
        <f>SUM(E7:P7)</f>
        <v>0</v>
      </c>
      <c r="G23" s="23" t="s">
        <v>82</v>
      </c>
      <c r="H23" s="21" t="s">
        <v>83</v>
      </c>
      <c r="I23" s="30">
        <f>C23*About!$B$30*10^9</f>
        <v>0</v>
      </c>
      <c r="J23" s="30">
        <f>D23*About!$B$30*10^9</f>
        <v>0</v>
      </c>
      <c r="K23" s="30">
        <f>E23*About!$B$30*10^9</f>
        <v>0</v>
      </c>
    </row>
    <row r="24" spans="1:38">
      <c r="A24" s="21" t="s">
        <v>85</v>
      </c>
      <c r="B24" s="21" t="s">
        <v>81</v>
      </c>
      <c r="C24" s="17">
        <f t="shared" si="11"/>
        <v>3051</v>
      </c>
      <c r="D24" s="17">
        <f t="shared" si="11"/>
        <v>2877</v>
      </c>
      <c r="E24" s="17">
        <f>SUM(AA8:AL8)</f>
        <v>2871.7653061224491</v>
      </c>
      <c r="G24" s="21" t="s">
        <v>85</v>
      </c>
      <c r="H24" s="21" t="s">
        <v>81</v>
      </c>
      <c r="I24" s="30">
        <f>C24*About!$B$30*10^9</f>
        <v>121073138100000.02</v>
      </c>
      <c r="J24" s="30">
        <f>D24*About!$B$30*10^9</f>
        <v>114168278700000.02</v>
      </c>
      <c r="K24" s="30">
        <f>E24*About!$B$30*10^9</f>
        <v>113960549819387.77</v>
      </c>
    </row>
    <row r="25" spans="1:38">
      <c r="A25" s="23" t="s">
        <v>82</v>
      </c>
      <c r="B25" s="21" t="s">
        <v>83</v>
      </c>
      <c r="C25" s="17">
        <f>SUM(C9:N9)+B47</f>
        <v>3053</v>
      </c>
      <c r="D25" s="17">
        <f>SUM(D9:O9)+C47</f>
        <v>2867</v>
      </c>
      <c r="E25" s="17">
        <f>SUM(E9:P9)+D47</f>
        <v>2821.7816091954023</v>
      </c>
      <c r="G25" s="23" t="s">
        <v>82</v>
      </c>
      <c r="H25" s="21" t="s">
        <v>83</v>
      </c>
      <c r="I25" s="30">
        <f>C25*About!$B$30*10^9</f>
        <v>121152504300000.02</v>
      </c>
      <c r="J25" s="30">
        <f>D25*About!$B$30*10^9</f>
        <v>113771447700000</v>
      </c>
      <c r="K25" s="30">
        <f>E25*About!$B$30*10^9</f>
        <v>111977041775862.08</v>
      </c>
    </row>
    <row r="26" spans="1:38">
      <c r="A26" s="21" t="s">
        <v>86</v>
      </c>
      <c r="B26" s="21" t="s">
        <v>81</v>
      </c>
      <c r="C26" s="17">
        <f t="shared" si="11"/>
        <v>10479</v>
      </c>
      <c r="D26" s="17">
        <f t="shared" si="11"/>
        <v>10335</v>
      </c>
      <c r="E26" s="17">
        <f>SUM(AA10:AL10)</f>
        <v>10848.48368522073</v>
      </c>
      <c r="G26" s="21" t="s">
        <v>86</v>
      </c>
      <c r="H26" s="21" t="s">
        <v>81</v>
      </c>
      <c r="I26" s="30">
        <f>C26*About!$B$30*10^9</f>
        <v>415839204900000</v>
      </c>
      <c r="J26" s="30">
        <f>D26*About!$B$30*10^9</f>
        <v>410124838500000</v>
      </c>
      <c r="K26" s="30">
        <f>E26*About!$B$30*10^9</f>
        <v>430501462928982.81</v>
      </c>
    </row>
    <row r="27" spans="1:38">
      <c r="A27" s="23" t="s">
        <v>82</v>
      </c>
      <c r="B27" s="21" t="s">
        <v>83</v>
      </c>
      <c r="C27" s="17">
        <f>SUM(C11:N11)+B48</f>
        <v>3709</v>
      </c>
      <c r="D27" s="17">
        <f>SUM(D11:O11)+C48</f>
        <v>3643</v>
      </c>
      <c r="E27" s="17">
        <f>SUM(E11:P11)+D48</f>
        <v>3632.3333333333335</v>
      </c>
      <c r="G27" s="23" t="s">
        <v>82</v>
      </c>
      <c r="H27" s="21" t="s">
        <v>83</v>
      </c>
      <c r="I27" s="30">
        <f>C27*About!$B$30*10^9</f>
        <v>147184617900000</v>
      </c>
      <c r="J27" s="30">
        <f>D27*About!$B$30*10^9</f>
        <v>144565533300000</v>
      </c>
      <c r="K27" s="30">
        <f>E27*About!$B$30*10^9</f>
        <v>144142246900000.03</v>
      </c>
    </row>
    <row r="28" spans="1:38">
      <c r="A28" s="21" t="s">
        <v>87</v>
      </c>
      <c r="B28" s="21" t="s">
        <v>81</v>
      </c>
      <c r="C28" s="17">
        <f t="shared" si="11"/>
        <v>6059</v>
      </c>
      <c r="D28" s="17">
        <f t="shared" si="11"/>
        <v>6060</v>
      </c>
      <c r="E28" s="17">
        <f>SUM(AA12:AL12)</f>
        <v>6709.7759336099589</v>
      </c>
      <c r="G28" s="21" t="s">
        <v>87</v>
      </c>
      <c r="H28" s="21" t="s">
        <v>81</v>
      </c>
      <c r="I28" s="30">
        <f>C28*About!$B$30*10^9</f>
        <v>240439902900000</v>
      </c>
      <c r="J28" s="30">
        <f>D28*About!$B$30*10^9</f>
        <v>240479586000000</v>
      </c>
      <c r="K28" s="30">
        <f>E28*About!$B$30*10^9</f>
        <v>266264709351037.41</v>
      </c>
    </row>
    <row r="29" spans="1:38">
      <c r="A29" s="23" t="s">
        <v>82</v>
      </c>
      <c r="B29" s="21" t="s">
        <v>83</v>
      </c>
      <c r="C29" s="17">
        <f>SUM(C13:N13)+B49</f>
        <v>14372</v>
      </c>
      <c r="D29" s="17">
        <f>SUM(D13:O13)+C49</f>
        <v>14243</v>
      </c>
      <c r="E29" s="17">
        <f>SUM(E13:P13)+D49</f>
        <v>14369.366336633662</v>
      </c>
      <c r="G29" s="23" t="s">
        <v>82</v>
      </c>
      <c r="H29" s="21" t="s">
        <v>83</v>
      </c>
      <c r="I29" s="30">
        <f>C29*About!$B$30*10^9</f>
        <v>570325513200000</v>
      </c>
      <c r="J29" s="30">
        <f>D29*About!$B$30*10^9</f>
        <v>565206393300000</v>
      </c>
      <c r="K29" s="30">
        <f>E29*About!$B$30*10^9</f>
        <v>570221001273267.38</v>
      </c>
    </row>
    <row r="30" spans="1:38">
      <c r="A30" s="21" t="s">
        <v>88</v>
      </c>
      <c r="B30" s="21" t="s">
        <v>81</v>
      </c>
      <c r="C30" s="17">
        <f t="shared" si="11"/>
        <v>2224</v>
      </c>
      <c r="D30" s="17">
        <f t="shared" si="11"/>
        <v>2191</v>
      </c>
      <c r="E30" s="17">
        <f>SUM(AA14:AL14)</f>
        <v>2404.7786259541986</v>
      </c>
      <c r="G30" s="21" t="s">
        <v>88</v>
      </c>
      <c r="H30" s="21" t="s">
        <v>81</v>
      </c>
      <c r="I30" s="30">
        <f>C30*About!$B$30*10^9</f>
        <v>88255214400000.016</v>
      </c>
      <c r="J30" s="30">
        <f>D30*About!$B$30*10^9</f>
        <v>86945672100000.016</v>
      </c>
      <c r="K30" s="30">
        <f>E30*About!$B$30*10^9</f>
        <v>95429070691603.063</v>
      </c>
    </row>
    <row r="31" spans="1:38">
      <c r="A31" s="23" t="s">
        <v>82</v>
      </c>
      <c r="B31" s="21" t="s">
        <v>83</v>
      </c>
      <c r="C31" s="17">
        <f>SUM(C15:N15)+B50</f>
        <v>425</v>
      </c>
      <c r="D31" s="17">
        <f>SUM(D15:O15)+C50</f>
        <v>409</v>
      </c>
      <c r="E31" s="17">
        <f>SUM(E15:P15)+D50</f>
        <v>412</v>
      </c>
      <c r="G31" s="23" t="s">
        <v>82</v>
      </c>
      <c r="H31" s="21" t="s">
        <v>83</v>
      </c>
      <c r="I31" s="30">
        <f>C31*About!$B$30*10^9</f>
        <v>16865317500000.002</v>
      </c>
      <c r="J31" s="30">
        <f>D31*About!$B$30*10^9</f>
        <v>16230387900000.002</v>
      </c>
      <c r="K31" s="30">
        <f>E31*About!$B$30*10^9</f>
        <v>16349437200000.002</v>
      </c>
    </row>
    <row r="32" spans="1:38">
      <c r="A32" s="21" t="s">
        <v>89</v>
      </c>
      <c r="B32" s="21" t="s">
        <v>81</v>
      </c>
      <c r="C32" s="17">
        <f t="shared" si="11"/>
        <v>448</v>
      </c>
      <c r="D32" s="17">
        <f t="shared" si="11"/>
        <v>459</v>
      </c>
      <c r="E32" s="17">
        <f>SUM(AA16:AL16)</f>
        <v>670.6521739130435</v>
      </c>
      <c r="G32" s="21" t="s">
        <v>89</v>
      </c>
      <c r="H32" s="21" t="s">
        <v>81</v>
      </c>
      <c r="I32" s="30">
        <f>C32*About!$B$30*10^9</f>
        <v>17778028800000</v>
      </c>
      <c r="J32" s="30">
        <f>D32*About!$B$30*10^9</f>
        <v>18214542900000</v>
      </c>
      <c r="K32" s="30">
        <f>E32*About!$B$30*10^9</f>
        <v>26613557282608.699</v>
      </c>
    </row>
    <row r="33" spans="1:37">
      <c r="A33" s="24" t="s">
        <v>82</v>
      </c>
      <c r="B33" s="22" t="s">
        <v>83</v>
      </c>
      <c r="C33" s="17">
        <f>SUM(C17:N17)+B51</f>
        <v>1340</v>
      </c>
      <c r="D33" s="17">
        <f>SUM(D17:O17)+C51</f>
        <v>1430</v>
      </c>
      <c r="E33" s="17">
        <f>SUM(E17:P17)+D51</f>
        <v>1534.0618556701031</v>
      </c>
      <c r="G33" s="24" t="s">
        <v>82</v>
      </c>
      <c r="H33" s="22" t="s">
        <v>83</v>
      </c>
      <c r="I33" s="30">
        <f>C33*About!$B$30*10^9</f>
        <v>53175354000000.008</v>
      </c>
      <c r="J33" s="30">
        <f>D33*About!$B$30*10^9</f>
        <v>56746833000000.008</v>
      </c>
      <c r="K33" s="30">
        <f>E33*About!$B$30*10^9</f>
        <v>60876330024742.273</v>
      </c>
    </row>
    <row r="34" spans="1:37">
      <c r="A34" s="37"/>
      <c r="B34" s="37"/>
      <c r="C34" s="17"/>
      <c r="D34" s="17"/>
      <c r="E34" s="17"/>
      <c r="G34" s="37"/>
      <c r="H34" s="37"/>
      <c r="I34" s="30"/>
      <c r="J34" s="30"/>
      <c r="K34" s="30"/>
    </row>
    <row r="35" spans="1:37">
      <c r="A35" t="s">
        <v>130</v>
      </c>
      <c r="B35" s="37"/>
      <c r="C35" s="17"/>
      <c r="D35" s="17"/>
      <c r="E35" s="17"/>
      <c r="G35" s="37"/>
      <c r="H35" s="37"/>
      <c r="I35" s="30"/>
      <c r="J35" s="30"/>
      <c r="K35" s="30"/>
    </row>
    <row r="36" spans="1:37">
      <c r="A36" t="s">
        <v>129</v>
      </c>
    </row>
    <row r="37" spans="1:37">
      <c r="A37" s="18" t="s">
        <v>54</v>
      </c>
      <c r="B37" s="19" t="s">
        <v>56</v>
      </c>
      <c r="C37" s="19" t="s">
        <v>57</v>
      </c>
      <c r="D37" s="19" t="s">
        <v>58</v>
      </c>
      <c r="E37" s="19" t="s">
        <v>59</v>
      </c>
      <c r="F37" s="19" t="s">
        <v>60</v>
      </c>
      <c r="G37" s="19" t="s">
        <v>61</v>
      </c>
      <c r="H37" s="19" t="s">
        <v>62</v>
      </c>
      <c r="I37" s="19" t="s">
        <v>63</v>
      </c>
      <c r="J37" s="19" t="s">
        <v>64</v>
      </c>
      <c r="K37" s="19" t="s">
        <v>65</v>
      </c>
      <c r="L37" s="19" t="s">
        <v>66</v>
      </c>
      <c r="M37" s="19" t="s">
        <v>67</v>
      </c>
      <c r="N37" s="19" t="s">
        <v>68</v>
      </c>
      <c r="O37" s="19" t="s">
        <v>69</v>
      </c>
      <c r="P37" s="19" t="s">
        <v>70</v>
      </c>
      <c r="Q37" s="19" t="s">
        <v>71</v>
      </c>
      <c r="R37" s="19" t="s">
        <v>72</v>
      </c>
      <c r="S37" s="19" t="s">
        <v>73</v>
      </c>
      <c r="T37" s="19" t="s">
        <v>74</v>
      </c>
      <c r="U37" s="19" t="s">
        <v>75</v>
      </c>
      <c r="V37" s="19" t="s">
        <v>76</v>
      </c>
      <c r="W37" s="19" t="s">
        <v>77</v>
      </c>
      <c r="X37" s="19" t="s">
        <v>78</v>
      </c>
      <c r="Y37" s="19" t="s">
        <v>79</v>
      </c>
      <c r="Z37" s="19" t="s">
        <v>93</v>
      </c>
      <c r="AA37" s="19" t="s">
        <v>94</v>
      </c>
      <c r="AB37" s="19" t="s">
        <v>95</v>
      </c>
      <c r="AC37" s="19" t="s">
        <v>96</v>
      </c>
      <c r="AD37" s="19" t="s">
        <v>97</v>
      </c>
      <c r="AE37" s="19" t="s">
        <v>98</v>
      </c>
      <c r="AF37" s="19" t="s">
        <v>99</v>
      </c>
      <c r="AG37" s="19" t="s">
        <v>100</v>
      </c>
      <c r="AH37" s="19" t="s">
        <v>101</v>
      </c>
      <c r="AI37" s="19" t="s">
        <v>102</v>
      </c>
      <c r="AJ37" s="28" t="s">
        <v>103</v>
      </c>
      <c r="AK37" s="28" t="s">
        <v>104</v>
      </c>
    </row>
    <row r="38" spans="1:37">
      <c r="A38" s="21" t="s">
        <v>80</v>
      </c>
      <c r="B38" s="20">
        <v>579</v>
      </c>
      <c r="C38" s="20">
        <v>485</v>
      </c>
      <c r="D38" s="20">
        <v>457</v>
      </c>
      <c r="E38" s="20">
        <v>436</v>
      </c>
      <c r="F38" s="20">
        <v>390</v>
      </c>
      <c r="G38" s="20">
        <v>400</v>
      </c>
      <c r="H38" s="20">
        <v>429</v>
      </c>
      <c r="I38" s="20">
        <v>457</v>
      </c>
      <c r="J38" s="20">
        <v>420</v>
      </c>
      <c r="K38" s="20">
        <v>402</v>
      </c>
      <c r="L38" s="20">
        <v>432</v>
      </c>
      <c r="M38" s="20">
        <v>513</v>
      </c>
      <c r="N38" s="20">
        <v>526</v>
      </c>
      <c r="O38" s="20">
        <v>482</v>
      </c>
      <c r="P38" s="20">
        <v>435</v>
      </c>
      <c r="Q38" s="20">
        <v>394</v>
      </c>
      <c r="R38" s="20">
        <v>377</v>
      </c>
      <c r="S38" s="20">
        <v>404</v>
      </c>
      <c r="T38" s="20">
        <v>420</v>
      </c>
      <c r="U38" s="20">
        <v>432</v>
      </c>
      <c r="V38" s="20">
        <v>448</v>
      </c>
      <c r="W38" s="20">
        <v>391</v>
      </c>
      <c r="X38" s="20">
        <v>430</v>
      </c>
      <c r="Y38" s="20">
        <v>512</v>
      </c>
      <c r="Z38" s="20">
        <v>562</v>
      </c>
      <c r="AA38" s="20">
        <v>492</v>
      </c>
      <c r="AB38" s="20">
        <v>470</v>
      </c>
      <c r="AC38" s="20">
        <v>415</v>
      </c>
      <c r="AD38" s="20">
        <v>394</v>
      </c>
      <c r="AE38" s="20">
        <v>418</v>
      </c>
      <c r="AF38" s="20">
        <v>452</v>
      </c>
      <c r="AG38" s="20">
        <v>458</v>
      </c>
      <c r="AH38" s="20">
        <v>432</v>
      </c>
      <c r="AI38" s="20">
        <v>414</v>
      </c>
      <c r="AJ38">
        <f>SUM(AJ39:AJ43)</f>
        <v>453.26209407289821</v>
      </c>
      <c r="AK38">
        <f>SUM(AK39:AK43)</f>
        <v>542.28104075960391</v>
      </c>
    </row>
    <row r="39" spans="1:37">
      <c r="A39" s="21" t="s">
        <v>85</v>
      </c>
      <c r="B39" s="20">
        <v>163</v>
      </c>
      <c r="C39" s="20">
        <v>115</v>
      </c>
      <c r="D39" s="20">
        <v>108</v>
      </c>
      <c r="E39" s="20">
        <v>103</v>
      </c>
      <c r="F39" s="20">
        <v>96</v>
      </c>
      <c r="G39" s="20">
        <v>97</v>
      </c>
      <c r="H39" s="20">
        <v>90</v>
      </c>
      <c r="I39" s="20">
        <v>96</v>
      </c>
      <c r="J39" s="20">
        <v>78</v>
      </c>
      <c r="K39" s="20">
        <v>98</v>
      </c>
      <c r="L39" s="20">
        <v>112</v>
      </c>
      <c r="M39" s="20">
        <v>122</v>
      </c>
      <c r="N39" s="20">
        <v>116</v>
      </c>
      <c r="O39" s="20">
        <v>104</v>
      </c>
      <c r="P39" s="20">
        <v>99</v>
      </c>
      <c r="Q39" s="20">
        <v>90</v>
      </c>
      <c r="R39" s="20">
        <v>90</v>
      </c>
      <c r="S39" s="20">
        <v>93</v>
      </c>
      <c r="T39" s="20">
        <v>82</v>
      </c>
      <c r="U39" s="20">
        <v>68</v>
      </c>
      <c r="V39" s="20">
        <v>93</v>
      </c>
      <c r="W39" s="20">
        <v>87</v>
      </c>
      <c r="X39" s="20">
        <v>98</v>
      </c>
      <c r="Y39" s="20">
        <v>110</v>
      </c>
      <c r="Z39" s="20">
        <v>121</v>
      </c>
      <c r="AA39" s="20">
        <v>97</v>
      </c>
      <c r="AB39" s="20">
        <v>106</v>
      </c>
      <c r="AC39" s="20">
        <v>80</v>
      </c>
      <c r="AD39" s="20">
        <v>86</v>
      </c>
      <c r="AE39" s="20">
        <v>80</v>
      </c>
      <c r="AF39" s="20">
        <v>79</v>
      </c>
      <c r="AG39" s="20">
        <v>80</v>
      </c>
      <c r="AH39" s="20">
        <v>75</v>
      </c>
      <c r="AI39" s="20">
        <v>89</v>
      </c>
      <c r="AJ39">
        <f t="shared" ref="AJ39:AJ43" si="12">X39+X39*(AI39-W39)/W39</f>
        <v>100.25287356321839</v>
      </c>
      <c r="AK39">
        <f t="shared" ref="AK39:AK43" si="13">Y39+Y39*(AJ39-X39)/X39</f>
        <v>112.52873563218391</v>
      </c>
    </row>
    <row r="40" spans="1:37">
      <c r="A40" s="21" t="s">
        <v>86</v>
      </c>
      <c r="B40" s="20">
        <v>14</v>
      </c>
      <c r="C40" s="20">
        <v>12</v>
      </c>
      <c r="D40" s="20">
        <v>8</v>
      </c>
      <c r="E40" s="20">
        <v>5</v>
      </c>
      <c r="F40" s="20">
        <v>3</v>
      </c>
      <c r="G40" s="20">
        <v>3</v>
      </c>
      <c r="H40" s="20">
        <v>4</v>
      </c>
      <c r="I40" s="20">
        <v>5</v>
      </c>
      <c r="J40" s="20">
        <v>4</v>
      </c>
      <c r="K40" s="20">
        <v>3</v>
      </c>
      <c r="L40" s="20">
        <v>6</v>
      </c>
      <c r="M40" s="20">
        <v>12</v>
      </c>
      <c r="N40" s="20">
        <v>12</v>
      </c>
      <c r="O40" s="20">
        <v>10</v>
      </c>
      <c r="P40" s="20">
        <v>7</v>
      </c>
      <c r="Q40" s="20">
        <v>4</v>
      </c>
      <c r="R40" s="20">
        <v>2</v>
      </c>
      <c r="S40" s="20">
        <v>3</v>
      </c>
      <c r="T40" s="20">
        <v>4</v>
      </c>
      <c r="U40" s="20">
        <v>4</v>
      </c>
      <c r="V40" s="20">
        <v>4</v>
      </c>
      <c r="W40" s="20">
        <v>3</v>
      </c>
      <c r="X40" s="20">
        <v>5</v>
      </c>
      <c r="Y40" s="20">
        <v>11</v>
      </c>
      <c r="Z40" s="20">
        <v>14</v>
      </c>
      <c r="AA40" s="20">
        <v>11</v>
      </c>
      <c r="AB40" s="20">
        <v>8</v>
      </c>
      <c r="AC40" s="20">
        <v>5</v>
      </c>
      <c r="AD40" s="20">
        <v>3</v>
      </c>
      <c r="AE40" s="20">
        <v>5</v>
      </c>
      <c r="AF40" s="20">
        <v>7</v>
      </c>
      <c r="AG40" s="20">
        <v>7</v>
      </c>
      <c r="AH40" s="20">
        <v>5</v>
      </c>
      <c r="AI40" s="20">
        <v>4</v>
      </c>
      <c r="AJ40">
        <f t="shared" si="12"/>
        <v>6.666666666666667</v>
      </c>
      <c r="AK40">
        <f t="shared" si="13"/>
        <v>14.666666666666668</v>
      </c>
    </row>
    <row r="41" spans="1:37">
      <c r="A41" s="21" t="s">
        <v>87</v>
      </c>
      <c r="B41" s="20">
        <v>271</v>
      </c>
      <c r="C41" s="20">
        <v>243</v>
      </c>
      <c r="D41" s="20">
        <v>233</v>
      </c>
      <c r="E41" s="20">
        <v>225</v>
      </c>
      <c r="F41" s="20">
        <v>200</v>
      </c>
      <c r="G41" s="20">
        <v>207</v>
      </c>
      <c r="H41" s="20">
        <v>230</v>
      </c>
      <c r="I41" s="20">
        <v>244</v>
      </c>
      <c r="J41" s="20">
        <v>233</v>
      </c>
      <c r="K41" s="20">
        <v>208</v>
      </c>
      <c r="L41" s="20">
        <v>215</v>
      </c>
      <c r="M41" s="20">
        <v>256</v>
      </c>
      <c r="N41" s="20">
        <v>262</v>
      </c>
      <c r="O41" s="20">
        <v>242</v>
      </c>
      <c r="P41" s="20">
        <v>218</v>
      </c>
      <c r="Q41" s="20">
        <v>199</v>
      </c>
      <c r="R41" s="20">
        <v>191</v>
      </c>
      <c r="S41" s="20">
        <v>206</v>
      </c>
      <c r="T41" s="20">
        <v>224</v>
      </c>
      <c r="U41" s="20">
        <v>240</v>
      </c>
      <c r="V41" s="20">
        <v>235</v>
      </c>
      <c r="W41" s="20">
        <v>202</v>
      </c>
      <c r="X41" s="20">
        <v>216</v>
      </c>
      <c r="Y41" s="20">
        <v>256</v>
      </c>
      <c r="Z41" s="20">
        <v>284</v>
      </c>
      <c r="AA41" s="20">
        <v>254</v>
      </c>
      <c r="AB41" s="20">
        <v>234</v>
      </c>
      <c r="AC41" s="20">
        <v>220</v>
      </c>
      <c r="AD41" s="20">
        <v>204</v>
      </c>
      <c r="AE41" s="20">
        <v>222</v>
      </c>
      <c r="AF41" s="20">
        <v>243</v>
      </c>
      <c r="AG41" s="20">
        <v>244</v>
      </c>
      <c r="AH41" s="20">
        <v>230</v>
      </c>
      <c r="AI41" s="20">
        <v>212</v>
      </c>
      <c r="AJ41">
        <f t="shared" si="12"/>
        <v>226.69306930693068</v>
      </c>
      <c r="AK41">
        <f t="shared" si="13"/>
        <v>268.67326732673268</v>
      </c>
    </row>
    <row r="42" spans="1:37">
      <c r="A42" s="21" t="s">
        <v>88</v>
      </c>
      <c r="B42" s="20">
        <v>13</v>
      </c>
      <c r="C42" s="20">
        <v>10</v>
      </c>
      <c r="D42" s="20">
        <v>7</v>
      </c>
      <c r="E42" s="20">
        <v>5</v>
      </c>
      <c r="F42" s="20">
        <v>3</v>
      </c>
      <c r="G42" s="20">
        <v>3</v>
      </c>
      <c r="H42" s="20">
        <v>5</v>
      </c>
      <c r="I42" s="20">
        <v>5</v>
      </c>
      <c r="J42" s="20">
        <v>3</v>
      </c>
      <c r="K42" s="20">
        <v>3</v>
      </c>
      <c r="L42" s="20">
        <v>7</v>
      </c>
      <c r="M42" s="20">
        <v>12</v>
      </c>
      <c r="N42" s="20">
        <v>11</v>
      </c>
      <c r="O42" s="20">
        <v>9</v>
      </c>
      <c r="P42" s="20">
        <v>6</v>
      </c>
      <c r="Q42" s="20">
        <v>4</v>
      </c>
      <c r="R42" s="20">
        <v>2</v>
      </c>
      <c r="S42" s="20">
        <v>3</v>
      </c>
      <c r="T42" s="20">
        <v>4</v>
      </c>
      <c r="U42" s="20">
        <v>4</v>
      </c>
      <c r="V42" s="20">
        <v>3</v>
      </c>
      <c r="W42" s="20">
        <v>2</v>
      </c>
      <c r="X42" s="20">
        <v>6</v>
      </c>
      <c r="Y42" s="20">
        <v>12</v>
      </c>
      <c r="Z42" s="20">
        <v>14</v>
      </c>
      <c r="AA42" s="20">
        <v>9</v>
      </c>
      <c r="AB42" s="20">
        <v>7</v>
      </c>
      <c r="AC42" s="20">
        <v>3</v>
      </c>
      <c r="AD42" s="20">
        <v>2</v>
      </c>
      <c r="AE42" s="20">
        <v>3</v>
      </c>
      <c r="AF42" s="20">
        <v>5</v>
      </c>
      <c r="AG42" s="20">
        <v>4</v>
      </c>
      <c r="AH42" s="20">
        <v>3</v>
      </c>
      <c r="AI42" s="20">
        <v>2</v>
      </c>
      <c r="AJ42">
        <f t="shared" si="12"/>
        <v>6</v>
      </c>
      <c r="AK42">
        <f t="shared" si="13"/>
        <v>12</v>
      </c>
    </row>
    <row r="43" spans="1:37">
      <c r="A43" s="22" t="s">
        <v>89</v>
      </c>
      <c r="B43" s="20">
        <v>118</v>
      </c>
      <c r="C43" s="20">
        <v>106</v>
      </c>
      <c r="D43" s="20">
        <v>102</v>
      </c>
      <c r="E43" s="20">
        <v>98</v>
      </c>
      <c r="F43" s="20">
        <v>87</v>
      </c>
      <c r="G43" s="20">
        <v>90</v>
      </c>
      <c r="H43" s="20">
        <v>100</v>
      </c>
      <c r="I43" s="20">
        <v>106</v>
      </c>
      <c r="J43" s="20">
        <v>102</v>
      </c>
      <c r="K43" s="20">
        <v>91</v>
      </c>
      <c r="L43" s="20">
        <v>94</v>
      </c>
      <c r="M43" s="20">
        <v>112</v>
      </c>
      <c r="N43" s="20">
        <v>126</v>
      </c>
      <c r="O43" s="20">
        <v>116</v>
      </c>
      <c r="P43" s="20">
        <v>105</v>
      </c>
      <c r="Q43" s="20">
        <v>96</v>
      </c>
      <c r="R43" s="20">
        <v>92</v>
      </c>
      <c r="S43" s="20">
        <v>99</v>
      </c>
      <c r="T43" s="20">
        <v>108</v>
      </c>
      <c r="U43" s="20">
        <v>115</v>
      </c>
      <c r="V43" s="20">
        <v>113</v>
      </c>
      <c r="W43" s="20">
        <v>97</v>
      </c>
      <c r="X43" s="20">
        <v>104</v>
      </c>
      <c r="Y43" s="20">
        <v>123</v>
      </c>
      <c r="Z43" s="20">
        <v>130</v>
      </c>
      <c r="AA43" s="20">
        <v>121</v>
      </c>
      <c r="AB43" s="20">
        <v>116</v>
      </c>
      <c r="AC43" s="20">
        <v>107</v>
      </c>
      <c r="AD43" s="20">
        <v>100</v>
      </c>
      <c r="AE43" s="20">
        <v>108</v>
      </c>
      <c r="AF43" s="20">
        <v>117</v>
      </c>
      <c r="AG43" s="20">
        <v>123</v>
      </c>
      <c r="AH43" s="20">
        <v>119</v>
      </c>
      <c r="AI43" s="20">
        <v>106</v>
      </c>
      <c r="AJ43">
        <f t="shared" si="12"/>
        <v>113.64948453608247</v>
      </c>
      <c r="AK43">
        <f t="shared" si="13"/>
        <v>134.41237113402062</v>
      </c>
    </row>
    <row r="45" spans="1:37">
      <c r="A45" s="18" t="s">
        <v>54</v>
      </c>
      <c r="B45" s="25">
        <v>2019</v>
      </c>
      <c r="C45" s="25">
        <v>2020</v>
      </c>
      <c r="D45">
        <v>2021</v>
      </c>
      <c r="E45" t="s">
        <v>92</v>
      </c>
      <c r="G45" s="18" t="s">
        <v>54</v>
      </c>
      <c r="H45" s="25">
        <v>2019</v>
      </c>
      <c r="I45" s="25">
        <v>2020</v>
      </c>
      <c r="J45">
        <v>2021</v>
      </c>
      <c r="K45" t="s">
        <v>91</v>
      </c>
    </row>
    <row r="46" spans="1:37">
      <c r="A46" s="21" t="s">
        <v>80</v>
      </c>
      <c r="B46" s="26">
        <f t="shared" ref="B46:B51" si="14">SUM(B38:M38)</f>
        <v>5400</v>
      </c>
      <c r="C46" s="26">
        <f t="shared" ref="C46:C51" si="15">SUM(N38:Y38)</f>
        <v>5251</v>
      </c>
      <c r="D46" s="26">
        <f>SUM(Z38:AK38)</f>
        <v>5502.5431348325019</v>
      </c>
      <c r="G46" s="21" t="s">
        <v>80</v>
      </c>
      <c r="H46" s="38">
        <f>B46*About!$B$30*10^9</f>
        <v>214288740000000.03</v>
      </c>
      <c r="I46" s="38">
        <f>C46*About!$B$30*10^9</f>
        <v>208375958100000.03</v>
      </c>
      <c r="J46" s="38">
        <f>D46*About!$B$30*10^9</f>
        <v>218357969473871.66</v>
      </c>
    </row>
    <row r="47" spans="1:37">
      <c r="A47" s="21" t="s">
        <v>85</v>
      </c>
      <c r="B47" s="26">
        <f t="shared" si="14"/>
        <v>1278</v>
      </c>
      <c r="C47" s="26">
        <f t="shared" si="15"/>
        <v>1130</v>
      </c>
      <c r="D47" s="26">
        <f t="shared" ref="D47:D51" si="16">SUM(Z39:AK39)</f>
        <v>1105.7816091954023</v>
      </c>
      <c r="G47" s="21" t="s">
        <v>85</v>
      </c>
      <c r="H47" s="38">
        <f>B47*About!$B$30*10^9</f>
        <v>50715001800000.008</v>
      </c>
      <c r="I47" s="38">
        <f>C47*About!$B$30*10^9</f>
        <v>44841903000000.008</v>
      </c>
      <c r="J47" s="38">
        <f>D47*About!$B$30*10^9</f>
        <v>43880842175862.078</v>
      </c>
    </row>
    <row r="48" spans="1:37">
      <c r="A48" s="21" t="s">
        <v>86</v>
      </c>
      <c r="B48" s="26">
        <f t="shared" si="14"/>
        <v>79</v>
      </c>
      <c r="C48" s="26">
        <f t="shared" si="15"/>
        <v>69</v>
      </c>
      <c r="D48" s="26">
        <f t="shared" si="16"/>
        <v>90.333333333333343</v>
      </c>
      <c r="G48" s="21" t="s">
        <v>86</v>
      </c>
      <c r="H48" s="38">
        <f>B48*About!$B$30*10^9</f>
        <v>3134964900000.0005</v>
      </c>
      <c r="I48" s="38">
        <f>C48*About!$B$30*10^9</f>
        <v>2738133900000.0005</v>
      </c>
      <c r="J48" s="38">
        <f>D48*About!$B$30*10^9</f>
        <v>3584706700000.0005</v>
      </c>
    </row>
    <row r="49" spans="1:10">
      <c r="A49" s="21" t="s">
        <v>87</v>
      </c>
      <c r="B49" s="26">
        <f t="shared" si="14"/>
        <v>2765</v>
      </c>
      <c r="C49" s="26">
        <f t="shared" si="15"/>
        <v>2691</v>
      </c>
      <c r="D49" s="26">
        <f t="shared" si="16"/>
        <v>2842.3663366336632</v>
      </c>
      <c r="G49" s="21" t="s">
        <v>87</v>
      </c>
      <c r="H49" s="38">
        <f>B49*About!$B$30*10^9</f>
        <v>109723771500000</v>
      </c>
      <c r="I49" s="38">
        <f>C49*About!$B$30*10^9</f>
        <v>106787222100000.02</v>
      </c>
      <c r="J49" s="38">
        <f>D49*About!$B$30*10^9</f>
        <v>112793907573267.33</v>
      </c>
    </row>
    <row r="50" spans="1:10">
      <c r="A50" s="21" t="s">
        <v>88</v>
      </c>
      <c r="B50" s="26">
        <f t="shared" si="14"/>
        <v>76</v>
      </c>
      <c r="C50" s="26">
        <f t="shared" si="15"/>
        <v>66</v>
      </c>
      <c r="D50" s="26">
        <f t="shared" si="16"/>
        <v>70</v>
      </c>
      <c r="G50" s="21" t="s">
        <v>88</v>
      </c>
      <c r="H50" s="38">
        <f>B50*About!$B$30*10^9</f>
        <v>3015915600000.0005</v>
      </c>
      <c r="I50" s="38">
        <f>C50*About!$B$30*10^9</f>
        <v>2619084600000</v>
      </c>
      <c r="J50" s="38">
        <f>D50*About!$B$30*10^9</f>
        <v>2777817000000</v>
      </c>
    </row>
    <row r="51" spans="1:10">
      <c r="A51" s="22" t="s">
        <v>89</v>
      </c>
      <c r="B51" s="26">
        <f t="shared" si="14"/>
        <v>1206</v>
      </c>
      <c r="C51" s="26">
        <f t="shared" si="15"/>
        <v>1294</v>
      </c>
      <c r="D51" s="26">
        <f t="shared" si="16"/>
        <v>1395.0618556701031</v>
      </c>
      <c r="G51" s="22" t="s">
        <v>89</v>
      </c>
      <c r="H51" s="38">
        <f>B51*About!$B$30*10^9</f>
        <v>47857818600000.008</v>
      </c>
      <c r="I51" s="38">
        <f>C51*About!$B$30*10^9</f>
        <v>51349931400000</v>
      </c>
      <c r="J51" s="38">
        <f>D51*About!$B$30*10^9</f>
        <v>55360379124742.273</v>
      </c>
    </row>
    <row r="54" spans="1:10">
      <c r="A54" s="39" t="s">
        <v>131</v>
      </c>
    </row>
    <row r="55" spans="1:10">
      <c r="A55" t="s">
        <v>54</v>
      </c>
      <c r="B55">
        <v>2019</v>
      </c>
      <c r="C55">
        <v>2020</v>
      </c>
      <c r="D55">
        <v>2021</v>
      </c>
    </row>
    <row r="56" spans="1:10">
      <c r="A56" t="s">
        <v>80</v>
      </c>
      <c r="B56" s="17">
        <f>C21+B46</f>
        <v>28288</v>
      </c>
      <c r="C56" s="17">
        <f t="shared" ref="C56:D56" si="17">D21+C46</f>
        <v>27837</v>
      </c>
      <c r="D56" s="17">
        <f t="shared" si="17"/>
        <v>28263.086269665</v>
      </c>
    </row>
    <row r="57" spans="1:10">
      <c r="A57" t="s">
        <v>85</v>
      </c>
      <c r="B57" s="17">
        <f>C25+B47</f>
        <v>4331</v>
      </c>
      <c r="C57" s="17">
        <f t="shared" ref="C57:D57" si="18">D25+C47</f>
        <v>3997</v>
      </c>
      <c r="D57" s="17">
        <f t="shared" si="18"/>
        <v>3927.5632183908046</v>
      </c>
    </row>
    <row r="58" spans="1:10">
      <c r="A58" t="s">
        <v>86</v>
      </c>
      <c r="B58" s="17">
        <f>C27+B40</f>
        <v>3723</v>
      </c>
      <c r="C58" s="17">
        <f t="shared" ref="C58:D58" si="19">D27+C40</f>
        <v>3655</v>
      </c>
      <c r="D58" s="17">
        <f t="shared" si="19"/>
        <v>3640.3333333333335</v>
      </c>
    </row>
    <row r="59" spans="1:10">
      <c r="A59" t="s">
        <v>87</v>
      </c>
      <c r="B59" s="17">
        <f>C29+B49</f>
        <v>17137</v>
      </c>
      <c r="C59" s="17">
        <f t="shared" ref="C59:D59" si="20">D29+C49</f>
        <v>16934</v>
      </c>
      <c r="D59" s="17">
        <f t="shared" si="20"/>
        <v>17211.732673267325</v>
      </c>
    </row>
    <row r="60" spans="1:10">
      <c r="A60" t="s">
        <v>88</v>
      </c>
      <c r="B60" s="17">
        <f>C31+B50</f>
        <v>501</v>
      </c>
      <c r="C60" s="17">
        <f t="shared" ref="C60:D60" si="21">D31+C50</f>
        <v>475</v>
      </c>
      <c r="D60" s="17">
        <f t="shared" si="21"/>
        <v>482</v>
      </c>
    </row>
    <row r="61" spans="1:10">
      <c r="A61" t="s">
        <v>89</v>
      </c>
      <c r="B61" s="17">
        <f>C33+B51</f>
        <v>2546</v>
      </c>
      <c r="C61" s="17">
        <f t="shared" ref="C61:D61" si="22">D33+C51</f>
        <v>2724</v>
      </c>
      <c r="D61" s="17">
        <f t="shared" si="22"/>
        <v>2929.1237113402062</v>
      </c>
    </row>
  </sheetData>
  <phoneticPr fontId="11"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EACEB-8E8C-4A24-B652-74E6055FDD6D}">
  <dimension ref="A1:J42"/>
  <sheetViews>
    <sheetView topLeftCell="A4" workbookViewId="0">
      <selection activeCell="B52" sqref="B52"/>
    </sheetView>
  </sheetViews>
  <sheetFormatPr defaultRowHeight="16.5"/>
  <cols>
    <col min="1" max="1" width="30.25" bestFit="1" customWidth="1"/>
    <col min="2" max="2" width="8.75" bestFit="1" customWidth="1"/>
    <col min="3" max="3" width="20.75" bestFit="1" customWidth="1"/>
    <col min="4" max="4" width="9.25" bestFit="1" customWidth="1"/>
    <col min="5" max="5" width="8.75" bestFit="1" customWidth="1"/>
    <col min="6" max="6" width="10.625" bestFit="1" customWidth="1"/>
    <col min="7" max="7" width="8.75" bestFit="1" customWidth="1"/>
  </cols>
  <sheetData>
    <row r="1" spans="1:10">
      <c r="A1" s="15" t="s">
        <v>43</v>
      </c>
      <c r="B1" s="15" t="s">
        <v>37</v>
      </c>
      <c r="C1" s="15" t="s">
        <v>38</v>
      </c>
      <c r="D1" s="15" t="s">
        <v>39</v>
      </c>
      <c r="E1" s="15" t="s">
        <v>40</v>
      </c>
      <c r="F1" s="15" t="s">
        <v>41</v>
      </c>
      <c r="G1" s="15" t="s">
        <v>42</v>
      </c>
      <c r="I1" s="15" t="s">
        <v>50</v>
      </c>
      <c r="J1" s="15" t="s">
        <v>51</v>
      </c>
    </row>
    <row r="2" spans="1:10">
      <c r="A2" s="15" t="s">
        <v>2</v>
      </c>
      <c r="B2" s="2">
        <f>Commercial_calculation!W4</f>
        <v>159190095008089.38</v>
      </c>
      <c r="C2" s="2">
        <f>Commercial_calculation!W16</f>
        <v>232921644130399.06</v>
      </c>
      <c r="D2" s="2">
        <f>Commercial_calculation!W28</f>
        <v>0</v>
      </c>
      <c r="E2" s="2">
        <f>Commercial_calculation!W40</f>
        <v>133911061184651.63</v>
      </c>
      <c r="F2" s="2">
        <f>Commercial_calculation!W52</f>
        <v>83154319649317.406</v>
      </c>
      <c r="G2" s="2">
        <f>Commercial_calculation!W64</f>
        <v>86624255117367.422</v>
      </c>
      <c r="I2" s="2">
        <f t="shared" ref="I2:I11" si="0">SUM(B2:G2)</f>
        <v>695801375089824.88</v>
      </c>
      <c r="J2" s="17">
        <f>I2/10^6/About!$B$30/10^6</f>
        <v>17.533947072930918</v>
      </c>
    </row>
    <row r="3" spans="1:10">
      <c r="A3" s="15" t="s">
        <v>3</v>
      </c>
      <c r="B3" s="2">
        <f>Commercial_calculation!W5</f>
        <v>5836482903.8704367</v>
      </c>
      <c r="C3" s="2">
        <f>Commercial_calculation!W17</f>
        <v>0</v>
      </c>
      <c r="D3" s="2">
        <f>Commercial_calculation!W29</f>
        <v>0</v>
      </c>
      <c r="E3" s="2">
        <f>Commercial_calculation!W41</f>
        <v>0</v>
      </c>
      <c r="F3" s="2">
        <f>Commercial_calculation!W53</f>
        <v>6939402791.6406126</v>
      </c>
      <c r="G3" s="2">
        <f>Commercial_calculation!W65</f>
        <v>0</v>
      </c>
      <c r="I3" s="2">
        <f t="shared" si="0"/>
        <v>12775885695.511049</v>
      </c>
      <c r="J3" s="17">
        <f>I3/10^6/About!$B$30/10^6</f>
        <v>3.2194777362431484E-4</v>
      </c>
    </row>
    <row r="4" spans="1:10">
      <c r="A4" s="15" t="s">
        <v>4</v>
      </c>
      <c r="B4" s="2">
        <f>Commercial_calculation!W6</f>
        <v>86728386391400.328</v>
      </c>
      <c r="C4" s="2">
        <f>Commercial_calculation!W18</f>
        <v>34935216964934.828</v>
      </c>
      <c r="D4" s="2">
        <f>Commercial_calculation!W30</f>
        <v>0</v>
      </c>
      <c r="E4" s="2">
        <f>Commercial_calculation!W42</f>
        <v>0</v>
      </c>
      <c r="F4" s="2">
        <f>Commercial_calculation!W54</f>
        <v>102262498893881.75</v>
      </c>
      <c r="G4" s="2">
        <f>Commercial_calculation!W66</f>
        <v>0</v>
      </c>
      <c r="I4" s="2">
        <f t="shared" si="0"/>
        <v>223926102250216.91</v>
      </c>
      <c r="J4" s="17">
        <f>I4/10^6/About!$B$30/10^6</f>
        <v>5.6428580995491</v>
      </c>
    </row>
    <row r="5" spans="1:10">
      <c r="A5" s="15" t="s">
        <v>5</v>
      </c>
      <c r="B5" s="2">
        <f>Commercial_calculation!W7</f>
        <v>207515950772.12997</v>
      </c>
      <c r="C5" s="2">
        <f>Commercial_calculation!W19</f>
        <v>0</v>
      </c>
      <c r="D5" s="2">
        <f>Commercial_calculation!W31</f>
        <v>0</v>
      </c>
      <c r="E5" s="2">
        <f>Commercial_calculation!W43</f>
        <v>0</v>
      </c>
      <c r="F5" s="2">
        <f>Commercial_calculation!W55</f>
        <v>603439503169.31189</v>
      </c>
      <c r="G5" s="2">
        <f>Commercial_calculation!W67</f>
        <v>0</v>
      </c>
      <c r="I5" s="2">
        <f t="shared" si="0"/>
        <v>810955453941.44189</v>
      </c>
      <c r="J5" s="17">
        <f>I5/10^6/About!$B$30/10^6</f>
        <v>2.0435788885985261E-2</v>
      </c>
    </row>
    <row r="6" spans="1:10">
      <c r="A6" s="15" t="s">
        <v>7</v>
      </c>
      <c r="B6" s="2">
        <f>Commercial_calculation!W8</f>
        <v>20719495867350.301</v>
      </c>
      <c r="C6" s="2">
        <f>Commercial_calculation!W20</f>
        <v>1678720403396.939</v>
      </c>
      <c r="D6" s="2">
        <f>Commercial_calculation!W32</f>
        <v>0</v>
      </c>
      <c r="E6" s="2">
        <f>Commercial_calculation!W44</f>
        <v>0</v>
      </c>
      <c r="F6" s="2">
        <f>Commercial_calculation!W56</f>
        <v>0</v>
      </c>
      <c r="G6" s="2">
        <f>Commercial_calculation!W68</f>
        <v>0</v>
      </c>
      <c r="I6" s="2">
        <f t="shared" si="0"/>
        <v>22398216270747.238</v>
      </c>
      <c r="J6" s="17">
        <f>I6/10^6/About!$B$30/10^6</f>
        <v>0.56442708031245636</v>
      </c>
    </row>
    <row r="7" spans="1:10">
      <c r="A7" s="15" t="s">
        <v>11</v>
      </c>
      <c r="B7" s="2">
        <f>Commercial_calculation!W9</f>
        <v>33887806106507.32</v>
      </c>
      <c r="C7" s="2">
        <f>Commercial_calculation!W21</f>
        <v>11537748975960.301</v>
      </c>
      <c r="D7" s="2">
        <f>Commercial_calculation!W33</f>
        <v>0</v>
      </c>
      <c r="E7" s="2">
        <f>Commercial_calculation!W45</f>
        <v>11842215265676.096</v>
      </c>
      <c r="F7" s="2">
        <f>Commercial_calculation!W57</f>
        <v>17520372102287.791</v>
      </c>
      <c r="G7" s="2">
        <f>Commercial_calculation!W69</f>
        <v>20510814681326.559</v>
      </c>
      <c r="I7" s="2">
        <f t="shared" si="0"/>
        <v>95298957131758.078</v>
      </c>
      <c r="J7" s="17">
        <f>I7/10^6/About!$B$30/10^6</f>
        <v>2.4014998105429783</v>
      </c>
    </row>
    <row r="8" spans="1:10">
      <c r="A8" s="15" t="s">
        <v>13</v>
      </c>
      <c r="B8" s="2">
        <f>Commercial_calculation!W10</f>
        <v>5333085897269.7705</v>
      </c>
      <c r="C8" s="2">
        <f>Commercial_calculation!W22</f>
        <v>0</v>
      </c>
      <c r="D8" s="2">
        <f>Commercial_calculation!W34</f>
        <v>0</v>
      </c>
      <c r="E8" s="2">
        <f>Commercial_calculation!W46</f>
        <v>0</v>
      </c>
      <c r="F8" s="2">
        <f>Commercial_calculation!W58</f>
        <v>531832413603.27246</v>
      </c>
      <c r="G8" s="2">
        <f>Commercial_calculation!W70</f>
        <v>0</v>
      </c>
      <c r="I8" s="2">
        <f t="shared" si="0"/>
        <v>5864918310873.043</v>
      </c>
      <c r="J8" s="17">
        <f>I8/10^6/About!$B$30/10^6</f>
        <v>0.14779385458477393</v>
      </c>
    </row>
    <row r="9" spans="1:10">
      <c r="A9" s="15" t="s">
        <v>14</v>
      </c>
      <c r="B9" s="2">
        <f>Commercial_calculation!W11</f>
        <v>632291973474.83301</v>
      </c>
      <c r="C9" s="2">
        <f>Commercial_calculation!W23</f>
        <v>0</v>
      </c>
      <c r="D9" s="2">
        <f>Commercial_calculation!W35</f>
        <v>0</v>
      </c>
      <c r="E9" s="2">
        <f>Commercial_calculation!W47</f>
        <v>0</v>
      </c>
      <c r="F9" s="2">
        <f>Commercial_calculation!W59</f>
        <v>7582612210.518858</v>
      </c>
      <c r="G9" s="2">
        <f>Commercial_calculation!W71</f>
        <v>0</v>
      </c>
      <c r="I9" s="2">
        <f t="shared" si="0"/>
        <v>639874585685.35181</v>
      </c>
      <c r="J9" s="17">
        <f>I9/10^6/About!$B$30/10^6</f>
        <v>1.6124611879751123E-2</v>
      </c>
    </row>
    <row r="10" spans="1:10">
      <c r="A10" s="15" t="s">
        <v>15</v>
      </c>
      <c r="B10" s="2">
        <f>Commercial_calculation!W12</f>
        <v>4553579774608.4902</v>
      </c>
      <c r="C10" s="2">
        <f>Commercial_calculation!W24</f>
        <v>607876211721.81836</v>
      </c>
      <c r="D10" s="2">
        <f>Commercial_calculation!W36</f>
        <v>0</v>
      </c>
      <c r="E10" s="2">
        <f>Commercial_calculation!W48</f>
        <v>0</v>
      </c>
      <c r="F10" s="2">
        <f>Commercial_calculation!W60</f>
        <v>7503390619899.5811</v>
      </c>
      <c r="G10" s="2">
        <f>Commercial_calculation!W72</f>
        <v>0</v>
      </c>
      <c r="I10" s="2">
        <f t="shared" si="0"/>
        <v>12664846606229.891</v>
      </c>
      <c r="J10" s="17">
        <f>I10/10^6/About!$B$30/10^6</f>
        <v>0.31914962808424469</v>
      </c>
    </row>
    <row r="11" spans="1:10">
      <c r="A11" s="15" t="s">
        <v>16</v>
      </c>
      <c r="B11" s="2">
        <f>Commercial_calculation!W13</f>
        <v>0</v>
      </c>
      <c r="C11" s="2">
        <f>Commercial_calculation!W25</f>
        <v>0</v>
      </c>
      <c r="D11" s="2">
        <f>Commercial_calculation!W37</f>
        <v>0</v>
      </c>
      <c r="E11" s="2">
        <f>Commercial_calculation!W49</f>
        <v>0</v>
      </c>
      <c r="F11" s="2">
        <f>Commercial_calculation!W61</f>
        <v>0</v>
      </c>
      <c r="G11" s="2">
        <f>Commercial_calculation!W73</f>
        <v>0</v>
      </c>
      <c r="I11" s="2">
        <f t="shared" si="0"/>
        <v>0</v>
      </c>
      <c r="J11" s="17">
        <f>I11/10^6/About!$B$30/10^6</f>
        <v>0</v>
      </c>
    </row>
    <row r="12" spans="1:10">
      <c r="A12" s="15"/>
      <c r="I12" s="2">
        <f>SUM(I2:I11)</f>
        <v>1057418021584972.4</v>
      </c>
      <c r="J12" s="17">
        <f>I12/10^6/About!$B$30/10^6</f>
        <v>26.646557894543829</v>
      </c>
    </row>
    <row r="13" spans="1:10">
      <c r="A13" s="15"/>
      <c r="I13" s="2"/>
    </row>
    <row r="14" spans="1:10">
      <c r="A14" s="15" t="s">
        <v>44</v>
      </c>
      <c r="B14" s="15" t="s">
        <v>37</v>
      </c>
      <c r="C14" s="15" t="s">
        <v>38</v>
      </c>
      <c r="D14" s="15" t="s">
        <v>39</v>
      </c>
      <c r="E14" s="15" t="s">
        <v>40</v>
      </c>
      <c r="F14" s="15" t="s">
        <v>41</v>
      </c>
      <c r="G14" s="15" t="s">
        <v>42</v>
      </c>
      <c r="I14" s="15" t="s">
        <v>50</v>
      </c>
      <c r="J14" s="15" t="s">
        <v>51</v>
      </c>
    </row>
    <row r="15" spans="1:10">
      <c r="A15" s="15" t="s">
        <v>2</v>
      </c>
      <c r="B15" s="2">
        <f>Urban_res_calculation!W4</f>
        <v>79346064740911.719</v>
      </c>
      <c r="C15" s="2">
        <f>Urban_res_calculation!W16</f>
        <v>44928348248863.695</v>
      </c>
      <c r="D15" s="2">
        <f>Urban_res_calculation!X28</f>
        <v>0</v>
      </c>
      <c r="E15" s="2">
        <f>Urban_res_calculation!W40</f>
        <v>44928348248863.695</v>
      </c>
      <c r="F15" s="2">
        <f>Urban_res_calculation!W52</f>
        <v>103027086470875.75</v>
      </c>
      <c r="G15" s="2">
        <f>Urban_res_calculation!W64</f>
        <v>0</v>
      </c>
      <c r="I15" s="2">
        <f t="shared" ref="I15:I24" si="1">SUM(B15:G15)</f>
        <v>272229847709514.84</v>
      </c>
      <c r="J15" s="17">
        <f>I15/10^6/About!$B$30/10^6</f>
        <v>6.86009529773417</v>
      </c>
    </row>
    <row r="16" spans="1:10">
      <c r="A16" s="15" t="s">
        <v>3</v>
      </c>
      <c r="B16" s="2">
        <f>Urban_res_calculation!W5</f>
        <v>544719113960.09637</v>
      </c>
      <c r="C16" s="2">
        <f>Urban_res_calculation!W17</f>
        <v>0</v>
      </c>
      <c r="D16" s="2">
        <f>Urban_res_calculation!X29</f>
        <v>0</v>
      </c>
      <c r="E16" s="2">
        <f>Urban_res_calculation!W41</f>
        <v>0</v>
      </c>
      <c r="F16" s="2">
        <f>Urban_res_calculation!W53</f>
        <v>0</v>
      </c>
      <c r="G16" s="2">
        <f>Urban_res_calculation!W65</f>
        <v>0</v>
      </c>
      <c r="I16" s="2">
        <f t="shared" si="1"/>
        <v>544719113960.09637</v>
      </c>
      <c r="J16" s="17">
        <f>I16/10^6/About!$B$30/10^6</f>
        <v>1.3726727850397179E-2</v>
      </c>
    </row>
    <row r="17" spans="1:10">
      <c r="A17" s="15" t="s">
        <v>4</v>
      </c>
      <c r="B17" s="2">
        <f>Urban_res_calculation!W6</f>
        <v>287031314882482.13</v>
      </c>
      <c r="C17" s="2">
        <f>Urban_res_calculation!W18</f>
        <v>0</v>
      </c>
      <c r="D17" s="2">
        <f>Urban_res_calculation!X30</f>
        <v>0</v>
      </c>
      <c r="E17" s="2">
        <f>Urban_res_calculation!W42</f>
        <v>0</v>
      </c>
      <c r="F17" s="2">
        <f>Urban_res_calculation!W54</f>
        <v>60211966652642.164</v>
      </c>
      <c r="G17" s="2">
        <f>Urban_res_calculation!W66</f>
        <v>0</v>
      </c>
      <c r="I17" s="2">
        <f t="shared" si="1"/>
        <v>347243281535124.31</v>
      </c>
      <c r="J17" s="17">
        <f>I17/10^6/About!$B$30/10^6</f>
        <v>8.75040713893633</v>
      </c>
    </row>
    <row r="18" spans="1:10">
      <c r="A18" s="15" t="s">
        <v>5</v>
      </c>
      <c r="B18" s="2">
        <f>Urban_res_calculation!W7</f>
        <v>0</v>
      </c>
      <c r="C18" s="2">
        <f>Urban_res_calculation!W19</f>
        <v>0</v>
      </c>
      <c r="D18" s="2">
        <f>Urban_res_calculation!X31</f>
        <v>0</v>
      </c>
      <c r="E18" s="2">
        <f>Urban_res_calculation!W43</f>
        <v>0</v>
      </c>
      <c r="F18" s="2">
        <f>Urban_res_calculation!W55</f>
        <v>0</v>
      </c>
      <c r="G18" s="2">
        <f>Urban_res_calculation!W67</f>
        <v>0</v>
      </c>
      <c r="I18" s="2">
        <f t="shared" si="1"/>
        <v>0</v>
      </c>
      <c r="J18" s="17">
        <f>I18/10^6/About!$B$30/10^6</f>
        <v>0</v>
      </c>
    </row>
    <row r="19" spans="1:10">
      <c r="A19" s="15" t="s">
        <v>7</v>
      </c>
      <c r="B19" s="2">
        <f>Urban_res_calculation!W8</f>
        <v>80965332151288.266</v>
      </c>
      <c r="C19" s="2">
        <f>Urban_res_calculation!W20</f>
        <v>0</v>
      </c>
      <c r="D19" s="2">
        <f>Urban_res_calculation!X32</f>
        <v>0</v>
      </c>
      <c r="E19" s="2">
        <f>Urban_res_calculation!W44</f>
        <v>0</v>
      </c>
      <c r="F19" s="2">
        <f>Urban_res_calculation!W56</f>
        <v>0</v>
      </c>
      <c r="G19" s="2">
        <f>Urban_res_calculation!W68</f>
        <v>0</v>
      </c>
      <c r="I19" s="2">
        <f t="shared" si="1"/>
        <v>80965332151288.266</v>
      </c>
      <c r="J19" s="17">
        <f>I19/10^6/About!$B$30/10^6</f>
        <v>2.0402975612109002</v>
      </c>
    </row>
    <row r="20" spans="1:10">
      <c r="A20" s="15" t="s">
        <v>11</v>
      </c>
      <c r="B20" s="2">
        <f>Urban_res_calculation!W9</f>
        <v>5187468312425.6885</v>
      </c>
      <c r="C20" s="2">
        <f>Urban_res_calculation!W21</f>
        <v>0</v>
      </c>
      <c r="D20" s="2">
        <f>Urban_res_calculation!X33</f>
        <v>0</v>
      </c>
      <c r="E20" s="2">
        <f>Urban_res_calculation!W45</f>
        <v>0</v>
      </c>
      <c r="F20" s="2">
        <f>Urban_res_calculation!W57</f>
        <v>0</v>
      </c>
      <c r="G20" s="2">
        <f>Urban_res_calculation!W69</f>
        <v>0</v>
      </c>
      <c r="I20" s="2">
        <f t="shared" si="1"/>
        <v>5187468312425.6885</v>
      </c>
      <c r="J20" s="17">
        <f>I20/10^6/About!$B$30/10^6</f>
        <v>0.13072235567346524</v>
      </c>
    </row>
    <row r="21" spans="1:10">
      <c r="A21" s="15" t="s">
        <v>13</v>
      </c>
      <c r="B21" s="2">
        <f>Urban_res_calculation!W10</f>
        <v>0</v>
      </c>
      <c r="C21" s="2">
        <f>Urban_res_calculation!W22</f>
        <v>0</v>
      </c>
      <c r="D21" s="2">
        <f>Urban_res_calculation!X34</f>
        <v>0</v>
      </c>
      <c r="E21" s="2">
        <f>Urban_res_calculation!W46</f>
        <v>0</v>
      </c>
      <c r="F21" s="2">
        <f>Urban_res_calculation!W58</f>
        <v>0</v>
      </c>
      <c r="G21" s="2">
        <f>Urban_res_calculation!W70</f>
        <v>0</v>
      </c>
      <c r="I21" s="2">
        <f t="shared" si="1"/>
        <v>0</v>
      </c>
      <c r="J21" s="17">
        <f>I21/10^6/About!$B$30/10^6</f>
        <v>0</v>
      </c>
    </row>
    <row r="22" spans="1:10">
      <c r="A22" s="15" t="s">
        <v>14</v>
      </c>
      <c r="B22" s="2">
        <f>Urban_res_calculation!W11</f>
        <v>24659610175269.211</v>
      </c>
      <c r="C22" s="2">
        <f>Urban_res_calculation!W23</f>
        <v>0</v>
      </c>
      <c r="D22" s="2">
        <f>Urban_res_calculation!X35</f>
        <v>0</v>
      </c>
      <c r="E22" s="2">
        <f>Urban_res_calculation!W47</f>
        <v>0</v>
      </c>
      <c r="F22" s="2">
        <f>Urban_res_calculation!W59</f>
        <v>0</v>
      </c>
      <c r="G22" s="2">
        <f>Urban_res_calculation!W71</f>
        <v>0</v>
      </c>
      <c r="I22" s="2">
        <f t="shared" si="1"/>
        <v>24659610175269.211</v>
      </c>
      <c r="J22" s="17">
        <f>I22/10^6/About!$B$30/10^6</f>
        <v>0.62141340205954698</v>
      </c>
    </row>
    <row r="23" spans="1:10">
      <c r="A23" s="15" t="s">
        <v>15</v>
      </c>
      <c r="B23" s="2">
        <f>Urban_res_calculation!W12</f>
        <v>7549590625795.167</v>
      </c>
      <c r="C23" s="2">
        <f>Urban_res_calculation!W24</f>
        <v>0</v>
      </c>
      <c r="D23" s="2">
        <f>Urban_res_calculation!X36</f>
        <v>0</v>
      </c>
      <c r="E23" s="2">
        <f>Urban_res_calculation!W48</f>
        <v>0</v>
      </c>
      <c r="F23" s="2">
        <f>Urban_res_calculation!W60</f>
        <v>1583714652136.8005</v>
      </c>
      <c r="G23" s="2">
        <f>Urban_res_calculation!W72</f>
        <v>0</v>
      </c>
      <c r="I23" s="2">
        <f t="shared" si="1"/>
        <v>9133305277931.9668</v>
      </c>
      <c r="J23" s="17">
        <f>I23/10^6/About!$B$30/10^6</f>
        <v>0.23015604320055552</v>
      </c>
    </row>
    <row r="24" spans="1:10">
      <c r="A24" s="15" t="s">
        <v>16</v>
      </c>
      <c r="B24" s="2">
        <f>Urban_res_calculation!W13</f>
        <v>0</v>
      </c>
      <c r="C24" s="2">
        <f>Urban_res_calculation!W25</f>
        <v>0</v>
      </c>
      <c r="D24" s="2">
        <f>Urban_res_calculation!X37</f>
        <v>0</v>
      </c>
      <c r="E24" s="2">
        <f>Urban_res_calculation!W49</f>
        <v>0</v>
      </c>
      <c r="F24" s="2">
        <f>Urban_res_calculation!W61</f>
        <v>0</v>
      </c>
      <c r="G24" s="2">
        <f>Urban_res_calculation!W73</f>
        <v>0</v>
      </c>
      <c r="I24" s="2">
        <f t="shared" si="1"/>
        <v>0</v>
      </c>
      <c r="J24" s="17">
        <f>I24/10^6/About!$B$30/10^6</f>
        <v>0</v>
      </c>
    </row>
    <row r="25" spans="1:10">
      <c r="I25" s="2">
        <f>SUM(I15:I24)</f>
        <v>739963564275514.5</v>
      </c>
      <c r="J25" s="17">
        <f>I25/10^6/About!$B$30/10^6</f>
        <v>18.646818526665367</v>
      </c>
    </row>
    <row r="26" spans="1:10">
      <c r="I26" s="2"/>
    </row>
    <row r="27" spans="1:10">
      <c r="A27" s="1" t="s">
        <v>47</v>
      </c>
      <c r="B27" s="14" t="s">
        <v>37</v>
      </c>
      <c r="C27" s="14" t="s">
        <v>38</v>
      </c>
      <c r="D27" s="14" t="s">
        <v>39</v>
      </c>
      <c r="E27" s="14" t="s">
        <v>40</v>
      </c>
      <c r="F27" s="14" t="s">
        <v>41</v>
      </c>
      <c r="G27" s="14" t="s">
        <v>42</v>
      </c>
      <c r="I27" s="15" t="s">
        <v>50</v>
      </c>
      <c r="J27" s="15" t="s">
        <v>51</v>
      </c>
    </row>
    <row r="28" spans="1:10">
      <c r="A28" s="1" t="s">
        <v>2</v>
      </c>
      <c r="B28" s="2">
        <f>Rural_res_calculation!W4</f>
        <v>7087556981214.3281</v>
      </c>
      <c r="C28" s="2">
        <f>Rural_res_calculation!W16</f>
        <v>4013207577785.208</v>
      </c>
      <c r="D28" s="2">
        <f>Rural_res_calculation!W28</f>
        <v>0</v>
      </c>
      <c r="E28" s="2">
        <f>Rural_res_calculation!W40</f>
        <v>4013207577785.208</v>
      </c>
      <c r="F28" s="2">
        <f>Rural_res_calculation!W52</f>
        <v>9202855218531.3867</v>
      </c>
      <c r="G28" s="2">
        <f>Rural_res_calculation!W64</f>
        <v>0</v>
      </c>
      <c r="I28" s="2">
        <f t="shared" ref="I28:I37" si="2">SUM(B28:G28)</f>
        <v>24316827355316.129</v>
      </c>
      <c r="J28" s="17">
        <f>I28/10^6/About!$B$30/10^6</f>
        <v>0.61277539696536121</v>
      </c>
    </row>
    <row r="29" spans="1:10">
      <c r="A29" s="1" t="s">
        <v>3</v>
      </c>
      <c r="B29" s="2">
        <f>Rural_res_calculation!W5</f>
        <v>48656827172.906181</v>
      </c>
      <c r="C29" s="2">
        <f>Rural_res_calculation!W17</f>
        <v>0</v>
      </c>
      <c r="D29" s="2">
        <f>Rural_res_calculation!W29</f>
        <v>0</v>
      </c>
      <c r="E29" s="2">
        <f>Rural_res_calculation!W41</f>
        <v>0</v>
      </c>
      <c r="F29" s="2">
        <f>Rural_res_calculation!W53</f>
        <v>0</v>
      </c>
      <c r="G29" s="2">
        <f>Rural_res_calculation!W65</f>
        <v>0</v>
      </c>
      <c r="I29" s="2">
        <f t="shared" si="2"/>
        <v>48656827172.906181</v>
      </c>
      <c r="J29" s="17">
        <f>I29/10^6/About!$B$30/10^6</f>
        <v>1.2261347317348236E-3</v>
      </c>
    </row>
    <row r="30" spans="1:10">
      <c r="A30" s="1" t="s">
        <v>4</v>
      </c>
      <c r="B30" s="2">
        <f>Rural_res_calculation!W6</f>
        <v>25638962767280.52</v>
      </c>
      <c r="C30" s="2">
        <f>Rural_res_calculation!W18</f>
        <v>0</v>
      </c>
      <c r="D30" s="2">
        <f>Rural_res_calculation!W30</f>
        <v>0</v>
      </c>
      <c r="E30" s="2">
        <f>Rural_res_calculation!W42</f>
        <v>0</v>
      </c>
      <c r="F30" s="2">
        <f>Rural_res_calculation!W54</f>
        <v>5378410964615.0928</v>
      </c>
      <c r="G30" s="2">
        <f>Rural_res_calculation!W66</f>
        <v>0</v>
      </c>
      <c r="I30" s="2">
        <f t="shared" si="2"/>
        <v>31017373731895.613</v>
      </c>
      <c r="J30" s="17">
        <f>I30/10^6/About!$B$30/10^6</f>
        <v>0.78162678147361497</v>
      </c>
    </row>
    <row r="31" spans="1:10">
      <c r="A31" s="1" t="s">
        <v>5</v>
      </c>
      <c r="B31" s="2">
        <f>Rural_res_calculation!W7</f>
        <v>0</v>
      </c>
      <c r="C31" s="2">
        <f>Rural_res_calculation!W19</f>
        <v>0</v>
      </c>
      <c r="D31" s="2">
        <f>Rural_res_calculation!W31</f>
        <v>0</v>
      </c>
      <c r="E31" s="2">
        <f>Rural_res_calculation!W43</f>
        <v>0</v>
      </c>
      <c r="F31" s="2">
        <f>Rural_res_calculation!W55</f>
        <v>0</v>
      </c>
      <c r="G31" s="2">
        <f>Rural_res_calculation!W67</f>
        <v>0</v>
      </c>
      <c r="I31" s="2">
        <f t="shared" si="2"/>
        <v>0</v>
      </c>
      <c r="J31" s="17">
        <f>I31/10^6/About!$B$30/10^6</f>
        <v>0</v>
      </c>
    </row>
    <row r="32" spans="1:10">
      <c r="A32" s="1" t="s">
        <v>7</v>
      </c>
      <c r="B32" s="2">
        <f>Rural_res_calculation!W8</f>
        <v>7232197425278.4697</v>
      </c>
      <c r="C32" s="2">
        <f>Rural_res_calculation!W20</f>
        <v>0</v>
      </c>
      <c r="D32" s="2">
        <f>Rural_res_calculation!W32</f>
        <v>0</v>
      </c>
      <c r="E32" s="2">
        <f>Rural_res_calculation!W44</f>
        <v>0</v>
      </c>
      <c r="F32" s="2">
        <f>Rural_res_calculation!W56</f>
        <v>0</v>
      </c>
      <c r="G32" s="2">
        <f>Rural_res_calculation!W68</f>
        <v>0</v>
      </c>
      <c r="I32" s="2">
        <f t="shared" si="2"/>
        <v>7232197425278.4697</v>
      </c>
      <c r="J32" s="17">
        <f>I32/10^6/About!$B$30/10^6</f>
        <v>0.18224880176393654</v>
      </c>
    </row>
    <row r="33" spans="1:10">
      <c r="A33" s="1" t="s">
        <v>11</v>
      </c>
      <c r="B33" s="2">
        <f>Rural_res_calculation!W9</f>
        <v>463368629214.49487</v>
      </c>
      <c r="C33" s="2">
        <f>Rural_res_calculation!W21</f>
        <v>0</v>
      </c>
      <c r="D33" s="2">
        <f>Rural_res_calculation!W33</f>
        <v>0</v>
      </c>
      <c r="E33" s="2">
        <f>Rural_res_calculation!W45</f>
        <v>0</v>
      </c>
      <c r="F33" s="2">
        <f>Rural_res_calculation!W57</f>
        <v>0</v>
      </c>
      <c r="G33" s="2">
        <f>Rural_res_calculation!W69</f>
        <v>0</v>
      </c>
      <c r="I33" s="2">
        <f t="shared" si="2"/>
        <v>463368629214.49487</v>
      </c>
      <c r="J33" s="17">
        <f>I33/10^6/About!$B$30/10^6</f>
        <v>1.1676724580854189E-2</v>
      </c>
    </row>
    <row r="34" spans="1:10">
      <c r="A34" s="1" t="s">
        <v>13</v>
      </c>
      <c r="B34" s="2">
        <f>Rural_res_calculation!W10</f>
        <v>0</v>
      </c>
      <c r="C34" s="2">
        <f>Rural_res_calculation!W22</f>
        <v>0</v>
      </c>
      <c r="D34" s="2">
        <f>Rural_res_calculation!W34</f>
        <v>0</v>
      </c>
      <c r="E34" s="2">
        <f>Rural_res_calculation!W46</f>
        <v>0</v>
      </c>
      <c r="F34" s="2">
        <f>Rural_res_calculation!W58</f>
        <v>0</v>
      </c>
      <c r="G34" s="2">
        <f>Rural_res_calculation!W70</f>
        <v>0</v>
      </c>
      <c r="I34" s="2">
        <f t="shared" si="2"/>
        <v>0</v>
      </c>
      <c r="J34" s="17">
        <f>I34/10^6/About!$B$30/10^6</f>
        <v>0</v>
      </c>
    </row>
    <row r="35" spans="1:10">
      <c r="A35" s="1" t="s">
        <v>14</v>
      </c>
      <c r="B35" s="2">
        <f>Rural_res_calculation!W11</f>
        <v>2202710277093.7627</v>
      </c>
      <c r="C35" s="2">
        <f>Rural_res_calculation!W23</f>
        <v>0</v>
      </c>
      <c r="D35" s="2">
        <f>Rural_res_calculation!W35</f>
        <v>0</v>
      </c>
      <c r="E35" s="2">
        <f>Rural_res_calculation!W47</f>
        <v>0</v>
      </c>
      <c r="F35" s="2">
        <f>Rural_res_calculation!W59</f>
        <v>0</v>
      </c>
      <c r="G35" s="2">
        <f>Rural_res_calculation!W71</f>
        <v>0</v>
      </c>
      <c r="I35" s="2">
        <f t="shared" si="2"/>
        <v>2202710277093.7627</v>
      </c>
      <c r="J35" s="17">
        <f>I35/10^6/About!$B$30/10^6</f>
        <v>5.550751521664795E-2</v>
      </c>
    </row>
    <row r="36" spans="1:10">
      <c r="A36" s="1" t="s">
        <v>15</v>
      </c>
      <c r="B36" s="2">
        <f>Rural_res_calculation!W12</f>
        <v>674364304264.92749</v>
      </c>
      <c r="C36" s="2">
        <f>Rural_res_calculation!W24</f>
        <v>0</v>
      </c>
      <c r="D36" s="2">
        <f>Rural_res_calculation!W36</f>
        <v>0</v>
      </c>
      <c r="E36" s="2">
        <f>Rural_res_calculation!W48</f>
        <v>0</v>
      </c>
      <c r="F36" s="2">
        <f>Rural_res_calculation!W60</f>
        <v>141464707489.34384</v>
      </c>
      <c r="G36" s="2">
        <f>Rural_res_calculation!W72</f>
        <v>0</v>
      </c>
      <c r="I36" s="2">
        <f t="shared" si="2"/>
        <v>815829011754.27136</v>
      </c>
      <c r="J36" s="17">
        <f>I36/10^6/About!$B$30/10^6</f>
        <v>2.0558600808764215E-2</v>
      </c>
    </row>
    <row r="37" spans="1:10">
      <c r="A37" s="1" t="s">
        <v>16</v>
      </c>
      <c r="B37" s="2">
        <f>Rural_res_calculation!W13</f>
        <v>0</v>
      </c>
      <c r="C37" s="2">
        <f>Rural_res_calculation!W25</f>
        <v>0</v>
      </c>
      <c r="D37" s="2">
        <f>Rural_res_calculation!W37</f>
        <v>0</v>
      </c>
      <c r="E37" s="2">
        <f>Rural_res_calculation!W49</f>
        <v>0</v>
      </c>
      <c r="F37" s="2">
        <f>Rural_res_calculation!W61</f>
        <v>0</v>
      </c>
      <c r="G37" s="2">
        <f>Rural_res_calculation!W73</f>
        <v>0</v>
      </c>
      <c r="I37" s="2">
        <f t="shared" si="2"/>
        <v>0</v>
      </c>
      <c r="J37" s="17">
        <f>I37/10^6/About!$B$30/10^6</f>
        <v>0</v>
      </c>
    </row>
    <row r="38" spans="1:10">
      <c r="I38" s="2">
        <f>SUM(I28:I37)</f>
        <v>66096963257725.648</v>
      </c>
      <c r="J38" s="17">
        <f>I38/10^6/About!$B$30/10^6</f>
        <v>1.6656199555409141</v>
      </c>
    </row>
    <row r="39" spans="1:10">
      <c r="B39" s="2">
        <f t="shared" ref="B39:G39" si="3">SUM(B28:B37,B15:B24)</f>
        <v>528631917213651.69</v>
      </c>
      <c r="C39" s="2">
        <f t="shared" si="3"/>
        <v>48941555826648.906</v>
      </c>
      <c r="D39" s="2">
        <f t="shared" si="3"/>
        <v>0</v>
      </c>
      <c r="E39" s="2">
        <f t="shared" si="3"/>
        <v>48941555826648.906</v>
      </c>
      <c r="F39" s="2">
        <f t="shared" si="3"/>
        <v>179545498666290.56</v>
      </c>
      <c r="G39" s="2">
        <f t="shared" si="3"/>
        <v>0</v>
      </c>
    </row>
    <row r="40" spans="1:10">
      <c r="B40" s="17">
        <f>B39/10^6/About!$B$30/10^6</f>
        <v>13.321336216516645</v>
      </c>
      <c r="C40" s="17">
        <f>C39/10^6/About!$B$30/10^6</f>
        <v>1.2333097924972825</v>
      </c>
      <c r="D40" s="17">
        <f>D39/10^6/About!$B$30/10^6</f>
        <v>0</v>
      </c>
      <c r="E40" s="17">
        <f>E39/10^6/About!$B$30/10^6</f>
        <v>1.2333097924972825</v>
      </c>
      <c r="F40" s="17">
        <f>F39/10^6/About!$B$30/10^6</f>
        <v>4.52448268069507</v>
      </c>
      <c r="G40" s="17">
        <f>G39/10^6/About!$B$30/10^6</f>
        <v>0</v>
      </c>
    </row>
    <row r="42" spans="1:10">
      <c r="A42" t="s">
        <v>52</v>
      </c>
    </row>
  </sheetData>
  <phoneticPr fontId="11"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H36"/>
  <sheetViews>
    <sheetView zoomScaleNormal="100" workbookViewId="0">
      <selection activeCell="B2" sqref="B2"/>
    </sheetView>
  </sheetViews>
  <sheetFormatPr defaultRowHeight="16.5"/>
  <cols>
    <col min="1" max="1" width="29.875" customWidth="1"/>
    <col min="2" max="32" width="15" customWidth="1"/>
  </cols>
  <sheetData>
    <row r="1" spans="1:34">
      <c r="A1" s="1" t="s">
        <v>1</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row>
    <row r="2" spans="1:34">
      <c r="A2" s="1" t="s">
        <v>2</v>
      </c>
      <c r="B2" s="3">
        <f>Urban_res_calculation!B4</f>
        <v>64335875076647.898</v>
      </c>
      <c r="C2" s="3">
        <f>Urban_res_calculation!C4</f>
        <v>67639098395954.93</v>
      </c>
      <c r="D2" s="3">
        <f>Urban_res_calculation!D4</f>
        <v>70821277852066.547</v>
      </c>
      <c r="E2" s="3">
        <f>Urban_res_calculation!E4</f>
        <v>71246205519178.953</v>
      </c>
      <c r="F2" s="3">
        <f>Urban_res_calculation!F4</f>
        <v>71673682752294.031</v>
      </c>
      <c r="G2" s="3">
        <f>Urban_res_calculation!G4</f>
        <v>72103724848807.797</v>
      </c>
      <c r="H2" s="3">
        <f>Urban_res_calculation!H4</f>
        <v>72536347197900.641</v>
      </c>
      <c r="I2" s="3">
        <f>Urban_res_calculation!I4</f>
        <v>72971565281088.047</v>
      </c>
      <c r="J2" s="3">
        <f>Urban_res_calculation!J4</f>
        <v>73409394672774.578</v>
      </c>
      <c r="K2" s="3">
        <f>Urban_res_calculation!K4</f>
        <v>73849851040811.219</v>
      </c>
      <c r="L2" s="3">
        <f>Urban_res_calculation!L4</f>
        <v>74292950147056.094</v>
      </c>
      <c r="M2" s="3">
        <f>Urban_res_calculation!M4</f>
        <v>74738707847938.438</v>
      </c>
      <c r="N2" s="3">
        <f>Urban_res_calculation!N4</f>
        <v>75187140095026.063</v>
      </c>
      <c r="O2" s="3">
        <f>Urban_res_calculation!O4</f>
        <v>75638262935596.219</v>
      </c>
      <c r="P2" s="3">
        <f>Urban_res_calculation!P4</f>
        <v>76092092513209.797</v>
      </c>
      <c r="Q2" s="3">
        <f>Urban_res_calculation!Q4</f>
        <v>76548645068289.063</v>
      </c>
      <c r="R2" s="3">
        <f>Urban_res_calculation!R4</f>
        <v>77007936938698.797</v>
      </c>
      <c r="S2" s="3">
        <f>Urban_res_calculation!S4</f>
        <v>77469984560330.984</v>
      </c>
      <c r="T2" s="3">
        <f>Urban_res_calculation!T4</f>
        <v>77934804467692.969</v>
      </c>
      <c r="U2" s="3">
        <f>Urban_res_calculation!U4</f>
        <v>78402413294499.125</v>
      </c>
      <c r="V2" s="3">
        <f>Urban_res_calculation!V4</f>
        <v>78872827774266.125</v>
      </c>
      <c r="W2" s="3">
        <f>Urban_res_calculation!W4</f>
        <v>79346064740911.719</v>
      </c>
      <c r="X2" s="3">
        <f>Urban_res_calculation!X4</f>
        <v>79822141129357.188</v>
      </c>
      <c r="Y2" s="3">
        <f>Urban_res_calculation!Y4</f>
        <v>80301073976133.328</v>
      </c>
      <c r="Z2" s="3">
        <f>Urban_res_calculation!Z4</f>
        <v>80782880419990.125</v>
      </c>
      <c r="AA2" s="3">
        <f>Urban_res_calculation!AA4</f>
        <v>81267577702510.063</v>
      </c>
      <c r="AB2" s="3">
        <f>Urban_res_calculation!AB4</f>
        <v>81755183168725.125</v>
      </c>
      <c r="AC2" s="3">
        <f>Urban_res_calculation!AC4</f>
        <v>82245714267737.469</v>
      </c>
      <c r="AD2" s="3">
        <f>Urban_res_calculation!AD4</f>
        <v>82739188553343.891</v>
      </c>
      <c r="AE2" s="3">
        <f>Urban_res_calculation!AE4</f>
        <v>83235623684663.953</v>
      </c>
      <c r="AF2" s="3">
        <f>Urban_res_calculation!AF4</f>
        <v>83735037426771.938</v>
      </c>
      <c r="AH2" s="5"/>
    </row>
    <row r="3" spans="1:34">
      <c r="A3" s="1" t="s">
        <v>3</v>
      </c>
      <c r="B3" s="3">
        <f>Urban_res_calculation!B5</f>
        <v>10785423073635.699</v>
      </c>
      <c r="C3" s="3">
        <f>Urban_res_calculation!C5</f>
        <v>7996184333100.001</v>
      </c>
      <c r="D3" s="3">
        <f>Urban_res_calculation!D5</f>
        <v>7038099376560.002</v>
      </c>
      <c r="E3" s="3">
        <f>Urban_res_calculation!E5</f>
        <v>6151298855113.4414</v>
      </c>
      <c r="F3" s="3">
        <f>Urban_res_calculation!F5</f>
        <v>5376235199369.1475</v>
      </c>
      <c r="G3" s="3">
        <f>Urban_res_calculation!G5</f>
        <v>4698829564248.6348</v>
      </c>
      <c r="H3" s="3">
        <f>Urban_res_calculation!H5</f>
        <v>4106777039153.3066</v>
      </c>
      <c r="I3" s="3">
        <f>Urban_res_calculation!I5</f>
        <v>3589323132219.9902</v>
      </c>
      <c r="J3" s="3">
        <f>Urban_res_calculation!J5</f>
        <v>3137068417560.2715</v>
      </c>
      <c r="K3" s="3">
        <f>Urban_res_calculation!K5</f>
        <v>2741797796947.6772</v>
      </c>
      <c r="L3" s="3">
        <f>Urban_res_calculation!L5</f>
        <v>2396331274532.27</v>
      </c>
      <c r="M3" s="3">
        <f>Urban_res_calculation!M5</f>
        <v>2094393533941.2041</v>
      </c>
      <c r="N3" s="3">
        <f>Urban_res_calculation!N5</f>
        <v>1830499948664.6123</v>
      </c>
      <c r="O3" s="3">
        <f>Urban_res_calculation!O5</f>
        <v>1599856955132.8711</v>
      </c>
      <c r="P3" s="3">
        <f>Urban_res_calculation!P5</f>
        <v>1398274978786.1294</v>
      </c>
      <c r="Q3" s="3">
        <f>Urban_res_calculation!Q5</f>
        <v>1222092331459.0771</v>
      </c>
      <c r="R3" s="3">
        <f>Urban_res_calculation!R5</f>
        <v>1068108697695.2334</v>
      </c>
      <c r="S3" s="3">
        <f>Urban_res_calculation!S5</f>
        <v>933527001785.63403</v>
      </c>
      <c r="T3" s="3">
        <f>Urban_res_calculation!T5</f>
        <v>815902599560.64417</v>
      </c>
      <c r="U3" s="3">
        <f>Urban_res_calculation!U5</f>
        <v>713098872016.00305</v>
      </c>
      <c r="V3" s="3">
        <f>Urban_res_calculation!V5</f>
        <v>623248414141.98669</v>
      </c>
      <c r="W3" s="3">
        <f>Urban_res_calculation!W5</f>
        <v>544719113960.09637</v>
      </c>
      <c r="X3" s="3">
        <f>Urban_res_calculation!X5</f>
        <v>476084505601.12421</v>
      </c>
      <c r="Y3" s="3">
        <f>Urban_res_calculation!Y5</f>
        <v>416097857895.38257</v>
      </c>
      <c r="Z3" s="3">
        <f>Urban_res_calculation!Z5</f>
        <v>363669527800.56439</v>
      </c>
      <c r="AA3" s="3">
        <f>Urban_res_calculation!AA5</f>
        <v>317847167297.6933</v>
      </c>
      <c r="AB3" s="3">
        <f>Urban_res_calculation!AB5</f>
        <v>277798424218.18396</v>
      </c>
      <c r="AC3" s="3">
        <f>Urban_res_calculation!AC5</f>
        <v>242795822766.69278</v>
      </c>
      <c r="AD3" s="3">
        <f>Urban_res_calculation!AD5</f>
        <v>212203549098.08948</v>
      </c>
      <c r="AE3" s="3">
        <f>Urban_res_calculation!AE5</f>
        <v>185465901911.73019</v>
      </c>
      <c r="AF3" s="3">
        <f>Urban_res_calculation!AF5</f>
        <v>162097198270.8522</v>
      </c>
    </row>
    <row r="4" spans="1:34">
      <c r="A4" s="1" t="s">
        <v>4</v>
      </c>
      <c r="B4" s="3">
        <f>Urban_res_calculation!B6</f>
        <v>315994095657678.75</v>
      </c>
      <c r="C4" s="3">
        <f>Urban_res_calculation!C6</f>
        <v>328232931999360.94</v>
      </c>
      <c r="D4" s="3">
        <f>Urban_res_calculation!D6</f>
        <v>334354759387182.44</v>
      </c>
      <c r="E4" s="3">
        <f>Urban_res_calculation!E6</f>
        <v>331679921312085</v>
      </c>
      <c r="F4" s="3">
        <f>Urban_res_calculation!F6</f>
        <v>329026481941588.31</v>
      </c>
      <c r="G4" s="3">
        <f>Urban_res_calculation!G6</f>
        <v>326394270086055.63</v>
      </c>
      <c r="H4" s="3">
        <f>Urban_res_calculation!H6</f>
        <v>323783115925367.19</v>
      </c>
      <c r="I4" s="3">
        <f>Urban_res_calculation!I6</f>
        <v>321192850997964.25</v>
      </c>
      <c r="J4" s="3">
        <f>Urban_res_calculation!J6</f>
        <v>318623308189980.56</v>
      </c>
      <c r="K4" s="3">
        <f>Urban_res_calculation!K6</f>
        <v>316074321724460.69</v>
      </c>
      <c r="L4" s="3">
        <f>Urban_res_calculation!L6</f>
        <v>313545727150665</v>
      </c>
      <c r="M4" s="3">
        <f>Urban_res_calculation!M6</f>
        <v>311037361333459.69</v>
      </c>
      <c r="N4" s="3">
        <f>Urban_res_calculation!N6</f>
        <v>308549062442792</v>
      </c>
      <c r="O4" s="3">
        <f>Urban_res_calculation!O6</f>
        <v>306080669943249.69</v>
      </c>
      <c r="P4" s="3">
        <f>Urban_res_calculation!P6</f>
        <v>303632024583703.69</v>
      </c>
      <c r="Q4" s="3">
        <f>Urban_res_calculation!Q6</f>
        <v>301202968387034.06</v>
      </c>
      <c r="R4" s="3">
        <f>Urban_res_calculation!R6</f>
        <v>298793344639937.81</v>
      </c>
      <c r="S4" s="3">
        <f>Urban_res_calculation!S6</f>
        <v>296402997882818.31</v>
      </c>
      <c r="T4" s="3">
        <f>Urban_res_calculation!T6</f>
        <v>294031773899755.75</v>
      </c>
      <c r="U4" s="3">
        <f>Urban_res_calculation!U6</f>
        <v>291679519708557.69</v>
      </c>
      <c r="V4" s="3">
        <f>Urban_res_calculation!V6</f>
        <v>289346083550889.25</v>
      </c>
      <c r="W4" s="3">
        <f>Urban_res_calculation!W6</f>
        <v>287031314882482.13</v>
      </c>
      <c r="X4" s="3">
        <f>Urban_res_calculation!X6</f>
        <v>284735064363422.25</v>
      </c>
      <c r="Y4" s="3">
        <f>Urban_res_calculation!Y6</f>
        <v>282457183848514.88</v>
      </c>
      <c r="Z4" s="3">
        <f>Urban_res_calculation!Z6</f>
        <v>280197526377726.75</v>
      </c>
      <c r="AA4" s="3">
        <f>Urban_res_calculation!AA6</f>
        <v>277955946166704.94</v>
      </c>
      <c r="AB4" s="3">
        <f>Urban_res_calculation!AB6</f>
        <v>275732298597371.28</v>
      </c>
      <c r="AC4" s="3">
        <f>Urban_res_calculation!AC6</f>
        <v>273526440208592.31</v>
      </c>
      <c r="AD4" s="3">
        <f>Urban_res_calculation!AD6</f>
        <v>271338228686923.56</v>
      </c>
      <c r="AE4" s="3">
        <f>Urban_res_calculation!AE6</f>
        <v>269167522857428.19</v>
      </c>
      <c r="AF4" s="3">
        <f>Urban_res_calculation!AF6</f>
        <v>267014182674568.75</v>
      </c>
    </row>
    <row r="5" spans="1:34">
      <c r="A5" s="1" t="s">
        <v>5</v>
      </c>
      <c r="B5" s="3">
        <f>Urban_res_calculation!B7</f>
        <v>0</v>
      </c>
      <c r="C5" s="3">
        <f>Urban_res_calculation!C7</f>
        <v>0</v>
      </c>
      <c r="D5" s="3">
        <f>Urban_res_calculation!D7</f>
        <v>0</v>
      </c>
      <c r="E5" s="3">
        <f>Urban_res_calculation!E7</f>
        <v>0</v>
      </c>
      <c r="F5" s="3">
        <f>Urban_res_calculation!F7</f>
        <v>0</v>
      </c>
      <c r="G5" s="3">
        <f>Urban_res_calculation!G7</f>
        <v>0</v>
      </c>
      <c r="H5" s="3">
        <f>Urban_res_calculation!H7</f>
        <v>0</v>
      </c>
      <c r="I5" s="3">
        <f>Urban_res_calculation!I7</f>
        <v>0</v>
      </c>
      <c r="J5" s="3">
        <f>Urban_res_calculation!J7</f>
        <v>0</v>
      </c>
      <c r="K5" s="3">
        <f>Urban_res_calculation!K7</f>
        <v>0</v>
      </c>
      <c r="L5" s="3">
        <f>Urban_res_calculation!L7</f>
        <v>0</v>
      </c>
      <c r="M5" s="3">
        <f>Urban_res_calculation!M7</f>
        <v>0</v>
      </c>
      <c r="N5" s="3">
        <f>Urban_res_calculation!N7</f>
        <v>0</v>
      </c>
      <c r="O5" s="3">
        <f>Urban_res_calculation!O7</f>
        <v>0</v>
      </c>
      <c r="P5" s="3">
        <f>Urban_res_calculation!P7</f>
        <v>0</v>
      </c>
      <c r="Q5" s="3">
        <f>Urban_res_calculation!Q7</f>
        <v>0</v>
      </c>
      <c r="R5" s="3">
        <f>Urban_res_calculation!R7</f>
        <v>0</v>
      </c>
      <c r="S5" s="3">
        <f>Urban_res_calculation!S7</f>
        <v>0</v>
      </c>
      <c r="T5" s="3">
        <f>Urban_res_calculation!T7</f>
        <v>0</v>
      </c>
      <c r="U5" s="3">
        <f>Urban_res_calculation!U7</f>
        <v>0</v>
      </c>
      <c r="V5" s="3">
        <f>Urban_res_calculation!V7</f>
        <v>0</v>
      </c>
      <c r="W5" s="3">
        <f>Urban_res_calculation!W7</f>
        <v>0</v>
      </c>
      <c r="X5" s="3">
        <f>Urban_res_calculation!X7</f>
        <v>0</v>
      </c>
      <c r="Y5" s="3">
        <f>Urban_res_calculation!Y7</f>
        <v>0</v>
      </c>
      <c r="Z5" s="3">
        <f>Urban_res_calculation!Z7</f>
        <v>0</v>
      </c>
      <c r="AA5" s="3">
        <f>Urban_res_calculation!AA7</f>
        <v>0</v>
      </c>
      <c r="AB5" s="3">
        <f>Urban_res_calculation!AB7</f>
        <v>0</v>
      </c>
      <c r="AC5" s="3">
        <f>Urban_res_calculation!AC7</f>
        <v>0</v>
      </c>
      <c r="AD5" s="3">
        <f>Urban_res_calculation!AD7</f>
        <v>0</v>
      </c>
      <c r="AE5" s="3">
        <f>Urban_res_calculation!AE7</f>
        <v>0</v>
      </c>
      <c r="AF5" s="3">
        <f>Urban_res_calculation!AF7</f>
        <v>0</v>
      </c>
    </row>
    <row r="6" spans="1:34">
      <c r="A6" s="1" t="s">
        <v>7</v>
      </c>
      <c r="B6" s="3">
        <f>Urban_res_calculation!B8</f>
        <v>75772498464000</v>
      </c>
      <c r="C6" s="3">
        <f>Urban_res_calculation!C8</f>
        <v>80129417125680</v>
      </c>
      <c r="D6" s="3">
        <f>Urban_res_calculation!D8</f>
        <v>82519165154160</v>
      </c>
      <c r="E6" s="3">
        <f>Urban_res_calculation!E8</f>
        <v>82436645989005.844</v>
      </c>
      <c r="F6" s="3">
        <f>Urban_res_calculation!F8</f>
        <v>82354209343016.844</v>
      </c>
      <c r="G6" s="3">
        <f>Urban_res_calculation!G8</f>
        <v>82271855133673.828</v>
      </c>
      <c r="H6" s="3">
        <f>Urban_res_calculation!H8</f>
        <v>82189583278540.156</v>
      </c>
      <c r="I6" s="3">
        <f>Urban_res_calculation!I8</f>
        <v>82107393695261.609</v>
      </c>
      <c r="J6" s="3">
        <f>Urban_res_calculation!J8</f>
        <v>82025286301566.344</v>
      </c>
      <c r="K6" s="3">
        <f>Urban_res_calculation!K8</f>
        <v>81943261015264.781</v>
      </c>
      <c r="L6" s="3">
        <f>Urban_res_calculation!L8</f>
        <v>81861317754249.516</v>
      </c>
      <c r="M6" s="3">
        <f>Urban_res_calculation!M8</f>
        <v>81779456436495.266</v>
      </c>
      <c r="N6" s="3">
        <f>Urban_res_calculation!N8</f>
        <v>81697676980058.766</v>
      </c>
      <c r="O6" s="3">
        <f>Urban_res_calculation!O8</f>
        <v>81615979303078.703</v>
      </c>
      <c r="P6" s="3">
        <f>Urban_res_calculation!P8</f>
        <v>81534363323775.625</v>
      </c>
      <c r="Q6" s="3">
        <f>Urban_res_calculation!Q8</f>
        <v>81452828960451.844</v>
      </c>
      <c r="R6" s="3">
        <f>Urban_res_calculation!R8</f>
        <v>81371376131491.391</v>
      </c>
      <c r="S6" s="3">
        <f>Urban_res_calculation!S8</f>
        <v>81290004755359.906</v>
      </c>
      <c r="T6" s="3">
        <f>Urban_res_calculation!T8</f>
        <v>81208714750604.547</v>
      </c>
      <c r="U6" s="3">
        <f>Urban_res_calculation!U8</f>
        <v>81127506035853.938</v>
      </c>
      <c r="V6" s="3">
        <f>Urban_res_calculation!V8</f>
        <v>81046378529818.078</v>
      </c>
      <c r="W6" s="3">
        <f>Urban_res_calculation!W8</f>
        <v>80965332151288.266</v>
      </c>
      <c r="X6" s="3">
        <f>Urban_res_calculation!X8</f>
        <v>80884366819136.984</v>
      </c>
      <c r="Y6" s="3">
        <f>Urban_res_calculation!Y8</f>
        <v>80803482452317.844</v>
      </c>
      <c r="Z6" s="3">
        <f>Urban_res_calculation!Z8</f>
        <v>80722678969865.531</v>
      </c>
      <c r="AA6" s="3">
        <f>Urban_res_calculation!AA8</f>
        <v>80641956290895.672</v>
      </c>
      <c r="AB6" s="3">
        <f>Urban_res_calculation!AB8</f>
        <v>80561314334604.781</v>
      </c>
      <c r="AC6" s="3">
        <f>Urban_res_calculation!AC8</f>
        <v>80480753020270.172</v>
      </c>
      <c r="AD6" s="3">
        <f>Urban_res_calculation!AD8</f>
        <v>80400272267249.906</v>
      </c>
      <c r="AE6" s="3">
        <f>Urban_res_calculation!AE8</f>
        <v>80319871994982.656</v>
      </c>
      <c r="AF6" s="3">
        <f>Urban_res_calculation!AF8</f>
        <v>80239552122987.672</v>
      </c>
    </row>
    <row r="7" spans="1:34">
      <c r="A7" s="1" t="s">
        <v>11</v>
      </c>
      <c r="B7" s="3">
        <f>Urban_res_calculation!B9</f>
        <v>4830496777080.001</v>
      </c>
      <c r="C7" s="3">
        <f>Urban_res_calculation!C9</f>
        <v>4611922262280</v>
      </c>
      <c r="D7" s="3">
        <f>Urban_res_calculation!D9</f>
        <v>4630136805180.001</v>
      </c>
      <c r="E7" s="3">
        <f>Urban_res_calculation!E9</f>
        <v>4657917626011.0811</v>
      </c>
      <c r="F7" s="3">
        <f>Urban_res_calculation!F9</f>
        <v>4685865131767.1475</v>
      </c>
      <c r="G7" s="3">
        <f>Urban_res_calculation!G9</f>
        <v>4713980322557.75</v>
      </c>
      <c r="H7" s="3">
        <f>Urban_res_calculation!H9</f>
        <v>4742264204493.0967</v>
      </c>
      <c r="I7" s="3">
        <f>Urban_res_calculation!I9</f>
        <v>4770717789720.0557</v>
      </c>
      <c r="J7" s="3">
        <f>Urban_res_calculation!J9</f>
        <v>4799342096458.376</v>
      </c>
      <c r="K7" s="3">
        <f>Urban_res_calculation!K9</f>
        <v>4828138149037.126</v>
      </c>
      <c r="L7" s="3">
        <f>Urban_res_calculation!L9</f>
        <v>4857106977931.3486</v>
      </c>
      <c r="M7" s="3">
        <f>Urban_res_calculation!M9</f>
        <v>4886249619798.9365</v>
      </c>
      <c r="N7" s="3">
        <f>Urban_res_calculation!N9</f>
        <v>4915567117517.7305</v>
      </c>
      <c r="O7" s="3">
        <f>Urban_res_calculation!O9</f>
        <v>4945060520222.8369</v>
      </c>
      <c r="P7" s="3">
        <f>Urban_res_calculation!P9</f>
        <v>4974730883344.1738</v>
      </c>
      <c r="Q7" s="3">
        <f>Urban_res_calculation!Q9</f>
        <v>5004579268644.2393</v>
      </c>
      <c r="R7" s="3">
        <f>Urban_res_calculation!R9</f>
        <v>5034606744256.1045</v>
      </c>
      <c r="S7" s="3">
        <f>Urban_res_calculation!S9</f>
        <v>5064814384721.6416</v>
      </c>
      <c r="T7" s="3">
        <f>Urban_res_calculation!T9</f>
        <v>5095203271029.9717</v>
      </c>
      <c r="U7" s="3">
        <f>Urban_res_calculation!U9</f>
        <v>5125774490656.1514</v>
      </c>
      <c r="V7" s="3">
        <f>Urban_res_calculation!V9</f>
        <v>5156529137600.0879</v>
      </c>
      <c r="W7" s="3">
        <f>Urban_res_calculation!W9</f>
        <v>5187468312425.6885</v>
      </c>
      <c r="X7" s="3">
        <f>Urban_res_calculation!X9</f>
        <v>5218593122300.2422</v>
      </c>
      <c r="Y7" s="3">
        <f>Urban_res_calculation!Y9</f>
        <v>5249904681034.0439</v>
      </c>
      <c r="Z7" s="3">
        <f>Urban_res_calculation!Z9</f>
        <v>5281404109120.248</v>
      </c>
      <c r="AA7" s="3">
        <f>Urban_res_calculation!AA9</f>
        <v>5313092533774.9697</v>
      </c>
      <c r="AB7" s="3">
        <f>Urban_res_calculation!AB9</f>
        <v>5344971088977.6191</v>
      </c>
      <c r="AC7" s="3">
        <f>Urban_res_calculation!AC9</f>
        <v>5377040915511.4854</v>
      </c>
      <c r="AD7" s="3">
        <f>Urban_res_calculation!AD9</f>
        <v>5409303161004.5547</v>
      </c>
      <c r="AE7" s="3">
        <f>Urban_res_calculation!AE9</f>
        <v>5441758979970.582</v>
      </c>
      <c r="AF7" s="3">
        <f>Urban_res_calculation!AF9</f>
        <v>5474409533850.4053</v>
      </c>
    </row>
    <row r="8" spans="1:34">
      <c r="A8" s="1" t="s">
        <v>13</v>
      </c>
      <c r="B8" s="3">
        <f>Urban_res_calculation!B10</f>
        <v>0</v>
      </c>
      <c r="C8" s="3">
        <f>Urban_res_calculation!C10</f>
        <v>0</v>
      </c>
      <c r="D8" s="3">
        <f>Urban_res_calculation!D10</f>
        <v>0</v>
      </c>
      <c r="E8" s="3">
        <f>Urban_res_calculation!E10</f>
        <v>0</v>
      </c>
      <c r="F8" s="3">
        <f>Urban_res_calculation!F10</f>
        <v>0</v>
      </c>
      <c r="G8" s="3">
        <f>Urban_res_calculation!G10</f>
        <v>0</v>
      </c>
      <c r="H8" s="3">
        <f>Urban_res_calculation!H10</f>
        <v>0</v>
      </c>
      <c r="I8" s="3">
        <f>Urban_res_calculation!I10</f>
        <v>0</v>
      </c>
      <c r="J8" s="3">
        <f>Urban_res_calculation!J10</f>
        <v>0</v>
      </c>
      <c r="K8" s="3">
        <f>Urban_res_calculation!K10</f>
        <v>0</v>
      </c>
      <c r="L8" s="3">
        <f>Urban_res_calculation!L10</f>
        <v>0</v>
      </c>
      <c r="M8" s="3">
        <f>Urban_res_calculation!M10</f>
        <v>0</v>
      </c>
      <c r="N8" s="3">
        <f>Urban_res_calculation!N10</f>
        <v>0</v>
      </c>
      <c r="O8" s="3">
        <f>Urban_res_calculation!O10</f>
        <v>0</v>
      </c>
      <c r="P8" s="3">
        <f>Urban_res_calculation!P10</f>
        <v>0</v>
      </c>
      <c r="Q8" s="3">
        <f>Urban_res_calculation!Q10</f>
        <v>0</v>
      </c>
      <c r="R8" s="3">
        <f>Urban_res_calculation!R10</f>
        <v>0</v>
      </c>
      <c r="S8" s="3">
        <f>Urban_res_calculation!S10</f>
        <v>0</v>
      </c>
      <c r="T8" s="3">
        <f>Urban_res_calculation!T10</f>
        <v>0</v>
      </c>
      <c r="U8" s="3">
        <f>Urban_res_calculation!U10</f>
        <v>0</v>
      </c>
      <c r="V8" s="3">
        <f>Urban_res_calculation!V10</f>
        <v>0</v>
      </c>
      <c r="W8" s="3">
        <f>Urban_res_calculation!W10</f>
        <v>0</v>
      </c>
      <c r="X8" s="3">
        <f>Urban_res_calculation!X10</f>
        <v>0</v>
      </c>
      <c r="Y8" s="3">
        <f>Urban_res_calculation!Y10</f>
        <v>0</v>
      </c>
      <c r="Z8" s="3">
        <f>Urban_res_calculation!Z10</f>
        <v>0</v>
      </c>
      <c r="AA8" s="3">
        <f>Urban_res_calculation!AA10</f>
        <v>0</v>
      </c>
      <c r="AB8" s="3">
        <f>Urban_res_calculation!AB10</f>
        <v>0</v>
      </c>
      <c r="AC8" s="3">
        <f>Urban_res_calculation!AC10</f>
        <v>0</v>
      </c>
      <c r="AD8" s="3">
        <f>Urban_res_calculation!AD10</f>
        <v>0</v>
      </c>
      <c r="AE8" s="3">
        <f>Urban_res_calculation!AE10</f>
        <v>0</v>
      </c>
      <c r="AF8" s="3">
        <f>Urban_res_calculation!AF10</f>
        <v>0</v>
      </c>
    </row>
    <row r="9" spans="1:34">
      <c r="A9" s="1" t="s">
        <v>14</v>
      </c>
      <c r="B9" s="3">
        <f>Urban_res_calculation!B11</f>
        <v>57204593431740.008</v>
      </c>
      <c r="C9" s="3">
        <f>Urban_res_calculation!C11</f>
        <v>55753145501365.469</v>
      </c>
      <c r="D9" s="3">
        <f>Urban_res_calculation!D11</f>
        <v>55723903876394.539</v>
      </c>
      <c r="E9" s="3">
        <f>Urban_res_calculation!E11</f>
        <v>53383499913585.969</v>
      </c>
      <c r="F9" s="3">
        <f>Urban_res_calculation!F11</f>
        <v>51141392917215.359</v>
      </c>
      <c r="G9" s="3">
        <f>Urban_res_calculation!G11</f>
        <v>48993454414692.313</v>
      </c>
      <c r="H9" s="3">
        <f>Urban_res_calculation!H11</f>
        <v>46935729329275.234</v>
      </c>
      <c r="I9" s="3">
        <f>Urban_res_calculation!I11</f>
        <v>44964428697445.672</v>
      </c>
      <c r="J9" s="3">
        <f>Urban_res_calculation!J11</f>
        <v>43075922692152.953</v>
      </c>
      <c r="K9" s="3">
        <f>Urban_res_calculation!K11</f>
        <v>41266733939082.531</v>
      </c>
      <c r="L9" s="3">
        <f>Urban_res_calculation!L11</f>
        <v>39533531113641.063</v>
      </c>
      <c r="M9" s="3">
        <f>Urban_res_calculation!M11</f>
        <v>37873122806868.133</v>
      </c>
      <c r="N9" s="3">
        <f>Urban_res_calculation!N11</f>
        <v>36282451648979.672</v>
      </c>
      <c r="O9" s="3">
        <f>Urban_res_calculation!O11</f>
        <v>34758588679722.523</v>
      </c>
      <c r="P9" s="3">
        <f>Urban_res_calculation!P11</f>
        <v>33298727955174.176</v>
      </c>
      <c r="Q9" s="3">
        <f>Urban_res_calculation!Q11</f>
        <v>31900181381056.859</v>
      </c>
      <c r="R9" s="3">
        <f>Urban_res_calculation!R11</f>
        <v>30560373763052.469</v>
      </c>
      <c r="S9" s="3">
        <f>Urban_res_calculation!S11</f>
        <v>29276838065004.266</v>
      </c>
      <c r="T9" s="3">
        <f>Urban_res_calculation!T11</f>
        <v>28047210866274.086</v>
      </c>
      <c r="U9" s="3">
        <f>Urban_res_calculation!U11</f>
        <v>26869228009890.574</v>
      </c>
      <c r="V9" s="3">
        <f>Urban_res_calculation!V11</f>
        <v>25740720433475.168</v>
      </c>
      <c r="W9" s="3">
        <f>Urban_res_calculation!W11</f>
        <v>24659610175269.211</v>
      </c>
      <c r="X9" s="3">
        <f>Urban_res_calculation!X11</f>
        <v>23623906547907.902</v>
      </c>
      <c r="Y9" s="3">
        <f>Urban_res_calculation!Y11</f>
        <v>22631702472895.77</v>
      </c>
      <c r="Z9" s="3">
        <f>Urban_res_calculation!Z11</f>
        <v>21681170969034.145</v>
      </c>
      <c r="AA9" s="3">
        <f>Urban_res_calculation!AA11</f>
        <v>20770561788334.711</v>
      </c>
      <c r="AB9" s="3">
        <f>Urban_res_calculation!AB11</f>
        <v>19898198193224.652</v>
      </c>
      <c r="AC9" s="3">
        <f>Urban_res_calculation!AC11</f>
        <v>19062473869109.215</v>
      </c>
      <c r="AD9" s="3">
        <f>Urban_res_calculation!AD11</f>
        <v>18261849966606.629</v>
      </c>
      <c r="AE9" s="3">
        <f>Urban_res_calculation!AE11</f>
        <v>17494852268009.15</v>
      </c>
      <c r="AF9" s="3">
        <f>Urban_res_calculation!AF11</f>
        <v>16760068472752.766</v>
      </c>
    </row>
    <row r="10" spans="1:34">
      <c r="A10" s="1" t="s">
        <v>15</v>
      </c>
      <c r="B10" s="3">
        <f>Urban_res_calculation!B12</f>
        <v>17513304519217.666</v>
      </c>
      <c r="C10" s="3">
        <f>Urban_res_calculation!C12</f>
        <v>17068940735236.404</v>
      </c>
      <c r="D10" s="3">
        <f>Urban_res_calculation!D12</f>
        <v>17059988351310.039</v>
      </c>
      <c r="E10" s="3">
        <f>Urban_res_calculation!E12</f>
        <v>16343468840555.018</v>
      </c>
      <c r="F10" s="3">
        <f>Urban_res_calculation!F12</f>
        <v>15657043149251.707</v>
      </c>
      <c r="G10" s="3">
        <f>Urban_res_calculation!G12</f>
        <v>14999447336983.135</v>
      </c>
      <c r="H10" s="3">
        <f>Urban_res_calculation!H12</f>
        <v>14369470548829.842</v>
      </c>
      <c r="I10" s="3">
        <f>Urban_res_calculation!I12</f>
        <v>13765952785778.988</v>
      </c>
      <c r="J10" s="3">
        <f>Urban_res_calculation!J12</f>
        <v>13187782768776.27</v>
      </c>
      <c r="K10" s="3">
        <f>Urban_res_calculation!K12</f>
        <v>12633895892487.666</v>
      </c>
      <c r="L10" s="3">
        <f>Urban_res_calculation!L12</f>
        <v>12103272265003.184</v>
      </c>
      <c r="M10" s="3">
        <f>Urban_res_calculation!M12</f>
        <v>11594934829873.049</v>
      </c>
      <c r="N10" s="3">
        <f>Urban_res_calculation!N12</f>
        <v>11107947567018.381</v>
      </c>
      <c r="O10" s="3">
        <f>Urban_res_calculation!O12</f>
        <v>10641413769203.609</v>
      </c>
      <c r="P10" s="3">
        <f>Urban_res_calculation!P12</f>
        <v>10194474390897.057</v>
      </c>
      <c r="Q10" s="3">
        <f>Urban_res_calculation!Q12</f>
        <v>9766306466479.3789</v>
      </c>
      <c r="R10" s="3">
        <f>Urban_res_calculation!R12</f>
        <v>9356121594887.2441</v>
      </c>
      <c r="S10" s="3">
        <f>Urban_res_calculation!S12</f>
        <v>8963164487901.9805</v>
      </c>
      <c r="T10" s="3">
        <f>Urban_res_calculation!T12</f>
        <v>8586711579410.0967</v>
      </c>
      <c r="U10" s="3">
        <f>Urban_res_calculation!U12</f>
        <v>8226069693074.8721</v>
      </c>
      <c r="V10" s="3">
        <f>Urban_res_calculation!V12</f>
        <v>7880574765965.7275</v>
      </c>
      <c r="W10" s="3">
        <f>Urban_res_calculation!W12</f>
        <v>7549590625795.167</v>
      </c>
      <c r="X10" s="3">
        <f>Urban_res_calculation!X12</f>
        <v>7232507819511.7695</v>
      </c>
      <c r="Y10" s="3">
        <f>Urban_res_calculation!Y12</f>
        <v>6928742491092.2754</v>
      </c>
      <c r="Z10" s="3">
        <f>Urban_res_calculation!Z12</f>
        <v>6637735306466.3994</v>
      </c>
      <c r="AA10" s="3">
        <f>Urban_res_calculation!AA12</f>
        <v>6358950423594.8105</v>
      </c>
      <c r="AB10" s="3">
        <f>Urban_res_calculation!AB12</f>
        <v>6091874505803.8281</v>
      </c>
      <c r="AC10" s="3">
        <f>Urban_res_calculation!AC12</f>
        <v>5836015776560.0674</v>
      </c>
      <c r="AD10" s="3">
        <f>Urban_res_calculation!AD12</f>
        <v>5590903113944.5439</v>
      </c>
      <c r="AE10" s="3">
        <f>Urban_res_calculation!AE12</f>
        <v>5356085183158.873</v>
      </c>
      <c r="AF10" s="3">
        <f>Urban_res_calculation!AF12</f>
        <v>5131129605466.2002</v>
      </c>
    </row>
    <row r="11" spans="1:34">
      <c r="A11" s="1" t="s">
        <v>16</v>
      </c>
      <c r="B11" s="3">
        <f>Urban_res_calculation!B13</f>
        <v>0</v>
      </c>
      <c r="C11" s="3">
        <f>Urban_res_calculation!C13</f>
        <v>0</v>
      </c>
      <c r="D11" s="3">
        <f>Urban_res_calculation!D13</f>
        <v>0</v>
      </c>
      <c r="E11" s="3">
        <f>Urban_res_calculation!E13</f>
        <v>0</v>
      </c>
      <c r="F11" s="3">
        <f>Urban_res_calculation!F13</f>
        <v>0</v>
      </c>
      <c r="G11" s="3">
        <f>Urban_res_calculation!G13</f>
        <v>0</v>
      </c>
      <c r="H11" s="3">
        <f>Urban_res_calculation!H13</f>
        <v>0</v>
      </c>
      <c r="I11" s="3">
        <f>Urban_res_calculation!I13</f>
        <v>0</v>
      </c>
      <c r="J11" s="3">
        <f>Urban_res_calculation!J13</f>
        <v>0</v>
      </c>
      <c r="K11" s="3">
        <f>Urban_res_calculation!K13</f>
        <v>0</v>
      </c>
      <c r="L11" s="3">
        <f>Urban_res_calculation!L13</f>
        <v>0</v>
      </c>
      <c r="M11" s="3">
        <f>Urban_res_calculation!M13</f>
        <v>0</v>
      </c>
      <c r="N11" s="3">
        <f>Urban_res_calculation!N13</f>
        <v>0</v>
      </c>
      <c r="O11" s="3">
        <f>Urban_res_calculation!O13</f>
        <v>0</v>
      </c>
      <c r="P11" s="3">
        <f>Urban_res_calculation!P13</f>
        <v>0</v>
      </c>
      <c r="Q11" s="3">
        <f>Urban_res_calculation!Q13</f>
        <v>0</v>
      </c>
      <c r="R11" s="3">
        <f>Urban_res_calculation!R13</f>
        <v>0</v>
      </c>
      <c r="S11" s="3">
        <f>Urban_res_calculation!S13</f>
        <v>0</v>
      </c>
      <c r="T11" s="3">
        <f>Urban_res_calculation!T13</f>
        <v>0</v>
      </c>
      <c r="U11" s="3">
        <f>Urban_res_calculation!U13</f>
        <v>0</v>
      </c>
      <c r="V11" s="3">
        <f>Urban_res_calculation!V13</f>
        <v>0</v>
      </c>
      <c r="W11" s="3">
        <f>Urban_res_calculation!W13</f>
        <v>0</v>
      </c>
      <c r="X11" s="3">
        <f>Urban_res_calculation!X13</f>
        <v>0</v>
      </c>
      <c r="Y11" s="3">
        <f>Urban_res_calculation!Y13</f>
        <v>0</v>
      </c>
      <c r="Z11" s="3">
        <f>Urban_res_calculation!Z13</f>
        <v>0</v>
      </c>
      <c r="AA11" s="3">
        <f>Urban_res_calculation!AA13</f>
        <v>0</v>
      </c>
      <c r="AB11" s="3">
        <f>Urban_res_calculation!AB13</f>
        <v>0</v>
      </c>
      <c r="AC11" s="3">
        <f>Urban_res_calculation!AC13</f>
        <v>0</v>
      </c>
      <c r="AD11" s="3">
        <f>Urban_res_calculation!AD13</f>
        <v>0</v>
      </c>
      <c r="AE11" s="3">
        <f>Urban_res_calculation!AE13</f>
        <v>0</v>
      </c>
      <c r="AF11" s="3">
        <f>Urban_res_calculation!AF13</f>
        <v>0</v>
      </c>
    </row>
    <row r="27" spans="2:6">
      <c r="B27" s="7"/>
      <c r="C27" s="7"/>
      <c r="D27" s="7"/>
      <c r="E27" s="7"/>
      <c r="F27" s="7"/>
    </row>
    <row r="28" spans="2:6">
      <c r="B28" s="7"/>
      <c r="C28" s="7"/>
      <c r="D28" s="7"/>
      <c r="E28" s="7"/>
      <c r="F28" s="7"/>
    </row>
    <row r="29" spans="2:6">
      <c r="B29" s="7"/>
      <c r="C29" s="7"/>
      <c r="D29" s="7"/>
      <c r="E29" s="7"/>
      <c r="F29" s="7"/>
    </row>
    <row r="30" spans="2:6">
      <c r="B30" s="7"/>
      <c r="C30" s="7"/>
      <c r="D30" s="7"/>
      <c r="E30" s="7"/>
      <c r="F30" s="7"/>
    </row>
    <row r="31" spans="2:6">
      <c r="B31" s="7"/>
      <c r="C31" s="7"/>
      <c r="D31" s="7"/>
      <c r="E31" s="7"/>
      <c r="F31" s="7"/>
    </row>
    <row r="32" spans="2:6">
      <c r="B32" s="7"/>
      <c r="C32" s="7"/>
      <c r="D32" s="7"/>
      <c r="E32" s="7"/>
      <c r="F32" s="7"/>
    </row>
    <row r="33" spans="2:6">
      <c r="B33" s="7"/>
      <c r="C33" s="7"/>
      <c r="D33" s="7"/>
      <c r="E33" s="7"/>
      <c r="F33" s="7"/>
    </row>
    <row r="34" spans="2:6">
      <c r="B34" s="7"/>
      <c r="C34" s="7"/>
      <c r="D34" s="7"/>
      <c r="E34" s="7"/>
      <c r="F34" s="7"/>
    </row>
    <row r="35" spans="2:6">
      <c r="B35" s="7"/>
      <c r="C35" s="7"/>
      <c r="D35" s="7"/>
      <c r="E35" s="7"/>
      <c r="F35" s="7"/>
    </row>
    <row r="36" spans="2:6">
      <c r="B36" s="7"/>
      <c r="C36" s="7"/>
      <c r="D36" s="7"/>
      <c r="E36" s="7"/>
      <c r="F36" s="7"/>
    </row>
  </sheetData>
  <phoneticPr fontId="11" type="noConversion"/>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I11"/>
  <sheetViews>
    <sheetView zoomScale="120" zoomScaleNormal="120" workbookViewId="0">
      <selection activeCell="B2" sqref="B2"/>
    </sheetView>
  </sheetViews>
  <sheetFormatPr defaultRowHeight="16.5"/>
  <cols>
    <col min="1" max="1" width="29.875" customWidth="1"/>
    <col min="2" max="33" width="11.875" customWidth="1"/>
  </cols>
  <sheetData>
    <row r="1" spans="1:35">
      <c r="A1" s="1" t="s">
        <v>1</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c r="AI1" s="1"/>
    </row>
    <row r="2" spans="1:35">
      <c r="A2" s="1" t="s">
        <v>2</v>
      </c>
      <c r="B2" s="3">
        <f>Urban_res_calculation!B16</f>
        <v>36429085800000</v>
      </c>
      <c r="C2" s="3">
        <f>Urban_res_calculation!C16</f>
        <v>38299479349046.078</v>
      </c>
      <c r="D2" s="3">
        <f>Urban_res_calculation!D16</f>
        <v>40101333886651.703</v>
      </c>
      <c r="E2" s="3">
        <f>Urban_res_calculation!E16</f>
        <v>40341941889971.617</v>
      </c>
      <c r="F2" s="3">
        <f>Urban_res_calculation!F16</f>
        <v>40583993541311.445</v>
      </c>
      <c r="G2" s="3">
        <f>Urban_res_calculation!G16</f>
        <v>40827497502559.313</v>
      </c>
      <c r="H2" s="3">
        <f>Urban_res_calculation!H16</f>
        <v>41072462487574.672</v>
      </c>
      <c r="I2" s="3">
        <f>Urban_res_calculation!I16</f>
        <v>41318897262500.117</v>
      </c>
      <c r="J2" s="3">
        <f>Urban_res_calculation!J16</f>
        <v>41566810646075.117</v>
      </c>
      <c r="K2" s="3">
        <f>Urban_res_calculation!K16</f>
        <v>41816211509951.57</v>
      </c>
      <c r="L2" s="3">
        <f>Urban_res_calculation!L16</f>
        <v>42067108779011.281</v>
      </c>
      <c r="M2" s="3">
        <f>Urban_res_calculation!M16</f>
        <v>42319511431685.352</v>
      </c>
      <c r="N2" s="3">
        <f>Urban_res_calculation!N16</f>
        <v>42573428500275.461</v>
      </c>
      <c r="O2" s="3">
        <f>Urban_res_calculation!O16</f>
        <v>42828869071277.117</v>
      </c>
      <c r="P2" s="3">
        <f>Urban_res_calculation!P16</f>
        <v>43085842285704.781</v>
      </c>
      <c r="Q2" s="3">
        <f>Urban_res_calculation!Q16</f>
        <v>43344357339419.008</v>
      </c>
      <c r="R2" s="3">
        <f>Urban_res_calculation!R16</f>
        <v>43604423483455.523</v>
      </c>
      <c r="S2" s="3">
        <f>Urban_res_calculation!S16</f>
        <v>43866050024356.258</v>
      </c>
      <c r="T2" s="3">
        <f>Urban_res_calculation!T16</f>
        <v>44129246324502.398</v>
      </c>
      <c r="U2" s="3">
        <f>Urban_res_calculation!U16</f>
        <v>44394021802449.414</v>
      </c>
      <c r="V2" s="3">
        <f>Urban_res_calculation!V16</f>
        <v>44660385933264.109</v>
      </c>
      <c r="W2" s="3">
        <f>Urban_res_calculation!W16</f>
        <v>44928348248863.695</v>
      </c>
      <c r="X2" s="3">
        <f>Urban_res_calculation!X16</f>
        <v>45197918338356.875</v>
      </c>
      <c r="Y2" s="3">
        <f>Urban_res_calculation!Y16</f>
        <v>45469105848387.016</v>
      </c>
      <c r="Z2" s="3">
        <f>Urban_res_calculation!Z16</f>
        <v>45741920483477.336</v>
      </c>
      <c r="AA2" s="3">
        <f>Urban_res_calculation!AA16</f>
        <v>46016372006378.203</v>
      </c>
      <c r="AB2" s="3">
        <f>Urban_res_calculation!AB16</f>
        <v>46292470238416.469</v>
      </c>
      <c r="AC2" s="3">
        <f>Urban_res_calculation!AC16</f>
        <v>46570225059846.969</v>
      </c>
      <c r="AD2" s="3">
        <f>Urban_res_calculation!AD16</f>
        <v>46849646410206.055</v>
      </c>
      <c r="AE2" s="3">
        <f>Urban_res_calculation!AE16</f>
        <v>47130744288667.289</v>
      </c>
      <c r="AF2" s="3">
        <f>Urban_res_calculation!AF16</f>
        <v>47413528754399.297</v>
      </c>
      <c r="AG2" s="3">
        <f>Urban_res_calculation!AG16</f>
        <v>47698009926925.695</v>
      </c>
    </row>
    <row r="3" spans="1:35">
      <c r="A3" s="1" t="s">
        <v>3</v>
      </c>
      <c r="B3" s="3">
        <f>Urban_res_calculation!B17</f>
        <v>0</v>
      </c>
      <c r="C3" s="3">
        <f>Urban_res_calculation!C17</f>
        <v>0</v>
      </c>
      <c r="D3" s="3">
        <f>Urban_res_calculation!D17</f>
        <v>0</v>
      </c>
      <c r="E3" s="3">
        <f>Urban_res_calculation!E17</f>
        <v>0</v>
      </c>
      <c r="F3" s="3">
        <f>Urban_res_calculation!F17</f>
        <v>0</v>
      </c>
      <c r="G3" s="3">
        <f>Urban_res_calculation!G17</f>
        <v>0</v>
      </c>
      <c r="H3" s="3">
        <f>Urban_res_calculation!H17</f>
        <v>0</v>
      </c>
      <c r="I3" s="3">
        <f>Urban_res_calculation!I17</f>
        <v>0</v>
      </c>
      <c r="J3" s="3">
        <f>Urban_res_calculation!J17</f>
        <v>0</v>
      </c>
      <c r="K3" s="3">
        <f>Urban_res_calculation!K17</f>
        <v>0</v>
      </c>
      <c r="L3" s="3">
        <f>Urban_res_calculation!L17</f>
        <v>0</v>
      </c>
      <c r="M3" s="3">
        <f>Urban_res_calculation!M17</f>
        <v>0</v>
      </c>
      <c r="N3" s="3">
        <f>Urban_res_calculation!N17</f>
        <v>0</v>
      </c>
      <c r="O3" s="3">
        <f>Urban_res_calculation!O17</f>
        <v>0</v>
      </c>
      <c r="P3" s="3">
        <f>Urban_res_calculation!P17</f>
        <v>0</v>
      </c>
      <c r="Q3" s="3">
        <f>Urban_res_calculation!Q17</f>
        <v>0</v>
      </c>
      <c r="R3" s="3">
        <f>Urban_res_calculation!R17</f>
        <v>0</v>
      </c>
      <c r="S3" s="3">
        <f>Urban_res_calculation!S17</f>
        <v>0</v>
      </c>
      <c r="T3" s="3">
        <f>Urban_res_calculation!T17</f>
        <v>0</v>
      </c>
      <c r="U3" s="3">
        <f>Urban_res_calculation!U17</f>
        <v>0</v>
      </c>
      <c r="V3" s="3">
        <f>Urban_res_calculation!V17</f>
        <v>0</v>
      </c>
      <c r="W3" s="3">
        <f>Urban_res_calculation!W17</f>
        <v>0</v>
      </c>
      <c r="X3" s="3">
        <f>Urban_res_calculation!X17</f>
        <v>0</v>
      </c>
      <c r="Y3" s="3">
        <f>Urban_res_calculation!Y17</f>
        <v>0</v>
      </c>
      <c r="Z3" s="3">
        <f>Urban_res_calculation!Z17</f>
        <v>0</v>
      </c>
      <c r="AA3" s="3">
        <f>Urban_res_calculation!AA17</f>
        <v>0</v>
      </c>
      <c r="AB3" s="3">
        <f>Urban_res_calculation!AB17</f>
        <v>0</v>
      </c>
      <c r="AC3" s="3">
        <f>Urban_res_calculation!AC17</f>
        <v>0</v>
      </c>
      <c r="AD3" s="3">
        <f>Urban_res_calculation!AD17</f>
        <v>0</v>
      </c>
      <c r="AE3" s="3">
        <f>Urban_res_calculation!AE17</f>
        <v>0</v>
      </c>
      <c r="AF3" s="3">
        <f>Urban_res_calculation!AF17</f>
        <v>0</v>
      </c>
      <c r="AG3" s="3">
        <f>Urban_res_calculation!AG17</f>
        <v>0</v>
      </c>
    </row>
    <row r="4" spans="1:35">
      <c r="A4" s="1" t="s">
        <v>4</v>
      </c>
      <c r="B4" s="3">
        <f>Urban_res_calculation!B18</f>
        <v>0</v>
      </c>
      <c r="C4" s="3">
        <f>Urban_res_calculation!C18</f>
        <v>0</v>
      </c>
      <c r="D4" s="3">
        <f>Urban_res_calculation!D18</f>
        <v>0</v>
      </c>
      <c r="E4" s="3">
        <f>Urban_res_calculation!E18</f>
        <v>0</v>
      </c>
      <c r="F4" s="3">
        <f>Urban_res_calculation!F18</f>
        <v>0</v>
      </c>
      <c r="G4" s="3">
        <f>Urban_res_calculation!G18</f>
        <v>0</v>
      </c>
      <c r="H4" s="3">
        <f>Urban_res_calculation!H18</f>
        <v>0</v>
      </c>
      <c r="I4" s="3">
        <f>Urban_res_calculation!I18</f>
        <v>0</v>
      </c>
      <c r="J4" s="3">
        <f>Urban_res_calculation!J18</f>
        <v>0</v>
      </c>
      <c r="K4" s="3">
        <f>Urban_res_calculation!K18</f>
        <v>0</v>
      </c>
      <c r="L4" s="3">
        <f>Urban_res_calculation!L18</f>
        <v>0</v>
      </c>
      <c r="M4" s="3">
        <f>Urban_res_calculation!M18</f>
        <v>0</v>
      </c>
      <c r="N4" s="3">
        <f>Urban_res_calculation!N18</f>
        <v>0</v>
      </c>
      <c r="O4" s="3">
        <f>Urban_res_calculation!O18</f>
        <v>0</v>
      </c>
      <c r="P4" s="3">
        <f>Urban_res_calculation!P18</f>
        <v>0</v>
      </c>
      <c r="Q4" s="3">
        <f>Urban_res_calculation!Q18</f>
        <v>0</v>
      </c>
      <c r="R4" s="3">
        <f>Urban_res_calculation!R18</f>
        <v>0</v>
      </c>
      <c r="S4" s="3">
        <f>Urban_res_calculation!S18</f>
        <v>0</v>
      </c>
      <c r="T4" s="3">
        <f>Urban_res_calculation!T18</f>
        <v>0</v>
      </c>
      <c r="U4" s="3">
        <f>Urban_res_calculation!U18</f>
        <v>0</v>
      </c>
      <c r="V4" s="3">
        <f>Urban_res_calculation!V18</f>
        <v>0</v>
      </c>
      <c r="W4" s="3">
        <f>Urban_res_calculation!W18</f>
        <v>0</v>
      </c>
      <c r="X4" s="3">
        <f>Urban_res_calculation!X18</f>
        <v>0</v>
      </c>
      <c r="Y4" s="3">
        <f>Urban_res_calculation!Y18</f>
        <v>0</v>
      </c>
      <c r="Z4" s="3">
        <f>Urban_res_calculation!Z18</f>
        <v>0</v>
      </c>
      <c r="AA4" s="3">
        <f>Urban_res_calculation!AA18</f>
        <v>0</v>
      </c>
      <c r="AB4" s="3">
        <f>Urban_res_calculation!AB18</f>
        <v>0</v>
      </c>
      <c r="AC4" s="3">
        <f>Urban_res_calculation!AC18</f>
        <v>0</v>
      </c>
      <c r="AD4" s="3">
        <f>Urban_res_calculation!AD18</f>
        <v>0</v>
      </c>
      <c r="AE4" s="3">
        <f>Urban_res_calculation!AE18</f>
        <v>0</v>
      </c>
      <c r="AF4" s="3">
        <f>Urban_res_calculation!AF18</f>
        <v>0</v>
      </c>
      <c r="AG4" s="3">
        <f>Urban_res_calculation!AG18</f>
        <v>0</v>
      </c>
    </row>
    <row r="5" spans="1:35">
      <c r="A5" s="1" t="s">
        <v>5</v>
      </c>
      <c r="B5" s="3">
        <f>Urban_res_calculation!B19</f>
        <v>0</v>
      </c>
      <c r="C5" s="3">
        <f>Urban_res_calculation!C19</f>
        <v>0</v>
      </c>
      <c r="D5" s="3">
        <f>Urban_res_calculation!D19</f>
        <v>0</v>
      </c>
      <c r="E5" s="3">
        <f>Urban_res_calculation!E19</f>
        <v>0</v>
      </c>
      <c r="F5" s="3">
        <f>Urban_res_calculation!F19</f>
        <v>0</v>
      </c>
      <c r="G5" s="3">
        <f>Urban_res_calculation!G19</f>
        <v>0</v>
      </c>
      <c r="H5" s="3">
        <f>Urban_res_calculation!H19</f>
        <v>0</v>
      </c>
      <c r="I5" s="3">
        <f>Urban_res_calculation!I19</f>
        <v>0</v>
      </c>
      <c r="J5" s="3">
        <f>Urban_res_calculation!J19</f>
        <v>0</v>
      </c>
      <c r="K5" s="3">
        <f>Urban_res_calculation!K19</f>
        <v>0</v>
      </c>
      <c r="L5" s="3">
        <f>Urban_res_calculation!L19</f>
        <v>0</v>
      </c>
      <c r="M5" s="3">
        <f>Urban_res_calculation!M19</f>
        <v>0</v>
      </c>
      <c r="N5" s="3">
        <f>Urban_res_calculation!N19</f>
        <v>0</v>
      </c>
      <c r="O5" s="3">
        <f>Urban_res_calculation!O19</f>
        <v>0</v>
      </c>
      <c r="P5" s="3">
        <f>Urban_res_calculation!P19</f>
        <v>0</v>
      </c>
      <c r="Q5" s="3">
        <f>Urban_res_calculation!Q19</f>
        <v>0</v>
      </c>
      <c r="R5" s="3">
        <f>Urban_res_calculation!R19</f>
        <v>0</v>
      </c>
      <c r="S5" s="3">
        <f>Urban_res_calculation!S19</f>
        <v>0</v>
      </c>
      <c r="T5" s="3">
        <f>Urban_res_calculation!T19</f>
        <v>0</v>
      </c>
      <c r="U5" s="3">
        <f>Urban_res_calculation!U19</f>
        <v>0</v>
      </c>
      <c r="V5" s="3">
        <f>Urban_res_calculation!V19</f>
        <v>0</v>
      </c>
      <c r="W5" s="3">
        <f>Urban_res_calculation!W19</f>
        <v>0</v>
      </c>
      <c r="X5" s="3">
        <f>Urban_res_calculation!X19</f>
        <v>0</v>
      </c>
      <c r="Y5" s="3">
        <f>Urban_res_calculation!Y19</f>
        <v>0</v>
      </c>
      <c r="Z5" s="3">
        <f>Urban_res_calculation!Z19</f>
        <v>0</v>
      </c>
      <c r="AA5" s="3">
        <f>Urban_res_calculation!AA19</f>
        <v>0</v>
      </c>
      <c r="AB5" s="3">
        <f>Urban_res_calculation!AB19</f>
        <v>0</v>
      </c>
      <c r="AC5" s="3">
        <f>Urban_res_calculation!AC19</f>
        <v>0</v>
      </c>
      <c r="AD5" s="3">
        <f>Urban_res_calculation!AD19</f>
        <v>0</v>
      </c>
      <c r="AE5" s="3">
        <f>Urban_res_calculation!AE19</f>
        <v>0</v>
      </c>
      <c r="AF5" s="3">
        <f>Urban_res_calculation!AF19</f>
        <v>0</v>
      </c>
      <c r="AG5" s="3">
        <f>Urban_res_calculation!AG19</f>
        <v>0</v>
      </c>
    </row>
    <row r="6" spans="1:35">
      <c r="A6" s="1" t="s">
        <v>7</v>
      </c>
      <c r="B6" s="3">
        <f>Urban_res_calculation!B20</f>
        <v>0</v>
      </c>
      <c r="C6" s="3">
        <f>Urban_res_calculation!C20</f>
        <v>0</v>
      </c>
      <c r="D6" s="3">
        <f>Urban_res_calculation!D20</f>
        <v>0</v>
      </c>
      <c r="E6" s="3">
        <f>Urban_res_calculation!E20</f>
        <v>0</v>
      </c>
      <c r="F6" s="3">
        <f>Urban_res_calculation!F20</f>
        <v>0</v>
      </c>
      <c r="G6" s="3">
        <f>Urban_res_calculation!G20</f>
        <v>0</v>
      </c>
      <c r="H6" s="3">
        <f>Urban_res_calculation!H20</f>
        <v>0</v>
      </c>
      <c r="I6" s="3">
        <f>Urban_res_calculation!I20</f>
        <v>0</v>
      </c>
      <c r="J6" s="3">
        <f>Urban_res_calculation!J20</f>
        <v>0</v>
      </c>
      <c r="K6" s="3">
        <f>Urban_res_calculation!K20</f>
        <v>0</v>
      </c>
      <c r="L6" s="3">
        <f>Urban_res_calculation!L20</f>
        <v>0</v>
      </c>
      <c r="M6" s="3">
        <f>Urban_res_calculation!M20</f>
        <v>0</v>
      </c>
      <c r="N6" s="3">
        <f>Urban_res_calculation!N20</f>
        <v>0</v>
      </c>
      <c r="O6" s="3">
        <f>Urban_res_calculation!O20</f>
        <v>0</v>
      </c>
      <c r="P6" s="3">
        <f>Urban_res_calculation!P20</f>
        <v>0</v>
      </c>
      <c r="Q6" s="3">
        <f>Urban_res_calculation!Q20</f>
        <v>0</v>
      </c>
      <c r="R6" s="3">
        <f>Urban_res_calculation!R20</f>
        <v>0</v>
      </c>
      <c r="S6" s="3">
        <f>Urban_res_calculation!S20</f>
        <v>0</v>
      </c>
      <c r="T6" s="3">
        <f>Urban_res_calculation!T20</f>
        <v>0</v>
      </c>
      <c r="U6" s="3">
        <f>Urban_res_calculation!U20</f>
        <v>0</v>
      </c>
      <c r="V6" s="3">
        <f>Urban_res_calculation!V20</f>
        <v>0</v>
      </c>
      <c r="W6" s="3">
        <f>Urban_res_calculation!W20</f>
        <v>0</v>
      </c>
      <c r="X6" s="3">
        <f>Urban_res_calculation!X20</f>
        <v>0</v>
      </c>
      <c r="Y6" s="3">
        <f>Urban_res_calculation!Y20</f>
        <v>0</v>
      </c>
      <c r="Z6" s="3">
        <f>Urban_res_calculation!Z20</f>
        <v>0</v>
      </c>
      <c r="AA6" s="3">
        <f>Urban_res_calculation!AA20</f>
        <v>0</v>
      </c>
      <c r="AB6" s="3">
        <f>Urban_res_calculation!AB20</f>
        <v>0</v>
      </c>
      <c r="AC6" s="3">
        <f>Urban_res_calculation!AC20</f>
        <v>0</v>
      </c>
      <c r="AD6" s="3">
        <f>Urban_res_calculation!AD20</f>
        <v>0</v>
      </c>
      <c r="AE6" s="3">
        <f>Urban_res_calculation!AE20</f>
        <v>0</v>
      </c>
      <c r="AF6" s="3">
        <f>Urban_res_calculation!AF20</f>
        <v>0</v>
      </c>
      <c r="AG6" s="3">
        <f>Urban_res_calculation!AG20</f>
        <v>0</v>
      </c>
    </row>
    <row r="7" spans="1:35">
      <c r="A7" s="1" t="s">
        <v>11</v>
      </c>
      <c r="B7" s="3">
        <f>Urban_res_calculation!B21</f>
        <v>0</v>
      </c>
      <c r="C7" s="3">
        <f>Urban_res_calculation!C21</f>
        <v>0</v>
      </c>
      <c r="D7" s="3">
        <f>Urban_res_calculation!D21</f>
        <v>0</v>
      </c>
      <c r="E7" s="3">
        <f>Urban_res_calculation!E21</f>
        <v>0</v>
      </c>
      <c r="F7" s="3">
        <f>Urban_res_calculation!F21</f>
        <v>0</v>
      </c>
      <c r="G7" s="3">
        <f>Urban_res_calculation!G21</f>
        <v>0</v>
      </c>
      <c r="H7" s="3">
        <f>Urban_res_calculation!H21</f>
        <v>0</v>
      </c>
      <c r="I7" s="3">
        <f>Urban_res_calculation!I21</f>
        <v>0</v>
      </c>
      <c r="J7" s="3">
        <f>Urban_res_calculation!J21</f>
        <v>0</v>
      </c>
      <c r="K7" s="3">
        <f>Urban_res_calculation!K21</f>
        <v>0</v>
      </c>
      <c r="L7" s="3">
        <f>Urban_res_calculation!L21</f>
        <v>0</v>
      </c>
      <c r="M7" s="3">
        <f>Urban_res_calculation!M21</f>
        <v>0</v>
      </c>
      <c r="N7" s="3">
        <f>Urban_res_calculation!N21</f>
        <v>0</v>
      </c>
      <c r="O7" s="3">
        <f>Urban_res_calculation!O21</f>
        <v>0</v>
      </c>
      <c r="P7" s="3">
        <f>Urban_res_calculation!P21</f>
        <v>0</v>
      </c>
      <c r="Q7" s="3">
        <f>Urban_res_calculation!Q21</f>
        <v>0</v>
      </c>
      <c r="R7" s="3">
        <f>Urban_res_calculation!R21</f>
        <v>0</v>
      </c>
      <c r="S7" s="3">
        <f>Urban_res_calculation!S21</f>
        <v>0</v>
      </c>
      <c r="T7" s="3">
        <f>Urban_res_calculation!T21</f>
        <v>0</v>
      </c>
      <c r="U7" s="3">
        <f>Urban_res_calculation!U21</f>
        <v>0</v>
      </c>
      <c r="V7" s="3">
        <f>Urban_res_calculation!V21</f>
        <v>0</v>
      </c>
      <c r="W7" s="3">
        <f>Urban_res_calculation!W21</f>
        <v>0</v>
      </c>
      <c r="X7" s="3">
        <f>Urban_res_calculation!X21</f>
        <v>0</v>
      </c>
      <c r="Y7" s="3">
        <f>Urban_res_calculation!Y21</f>
        <v>0</v>
      </c>
      <c r="Z7" s="3">
        <f>Urban_res_calculation!Z21</f>
        <v>0</v>
      </c>
      <c r="AA7" s="3">
        <f>Urban_res_calculation!AA21</f>
        <v>0</v>
      </c>
      <c r="AB7" s="3">
        <f>Urban_res_calculation!AB21</f>
        <v>0</v>
      </c>
      <c r="AC7" s="3">
        <f>Urban_res_calculation!AC21</f>
        <v>0</v>
      </c>
      <c r="AD7" s="3">
        <f>Urban_res_calculation!AD21</f>
        <v>0</v>
      </c>
      <c r="AE7" s="3">
        <f>Urban_res_calculation!AE21</f>
        <v>0</v>
      </c>
      <c r="AF7" s="3">
        <f>Urban_res_calculation!AF21</f>
        <v>0</v>
      </c>
      <c r="AG7" s="3">
        <f>Urban_res_calculation!AG21</f>
        <v>0</v>
      </c>
    </row>
    <row r="8" spans="1:35">
      <c r="A8" s="1" t="s">
        <v>13</v>
      </c>
      <c r="B8" s="3">
        <f>Urban_res_calculation!B22</f>
        <v>0</v>
      </c>
      <c r="C8" s="3">
        <f>Urban_res_calculation!C22</f>
        <v>0</v>
      </c>
      <c r="D8" s="3">
        <f>Urban_res_calculation!D22</f>
        <v>0</v>
      </c>
      <c r="E8" s="3">
        <f>Urban_res_calculation!E22</f>
        <v>0</v>
      </c>
      <c r="F8" s="3">
        <f>Urban_res_calculation!F22</f>
        <v>0</v>
      </c>
      <c r="G8" s="3">
        <f>Urban_res_calculation!G22</f>
        <v>0</v>
      </c>
      <c r="H8" s="3">
        <f>Urban_res_calculation!H22</f>
        <v>0</v>
      </c>
      <c r="I8" s="3">
        <f>Urban_res_calculation!I22</f>
        <v>0</v>
      </c>
      <c r="J8" s="3">
        <f>Urban_res_calculation!J22</f>
        <v>0</v>
      </c>
      <c r="K8" s="3">
        <f>Urban_res_calculation!K22</f>
        <v>0</v>
      </c>
      <c r="L8" s="3">
        <f>Urban_res_calculation!L22</f>
        <v>0</v>
      </c>
      <c r="M8" s="3">
        <f>Urban_res_calculation!M22</f>
        <v>0</v>
      </c>
      <c r="N8" s="3">
        <f>Urban_res_calculation!N22</f>
        <v>0</v>
      </c>
      <c r="O8" s="3">
        <f>Urban_res_calculation!O22</f>
        <v>0</v>
      </c>
      <c r="P8" s="3">
        <f>Urban_res_calculation!P22</f>
        <v>0</v>
      </c>
      <c r="Q8" s="3">
        <f>Urban_res_calculation!Q22</f>
        <v>0</v>
      </c>
      <c r="R8" s="3">
        <f>Urban_res_calculation!R22</f>
        <v>0</v>
      </c>
      <c r="S8" s="3">
        <f>Urban_res_calculation!S22</f>
        <v>0</v>
      </c>
      <c r="T8" s="3">
        <f>Urban_res_calculation!T22</f>
        <v>0</v>
      </c>
      <c r="U8" s="3">
        <f>Urban_res_calculation!U22</f>
        <v>0</v>
      </c>
      <c r="V8" s="3">
        <f>Urban_res_calculation!V22</f>
        <v>0</v>
      </c>
      <c r="W8" s="3">
        <f>Urban_res_calculation!W22</f>
        <v>0</v>
      </c>
      <c r="X8" s="3">
        <f>Urban_res_calculation!X22</f>
        <v>0</v>
      </c>
      <c r="Y8" s="3">
        <f>Urban_res_calculation!Y22</f>
        <v>0</v>
      </c>
      <c r="Z8" s="3">
        <f>Urban_res_calculation!Z22</f>
        <v>0</v>
      </c>
      <c r="AA8" s="3">
        <f>Urban_res_calculation!AA22</f>
        <v>0</v>
      </c>
      <c r="AB8" s="3">
        <f>Urban_res_calculation!AB22</f>
        <v>0</v>
      </c>
      <c r="AC8" s="3">
        <f>Urban_res_calculation!AC22</f>
        <v>0</v>
      </c>
      <c r="AD8" s="3">
        <f>Urban_res_calculation!AD22</f>
        <v>0</v>
      </c>
      <c r="AE8" s="3">
        <f>Urban_res_calculation!AE22</f>
        <v>0</v>
      </c>
      <c r="AF8" s="3">
        <f>Urban_res_calculation!AF22</f>
        <v>0</v>
      </c>
      <c r="AG8" s="3">
        <f>Urban_res_calculation!AG22</f>
        <v>0</v>
      </c>
    </row>
    <row r="9" spans="1:35">
      <c r="A9" s="1" t="s">
        <v>14</v>
      </c>
      <c r="B9" s="3">
        <f>Urban_res_calculation!B23</f>
        <v>0</v>
      </c>
      <c r="C9" s="3">
        <f>Urban_res_calculation!C23</f>
        <v>0</v>
      </c>
      <c r="D9" s="3">
        <f>Urban_res_calculation!D23</f>
        <v>0</v>
      </c>
      <c r="E9" s="3">
        <f>Urban_res_calculation!E23</f>
        <v>0</v>
      </c>
      <c r="F9" s="3">
        <f>Urban_res_calculation!F23</f>
        <v>0</v>
      </c>
      <c r="G9" s="3">
        <f>Urban_res_calculation!G23</f>
        <v>0</v>
      </c>
      <c r="H9" s="3">
        <f>Urban_res_calculation!H23</f>
        <v>0</v>
      </c>
      <c r="I9" s="3">
        <f>Urban_res_calculation!I23</f>
        <v>0</v>
      </c>
      <c r="J9" s="3">
        <f>Urban_res_calculation!J23</f>
        <v>0</v>
      </c>
      <c r="K9" s="3">
        <f>Urban_res_calculation!K23</f>
        <v>0</v>
      </c>
      <c r="L9" s="3">
        <f>Urban_res_calculation!L23</f>
        <v>0</v>
      </c>
      <c r="M9" s="3">
        <f>Urban_res_calculation!M23</f>
        <v>0</v>
      </c>
      <c r="N9" s="3">
        <f>Urban_res_calculation!N23</f>
        <v>0</v>
      </c>
      <c r="O9" s="3">
        <f>Urban_res_calculation!O23</f>
        <v>0</v>
      </c>
      <c r="P9" s="3">
        <f>Urban_res_calculation!P23</f>
        <v>0</v>
      </c>
      <c r="Q9" s="3">
        <f>Urban_res_calculation!Q23</f>
        <v>0</v>
      </c>
      <c r="R9" s="3">
        <f>Urban_res_calculation!R23</f>
        <v>0</v>
      </c>
      <c r="S9" s="3">
        <f>Urban_res_calculation!S23</f>
        <v>0</v>
      </c>
      <c r="T9" s="3">
        <f>Urban_res_calculation!T23</f>
        <v>0</v>
      </c>
      <c r="U9" s="3">
        <f>Urban_res_calculation!U23</f>
        <v>0</v>
      </c>
      <c r="V9" s="3">
        <f>Urban_res_calculation!V23</f>
        <v>0</v>
      </c>
      <c r="W9" s="3">
        <f>Urban_res_calculation!W23</f>
        <v>0</v>
      </c>
      <c r="X9" s="3">
        <f>Urban_res_calculation!X23</f>
        <v>0</v>
      </c>
      <c r="Y9" s="3">
        <f>Urban_res_calculation!Y23</f>
        <v>0</v>
      </c>
      <c r="Z9" s="3">
        <f>Urban_res_calculation!Z23</f>
        <v>0</v>
      </c>
      <c r="AA9" s="3">
        <f>Urban_res_calculation!AA23</f>
        <v>0</v>
      </c>
      <c r="AB9" s="3">
        <f>Urban_res_calculation!AB23</f>
        <v>0</v>
      </c>
      <c r="AC9" s="3">
        <f>Urban_res_calculation!AC23</f>
        <v>0</v>
      </c>
      <c r="AD9" s="3">
        <f>Urban_res_calculation!AD23</f>
        <v>0</v>
      </c>
      <c r="AE9" s="3">
        <f>Urban_res_calculation!AE23</f>
        <v>0</v>
      </c>
      <c r="AF9" s="3">
        <f>Urban_res_calculation!AF23</f>
        <v>0</v>
      </c>
      <c r="AG9" s="3">
        <f>Urban_res_calculation!AG23</f>
        <v>0</v>
      </c>
    </row>
    <row r="10" spans="1:35">
      <c r="A10" s="1" t="s">
        <v>15</v>
      </c>
      <c r="B10" s="3">
        <f>Urban_res_calculation!B24</f>
        <v>0</v>
      </c>
      <c r="C10" s="3">
        <f>Urban_res_calculation!C24</f>
        <v>0</v>
      </c>
      <c r="D10" s="3">
        <f>Urban_res_calculation!D24</f>
        <v>0</v>
      </c>
      <c r="E10" s="3">
        <f>Urban_res_calculation!E24</f>
        <v>0</v>
      </c>
      <c r="F10" s="3">
        <f>Urban_res_calculation!F24</f>
        <v>0</v>
      </c>
      <c r="G10" s="3">
        <f>Urban_res_calculation!G24</f>
        <v>0</v>
      </c>
      <c r="H10" s="3">
        <f>Urban_res_calculation!H24</f>
        <v>0</v>
      </c>
      <c r="I10" s="3">
        <f>Urban_res_calculation!I24</f>
        <v>0</v>
      </c>
      <c r="J10" s="3">
        <f>Urban_res_calculation!J24</f>
        <v>0</v>
      </c>
      <c r="K10" s="3">
        <f>Urban_res_calculation!K24</f>
        <v>0</v>
      </c>
      <c r="L10" s="3">
        <f>Urban_res_calculation!L24</f>
        <v>0</v>
      </c>
      <c r="M10" s="3">
        <f>Urban_res_calculation!M24</f>
        <v>0</v>
      </c>
      <c r="N10" s="3">
        <f>Urban_res_calculation!N24</f>
        <v>0</v>
      </c>
      <c r="O10" s="3">
        <f>Urban_res_calculation!O24</f>
        <v>0</v>
      </c>
      <c r="P10" s="3">
        <f>Urban_res_calculation!P24</f>
        <v>0</v>
      </c>
      <c r="Q10" s="3">
        <f>Urban_res_calculation!Q24</f>
        <v>0</v>
      </c>
      <c r="R10" s="3">
        <f>Urban_res_calculation!R24</f>
        <v>0</v>
      </c>
      <c r="S10" s="3">
        <f>Urban_res_calculation!S24</f>
        <v>0</v>
      </c>
      <c r="T10" s="3">
        <f>Urban_res_calculation!T24</f>
        <v>0</v>
      </c>
      <c r="U10" s="3">
        <f>Urban_res_calculation!U24</f>
        <v>0</v>
      </c>
      <c r="V10" s="3">
        <f>Urban_res_calculation!V24</f>
        <v>0</v>
      </c>
      <c r="W10" s="3">
        <f>Urban_res_calculation!W24</f>
        <v>0</v>
      </c>
      <c r="X10" s="3">
        <f>Urban_res_calculation!X24</f>
        <v>0</v>
      </c>
      <c r="Y10" s="3">
        <f>Urban_res_calculation!Y24</f>
        <v>0</v>
      </c>
      <c r="Z10" s="3">
        <f>Urban_res_calculation!Z24</f>
        <v>0</v>
      </c>
      <c r="AA10" s="3">
        <f>Urban_res_calculation!AA24</f>
        <v>0</v>
      </c>
      <c r="AB10" s="3">
        <f>Urban_res_calculation!AB24</f>
        <v>0</v>
      </c>
      <c r="AC10" s="3">
        <f>Urban_res_calculation!AC24</f>
        <v>0</v>
      </c>
      <c r="AD10" s="3">
        <f>Urban_res_calculation!AD24</f>
        <v>0</v>
      </c>
      <c r="AE10" s="3">
        <f>Urban_res_calculation!AE24</f>
        <v>0</v>
      </c>
      <c r="AF10" s="3">
        <f>Urban_res_calculation!AF24</f>
        <v>0</v>
      </c>
      <c r="AG10" s="3">
        <f>Urban_res_calculation!AG24</f>
        <v>0</v>
      </c>
    </row>
    <row r="11" spans="1:35">
      <c r="A11" s="1" t="s">
        <v>16</v>
      </c>
      <c r="B11" s="3">
        <f>Urban_res_calculation!B25</f>
        <v>0</v>
      </c>
      <c r="C11" s="3">
        <f>Urban_res_calculation!C25</f>
        <v>0</v>
      </c>
      <c r="D11" s="3">
        <f>Urban_res_calculation!D25</f>
        <v>0</v>
      </c>
      <c r="E11" s="3">
        <f>Urban_res_calculation!E25</f>
        <v>0</v>
      </c>
      <c r="F11" s="3">
        <f>Urban_res_calculation!F25</f>
        <v>0</v>
      </c>
      <c r="G11" s="3">
        <f>Urban_res_calculation!G25</f>
        <v>0</v>
      </c>
      <c r="H11" s="3">
        <f>Urban_res_calculation!H25</f>
        <v>0</v>
      </c>
      <c r="I11" s="3">
        <f>Urban_res_calculation!I25</f>
        <v>0</v>
      </c>
      <c r="J11" s="3">
        <f>Urban_res_calculation!J25</f>
        <v>0</v>
      </c>
      <c r="K11" s="3">
        <f>Urban_res_calculation!K25</f>
        <v>0</v>
      </c>
      <c r="L11" s="3">
        <f>Urban_res_calculation!L25</f>
        <v>0</v>
      </c>
      <c r="M11" s="3">
        <f>Urban_res_calculation!M25</f>
        <v>0</v>
      </c>
      <c r="N11" s="3">
        <f>Urban_res_calculation!N25</f>
        <v>0</v>
      </c>
      <c r="O11" s="3">
        <f>Urban_res_calculation!O25</f>
        <v>0</v>
      </c>
      <c r="P11" s="3">
        <f>Urban_res_calculation!P25</f>
        <v>0</v>
      </c>
      <c r="Q11" s="3">
        <f>Urban_res_calculation!Q25</f>
        <v>0</v>
      </c>
      <c r="R11" s="3">
        <f>Urban_res_calculation!R25</f>
        <v>0</v>
      </c>
      <c r="S11" s="3">
        <f>Urban_res_calculation!S25</f>
        <v>0</v>
      </c>
      <c r="T11" s="3">
        <f>Urban_res_calculation!T25</f>
        <v>0</v>
      </c>
      <c r="U11" s="3">
        <f>Urban_res_calculation!U25</f>
        <v>0</v>
      </c>
      <c r="V11" s="3">
        <f>Urban_res_calculation!V25</f>
        <v>0</v>
      </c>
      <c r="W11" s="3">
        <f>Urban_res_calculation!W25</f>
        <v>0</v>
      </c>
      <c r="X11" s="3">
        <f>Urban_res_calculation!X25</f>
        <v>0</v>
      </c>
      <c r="Y11" s="3">
        <f>Urban_res_calculation!Y25</f>
        <v>0</v>
      </c>
      <c r="Z11" s="3">
        <f>Urban_res_calculation!Z25</f>
        <v>0</v>
      </c>
      <c r="AA11" s="3">
        <f>Urban_res_calculation!AA25</f>
        <v>0</v>
      </c>
      <c r="AB11" s="3">
        <f>Urban_res_calculation!AB25</f>
        <v>0</v>
      </c>
      <c r="AC11" s="3">
        <f>Urban_res_calculation!AC25</f>
        <v>0</v>
      </c>
      <c r="AD11" s="3">
        <f>Urban_res_calculation!AD25</f>
        <v>0</v>
      </c>
      <c r="AE11" s="3">
        <f>Urban_res_calculation!AE25</f>
        <v>0</v>
      </c>
      <c r="AF11" s="3">
        <f>Urban_res_calculation!AF25</f>
        <v>0</v>
      </c>
      <c r="AG11" s="3">
        <f>Urban_res_calculation!AG25</f>
        <v>0</v>
      </c>
    </row>
  </sheetData>
  <phoneticPr fontId="11" type="noConversion"/>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zoomScale="110" zoomScaleNormal="110" workbookViewId="0">
      <selection activeCell="B2" sqref="B2"/>
    </sheetView>
  </sheetViews>
  <sheetFormatPr defaultRowHeight="16.5"/>
  <cols>
    <col min="1" max="1" width="29.875" customWidth="1"/>
    <col min="2" max="2" width="11.625" bestFit="1" customWidth="1"/>
    <col min="3" max="33" width="10.625" bestFit="1" customWidth="1"/>
  </cols>
  <sheetData>
    <row r="1" spans="1:35">
      <c r="A1" s="1" t="s">
        <v>1</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c r="AI1" s="1"/>
    </row>
    <row r="2" spans="1:35">
      <c r="A2" s="1" t="s">
        <v>2</v>
      </c>
      <c r="B2" s="3">
        <f>Urban_res_calculation!B40</f>
        <v>36429085800000</v>
      </c>
      <c r="C2" s="3">
        <f>Urban_res_calculation!C40</f>
        <v>38299479349046.078</v>
      </c>
      <c r="D2" s="3">
        <f>Urban_res_calculation!D40</f>
        <v>40101333886651.703</v>
      </c>
      <c r="E2" s="3">
        <f>Urban_res_calculation!E40</f>
        <v>40341941889971.617</v>
      </c>
      <c r="F2" s="3">
        <f>Urban_res_calculation!F40</f>
        <v>40583993541311.445</v>
      </c>
      <c r="G2" s="3">
        <f>Urban_res_calculation!G40</f>
        <v>40827497502559.313</v>
      </c>
      <c r="H2" s="3">
        <f>Urban_res_calculation!H40</f>
        <v>41072462487574.672</v>
      </c>
      <c r="I2" s="3">
        <f>Urban_res_calculation!I40</f>
        <v>41318897262500.117</v>
      </c>
      <c r="J2" s="3">
        <f>Urban_res_calculation!J40</f>
        <v>41566810646075.117</v>
      </c>
      <c r="K2" s="3">
        <f>Urban_res_calculation!K40</f>
        <v>41816211509951.57</v>
      </c>
      <c r="L2" s="3">
        <f>Urban_res_calculation!L40</f>
        <v>42067108779011.281</v>
      </c>
      <c r="M2" s="3">
        <f>Urban_res_calculation!M40</f>
        <v>42319511431685.352</v>
      </c>
      <c r="N2" s="3">
        <f>Urban_res_calculation!N40</f>
        <v>42573428500275.461</v>
      </c>
      <c r="O2" s="3">
        <f>Urban_res_calculation!O40</f>
        <v>42828869071277.117</v>
      </c>
      <c r="P2" s="3">
        <f>Urban_res_calculation!P40</f>
        <v>43085842285704.781</v>
      </c>
      <c r="Q2" s="3">
        <f>Urban_res_calculation!Q40</f>
        <v>43344357339419.008</v>
      </c>
      <c r="R2" s="3">
        <f>Urban_res_calculation!R40</f>
        <v>43604423483455.523</v>
      </c>
      <c r="S2" s="3">
        <f>Urban_res_calculation!S40</f>
        <v>43866050024356.258</v>
      </c>
      <c r="T2" s="3">
        <f>Urban_res_calculation!T40</f>
        <v>44129246324502.398</v>
      </c>
      <c r="U2" s="3">
        <f>Urban_res_calculation!U40</f>
        <v>44394021802449.414</v>
      </c>
      <c r="V2" s="3">
        <f>Urban_res_calculation!V40</f>
        <v>44660385933264.109</v>
      </c>
      <c r="W2" s="3">
        <f>Urban_res_calculation!W40</f>
        <v>44928348248863.695</v>
      </c>
      <c r="X2" s="3">
        <f>Urban_res_calculation!X40</f>
        <v>45197918338356.875</v>
      </c>
      <c r="Y2" s="3">
        <f>Urban_res_calculation!Y40</f>
        <v>45469105848387.016</v>
      </c>
      <c r="Z2" s="3">
        <f>Urban_res_calculation!Z40</f>
        <v>45741920483477.336</v>
      </c>
      <c r="AA2" s="3">
        <f>Urban_res_calculation!AA40</f>
        <v>46016372006378.203</v>
      </c>
      <c r="AB2" s="3">
        <f>Urban_res_calculation!AB40</f>
        <v>46292470238416.469</v>
      </c>
      <c r="AC2" s="3">
        <f>Urban_res_calculation!AC40</f>
        <v>46570225059846.969</v>
      </c>
      <c r="AD2" s="3">
        <f>Urban_res_calculation!AD40</f>
        <v>46849646410206.055</v>
      </c>
      <c r="AE2" s="3">
        <f>Urban_res_calculation!AE40</f>
        <v>47130744288667.289</v>
      </c>
      <c r="AF2" s="3">
        <f>Urban_res_calculation!AF40</f>
        <v>47413528754399.297</v>
      </c>
      <c r="AG2" s="3">
        <f>Urban_res_calculation!AG40</f>
        <v>47698009926925.695</v>
      </c>
    </row>
    <row r="3" spans="1:35">
      <c r="A3" s="1" t="s">
        <v>3</v>
      </c>
      <c r="B3" s="3">
        <f>Urban_res_calculation!B41</f>
        <v>0</v>
      </c>
      <c r="C3" s="3">
        <f>Urban_res_calculation!C41</f>
        <v>0</v>
      </c>
      <c r="D3" s="3">
        <f>Urban_res_calculation!D41</f>
        <v>0</v>
      </c>
      <c r="E3" s="3">
        <f>Urban_res_calculation!E41</f>
        <v>0</v>
      </c>
      <c r="F3" s="3">
        <f>Urban_res_calculation!F41</f>
        <v>0</v>
      </c>
      <c r="G3" s="3">
        <f>Urban_res_calculation!G41</f>
        <v>0</v>
      </c>
      <c r="H3" s="3">
        <f>Urban_res_calculation!H41</f>
        <v>0</v>
      </c>
      <c r="I3" s="3">
        <f>Urban_res_calculation!I41</f>
        <v>0</v>
      </c>
      <c r="J3" s="3">
        <f>Urban_res_calculation!J41</f>
        <v>0</v>
      </c>
      <c r="K3" s="3">
        <f>Urban_res_calculation!K41</f>
        <v>0</v>
      </c>
      <c r="L3" s="3">
        <f>Urban_res_calculation!L41</f>
        <v>0</v>
      </c>
      <c r="M3" s="3">
        <f>Urban_res_calculation!M41</f>
        <v>0</v>
      </c>
      <c r="N3" s="3">
        <f>Urban_res_calculation!N41</f>
        <v>0</v>
      </c>
      <c r="O3" s="3">
        <f>Urban_res_calculation!O41</f>
        <v>0</v>
      </c>
      <c r="P3" s="3">
        <f>Urban_res_calculation!P41</f>
        <v>0</v>
      </c>
      <c r="Q3" s="3">
        <f>Urban_res_calculation!Q41</f>
        <v>0</v>
      </c>
      <c r="R3" s="3">
        <f>Urban_res_calculation!R41</f>
        <v>0</v>
      </c>
      <c r="S3" s="3">
        <f>Urban_res_calculation!S41</f>
        <v>0</v>
      </c>
      <c r="T3" s="3">
        <f>Urban_res_calculation!T41</f>
        <v>0</v>
      </c>
      <c r="U3" s="3">
        <f>Urban_res_calculation!U41</f>
        <v>0</v>
      </c>
      <c r="V3" s="3">
        <f>Urban_res_calculation!V41</f>
        <v>0</v>
      </c>
      <c r="W3" s="3">
        <f>Urban_res_calculation!W41</f>
        <v>0</v>
      </c>
      <c r="X3" s="3">
        <f>Urban_res_calculation!X41</f>
        <v>0</v>
      </c>
      <c r="Y3" s="3">
        <f>Urban_res_calculation!Y41</f>
        <v>0</v>
      </c>
      <c r="Z3" s="3">
        <f>Urban_res_calculation!Z41</f>
        <v>0</v>
      </c>
      <c r="AA3" s="3">
        <f>Urban_res_calculation!AA41</f>
        <v>0</v>
      </c>
      <c r="AB3" s="3">
        <f>Urban_res_calculation!AB41</f>
        <v>0</v>
      </c>
      <c r="AC3" s="3">
        <f>Urban_res_calculation!AC41</f>
        <v>0</v>
      </c>
      <c r="AD3" s="3">
        <f>Urban_res_calculation!AD41</f>
        <v>0</v>
      </c>
      <c r="AE3" s="3">
        <f>Urban_res_calculation!AE41</f>
        <v>0</v>
      </c>
      <c r="AF3" s="3">
        <f>Urban_res_calculation!AF41</f>
        <v>0</v>
      </c>
      <c r="AG3" s="3">
        <f>Urban_res_calculation!AG41</f>
        <v>0</v>
      </c>
    </row>
    <row r="4" spans="1:35">
      <c r="A4" s="1" t="s">
        <v>4</v>
      </c>
      <c r="B4" s="3">
        <f>Urban_res_calculation!B42</f>
        <v>0</v>
      </c>
      <c r="C4" s="3">
        <f>Urban_res_calculation!C42</f>
        <v>0</v>
      </c>
      <c r="D4" s="3">
        <f>Urban_res_calculation!D42</f>
        <v>0</v>
      </c>
      <c r="E4" s="3">
        <f>Urban_res_calculation!E42</f>
        <v>0</v>
      </c>
      <c r="F4" s="3">
        <f>Urban_res_calculation!F42</f>
        <v>0</v>
      </c>
      <c r="G4" s="3">
        <f>Urban_res_calculation!G42</f>
        <v>0</v>
      </c>
      <c r="H4" s="3">
        <f>Urban_res_calculation!H42</f>
        <v>0</v>
      </c>
      <c r="I4" s="3">
        <f>Urban_res_calculation!I42</f>
        <v>0</v>
      </c>
      <c r="J4" s="3">
        <f>Urban_res_calculation!J42</f>
        <v>0</v>
      </c>
      <c r="K4" s="3">
        <f>Urban_res_calculation!K42</f>
        <v>0</v>
      </c>
      <c r="L4" s="3">
        <f>Urban_res_calculation!L42</f>
        <v>0</v>
      </c>
      <c r="M4" s="3">
        <f>Urban_res_calculation!M42</f>
        <v>0</v>
      </c>
      <c r="N4" s="3">
        <f>Urban_res_calculation!N42</f>
        <v>0</v>
      </c>
      <c r="O4" s="3">
        <f>Urban_res_calculation!O42</f>
        <v>0</v>
      </c>
      <c r="P4" s="3">
        <f>Urban_res_calculation!P42</f>
        <v>0</v>
      </c>
      <c r="Q4" s="3">
        <f>Urban_res_calculation!Q42</f>
        <v>0</v>
      </c>
      <c r="R4" s="3">
        <f>Urban_res_calculation!R42</f>
        <v>0</v>
      </c>
      <c r="S4" s="3">
        <f>Urban_res_calculation!S42</f>
        <v>0</v>
      </c>
      <c r="T4" s="3">
        <f>Urban_res_calculation!T42</f>
        <v>0</v>
      </c>
      <c r="U4" s="3">
        <f>Urban_res_calculation!U42</f>
        <v>0</v>
      </c>
      <c r="V4" s="3">
        <f>Urban_res_calculation!V42</f>
        <v>0</v>
      </c>
      <c r="W4" s="3">
        <f>Urban_res_calculation!W42</f>
        <v>0</v>
      </c>
      <c r="X4" s="3">
        <f>Urban_res_calculation!X42</f>
        <v>0</v>
      </c>
      <c r="Y4" s="3">
        <f>Urban_res_calculation!Y42</f>
        <v>0</v>
      </c>
      <c r="Z4" s="3">
        <f>Urban_res_calculation!Z42</f>
        <v>0</v>
      </c>
      <c r="AA4" s="3">
        <f>Urban_res_calculation!AA42</f>
        <v>0</v>
      </c>
      <c r="AB4" s="3">
        <f>Urban_res_calculation!AB42</f>
        <v>0</v>
      </c>
      <c r="AC4" s="3">
        <f>Urban_res_calculation!AC42</f>
        <v>0</v>
      </c>
      <c r="AD4" s="3">
        <f>Urban_res_calculation!AD42</f>
        <v>0</v>
      </c>
      <c r="AE4" s="3">
        <f>Urban_res_calculation!AE42</f>
        <v>0</v>
      </c>
      <c r="AF4" s="3">
        <f>Urban_res_calculation!AF42</f>
        <v>0</v>
      </c>
      <c r="AG4" s="3">
        <f>Urban_res_calculation!AG42</f>
        <v>0</v>
      </c>
    </row>
    <row r="5" spans="1:35">
      <c r="A5" s="1" t="s">
        <v>5</v>
      </c>
      <c r="B5" s="3">
        <f>Urban_res_calculation!B43</f>
        <v>0</v>
      </c>
      <c r="C5" s="3">
        <f>Urban_res_calculation!C43</f>
        <v>0</v>
      </c>
      <c r="D5" s="3">
        <f>Urban_res_calculation!D43</f>
        <v>0</v>
      </c>
      <c r="E5" s="3">
        <f>Urban_res_calculation!E43</f>
        <v>0</v>
      </c>
      <c r="F5" s="3">
        <f>Urban_res_calculation!F43</f>
        <v>0</v>
      </c>
      <c r="G5" s="3">
        <f>Urban_res_calculation!G43</f>
        <v>0</v>
      </c>
      <c r="H5" s="3">
        <f>Urban_res_calculation!H43</f>
        <v>0</v>
      </c>
      <c r="I5" s="3">
        <f>Urban_res_calculation!I43</f>
        <v>0</v>
      </c>
      <c r="J5" s="3">
        <f>Urban_res_calculation!J43</f>
        <v>0</v>
      </c>
      <c r="K5" s="3">
        <f>Urban_res_calculation!K43</f>
        <v>0</v>
      </c>
      <c r="L5" s="3">
        <f>Urban_res_calculation!L43</f>
        <v>0</v>
      </c>
      <c r="M5" s="3">
        <f>Urban_res_calculation!M43</f>
        <v>0</v>
      </c>
      <c r="N5" s="3">
        <f>Urban_res_calculation!N43</f>
        <v>0</v>
      </c>
      <c r="O5" s="3">
        <f>Urban_res_calculation!O43</f>
        <v>0</v>
      </c>
      <c r="P5" s="3">
        <f>Urban_res_calculation!P43</f>
        <v>0</v>
      </c>
      <c r="Q5" s="3">
        <f>Urban_res_calculation!Q43</f>
        <v>0</v>
      </c>
      <c r="R5" s="3">
        <f>Urban_res_calculation!R43</f>
        <v>0</v>
      </c>
      <c r="S5" s="3">
        <f>Urban_res_calculation!S43</f>
        <v>0</v>
      </c>
      <c r="T5" s="3">
        <f>Urban_res_calculation!T43</f>
        <v>0</v>
      </c>
      <c r="U5" s="3">
        <f>Urban_res_calculation!U43</f>
        <v>0</v>
      </c>
      <c r="V5" s="3">
        <f>Urban_res_calculation!V43</f>
        <v>0</v>
      </c>
      <c r="W5" s="3">
        <f>Urban_res_calculation!W43</f>
        <v>0</v>
      </c>
      <c r="X5" s="3">
        <f>Urban_res_calculation!X43</f>
        <v>0</v>
      </c>
      <c r="Y5" s="3">
        <f>Urban_res_calculation!Y43</f>
        <v>0</v>
      </c>
      <c r="Z5" s="3">
        <f>Urban_res_calculation!Z43</f>
        <v>0</v>
      </c>
      <c r="AA5" s="3">
        <f>Urban_res_calculation!AA43</f>
        <v>0</v>
      </c>
      <c r="AB5" s="3">
        <f>Urban_res_calculation!AB43</f>
        <v>0</v>
      </c>
      <c r="AC5" s="3">
        <f>Urban_res_calculation!AC43</f>
        <v>0</v>
      </c>
      <c r="AD5" s="3">
        <f>Urban_res_calculation!AD43</f>
        <v>0</v>
      </c>
      <c r="AE5" s="3">
        <f>Urban_res_calculation!AE43</f>
        <v>0</v>
      </c>
      <c r="AF5" s="3">
        <f>Urban_res_calculation!AF43</f>
        <v>0</v>
      </c>
      <c r="AG5" s="3">
        <f>Urban_res_calculation!AG43</f>
        <v>0</v>
      </c>
    </row>
    <row r="6" spans="1:35">
      <c r="A6" s="1" t="s">
        <v>7</v>
      </c>
      <c r="B6" s="3">
        <f>Urban_res_calculation!B44</f>
        <v>0</v>
      </c>
      <c r="C6" s="3">
        <f>Urban_res_calculation!C44</f>
        <v>0</v>
      </c>
      <c r="D6" s="3">
        <f>Urban_res_calculation!D44</f>
        <v>0</v>
      </c>
      <c r="E6" s="3">
        <f>Urban_res_calculation!E44</f>
        <v>0</v>
      </c>
      <c r="F6" s="3">
        <f>Urban_res_calculation!F44</f>
        <v>0</v>
      </c>
      <c r="G6" s="3">
        <f>Urban_res_calculation!G44</f>
        <v>0</v>
      </c>
      <c r="H6" s="3">
        <f>Urban_res_calculation!H44</f>
        <v>0</v>
      </c>
      <c r="I6" s="3">
        <f>Urban_res_calculation!I44</f>
        <v>0</v>
      </c>
      <c r="J6" s="3">
        <f>Urban_res_calculation!J44</f>
        <v>0</v>
      </c>
      <c r="K6" s="3">
        <f>Urban_res_calculation!K44</f>
        <v>0</v>
      </c>
      <c r="L6" s="3">
        <f>Urban_res_calculation!L44</f>
        <v>0</v>
      </c>
      <c r="M6" s="3">
        <f>Urban_res_calculation!M44</f>
        <v>0</v>
      </c>
      <c r="N6" s="3">
        <f>Urban_res_calculation!N44</f>
        <v>0</v>
      </c>
      <c r="O6" s="3">
        <f>Urban_res_calculation!O44</f>
        <v>0</v>
      </c>
      <c r="P6" s="3">
        <f>Urban_res_calculation!P44</f>
        <v>0</v>
      </c>
      <c r="Q6" s="3">
        <f>Urban_res_calculation!Q44</f>
        <v>0</v>
      </c>
      <c r="R6" s="3">
        <f>Urban_res_calculation!R44</f>
        <v>0</v>
      </c>
      <c r="S6" s="3">
        <f>Urban_res_calculation!S44</f>
        <v>0</v>
      </c>
      <c r="T6" s="3">
        <f>Urban_res_calculation!T44</f>
        <v>0</v>
      </c>
      <c r="U6" s="3">
        <f>Urban_res_calculation!U44</f>
        <v>0</v>
      </c>
      <c r="V6" s="3">
        <f>Urban_res_calculation!V44</f>
        <v>0</v>
      </c>
      <c r="W6" s="3">
        <f>Urban_res_calculation!W44</f>
        <v>0</v>
      </c>
      <c r="X6" s="3">
        <f>Urban_res_calculation!X44</f>
        <v>0</v>
      </c>
      <c r="Y6" s="3">
        <f>Urban_res_calculation!Y44</f>
        <v>0</v>
      </c>
      <c r="Z6" s="3">
        <f>Urban_res_calculation!Z44</f>
        <v>0</v>
      </c>
      <c r="AA6" s="3">
        <f>Urban_res_calculation!AA44</f>
        <v>0</v>
      </c>
      <c r="AB6" s="3">
        <f>Urban_res_calculation!AB44</f>
        <v>0</v>
      </c>
      <c r="AC6" s="3">
        <f>Urban_res_calculation!AC44</f>
        <v>0</v>
      </c>
      <c r="AD6" s="3">
        <f>Urban_res_calculation!AD44</f>
        <v>0</v>
      </c>
      <c r="AE6" s="3">
        <f>Urban_res_calculation!AE44</f>
        <v>0</v>
      </c>
      <c r="AF6" s="3">
        <f>Urban_res_calculation!AF44</f>
        <v>0</v>
      </c>
      <c r="AG6" s="3">
        <f>Urban_res_calculation!AG44</f>
        <v>0</v>
      </c>
    </row>
    <row r="7" spans="1:35">
      <c r="A7" s="1" t="s">
        <v>11</v>
      </c>
      <c r="B7" s="3">
        <f>Urban_res_calculation!B45</f>
        <v>0</v>
      </c>
      <c r="C7" s="3">
        <f>Urban_res_calculation!C45</f>
        <v>0</v>
      </c>
      <c r="D7" s="3">
        <f>Urban_res_calculation!D45</f>
        <v>0</v>
      </c>
      <c r="E7" s="3">
        <f>Urban_res_calculation!E45</f>
        <v>0</v>
      </c>
      <c r="F7" s="3">
        <f>Urban_res_calculation!F45</f>
        <v>0</v>
      </c>
      <c r="G7" s="3">
        <f>Urban_res_calculation!G45</f>
        <v>0</v>
      </c>
      <c r="H7" s="3">
        <f>Urban_res_calculation!H45</f>
        <v>0</v>
      </c>
      <c r="I7" s="3">
        <f>Urban_res_calculation!I45</f>
        <v>0</v>
      </c>
      <c r="J7" s="3">
        <f>Urban_res_calculation!J45</f>
        <v>0</v>
      </c>
      <c r="K7" s="3">
        <f>Urban_res_calculation!K45</f>
        <v>0</v>
      </c>
      <c r="L7" s="3">
        <f>Urban_res_calculation!L45</f>
        <v>0</v>
      </c>
      <c r="M7" s="3">
        <f>Urban_res_calculation!M45</f>
        <v>0</v>
      </c>
      <c r="N7" s="3">
        <f>Urban_res_calculation!N45</f>
        <v>0</v>
      </c>
      <c r="O7" s="3">
        <f>Urban_res_calculation!O45</f>
        <v>0</v>
      </c>
      <c r="P7" s="3">
        <f>Urban_res_calculation!P45</f>
        <v>0</v>
      </c>
      <c r="Q7" s="3">
        <f>Urban_res_calculation!Q45</f>
        <v>0</v>
      </c>
      <c r="R7" s="3">
        <f>Urban_res_calculation!R45</f>
        <v>0</v>
      </c>
      <c r="S7" s="3">
        <f>Urban_res_calculation!S45</f>
        <v>0</v>
      </c>
      <c r="T7" s="3">
        <f>Urban_res_calculation!T45</f>
        <v>0</v>
      </c>
      <c r="U7" s="3">
        <f>Urban_res_calculation!U45</f>
        <v>0</v>
      </c>
      <c r="V7" s="3">
        <f>Urban_res_calculation!V45</f>
        <v>0</v>
      </c>
      <c r="W7" s="3">
        <f>Urban_res_calculation!W45</f>
        <v>0</v>
      </c>
      <c r="X7" s="3">
        <f>Urban_res_calculation!X45</f>
        <v>0</v>
      </c>
      <c r="Y7" s="3">
        <f>Urban_res_calculation!Y45</f>
        <v>0</v>
      </c>
      <c r="Z7" s="3">
        <f>Urban_res_calculation!Z45</f>
        <v>0</v>
      </c>
      <c r="AA7" s="3">
        <f>Urban_res_calculation!AA45</f>
        <v>0</v>
      </c>
      <c r="AB7" s="3">
        <f>Urban_res_calculation!AB45</f>
        <v>0</v>
      </c>
      <c r="AC7" s="3">
        <f>Urban_res_calculation!AC45</f>
        <v>0</v>
      </c>
      <c r="AD7" s="3">
        <f>Urban_res_calculation!AD45</f>
        <v>0</v>
      </c>
      <c r="AE7" s="3">
        <f>Urban_res_calculation!AE45</f>
        <v>0</v>
      </c>
      <c r="AF7" s="3">
        <f>Urban_res_calculation!AF45</f>
        <v>0</v>
      </c>
      <c r="AG7" s="3">
        <f>Urban_res_calculation!AG45</f>
        <v>0</v>
      </c>
    </row>
    <row r="8" spans="1:35">
      <c r="A8" s="1" t="s">
        <v>13</v>
      </c>
      <c r="B8" s="3">
        <f>Urban_res_calculation!B46</f>
        <v>0</v>
      </c>
      <c r="C8" s="3">
        <f>Urban_res_calculation!C46</f>
        <v>0</v>
      </c>
      <c r="D8" s="3">
        <f>Urban_res_calculation!D46</f>
        <v>0</v>
      </c>
      <c r="E8" s="3">
        <f>Urban_res_calculation!E46</f>
        <v>0</v>
      </c>
      <c r="F8" s="3">
        <f>Urban_res_calculation!F46</f>
        <v>0</v>
      </c>
      <c r="G8" s="3">
        <f>Urban_res_calculation!G46</f>
        <v>0</v>
      </c>
      <c r="H8" s="3">
        <f>Urban_res_calculation!H46</f>
        <v>0</v>
      </c>
      <c r="I8" s="3">
        <f>Urban_res_calculation!I46</f>
        <v>0</v>
      </c>
      <c r="J8" s="3">
        <f>Urban_res_calculation!J46</f>
        <v>0</v>
      </c>
      <c r="K8" s="3">
        <f>Urban_res_calculation!K46</f>
        <v>0</v>
      </c>
      <c r="L8" s="3">
        <f>Urban_res_calculation!L46</f>
        <v>0</v>
      </c>
      <c r="M8" s="3">
        <f>Urban_res_calculation!M46</f>
        <v>0</v>
      </c>
      <c r="N8" s="3">
        <f>Urban_res_calculation!N46</f>
        <v>0</v>
      </c>
      <c r="O8" s="3">
        <f>Urban_res_calculation!O46</f>
        <v>0</v>
      </c>
      <c r="P8" s="3">
        <f>Urban_res_calculation!P46</f>
        <v>0</v>
      </c>
      <c r="Q8" s="3">
        <f>Urban_res_calculation!Q46</f>
        <v>0</v>
      </c>
      <c r="R8" s="3">
        <f>Urban_res_calculation!R46</f>
        <v>0</v>
      </c>
      <c r="S8" s="3">
        <f>Urban_res_calculation!S46</f>
        <v>0</v>
      </c>
      <c r="T8" s="3">
        <f>Urban_res_calculation!T46</f>
        <v>0</v>
      </c>
      <c r="U8" s="3">
        <f>Urban_res_calculation!U46</f>
        <v>0</v>
      </c>
      <c r="V8" s="3">
        <f>Urban_res_calculation!V46</f>
        <v>0</v>
      </c>
      <c r="W8" s="3">
        <f>Urban_res_calculation!W46</f>
        <v>0</v>
      </c>
      <c r="X8" s="3">
        <f>Urban_res_calculation!X46</f>
        <v>0</v>
      </c>
      <c r="Y8" s="3">
        <f>Urban_res_calculation!Y46</f>
        <v>0</v>
      </c>
      <c r="Z8" s="3">
        <f>Urban_res_calculation!Z46</f>
        <v>0</v>
      </c>
      <c r="AA8" s="3">
        <f>Urban_res_calculation!AA46</f>
        <v>0</v>
      </c>
      <c r="AB8" s="3">
        <f>Urban_res_calculation!AB46</f>
        <v>0</v>
      </c>
      <c r="AC8" s="3">
        <f>Urban_res_calculation!AC46</f>
        <v>0</v>
      </c>
      <c r="AD8" s="3">
        <f>Urban_res_calculation!AD46</f>
        <v>0</v>
      </c>
      <c r="AE8" s="3">
        <f>Urban_res_calculation!AE46</f>
        <v>0</v>
      </c>
      <c r="AF8" s="3">
        <f>Urban_res_calculation!AF46</f>
        <v>0</v>
      </c>
      <c r="AG8" s="3">
        <f>Urban_res_calculation!AG46</f>
        <v>0</v>
      </c>
    </row>
    <row r="9" spans="1:35">
      <c r="A9" s="1" t="s">
        <v>14</v>
      </c>
      <c r="B9" s="3">
        <f>Urban_res_calculation!B47</f>
        <v>0</v>
      </c>
      <c r="C9" s="3">
        <f>Urban_res_calculation!C47</f>
        <v>0</v>
      </c>
      <c r="D9" s="3">
        <f>Urban_res_calculation!D47</f>
        <v>0</v>
      </c>
      <c r="E9" s="3">
        <f>Urban_res_calculation!E47</f>
        <v>0</v>
      </c>
      <c r="F9" s="3">
        <f>Urban_res_calculation!F47</f>
        <v>0</v>
      </c>
      <c r="G9" s="3">
        <f>Urban_res_calculation!G47</f>
        <v>0</v>
      </c>
      <c r="H9" s="3">
        <f>Urban_res_calculation!H47</f>
        <v>0</v>
      </c>
      <c r="I9" s="3">
        <f>Urban_res_calculation!I47</f>
        <v>0</v>
      </c>
      <c r="J9" s="3">
        <f>Urban_res_calculation!J47</f>
        <v>0</v>
      </c>
      <c r="K9" s="3">
        <f>Urban_res_calculation!K47</f>
        <v>0</v>
      </c>
      <c r="L9" s="3">
        <f>Urban_res_calculation!L47</f>
        <v>0</v>
      </c>
      <c r="M9" s="3">
        <f>Urban_res_calculation!M47</f>
        <v>0</v>
      </c>
      <c r="N9" s="3">
        <f>Urban_res_calculation!N47</f>
        <v>0</v>
      </c>
      <c r="O9" s="3">
        <f>Urban_res_calculation!O47</f>
        <v>0</v>
      </c>
      <c r="P9" s="3">
        <f>Urban_res_calculation!P47</f>
        <v>0</v>
      </c>
      <c r="Q9" s="3">
        <f>Urban_res_calculation!Q47</f>
        <v>0</v>
      </c>
      <c r="R9" s="3">
        <f>Urban_res_calculation!R47</f>
        <v>0</v>
      </c>
      <c r="S9" s="3">
        <f>Urban_res_calculation!S47</f>
        <v>0</v>
      </c>
      <c r="T9" s="3">
        <f>Urban_res_calculation!T47</f>
        <v>0</v>
      </c>
      <c r="U9" s="3">
        <f>Urban_res_calculation!U47</f>
        <v>0</v>
      </c>
      <c r="V9" s="3">
        <f>Urban_res_calculation!V47</f>
        <v>0</v>
      </c>
      <c r="W9" s="3">
        <f>Urban_res_calculation!W47</f>
        <v>0</v>
      </c>
      <c r="X9" s="3">
        <f>Urban_res_calculation!X47</f>
        <v>0</v>
      </c>
      <c r="Y9" s="3">
        <f>Urban_res_calculation!Y47</f>
        <v>0</v>
      </c>
      <c r="Z9" s="3">
        <f>Urban_res_calculation!Z47</f>
        <v>0</v>
      </c>
      <c r="AA9" s="3">
        <f>Urban_res_calculation!AA47</f>
        <v>0</v>
      </c>
      <c r="AB9" s="3">
        <f>Urban_res_calculation!AB47</f>
        <v>0</v>
      </c>
      <c r="AC9" s="3">
        <f>Urban_res_calculation!AC47</f>
        <v>0</v>
      </c>
      <c r="AD9" s="3">
        <f>Urban_res_calculation!AD47</f>
        <v>0</v>
      </c>
      <c r="AE9" s="3">
        <f>Urban_res_calculation!AE47</f>
        <v>0</v>
      </c>
      <c r="AF9" s="3">
        <f>Urban_res_calculation!AF47</f>
        <v>0</v>
      </c>
      <c r="AG9" s="3">
        <f>Urban_res_calculation!AG47</f>
        <v>0</v>
      </c>
    </row>
    <row r="10" spans="1:35">
      <c r="A10" s="1" t="s">
        <v>15</v>
      </c>
      <c r="B10" s="3">
        <f>Urban_res_calculation!B48</f>
        <v>0</v>
      </c>
      <c r="C10" s="3">
        <f>Urban_res_calculation!C48</f>
        <v>0</v>
      </c>
      <c r="D10" s="3">
        <f>Urban_res_calculation!D48</f>
        <v>0</v>
      </c>
      <c r="E10" s="3">
        <f>Urban_res_calculation!E48</f>
        <v>0</v>
      </c>
      <c r="F10" s="3">
        <f>Urban_res_calculation!F48</f>
        <v>0</v>
      </c>
      <c r="G10" s="3">
        <f>Urban_res_calculation!G48</f>
        <v>0</v>
      </c>
      <c r="H10" s="3">
        <f>Urban_res_calculation!H48</f>
        <v>0</v>
      </c>
      <c r="I10" s="3">
        <f>Urban_res_calculation!I48</f>
        <v>0</v>
      </c>
      <c r="J10" s="3">
        <f>Urban_res_calculation!J48</f>
        <v>0</v>
      </c>
      <c r="K10" s="3">
        <f>Urban_res_calculation!K48</f>
        <v>0</v>
      </c>
      <c r="L10" s="3">
        <f>Urban_res_calculation!L48</f>
        <v>0</v>
      </c>
      <c r="M10" s="3">
        <f>Urban_res_calculation!M48</f>
        <v>0</v>
      </c>
      <c r="N10" s="3">
        <f>Urban_res_calculation!N48</f>
        <v>0</v>
      </c>
      <c r="O10" s="3">
        <f>Urban_res_calculation!O48</f>
        <v>0</v>
      </c>
      <c r="P10" s="3">
        <f>Urban_res_calculation!P48</f>
        <v>0</v>
      </c>
      <c r="Q10" s="3">
        <f>Urban_res_calculation!Q48</f>
        <v>0</v>
      </c>
      <c r="R10" s="3">
        <f>Urban_res_calculation!R48</f>
        <v>0</v>
      </c>
      <c r="S10" s="3">
        <f>Urban_res_calculation!S48</f>
        <v>0</v>
      </c>
      <c r="T10" s="3">
        <f>Urban_res_calculation!T48</f>
        <v>0</v>
      </c>
      <c r="U10" s="3">
        <f>Urban_res_calculation!U48</f>
        <v>0</v>
      </c>
      <c r="V10" s="3">
        <f>Urban_res_calculation!V48</f>
        <v>0</v>
      </c>
      <c r="W10" s="3">
        <f>Urban_res_calculation!W48</f>
        <v>0</v>
      </c>
      <c r="X10" s="3">
        <f>Urban_res_calculation!X48</f>
        <v>0</v>
      </c>
      <c r="Y10" s="3">
        <f>Urban_res_calculation!Y48</f>
        <v>0</v>
      </c>
      <c r="Z10" s="3">
        <f>Urban_res_calculation!Z48</f>
        <v>0</v>
      </c>
      <c r="AA10" s="3">
        <f>Urban_res_calculation!AA48</f>
        <v>0</v>
      </c>
      <c r="AB10" s="3">
        <f>Urban_res_calculation!AB48</f>
        <v>0</v>
      </c>
      <c r="AC10" s="3">
        <f>Urban_res_calculation!AC48</f>
        <v>0</v>
      </c>
      <c r="AD10" s="3">
        <f>Urban_res_calculation!AD48</f>
        <v>0</v>
      </c>
      <c r="AE10" s="3">
        <f>Urban_res_calculation!AE48</f>
        <v>0</v>
      </c>
      <c r="AF10" s="3">
        <f>Urban_res_calculation!AF48</f>
        <v>0</v>
      </c>
      <c r="AG10" s="3">
        <f>Urban_res_calculation!AG48</f>
        <v>0</v>
      </c>
    </row>
    <row r="11" spans="1:35">
      <c r="A11" s="1" t="s">
        <v>16</v>
      </c>
      <c r="B11" s="3">
        <f>Urban_res_calculation!B49</f>
        <v>0</v>
      </c>
      <c r="C11" s="3">
        <f>Urban_res_calculation!C49</f>
        <v>0</v>
      </c>
      <c r="D11" s="3">
        <f>Urban_res_calculation!D49</f>
        <v>0</v>
      </c>
      <c r="E11" s="3">
        <f>Urban_res_calculation!E49</f>
        <v>0</v>
      </c>
      <c r="F11" s="3">
        <f>Urban_res_calculation!F49</f>
        <v>0</v>
      </c>
      <c r="G11" s="3">
        <f>Urban_res_calculation!G49</f>
        <v>0</v>
      </c>
      <c r="H11" s="3">
        <f>Urban_res_calculation!H49</f>
        <v>0</v>
      </c>
      <c r="I11" s="3">
        <f>Urban_res_calculation!I49</f>
        <v>0</v>
      </c>
      <c r="J11" s="3">
        <f>Urban_res_calculation!J49</f>
        <v>0</v>
      </c>
      <c r="K11" s="3">
        <f>Urban_res_calculation!K49</f>
        <v>0</v>
      </c>
      <c r="L11" s="3">
        <f>Urban_res_calculation!L49</f>
        <v>0</v>
      </c>
      <c r="M11" s="3">
        <f>Urban_res_calculation!M49</f>
        <v>0</v>
      </c>
      <c r="N11" s="3">
        <f>Urban_res_calculation!N49</f>
        <v>0</v>
      </c>
      <c r="O11" s="3">
        <f>Urban_res_calculation!O49</f>
        <v>0</v>
      </c>
      <c r="P11" s="3">
        <f>Urban_res_calculation!P49</f>
        <v>0</v>
      </c>
      <c r="Q11" s="3">
        <f>Urban_res_calculation!Q49</f>
        <v>0</v>
      </c>
      <c r="R11" s="3">
        <f>Urban_res_calculation!R49</f>
        <v>0</v>
      </c>
      <c r="S11" s="3">
        <f>Urban_res_calculation!S49</f>
        <v>0</v>
      </c>
      <c r="T11" s="3">
        <f>Urban_res_calculation!T49</f>
        <v>0</v>
      </c>
      <c r="U11" s="3">
        <f>Urban_res_calculation!U49</f>
        <v>0</v>
      </c>
      <c r="V11" s="3">
        <f>Urban_res_calculation!V49</f>
        <v>0</v>
      </c>
      <c r="W11" s="3">
        <f>Urban_res_calculation!W49</f>
        <v>0</v>
      </c>
      <c r="X11" s="3">
        <f>Urban_res_calculation!X49</f>
        <v>0</v>
      </c>
      <c r="Y11" s="3">
        <f>Urban_res_calculation!Y49</f>
        <v>0</v>
      </c>
      <c r="Z11" s="3">
        <f>Urban_res_calculation!Z49</f>
        <v>0</v>
      </c>
      <c r="AA11" s="3">
        <f>Urban_res_calculation!AA49</f>
        <v>0</v>
      </c>
      <c r="AB11" s="3">
        <f>Urban_res_calculation!AB49</f>
        <v>0</v>
      </c>
      <c r="AC11" s="3">
        <f>Urban_res_calculation!AC49</f>
        <v>0</v>
      </c>
      <c r="AD11" s="3">
        <f>Urban_res_calculation!AD49</f>
        <v>0</v>
      </c>
      <c r="AE11" s="3">
        <f>Urban_res_calculation!AE49</f>
        <v>0</v>
      </c>
      <c r="AF11" s="3">
        <f>Urban_res_calculation!AF49</f>
        <v>0</v>
      </c>
      <c r="AG11" s="3">
        <f>Urban_res_calculation!AG49</f>
        <v>0</v>
      </c>
    </row>
  </sheetData>
  <phoneticPr fontId="11" type="noConversion"/>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I11"/>
  <sheetViews>
    <sheetView zoomScale="80" zoomScaleNormal="80" workbookViewId="0">
      <selection activeCell="B2" sqref="B2"/>
    </sheetView>
  </sheetViews>
  <sheetFormatPr defaultRowHeight="16.5"/>
  <cols>
    <col min="1" max="1" width="29.875" customWidth="1"/>
    <col min="2" max="33" width="13.625" customWidth="1"/>
  </cols>
  <sheetData>
    <row r="1" spans="1:35">
      <c r="A1" s="1" t="s">
        <v>1</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c r="AI1" s="1"/>
    </row>
    <row r="2" spans="1:35">
      <c r="A2" s="1" t="s">
        <v>2</v>
      </c>
      <c r="B2" s="3">
        <f>Urban_res_calculation!B52</f>
        <v>83537070002712.109</v>
      </c>
      <c r="C2" s="3">
        <f>Urban_res_calculation!C52</f>
        <v>87826148177692.922</v>
      </c>
      <c r="D2" s="3">
        <f>Urban_res_calculation!D52</f>
        <v>91958056660630.078</v>
      </c>
      <c r="E2" s="3">
        <f>Urban_res_calculation!E52</f>
        <v>92509805000593.859</v>
      </c>
      <c r="F2" s="3">
        <f>Urban_res_calculation!F52</f>
        <v>93064863830597.422</v>
      </c>
      <c r="G2" s="3">
        <f>Urban_res_calculation!G52</f>
        <v>93623253013581</v>
      </c>
      <c r="H2" s="3">
        <f>Urban_res_calculation!H52</f>
        <v>94184992531662.484</v>
      </c>
      <c r="I2" s="3">
        <f>Urban_res_calculation!I52</f>
        <v>94750102486852.453</v>
      </c>
      <c r="J2" s="3">
        <f>Urban_res_calculation!J52</f>
        <v>95318603101773.563</v>
      </c>
      <c r="K2" s="3">
        <f>Urban_res_calculation!K52</f>
        <v>95890514720384.203</v>
      </c>
      <c r="L2" s="3">
        <f>Urban_res_calculation!L52</f>
        <v>96465857808706.516</v>
      </c>
      <c r="M2" s="3">
        <f>Urban_res_calculation!M52</f>
        <v>97044652955558.75</v>
      </c>
      <c r="N2" s="3">
        <f>Urban_res_calculation!N52</f>
        <v>97626920873292.109</v>
      </c>
      <c r="O2" s="3">
        <f>Urban_res_calculation!O52</f>
        <v>98212682398531.859</v>
      </c>
      <c r="P2" s="3">
        <f>Urban_res_calculation!P52</f>
        <v>98801958492923.047</v>
      </c>
      <c r="Q2" s="3">
        <f>Urban_res_calculation!Q52</f>
        <v>99394770243880.578</v>
      </c>
      <c r="R2" s="3">
        <f>Urban_res_calculation!R52</f>
        <v>99991138865343.859</v>
      </c>
      <c r="S2" s="3">
        <f>Urban_res_calculation!S52</f>
        <v>100591085698535.92</v>
      </c>
      <c r="T2" s="3">
        <f>Urban_res_calculation!T52</f>
        <v>101194632212727.14</v>
      </c>
      <c r="U2" s="3">
        <f>Urban_res_calculation!U52</f>
        <v>101801800006003.5</v>
      </c>
      <c r="V2" s="3">
        <f>Urban_res_calculation!V52</f>
        <v>102412610806039.52</v>
      </c>
      <c r="W2" s="3">
        <f>Urban_res_calculation!W52</f>
        <v>103027086470875.75</v>
      </c>
      <c r="X2" s="3">
        <f>Urban_res_calculation!X52</f>
        <v>103645248989701</v>
      </c>
      <c r="Y2" s="3">
        <f>Urban_res_calculation!Y52</f>
        <v>104267120483639.2</v>
      </c>
      <c r="Z2" s="3">
        <f>Urban_res_calculation!Z52</f>
        <v>104892723206541.03</v>
      </c>
      <c r="AA2" s="3">
        <f>Urban_res_calculation!AA52</f>
        <v>105522079545780.28</v>
      </c>
      <c r="AB2" s="3">
        <f>Urban_res_calculation!AB52</f>
        <v>106155212023054.97</v>
      </c>
      <c r="AC2" s="3">
        <f>Urban_res_calculation!AC52</f>
        <v>106792143295193.3</v>
      </c>
      <c r="AD2" s="3">
        <f>Urban_res_calculation!AD52</f>
        <v>107432896154964.45</v>
      </c>
      <c r="AE2" s="3">
        <f>Urban_res_calculation!AE52</f>
        <v>108077493531894.23</v>
      </c>
      <c r="AF2" s="3">
        <f>Urban_res_calculation!AF52</f>
        <v>108725958493085.59</v>
      </c>
      <c r="AG2" s="3">
        <f>Urban_res_calculation!AG52</f>
        <v>109378314244044.11</v>
      </c>
    </row>
    <row r="3" spans="1:35">
      <c r="A3" s="1" t="s">
        <v>3</v>
      </c>
      <c r="B3" s="3">
        <f>Urban_res_calculation!B53</f>
        <v>0</v>
      </c>
      <c r="C3" s="3">
        <f>Urban_res_calculation!C53</f>
        <v>0</v>
      </c>
      <c r="D3" s="3">
        <f>Urban_res_calculation!D53</f>
        <v>0</v>
      </c>
      <c r="E3" s="3">
        <f>Urban_res_calculation!E53</f>
        <v>0</v>
      </c>
      <c r="F3" s="3">
        <f>Urban_res_calculation!F53</f>
        <v>0</v>
      </c>
      <c r="G3" s="3">
        <f>Urban_res_calculation!G53</f>
        <v>0</v>
      </c>
      <c r="H3" s="3">
        <f>Urban_res_calculation!H53</f>
        <v>0</v>
      </c>
      <c r="I3" s="3">
        <f>Urban_res_calculation!I53</f>
        <v>0</v>
      </c>
      <c r="J3" s="3">
        <f>Urban_res_calculation!J53</f>
        <v>0</v>
      </c>
      <c r="K3" s="3">
        <f>Urban_res_calculation!K53</f>
        <v>0</v>
      </c>
      <c r="L3" s="3">
        <f>Urban_res_calculation!L53</f>
        <v>0</v>
      </c>
      <c r="M3" s="3">
        <f>Urban_res_calculation!M53</f>
        <v>0</v>
      </c>
      <c r="N3" s="3">
        <f>Urban_res_calculation!N53</f>
        <v>0</v>
      </c>
      <c r="O3" s="3">
        <f>Urban_res_calculation!O53</f>
        <v>0</v>
      </c>
      <c r="P3" s="3">
        <f>Urban_res_calculation!P53</f>
        <v>0</v>
      </c>
      <c r="Q3" s="3">
        <f>Urban_res_calculation!Q53</f>
        <v>0</v>
      </c>
      <c r="R3" s="3">
        <f>Urban_res_calculation!R53</f>
        <v>0</v>
      </c>
      <c r="S3" s="3">
        <f>Urban_res_calculation!S53</f>
        <v>0</v>
      </c>
      <c r="T3" s="3">
        <f>Urban_res_calculation!T53</f>
        <v>0</v>
      </c>
      <c r="U3" s="3">
        <f>Urban_res_calculation!U53</f>
        <v>0</v>
      </c>
      <c r="V3" s="3">
        <f>Urban_res_calculation!V53</f>
        <v>0</v>
      </c>
      <c r="W3" s="3">
        <f>Urban_res_calculation!W53</f>
        <v>0</v>
      </c>
      <c r="X3" s="3">
        <f>Urban_res_calculation!X53</f>
        <v>0</v>
      </c>
      <c r="Y3" s="3">
        <f>Urban_res_calculation!Y53</f>
        <v>0</v>
      </c>
      <c r="Z3" s="3">
        <f>Urban_res_calculation!Z53</f>
        <v>0</v>
      </c>
      <c r="AA3" s="3">
        <f>Urban_res_calculation!AA53</f>
        <v>0</v>
      </c>
      <c r="AB3" s="3">
        <f>Urban_res_calculation!AB53</f>
        <v>0</v>
      </c>
      <c r="AC3" s="3">
        <f>Urban_res_calculation!AC53</f>
        <v>0</v>
      </c>
      <c r="AD3" s="3">
        <f>Urban_res_calculation!AD53</f>
        <v>0</v>
      </c>
      <c r="AE3" s="3">
        <f>Urban_res_calculation!AE53</f>
        <v>0</v>
      </c>
      <c r="AF3" s="3">
        <f>Urban_res_calculation!AF53</f>
        <v>0</v>
      </c>
      <c r="AG3" s="3">
        <f>Urban_res_calculation!AG53</f>
        <v>0</v>
      </c>
    </row>
    <row r="4" spans="1:35">
      <c r="A4" s="1" t="s">
        <v>4</v>
      </c>
      <c r="B4" s="3">
        <f>Urban_res_calculation!B54</f>
        <v>66287631222265.641</v>
      </c>
      <c r="C4" s="3">
        <f>Urban_res_calculation!C54</f>
        <v>68855031946379.063</v>
      </c>
      <c r="D4" s="3">
        <f>Urban_res_calculation!D54</f>
        <v>70139237701697.617</v>
      </c>
      <c r="E4" s="3">
        <f>Urban_res_calculation!E54</f>
        <v>69578123800084.039</v>
      </c>
      <c r="F4" s="3">
        <f>Urban_res_calculation!F54</f>
        <v>69021498809683.367</v>
      </c>
      <c r="G4" s="3">
        <f>Urban_res_calculation!G54</f>
        <v>68469326819205.898</v>
      </c>
      <c r="H4" s="3">
        <f>Urban_res_calculation!H54</f>
        <v>67921572204652.25</v>
      </c>
      <c r="I4" s="3">
        <f>Urban_res_calculation!I54</f>
        <v>67378199627015.031</v>
      </c>
      <c r="J4" s="3">
        <f>Urban_res_calculation!J54</f>
        <v>66839174029998.914</v>
      </c>
      <c r="K4" s="3">
        <f>Urban_res_calculation!K54</f>
        <v>66304460637758.922</v>
      </c>
      <c r="L4" s="3">
        <f>Urban_res_calculation!L54</f>
        <v>65774024952656.852</v>
      </c>
      <c r="M4" s="3">
        <f>Urban_res_calculation!M54</f>
        <v>65247832753035.594</v>
      </c>
      <c r="N4" s="3">
        <f>Urban_res_calculation!N54</f>
        <v>64725850091011.305</v>
      </c>
      <c r="O4" s="3">
        <f>Urban_res_calculation!O54</f>
        <v>64208043290283.211</v>
      </c>
      <c r="P4" s="3">
        <f>Urban_res_calculation!P54</f>
        <v>63694378943960.945</v>
      </c>
      <c r="Q4" s="3">
        <f>Urban_res_calculation!Q54</f>
        <v>63184823912409.258</v>
      </c>
      <c r="R4" s="3">
        <f>Urban_res_calculation!R54</f>
        <v>62679345321109.984</v>
      </c>
      <c r="S4" s="3">
        <f>Urban_res_calculation!S54</f>
        <v>62177910558541.102</v>
      </c>
      <c r="T4" s="3">
        <f>Urban_res_calculation!T54</f>
        <v>61680487274072.773</v>
      </c>
      <c r="U4" s="3">
        <f>Urban_res_calculation!U54</f>
        <v>61187043375880.188</v>
      </c>
      <c r="V4" s="3">
        <f>Urban_res_calculation!V54</f>
        <v>60697547028873.148</v>
      </c>
      <c r="W4" s="3">
        <f>Urban_res_calculation!W54</f>
        <v>60211966652642.164</v>
      </c>
      <c r="X4" s="3">
        <f>Urban_res_calculation!X54</f>
        <v>59730270919421.023</v>
      </c>
      <c r="Y4" s="3">
        <f>Urban_res_calculation!Y54</f>
        <v>59252428752065.656</v>
      </c>
      <c r="Z4" s="3">
        <f>Urban_res_calculation!Z54</f>
        <v>58778409322049.133</v>
      </c>
      <c r="AA4" s="3">
        <f>Urban_res_calculation!AA54</f>
        <v>58308182047472.742</v>
      </c>
      <c r="AB4" s="3">
        <f>Urban_res_calculation!AB54</f>
        <v>57841716591092.961</v>
      </c>
      <c r="AC4" s="3">
        <f>Urban_res_calculation!AC54</f>
        <v>57378982858364.219</v>
      </c>
      <c r="AD4" s="3">
        <f>Urban_res_calculation!AD54</f>
        <v>56919950995497.305</v>
      </c>
      <c r="AE4" s="3">
        <f>Urban_res_calculation!AE54</f>
        <v>56464591387533.328</v>
      </c>
      <c r="AF4" s="3">
        <f>Urban_res_calculation!AF54</f>
        <v>56012874656433.063</v>
      </c>
      <c r="AG4" s="3">
        <f>Urban_res_calculation!AG54</f>
        <v>55564771659181.594</v>
      </c>
    </row>
    <row r="5" spans="1:35">
      <c r="A5" s="1" t="s">
        <v>5</v>
      </c>
      <c r="B5" s="3">
        <f>Urban_res_calculation!B55</f>
        <v>0</v>
      </c>
      <c r="C5" s="3">
        <f>Urban_res_calculation!C55</f>
        <v>0</v>
      </c>
      <c r="D5" s="3">
        <f>Urban_res_calculation!D55</f>
        <v>0</v>
      </c>
      <c r="E5" s="3">
        <f>Urban_res_calculation!E55</f>
        <v>0</v>
      </c>
      <c r="F5" s="3">
        <f>Urban_res_calculation!F55</f>
        <v>0</v>
      </c>
      <c r="G5" s="3">
        <f>Urban_res_calculation!G55</f>
        <v>0</v>
      </c>
      <c r="H5" s="3">
        <f>Urban_res_calculation!H55</f>
        <v>0</v>
      </c>
      <c r="I5" s="3">
        <f>Urban_res_calculation!I55</f>
        <v>0</v>
      </c>
      <c r="J5" s="3">
        <f>Urban_res_calculation!J55</f>
        <v>0</v>
      </c>
      <c r="K5" s="3">
        <f>Urban_res_calculation!K55</f>
        <v>0</v>
      </c>
      <c r="L5" s="3">
        <f>Urban_res_calculation!L55</f>
        <v>0</v>
      </c>
      <c r="M5" s="3">
        <f>Urban_res_calculation!M55</f>
        <v>0</v>
      </c>
      <c r="N5" s="3">
        <f>Urban_res_calculation!N55</f>
        <v>0</v>
      </c>
      <c r="O5" s="3">
        <f>Urban_res_calculation!O55</f>
        <v>0</v>
      </c>
      <c r="P5" s="3">
        <f>Urban_res_calculation!P55</f>
        <v>0</v>
      </c>
      <c r="Q5" s="3">
        <f>Urban_res_calculation!Q55</f>
        <v>0</v>
      </c>
      <c r="R5" s="3">
        <f>Urban_res_calculation!R55</f>
        <v>0</v>
      </c>
      <c r="S5" s="3">
        <f>Urban_res_calculation!S55</f>
        <v>0</v>
      </c>
      <c r="T5" s="3">
        <f>Urban_res_calculation!T55</f>
        <v>0</v>
      </c>
      <c r="U5" s="3">
        <f>Urban_res_calculation!U55</f>
        <v>0</v>
      </c>
      <c r="V5" s="3">
        <f>Urban_res_calculation!V55</f>
        <v>0</v>
      </c>
      <c r="W5" s="3">
        <f>Urban_res_calculation!W55</f>
        <v>0</v>
      </c>
      <c r="X5" s="3">
        <f>Urban_res_calculation!X55</f>
        <v>0</v>
      </c>
      <c r="Y5" s="3">
        <f>Urban_res_calculation!Y55</f>
        <v>0</v>
      </c>
      <c r="Z5" s="3">
        <f>Urban_res_calculation!Z55</f>
        <v>0</v>
      </c>
      <c r="AA5" s="3">
        <f>Urban_res_calculation!AA55</f>
        <v>0</v>
      </c>
      <c r="AB5" s="3">
        <f>Urban_res_calculation!AB55</f>
        <v>0</v>
      </c>
      <c r="AC5" s="3">
        <f>Urban_res_calculation!AC55</f>
        <v>0</v>
      </c>
      <c r="AD5" s="3">
        <f>Urban_res_calculation!AD55</f>
        <v>0</v>
      </c>
      <c r="AE5" s="3">
        <f>Urban_res_calculation!AE55</f>
        <v>0</v>
      </c>
      <c r="AF5" s="3">
        <f>Urban_res_calculation!AF55</f>
        <v>0</v>
      </c>
      <c r="AG5" s="3">
        <f>Urban_res_calculation!AG55</f>
        <v>0</v>
      </c>
    </row>
    <row r="6" spans="1:35">
      <c r="A6" s="1" t="s">
        <v>7</v>
      </c>
      <c r="B6" s="3">
        <f>Urban_res_calculation!B56</f>
        <v>0</v>
      </c>
      <c r="C6" s="3">
        <f>Urban_res_calculation!C56</f>
        <v>0</v>
      </c>
      <c r="D6" s="3">
        <f>Urban_res_calculation!D56</f>
        <v>0</v>
      </c>
      <c r="E6" s="3">
        <f>Urban_res_calculation!E56</f>
        <v>0</v>
      </c>
      <c r="F6" s="3">
        <f>Urban_res_calculation!F56</f>
        <v>0</v>
      </c>
      <c r="G6" s="3">
        <f>Urban_res_calculation!G56</f>
        <v>0</v>
      </c>
      <c r="H6" s="3">
        <f>Urban_res_calculation!H56</f>
        <v>0</v>
      </c>
      <c r="I6" s="3">
        <f>Urban_res_calculation!I56</f>
        <v>0</v>
      </c>
      <c r="J6" s="3">
        <f>Urban_res_calculation!J56</f>
        <v>0</v>
      </c>
      <c r="K6" s="3">
        <f>Urban_res_calculation!K56</f>
        <v>0</v>
      </c>
      <c r="L6" s="3">
        <f>Urban_res_calculation!L56</f>
        <v>0</v>
      </c>
      <c r="M6" s="3">
        <f>Urban_res_calculation!M56</f>
        <v>0</v>
      </c>
      <c r="N6" s="3">
        <f>Urban_res_calculation!N56</f>
        <v>0</v>
      </c>
      <c r="O6" s="3">
        <f>Urban_res_calculation!O56</f>
        <v>0</v>
      </c>
      <c r="P6" s="3">
        <f>Urban_res_calculation!P56</f>
        <v>0</v>
      </c>
      <c r="Q6" s="3">
        <f>Urban_res_calculation!Q56</f>
        <v>0</v>
      </c>
      <c r="R6" s="3">
        <f>Urban_res_calculation!R56</f>
        <v>0</v>
      </c>
      <c r="S6" s="3">
        <f>Urban_res_calculation!S56</f>
        <v>0</v>
      </c>
      <c r="T6" s="3">
        <f>Urban_res_calculation!T56</f>
        <v>0</v>
      </c>
      <c r="U6" s="3">
        <f>Urban_res_calculation!U56</f>
        <v>0</v>
      </c>
      <c r="V6" s="3">
        <f>Urban_res_calculation!V56</f>
        <v>0</v>
      </c>
      <c r="W6" s="3">
        <f>Urban_res_calculation!W56</f>
        <v>0</v>
      </c>
      <c r="X6" s="3">
        <f>Urban_res_calculation!X56</f>
        <v>0</v>
      </c>
      <c r="Y6" s="3">
        <f>Urban_res_calculation!Y56</f>
        <v>0</v>
      </c>
      <c r="Z6" s="3">
        <f>Urban_res_calculation!Z56</f>
        <v>0</v>
      </c>
      <c r="AA6" s="3">
        <f>Urban_res_calculation!AA56</f>
        <v>0</v>
      </c>
      <c r="AB6" s="3">
        <f>Urban_res_calculation!AB56</f>
        <v>0</v>
      </c>
      <c r="AC6" s="3">
        <f>Urban_res_calculation!AC56</f>
        <v>0</v>
      </c>
      <c r="AD6" s="3">
        <f>Urban_res_calculation!AD56</f>
        <v>0</v>
      </c>
      <c r="AE6" s="3">
        <f>Urban_res_calculation!AE56</f>
        <v>0</v>
      </c>
      <c r="AF6" s="3">
        <f>Urban_res_calculation!AF56</f>
        <v>0</v>
      </c>
      <c r="AG6" s="3">
        <f>Urban_res_calculation!AG56</f>
        <v>0</v>
      </c>
    </row>
    <row r="7" spans="1:35">
      <c r="A7" s="1" t="s">
        <v>11</v>
      </c>
      <c r="B7" s="3">
        <f>Urban_res_calculation!B57</f>
        <v>0</v>
      </c>
      <c r="C7" s="3">
        <f>Urban_res_calculation!C57</f>
        <v>0</v>
      </c>
      <c r="D7" s="3">
        <f>Urban_res_calculation!D57</f>
        <v>0</v>
      </c>
      <c r="E7" s="3">
        <f>Urban_res_calculation!E57</f>
        <v>0</v>
      </c>
      <c r="F7" s="3">
        <f>Urban_res_calculation!F57</f>
        <v>0</v>
      </c>
      <c r="G7" s="3">
        <f>Urban_res_calculation!G57</f>
        <v>0</v>
      </c>
      <c r="H7" s="3">
        <f>Urban_res_calculation!H57</f>
        <v>0</v>
      </c>
      <c r="I7" s="3">
        <f>Urban_res_calculation!I57</f>
        <v>0</v>
      </c>
      <c r="J7" s="3">
        <f>Urban_res_calculation!J57</f>
        <v>0</v>
      </c>
      <c r="K7" s="3">
        <f>Urban_res_calculation!K57</f>
        <v>0</v>
      </c>
      <c r="L7" s="3">
        <f>Urban_res_calculation!L57</f>
        <v>0</v>
      </c>
      <c r="M7" s="3">
        <f>Urban_res_calculation!M57</f>
        <v>0</v>
      </c>
      <c r="N7" s="3">
        <f>Urban_res_calculation!N57</f>
        <v>0</v>
      </c>
      <c r="O7" s="3">
        <f>Urban_res_calculation!O57</f>
        <v>0</v>
      </c>
      <c r="P7" s="3">
        <f>Urban_res_calculation!P57</f>
        <v>0</v>
      </c>
      <c r="Q7" s="3">
        <f>Urban_res_calculation!Q57</f>
        <v>0</v>
      </c>
      <c r="R7" s="3">
        <f>Urban_res_calculation!R57</f>
        <v>0</v>
      </c>
      <c r="S7" s="3">
        <f>Urban_res_calculation!S57</f>
        <v>0</v>
      </c>
      <c r="T7" s="3">
        <f>Urban_res_calculation!T57</f>
        <v>0</v>
      </c>
      <c r="U7" s="3">
        <f>Urban_res_calculation!U57</f>
        <v>0</v>
      </c>
      <c r="V7" s="3">
        <f>Urban_res_calculation!V57</f>
        <v>0</v>
      </c>
      <c r="W7" s="3">
        <f>Urban_res_calculation!W57</f>
        <v>0</v>
      </c>
      <c r="X7" s="3">
        <f>Urban_res_calculation!X57</f>
        <v>0</v>
      </c>
      <c r="Y7" s="3">
        <f>Urban_res_calculation!Y57</f>
        <v>0</v>
      </c>
      <c r="Z7" s="3">
        <f>Urban_res_calculation!Z57</f>
        <v>0</v>
      </c>
      <c r="AA7" s="3">
        <f>Urban_res_calculation!AA57</f>
        <v>0</v>
      </c>
      <c r="AB7" s="3">
        <f>Urban_res_calculation!AB57</f>
        <v>0</v>
      </c>
      <c r="AC7" s="3">
        <f>Urban_res_calculation!AC57</f>
        <v>0</v>
      </c>
      <c r="AD7" s="3">
        <f>Urban_res_calculation!AD57</f>
        <v>0</v>
      </c>
      <c r="AE7" s="3">
        <f>Urban_res_calculation!AE57</f>
        <v>0</v>
      </c>
      <c r="AF7" s="3">
        <f>Urban_res_calculation!AF57</f>
        <v>0</v>
      </c>
      <c r="AG7" s="3">
        <f>Urban_res_calculation!AG57</f>
        <v>0</v>
      </c>
    </row>
    <row r="8" spans="1:35">
      <c r="A8" s="1" t="s">
        <v>13</v>
      </c>
      <c r="B8" s="3">
        <f>Urban_res_calculation!B58</f>
        <v>0</v>
      </c>
      <c r="C8" s="3">
        <f>Urban_res_calculation!C58</f>
        <v>0</v>
      </c>
      <c r="D8" s="3">
        <f>Urban_res_calculation!D58</f>
        <v>0</v>
      </c>
      <c r="E8" s="3">
        <f>Urban_res_calculation!E58</f>
        <v>0</v>
      </c>
      <c r="F8" s="3">
        <f>Urban_res_calculation!F58</f>
        <v>0</v>
      </c>
      <c r="G8" s="3">
        <f>Urban_res_calculation!G58</f>
        <v>0</v>
      </c>
      <c r="H8" s="3">
        <f>Urban_res_calculation!H58</f>
        <v>0</v>
      </c>
      <c r="I8" s="3">
        <f>Urban_res_calculation!I58</f>
        <v>0</v>
      </c>
      <c r="J8" s="3">
        <f>Urban_res_calculation!J58</f>
        <v>0</v>
      </c>
      <c r="K8" s="3">
        <f>Urban_res_calculation!K58</f>
        <v>0</v>
      </c>
      <c r="L8" s="3">
        <f>Urban_res_calculation!L58</f>
        <v>0</v>
      </c>
      <c r="M8" s="3">
        <f>Urban_res_calculation!M58</f>
        <v>0</v>
      </c>
      <c r="N8" s="3">
        <f>Urban_res_calculation!N58</f>
        <v>0</v>
      </c>
      <c r="O8" s="3">
        <f>Urban_res_calculation!O58</f>
        <v>0</v>
      </c>
      <c r="P8" s="3">
        <f>Urban_res_calculation!P58</f>
        <v>0</v>
      </c>
      <c r="Q8" s="3">
        <f>Urban_res_calculation!Q58</f>
        <v>0</v>
      </c>
      <c r="R8" s="3">
        <f>Urban_res_calculation!R58</f>
        <v>0</v>
      </c>
      <c r="S8" s="3">
        <f>Urban_res_calculation!S58</f>
        <v>0</v>
      </c>
      <c r="T8" s="3">
        <f>Urban_res_calculation!T58</f>
        <v>0</v>
      </c>
      <c r="U8" s="3">
        <f>Urban_res_calculation!U58</f>
        <v>0</v>
      </c>
      <c r="V8" s="3">
        <f>Urban_res_calculation!V58</f>
        <v>0</v>
      </c>
      <c r="W8" s="3">
        <f>Urban_res_calculation!W58</f>
        <v>0</v>
      </c>
      <c r="X8" s="3">
        <f>Urban_res_calculation!X58</f>
        <v>0</v>
      </c>
      <c r="Y8" s="3">
        <f>Urban_res_calculation!Y58</f>
        <v>0</v>
      </c>
      <c r="Z8" s="3">
        <f>Urban_res_calculation!Z58</f>
        <v>0</v>
      </c>
      <c r="AA8" s="3">
        <f>Urban_res_calculation!AA58</f>
        <v>0</v>
      </c>
      <c r="AB8" s="3">
        <f>Urban_res_calculation!AB58</f>
        <v>0</v>
      </c>
      <c r="AC8" s="3">
        <f>Urban_res_calculation!AC58</f>
        <v>0</v>
      </c>
      <c r="AD8" s="3">
        <f>Urban_res_calculation!AD58</f>
        <v>0</v>
      </c>
      <c r="AE8" s="3">
        <f>Urban_res_calculation!AE58</f>
        <v>0</v>
      </c>
      <c r="AF8" s="3">
        <f>Urban_res_calculation!AF58</f>
        <v>0</v>
      </c>
      <c r="AG8" s="3">
        <f>Urban_res_calculation!AG58</f>
        <v>0</v>
      </c>
    </row>
    <row r="9" spans="1:35">
      <c r="A9" s="1" t="s">
        <v>14</v>
      </c>
      <c r="B9" s="3">
        <f>Urban_res_calculation!B59</f>
        <v>0</v>
      </c>
      <c r="C9" s="3">
        <f>Urban_res_calculation!C59</f>
        <v>0</v>
      </c>
      <c r="D9" s="3">
        <f>Urban_res_calculation!D59</f>
        <v>0</v>
      </c>
      <c r="E9" s="3">
        <f>Urban_res_calculation!E59</f>
        <v>0</v>
      </c>
      <c r="F9" s="3">
        <f>Urban_res_calculation!F59</f>
        <v>0</v>
      </c>
      <c r="G9" s="3">
        <f>Urban_res_calculation!G59</f>
        <v>0</v>
      </c>
      <c r="H9" s="3">
        <f>Urban_res_calculation!H59</f>
        <v>0</v>
      </c>
      <c r="I9" s="3">
        <f>Urban_res_calculation!I59</f>
        <v>0</v>
      </c>
      <c r="J9" s="3">
        <f>Urban_res_calculation!J59</f>
        <v>0</v>
      </c>
      <c r="K9" s="3">
        <f>Urban_res_calculation!K59</f>
        <v>0</v>
      </c>
      <c r="L9" s="3">
        <f>Urban_res_calculation!L59</f>
        <v>0</v>
      </c>
      <c r="M9" s="3">
        <f>Urban_res_calculation!M59</f>
        <v>0</v>
      </c>
      <c r="N9" s="3">
        <f>Urban_res_calculation!N59</f>
        <v>0</v>
      </c>
      <c r="O9" s="3">
        <f>Urban_res_calculation!O59</f>
        <v>0</v>
      </c>
      <c r="P9" s="3">
        <f>Urban_res_calculation!P59</f>
        <v>0</v>
      </c>
      <c r="Q9" s="3">
        <f>Urban_res_calculation!Q59</f>
        <v>0</v>
      </c>
      <c r="R9" s="3">
        <f>Urban_res_calculation!R59</f>
        <v>0</v>
      </c>
      <c r="S9" s="3">
        <f>Urban_res_calculation!S59</f>
        <v>0</v>
      </c>
      <c r="T9" s="3">
        <f>Urban_res_calculation!T59</f>
        <v>0</v>
      </c>
      <c r="U9" s="3">
        <f>Urban_res_calculation!U59</f>
        <v>0</v>
      </c>
      <c r="V9" s="3">
        <f>Urban_res_calculation!V59</f>
        <v>0</v>
      </c>
      <c r="W9" s="3">
        <f>Urban_res_calculation!W59</f>
        <v>0</v>
      </c>
      <c r="X9" s="3">
        <f>Urban_res_calculation!X59</f>
        <v>0</v>
      </c>
      <c r="Y9" s="3">
        <f>Urban_res_calculation!Y59</f>
        <v>0</v>
      </c>
      <c r="Z9" s="3">
        <f>Urban_res_calculation!Z59</f>
        <v>0</v>
      </c>
      <c r="AA9" s="3">
        <f>Urban_res_calculation!AA59</f>
        <v>0</v>
      </c>
      <c r="AB9" s="3">
        <f>Urban_res_calculation!AB59</f>
        <v>0</v>
      </c>
      <c r="AC9" s="3">
        <f>Urban_res_calculation!AC59</f>
        <v>0</v>
      </c>
      <c r="AD9" s="3">
        <f>Urban_res_calculation!AD59</f>
        <v>0</v>
      </c>
      <c r="AE9" s="3">
        <f>Urban_res_calculation!AE59</f>
        <v>0</v>
      </c>
      <c r="AF9" s="3">
        <f>Urban_res_calculation!AF59</f>
        <v>0</v>
      </c>
      <c r="AG9" s="3">
        <f>Urban_res_calculation!AG59</f>
        <v>0</v>
      </c>
    </row>
    <row r="10" spans="1:35">
      <c r="A10" s="1" t="s">
        <v>15</v>
      </c>
      <c r="B10" s="3">
        <f>Urban_res_calculation!B60</f>
        <v>3673851782062.3345</v>
      </c>
      <c r="C10" s="3">
        <f>Urban_res_calculation!C60</f>
        <v>3580635411738.1543</v>
      </c>
      <c r="D10" s="3">
        <f>Urban_res_calculation!D60</f>
        <v>3578757426255.4331</v>
      </c>
      <c r="E10" s="3">
        <f>Urban_res_calculation!E60</f>
        <v>3428449614352.7046</v>
      </c>
      <c r="F10" s="3">
        <f>Urban_res_calculation!F60</f>
        <v>3284454730549.8906</v>
      </c>
      <c r="G10" s="3">
        <f>Urban_res_calculation!G60</f>
        <v>3146507631866.7949</v>
      </c>
      <c r="H10" s="3">
        <f>Urban_res_calculation!H60</f>
        <v>3014354311328.3896</v>
      </c>
      <c r="I10" s="3">
        <f>Urban_res_calculation!I60</f>
        <v>2887751430252.5972</v>
      </c>
      <c r="J10" s="3">
        <f>Urban_res_calculation!J60</f>
        <v>2766465870181.9878</v>
      </c>
      <c r="K10" s="3">
        <f>Urban_res_calculation!K60</f>
        <v>2650274303634.3442</v>
      </c>
      <c r="L10" s="3">
        <f>Urban_res_calculation!L60</f>
        <v>2538962782881.7017</v>
      </c>
      <c r="M10" s="3">
        <f>Urban_res_calculation!M60</f>
        <v>2432326346000.6699</v>
      </c>
      <c r="N10" s="3">
        <f>Urban_res_calculation!N60</f>
        <v>2330168639468.6416</v>
      </c>
      <c r="O10" s="3">
        <f>Urban_res_calculation!O60</f>
        <v>2232301556610.9585</v>
      </c>
      <c r="P10" s="3">
        <f>Urban_res_calculation!P60</f>
        <v>2138544891233.2981</v>
      </c>
      <c r="Q10" s="3">
        <f>Urban_res_calculation!Q60</f>
        <v>2048726005801.4995</v>
      </c>
      <c r="R10" s="3">
        <f>Urban_res_calculation!R60</f>
        <v>1962679513557.8364</v>
      </c>
      <c r="S10" s="3">
        <f>Urban_res_calculation!S60</f>
        <v>1880246973988.4072</v>
      </c>
      <c r="T10" s="3">
        <f>Urban_res_calculation!T60</f>
        <v>1801276601080.894</v>
      </c>
      <c r="U10" s="3">
        <f>Urban_res_calculation!U60</f>
        <v>1725622983835.4963</v>
      </c>
      <c r="V10" s="3">
        <f>Urban_res_calculation!V60</f>
        <v>1653146818514.4055</v>
      </c>
      <c r="W10" s="3">
        <f>Urban_res_calculation!W60</f>
        <v>1583714652136.8005</v>
      </c>
      <c r="X10" s="3">
        <f>Urban_res_calculation!X60</f>
        <v>1517198636747.0549</v>
      </c>
      <c r="Y10" s="3">
        <f>Urban_res_calculation!Y60</f>
        <v>1453476294003.6785</v>
      </c>
      <c r="Z10" s="3">
        <f>Urban_res_calculation!Z60</f>
        <v>1392430289655.5239</v>
      </c>
      <c r="AA10" s="3">
        <f>Urban_res_calculation!AA60</f>
        <v>1333948217489.9919</v>
      </c>
      <c r="AB10" s="3">
        <f>Urban_res_calculation!AB60</f>
        <v>1277922392355.4124</v>
      </c>
      <c r="AC10" s="3">
        <f>Urban_res_calculation!AC60</f>
        <v>1224249651876.4851</v>
      </c>
      <c r="AD10" s="3">
        <f>Urban_res_calculation!AD60</f>
        <v>1172831166497.6726</v>
      </c>
      <c r="AE10" s="3">
        <f>Urban_res_calculation!AE60</f>
        <v>1123572257504.7703</v>
      </c>
      <c r="AF10" s="3">
        <f>Urban_res_calculation!AF60</f>
        <v>1076382222689.5698</v>
      </c>
      <c r="AG10" s="3">
        <f>Urban_res_calculation!AG60</f>
        <v>1031174169336.6079</v>
      </c>
    </row>
    <row r="11" spans="1:35">
      <c r="A11" s="1" t="s">
        <v>16</v>
      </c>
      <c r="B11" s="3">
        <f>Urban_res_calculation!B61</f>
        <v>0</v>
      </c>
      <c r="C11" s="3">
        <f>Urban_res_calculation!C61</f>
        <v>0</v>
      </c>
      <c r="D11" s="3">
        <f>Urban_res_calculation!D61</f>
        <v>0</v>
      </c>
      <c r="E11" s="3">
        <f>Urban_res_calculation!E61</f>
        <v>0</v>
      </c>
      <c r="F11" s="3">
        <f>Urban_res_calculation!F61</f>
        <v>0</v>
      </c>
      <c r="G11" s="3">
        <f>Urban_res_calculation!G61</f>
        <v>0</v>
      </c>
      <c r="H11" s="3">
        <f>Urban_res_calculation!H61</f>
        <v>0</v>
      </c>
      <c r="I11" s="3">
        <f>Urban_res_calculation!I61</f>
        <v>0</v>
      </c>
      <c r="J11" s="3">
        <f>Urban_res_calculation!J61</f>
        <v>0</v>
      </c>
      <c r="K11" s="3">
        <f>Urban_res_calculation!K61</f>
        <v>0</v>
      </c>
      <c r="L11" s="3">
        <f>Urban_res_calculation!L61</f>
        <v>0</v>
      </c>
      <c r="M11" s="3">
        <f>Urban_res_calculation!M61</f>
        <v>0</v>
      </c>
      <c r="N11" s="3">
        <f>Urban_res_calculation!N61</f>
        <v>0</v>
      </c>
      <c r="O11" s="3">
        <f>Urban_res_calculation!O61</f>
        <v>0</v>
      </c>
      <c r="P11" s="3">
        <f>Urban_res_calculation!P61</f>
        <v>0</v>
      </c>
      <c r="Q11" s="3">
        <f>Urban_res_calculation!Q61</f>
        <v>0</v>
      </c>
      <c r="R11" s="3">
        <f>Urban_res_calculation!R61</f>
        <v>0</v>
      </c>
      <c r="S11" s="3">
        <f>Urban_res_calculation!S61</f>
        <v>0</v>
      </c>
      <c r="T11" s="3">
        <f>Urban_res_calculation!T61</f>
        <v>0</v>
      </c>
      <c r="U11" s="3">
        <f>Urban_res_calculation!U61</f>
        <v>0</v>
      </c>
      <c r="V11" s="3">
        <f>Urban_res_calculation!V61</f>
        <v>0</v>
      </c>
      <c r="W11" s="3">
        <f>Urban_res_calculation!W61</f>
        <v>0</v>
      </c>
      <c r="X11" s="3">
        <f>Urban_res_calculation!X61</f>
        <v>0</v>
      </c>
      <c r="Y11" s="3">
        <f>Urban_res_calculation!Y61</f>
        <v>0</v>
      </c>
      <c r="Z11" s="3">
        <f>Urban_res_calculation!Z61</f>
        <v>0</v>
      </c>
      <c r="AA11" s="3">
        <f>Urban_res_calculation!AA61</f>
        <v>0</v>
      </c>
      <c r="AB11" s="3">
        <f>Urban_res_calculation!AB61</f>
        <v>0</v>
      </c>
      <c r="AC11" s="3">
        <f>Urban_res_calculation!AC61</f>
        <v>0</v>
      </c>
      <c r="AD11" s="3">
        <f>Urban_res_calculation!AD61</f>
        <v>0</v>
      </c>
      <c r="AE11" s="3">
        <f>Urban_res_calculation!AE61</f>
        <v>0</v>
      </c>
      <c r="AF11" s="3">
        <f>Urban_res_calculation!AF61</f>
        <v>0</v>
      </c>
      <c r="AG11" s="3">
        <f>Urban_res_calculation!AG61</f>
        <v>0</v>
      </c>
    </row>
  </sheetData>
  <phoneticPr fontId="11" type="noConversion"/>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I11"/>
  <sheetViews>
    <sheetView zoomScale="80" zoomScaleNormal="80" workbookViewId="0">
      <selection activeCell="B2" sqref="B2"/>
    </sheetView>
  </sheetViews>
  <sheetFormatPr defaultRowHeight="16.5"/>
  <cols>
    <col min="1" max="1" width="29.875" customWidth="1"/>
    <col min="2" max="33" width="13.125" customWidth="1"/>
  </cols>
  <sheetData>
    <row r="1" spans="1:35">
      <c r="A1" s="1" t="s">
        <v>1</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c r="AI1" s="1"/>
    </row>
    <row r="2" spans="1:35">
      <c r="A2" s="1" t="s">
        <v>2</v>
      </c>
      <c r="B2" s="3">
        <f>Urban_res_calculation!B64</f>
        <v>0</v>
      </c>
      <c r="C2" s="3">
        <f>Urban_res_calculation!C64</f>
        <v>0</v>
      </c>
      <c r="D2" s="3">
        <f>Urban_res_calculation!D64</f>
        <v>0</v>
      </c>
      <c r="E2" s="3">
        <f>Urban_res_calculation!E64</f>
        <v>0</v>
      </c>
      <c r="F2" s="3">
        <f>Urban_res_calculation!F64</f>
        <v>0</v>
      </c>
      <c r="G2" s="3">
        <f>Urban_res_calculation!G64</f>
        <v>0</v>
      </c>
      <c r="H2" s="3">
        <f>Urban_res_calculation!H64</f>
        <v>0</v>
      </c>
      <c r="I2" s="3">
        <f>Urban_res_calculation!I64</f>
        <v>0</v>
      </c>
      <c r="J2" s="3">
        <f>Urban_res_calculation!J64</f>
        <v>0</v>
      </c>
      <c r="K2" s="3">
        <f>Urban_res_calculation!K64</f>
        <v>0</v>
      </c>
      <c r="L2" s="3">
        <f>Urban_res_calculation!L64</f>
        <v>0</v>
      </c>
      <c r="M2" s="3">
        <f>Urban_res_calculation!M64</f>
        <v>0</v>
      </c>
      <c r="N2" s="3">
        <f>Urban_res_calculation!N64</f>
        <v>0</v>
      </c>
      <c r="O2" s="3">
        <f>Urban_res_calculation!O64</f>
        <v>0</v>
      </c>
      <c r="P2" s="3">
        <f>Urban_res_calculation!P64</f>
        <v>0</v>
      </c>
      <c r="Q2" s="3">
        <f>Urban_res_calculation!Q64</f>
        <v>0</v>
      </c>
      <c r="R2" s="3">
        <f>Urban_res_calculation!R64</f>
        <v>0</v>
      </c>
      <c r="S2" s="3">
        <f>Urban_res_calculation!S64</f>
        <v>0</v>
      </c>
      <c r="T2" s="3">
        <f>Urban_res_calculation!T64</f>
        <v>0</v>
      </c>
      <c r="U2" s="3">
        <f>Urban_res_calculation!U64</f>
        <v>0</v>
      </c>
      <c r="V2" s="3">
        <f>Urban_res_calculation!V64</f>
        <v>0</v>
      </c>
      <c r="W2" s="3">
        <f>Urban_res_calculation!W64</f>
        <v>0</v>
      </c>
      <c r="X2" s="3">
        <f>Urban_res_calculation!X64</f>
        <v>0</v>
      </c>
      <c r="Y2" s="3">
        <f>Urban_res_calculation!Y64</f>
        <v>0</v>
      </c>
      <c r="Z2" s="3">
        <f>Urban_res_calculation!Z64</f>
        <v>0</v>
      </c>
      <c r="AA2" s="3">
        <f>Urban_res_calculation!AA64</f>
        <v>0</v>
      </c>
      <c r="AB2" s="3">
        <f>Urban_res_calculation!AB64</f>
        <v>0</v>
      </c>
      <c r="AC2" s="3">
        <f>Urban_res_calculation!AC64</f>
        <v>0</v>
      </c>
      <c r="AD2" s="3">
        <f>Urban_res_calculation!AD64</f>
        <v>0</v>
      </c>
      <c r="AE2" s="3">
        <f>Urban_res_calculation!AE64</f>
        <v>0</v>
      </c>
      <c r="AF2" s="3">
        <f>Urban_res_calculation!AF64</f>
        <v>0</v>
      </c>
      <c r="AG2" s="3">
        <f>Urban_res_calculation!AG64</f>
        <v>0</v>
      </c>
    </row>
    <row r="3" spans="1:35">
      <c r="A3" s="1" t="s">
        <v>3</v>
      </c>
      <c r="B3" s="3">
        <f>Urban_res_calculation!B65</f>
        <v>0</v>
      </c>
      <c r="C3" s="3">
        <f>Urban_res_calculation!C65</f>
        <v>0</v>
      </c>
      <c r="D3" s="3">
        <f>Urban_res_calculation!D65</f>
        <v>0</v>
      </c>
      <c r="E3" s="3">
        <f>Urban_res_calculation!E65</f>
        <v>0</v>
      </c>
      <c r="F3" s="3">
        <f>Urban_res_calculation!F65</f>
        <v>0</v>
      </c>
      <c r="G3" s="3">
        <f>Urban_res_calculation!G65</f>
        <v>0</v>
      </c>
      <c r="H3" s="3">
        <f>Urban_res_calculation!H65</f>
        <v>0</v>
      </c>
      <c r="I3" s="3">
        <f>Urban_res_calculation!I65</f>
        <v>0</v>
      </c>
      <c r="J3" s="3">
        <f>Urban_res_calculation!J65</f>
        <v>0</v>
      </c>
      <c r="K3" s="3">
        <f>Urban_res_calculation!K65</f>
        <v>0</v>
      </c>
      <c r="L3" s="3">
        <f>Urban_res_calculation!L65</f>
        <v>0</v>
      </c>
      <c r="M3" s="3">
        <f>Urban_res_calculation!M65</f>
        <v>0</v>
      </c>
      <c r="N3" s="3">
        <f>Urban_res_calculation!N65</f>
        <v>0</v>
      </c>
      <c r="O3" s="3">
        <f>Urban_res_calculation!O65</f>
        <v>0</v>
      </c>
      <c r="P3" s="3">
        <f>Urban_res_calculation!P65</f>
        <v>0</v>
      </c>
      <c r="Q3" s="3">
        <f>Urban_res_calculation!Q65</f>
        <v>0</v>
      </c>
      <c r="R3" s="3">
        <f>Urban_res_calculation!R65</f>
        <v>0</v>
      </c>
      <c r="S3" s="3">
        <f>Urban_res_calculation!S65</f>
        <v>0</v>
      </c>
      <c r="T3" s="3">
        <f>Urban_res_calculation!T65</f>
        <v>0</v>
      </c>
      <c r="U3" s="3">
        <f>Urban_res_calculation!U65</f>
        <v>0</v>
      </c>
      <c r="V3" s="3">
        <f>Urban_res_calculation!V65</f>
        <v>0</v>
      </c>
      <c r="W3" s="3">
        <f>Urban_res_calculation!W65</f>
        <v>0</v>
      </c>
      <c r="X3" s="3">
        <f>Urban_res_calculation!X65</f>
        <v>0</v>
      </c>
      <c r="Y3" s="3">
        <f>Urban_res_calculation!Y65</f>
        <v>0</v>
      </c>
      <c r="Z3" s="3">
        <f>Urban_res_calculation!Z65</f>
        <v>0</v>
      </c>
      <c r="AA3" s="3">
        <f>Urban_res_calculation!AA65</f>
        <v>0</v>
      </c>
      <c r="AB3" s="3">
        <f>Urban_res_calculation!AB65</f>
        <v>0</v>
      </c>
      <c r="AC3" s="3">
        <f>Urban_res_calculation!AC65</f>
        <v>0</v>
      </c>
      <c r="AD3" s="3">
        <f>Urban_res_calculation!AD65</f>
        <v>0</v>
      </c>
      <c r="AE3" s="3">
        <f>Urban_res_calculation!AE65</f>
        <v>0</v>
      </c>
      <c r="AF3" s="3">
        <f>Urban_res_calculation!AF65</f>
        <v>0</v>
      </c>
      <c r="AG3" s="3">
        <f>Urban_res_calculation!AG65</f>
        <v>0</v>
      </c>
    </row>
    <row r="4" spans="1:35">
      <c r="A4" s="1" t="s">
        <v>4</v>
      </c>
      <c r="B4" s="3">
        <f>Urban_res_calculation!B66</f>
        <v>0</v>
      </c>
      <c r="C4" s="3">
        <f>Urban_res_calculation!C66</f>
        <v>0</v>
      </c>
      <c r="D4" s="3">
        <f>Urban_res_calculation!D66</f>
        <v>0</v>
      </c>
      <c r="E4" s="3">
        <f>Urban_res_calculation!E66</f>
        <v>0</v>
      </c>
      <c r="F4" s="3">
        <f>Urban_res_calculation!F66</f>
        <v>0</v>
      </c>
      <c r="G4" s="3">
        <f>Urban_res_calculation!G66</f>
        <v>0</v>
      </c>
      <c r="H4" s="3">
        <f>Urban_res_calculation!H66</f>
        <v>0</v>
      </c>
      <c r="I4" s="3">
        <f>Urban_res_calculation!I66</f>
        <v>0</v>
      </c>
      <c r="J4" s="3">
        <f>Urban_res_calculation!J66</f>
        <v>0</v>
      </c>
      <c r="K4" s="3">
        <f>Urban_res_calculation!K66</f>
        <v>0</v>
      </c>
      <c r="L4" s="3">
        <f>Urban_res_calculation!L66</f>
        <v>0</v>
      </c>
      <c r="M4" s="3">
        <f>Urban_res_calculation!M66</f>
        <v>0</v>
      </c>
      <c r="N4" s="3">
        <f>Urban_res_calculation!N66</f>
        <v>0</v>
      </c>
      <c r="O4" s="3">
        <f>Urban_res_calculation!O66</f>
        <v>0</v>
      </c>
      <c r="P4" s="3">
        <f>Urban_res_calculation!P66</f>
        <v>0</v>
      </c>
      <c r="Q4" s="3">
        <f>Urban_res_calculation!Q66</f>
        <v>0</v>
      </c>
      <c r="R4" s="3">
        <f>Urban_res_calculation!R66</f>
        <v>0</v>
      </c>
      <c r="S4" s="3">
        <f>Urban_res_calculation!S66</f>
        <v>0</v>
      </c>
      <c r="T4" s="3">
        <f>Urban_res_calculation!T66</f>
        <v>0</v>
      </c>
      <c r="U4" s="3">
        <f>Urban_res_calculation!U66</f>
        <v>0</v>
      </c>
      <c r="V4" s="3">
        <f>Urban_res_calculation!V66</f>
        <v>0</v>
      </c>
      <c r="W4" s="3">
        <f>Urban_res_calculation!W66</f>
        <v>0</v>
      </c>
      <c r="X4" s="3">
        <f>Urban_res_calculation!X66</f>
        <v>0</v>
      </c>
      <c r="Y4" s="3">
        <f>Urban_res_calculation!Y66</f>
        <v>0</v>
      </c>
      <c r="Z4" s="3">
        <f>Urban_res_calculation!Z66</f>
        <v>0</v>
      </c>
      <c r="AA4" s="3">
        <f>Urban_res_calculation!AA66</f>
        <v>0</v>
      </c>
      <c r="AB4" s="3">
        <f>Urban_res_calculation!AB66</f>
        <v>0</v>
      </c>
      <c r="AC4" s="3">
        <f>Urban_res_calculation!AC66</f>
        <v>0</v>
      </c>
      <c r="AD4" s="3">
        <f>Urban_res_calculation!AD66</f>
        <v>0</v>
      </c>
      <c r="AE4" s="3">
        <f>Urban_res_calculation!AE66</f>
        <v>0</v>
      </c>
      <c r="AF4" s="3">
        <f>Urban_res_calculation!AF66</f>
        <v>0</v>
      </c>
      <c r="AG4" s="3">
        <f>Urban_res_calculation!AG66</f>
        <v>0</v>
      </c>
    </row>
    <row r="5" spans="1:35">
      <c r="A5" s="1" t="s">
        <v>5</v>
      </c>
      <c r="B5" s="3">
        <f>Urban_res_calculation!B67</f>
        <v>0</v>
      </c>
      <c r="C5" s="3">
        <f>Urban_res_calculation!C67</f>
        <v>0</v>
      </c>
      <c r="D5" s="3">
        <f>Urban_res_calculation!D67</f>
        <v>0</v>
      </c>
      <c r="E5" s="3">
        <f>Urban_res_calculation!E67</f>
        <v>0</v>
      </c>
      <c r="F5" s="3">
        <f>Urban_res_calculation!F67</f>
        <v>0</v>
      </c>
      <c r="G5" s="3">
        <f>Urban_res_calculation!G67</f>
        <v>0</v>
      </c>
      <c r="H5" s="3">
        <f>Urban_res_calculation!H67</f>
        <v>0</v>
      </c>
      <c r="I5" s="3">
        <f>Urban_res_calculation!I67</f>
        <v>0</v>
      </c>
      <c r="J5" s="3">
        <f>Urban_res_calculation!J67</f>
        <v>0</v>
      </c>
      <c r="K5" s="3">
        <f>Urban_res_calculation!K67</f>
        <v>0</v>
      </c>
      <c r="L5" s="3">
        <f>Urban_res_calculation!L67</f>
        <v>0</v>
      </c>
      <c r="M5" s="3">
        <f>Urban_res_calculation!M67</f>
        <v>0</v>
      </c>
      <c r="N5" s="3">
        <f>Urban_res_calculation!N67</f>
        <v>0</v>
      </c>
      <c r="O5" s="3">
        <f>Urban_res_calculation!O67</f>
        <v>0</v>
      </c>
      <c r="P5" s="3">
        <f>Urban_res_calculation!P67</f>
        <v>0</v>
      </c>
      <c r="Q5" s="3">
        <f>Urban_res_calculation!Q67</f>
        <v>0</v>
      </c>
      <c r="R5" s="3">
        <f>Urban_res_calculation!R67</f>
        <v>0</v>
      </c>
      <c r="S5" s="3">
        <f>Urban_res_calculation!S67</f>
        <v>0</v>
      </c>
      <c r="T5" s="3">
        <f>Urban_res_calculation!T67</f>
        <v>0</v>
      </c>
      <c r="U5" s="3">
        <f>Urban_res_calculation!U67</f>
        <v>0</v>
      </c>
      <c r="V5" s="3">
        <f>Urban_res_calculation!V67</f>
        <v>0</v>
      </c>
      <c r="W5" s="3">
        <f>Urban_res_calculation!W67</f>
        <v>0</v>
      </c>
      <c r="X5" s="3">
        <f>Urban_res_calculation!X67</f>
        <v>0</v>
      </c>
      <c r="Y5" s="3">
        <f>Urban_res_calculation!Y67</f>
        <v>0</v>
      </c>
      <c r="Z5" s="3">
        <f>Urban_res_calculation!Z67</f>
        <v>0</v>
      </c>
      <c r="AA5" s="3">
        <f>Urban_res_calculation!AA67</f>
        <v>0</v>
      </c>
      <c r="AB5" s="3">
        <f>Urban_res_calculation!AB67</f>
        <v>0</v>
      </c>
      <c r="AC5" s="3">
        <f>Urban_res_calculation!AC67</f>
        <v>0</v>
      </c>
      <c r="AD5" s="3">
        <f>Urban_res_calculation!AD67</f>
        <v>0</v>
      </c>
      <c r="AE5" s="3">
        <f>Urban_res_calculation!AE67</f>
        <v>0</v>
      </c>
      <c r="AF5" s="3">
        <f>Urban_res_calculation!AF67</f>
        <v>0</v>
      </c>
      <c r="AG5" s="3">
        <f>Urban_res_calculation!AG67</f>
        <v>0</v>
      </c>
    </row>
    <row r="6" spans="1:35">
      <c r="A6" s="1" t="s">
        <v>7</v>
      </c>
      <c r="B6" s="3">
        <f>Urban_res_calculation!B68</f>
        <v>0</v>
      </c>
      <c r="C6" s="3">
        <f>Urban_res_calculation!C68</f>
        <v>0</v>
      </c>
      <c r="D6" s="3">
        <f>Urban_res_calculation!D68</f>
        <v>0</v>
      </c>
      <c r="E6" s="3">
        <f>Urban_res_calculation!E68</f>
        <v>0</v>
      </c>
      <c r="F6" s="3">
        <f>Urban_res_calculation!F68</f>
        <v>0</v>
      </c>
      <c r="G6" s="3">
        <f>Urban_res_calculation!G68</f>
        <v>0</v>
      </c>
      <c r="H6" s="3">
        <f>Urban_res_calculation!H68</f>
        <v>0</v>
      </c>
      <c r="I6" s="3">
        <f>Urban_res_calculation!I68</f>
        <v>0</v>
      </c>
      <c r="J6" s="3">
        <f>Urban_res_calculation!J68</f>
        <v>0</v>
      </c>
      <c r="K6" s="3">
        <f>Urban_res_calculation!K68</f>
        <v>0</v>
      </c>
      <c r="L6" s="3">
        <f>Urban_res_calculation!L68</f>
        <v>0</v>
      </c>
      <c r="M6" s="3">
        <f>Urban_res_calculation!M68</f>
        <v>0</v>
      </c>
      <c r="N6" s="3">
        <f>Urban_res_calculation!N68</f>
        <v>0</v>
      </c>
      <c r="O6" s="3">
        <f>Urban_res_calculation!O68</f>
        <v>0</v>
      </c>
      <c r="P6" s="3">
        <f>Urban_res_calculation!P68</f>
        <v>0</v>
      </c>
      <c r="Q6" s="3">
        <f>Urban_res_calculation!Q68</f>
        <v>0</v>
      </c>
      <c r="R6" s="3">
        <f>Urban_res_calculation!R68</f>
        <v>0</v>
      </c>
      <c r="S6" s="3">
        <f>Urban_res_calculation!S68</f>
        <v>0</v>
      </c>
      <c r="T6" s="3">
        <f>Urban_res_calculation!T68</f>
        <v>0</v>
      </c>
      <c r="U6" s="3">
        <f>Urban_res_calculation!U68</f>
        <v>0</v>
      </c>
      <c r="V6" s="3">
        <f>Urban_res_calculation!V68</f>
        <v>0</v>
      </c>
      <c r="W6" s="3">
        <f>Urban_res_calculation!W68</f>
        <v>0</v>
      </c>
      <c r="X6" s="3">
        <f>Urban_res_calculation!X68</f>
        <v>0</v>
      </c>
      <c r="Y6" s="3">
        <f>Urban_res_calculation!Y68</f>
        <v>0</v>
      </c>
      <c r="Z6" s="3">
        <f>Urban_res_calculation!Z68</f>
        <v>0</v>
      </c>
      <c r="AA6" s="3">
        <f>Urban_res_calculation!AA68</f>
        <v>0</v>
      </c>
      <c r="AB6" s="3">
        <f>Urban_res_calculation!AB68</f>
        <v>0</v>
      </c>
      <c r="AC6" s="3">
        <f>Urban_res_calculation!AC68</f>
        <v>0</v>
      </c>
      <c r="AD6" s="3">
        <f>Urban_res_calculation!AD68</f>
        <v>0</v>
      </c>
      <c r="AE6" s="3">
        <f>Urban_res_calculation!AE68</f>
        <v>0</v>
      </c>
      <c r="AF6" s="3">
        <f>Urban_res_calculation!AF68</f>
        <v>0</v>
      </c>
      <c r="AG6" s="3">
        <f>Urban_res_calculation!AG68</f>
        <v>0</v>
      </c>
    </row>
    <row r="7" spans="1:35">
      <c r="A7" s="1" t="s">
        <v>11</v>
      </c>
      <c r="B7" s="3">
        <f>Urban_res_calculation!B69</f>
        <v>0</v>
      </c>
      <c r="C7" s="3">
        <f>Urban_res_calculation!C69</f>
        <v>0</v>
      </c>
      <c r="D7" s="3">
        <f>Urban_res_calculation!D69</f>
        <v>0</v>
      </c>
      <c r="E7" s="3">
        <f>Urban_res_calculation!E69</f>
        <v>0</v>
      </c>
      <c r="F7" s="3">
        <f>Urban_res_calculation!F69</f>
        <v>0</v>
      </c>
      <c r="G7" s="3">
        <f>Urban_res_calculation!G69</f>
        <v>0</v>
      </c>
      <c r="H7" s="3">
        <f>Urban_res_calculation!H69</f>
        <v>0</v>
      </c>
      <c r="I7" s="3">
        <f>Urban_res_calculation!I69</f>
        <v>0</v>
      </c>
      <c r="J7" s="3">
        <f>Urban_res_calculation!J69</f>
        <v>0</v>
      </c>
      <c r="K7" s="3">
        <f>Urban_res_calculation!K69</f>
        <v>0</v>
      </c>
      <c r="L7" s="3">
        <f>Urban_res_calculation!L69</f>
        <v>0</v>
      </c>
      <c r="M7" s="3">
        <f>Urban_res_calculation!M69</f>
        <v>0</v>
      </c>
      <c r="N7" s="3">
        <f>Urban_res_calculation!N69</f>
        <v>0</v>
      </c>
      <c r="O7" s="3">
        <f>Urban_res_calculation!O69</f>
        <v>0</v>
      </c>
      <c r="P7" s="3">
        <f>Urban_res_calculation!P69</f>
        <v>0</v>
      </c>
      <c r="Q7" s="3">
        <f>Urban_res_calculation!Q69</f>
        <v>0</v>
      </c>
      <c r="R7" s="3">
        <f>Urban_res_calculation!R69</f>
        <v>0</v>
      </c>
      <c r="S7" s="3">
        <f>Urban_res_calculation!S69</f>
        <v>0</v>
      </c>
      <c r="T7" s="3">
        <f>Urban_res_calculation!T69</f>
        <v>0</v>
      </c>
      <c r="U7" s="3">
        <f>Urban_res_calculation!U69</f>
        <v>0</v>
      </c>
      <c r="V7" s="3">
        <f>Urban_res_calculation!V69</f>
        <v>0</v>
      </c>
      <c r="W7" s="3">
        <f>Urban_res_calculation!W69</f>
        <v>0</v>
      </c>
      <c r="X7" s="3">
        <f>Urban_res_calculation!X69</f>
        <v>0</v>
      </c>
      <c r="Y7" s="3">
        <f>Urban_res_calculation!Y69</f>
        <v>0</v>
      </c>
      <c r="Z7" s="3">
        <f>Urban_res_calculation!Z69</f>
        <v>0</v>
      </c>
      <c r="AA7" s="3">
        <f>Urban_res_calculation!AA69</f>
        <v>0</v>
      </c>
      <c r="AB7" s="3">
        <f>Urban_res_calculation!AB69</f>
        <v>0</v>
      </c>
      <c r="AC7" s="3">
        <f>Urban_res_calculation!AC69</f>
        <v>0</v>
      </c>
      <c r="AD7" s="3">
        <f>Urban_res_calculation!AD69</f>
        <v>0</v>
      </c>
      <c r="AE7" s="3">
        <f>Urban_res_calculation!AE69</f>
        <v>0</v>
      </c>
      <c r="AF7" s="3">
        <f>Urban_res_calculation!AF69</f>
        <v>0</v>
      </c>
      <c r="AG7" s="3">
        <f>Urban_res_calculation!AG69</f>
        <v>0</v>
      </c>
    </row>
    <row r="8" spans="1:35">
      <c r="A8" s="1" t="s">
        <v>13</v>
      </c>
      <c r="B8" s="3">
        <f>Urban_res_calculation!B70</f>
        <v>0</v>
      </c>
      <c r="C8" s="3">
        <f>Urban_res_calculation!C70</f>
        <v>0</v>
      </c>
      <c r="D8" s="3">
        <f>Urban_res_calculation!D70</f>
        <v>0</v>
      </c>
      <c r="E8" s="3">
        <f>Urban_res_calculation!E70</f>
        <v>0</v>
      </c>
      <c r="F8" s="3">
        <f>Urban_res_calculation!F70</f>
        <v>0</v>
      </c>
      <c r="G8" s="3">
        <f>Urban_res_calculation!G70</f>
        <v>0</v>
      </c>
      <c r="H8" s="3">
        <f>Urban_res_calculation!H70</f>
        <v>0</v>
      </c>
      <c r="I8" s="3">
        <f>Urban_res_calculation!I70</f>
        <v>0</v>
      </c>
      <c r="J8" s="3">
        <f>Urban_res_calculation!J70</f>
        <v>0</v>
      </c>
      <c r="K8" s="3">
        <f>Urban_res_calculation!K70</f>
        <v>0</v>
      </c>
      <c r="L8" s="3">
        <f>Urban_res_calculation!L70</f>
        <v>0</v>
      </c>
      <c r="M8" s="3">
        <f>Urban_res_calculation!M70</f>
        <v>0</v>
      </c>
      <c r="N8" s="3">
        <f>Urban_res_calculation!N70</f>
        <v>0</v>
      </c>
      <c r="O8" s="3">
        <f>Urban_res_calculation!O70</f>
        <v>0</v>
      </c>
      <c r="P8" s="3">
        <f>Urban_res_calculation!P70</f>
        <v>0</v>
      </c>
      <c r="Q8" s="3">
        <f>Urban_res_calculation!Q70</f>
        <v>0</v>
      </c>
      <c r="R8" s="3">
        <f>Urban_res_calculation!R70</f>
        <v>0</v>
      </c>
      <c r="S8" s="3">
        <f>Urban_res_calculation!S70</f>
        <v>0</v>
      </c>
      <c r="T8" s="3">
        <f>Urban_res_calculation!T70</f>
        <v>0</v>
      </c>
      <c r="U8" s="3">
        <f>Urban_res_calculation!U70</f>
        <v>0</v>
      </c>
      <c r="V8" s="3">
        <f>Urban_res_calculation!V70</f>
        <v>0</v>
      </c>
      <c r="W8" s="3">
        <f>Urban_res_calculation!W70</f>
        <v>0</v>
      </c>
      <c r="X8" s="3">
        <f>Urban_res_calculation!X70</f>
        <v>0</v>
      </c>
      <c r="Y8" s="3">
        <f>Urban_res_calculation!Y70</f>
        <v>0</v>
      </c>
      <c r="Z8" s="3">
        <f>Urban_res_calculation!Z70</f>
        <v>0</v>
      </c>
      <c r="AA8" s="3">
        <f>Urban_res_calculation!AA70</f>
        <v>0</v>
      </c>
      <c r="AB8" s="3">
        <f>Urban_res_calculation!AB70</f>
        <v>0</v>
      </c>
      <c r="AC8" s="3">
        <f>Urban_res_calculation!AC70</f>
        <v>0</v>
      </c>
      <c r="AD8" s="3">
        <f>Urban_res_calculation!AD70</f>
        <v>0</v>
      </c>
      <c r="AE8" s="3">
        <f>Urban_res_calculation!AE70</f>
        <v>0</v>
      </c>
      <c r="AF8" s="3">
        <f>Urban_res_calculation!AF70</f>
        <v>0</v>
      </c>
      <c r="AG8" s="3">
        <f>Urban_res_calculation!AG70</f>
        <v>0</v>
      </c>
    </row>
    <row r="9" spans="1:35">
      <c r="A9" s="1" t="s">
        <v>14</v>
      </c>
      <c r="B9" s="3">
        <f>Urban_res_calculation!B71</f>
        <v>0</v>
      </c>
      <c r="C9" s="3">
        <f>Urban_res_calculation!C71</f>
        <v>0</v>
      </c>
      <c r="D9" s="3">
        <f>Urban_res_calculation!D71</f>
        <v>0</v>
      </c>
      <c r="E9" s="3">
        <f>Urban_res_calculation!E71</f>
        <v>0</v>
      </c>
      <c r="F9" s="3">
        <f>Urban_res_calculation!F71</f>
        <v>0</v>
      </c>
      <c r="G9" s="3">
        <f>Urban_res_calculation!G71</f>
        <v>0</v>
      </c>
      <c r="H9" s="3">
        <f>Urban_res_calculation!H71</f>
        <v>0</v>
      </c>
      <c r="I9" s="3">
        <f>Urban_res_calculation!I71</f>
        <v>0</v>
      </c>
      <c r="J9" s="3">
        <f>Urban_res_calculation!J71</f>
        <v>0</v>
      </c>
      <c r="K9" s="3">
        <f>Urban_res_calculation!K71</f>
        <v>0</v>
      </c>
      <c r="L9" s="3">
        <f>Urban_res_calculation!L71</f>
        <v>0</v>
      </c>
      <c r="M9" s="3">
        <f>Urban_res_calculation!M71</f>
        <v>0</v>
      </c>
      <c r="N9" s="3">
        <f>Urban_res_calculation!N71</f>
        <v>0</v>
      </c>
      <c r="O9" s="3">
        <f>Urban_res_calculation!O71</f>
        <v>0</v>
      </c>
      <c r="P9" s="3">
        <f>Urban_res_calculation!P71</f>
        <v>0</v>
      </c>
      <c r="Q9" s="3">
        <f>Urban_res_calculation!Q71</f>
        <v>0</v>
      </c>
      <c r="R9" s="3">
        <f>Urban_res_calculation!R71</f>
        <v>0</v>
      </c>
      <c r="S9" s="3">
        <f>Urban_res_calculation!S71</f>
        <v>0</v>
      </c>
      <c r="T9" s="3">
        <f>Urban_res_calculation!T71</f>
        <v>0</v>
      </c>
      <c r="U9" s="3">
        <f>Urban_res_calculation!U71</f>
        <v>0</v>
      </c>
      <c r="V9" s="3">
        <f>Urban_res_calculation!V71</f>
        <v>0</v>
      </c>
      <c r="W9" s="3">
        <f>Urban_res_calculation!W71</f>
        <v>0</v>
      </c>
      <c r="X9" s="3">
        <f>Urban_res_calculation!X71</f>
        <v>0</v>
      </c>
      <c r="Y9" s="3">
        <f>Urban_res_calculation!Y71</f>
        <v>0</v>
      </c>
      <c r="Z9" s="3">
        <f>Urban_res_calculation!Z71</f>
        <v>0</v>
      </c>
      <c r="AA9" s="3">
        <f>Urban_res_calculation!AA71</f>
        <v>0</v>
      </c>
      <c r="AB9" s="3">
        <f>Urban_res_calculation!AB71</f>
        <v>0</v>
      </c>
      <c r="AC9" s="3">
        <f>Urban_res_calculation!AC71</f>
        <v>0</v>
      </c>
      <c r="AD9" s="3">
        <f>Urban_res_calculation!AD71</f>
        <v>0</v>
      </c>
      <c r="AE9" s="3">
        <f>Urban_res_calculation!AE71</f>
        <v>0</v>
      </c>
      <c r="AF9" s="3">
        <f>Urban_res_calculation!AF71</f>
        <v>0</v>
      </c>
      <c r="AG9" s="3">
        <f>Urban_res_calculation!AG71</f>
        <v>0</v>
      </c>
    </row>
    <row r="10" spans="1:35">
      <c r="A10" s="1" t="s">
        <v>15</v>
      </c>
      <c r="B10" s="3">
        <f>Urban_res_calculation!B72</f>
        <v>0</v>
      </c>
      <c r="C10" s="3">
        <f>Urban_res_calculation!C72</f>
        <v>0</v>
      </c>
      <c r="D10" s="3">
        <f>Urban_res_calculation!D72</f>
        <v>0</v>
      </c>
      <c r="E10" s="3">
        <f>Urban_res_calculation!E72</f>
        <v>0</v>
      </c>
      <c r="F10" s="3">
        <f>Urban_res_calculation!F72</f>
        <v>0</v>
      </c>
      <c r="G10" s="3">
        <f>Urban_res_calculation!G72</f>
        <v>0</v>
      </c>
      <c r="H10" s="3">
        <f>Urban_res_calculation!H72</f>
        <v>0</v>
      </c>
      <c r="I10" s="3">
        <f>Urban_res_calculation!I72</f>
        <v>0</v>
      </c>
      <c r="J10" s="3">
        <f>Urban_res_calculation!J72</f>
        <v>0</v>
      </c>
      <c r="K10" s="3">
        <f>Urban_res_calculation!K72</f>
        <v>0</v>
      </c>
      <c r="L10" s="3">
        <f>Urban_res_calculation!L72</f>
        <v>0</v>
      </c>
      <c r="M10" s="3">
        <f>Urban_res_calculation!M72</f>
        <v>0</v>
      </c>
      <c r="N10" s="3">
        <f>Urban_res_calculation!N72</f>
        <v>0</v>
      </c>
      <c r="O10" s="3">
        <f>Urban_res_calculation!O72</f>
        <v>0</v>
      </c>
      <c r="P10" s="3">
        <f>Urban_res_calculation!P72</f>
        <v>0</v>
      </c>
      <c r="Q10" s="3">
        <f>Urban_res_calculation!Q72</f>
        <v>0</v>
      </c>
      <c r="R10" s="3">
        <f>Urban_res_calculation!R72</f>
        <v>0</v>
      </c>
      <c r="S10" s="3">
        <f>Urban_res_calculation!S72</f>
        <v>0</v>
      </c>
      <c r="T10" s="3">
        <f>Urban_res_calculation!T72</f>
        <v>0</v>
      </c>
      <c r="U10" s="3">
        <f>Urban_res_calculation!U72</f>
        <v>0</v>
      </c>
      <c r="V10" s="3">
        <f>Urban_res_calculation!V72</f>
        <v>0</v>
      </c>
      <c r="W10" s="3">
        <f>Urban_res_calculation!W72</f>
        <v>0</v>
      </c>
      <c r="X10" s="3">
        <f>Urban_res_calculation!X72</f>
        <v>0</v>
      </c>
      <c r="Y10" s="3">
        <f>Urban_res_calculation!Y72</f>
        <v>0</v>
      </c>
      <c r="Z10" s="3">
        <f>Urban_res_calculation!Z72</f>
        <v>0</v>
      </c>
      <c r="AA10" s="3">
        <f>Urban_res_calculation!AA72</f>
        <v>0</v>
      </c>
      <c r="AB10" s="3">
        <f>Urban_res_calculation!AB72</f>
        <v>0</v>
      </c>
      <c r="AC10" s="3">
        <f>Urban_res_calculation!AC72</f>
        <v>0</v>
      </c>
      <c r="AD10" s="3">
        <f>Urban_res_calculation!AD72</f>
        <v>0</v>
      </c>
      <c r="AE10" s="3">
        <f>Urban_res_calculation!AE72</f>
        <v>0</v>
      </c>
      <c r="AF10" s="3">
        <f>Urban_res_calculation!AF72</f>
        <v>0</v>
      </c>
      <c r="AG10" s="3">
        <f>Urban_res_calculation!AG72</f>
        <v>0</v>
      </c>
    </row>
    <row r="11" spans="1:35">
      <c r="A11" s="1" t="s">
        <v>16</v>
      </c>
      <c r="B11" s="3">
        <f>Urban_res_calculation!B73</f>
        <v>0</v>
      </c>
      <c r="C11" s="3">
        <f>Urban_res_calculation!C73</f>
        <v>0</v>
      </c>
      <c r="D11" s="3">
        <f>Urban_res_calculation!D73</f>
        <v>0</v>
      </c>
      <c r="E11" s="3">
        <f>Urban_res_calculation!E73</f>
        <v>0</v>
      </c>
      <c r="F11" s="3">
        <f>Urban_res_calculation!F73</f>
        <v>0</v>
      </c>
      <c r="G11" s="3">
        <f>Urban_res_calculation!G73</f>
        <v>0</v>
      </c>
      <c r="H11" s="3">
        <f>Urban_res_calculation!H73</f>
        <v>0</v>
      </c>
      <c r="I11" s="3">
        <f>Urban_res_calculation!I73</f>
        <v>0</v>
      </c>
      <c r="J11" s="3">
        <f>Urban_res_calculation!J73</f>
        <v>0</v>
      </c>
      <c r="K11" s="3">
        <f>Urban_res_calculation!K73</f>
        <v>0</v>
      </c>
      <c r="L11" s="3">
        <f>Urban_res_calculation!L73</f>
        <v>0</v>
      </c>
      <c r="M11" s="3">
        <f>Urban_res_calculation!M73</f>
        <v>0</v>
      </c>
      <c r="N11" s="3">
        <f>Urban_res_calculation!N73</f>
        <v>0</v>
      </c>
      <c r="O11" s="3">
        <f>Urban_res_calculation!O73</f>
        <v>0</v>
      </c>
      <c r="P11" s="3">
        <f>Urban_res_calculation!P73</f>
        <v>0</v>
      </c>
      <c r="Q11" s="3">
        <f>Urban_res_calculation!Q73</f>
        <v>0</v>
      </c>
      <c r="R11" s="3">
        <f>Urban_res_calculation!R73</f>
        <v>0</v>
      </c>
      <c r="S11" s="3">
        <f>Urban_res_calculation!S73</f>
        <v>0</v>
      </c>
      <c r="T11" s="3">
        <f>Urban_res_calculation!T73</f>
        <v>0</v>
      </c>
      <c r="U11" s="3">
        <f>Urban_res_calculation!U73</f>
        <v>0</v>
      </c>
      <c r="V11" s="3">
        <f>Urban_res_calculation!V73</f>
        <v>0</v>
      </c>
      <c r="W11" s="3">
        <f>Urban_res_calculation!W73</f>
        <v>0</v>
      </c>
      <c r="X11" s="3">
        <f>Urban_res_calculation!X73</f>
        <v>0</v>
      </c>
      <c r="Y11" s="3">
        <f>Urban_res_calculation!Y73</f>
        <v>0</v>
      </c>
      <c r="Z11" s="3">
        <f>Urban_res_calculation!Z73</f>
        <v>0</v>
      </c>
      <c r="AA11" s="3">
        <f>Urban_res_calculation!AA73</f>
        <v>0</v>
      </c>
      <c r="AB11" s="3">
        <f>Urban_res_calculation!AB73</f>
        <v>0</v>
      </c>
      <c r="AC11" s="3">
        <f>Urban_res_calculation!AC73</f>
        <v>0</v>
      </c>
      <c r="AD11" s="3">
        <f>Urban_res_calculation!AD73</f>
        <v>0</v>
      </c>
      <c r="AE11" s="3">
        <f>Urban_res_calculation!AE73</f>
        <v>0</v>
      </c>
      <c r="AF11" s="3">
        <f>Urban_res_calculation!AF73</f>
        <v>0</v>
      </c>
      <c r="AG11" s="3">
        <f>Urban_res_calculation!AG73</f>
        <v>0</v>
      </c>
    </row>
  </sheetData>
  <phoneticPr fontId="11" type="noConversion"/>
  <pageMargins left="0.7" right="0.7" top="0.75" bottom="0.75" header="0.3" footer="0.3"/>
  <pageSetup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zoomScale="80" zoomScaleNormal="80" workbookViewId="0">
      <selection activeCell="B2" sqref="B2"/>
    </sheetView>
  </sheetViews>
  <sheetFormatPr defaultRowHeight="16.5"/>
  <cols>
    <col min="1" max="1" width="29.875" customWidth="1"/>
    <col min="2" max="33" width="10.25" customWidth="1"/>
  </cols>
  <sheetData>
    <row r="1" spans="1:35">
      <c r="A1" s="1" t="s">
        <v>1</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c r="AI1" s="1"/>
    </row>
    <row r="2" spans="1:35">
      <c r="A2" s="1" t="s">
        <v>2</v>
      </c>
      <c r="B2" s="3">
        <f>Rural_res_calculation!B4</f>
        <v>5746777512293.1641</v>
      </c>
      <c r="C2" s="3">
        <f>Rural_res_calculation!C4</f>
        <v>6041836675891.3965</v>
      </c>
      <c r="D2" s="3">
        <f>Rural_res_calculation!D4</f>
        <v>6326083642559.3174</v>
      </c>
      <c r="E2" s="3">
        <f>Rural_res_calculation!E4</f>
        <v>6364040144414.6729</v>
      </c>
      <c r="F2" s="3">
        <f>Rural_res_calculation!F4</f>
        <v>6402224385281.1611</v>
      </c>
      <c r="G2" s="3">
        <f>Rural_res_calculation!G4</f>
        <v>6440637731592.8477</v>
      </c>
      <c r="H2" s="3">
        <f>Rural_res_calculation!H4</f>
        <v>6479281557982.4043</v>
      </c>
      <c r="I2" s="3">
        <f>Rural_res_calculation!I4</f>
        <v>6518157247330.2988</v>
      </c>
      <c r="J2" s="3">
        <f>Rural_res_calculation!J4</f>
        <v>6557266190814.2803</v>
      </c>
      <c r="K2" s="3">
        <f>Rural_res_calculation!K4</f>
        <v>6596609787959.166</v>
      </c>
      <c r="L2" s="3">
        <f>Rural_res_calculation!L4</f>
        <v>6636189446686.9209</v>
      </c>
      <c r="M2" s="3">
        <f>Rural_res_calculation!M4</f>
        <v>6676006583367.042</v>
      </c>
      <c r="N2" s="3">
        <f>Rural_res_calculation!N4</f>
        <v>6716062622867.2441</v>
      </c>
      <c r="O2" s="3">
        <f>Rural_res_calculation!O4</f>
        <v>6756358998604.4473</v>
      </c>
      <c r="P2" s="3">
        <f>Rural_res_calculation!P4</f>
        <v>6796897152596.0742</v>
      </c>
      <c r="Q2" s="3">
        <f>Rural_res_calculation!Q4</f>
        <v>6837678535511.6504</v>
      </c>
      <c r="R2" s="3">
        <f>Rural_res_calculation!R4</f>
        <v>6878704606724.7207</v>
      </c>
      <c r="S2" s="3">
        <f>Rural_res_calculation!S4</f>
        <v>6919976834365.0693</v>
      </c>
      <c r="T2" s="3">
        <f>Rural_res_calculation!T4</f>
        <v>6961496695371.2598</v>
      </c>
      <c r="U2" s="3">
        <f>Rural_res_calculation!U4</f>
        <v>7003265675543.4873</v>
      </c>
      <c r="V2" s="3">
        <f>Rural_res_calculation!V4</f>
        <v>7045285269596.748</v>
      </c>
      <c r="W2" s="3">
        <f>Rural_res_calculation!W4</f>
        <v>7087556981214.3281</v>
      </c>
      <c r="X2" s="3">
        <f>Rural_res_calculation!X4</f>
        <v>7130082323101.6143</v>
      </c>
      <c r="Y2" s="3">
        <f>Rural_res_calculation!Y4</f>
        <v>7172862817040.2236</v>
      </c>
      <c r="Z2" s="3">
        <f>Rural_res_calculation!Z4</f>
        <v>7215899993942.4648</v>
      </c>
      <c r="AA2" s="3">
        <f>Rural_res_calculation!AA4</f>
        <v>7259195393906.1201</v>
      </c>
      <c r="AB2" s="3">
        <f>Rural_res_calculation!AB4</f>
        <v>7302750566269.5566</v>
      </c>
      <c r="AC2" s="3">
        <f>Rural_res_calculation!AC4</f>
        <v>7346567069667.1738</v>
      </c>
      <c r="AD2" s="3">
        <f>Rural_res_calculation!AD4</f>
        <v>7390646472085.1768</v>
      </c>
      <c r="AE2" s="3">
        <f>Rural_res_calculation!AE4</f>
        <v>7434990350917.6875</v>
      </c>
      <c r="AF2" s="3">
        <f>Rural_res_calculation!AF4</f>
        <v>7479600293023.1934</v>
      </c>
      <c r="AG2" s="3">
        <f>Rural_res_calculation!AG4</f>
        <v>7524477894781.333</v>
      </c>
    </row>
    <row r="3" spans="1:35">
      <c r="A3" s="1" t="s">
        <v>3</v>
      </c>
      <c r="B3" s="3">
        <f>Rural_res_calculation!B5</f>
        <v>963403803963.1012</v>
      </c>
      <c r="C3" s="3">
        <f>Rural_res_calculation!C5</f>
        <v>714256116899.99976</v>
      </c>
      <c r="D3" s="3">
        <f>Rural_res_calculation!D5</f>
        <v>628675543439.99988</v>
      </c>
      <c r="E3" s="3">
        <f>Rural_res_calculation!E5</f>
        <v>549462424966.55988</v>
      </c>
      <c r="F3" s="3">
        <f>Rural_res_calculation!F5</f>
        <v>480230159420.77332</v>
      </c>
      <c r="G3" s="3">
        <f>Rural_res_calculation!G5</f>
        <v>419721159333.75586</v>
      </c>
      <c r="H3" s="3">
        <f>Rural_res_calculation!H5</f>
        <v>366836293257.70264</v>
      </c>
      <c r="I3" s="3">
        <f>Rural_res_calculation!I5</f>
        <v>320614920307.23212</v>
      </c>
      <c r="J3" s="3">
        <f>Rural_res_calculation!J5</f>
        <v>280217440348.52087</v>
      </c>
      <c r="K3" s="3">
        <f>Rural_res_calculation!K5</f>
        <v>244910042864.60724</v>
      </c>
      <c r="L3" s="3">
        <f>Rural_res_calculation!L5</f>
        <v>214051377463.66672</v>
      </c>
      <c r="M3" s="3">
        <f>Rural_res_calculation!M5</f>
        <v>187080903903.24472</v>
      </c>
      <c r="N3" s="3">
        <f>Rural_res_calculation!N5</f>
        <v>163508710011.43588</v>
      </c>
      <c r="O3" s="3">
        <f>Rural_res_calculation!O5</f>
        <v>142906612549.99496</v>
      </c>
      <c r="P3" s="3">
        <f>Rural_res_calculation!P5</f>
        <v>124900379368.6956</v>
      </c>
      <c r="Q3" s="3">
        <f>Rural_res_calculation!Q5</f>
        <v>109162931568.23996</v>
      </c>
      <c r="R3" s="3">
        <f>Rural_res_calculation!R5</f>
        <v>95408402190.641724</v>
      </c>
      <c r="S3" s="3">
        <f>Rural_res_calculation!S5</f>
        <v>83386943514.620865</v>
      </c>
      <c r="T3" s="3">
        <f>Rural_res_calculation!T5</f>
        <v>72880188631.778641</v>
      </c>
      <c r="U3" s="3">
        <f>Rural_res_calculation!U5</f>
        <v>63697284864.17453</v>
      </c>
      <c r="V3" s="3">
        <f>Rural_res_calculation!V5</f>
        <v>55671426971.288536</v>
      </c>
      <c r="W3" s="3">
        <f>Rural_res_calculation!W5</f>
        <v>48656827172.906181</v>
      </c>
      <c r="X3" s="3">
        <f>Rural_res_calculation!X5</f>
        <v>42526066949.120003</v>
      </c>
      <c r="Y3" s="3">
        <f>Rural_res_calculation!Y5</f>
        <v>37167782513.530884</v>
      </c>
      <c r="Z3" s="3">
        <f>Rural_res_calculation!Z5</f>
        <v>32484641916.825993</v>
      </c>
      <c r="AA3" s="3">
        <f>Rural_res_calculation!AA5</f>
        <v>28391577035.305916</v>
      </c>
      <c r="AB3" s="3">
        <f>Rural_res_calculation!AB5</f>
        <v>24814238328.857372</v>
      </c>
      <c r="AC3" s="3">
        <f>Rural_res_calculation!AC5</f>
        <v>21687644299.421345</v>
      </c>
      <c r="AD3" s="3">
        <f>Rural_res_calculation!AD5</f>
        <v>18955001117.694256</v>
      </c>
      <c r="AE3" s="3">
        <f>Rural_res_calculation!AE5</f>
        <v>16566670976.86478</v>
      </c>
      <c r="AF3" s="3">
        <f>Rural_res_calculation!AF5</f>
        <v>14479270433.779818</v>
      </c>
      <c r="AG3" s="3">
        <f>Rural_res_calculation!AG5</f>
        <v>12654882359.12356</v>
      </c>
    </row>
    <row r="4" spans="1:35">
      <c r="A4" s="1" t="s">
        <v>4</v>
      </c>
      <c r="B4" s="3">
        <f>Rural_res_calculation!B6</f>
        <v>28226052117570.422</v>
      </c>
      <c r="C4" s="3">
        <f>Rural_res_calculation!C6</f>
        <v>29319281507568.176</v>
      </c>
      <c r="D4" s="3">
        <f>Rural_res_calculation!D6</f>
        <v>29866111404955.277</v>
      </c>
      <c r="E4" s="3">
        <f>Rural_res_calculation!E6</f>
        <v>29627182513715.637</v>
      </c>
      <c r="F4" s="3">
        <f>Rural_res_calculation!F6</f>
        <v>29390165053605.91</v>
      </c>
      <c r="G4" s="3">
        <f>Rural_res_calculation!G6</f>
        <v>29155043733177.063</v>
      </c>
      <c r="H4" s="3">
        <f>Rural_res_calculation!H6</f>
        <v>28921803383311.645</v>
      </c>
      <c r="I4" s="3">
        <f>Rural_res_calculation!I6</f>
        <v>28690428956245.152</v>
      </c>
      <c r="J4" s="3">
        <f>Rural_res_calculation!J6</f>
        <v>28460905524595.191</v>
      </c>
      <c r="K4" s="3">
        <f>Rural_res_calculation!K6</f>
        <v>28233218280398.43</v>
      </c>
      <c r="L4" s="3">
        <f>Rural_res_calculation!L6</f>
        <v>28007352534155.242</v>
      </c>
      <c r="M4" s="3">
        <f>Rural_res_calculation!M6</f>
        <v>27783293713882</v>
      </c>
      <c r="N4" s="3">
        <f>Rural_res_calculation!N6</f>
        <v>27561027364170.945</v>
      </c>
      <c r="O4" s="3">
        <f>Rural_res_calculation!O6</f>
        <v>27340539145257.578</v>
      </c>
      <c r="P4" s="3">
        <f>Rural_res_calculation!P6</f>
        <v>27121814832095.516</v>
      </c>
      <c r="Q4" s="3">
        <f>Rural_res_calculation!Q6</f>
        <v>26904840313438.75</v>
      </c>
      <c r="R4" s="3">
        <f>Rural_res_calculation!R6</f>
        <v>26689601590931.238</v>
      </c>
      <c r="S4" s="3">
        <f>Rural_res_calculation!S6</f>
        <v>26476084778203.789</v>
      </c>
      <c r="T4" s="3">
        <f>Rural_res_calculation!T6</f>
        <v>26264276099978.16</v>
      </c>
      <c r="U4" s="3">
        <f>Rural_res_calculation!U6</f>
        <v>26054161891178.336</v>
      </c>
      <c r="V4" s="3">
        <f>Rural_res_calculation!V6</f>
        <v>25845728596048.91</v>
      </c>
      <c r="W4" s="3">
        <f>Rural_res_calculation!W6</f>
        <v>25638962767280.52</v>
      </c>
      <c r="X4" s="3">
        <f>Rural_res_calculation!X6</f>
        <v>25433851065142.273</v>
      </c>
      <c r="Y4" s="3">
        <f>Rural_res_calculation!Y6</f>
        <v>25230380256621.137</v>
      </c>
      <c r="Z4" s="3">
        <f>Rural_res_calculation!Z6</f>
        <v>25028537214568.168</v>
      </c>
      <c r="AA4" s="3">
        <f>Rural_res_calculation!AA6</f>
        <v>24828308916851.621</v>
      </c>
      <c r="AB4" s="3">
        <f>Rural_res_calculation!AB6</f>
        <v>24629682445516.809</v>
      </c>
      <c r="AC4" s="3">
        <f>Rural_res_calculation!AC6</f>
        <v>24432644985952.676</v>
      </c>
      <c r="AD4" s="3">
        <f>Rural_res_calculation!AD6</f>
        <v>24237183826065.055</v>
      </c>
      <c r="AE4" s="3">
        <f>Rural_res_calculation!AE6</f>
        <v>24043286355456.535</v>
      </c>
      <c r="AF4" s="3">
        <f>Rural_res_calculation!AF6</f>
        <v>23850940064612.883</v>
      </c>
      <c r="AG4" s="3">
        <f>Rural_res_calculation!AG6</f>
        <v>23660132544095.98</v>
      </c>
    </row>
    <row r="5" spans="1:35">
      <c r="A5" s="1" t="s">
        <v>5</v>
      </c>
      <c r="B5" s="3">
        <f>Rural_res_calculation!B7</f>
        <v>0</v>
      </c>
      <c r="C5" s="3">
        <f>Rural_res_calculation!C7</f>
        <v>0</v>
      </c>
      <c r="D5" s="3">
        <f>Rural_res_calculation!D7</f>
        <v>0</v>
      </c>
      <c r="E5" s="3">
        <f>Rural_res_calculation!E7</f>
        <v>0</v>
      </c>
      <c r="F5" s="3">
        <f>Rural_res_calculation!F7</f>
        <v>0</v>
      </c>
      <c r="G5" s="3">
        <f>Rural_res_calculation!G7</f>
        <v>0</v>
      </c>
      <c r="H5" s="3">
        <f>Rural_res_calculation!H7</f>
        <v>0</v>
      </c>
      <c r="I5" s="3">
        <f>Rural_res_calculation!I7</f>
        <v>0</v>
      </c>
      <c r="J5" s="3">
        <f>Rural_res_calculation!J7</f>
        <v>0</v>
      </c>
      <c r="K5" s="3">
        <f>Rural_res_calculation!K7</f>
        <v>0</v>
      </c>
      <c r="L5" s="3">
        <f>Rural_res_calculation!L7</f>
        <v>0</v>
      </c>
      <c r="M5" s="3">
        <f>Rural_res_calculation!M7</f>
        <v>0</v>
      </c>
      <c r="N5" s="3">
        <f>Rural_res_calculation!N7</f>
        <v>0</v>
      </c>
      <c r="O5" s="3">
        <f>Rural_res_calculation!O7</f>
        <v>0</v>
      </c>
      <c r="P5" s="3">
        <f>Rural_res_calculation!P7</f>
        <v>0</v>
      </c>
      <c r="Q5" s="3">
        <f>Rural_res_calculation!Q7</f>
        <v>0</v>
      </c>
      <c r="R5" s="3">
        <f>Rural_res_calculation!R7</f>
        <v>0</v>
      </c>
      <c r="S5" s="3">
        <f>Rural_res_calculation!S7</f>
        <v>0</v>
      </c>
      <c r="T5" s="3">
        <f>Rural_res_calculation!T7</f>
        <v>0</v>
      </c>
      <c r="U5" s="3">
        <f>Rural_res_calculation!U7</f>
        <v>0</v>
      </c>
      <c r="V5" s="3">
        <f>Rural_res_calculation!V7</f>
        <v>0</v>
      </c>
      <c r="W5" s="3">
        <f>Rural_res_calculation!W7</f>
        <v>0</v>
      </c>
      <c r="X5" s="3">
        <f>Rural_res_calculation!X7</f>
        <v>0</v>
      </c>
      <c r="Y5" s="3">
        <f>Rural_res_calculation!Y7</f>
        <v>0</v>
      </c>
      <c r="Z5" s="3">
        <f>Rural_res_calculation!Z7</f>
        <v>0</v>
      </c>
      <c r="AA5" s="3">
        <f>Rural_res_calculation!AA7</f>
        <v>0</v>
      </c>
      <c r="AB5" s="3">
        <f>Rural_res_calculation!AB7</f>
        <v>0</v>
      </c>
      <c r="AC5" s="3">
        <f>Rural_res_calculation!AC7</f>
        <v>0</v>
      </c>
      <c r="AD5" s="3">
        <f>Rural_res_calculation!AD7</f>
        <v>0</v>
      </c>
      <c r="AE5" s="3">
        <f>Rural_res_calculation!AE7</f>
        <v>0</v>
      </c>
      <c r="AF5" s="3">
        <f>Rural_res_calculation!AF7</f>
        <v>0</v>
      </c>
      <c r="AG5" s="3">
        <f>Rural_res_calculation!AG7</f>
        <v>0</v>
      </c>
    </row>
    <row r="6" spans="1:35">
      <c r="A6" s="1" t="s">
        <v>7</v>
      </c>
      <c r="B6" s="3">
        <f>Rural_res_calculation!B8</f>
        <v>6768349535999.9971</v>
      </c>
      <c r="C6" s="3">
        <f>Rural_res_calculation!C8</f>
        <v>7157529634319.9971</v>
      </c>
      <c r="D6" s="3">
        <f>Rural_res_calculation!D8</f>
        <v>7370992965839.9961</v>
      </c>
      <c r="E6" s="3">
        <f>Rural_res_calculation!E8</f>
        <v>7363621972874.1563</v>
      </c>
      <c r="F6" s="3">
        <f>Rural_res_calculation!F8</f>
        <v>7356258350901.2822</v>
      </c>
      <c r="G6" s="3">
        <f>Rural_res_calculation!G8</f>
        <v>7348902092550.3809</v>
      </c>
      <c r="H6" s="3">
        <f>Rural_res_calculation!H8</f>
        <v>7341553190457.8301</v>
      </c>
      <c r="I6" s="3">
        <f>Rural_res_calculation!I8</f>
        <v>7334211637267.3721</v>
      </c>
      <c r="J6" s="3">
        <f>Rural_res_calculation!J8</f>
        <v>7326877425630.1045</v>
      </c>
      <c r="K6" s="3">
        <f>Rural_res_calculation!K8</f>
        <v>7319550548204.4746</v>
      </c>
      <c r="L6" s="3">
        <f>Rural_res_calculation!L8</f>
        <v>7312230997656.2705</v>
      </c>
      <c r="M6" s="3">
        <f>Rural_res_calculation!M8</f>
        <v>7304918766658.6143</v>
      </c>
      <c r="N6" s="3">
        <f>Rural_res_calculation!N8</f>
        <v>7297613847891.9561</v>
      </c>
      <c r="O6" s="3">
        <f>Rural_res_calculation!O8</f>
        <v>7290316234044.0645</v>
      </c>
      <c r="P6" s="3">
        <f>Rural_res_calculation!P8</f>
        <v>7283025917810.0205</v>
      </c>
      <c r="Q6" s="3">
        <f>Rural_res_calculation!Q8</f>
        <v>7275742891892.2109</v>
      </c>
      <c r="R6" s="3">
        <f>Rural_res_calculation!R8</f>
        <v>7268467149000.3184</v>
      </c>
      <c r="S6" s="3">
        <f>Rural_res_calculation!S8</f>
        <v>7261198681851.3184</v>
      </c>
      <c r="T6" s="3">
        <f>Rural_res_calculation!T8</f>
        <v>7253937483169.4668</v>
      </c>
      <c r="U6" s="3">
        <f>Rural_res_calculation!U8</f>
        <v>7246683545686.2969</v>
      </c>
      <c r="V6" s="3">
        <f>Rural_res_calculation!V8</f>
        <v>7239436862140.6104</v>
      </c>
      <c r="W6" s="3">
        <f>Rural_res_calculation!W8</f>
        <v>7232197425278.4697</v>
      </c>
      <c r="X6" s="3">
        <f>Rural_res_calculation!X8</f>
        <v>7224965227853.1914</v>
      </c>
      <c r="Y6" s="3">
        <f>Rural_res_calculation!Y8</f>
        <v>7217740262625.3379</v>
      </c>
      <c r="Z6" s="3">
        <f>Rural_res_calculation!Z8</f>
        <v>7210522522362.7129</v>
      </c>
      <c r="AA6" s="3">
        <f>Rural_res_calculation!AA8</f>
        <v>7203311999840.3506</v>
      </c>
      <c r="AB6" s="3">
        <f>Rural_res_calculation!AB8</f>
        <v>7196108687840.5098</v>
      </c>
      <c r="AC6" s="3">
        <f>Rural_res_calculation!AC8</f>
        <v>7188912579152.6689</v>
      </c>
      <c r="AD6" s="3">
        <f>Rural_res_calculation!AD8</f>
        <v>7181723666573.5166</v>
      </c>
      <c r="AE6" s="3">
        <f>Rural_res_calculation!AE8</f>
        <v>7174541942906.9434</v>
      </c>
      <c r="AF6" s="3">
        <f>Rural_res_calculation!AF8</f>
        <v>7167367400964.0361</v>
      </c>
      <c r="AG6" s="3">
        <f>Rural_res_calculation!AG8</f>
        <v>7160200033563.0723</v>
      </c>
    </row>
    <row r="7" spans="1:35">
      <c r="A7" s="1" t="s">
        <v>11</v>
      </c>
      <c r="B7" s="3">
        <f>Rural_res_calculation!B9</f>
        <v>431482282919.99988</v>
      </c>
      <c r="C7" s="3">
        <f>Rural_res_calculation!C9</f>
        <v>411958197719.99982</v>
      </c>
      <c r="D7" s="3">
        <f>Rural_res_calculation!D9</f>
        <v>413585204819.99988</v>
      </c>
      <c r="E7" s="3">
        <f>Rural_res_calculation!E9</f>
        <v>416066716048.91986</v>
      </c>
      <c r="F7" s="3">
        <f>Rural_res_calculation!F9</f>
        <v>418563116345.21338</v>
      </c>
      <c r="G7" s="3">
        <f>Rural_res_calculation!G9</f>
        <v>421074495043.28467</v>
      </c>
      <c r="H7" s="3">
        <f>Rural_res_calculation!H9</f>
        <v>423600942013.54437</v>
      </c>
      <c r="I7" s="3">
        <f>Rural_res_calculation!I9</f>
        <v>426142547665.62567</v>
      </c>
      <c r="J7" s="3">
        <f>Rural_res_calculation!J9</f>
        <v>428699402951.61945</v>
      </c>
      <c r="K7" s="3">
        <f>Rural_res_calculation!K9</f>
        <v>431271599369.32916</v>
      </c>
      <c r="L7" s="3">
        <f>Rural_res_calculation!L9</f>
        <v>433859228965.54517</v>
      </c>
      <c r="M7" s="3">
        <f>Rural_res_calculation!M9</f>
        <v>436462384339.33844</v>
      </c>
      <c r="N7" s="3">
        <f>Rural_res_calculation!N9</f>
        <v>439081158645.37445</v>
      </c>
      <c r="O7" s="3">
        <f>Rural_res_calculation!O9</f>
        <v>441715645597.2467</v>
      </c>
      <c r="P7" s="3">
        <f>Rural_res_calculation!P9</f>
        <v>444365939470.8302</v>
      </c>
      <c r="Q7" s="3">
        <f>Rural_res_calculation!Q9</f>
        <v>447032135107.65521</v>
      </c>
      <c r="R7" s="3">
        <f>Rural_res_calculation!R9</f>
        <v>449714327918.30115</v>
      </c>
      <c r="S7" s="3">
        <f>Rural_res_calculation!S9</f>
        <v>452412613885.81097</v>
      </c>
      <c r="T7" s="3">
        <f>Rural_res_calculation!T9</f>
        <v>455127089569.12585</v>
      </c>
      <c r="U7" s="3">
        <f>Rural_res_calculation!U9</f>
        <v>457857852106.54059</v>
      </c>
      <c r="V7" s="3">
        <f>Rural_res_calculation!V9</f>
        <v>460604999219.17981</v>
      </c>
      <c r="W7" s="3">
        <f>Rural_res_calculation!W9</f>
        <v>463368629214.49487</v>
      </c>
      <c r="X7" s="3">
        <f>Rural_res_calculation!X9</f>
        <v>466148840989.78186</v>
      </c>
      <c r="Y7" s="3">
        <f>Rural_res_calculation!Y9</f>
        <v>468945734035.72058</v>
      </c>
      <c r="Z7" s="3">
        <f>Rural_res_calculation!Z9</f>
        <v>471759408439.93494</v>
      </c>
      <c r="AA7" s="3">
        <f>Rural_res_calculation!AA9</f>
        <v>474589964890.57452</v>
      </c>
      <c r="AB7" s="3">
        <f>Rural_res_calculation!AB9</f>
        <v>477437504679.91797</v>
      </c>
      <c r="AC7" s="3">
        <f>Rural_res_calculation!AC9</f>
        <v>480302129707.9975</v>
      </c>
      <c r="AD7" s="3">
        <f>Rural_res_calculation!AD9</f>
        <v>483183942486.24548</v>
      </c>
      <c r="AE7" s="3">
        <f>Rural_res_calculation!AE9</f>
        <v>486083046141.16296</v>
      </c>
      <c r="AF7" s="3">
        <f>Rural_res_calculation!AF9</f>
        <v>488999544418.00995</v>
      </c>
      <c r="AG7" s="3">
        <f>Rural_res_calculation!AG9</f>
        <v>491933541684.51801</v>
      </c>
    </row>
    <row r="8" spans="1:35">
      <c r="A8" s="1" t="s">
        <v>13</v>
      </c>
      <c r="B8" s="3">
        <f>Rural_res_calculation!B10</f>
        <v>0</v>
      </c>
      <c r="C8" s="3">
        <f>Rural_res_calculation!C10</f>
        <v>0</v>
      </c>
      <c r="D8" s="3">
        <f>Rural_res_calculation!D10</f>
        <v>0</v>
      </c>
      <c r="E8" s="3">
        <f>Rural_res_calculation!E10</f>
        <v>0</v>
      </c>
      <c r="F8" s="3">
        <f>Rural_res_calculation!F10</f>
        <v>0</v>
      </c>
      <c r="G8" s="3">
        <f>Rural_res_calculation!G10</f>
        <v>0</v>
      </c>
      <c r="H8" s="3">
        <f>Rural_res_calculation!H10</f>
        <v>0</v>
      </c>
      <c r="I8" s="3">
        <f>Rural_res_calculation!I10</f>
        <v>0</v>
      </c>
      <c r="J8" s="3">
        <f>Rural_res_calculation!J10</f>
        <v>0</v>
      </c>
      <c r="K8" s="3">
        <f>Rural_res_calculation!K10</f>
        <v>0</v>
      </c>
      <c r="L8" s="3">
        <f>Rural_res_calculation!L10</f>
        <v>0</v>
      </c>
      <c r="M8" s="3">
        <f>Rural_res_calculation!M10</f>
        <v>0</v>
      </c>
      <c r="N8" s="3">
        <f>Rural_res_calculation!N10</f>
        <v>0</v>
      </c>
      <c r="O8" s="3">
        <f>Rural_res_calculation!O10</f>
        <v>0</v>
      </c>
      <c r="P8" s="3">
        <f>Rural_res_calculation!P10</f>
        <v>0</v>
      </c>
      <c r="Q8" s="3">
        <f>Rural_res_calculation!Q10</f>
        <v>0</v>
      </c>
      <c r="R8" s="3">
        <f>Rural_res_calculation!R10</f>
        <v>0</v>
      </c>
      <c r="S8" s="3">
        <f>Rural_res_calculation!S10</f>
        <v>0</v>
      </c>
      <c r="T8" s="3">
        <f>Rural_res_calculation!T10</f>
        <v>0</v>
      </c>
      <c r="U8" s="3">
        <f>Rural_res_calculation!U10</f>
        <v>0</v>
      </c>
      <c r="V8" s="3">
        <f>Rural_res_calculation!V10</f>
        <v>0</v>
      </c>
      <c r="W8" s="3">
        <f>Rural_res_calculation!W10</f>
        <v>0</v>
      </c>
      <c r="X8" s="3">
        <f>Rural_res_calculation!X10</f>
        <v>0</v>
      </c>
      <c r="Y8" s="3">
        <f>Rural_res_calculation!Y10</f>
        <v>0</v>
      </c>
      <c r="Z8" s="3">
        <f>Rural_res_calculation!Z10</f>
        <v>0</v>
      </c>
      <c r="AA8" s="3">
        <f>Rural_res_calculation!AA10</f>
        <v>0</v>
      </c>
      <c r="AB8" s="3">
        <f>Rural_res_calculation!AB10</f>
        <v>0</v>
      </c>
      <c r="AC8" s="3">
        <f>Rural_res_calculation!AC10</f>
        <v>0</v>
      </c>
      <c r="AD8" s="3">
        <f>Rural_res_calculation!AD10</f>
        <v>0</v>
      </c>
      <c r="AE8" s="3">
        <f>Rural_res_calculation!AE10</f>
        <v>0</v>
      </c>
      <c r="AF8" s="3">
        <f>Rural_res_calculation!AF10</f>
        <v>0</v>
      </c>
      <c r="AG8" s="3">
        <f>Rural_res_calculation!AG10</f>
        <v>0</v>
      </c>
    </row>
    <row r="9" spans="1:35">
      <c r="A9" s="1" t="s">
        <v>14</v>
      </c>
      <c r="B9" s="3">
        <f>Rural_res_calculation!B11</f>
        <v>5109778498259.998</v>
      </c>
      <c r="C9" s="3">
        <f>Rural_res_calculation!C11</f>
        <v>4980128465263.5791</v>
      </c>
      <c r="D9" s="3">
        <f>Rural_res_calculation!D11</f>
        <v>4977516468261.8193</v>
      </c>
      <c r="E9" s="3">
        <f>Rural_res_calculation!E11</f>
        <v>4768460776594.8223</v>
      </c>
      <c r="F9" s="3">
        <f>Rural_res_calculation!F11</f>
        <v>4568185423977.8398</v>
      </c>
      <c r="G9" s="3">
        <f>Rural_res_calculation!G11</f>
        <v>4376321636170.7705</v>
      </c>
      <c r="H9" s="3">
        <f>Rural_res_calculation!H11</f>
        <v>4192516127451.5981</v>
      </c>
      <c r="I9" s="3">
        <f>Rural_res_calculation!I11</f>
        <v>4016430450098.6309</v>
      </c>
      <c r="J9" s="3">
        <f>Rural_res_calculation!J11</f>
        <v>3847740371194.4883</v>
      </c>
      <c r="K9" s="3">
        <f>Rural_res_calculation!K11</f>
        <v>3686135275604.3198</v>
      </c>
      <c r="L9" s="3">
        <f>Rural_res_calculation!L11</f>
        <v>3531317594028.9385</v>
      </c>
      <c r="M9" s="3">
        <f>Rural_res_calculation!M11</f>
        <v>3383002255079.7231</v>
      </c>
      <c r="N9" s="3">
        <f>Rural_res_calculation!N11</f>
        <v>3240916160366.3745</v>
      </c>
      <c r="O9" s="3">
        <f>Rural_res_calculation!O11</f>
        <v>3104797681630.9868</v>
      </c>
      <c r="P9" s="3">
        <f>Rural_res_calculation!P11</f>
        <v>2974396179002.4854</v>
      </c>
      <c r="Q9" s="3">
        <f>Rural_res_calculation!Q11</f>
        <v>2849471539484.3809</v>
      </c>
      <c r="R9" s="3">
        <f>Rural_res_calculation!R11</f>
        <v>2729793734826.0366</v>
      </c>
      <c r="S9" s="3">
        <f>Rural_res_calculation!S11</f>
        <v>2615142397963.3428</v>
      </c>
      <c r="T9" s="3">
        <f>Rural_res_calculation!T11</f>
        <v>2505306417248.8823</v>
      </c>
      <c r="U9" s="3">
        <f>Rural_res_calculation!U11</f>
        <v>2400083547724.4292</v>
      </c>
      <c r="V9" s="3">
        <f>Rural_res_calculation!V11</f>
        <v>2299280038720.0029</v>
      </c>
      <c r="W9" s="3">
        <f>Rural_res_calculation!W11</f>
        <v>2202710277093.7627</v>
      </c>
      <c r="X9" s="3">
        <f>Rural_res_calculation!X11</f>
        <v>2110196445455.8245</v>
      </c>
      <c r="Y9" s="3">
        <f>Rural_res_calculation!Y11</f>
        <v>2021568194746.6797</v>
      </c>
      <c r="Z9" s="3">
        <f>Rural_res_calculation!Z11</f>
        <v>1936662330567.3191</v>
      </c>
      <c r="AA9" s="3">
        <f>Rural_res_calculation!AA11</f>
        <v>1855322512683.4917</v>
      </c>
      <c r="AB9" s="3">
        <f>Rural_res_calculation!AB11</f>
        <v>1777398967150.7849</v>
      </c>
      <c r="AC9" s="3">
        <f>Rural_res_calculation!AC11</f>
        <v>1702748210530.4519</v>
      </c>
      <c r="AD9" s="3">
        <f>Rural_res_calculation!AD11</f>
        <v>1631232785688.1729</v>
      </c>
      <c r="AE9" s="3">
        <f>Rural_res_calculation!AE11</f>
        <v>1562721008689.2695</v>
      </c>
      <c r="AF9" s="3">
        <f>Rural_res_calculation!AF11</f>
        <v>1497086726324.3201</v>
      </c>
      <c r="AG9" s="3">
        <f>Rural_res_calculation!AG11</f>
        <v>1434209083818.6985</v>
      </c>
    </row>
    <row r="10" spans="1:35">
      <c r="A10" s="1" t="s">
        <v>15</v>
      </c>
      <c r="B10" s="3">
        <f>Rural_res_calculation!B12</f>
        <v>1564369248993.2983</v>
      </c>
      <c r="C10" s="3">
        <f>Rural_res_calculation!C12</f>
        <v>1524676623408.9155</v>
      </c>
      <c r="D10" s="3">
        <f>Rural_res_calculation!D12</f>
        <v>1523876955127.9111</v>
      </c>
      <c r="E10" s="3">
        <f>Rural_res_calculation!E12</f>
        <v>1459874123012.5388</v>
      </c>
      <c r="F10" s="3">
        <f>Rural_res_calculation!F12</f>
        <v>1398559409846.0122</v>
      </c>
      <c r="G10" s="3">
        <f>Rural_res_calculation!G12</f>
        <v>1339819914632.4797</v>
      </c>
      <c r="H10" s="3">
        <f>Rural_res_calculation!H12</f>
        <v>1283547478217.9155</v>
      </c>
      <c r="I10" s="3">
        <f>Rural_res_calculation!I12</f>
        <v>1229638484132.7629</v>
      </c>
      <c r="J10" s="3">
        <f>Rural_res_calculation!J12</f>
        <v>1177993667799.1868</v>
      </c>
      <c r="K10" s="3">
        <f>Rural_res_calculation!K12</f>
        <v>1128517933751.6208</v>
      </c>
      <c r="L10" s="3">
        <f>Rural_res_calculation!L12</f>
        <v>1081120180534.0527</v>
      </c>
      <c r="M10" s="3">
        <f>Rural_res_calculation!M12</f>
        <v>1035713132951.6224</v>
      </c>
      <c r="N10" s="3">
        <f>Rural_res_calculation!N12</f>
        <v>992213181367.6543</v>
      </c>
      <c r="O10" s="3">
        <f>Rural_res_calculation!O12</f>
        <v>950540227750.21277</v>
      </c>
      <c r="P10" s="3">
        <f>Rural_res_calculation!P12</f>
        <v>910617538184.70386</v>
      </c>
      <c r="Q10" s="3">
        <f>Rural_res_calculation!Q12</f>
        <v>872371601580.94629</v>
      </c>
      <c r="R10" s="3">
        <f>Rural_res_calculation!R12</f>
        <v>835731994314.54651</v>
      </c>
      <c r="S10" s="3">
        <f>Rural_res_calculation!S12</f>
        <v>800631250553.33557</v>
      </c>
      <c r="T10" s="3">
        <f>Rural_res_calculation!T12</f>
        <v>767004738030.09546</v>
      </c>
      <c r="U10" s="3">
        <f>Rural_res_calculation!U12</f>
        <v>734790539032.83142</v>
      </c>
      <c r="V10" s="3">
        <f>Rural_res_calculation!V12</f>
        <v>703929336393.45251</v>
      </c>
      <c r="W10" s="3">
        <f>Rural_res_calculation!W12</f>
        <v>674364304264.92749</v>
      </c>
      <c r="X10" s="3">
        <f>Rural_res_calculation!X12</f>
        <v>646041003485.80054</v>
      </c>
      <c r="Y10" s="3">
        <f>Rural_res_calculation!Y12</f>
        <v>618907281339.39685</v>
      </c>
      <c r="Z10" s="3">
        <f>Rural_res_calculation!Z12</f>
        <v>592913175523.14221</v>
      </c>
      <c r="AA10" s="3">
        <f>Rural_res_calculation!AA12</f>
        <v>568010822151.17017</v>
      </c>
      <c r="AB10" s="3">
        <f>Rural_res_calculation!AB12</f>
        <v>544154367620.82098</v>
      </c>
      <c r="AC10" s="3">
        <f>Rural_res_calculation!AC12</f>
        <v>521299884180.74646</v>
      </c>
      <c r="AD10" s="3">
        <f>Rural_res_calculation!AD12</f>
        <v>499405289045.15509</v>
      </c>
      <c r="AE10" s="3">
        <f>Rural_res_calculation!AE12</f>
        <v>478430266905.25854</v>
      </c>
      <c r="AF10" s="3">
        <f>Rural_res_calculation!AF12</f>
        <v>458336195695.23767</v>
      </c>
      <c r="AG10" s="3">
        <f>Rural_res_calculation!AG12</f>
        <v>439086075476.03766</v>
      </c>
    </row>
    <row r="11" spans="1:35">
      <c r="A11" s="1" t="s">
        <v>16</v>
      </c>
      <c r="B11" s="3">
        <f>Rural_res_calculation!B13</f>
        <v>0</v>
      </c>
      <c r="C11" s="3">
        <f>Rural_res_calculation!C13</f>
        <v>0</v>
      </c>
      <c r="D11" s="3">
        <f>Rural_res_calculation!D13</f>
        <v>0</v>
      </c>
      <c r="E11" s="3">
        <f>Rural_res_calculation!E13</f>
        <v>0</v>
      </c>
      <c r="F11" s="3">
        <f>Rural_res_calculation!F13</f>
        <v>0</v>
      </c>
      <c r="G11" s="3">
        <f>Rural_res_calculation!G13</f>
        <v>0</v>
      </c>
      <c r="H11" s="3">
        <f>Rural_res_calculation!H13</f>
        <v>0</v>
      </c>
      <c r="I11" s="3">
        <f>Rural_res_calculation!I13</f>
        <v>0</v>
      </c>
      <c r="J11" s="3">
        <f>Rural_res_calculation!J13</f>
        <v>0</v>
      </c>
      <c r="K11" s="3">
        <f>Rural_res_calculation!K13</f>
        <v>0</v>
      </c>
      <c r="L11" s="3">
        <f>Rural_res_calculation!L13</f>
        <v>0</v>
      </c>
      <c r="M11" s="3">
        <f>Rural_res_calculation!M13</f>
        <v>0</v>
      </c>
      <c r="N11" s="3">
        <f>Rural_res_calculation!N13</f>
        <v>0</v>
      </c>
      <c r="O11" s="3">
        <f>Rural_res_calculation!O13</f>
        <v>0</v>
      </c>
      <c r="P11" s="3">
        <f>Rural_res_calculation!P13</f>
        <v>0</v>
      </c>
      <c r="Q11" s="3">
        <f>Rural_res_calculation!Q13</f>
        <v>0</v>
      </c>
      <c r="R11" s="3">
        <f>Rural_res_calculation!R13</f>
        <v>0</v>
      </c>
      <c r="S11" s="3">
        <f>Rural_res_calculation!S13</f>
        <v>0</v>
      </c>
      <c r="T11" s="3">
        <f>Rural_res_calculation!T13</f>
        <v>0</v>
      </c>
      <c r="U11" s="3">
        <f>Rural_res_calculation!U13</f>
        <v>0</v>
      </c>
      <c r="V11" s="3">
        <f>Rural_res_calculation!V13</f>
        <v>0</v>
      </c>
      <c r="W11" s="3">
        <f>Rural_res_calculation!W13</f>
        <v>0</v>
      </c>
      <c r="X11" s="3">
        <f>Rural_res_calculation!X13</f>
        <v>0</v>
      </c>
      <c r="Y11" s="3">
        <f>Rural_res_calculation!Y13</f>
        <v>0</v>
      </c>
      <c r="Z11" s="3">
        <f>Rural_res_calculation!Z13</f>
        <v>0</v>
      </c>
      <c r="AA11" s="3">
        <f>Rural_res_calculation!AA13</f>
        <v>0</v>
      </c>
      <c r="AB11" s="3">
        <f>Rural_res_calculation!AB13</f>
        <v>0</v>
      </c>
      <c r="AC11" s="3">
        <f>Rural_res_calculation!AC13</f>
        <v>0</v>
      </c>
      <c r="AD11" s="3">
        <f>Rural_res_calculation!AD13</f>
        <v>0</v>
      </c>
      <c r="AE11" s="3">
        <f>Rural_res_calculation!AE13</f>
        <v>0</v>
      </c>
      <c r="AF11" s="3">
        <f>Rural_res_calculation!AF13</f>
        <v>0</v>
      </c>
      <c r="AG11" s="3">
        <f>Rural_res_calculation!AG13</f>
        <v>0</v>
      </c>
    </row>
  </sheetData>
  <phoneticPr fontId="11" type="noConversion"/>
  <pageMargins left="0.7" right="0.7" top="0.75" bottom="0.75" header="0.3" footer="0.3"/>
  <pageSetup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zoomScale="70" zoomScaleNormal="70" workbookViewId="0">
      <selection activeCell="B2" sqref="B2"/>
    </sheetView>
  </sheetViews>
  <sheetFormatPr defaultRowHeight="16.5"/>
  <cols>
    <col min="1" max="1" width="29.875" customWidth="1"/>
    <col min="2" max="33" width="12.25" customWidth="1"/>
  </cols>
  <sheetData>
    <row r="1" spans="1:35">
      <c r="A1" s="1" t="s">
        <v>1</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c r="AI1" s="1"/>
    </row>
    <row r="2" spans="1:35">
      <c r="A2" s="1" t="s">
        <v>2</v>
      </c>
      <c r="B2" s="3">
        <f>Rural_res_calculation!B16</f>
        <v>3254014199999.9985</v>
      </c>
      <c r="C2" s="3">
        <f>Rural_res_calculation!C16</f>
        <v>3421086390655.5303</v>
      </c>
      <c r="D2" s="3">
        <f>Rural_res_calculation!D16</f>
        <v>3582036360245.5752</v>
      </c>
      <c r="E2" s="3">
        <f>Rural_res_calculation!E16</f>
        <v>3603528578407.0488</v>
      </c>
      <c r="F2" s="3">
        <f>Rural_res_calculation!F16</f>
        <v>3625149749877.4912</v>
      </c>
      <c r="G2" s="3">
        <f>Rural_res_calculation!G16</f>
        <v>3646900648376.7563</v>
      </c>
      <c r="H2" s="3">
        <f>Rural_res_calculation!H16</f>
        <v>3668782052267.0171</v>
      </c>
      <c r="I2" s="3">
        <f>Rural_res_calculation!I16</f>
        <v>3690794744580.6191</v>
      </c>
      <c r="J2" s="3">
        <f>Rural_res_calculation!J16</f>
        <v>3712939513048.103</v>
      </c>
      <c r="K2" s="3">
        <f>Rural_res_calculation!K16</f>
        <v>3735217150126.3916</v>
      </c>
      <c r="L2" s="3">
        <f>Rural_res_calculation!L16</f>
        <v>3757628453027.1499</v>
      </c>
      <c r="M2" s="3">
        <f>Rural_res_calculation!M16</f>
        <v>3780174223745.313</v>
      </c>
      <c r="N2" s="3">
        <f>Rural_res_calculation!N16</f>
        <v>3802855269087.7847</v>
      </c>
      <c r="O2" s="3">
        <f>Rural_res_calculation!O16</f>
        <v>3825672400702.3115</v>
      </c>
      <c r="P2" s="3">
        <f>Rural_res_calculation!P16</f>
        <v>3848626435106.5254</v>
      </c>
      <c r="Q2" s="3">
        <f>Rural_res_calculation!Q16</f>
        <v>3871718193717.1646</v>
      </c>
      <c r="R2" s="3">
        <f>Rural_res_calculation!R16</f>
        <v>3894948502879.4678</v>
      </c>
      <c r="S2" s="3">
        <f>Rural_res_calculation!S16</f>
        <v>3918318193896.7446</v>
      </c>
      <c r="T2" s="3">
        <f>Rural_res_calculation!T16</f>
        <v>3941828103060.125</v>
      </c>
      <c r="U2" s="3">
        <f>Rural_res_calculation!U16</f>
        <v>3965479071678.4858</v>
      </c>
      <c r="V2" s="3">
        <f>Rural_res_calculation!V16</f>
        <v>3989271946108.5566</v>
      </c>
      <c r="W2" s="3">
        <f>Rural_res_calculation!W16</f>
        <v>4013207577785.208</v>
      </c>
      <c r="X2" s="3">
        <f>Rural_res_calculation!X16</f>
        <v>4037286823251.9194</v>
      </c>
      <c r="Y2" s="3">
        <f>Rural_res_calculation!Y16</f>
        <v>4061510544191.4312</v>
      </c>
      <c r="Z2" s="3">
        <f>Rural_res_calculation!Z16</f>
        <v>4085879607456.5796</v>
      </c>
      <c r="AA2" s="3">
        <f>Rural_res_calculation!AA16</f>
        <v>4110394885101.3188</v>
      </c>
      <c r="AB2" s="3">
        <f>Rural_res_calculation!AB16</f>
        <v>4135057254411.9268</v>
      </c>
      <c r="AC2" s="3">
        <f>Rural_res_calculation!AC16</f>
        <v>4159867597938.3984</v>
      </c>
      <c r="AD2" s="3">
        <f>Rural_res_calculation!AD16</f>
        <v>4184826803526.0288</v>
      </c>
      <c r="AE2" s="3">
        <f>Rural_res_calculation!AE16</f>
        <v>4209935764347.1851</v>
      </c>
      <c r="AF2" s="3">
        <f>Rural_res_calculation!AF16</f>
        <v>4235195378933.2681</v>
      </c>
      <c r="AG2" s="3">
        <f>Rural_res_calculation!AG16</f>
        <v>4260606551206.8677</v>
      </c>
    </row>
    <row r="3" spans="1:35">
      <c r="A3" s="1" t="s">
        <v>3</v>
      </c>
      <c r="B3" s="3">
        <f>Rural_res_calculation!B17</f>
        <v>0</v>
      </c>
      <c r="C3" s="3">
        <f>Rural_res_calculation!C17</f>
        <v>0</v>
      </c>
      <c r="D3" s="3">
        <f>Rural_res_calculation!D17</f>
        <v>0</v>
      </c>
      <c r="E3" s="3">
        <f>Rural_res_calculation!E17</f>
        <v>0</v>
      </c>
      <c r="F3" s="3">
        <f>Rural_res_calculation!F17</f>
        <v>0</v>
      </c>
      <c r="G3" s="3">
        <f>Rural_res_calculation!G17</f>
        <v>0</v>
      </c>
      <c r="H3" s="3">
        <f>Rural_res_calculation!H17</f>
        <v>0</v>
      </c>
      <c r="I3" s="3">
        <f>Rural_res_calculation!I17</f>
        <v>0</v>
      </c>
      <c r="J3" s="3">
        <f>Rural_res_calculation!J17</f>
        <v>0</v>
      </c>
      <c r="K3" s="3">
        <f>Rural_res_calculation!K17</f>
        <v>0</v>
      </c>
      <c r="L3" s="3">
        <f>Rural_res_calculation!L17</f>
        <v>0</v>
      </c>
      <c r="M3" s="3">
        <f>Rural_res_calculation!M17</f>
        <v>0</v>
      </c>
      <c r="N3" s="3">
        <f>Rural_res_calculation!N17</f>
        <v>0</v>
      </c>
      <c r="O3" s="3">
        <f>Rural_res_calculation!O17</f>
        <v>0</v>
      </c>
      <c r="P3" s="3">
        <f>Rural_res_calculation!P17</f>
        <v>0</v>
      </c>
      <c r="Q3" s="3">
        <f>Rural_res_calculation!Q17</f>
        <v>0</v>
      </c>
      <c r="R3" s="3">
        <f>Rural_res_calculation!R17</f>
        <v>0</v>
      </c>
      <c r="S3" s="3">
        <f>Rural_res_calculation!S17</f>
        <v>0</v>
      </c>
      <c r="T3" s="3">
        <f>Rural_res_calculation!T17</f>
        <v>0</v>
      </c>
      <c r="U3" s="3">
        <f>Rural_res_calculation!U17</f>
        <v>0</v>
      </c>
      <c r="V3" s="3">
        <f>Rural_res_calculation!V17</f>
        <v>0</v>
      </c>
      <c r="W3" s="3">
        <f>Rural_res_calculation!W17</f>
        <v>0</v>
      </c>
      <c r="X3" s="3">
        <f>Rural_res_calculation!X17</f>
        <v>0</v>
      </c>
      <c r="Y3" s="3">
        <f>Rural_res_calculation!Y17</f>
        <v>0</v>
      </c>
      <c r="Z3" s="3">
        <f>Rural_res_calculation!Z17</f>
        <v>0</v>
      </c>
      <c r="AA3" s="3">
        <f>Rural_res_calculation!AA17</f>
        <v>0</v>
      </c>
      <c r="AB3" s="3">
        <f>Rural_res_calculation!AB17</f>
        <v>0</v>
      </c>
      <c r="AC3" s="3">
        <f>Rural_res_calculation!AC17</f>
        <v>0</v>
      </c>
      <c r="AD3" s="3">
        <f>Rural_res_calculation!AD17</f>
        <v>0</v>
      </c>
      <c r="AE3" s="3">
        <f>Rural_res_calculation!AE17</f>
        <v>0</v>
      </c>
      <c r="AF3" s="3">
        <f>Rural_res_calculation!AF17</f>
        <v>0</v>
      </c>
      <c r="AG3" s="3">
        <f>Rural_res_calculation!AG17</f>
        <v>0</v>
      </c>
    </row>
    <row r="4" spans="1:35">
      <c r="A4" s="1" t="s">
        <v>4</v>
      </c>
      <c r="B4" s="3">
        <f>Rural_res_calculation!B18</f>
        <v>0</v>
      </c>
      <c r="C4" s="3">
        <f>Rural_res_calculation!C18</f>
        <v>0</v>
      </c>
      <c r="D4" s="3">
        <f>Rural_res_calculation!D18</f>
        <v>0</v>
      </c>
      <c r="E4" s="3">
        <f>Rural_res_calculation!E18</f>
        <v>0</v>
      </c>
      <c r="F4" s="3">
        <f>Rural_res_calculation!F18</f>
        <v>0</v>
      </c>
      <c r="G4" s="3">
        <f>Rural_res_calculation!G18</f>
        <v>0</v>
      </c>
      <c r="H4" s="3">
        <f>Rural_res_calculation!H18</f>
        <v>0</v>
      </c>
      <c r="I4" s="3">
        <f>Rural_res_calculation!I18</f>
        <v>0</v>
      </c>
      <c r="J4" s="3">
        <f>Rural_res_calculation!J18</f>
        <v>0</v>
      </c>
      <c r="K4" s="3">
        <f>Rural_res_calculation!K18</f>
        <v>0</v>
      </c>
      <c r="L4" s="3">
        <f>Rural_res_calculation!L18</f>
        <v>0</v>
      </c>
      <c r="M4" s="3">
        <f>Rural_res_calculation!M18</f>
        <v>0</v>
      </c>
      <c r="N4" s="3">
        <f>Rural_res_calculation!N18</f>
        <v>0</v>
      </c>
      <c r="O4" s="3">
        <f>Rural_res_calculation!O18</f>
        <v>0</v>
      </c>
      <c r="P4" s="3">
        <f>Rural_res_calculation!P18</f>
        <v>0</v>
      </c>
      <c r="Q4" s="3">
        <f>Rural_res_calculation!Q18</f>
        <v>0</v>
      </c>
      <c r="R4" s="3">
        <f>Rural_res_calculation!R18</f>
        <v>0</v>
      </c>
      <c r="S4" s="3">
        <f>Rural_res_calculation!S18</f>
        <v>0</v>
      </c>
      <c r="T4" s="3">
        <f>Rural_res_calculation!T18</f>
        <v>0</v>
      </c>
      <c r="U4" s="3">
        <f>Rural_res_calculation!U18</f>
        <v>0</v>
      </c>
      <c r="V4" s="3">
        <f>Rural_res_calculation!V18</f>
        <v>0</v>
      </c>
      <c r="W4" s="3">
        <f>Rural_res_calculation!W18</f>
        <v>0</v>
      </c>
      <c r="X4" s="3">
        <f>Rural_res_calculation!X18</f>
        <v>0</v>
      </c>
      <c r="Y4" s="3">
        <f>Rural_res_calculation!Y18</f>
        <v>0</v>
      </c>
      <c r="Z4" s="3">
        <f>Rural_res_calculation!Z18</f>
        <v>0</v>
      </c>
      <c r="AA4" s="3">
        <f>Rural_res_calculation!AA18</f>
        <v>0</v>
      </c>
      <c r="AB4" s="3">
        <f>Rural_res_calculation!AB18</f>
        <v>0</v>
      </c>
      <c r="AC4" s="3">
        <f>Rural_res_calculation!AC18</f>
        <v>0</v>
      </c>
      <c r="AD4" s="3">
        <f>Rural_res_calculation!AD18</f>
        <v>0</v>
      </c>
      <c r="AE4" s="3">
        <f>Rural_res_calculation!AE18</f>
        <v>0</v>
      </c>
      <c r="AF4" s="3">
        <f>Rural_res_calculation!AF18</f>
        <v>0</v>
      </c>
      <c r="AG4" s="3">
        <f>Rural_res_calculation!AG18</f>
        <v>0</v>
      </c>
    </row>
    <row r="5" spans="1:35">
      <c r="A5" s="1" t="s">
        <v>5</v>
      </c>
      <c r="B5" s="3">
        <f>Rural_res_calculation!B19</f>
        <v>0</v>
      </c>
      <c r="C5" s="3">
        <f>Rural_res_calculation!C19</f>
        <v>0</v>
      </c>
      <c r="D5" s="3">
        <f>Rural_res_calculation!D19</f>
        <v>0</v>
      </c>
      <c r="E5" s="3">
        <f>Rural_res_calculation!E19</f>
        <v>0</v>
      </c>
      <c r="F5" s="3">
        <f>Rural_res_calculation!F19</f>
        <v>0</v>
      </c>
      <c r="G5" s="3">
        <f>Rural_res_calculation!G19</f>
        <v>0</v>
      </c>
      <c r="H5" s="3">
        <f>Rural_res_calculation!H19</f>
        <v>0</v>
      </c>
      <c r="I5" s="3">
        <f>Rural_res_calculation!I19</f>
        <v>0</v>
      </c>
      <c r="J5" s="3">
        <f>Rural_res_calculation!J19</f>
        <v>0</v>
      </c>
      <c r="K5" s="3">
        <f>Rural_res_calculation!K19</f>
        <v>0</v>
      </c>
      <c r="L5" s="3">
        <f>Rural_res_calculation!L19</f>
        <v>0</v>
      </c>
      <c r="M5" s="3">
        <f>Rural_res_calculation!M19</f>
        <v>0</v>
      </c>
      <c r="N5" s="3">
        <f>Rural_res_calculation!N19</f>
        <v>0</v>
      </c>
      <c r="O5" s="3">
        <f>Rural_res_calculation!O19</f>
        <v>0</v>
      </c>
      <c r="P5" s="3">
        <f>Rural_res_calculation!P19</f>
        <v>0</v>
      </c>
      <c r="Q5" s="3">
        <f>Rural_res_calculation!Q19</f>
        <v>0</v>
      </c>
      <c r="R5" s="3">
        <f>Rural_res_calculation!R19</f>
        <v>0</v>
      </c>
      <c r="S5" s="3">
        <f>Rural_res_calculation!S19</f>
        <v>0</v>
      </c>
      <c r="T5" s="3">
        <f>Rural_res_calculation!T19</f>
        <v>0</v>
      </c>
      <c r="U5" s="3">
        <f>Rural_res_calculation!U19</f>
        <v>0</v>
      </c>
      <c r="V5" s="3">
        <f>Rural_res_calculation!V19</f>
        <v>0</v>
      </c>
      <c r="W5" s="3">
        <f>Rural_res_calculation!W19</f>
        <v>0</v>
      </c>
      <c r="X5" s="3">
        <f>Rural_res_calculation!X19</f>
        <v>0</v>
      </c>
      <c r="Y5" s="3">
        <f>Rural_res_calculation!Y19</f>
        <v>0</v>
      </c>
      <c r="Z5" s="3">
        <f>Rural_res_calculation!Z19</f>
        <v>0</v>
      </c>
      <c r="AA5" s="3">
        <f>Rural_res_calculation!AA19</f>
        <v>0</v>
      </c>
      <c r="AB5" s="3">
        <f>Rural_res_calculation!AB19</f>
        <v>0</v>
      </c>
      <c r="AC5" s="3">
        <f>Rural_res_calculation!AC19</f>
        <v>0</v>
      </c>
      <c r="AD5" s="3">
        <f>Rural_res_calculation!AD19</f>
        <v>0</v>
      </c>
      <c r="AE5" s="3">
        <f>Rural_res_calculation!AE19</f>
        <v>0</v>
      </c>
      <c r="AF5" s="3">
        <f>Rural_res_calculation!AF19</f>
        <v>0</v>
      </c>
      <c r="AG5" s="3">
        <f>Rural_res_calculation!AG19</f>
        <v>0</v>
      </c>
    </row>
    <row r="6" spans="1:35">
      <c r="A6" s="1" t="s">
        <v>7</v>
      </c>
      <c r="B6" s="3">
        <f>Rural_res_calculation!B20</f>
        <v>0</v>
      </c>
      <c r="C6" s="3">
        <f>Rural_res_calculation!C20</f>
        <v>0</v>
      </c>
      <c r="D6" s="3">
        <f>Rural_res_calculation!D20</f>
        <v>0</v>
      </c>
      <c r="E6" s="3">
        <f>Rural_res_calculation!E20</f>
        <v>0</v>
      </c>
      <c r="F6" s="3">
        <f>Rural_res_calculation!F20</f>
        <v>0</v>
      </c>
      <c r="G6" s="3">
        <f>Rural_res_calculation!G20</f>
        <v>0</v>
      </c>
      <c r="H6" s="3">
        <f>Rural_res_calculation!H20</f>
        <v>0</v>
      </c>
      <c r="I6" s="3">
        <f>Rural_res_calculation!I20</f>
        <v>0</v>
      </c>
      <c r="J6" s="3">
        <f>Rural_res_calculation!J20</f>
        <v>0</v>
      </c>
      <c r="K6" s="3">
        <f>Rural_res_calculation!K20</f>
        <v>0</v>
      </c>
      <c r="L6" s="3">
        <f>Rural_res_calculation!L20</f>
        <v>0</v>
      </c>
      <c r="M6" s="3">
        <f>Rural_res_calculation!M20</f>
        <v>0</v>
      </c>
      <c r="N6" s="3">
        <f>Rural_res_calculation!N20</f>
        <v>0</v>
      </c>
      <c r="O6" s="3">
        <f>Rural_res_calculation!O20</f>
        <v>0</v>
      </c>
      <c r="P6" s="3">
        <f>Rural_res_calculation!P20</f>
        <v>0</v>
      </c>
      <c r="Q6" s="3">
        <f>Rural_res_calculation!Q20</f>
        <v>0</v>
      </c>
      <c r="R6" s="3">
        <f>Rural_res_calculation!R20</f>
        <v>0</v>
      </c>
      <c r="S6" s="3">
        <f>Rural_res_calculation!S20</f>
        <v>0</v>
      </c>
      <c r="T6" s="3">
        <f>Rural_res_calculation!T20</f>
        <v>0</v>
      </c>
      <c r="U6" s="3">
        <f>Rural_res_calculation!U20</f>
        <v>0</v>
      </c>
      <c r="V6" s="3">
        <f>Rural_res_calculation!V20</f>
        <v>0</v>
      </c>
      <c r="W6" s="3">
        <f>Rural_res_calculation!W20</f>
        <v>0</v>
      </c>
      <c r="X6" s="3">
        <f>Rural_res_calculation!X20</f>
        <v>0</v>
      </c>
      <c r="Y6" s="3">
        <f>Rural_res_calculation!Y20</f>
        <v>0</v>
      </c>
      <c r="Z6" s="3">
        <f>Rural_res_calculation!Z20</f>
        <v>0</v>
      </c>
      <c r="AA6" s="3">
        <f>Rural_res_calculation!AA20</f>
        <v>0</v>
      </c>
      <c r="AB6" s="3">
        <f>Rural_res_calculation!AB20</f>
        <v>0</v>
      </c>
      <c r="AC6" s="3">
        <f>Rural_res_calculation!AC20</f>
        <v>0</v>
      </c>
      <c r="AD6" s="3">
        <f>Rural_res_calculation!AD20</f>
        <v>0</v>
      </c>
      <c r="AE6" s="3">
        <f>Rural_res_calculation!AE20</f>
        <v>0</v>
      </c>
      <c r="AF6" s="3">
        <f>Rural_res_calculation!AF20</f>
        <v>0</v>
      </c>
      <c r="AG6" s="3">
        <f>Rural_res_calculation!AG20</f>
        <v>0</v>
      </c>
    </row>
    <row r="7" spans="1:35">
      <c r="A7" s="1" t="s">
        <v>11</v>
      </c>
      <c r="B7" s="3">
        <f>Rural_res_calculation!B21</f>
        <v>0</v>
      </c>
      <c r="C7" s="3">
        <f>Rural_res_calculation!C21</f>
        <v>0</v>
      </c>
      <c r="D7" s="3">
        <f>Rural_res_calculation!D21</f>
        <v>0</v>
      </c>
      <c r="E7" s="3">
        <f>Rural_res_calculation!E21</f>
        <v>0</v>
      </c>
      <c r="F7" s="3">
        <f>Rural_res_calculation!F21</f>
        <v>0</v>
      </c>
      <c r="G7" s="3">
        <f>Rural_res_calculation!G21</f>
        <v>0</v>
      </c>
      <c r="H7" s="3">
        <f>Rural_res_calculation!H21</f>
        <v>0</v>
      </c>
      <c r="I7" s="3">
        <f>Rural_res_calculation!I21</f>
        <v>0</v>
      </c>
      <c r="J7" s="3">
        <f>Rural_res_calculation!J21</f>
        <v>0</v>
      </c>
      <c r="K7" s="3">
        <f>Rural_res_calculation!K21</f>
        <v>0</v>
      </c>
      <c r="L7" s="3">
        <f>Rural_res_calculation!L21</f>
        <v>0</v>
      </c>
      <c r="M7" s="3">
        <f>Rural_res_calculation!M21</f>
        <v>0</v>
      </c>
      <c r="N7" s="3">
        <f>Rural_res_calculation!N21</f>
        <v>0</v>
      </c>
      <c r="O7" s="3">
        <f>Rural_res_calculation!O21</f>
        <v>0</v>
      </c>
      <c r="P7" s="3">
        <f>Rural_res_calculation!P21</f>
        <v>0</v>
      </c>
      <c r="Q7" s="3">
        <f>Rural_res_calculation!Q21</f>
        <v>0</v>
      </c>
      <c r="R7" s="3">
        <f>Rural_res_calculation!R21</f>
        <v>0</v>
      </c>
      <c r="S7" s="3">
        <f>Rural_res_calculation!S21</f>
        <v>0</v>
      </c>
      <c r="T7" s="3">
        <f>Rural_res_calculation!T21</f>
        <v>0</v>
      </c>
      <c r="U7" s="3">
        <f>Rural_res_calculation!U21</f>
        <v>0</v>
      </c>
      <c r="V7" s="3">
        <f>Rural_res_calculation!V21</f>
        <v>0</v>
      </c>
      <c r="W7" s="3">
        <f>Rural_res_calculation!W21</f>
        <v>0</v>
      </c>
      <c r="X7" s="3">
        <f>Rural_res_calculation!X21</f>
        <v>0</v>
      </c>
      <c r="Y7" s="3">
        <f>Rural_res_calculation!Y21</f>
        <v>0</v>
      </c>
      <c r="Z7" s="3">
        <f>Rural_res_calculation!Z21</f>
        <v>0</v>
      </c>
      <c r="AA7" s="3">
        <f>Rural_res_calculation!AA21</f>
        <v>0</v>
      </c>
      <c r="AB7" s="3">
        <f>Rural_res_calculation!AB21</f>
        <v>0</v>
      </c>
      <c r="AC7" s="3">
        <f>Rural_res_calculation!AC21</f>
        <v>0</v>
      </c>
      <c r="AD7" s="3">
        <f>Rural_res_calculation!AD21</f>
        <v>0</v>
      </c>
      <c r="AE7" s="3">
        <f>Rural_res_calculation!AE21</f>
        <v>0</v>
      </c>
      <c r="AF7" s="3">
        <f>Rural_res_calculation!AF21</f>
        <v>0</v>
      </c>
      <c r="AG7" s="3">
        <f>Rural_res_calculation!AG21</f>
        <v>0</v>
      </c>
    </row>
    <row r="8" spans="1:35">
      <c r="A8" s="1" t="s">
        <v>13</v>
      </c>
      <c r="B8" s="3">
        <f>Rural_res_calculation!B22</f>
        <v>0</v>
      </c>
      <c r="C8" s="3">
        <f>Rural_res_calculation!C22</f>
        <v>0</v>
      </c>
      <c r="D8" s="3">
        <f>Rural_res_calculation!D22</f>
        <v>0</v>
      </c>
      <c r="E8" s="3">
        <f>Rural_res_calculation!E22</f>
        <v>0</v>
      </c>
      <c r="F8" s="3">
        <f>Rural_res_calculation!F22</f>
        <v>0</v>
      </c>
      <c r="G8" s="3">
        <f>Rural_res_calculation!G22</f>
        <v>0</v>
      </c>
      <c r="H8" s="3">
        <f>Rural_res_calculation!H22</f>
        <v>0</v>
      </c>
      <c r="I8" s="3">
        <f>Rural_res_calculation!I22</f>
        <v>0</v>
      </c>
      <c r="J8" s="3">
        <f>Rural_res_calculation!J22</f>
        <v>0</v>
      </c>
      <c r="K8" s="3">
        <f>Rural_res_calculation!K22</f>
        <v>0</v>
      </c>
      <c r="L8" s="3">
        <f>Rural_res_calculation!L22</f>
        <v>0</v>
      </c>
      <c r="M8" s="3">
        <f>Rural_res_calculation!M22</f>
        <v>0</v>
      </c>
      <c r="N8" s="3">
        <f>Rural_res_calculation!N22</f>
        <v>0</v>
      </c>
      <c r="O8" s="3">
        <f>Rural_res_calculation!O22</f>
        <v>0</v>
      </c>
      <c r="P8" s="3">
        <f>Rural_res_calculation!P22</f>
        <v>0</v>
      </c>
      <c r="Q8" s="3">
        <f>Rural_res_calculation!Q22</f>
        <v>0</v>
      </c>
      <c r="R8" s="3">
        <f>Rural_res_calculation!R22</f>
        <v>0</v>
      </c>
      <c r="S8" s="3">
        <f>Rural_res_calculation!S22</f>
        <v>0</v>
      </c>
      <c r="T8" s="3">
        <f>Rural_res_calculation!T22</f>
        <v>0</v>
      </c>
      <c r="U8" s="3">
        <f>Rural_res_calculation!U22</f>
        <v>0</v>
      </c>
      <c r="V8" s="3">
        <f>Rural_res_calculation!V22</f>
        <v>0</v>
      </c>
      <c r="W8" s="3">
        <f>Rural_res_calculation!W22</f>
        <v>0</v>
      </c>
      <c r="X8" s="3">
        <f>Rural_res_calculation!X22</f>
        <v>0</v>
      </c>
      <c r="Y8" s="3">
        <f>Rural_res_calculation!Y22</f>
        <v>0</v>
      </c>
      <c r="Z8" s="3">
        <f>Rural_res_calculation!Z22</f>
        <v>0</v>
      </c>
      <c r="AA8" s="3">
        <f>Rural_res_calculation!AA22</f>
        <v>0</v>
      </c>
      <c r="AB8" s="3">
        <f>Rural_res_calculation!AB22</f>
        <v>0</v>
      </c>
      <c r="AC8" s="3">
        <f>Rural_res_calculation!AC22</f>
        <v>0</v>
      </c>
      <c r="AD8" s="3">
        <f>Rural_res_calculation!AD22</f>
        <v>0</v>
      </c>
      <c r="AE8" s="3">
        <f>Rural_res_calculation!AE22</f>
        <v>0</v>
      </c>
      <c r="AF8" s="3">
        <f>Rural_res_calculation!AF22</f>
        <v>0</v>
      </c>
      <c r="AG8" s="3">
        <f>Rural_res_calculation!AG22</f>
        <v>0</v>
      </c>
    </row>
    <row r="9" spans="1:35">
      <c r="A9" s="1" t="s">
        <v>14</v>
      </c>
      <c r="B9" s="3">
        <f>Rural_res_calculation!B23</f>
        <v>0</v>
      </c>
      <c r="C9" s="3">
        <f>Rural_res_calculation!C23</f>
        <v>0</v>
      </c>
      <c r="D9" s="3">
        <f>Rural_res_calculation!D23</f>
        <v>0</v>
      </c>
      <c r="E9" s="3">
        <f>Rural_res_calculation!E23</f>
        <v>0</v>
      </c>
      <c r="F9" s="3">
        <f>Rural_res_calculation!F23</f>
        <v>0</v>
      </c>
      <c r="G9" s="3">
        <f>Rural_res_calculation!G23</f>
        <v>0</v>
      </c>
      <c r="H9" s="3">
        <f>Rural_res_calculation!H23</f>
        <v>0</v>
      </c>
      <c r="I9" s="3">
        <f>Rural_res_calculation!I23</f>
        <v>0</v>
      </c>
      <c r="J9" s="3">
        <f>Rural_res_calculation!J23</f>
        <v>0</v>
      </c>
      <c r="K9" s="3">
        <f>Rural_res_calculation!K23</f>
        <v>0</v>
      </c>
      <c r="L9" s="3">
        <f>Rural_res_calculation!L23</f>
        <v>0</v>
      </c>
      <c r="M9" s="3">
        <f>Rural_res_calculation!M23</f>
        <v>0</v>
      </c>
      <c r="N9" s="3">
        <f>Rural_res_calculation!N23</f>
        <v>0</v>
      </c>
      <c r="O9" s="3">
        <f>Rural_res_calculation!O23</f>
        <v>0</v>
      </c>
      <c r="P9" s="3">
        <f>Rural_res_calculation!P23</f>
        <v>0</v>
      </c>
      <c r="Q9" s="3">
        <f>Rural_res_calculation!Q23</f>
        <v>0</v>
      </c>
      <c r="R9" s="3">
        <f>Rural_res_calculation!R23</f>
        <v>0</v>
      </c>
      <c r="S9" s="3">
        <f>Rural_res_calculation!S23</f>
        <v>0</v>
      </c>
      <c r="T9" s="3">
        <f>Rural_res_calculation!T23</f>
        <v>0</v>
      </c>
      <c r="U9" s="3">
        <f>Rural_res_calculation!U23</f>
        <v>0</v>
      </c>
      <c r="V9" s="3">
        <f>Rural_res_calculation!V23</f>
        <v>0</v>
      </c>
      <c r="W9" s="3">
        <f>Rural_res_calculation!W23</f>
        <v>0</v>
      </c>
      <c r="X9" s="3">
        <f>Rural_res_calculation!X23</f>
        <v>0</v>
      </c>
      <c r="Y9" s="3">
        <f>Rural_res_calculation!Y23</f>
        <v>0</v>
      </c>
      <c r="Z9" s="3">
        <f>Rural_res_calculation!Z23</f>
        <v>0</v>
      </c>
      <c r="AA9" s="3">
        <f>Rural_res_calculation!AA23</f>
        <v>0</v>
      </c>
      <c r="AB9" s="3">
        <f>Rural_res_calculation!AB23</f>
        <v>0</v>
      </c>
      <c r="AC9" s="3">
        <f>Rural_res_calculation!AC23</f>
        <v>0</v>
      </c>
      <c r="AD9" s="3">
        <f>Rural_res_calculation!AD23</f>
        <v>0</v>
      </c>
      <c r="AE9" s="3">
        <f>Rural_res_calculation!AE23</f>
        <v>0</v>
      </c>
      <c r="AF9" s="3">
        <f>Rural_res_calculation!AF23</f>
        <v>0</v>
      </c>
      <c r="AG9" s="3">
        <f>Rural_res_calculation!AG23</f>
        <v>0</v>
      </c>
    </row>
    <row r="10" spans="1:35">
      <c r="A10" s="1" t="s">
        <v>15</v>
      </c>
      <c r="B10" s="3">
        <f>Rural_res_calculation!B24</f>
        <v>0</v>
      </c>
      <c r="C10" s="3">
        <f>Rural_res_calculation!C24</f>
        <v>0</v>
      </c>
      <c r="D10" s="3">
        <f>Rural_res_calculation!D24</f>
        <v>0</v>
      </c>
      <c r="E10" s="3">
        <f>Rural_res_calculation!E24</f>
        <v>0</v>
      </c>
      <c r="F10" s="3">
        <f>Rural_res_calculation!F24</f>
        <v>0</v>
      </c>
      <c r="G10" s="3">
        <f>Rural_res_calculation!G24</f>
        <v>0</v>
      </c>
      <c r="H10" s="3">
        <f>Rural_res_calculation!H24</f>
        <v>0</v>
      </c>
      <c r="I10" s="3">
        <f>Rural_res_calculation!I24</f>
        <v>0</v>
      </c>
      <c r="J10" s="3">
        <f>Rural_res_calculation!J24</f>
        <v>0</v>
      </c>
      <c r="K10" s="3">
        <f>Rural_res_calculation!K24</f>
        <v>0</v>
      </c>
      <c r="L10" s="3">
        <f>Rural_res_calculation!L24</f>
        <v>0</v>
      </c>
      <c r="M10" s="3">
        <f>Rural_res_calculation!M24</f>
        <v>0</v>
      </c>
      <c r="N10" s="3">
        <f>Rural_res_calculation!N24</f>
        <v>0</v>
      </c>
      <c r="O10" s="3">
        <f>Rural_res_calculation!O24</f>
        <v>0</v>
      </c>
      <c r="P10" s="3">
        <f>Rural_res_calculation!P24</f>
        <v>0</v>
      </c>
      <c r="Q10" s="3">
        <f>Rural_res_calculation!Q24</f>
        <v>0</v>
      </c>
      <c r="R10" s="3">
        <f>Rural_res_calculation!R24</f>
        <v>0</v>
      </c>
      <c r="S10" s="3">
        <f>Rural_res_calculation!S24</f>
        <v>0</v>
      </c>
      <c r="T10" s="3">
        <f>Rural_res_calculation!T24</f>
        <v>0</v>
      </c>
      <c r="U10" s="3">
        <f>Rural_res_calculation!U24</f>
        <v>0</v>
      </c>
      <c r="V10" s="3">
        <f>Rural_res_calculation!V24</f>
        <v>0</v>
      </c>
      <c r="W10" s="3">
        <f>Rural_res_calculation!W24</f>
        <v>0</v>
      </c>
      <c r="X10" s="3">
        <f>Rural_res_calculation!X24</f>
        <v>0</v>
      </c>
      <c r="Y10" s="3">
        <f>Rural_res_calculation!Y24</f>
        <v>0</v>
      </c>
      <c r="Z10" s="3">
        <f>Rural_res_calculation!Z24</f>
        <v>0</v>
      </c>
      <c r="AA10" s="3">
        <f>Rural_res_calculation!AA24</f>
        <v>0</v>
      </c>
      <c r="AB10" s="3">
        <f>Rural_res_calculation!AB24</f>
        <v>0</v>
      </c>
      <c r="AC10" s="3">
        <f>Rural_res_calculation!AC24</f>
        <v>0</v>
      </c>
      <c r="AD10" s="3">
        <f>Rural_res_calculation!AD24</f>
        <v>0</v>
      </c>
      <c r="AE10" s="3">
        <f>Rural_res_calculation!AE24</f>
        <v>0</v>
      </c>
      <c r="AF10" s="3">
        <f>Rural_res_calculation!AF24</f>
        <v>0</v>
      </c>
      <c r="AG10" s="3">
        <f>Rural_res_calculation!AG24</f>
        <v>0</v>
      </c>
    </row>
    <row r="11" spans="1:35">
      <c r="A11" s="1" t="s">
        <v>16</v>
      </c>
      <c r="B11" s="3">
        <f>Rural_res_calculation!B25</f>
        <v>0</v>
      </c>
      <c r="C11" s="3">
        <f>Rural_res_calculation!C25</f>
        <v>0</v>
      </c>
      <c r="D11" s="3">
        <f>Rural_res_calculation!D25</f>
        <v>0</v>
      </c>
      <c r="E11" s="3">
        <f>Rural_res_calculation!E25</f>
        <v>0</v>
      </c>
      <c r="F11" s="3">
        <f>Rural_res_calculation!F25</f>
        <v>0</v>
      </c>
      <c r="G11" s="3">
        <f>Rural_res_calculation!G25</f>
        <v>0</v>
      </c>
      <c r="H11" s="3">
        <f>Rural_res_calculation!H25</f>
        <v>0</v>
      </c>
      <c r="I11" s="3">
        <f>Rural_res_calculation!I25</f>
        <v>0</v>
      </c>
      <c r="J11" s="3">
        <f>Rural_res_calculation!J25</f>
        <v>0</v>
      </c>
      <c r="K11" s="3">
        <f>Rural_res_calculation!K25</f>
        <v>0</v>
      </c>
      <c r="L11" s="3">
        <f>Rural_res_calculation!L25</f>
        <v>0</v>
      </c>
      <c r="M11" s="3">
        <f>Rural_res_calculation!M25</f>
        <v>0</v>
      </c>
      <c r="N11" s="3">
        <f>Rural_res_calculation!N25</f>
        <v>0</v>
      </c>
      <c r="O11" s="3">
        <f>Rural_res_calculation!O25</f>
        <v>0</v>
      </c>
      <c r="P11" s="3">
        <f>Rural_res_calculation!P25</f>
        <v>0</v>
      </c>
      <c r="Q11" s="3">
        <f>Rural_res_calculation!Q25</f>
        <v>0</v>
      </c>
      <c r="R11" s="3">
        <f>Rural_res_calculation!R25</f>
        <v>0</v>
      </c>
      <c r="S11" s="3">
        <f>Rural_res_calculation!S25</f>
        <v>0</v>
      </c>
      <c r="T11" s="3">
        <f>Rural_res_calculation!T25</f>
        <v>0</v>
      </c>
      <c r="U11" s="3">
        <f>Rural_res_calculation!U25</f>
        <v>0</v>
      </c>
      <c r="V11" s="3">
        <f>Rural_res_calculation!V25</f>
        <v>0</v>
      </c>
      <c r="W11" s="3">
        <f>Rural_res_calculation!W25</f>
        <v>0</v>
      </c>
      <c r="X11" s="3">
        <f>Rural_res_calculation!X25</f>
        <v>0</v>
      </c>
      <c r="Y11" s="3">
        <f>Rural_res_calculation!Y25</f>
        <v>0</v>
      </c>
      <c r="Z11" s="3">
        <f>Rural_res_calculation!Z25</f>
        <v>0</v>
      </c>
      <c r="AA11" s="3">
        <f>Rural_res_calculation!AA25</f>
        <v>0</v>
      </c>
      <c r="AB11" s="3">
        <f>Rural_res_calculation!AB25</f>
        <v>0</v>
      </c>
      <c r="AC11" s="3">
        <f>Rural_res_calculation!AC25</f>
        <v>0</v>
      </c>
      <c r="AD11" s="3">
        <f>Rural_res_calculation!AD25</f>
        <v>0</v>
      </c>
      <c r="AE11" s="3">
        <f>Rural_res_calculation!AE25</f>
        <v>0</v>
      </c>
      <c r="AF11" s="3">
        <f>Rural_res_calculation!AF25</f>
        <v>0</v>
      </c>
      <c r="AG11" s="3">
        <f>Rural_res_calculation!AG25</f>
        <v>0</v>
      </c>
    </row>
  </sheetData>
  <phoneticPr fontId="11" type="noConversion"/>
  <pageMargins left="0.7" right="0.7" top="0.75" bottom="0.75" header="0.3" footer="0.3"/>
  <pageSetup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3"/>
  </sheetPr>
  <dimension ref="A1:AI11"/>
  <sheetViews>
    <sheetView workbookViewId="0">
      <selection activeCell="B2" sqref="B2"/>
    </sheetView>
  </sheetViews>
  <sheetFormatPr defaultRowHeight="16.5"/>
  <cols>
    <col min="1" max="1" width="29.875" customWidth="1"/>
    <col min="2" max="2" width="9.75" bestFit="1" customWidth="1"/>
    <col min="3" max="33" width="9.625" bestFit="1" customWidth="1"/>
  </cols>
  <sheetData>
    <row r="1" spans="1:35">
      <c r="A1" s="1" t="s">
        <v>1</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c r="AI1" s="1"/>
    </row>
    <row r="2" spans="1:35">
      <c r="A2" s="1" t="s">
        <v>2</v>
      </c>
      <c r="B2" s="3">
        <f>Rural_res_calculation!B40</f>
        <v>3254014199999.9985</v>
      </c>
      <c r="C2" s="3">
        <f>Rural_res_calculation!C40</f>
        <v>3421086390655.5303</v>
      </c>
      <c r="D2" s="3">
        <f>Rural_res_calculation!D40</f>
        <v>3582036360245.5752</v>
      </c>
      <c r="E2" s="3">
        <f>Rural_res_calculation!E40</f>
        <v>3603528578407.0488</v>
      </c>
      <c r="F2" s="3">
        <f>Rural_res_calculation!F40</f>
        <v>3625149749877.4912</v>
      </c>
      <c r="G2" s="3">
        <f>Rural_res_calculation!G40</f>
        <v>3646900648376.7563</v>
      </c>
      <c r="H2" s="3">
        <f>Rural_res_calculation!H40</f>
        <v>3668782052267.0171</v>
      </c>
      <c r="I2" s="3">
        <f>Rural_res_calculation!I40</f>
        <v>3690794744580.6191</v>
      </c>
      <c r="J2" s="3">
        <f>Rural_res_calculation!J40</f>
        <v>3712939513048.103</v>
      </c>
      <c r="K2" s="3">
        <f>Rural_res_calculation!K40</f>
        <v>3735217150126.3916</v>
      </c>
      <c r="L2" s="3">
        <f>Rural_res_calculation!L40</f>
        <v>3757628453027.1499</v>
      </c>
      <c r="M2" s="3">
        <f>Rural_res_calculation!M40</f>
        <v>3780174223745.313</v>
      </c>
      <c r="N2" s="3">
        <f>Rural_res_calculation!N40</f>
        <v>3802855269087.7847</v>
      </c>
      <c r="O2" s="3">
        <f>Rural_res_calculation!O40</f>
        <v>3825672400702.3115</v>
      </c>
      <c r="P2" s="3">
        <f>Rural_res_calculation!P40</f>
        <v>3848626435106.5254</v>
      </c>
      <c r="Q2" s="3">
        <f>Rural_res_calculation!Q40</f>
        <v>3871718193717.1646</v>
      </c>
      <c r="R2" s="3">
        <f>Rural_res_calculation!R40</f>
        <v>3894948502879.4678</v>
      </c>
      <c r="S2" s="3">
        <f>Rural_res_calculation!S40</f>
        <v>3918318193896.7446</v>
      </c>
      <c r="T2" s="3">
        <f>Rural_res_calculation!T40</f>
        <v>3941828103060.125</v>
      </c>
      <c r="U2" s="3">
        <f>Rural_res_calculation!U40</f>
        <v>3965479071678.4858</v>
      </c>
      <c r="V2" s="3">
        <f>Rural_res_calculation!V40</f>
        <v>3989271946108.5566</v>
      </c>
      <c r="W2" s="3">
        <f>Rural_res_calculation!W40</f>
        <v>4013207577785.208</v>
      </c>
      <c r="X2" s="3">
        <f>Rural_res_calculation!X40</f>
        <v>4037286823251.9194</v>
      </c>
      <c r="Y2" s="3">
        <f>Rural_res_calculation!Y40</f>
        <v>4061510544191.4312</v>
      </c>
      <c r="Z2" s="3">
        <f>Rural_res_calculation!Z40</f>
        <v>4085879607456.5796</v>
      </c>
      <c r="AA2" s="3">
        <f>Rural_res_calculation!AA40</f>
        <v>4110394885101.3188</v>
      </c>
      <c r="AB2" s="3">
        <f>Rural_res_calculation!AB40</f>
        <v>4135057254411.9268</v>
      </c>
      <c r="AC2" s="3">
        <f>Rural_res_calculation!AC40</f>
        <v>4159867597938.3984</v>
      </c>
      <c r="AD2" s="3">
        <f>Rural_res_calculation!AD40</f>
        <v>4184826803526.0288</v>
      </c>
      <c r="AE2" s="3">
        <f>Rural_res_calculation!AE40</f>
        <v>4209935764347.1851</v>
      </c>
      <c r="AF2" s="3">
        <f>Rural_res_calculation!AF40</f>
        <v>4235195378933.2681</v>
      </c>
      <c r="AG2" s="3">
        <f>Rural_res_calculation!AG40</f>
        <v>4260606551206.8677</v>
      </c>
    </row>
    <row r="3" spans="1:35">
      <c r="A3" s="1" t="s">
        <v>3</v>
      </c>
      <c r="B3" s="3">
        <f>Rural_res_calculation!B41</f>
        <v>0</v>
      </c>
      <c r="C3" s="3">
        <f>Rural_res_calculation!C41</f>
        <v>0</v>
      </c>
      <c r="D3" s="3">
        <f>Rural_res_calculation!D41</f>
        <v>0</v>
      </c>
      <c r="E3" s="3">
        <f>Rural_res_calculation!E41</f>
        <v>0</v>
      </c>
      <c r="F3" s="3">
        <f>Rural_res_calculation!F41</f>
        <v>0</v>
      </c>
      <c r="G3" s="3">
        <f>Rural_res_calculation!G41</f>
        <v>0</v>
      </c>
      <c r="H3" s="3">
        <f>Rural_res_calculation!H41</f>
        <v>0</v>
      </c>
      <c r="I3" s="3">
        <f>Rural_res_calculation!I41</f>
        <v>0</v>
      </c>
      <c r="J3" s="3">
        <f>Rural_res_calculation!J41</f>
        <v>0</v>
      </c>
      <c r="K3" s="3">
        <f>Rural_res_calculation!K41</f>
        <v>0</v>
      </c>
      <c r="L3" s="3">
        <f>Rural_res_calculation!L41</f>
        <v>0</v>
      </c>
      <c r="M3" s="3">
        <f>Rural_res_calculation!M41</f>
        <v>0</v>
      </c>
      <c r="N3" s="3">
        <f>Rural_res_calculation!N41</f>
        <v>0</v>
      </c>
      <c r="O3" s="3">
        <f>Rural_res_calculation!O41</f>
        <v>0</v>
      </c>
      <c r="P3" s="3">
        <f>Rural_res_calculation!P41</f>
        <v>0</v>
      </c>
      <c r="Q3" s="3">
        <f>Rural_res_calculation!Q41</f>
        <v>0</v>
      </c>
      <c r="R3" s="3">
        <f>Rural_res_calculation!R41</f>
        <v>0</v>
      </c>
      <c r="S3" s="3">
        <f>Rural_res_calculation!S41</f>
        <v>0</v>
      </c>
      <c r="T3" s="3">
        <f>Rural_res_calculation!T41</f>
        <v>0</v>
      </c>
      <c r="U3" s="3">
        <f>Rural_res_calculation!U41</f>
        <v>0</v>
      </c>
      <c r="V3" s="3">
        <f>Rural_res_calculation!V41</f>
        <v>0</v>
      </c>
      <c r="W3" s="3">
        <f>Rural_res_calculation!W41</f>
        <v>0</v>
      </c>
      <c r="X3" s="3">
        <f>Rural_res_calculation!X41</f>
        <v>0</v>
      </c>
      <c r="Y3" s="3">
        <f>Rural_res_calculation!Y41</f>
        <v>0</v>
      </c>
      <c r="Z3" s="3">
        <f>Rural_res_calculation!Z41</f>
        <v>0</v>
      </c>
      <c r="AA3" s="3">
        <f>Rural_res_calculation!AA41</f>
        <v>0</v>
      </c>
      <c r="AB3" s="3">
        <f>Rural_res_calculation!AB41</f>
        <v>0</v>
      </c>
      <c r="AC3" s="3">
        <f>Rural_res_calculation!AC41</f>
        <v>0</v>
      </c>
      <c r="AD3" s="3">
        <f>Rural_res_calculation!AD41</f>
        <v>0</v>
      </c>
      <c r="AE3" s="3">
        <f>Rural_res_calculation!AE41</f>
        <v>0</v>
      </c>
      <c r="AF3" s="3">
        <f>Rural_res_calculation!AF41</f>
        <v>0</v>
      </c>
      <c r="AG3" s="3">
        <f>Rural_res_calculation!AG41</f>
        <v>0</v>
      </c>
    </row>
    <row r="4" spans="1:35">
      <c r="A4" s="1" t="s">
        <v>4</v>
      </c>
      <c r="B4" s="3">
        <f>Rural_res_calculation!B42</f>
        <v>0</v>
      </c>
      <c r="C4" s="3">
        <f>Rural_res_calculation!C42</f>
        <v>0</v>
      </c>
      <c r="D4" s="3">
        <f>Rural_res_calculation!D42</f>
        <v>0</v>
      </c>
      <c r="E4" s="3">
        <f>Rural_res_calculation!E42</f>
        <v>0</v>
      </c>
      <c r="F4" s="3">
        <f>Rural_res_calculation!F42</f>
        <v>0</v>
      </c>
      <c r="G4" s="3">
        <f>Rural_res_calculation!G42</f>
        <v>0</v>
      </c>
      <c r="H4" s="3">
        <f>Rural_res_calculation!H42</f>
        <v>0</v>
      </c>
      <c r="I4" s="3">
        <f>Rural_res_calculation!I42</f>
        <v>0</v>
      </c>
      <c r="J4" s="3">
        <f>Rural_res_calculation!J42</f>
        <v>0</v>
      </c>
      <c r="K4" s="3">
        <f>Rural_res_calculation!K42</f>
        <v>0</v>
      </c>
      <c r="L4" s="3">
        <f>Rural_res_calculation!L42</f>
        <v>0</v>
      </c>
      <c r="M4" s="3">
        <f>Rural_res_calculation!M42</f>
        <v>0</v>
      </c>
      <c r="N4" s="3">
        <f>Rural_res_calculation!N42</f>
        <v>0</v>
      </c>
      <c r="O4" s="3">
        <f>Rural_res_calculation!O42</f>
        <v>0</v>
      </c>
      <c r="P4" s="3">
        <f>Rural_res_calculation!P42</f>
        <v>0</v>
      </c>
      <c r="Q4" s="3">
        <f>Rural_res_calculation!Q42</f>
        <v>0</v>
      </c>
      <c r="R4" s="3">
        <f>Rural_res_calculation!R42</f>
        <v>0</v>
      </c>
      <c r="S4" s="3">
        <f>Rural_res_calculation!S42</f>
        <v>0</v>
      </c>
      <c r="T4" s="3">
        <f>Rural_res_calculation!T42</f>
        <v>0</v>
      </c>
      <c r="U4" s="3">
        <f>Rural_res_calculation!U42</f>
        <v>0</v>
      </c>
      <c r="V4" s="3">
        <f>Rural_res_calculation!V42</f>
        <v>0</v>
      </c>
      <c r="W4" s="3">
        <f>Rural_res_calculation!W42</f>
        <v>0</v>
      </c>
      <c r="X4" s="3">
        <f>Rural_res_calculation!X42</f>
        <v>0</v>
      </c>
      <c r="Y4" s="3">
        <f>Rural_res_calculation!Y42</f>
        <v>0</v>
      </c>
      <c r="Z4" s="3">
        <f>Rural_res_calculation!Z42</f>
        <v>0</v>
      </c>
      <c r="AA4" s="3">
        <f>Rural_res_calculation!AA42</f>
        <v>0</v>
      </c>
      <c r="AB4" s="3">
        <f>Rural_res_calculation!AB42</f>
        <v>0</v>
      </c>
      <c r="AC4" s="3">
        <f>Rural_res_calculation!AC42</f>
        <v>0</v>
      </c>
      <c r="AD4" s="3">
        <f>Rural_res_calculation!AD42</f>
        <v>0</v>
      </c>
      <c r="AE4" s="3">
        <f>Rural_res_calculation!AE42</f>
        <v>0</v>
      </c>
      <c r="AF4" s="3">
        <f>Rural_res_calculation!AF42</f>
        <v>0</v>
      </c>
      <c r="AG4" s="3">
        <f>Rural_res_calculation!AG42</f>
        <v>0</v>
      </c>
    </row>
    <row r="5" spans="1:35">
      <c r="A5" s="1" t="s">
        <v>5</v>
      </c>
      <c r="B5" s="3">
        <f>Rural_res_calculation!B43</f>
        <v>0</v>
      </c>
      <c r="C5" s="3">
        <f>Rural_res_calculation!C43</f>
        <v>0</v>
      </c>
      <c r="D5" s="3">
        <f>Rural_res_calculation!D43</f>
        <v>0</v>
      </c>
      <c r="E5" s="3">
        <f>Rural_res_calculation!E43</f>
        <v>0</v>
      </c>
      <c r="F5" s="3">
        <f>Rural_res_calculation!F43</f>
        <v>0</v>
      </c>
      <c r="G5" s="3">
        <f>Rural_res_calculation!G43</f>
        <v>0</v>
      </c>
      <c r="H5" s="3">
        <f>Rural_res_calculation!H43</f>
        <v>0</v>
      </c>
      <c r="I5" s="3">
        <f>Rural_res_calculation!I43</f>
        <v>0</v>
      </c>
      <c r="J5" s="3">
        <f>Rural_res_calculation!J43</f>
        <v>0</v>
      </c>
      <c r="K5" s="3">
        <f>Rural_res_calculation!K43</f>
        <v>0</v>
      </c>
      <c r="L5" s="3">
        <f>Rural_res_calculation!L43</f>
        <v>0</v>
      </c>
      <c r="M5" s="3">
        <f>Rural_res_calculation!M43</f>
        <v>0</v>
      </c>
      <c r="N5" s="3">
        <f>Rural_res_calculation!N43</f>
        <v>0</v>
      </c>
      <c r="O5" s="3">
        <f>Rural_res_calculation!O43</f>
        <v>0</v>
      </c>
      <c r="P5" s="3">
        <f>Rural_res_calculation!P43</f>
        <v>0</v>
      </c>
      <c r="Q5" s="3">
        <f>Rural_res_calculation!Q43</f>
        <v>0</v>
      </c>
      <c r="R5" s="3">
        <f>Rural_res_calculation!R43</f>
        <v>0</v>
      </c>
      <c r="S5" s="3">
        <f>Rural_res_calculation!S43</f>
        <v>0</v>
      </c>
      <c r="T5" s="3">
        <f>Rural_res_calculation!T43</f>
        <v>0</v>
      </c>
      <c r="U5" s="3">
        <f>Rural_res_calculation!U43</f>
        <v>0</v>
      </c>
      <c r="V5" s="3">
        <f>Rural_res_calculation!V43</f>
        <v>0</v>
      </c>
      <c r="W5" s="3">
        <f>Rural_res_calculation!W43</f>
        <v>0</v>
      </c>
      <c r="X5" s="3">
        <f>Rural_res_calculation!X43</f>
        <v>0</v>
      </c>
      <c r="Y5" s="3">
        <f>Rural_res_calculation!Y43</f>
        <v>0</v>
      </c>
      <c r="Z5" s="3">
        <f>Rural_res_calculation!Z43</f>
        <v>0</v>
      </c>
      <c r="AA5" s="3">
        <f>Rural_res_calculation!AA43</f>
        <v>0</v>
      </c>
      <c r="AB5" s="3">
        <f>Rural_res_calculation!AB43</f>
        <v>0</v>
      </c>
      <c r="AC5" s="3">
        <f>Rural_res_calculation!AC43</f>
        <v>0</v>
      </c>
      <c r="AD5" s="3">
        <f>Rural_res_calculation!AD43</f>
        <v>0</v>
      </c>
      <c r="AE5" s="3">
        <f>Rural_res_calculation!AE43</f>
        <v>0</v>
      </c>
      <c r="AF5" s="3">
        <f>Rural_res_calculation!AF43</f>
        <v>0</v>
      </c>
      <c r="AG5" s="3">
        <f>Rural_res_calculation!AG43</f>
        <v>0</v>
      </c>
    </row>
    <row r="6" spans="1:35">
      <c r="A6" s="1" t="s">
        <v>7</v>
      </c>
      <c r="B6" s="3">
        <f>Rural_res_calculation!B44</f>
        <v>0</v>
      </c>
      <c r="C6" s="3">
        <f>Rural_res_calculation!C44</f>
        <v>0</v>
      </c>
      <c r="D6" s="3">
        <f>Rural_res_calculation!D44</f>
        <v>0</v>
      </c>
      <c r="E6" s="3">
        <f>Rural_res_calculation!E44</f>
        <v>0</v>
      </c>
      <c r="F6" s="3">
        <f>Rural_res_calculation!F44</f>
        <v>0</v>
      </c>
      <c r="G6" s="3">
        <f>Rural_res_calculation!G44</f>
        <v>0</v>
      </c>
      <c r="H6" s="3">
        <f>Rural_res_calculation!H44</f>
        <v>0</v>
      </c>
      <c r="I6" s="3">
        <f>Rural_res_calculation!I44</f>
        <v>0</v>
      </c>
      <c r="J6" s="3">
        <f>Rural_res_calculation!J44</f>
        <v>0</v>
      </c>
      <c r="K6" s="3">
        <f>Rural_res_calculation!K44</f>
        <v>0</v>
      </c>
      <c r="L6" s="3">
        <f>Rural_res_calculation!L44</f>
        <v>0</v>
      </c>
      <c r="M6" s="3">
        <f>Rural_res_calculation!M44</f>
        <v>0</v>
      </c>
      <c r="N6" s="3">
        <f>Rural_res_calculation!N44</f>
        <v>0</v>
      </c>
      <c r="O6" s="3">
        <f>Rural_res_calculation!O44</f>
        <v>0</v>
      </c>
      <c r="P6" s="3">
        <f>Rural_res_calculation!P44</f>
        <v>0</v>
      </c>
      <c r="Q6" s="3">
        <f>Rural_res_calculation!Q44</f>
        <v>0</v>
      </c>
      <c r="R6" s="3">
        <f>Rural_res_calculation!R44</f>
        <v>0</v>
      </c>
      <c r="S6" s="3">
        <f>Rural_res_calculation!S44</f>
        <v>0</v>
      </c>
      <c r="T6" s="3">
        <f>Rural_res_calculation!T44</f>
        <v>0</v>
      </c>
      <c r="U6" s="3">
        <f>Rural_res_calculation!U44</f>
        <v>0</v>
      </c>
      <c r="V6" s="3">
        <f>Rural_res_calculation!V44</f>
        <v>0</v>
      </c>
      <c r="W6" s="3">
        <f>Rural_res_calculation!W44</f>
        <v>0</v>
      </c>
      <c r="X6" s="3">
        <f>Rural_res_calculation!X44</f>
        <v>0</v>
      </c>
      <c r="Y6" s="3">
        <f>Rural_res_calculation!Y44</f>
        <v>0</v>
      </c>
      <c r="Z6" s="3">
        <f>Rural_res_calculation!Z44</f>
        <v>0</v>
      </c>
      <c r="AA6" s="3">
        <f>Rural_res_calculation!AA44</f>
        <v>0</v>
      </c>
      <c r="AB6" s="3">
        <f>Rural_res_calculation!AB44</f>
        <v>0</v>
      </c>
      <c r="AC6" s="3">
        <f>Rural_res_calculation!AC44</f>
        <v>0</v>
      </c>
      <c r="AD6" s="3">
        <f>Rural_res_calculation!AD44</f>
        <v>0</v>
      </c>
      <c r="AE6" s="3">
        <f>Rural_res_calculation!AE44</f>
        <v>0</v>
      </c>
      <c r="AF6" s="3">
        <f>Rural_res_calculation!AF44</f>
        <v>0</v>
      </c>
      <c r="AG6" s="3">
        <f>Rural_res_calculation!AG44</f>
        <v>0</v>
      </c>
    </row>
    <row r="7" spans="1:35">
      <c r="A7" s="1" t="s">
        <v>11</v>
      </c>
      <c r="B7" s="3">
        <f>Rural_res_calculation!B45</f>
        <v>0</v>
      </c>
      <c r="C7" s="3">
        <f>Rural_res_calculation!C45</f>
        <v>0</v>
      </c>
      <c r="D7" s="3">
        <f>Rural_res_calculation!D45</f>
        <v>0</v>
      </c>
      <c r="E7" s="3">
        <f>Rural_res_calculation!E45</f>
        <v>0</v>
      </c>
      <c r="F7" s="3">
        <f>Rural_res_calculation!F45</f>
        <v>0</v>
      </c>
      <c r="G7" s="3">
        <f>Rural_res_calculation!G45</f>
        <v>0</v>
      </c>
      <c r="H7" s="3">
        <f>Rural_res_calculation!H45</f>
        <v>0</v>
      </c>
      <c r="I7" s="3">
        <f>Rural_res_calculation!I45</f>
        <v>0</v>
      </c>
      <c r="J7" s="3">
        <f>Rural_res_calculation!J45</f>
        <v>0</v>
      </c>
      <c r="K7" s="3">
        <f>Rural_res_calculation!K45</f>
        <v>0</v>
      </c>
      <c r="L7" s="3">
        <f>Rural_res_calculation!L45</f>
        <v>0</v>
      </c>
      <c r="M7" s="3">
        <f>Rural_res_calculation!M45</f>
        <v>0</v>
      </c>
      <c r="N7" s="3">
        <f>Rural_res_calculation!N45</f>
        <v>0</v>
      </c>
      <c r="O7" s="3">
        <f>Rural_res_calculation!O45</f>
        <v>0</v>
      </c>
      <c r="P7" s="3">
        <f>Rural_res_calculation!P45</f>
        <v>0</v>
      </c>
      <c r="Q7" s="3">
        <f>Rural_res_calculation!Q45</f>
        <v>0</v>
      </c>
      <c r="R7" s="3">
        <f>Rural_res_calculation!R45</f>
        <v>0</v>
      </c>
      <c r="S7" s="3">
        <f>Rural_res_calculation!S45</f>
        <v>0</v>
      </c>
      <c r="T7" s="3">
        <f>Rural_res_calculation!T45</f>
        <v>0</v>
      </c>
      <c r="U7" s="3">
        <f>Rural_res_calculation!U45</f>
        <v>0</v>
      </c>
      <c r="V7" s="3">
        <f>Rural_res_calculation!V45</f>
        <v>0</v>
      </c>
      <c r="W7" s="3">
        <f>Rural_res_calculation!W45</f>
        <v>0</v>
      </c>
      <c r="X7" s="3">
        <f>Rural_res_calculation!X45</f>
        <v>0</v>
      </c>
      <c r="Y7" s="3">
        <f>Rural_res_calculation!Y45</f>
        <v>0</v>
      </c>
      <c r="Z7" s="3">
        <f>Rural_res_calculation!Z45</f>
        <v>0</v>
      </c>
      <c r="AA7" s="3">
        <f>Rural_res_calculation!AA45</f>
        <v>0</v>
      </c>
      <c r="AB7" s="3">
        <f>Rural_res_calculation!AB45</f>
        <v>0</v>
      </c>
      <c r="AC7" s="3">
        <f>Rural_res_calculation!AC45</f>
        <v>0</v>
      </c>
      <c r="AD7" s="3">
        <f>Rural_res_calculation!AD45</f>
        <v>0</v>
      </c>
      <c r="AE7" s="3">
        <f>Rural_res_calculation!AE45</f>
        <v>0</v>
      </c>
      <c r="AF7" s="3">
        <f>Rural_res_calculation!AF45</f>
        <v>0</v>
      </c>
      <c r="AG7" s="3">
        <f>Rural_res_calculation!AG45</f>
        <v>0</v>
      </c>
    </row>
    <row r="8" spans="1:35">
      <c r="A8" s="1" t="s">
        <v>13</v>
      </c>
      <c r="B8" s="3">
        <f>Rural_res_calculation!B46</f>
        <v>0</v>
      </c>
      <c r="C8" s="3">
        <f>Rural_res_calculation!C46</f>
        <v>0</v>
      </c>
      <c r="D8" s="3">
        <f>Rural_res_calculation!D46</f>
        <v>0</v>
      </c>
      <c r="E8" s="3">
        <f>Rural_res_calculation!E46</f>
        <v>0</v>
      </c>
      <c r="F8" s="3">
        <f>Rural_res_calculation!F46</f>
        <v>0</v>
      </c>
      <c r="G8" s="3">
        <f>Rural_res_calculation!G46</f>
        <v>0</v>
      </c>
      <c r="H8" s="3">
        <f>Rural_res_calculation!H46</f>
        <v>0</v>
      </c>
      <c r="I8" s="3">
        <f>Rural_res_calculation!I46</f>
        <v>0</v>
      </c>
      <c r="J8" s="3">
        <f>Rural_res_calculation!J46</f>
        <v>0</v>
      </c>
      <c r="K8" s="3">
        <f>Rural_res_calculation!K46</f>
        <v>0</v>
      </c>
      <c r="L8" s="3">
        <f>Rural_res_calculation!L46</f>
        <v>0</v>
      </c>
      <c r="M8" s="3">
        <f>Rural_res_calculation!M46</f>
        <v>0</v>
      </c>
      <c r="N8" s="3">
        <f>Rural_res_calculation!N46</f>
        <v>0</v>
      </c>
      <c r="O8" s="3">
        <f>Rural_res_calculation!O46</f>
        <v>0</v>
      </c>
      <c r="P8" s="3">
        <f>Rural_res_calculation!P46</f>
        <v>0</v>
      </c>
      <c r="Q8" s="3">
        <f>Rural_res_calculation!Q46</f>
        <v>0</v>
      </c>
      <c r="R8" s="3">
        <f>Rural_res_calculation!R46</f>
        <v>0</v>
      </c>
      <c r="S8" s="3">
        <f>Rural_res_calculation!S46</f>
        <v>0</v>
      </c>
      <c r="T8" s="3">
        <f>Rural_res_calculation!T46</f>
        <v>0</v>
      </c>
      <c r="U8" s="3">
        <f>Rural_res_calculation!U46</f>
        <v>0</v>
      </c>
      <c r="V8" s="3">
        <f>Rural_res_calculation!V46</f>
        <v>0</v>
      </c>
      <c r="W8" s="3">
        <f>Rural_res_calculation!W46</f>
        <v>0</v>
      </c>
      <c r="X8" s="3">
        <f>Rural_res_calculation!X46</f>
        <v>0</v>
      </c>
      <c r="Y8" s="3">
        <f>Rural_res_calculation!Y46</f>
        <v>0</v>
      </c>
      <c r="Z8" s="3">
        <f>Rural_res_calculation!Z46</f>
        <v>0</v>
      </c>
      <c r="AA8" s="3">
        <f>Rural_res_calculation!AA46</f>
        <v>0</v>
      </c>
      <c r="AB8" s="3">
        <f>Rural_res_calculation!AB46</f>
        <v>0</v>
      </c>
      <c r="AC8" s="3">
        <f>Rural_res_calculation!AC46</f>
        <v>0</v>
      </c>
      <c r="AD8" s="3">
        <f>Rural_res_calculation!AD46</f>
        <v>0</v>
      </c>
      <c r="AE8" s="3">
        <f>Rural_res_calculation!AE46</f>
        <v>0</v>
      </c>
      <c r="AF8" s="3">
        <f>Rural_res_calculation!AF46</f>
        <v>0</v>
      </c>
      <c r="AG8" s="3">
        <f>Rural_res_calculation!AG46</f>
        <v>0</v>
      </c>
    </row>
    <row r="9" spans="1:35">
      <c r="A9" s="1" t="s">
        <v>14</v>
      </c>
      <c r="B9" s="3">
        <f>Rural_res_calculation!B47</f>
        <v>0</v>
      </c>
      <c r="C9" s="3">
        <f>Rural_res_calculation!C47</f>
        <v>0</v>
      </c>
      <c r="D9" s="3">
        <f>Rural_res_calculation!D47</f>
        <v>0</v>
      </c>
      <c r="E9" s="3">
        <f>Rural_res_calculation!E47</f>
        <v>0</v>
      </c>
      <c r="F9" s="3">
        <f>Rural_res_calculation!F47</f>
        <v>0</v>
      </c>
      <c r="G9" s="3">
        <f>Rural_res_calculation!G47</f>
        <v>0</v>
      </c>
      <c r="H9" s="3">
        <f>Rural_res_calculation!H47</f>
        <v>0</v>
      </c>
      <c r="I9" s="3">
        <f>Rural_res_calculation!I47</f>
        <v>0</v>
      </c>
      <c r="J9" s="3">
        <f>Rural_res_calculation!J47</f>
        <v>0</v>
      </c>
      <c r="K9" s="3">
        <f>Rural_res_calculation!K47</f>
        <v>0</v>
      </c>
      <c r="L9" s="3">
        <f>Rural_res_calculation!L47</f>
        <v>0</v>
      </c>
      <c r="M9" s="3">
        <f>Rural_res_calculation!M47</f>
        <v>0</v>
      </c>
      <c r="N9" s="3">
        <f>Rural_res_calculation!N47</f>
        <v>0</v>
      </c>
      <c r="O9" s="3">
        <f>Rural_res_calculation!O47</f>
        <v>0</v>
      </c>
      <c r="P9" s="3">
        <f>Rural_res_calculation!P47</f>
        <v>0</v>
      </c>
      <c r="Q9" s="3">
        <f>Rural_res_calculation!Q47</f>
        <v>0</v>
      </c>
      <c r="R9" s="3">
        <f>Rural_res_calculation!R47</f>
        <v>0</v>
      </c>
      <c r="S9" s="3">
        <f>Rural_res_calculation!S47</f>
        <v>0</v>
      </c>
      <c r="T9" s="3">
        <f>Rural_res_calculation!T47</f>
        <v>0</v>
      </c>
      <c r="U9" s="3">
        <f>Rural_res_calculation!U47</f>
        <v>0</v>
      </c>
      <c r="V9" s="3">
        <f>Rural_res_calculation!V47</f>
        <v>0</v>
      </c>
      <c r="W9" s="3">
        <f>Rural_res_calculation!W47</f>
        <v>0</v>
      </c>
      <c r="X9" s="3">
        <f>Rural_res_calculation!X47</f>
        <v>0</v>
      </c>
      <c r="Y9" s="3">
        <f>Rural_res_calculation!Y47</f>
        <v>0</v>
      </c>
      <c r="Z9" s="3">
        <f>Rural_res_calculation!Z47</f>
        <v>0</v>
      </c>
      <c r="AA9" s="3">
        <f>Rural_res_calculation!AA47</f>
        <v>0</v>
      </c>
      <c r="AB9" s="3">
        <f>Rural_res_calculation!AB47</f>
        <v>0</v>
      </c>
      <c r="AC9" s="3">
        <f>Rural_res_calculation!AC47</f>
        <v>0</v>
      </c>
      <c r="AD9" s="3">
        <f>Rural_res_calculation!AD47</f>
        <v>0</v>
      </c>
      <c r="AE9" s="3">
        <f>Rural_res_calculation!AE47</f>
        <v>0</v>
      </c>
      <c r="AF9" s="3">
        <f>Rural_res_calculation!AF47</f>
        <v>0</v>
      </c>
      <c r="AG9" s="3">
        <f>Rural_res_calculation!AG47</f>
        <v>0</v>
      </c>
    </row>
    <row r="10" spans="1:35">
      <c r="A10" s="1" t="s">
        <v>15</v>
      </c>
      <c r="B10" s="3">
        <f>Rural_res_calculation!B48</f>
        <v>0</v>
      </c>
      <c r="C10" s="3">
        <f>Rural_res_calculation!C48</f>
        <v>0</v>
      </c>
      <c r="D10" s="3">
        <f>Rural_res_calculation!D48</f>
        <v>0</v>
      </c>
      <c r="E10" s="3">
        <f>Rural_res_calculation!E48</f>
        <v>0</v>
      </c>
      <c r="F10" s="3">
        <f>Rural_res_calculation!F48</f>
        <v>0</v>
      </c>
      <c r="G10" s="3">
        <f>Rural_res_calculation!G48</f>
        <v>0</v>
      </c>
      <c r="H10" s="3">
        <f>Rural_res_calculation!H48</f>
        <v>0</v>
      </c>
      <c r="I10" s="3">
        <f>Rural_res_calculation!I48</f>
        <v>0</v>
      </c>
      <c r="J10" s="3">
        <f>Rural_res_calculation!J48</f>
        <v>0</v>
      </c>
      <c r="K10" s="3">
        <f>Rural_res_calculation!K48</f>
        <v>0</v>
      </c>
      <c r="L10" s="3">
        <f>Rural_res_calculation!L48</f>
        <v>0</v>
      </c>
      <c r="M10" s="3">
        <f>Rural_res_calculation!M48</f>
        <v>0</v>
      </c>
      <c r="N10" s="3">
        <f>Rural_res_calculation!N48</f>
        <v>0</v>
      </c>
      <c r="O10" s="3">
        <f>Rural_res_calculation!O48</f>
        <v>0</v>
      </c>
      <c r="P10" s="3">
        <f>Rural_res_calculation!P48</f>
        <v>0</v>
      </c>
      <c r="Q10" s="3">
        <f>Rural_res_calculation!Q48</f>
        <v>0</v>
      </c>
      <c r="R10" s="3">
        <f>Rural_res_calculation!R48</f>
        <v>0</v>
      </c>
      <c r="S10" s="3">
        <f>Rural_res_calculation!S48</f>
        <v>0</v>
      </c>
      <c r="T10" s="3">
        <f>Rural_res_calculation!T48</f>
        <v>0</v>
      </c>
      <c r="U10" s="3">
        <f>Rural_res_calculation!U48</f>
        <v>0</v>
      </c>
      <c r="V10" s="3">
        <f>Rural_res_calculation!V48</f>
        <v>0</v>
      </c>
      <c r="W10" s="3">
        <f>Rural_res_calculation!W48</f>
        <v>0</v>
      </c>
      <c r="X10" s="3">
        <f>Rural_res_calculation!X48</f>
        <v>0</v>
      </c>
      <c r="Y10" s="3">
        <f>Rural_res_calculation!Y48</f>
        <v>0</v>
      </c>
      <c r="Z10" s="3">
        <f>Rural_res_calculation!Z48</f>
        <v>0</v>
      </c>
      <c r="AA10" s="3">
        <f>Rural_res_calculation!AA48</f>
        <v>0</v>
      </c>
      <c r="AB10" s="3">
        <f>Rural_res_calculation!AB48</f>
        <v>0</v>
      </c>
      <c r="AC10" s="3">
        <f>Rural_res_calculation!AC48</f>
        <v>0</v>
      </c>
      <c r="AD10" s="3">
        <f>Rural_res_calculation!AD48</f>
        <v>0</v>
      </c>
      <c r="AE10" s="3">
        <f>Rural_res_calculation!AE48</f>
        <v>0</v>
      </c>
      <c r="AF10" s="3">
        <f>Rural_res_calculation!AF48</f>
        <v>0</v>
      </c>
      <c r="AG10" s="3">
        <f>Rural_res_calculation!AG48</f>
        <v>0</v>
      </c>
    </row>
    <row r="11" spans="1:35">
      <c r="A11" s="1" t="s">
        <v>16</v>
      </c>
      <c r="B11" s="3">
        <f>Rural_res_calculation!B49</f>
        <v>0</v>
      </c>
      <c r="C11" s="3">
        <f>Rural_res_calculation!C49</f>
        <v>0</v>
      </c>
      <c r="D11" s="3">
        <f>Rural_res_calculation!D49</f>
        <v>0</v>
      </c>
      <c r="E11" s="3">
        <f>Rural_res_calculation!E49</f>
        <v>0</v>
      </c>
      <c r="F11" s="3">
        <f>Rural_res_calculation!F49</f>
        <v>0</v>
      </c>
      <c r="G11" s="3">
        <f>Rural_res_calculation!G49</f>
        <v>0</v>
      </c>
      <c r="H11" s="3">
        <f>Rural_res_calculation!H49</f>
        <v>0</v>
      </c>
      <c r="I11" s="3">
        <f>Rural_res_calculation!I49</f>
        <v>0</v>
      </c>
      <c r="J11" s="3">
        <f>Rural_res_calculation!J49</f>
        <v>0</v>
      </c>
      <c r="K11" s="3">
        <f>Rural_res_calculation!K49</f>
        <v>0</v>
      </c>
      <c r="L11" s="3">
        <f>Rural_res_calculation!L49</f>
        <v>0</v>
      </c>
      <c r="M11" s="3">
        <f>Rural_res_calculation!M49</f>
        <v>0</v>
      </c>
      <c r="N11" s="3">
        <f>Rural_res_calculation!N49</f>
        <v>0</v>
      </c>
      <c r="O11" s="3">
        <f>Rural_res_calculation!O49</f>
        <v>0</v>
      </c>
      <c r="P11" s="3">
        <f>Rural_res_calculation!P49</f>
        <v>0</v>
      </c>
      <c r="Q11" s="3">
        <f>Rural_res_calculation!Q49</f>
        <v>0</v>
      </c>
      <c r="R11" s="3">
        <f>Rural_res_calculation!R49</f>
        <v>0</v>
      </c>
      <c r="S11" s="3">
        <f>Rural_res_calculation!S49</f>
        <v>0</v>
      </c>
      <c r="T11" s="3">
        <f>Rural_res_calculation!T49</f>
        <v>0</v>
      </c>
      <c r="U11" s="3">
        <f>Rural_res_calculation!U49</f>
        <v>0</v>
      </c>
      <c r="V11" s="3">
        <f>Rural_res_calculation!V49</f>
        <v>0</v>
      </c>
      <c r="W11" s="3">
        <f>Rural_res_calculation!W49</f>
        <v>0</v>
      </c>
      <c r="X11" s="3">
        <f>Rural_res_calculation!X49</f>
        <v>0</v>
      </c>
      <c r="Y11" s="3">
        <f>Rural_res_calculation!Y49</f>
        <v>0</v>
      </c>
      <c r="Z11" s="3">
        <f>Rural_res_calculation!Z49</f>
        <v>0</v>
      </c>
      <c r="AA11" s="3">
        <f>Rural_res_calculation!AA49</f>
        <v>0</v>
      </c>
      <c r="AB11" s="3">
        <f>Rural_res_calculation!AB49</f>
        <v>0</v>
      </c>
      <c r="AC11" s="3">
        <f>Rural_res_calculation!AC49</f>
        <v>0</v>
      </c>
      <c r="AD11" s="3">
        <f>Rural_res_calculation!AD49</f>
        <v>0</v>
      </c>
      <c r="AE11" s="3">
        <f>Rural_res_calculation!AE49</f>
        <v>0</v>
      </c>
      <c r="AF11" s="3">
        <f>Rural_res_calculation!AF49</f>
        <v>0</v>
      </c>
      <c r="AG11" s="3">
        <f>Rural_res_calculation!AG49</f>
        <v>0</v>
      </c>
    </row>
  </sheetData>
  <phoneticPr fontId="11" type="noConversion"/>
  <pageMargins left="0.7" right="0.7" top="0.75" bottom="0.75" header="0.3" footer="0.3"/>
  <pageSetup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I11"/>
  <sheetViews>
    <sheetView workbookViewId="0">
      <selection activeCell="B2" sqref="B2"/>
    </sheetView>
  </sheetViews>
  <sheetFormatPr defaultRowHeight="16.5"/>
  <cols>
    <col min="1" max="1" width="29.875" customWidth="1"/>
    <col min="2" max="2" width="9.625" customWidth="1"/>
    <col min="3" max="31" width="9.625" bestFit="1" customWidth="1"/>
    <col min="32" max="32" width="10.25" bestFit="1" customWidth="1"/>
    <col min="33" max="33" width="9.625" bestFit="1" customWidth="1"/>
  </cols>
  <sheetData>
    <row r="1" spans="1:35">
      <c r="A1" s="1" t="s">
        <v>1</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c r="AI1" s="1"/>
    </row>
    <row r="2" spans="1:35">
      <c r="A2" s="1" t="s">
        <v>2</v>
      </c>
      <c r="B2" s="3">
        <f>Rural_res_calculation!B52</f>
        <v>7461916928346.8291</v>
      </c>
      <c r="C2" s="3">
        <f>Rural_res_calculation!C52</f>
        <v>7845037201057.5332</v>
      </c>
      <c r="D2" s="3">
        <f>Rural_res_calculation!D52</f>
        <v>8214118350949.5244</v>
      </c>
      <c r="E2" s="3">
        <f>Rural_res_calculation!E52</f>
        <v>8263403061055.2217</v>
      </c>
      <c r="F2" s="3">
        <f>Rural_res_calculation!F52</f>
        <v>8312983479421.5527</v>
      </c>
      <c r="G2" s="3">
        <f>Rural_res_calculation!G52</f>
        <v>8362861380298.082</v>
      </c>
      <c r="H2" s="3">
        <f>Rural_res_calculation!H52</f>
        <v>8413038548579.8701</v>
      </c>
      <c r="I2" s="3">
        <f>Rural_res_calculation!I52</f>
        <v>8463516779871.3496</v>
      </c>
      <c r="J2" s="3">
        <f>Rural_res_calculation!J52</f>
        <v>8514297880550.5781</v>
      </c>
      <c r="K2" s="3">
        <f>Rural_res_calculation!K52</f>
        <v>8565383667833.8818</v>
      </c>
      <c r="L2" s="3">
        <f>Rural_res_calculation!L52</f>
        <v>8616775969840.8848</v>
      </c>
      <c r="M2" s="3">
        <f>Rural_res_calculation!M52</f>
        <v>8668476625659.9297</v>
      </c>
      <c r="N2" s="3">
        <f>Rural_res_calculation!N52</f>
        <v>8720487485413.8896</v>
      </c>
      <c r="O2" s="3">
        <f>Rural_res_calculation!O52</f>
        <v>8772810410326.373</v>
      </c>
      <c r="P2" s="3">
        <f>Rural_res_calculation!P52</f>
        <v>8825447272788.332</v>
      </c>
      <c r="Q2" s="3">
        <f>Rural_res_calculation!Q52</f>
        <v>8878399956425.0625</v>
      </c>
      <c r="R2" s="3">
        <f>Rural_res_calculation!R52</f>
        <v>8931670356163.6133</v>
      </c>
      <c r="S2" s="3">
        <f>Rural_res_calculation!S52</f>
        <v>8985260378300.5957</v>
      </c>
      <c r="T2" s="3">
        <f>Rural_res_calculation!T52</f>
        <v>9039171940570.3984</v>
      </c>
      <c r="U2" s="3">
        <f>Rural_res_calculation!U52</f>
        <v>9093406972213.8203</v>
      </c>
      <c r="V2" s="3">
        <f>Rural_res_calculation!V52</f>
        <v>9147967414047.1035</v>
      </c>
      <c r="W2" s="3">
        <f>Rural_res_calculation!W52</f>
        <v>9202855218531.3867</v>
      </c>
      <c r="X2" s="3">
        <f>Rural_res_calculation!X52</f>
        <v>9258072349842.5742</v>
      </c>
      <c r="Y2" s="3">
        <f>Rural_res_calculation!Y52</f>
        <v>9313620783941.6289</v>
      </c>
      <c r="Z2" s="3">
        <f>Rural_res_calculation!Z52</f>
        <v>9369502508645.2793</v>
      </c>
      <c r="AA2" s="3">
        <f>Rural_res_calculation!AA52</f>
        <v>9425719523697.1504</v>
      </c>
      <c r="AB2" s="3">
        <f>Rural_res_calculation!AB52</f>
        <v>9482273840839.334</v>
      </c>
      <c r="AC2" s="3">
        <f>Rural_res_calculation!AC52</f>
        <v>9539167483884.3691</v>
      </c>
      <c r="AD2" s="3">
        <f>Rural_res_calculation!AD52</f>
        <v>9596402488787.6758</v>
      </c>
      <c r="AE2" s="3">
        <f>Rural_res_calculation!AE52</f>
        <v>9653980903720.4023</v>
      </c>
      <c r="AF2" s="3">
        <f>Rural_res_calculation!AF52</f>
        <v>9711904789142.7246</v>
      </c>
      <c r="AG2" s="3">
        <f>Rural_res_calculation!AG52</f>
        <v>9770176217877.5801</v>
      </c>
    </row>
    <row r="3" spans="1:35">
      <c r="A3" s="1" t="s">
        <v>3</v>
      </c>
      <c r="B3" s="3">
        <f>Rural_res_calculation!B53</f>
        <v>0</v>
      </c>
      <c r="C3" s="3">
        <f>Rural_res_calculation!C53</f>
        <v>0</v>
      </c>
      <c r="D3" s="3">
        <f>Rural_res_calculation!D53</f>
        <v>0</v>
      </c>
      <c r="E3" s="3">
        <f>Rural_res_calculation!E53</f>
        <v>0</v>
      </c>
      <c r="F3" s="3">
        <f>Rural_res_calculation!F53</f>
        <v>0</v>
      </c>
      <c r="G3" s="3">
        <f>Rural_res_calculation!G53</f>
        <v>0</v>
      </c>
      <c r="H3" s="3">
        <f>Rural_res_calculation!H53</f>
        <v>0</v>
      </c>
      <c r="I3" s="3">
        <f>Rural_res_calculation!I53</f>
        <v>0</v>
      </c>
      <c r="J3" s="3">
        <f>Rural_res_calculation!J53</f>
        <v>0</v>
      </c>
      <c r="K3" s="3">
        <f>Rural_res_calculation!K53</f>
        <v>0</v>
      </c>
      <c r="L3" s="3">
        <f>Rural_res_calculation!L53</f>
        <v>0</v>
      </c>
      <c r="M3" s="3">
        <f>Rural_res_calculation!M53</f>
        <v>0</v>
      </c>
      <c r="N3" s="3">
        <f>Rural_res_calculation!N53</f>
        <v>0</v>
      </c>
      <c r="O3" s="3">
        <f>Rural_res_calculation!O53</f>
        <v>0</v>
      </c>
      <c r="P3" s="3">
        <f>Rural_res_calculation!P53</f>
        <v>0</v>
      </c>
      <c r="Q3" s="3">
        <f>Rural_res_calculation!Q53</f>
        <v>0</v>
      </c>
      <c r="R3" s="3">
        <f>Rural_res_calculation!R53</f>
        <v>0</v>
      </c>
      <c r="S3" s="3">
        <f>Rural_res_calculation!S53</f>
        <v>0</v>
      </c>
      <c r="T3" s="3">
        <f>Rural_res_calculation!T53</f>
        <v>0</v>
      </c>
      <c r="U3" s="3">
        <f>Rural_res_calculation!U53</f>
        <v>0</v>
      </c>
      <c r="V3" s="3">
        <f>Rural_res_calculation!V53</f>
        <v>0</v>
      </c>
      <c r="W3" s="3">
        <f>Rural_res_calculation!W53</f>
        <v>0</v>
      </c>
      <c r="X3" s="3">
        <f>Rural_res_calculation!X53</f>
        <v>0</v>
      </c>
      <c r="Y3" s="3">
        <f>Rural_res_calculation!Y53</f>
        <v>0</v>
      </c>
      <c r="Z3" s="3">
        <f>Rural_res_calculation!Z53</f>
        <v>0</v>
      </c>
      <c r="AA3" s="3">
        <f>Rural_res_calculation!AA53</f>
        <v>0</v>
      </c>
      <c r="AB3" s="3">
        <f>Rural_res_calculation!AB53</f>
        <v>0</v>
      </c>
      <c r="AC3" s="3">
        <f>Rural_res_calculation!AC53</f>
        <v>0</v>
      </c>
      <c r="AD3" s="3">
        <f>Rural_res_calculation!AD53</f>
        <v>0</v>
      </c>
      <c r="AE3" s="3">
        <f>Rural_res_calculation!AE53</f>
        <v>0</v>
      </c>
      <c r="AF3" s="3">
        <f>Rural_res_calculation!AF53</f>
        <v>0</v>
      </c>
      <c r="AG3" s="3">
        <f>Rural_res_calculation!AG53</f>
        <v>0</v>
      </c>
    </row>
    <row r="4" spans="1:35">
      <c r="A4" s="1" t="s">
        <v>4</v>
      </c>
      <c r="B4" s="3">
        <f>Rural_res_calculation!B54</f>
        <v>5921117385866.8623</v>
      </c>
      <c r="C4" s="3">
        <f>Rural_res_calculation!C54</f>
        <v>6150449476691.8086</v>
      </c>
      <c r="D4" s="3">
        <f>Rural_res_calculation!D54</f>
        <v>6265160666164.708</v>
      </c>
      <c r="E4" s="3">
        <f>Rural_res_calculation!E54</f>
        <v>6215039380835.3906</v>
      </c>
      <c r="F4" s="3">
        <f>Rural_res_calculation!F54</f>
        <v>6165319065788.707</v>
      </c>
      <c r="G4" s="3">
        <f>Rural_res_calculation!G54</f>
        <v>6115996513262.3975</v>
      </c>
      <c r="H4" s="3">
        <f>Rural_res_calculation!H54</f>
        <v>6067068541156.2979</v>
      </c>
      <c r="I4" s="3">
        <f>Rural_res_calculation!I54</f>
        <v>6018531992827.0479</v>
      </c>
      <c r="J4" s="3">
        <f>Rural_res_calculation!J54</f>
        <v>5970383736884.4316</v>
      </c>
      <c r="K4" s="3">
        <f>Rural_res_calculation!K54</f>
        <v>5922620666989.3564</v>
      </c>
      <c r="L4" s="3">
        <f>Rural_res_calculation!L54</f>
        <v>5875239701653.4414</v>
      </c>
      <c r="M4" s="3">
        <f>Rural_res_calculation!M54</f>
        <v>5828237784040.2139</v>
      </c>
      <c r="N4" s="3">
        <f>Rural_res_calculation!N54</f>
        <v>5781611881767.8926</v>
      </c>
      <c r="O4" s="3">
        <f>Rural_res_calculation!O54</f>
        <v>5735358986713.749</v>
      </c>
      <c r="P4" s="3">
        <f>Rural_res_calculation!P54</f>
        <v>5689476114820.0391</v>
      </c>
      <c r="Q4" s="3">
        <f>Rural_res_calculation!Q54</f>
        <v>5643960305901.4785</v>
      </c>
      <c r="R4" s="3">
        <f>Rural_res_calculation!R54</f>
        <v>5598808623454.2666</v>
      </c>
      <c r="S4" s="3">
        <f>Rural_res_calculation!S54</f>
        <v>5554018154466.6328</v>
      </c>
      <c r="T4" s="3">
        <f>Rural_res_calculation!T54</f>
        <v>5509586009230.8994</v>
      </c>
      <c r="U4" s="3">
        <f>Rural_res_calculation!U54</f>
        <v>5465509321157.0518</v>
      </c>
      <c r="V4" s="3">
        <f>Rural_res_calculation!V54</f>
        <v>5421785246587.7949</v>
      </c>
      <c r="W4" s="3">
        <f>Rural_res_calculation!W54</f>
        <v>5378410964615.0928</v>
      </c>
      <c r="X4" s="3">
        <f>Rural_res_calculation!X54</f>
        <v>5335383676898.1719</v>
      </c>
      <c r="Y4" s="3">
        <f>Rural_res_calculation!Y54</f>
        <v>5292700607482.9863</v>
      </c>
      <c r="Z4" s="3">
        <f>Rural_res_calculation!Z54</f>
        <v>5250359002623.1221</v>
      </c>
      <c r="AA4" s="3">
        <f>Rural_res_calculation!AA54</f>
        <v>5208356130602.1367</v>
      </c>
      <c r="AB4" s="3">
        <f>Rural_res_calculation!AB54</f>
        <v>5166689281557.3193</v>
      </c>
      <c r="AC4" s="3">
        <f>Rural_res_calculation!AC54</f>
        <v>5125355767304.8604</v>
      </c>
      <c r="AD4" s="3">
        <f>Rural_res_calculation!AD54</f>
        <v>5084352921166.4219</v>
      </c>
      <c r="AE4" s="3">
        <f>Rural_res_calculation!AE54</f>
        <v>5043678097797.0908</v>
      </c>
      <c r="AF4" s="3">
        <f>Rural_res_calculation!AF54</f>
        <v>5003328673014.7139</v>
      </c>
      <c r="AG4" s="3">
        <f>Rural_res_calculation!AG54</f>
        <v>4963302043630.5957</v>
      </c>
    </row>
    <row r="5" spans="1:35">
      <c r="A5" s="1" t="s">
        <v>5</v>
      </c>
      <c r="B5" s="3">
        <f>Rural_res_calculation!B55</f>
        <v>0</v>
      </c>
      <c r="C5" s="3">
        <f>Rural_res_calculation!C55</f>
        <v>0</v>
      </c>
      <c r="D5" s="3">
        <f>Rural_res_calculation!D55</f>
        <v>0</v>
      </c>
      <c r="E5" s="3">
        <f>Rural_res_calculation!E55</f>
        <v>0</v>
      </c>
      <c r="F5" s="3">
        <f>Rural_res_calculation!F55</f>
        <v>0</v>
      </c>
      <c r="G5" s="3">
        <f>Rural_res_calculation!G55</f>
        <v>0</v>
      </c>
      <c r="H5" s="3">
        <f>Rural_res_calculation!H55</f>
        <v>0</v>
      </c>
      <c r="I5" s="3">
        <f>Rural_res_calculation!I55</f>
        <v>0</v>
      </c>
      <c r="J5" s="3">
        <f>Rural_res_calculation!J55</f>
        <v>0</v>
      </c>
      <c r="K5" s="3">
        <f>Rural_res_calculation!K55</f>
        <v>0</v>
      </c>
      <c r="L5" s="3">
        <f>Rural_res_calculation!L55</f>
        <v>0</v>
      </c>
      <c r="M5" s="3">
        <f>Rural_res_calculation!M55</f>
        <v>0</v>
      </c>
      <c r="N5" s="3">
        <f>Rural_res_calculation!N55</f>
        <v>0</v>
      </c>
      <c r="O5" s="3">
        <f>Rural_res_calculation!O55</f>
        <v>0</v>
      </c>
      <c r="P5" s="3">
        <f>Rural_res_calculation!P55</f>
        <v>0</v>
      </c>
      <c r="Q5" s="3">
        <f>Rural_res_calculation!Q55</f>
        <v>0</v>
      </c>
      <c r="R5" s="3">
        <f>Rural_res_calculation!R55</f>
        <v>0</v>
      </c>
      <c r="S5" s="3">
        <f>Rural_res_calculation!S55</f>
        <v>0</v>
      </c>
      <c r="T5" s="3">
        <f>Rural_res_calculation!T55</f>
        <v>0</v>
      </c>
      <c r="U5" s="3">
        <f>Rural_res_calculation!U55</f>
        <v>0</v>
      </c>
      <c r="V5" s="3">
        <f>Rural_res_calculation!V55</f>
        <v>0</v>
      </c>
      <c r="W5" s="3">
        <f>Rural_res_calculation!W55</f>
        <v>0</v>
      </c>
      <c r="X5" s="3">
        <f>Rural_res_calculation!X55</f>
        <v>0</v>
      </c>
      <c r="Y5" s="3">
        <f>Rural_res_calculation!Y55</f>
        <v>0</v>
      </c>
      <c r="Z5" s="3">
        <f>Rural_res_calculation!Z55</f>
        <v>0</v>
      </c>
      <c r="AA5" s="3">
        <f>Rural_res_calculation!AA55</f>
        <v>0</v>
      </c>
      <c r="AB5" s="3">
        <f>Rural_res_calculation!AB55</f>
        <v>0</v>
      </c>
      <c r="AC5" s="3">
        <f>Rural_res_calculation!AC55</f>
        <v>0</v>
      </c>
      <c r="AD5" s="3">
        <f>Rural_res_calculation!AD55</f>
        <v>0</v>
      </c>
      <c r="AE5" s="3">
        <f>Rural_res_calculation!AE55</f>
        <v>0</v>
      </c>
      <c r="AF5" s="3">
        <f>Rural_res_calculation!AF55</f>
        <v>0</v>
      </c>
      <c r="AG5" s="3">
        <f>Rural_res_calculation!AG55</f>
        <v>0</v>
      </c>
    </row>
    <row r="6" spans="1:35">
      <c r="A6" s="1" t="s">
        <v>7</v>
      </c>
      <c r="B6" s="3">
        <f>Rural_res_calculation!B56</f>
        <v>0</v>
      </c>
      <c r="C6" s="3">
        <f>Rural_res_calculation!C56</f>
        <v>0</v>
      </c>
      <c r="D6" s="3">
        <f>Rural_res_calculation!D56</f>
        <v>0</v>
      </c>
      <c r="E6" s="3">
        <f>Rural_res_calculation!E56</f>
        <v>0</v>
      </c>
      <c r="F6" s="3">
        <f>Rural_res_calculation!F56</f>
        <v>0</v>
      </c>
      <c r="G6" s="3">
        <f>Rural_res_calculation!G56</f>
        <v>0</v>
      </c>
      <c r="H6" s="3">
        <f>Rural_res_calculation!H56</f>
        <v>0</v>
      </c>
      <c r="I6" s="3">
        <f>Rural_res_calculation!I56</f>
        <v>0</v>
      </c>
      <c r="J6" s="3">
        <f>Rural_res_calculation!J56</f>
        <v>0</v>
      </c>
      <c r="K6" s="3">
        <f>Rural_res_calculation!K56</f>
        <v>0</v>
      </c>
      <c r="L6" s="3">
        <f>Rural_res_calculation!L56</f>
        <v>0</v>
      </c>
      <c r="M6" s="3">
        <f>Rural_res_calculation!M56</f>
        <v>0</v>
      </c>
      <c r="N6" s="3">
        <f>Rural_res_calculation!N56</f>
        <v>0</v>
      </c>
      <c r="O6" s="3">
        <f>Rural_res_calculation!O56</f>
        <v>0</v>
      </c>
      <c r="P6" s="3">
        <f>Rural_res_calculation!P56</f>
        <v>0</v>
      </c>
      <c r="Q6" s="3">
        <f>Rural_res_calculation!Q56</f>
        <v>0</v>
      </c>
      <c r="R6" s="3">
        <f>Rural_res_calculation!R56</f>
        <v>0</v>
      </c>
      <c r="S6" s="3">
        <f>Rural_res_calculation!S56</f>
        <v>0</v>
      </c>
      <c r="T6" s="3">
        <f>Rural_res_calculation!T56</f>
        <v>0</v>
      </c>
      <c r="U6" s="3">
        <f>Rural_res_calculation!U56</f>
        <v>0</v>
      </c>
      <c r="V6" s="3">
        <f>Rural_res_calculation!V56</f>
        <v>0</v>
      </c>
      <c r="W6" s="3">
        <f>Rural_res_calculation!W56</f>
        <v>0</v>
      </c>
      <c r="X6" s="3">
        <f>Rural_res_calculation!X56</f>
        <v>0</v>
      </c>
      <c r="Y6" s="3">
        <f>Rural_res_calculation!Y56</f>
        <v>0</v>
      </c>
      <c r="Z6" s="3">
        <f>Rural_res_calculation!Z56</f>
        <v>0</v>
      </c>
      <c r="AA6" s="3">
        <f>Rural_res_calculation!AA56</f>
        <v>0</v>
      </c>
      <c r="AB6" s="3">
        <f>Rural_res_calculation!AB56</f>
        <v>0</v>
      </c>
      <c r="AC6" s="3">
        <f>Rural_res_calculation!AC56</f>
        <v>0</v>
      </c>
      <c r="AD6" s="3">
        <f>Rural_res_calculation!AD56</f>
        <v>0</v>
      </c>
      <c r="AE6" s="3">
        <f>Rural_res_calculation!AE56</f>
        <v>0</v>
      </c>
      <c r="AF6" s="3">
        <f>Rural_res_calculation!AF56</f>
        <v>0</v>
      </c>
      <c r="AG6" s="3">
        <f>Rural_res_calculation!AG56</f>
        <v>0</v>
      </c>
    </row>
    <row r="7" spans="1:35">
      <c r="A7" s="1" t="s">
        <v>11</v>
      </c>
      <c r="B7" s="3">
        <f>Rural_res_calculation!B57</f>
        <v>0</v>
      </c>
      <c r="C7" s="3">
        <f>Rural_res_calculation!C57</f>
        <v>0</v>
      </c>
      <c r="D7" s="3">
        <f>Rural_res_calculation!D57</f>
        <v>0</v>
      </c>
      <c r="E7" s="3">
        <f>Rural_res_calculation!E57</f>
        <v>0</v>
      </c>
      <c r="F7" s="3">
        <f>Rural_res_calculation!F57</f>
        <v>0</v>
      </c>
      <c r="G7" s="3">
        <f>Rural_res_calculation!G57</f>
        <v>0</v>
      </c>
      <c r="H7" s="3">
        <f>Rural_res_calculation!H57</f>
        <v>0</v>
      </c>
      <c r="I7" s="3">
        <f>Rural_res_calculation!I57</f>
        <v>0</v>
      </c>
      <c r="J7" s="3">
        <f>Rural_res_calculation!J57</f>
        <v>0</v>
      </c>
      <c r="K7" s="3">
        <f>Rural_res_calculation!K57</f>
        <v>0</v>
      </c>
      <c r="L7" s="3">
        <f>Rural_res_calculation!L57</f>
        <v>0</v>
      </c>
      <c r="M7" s="3">
        <f>Rural_res_calculation!M57</f>
        <v>0</v>
      </c>
      <c r="N7" s="3">
        <f>Rural_res_calculation!N57</f>
        <v>0</v>
      </c>
      <c r="O7" s="3">
        <f>Rural_res_calculation!O57</f>
        <v>0</v>
      </c>
      <c r="P7" s="3">
        <f>Rural_res_calculation!P57</f>
        <v>0</v>
      </c>
      <c r="Q7" s="3">
        <f>Rural_res_calculation!Q57</f>
        <v>0</v>
      </c>
      <c r="R7" s="3">
        <f>Rural_res_calculation!R57</f>
        <v>0</v>
      </c>
      <c r="S7" s="3">
        <f>Rural_res_calculation!S57</f>
        <v>0</v>
      </c>
      <c r="T7" s="3">
        <f>Rural_res_calculation!T57</f>
        <v>0</v>
      </c>
      <c r="U7" s="3">
        <f>Rural_res_calculation!U57</f>
        <v>0</v>
      </c>
      <c r="V7" s="3">
        <f>Rural_res_calculation!V57</f>
        <v>0</v>
      </c>
      <c r="W7" s="3">
        <f>Rural_res_calculation!W57</f>
        <v>0</v>
      </c>
      <c r="X7" s="3">
        <f>Rural_res_calculation!X57</f>
        <v>0</v>
      </c>
      <c r="Y7" s="3">
        <f>Rural_res_calculation!Y57</f>
        <v>0</v>
      </c>
      <c r="Z7" s="3">
        <f>Rural_res_calculation!Z57</f>
        <v>0</v>
      </c>
      <c r="AA7" s="3">
        <f>Rural_res_calculation!AA57</f>
        <v>0</v>
      </c>
      <c r="AB7" s="3">
        <f>Rural_res_calculation!AB57</f>
        <v>0</v>
      </c>
      <c r="AC7" s="3">
        <f>Rural_res_calculation!AC57</f>
        <v>0</v>
      </c>
      <c r="AD7" s="3">
        <f>Rural_res_calculation!AD57</f>
        <v>0</v>
      </c>
      <c r="AE7" s="3">
        <f>Rural_res_calculation!AE57</f>
        <v>0</v>
      </c>
      <c r="AF7" s="3">
        <f>Rural_res_calculation!AF57</f>
        <v>0</v>
      </c>
      <c r="AG7" s="3">
        <f>Rural_res_calculation!AG57</f>
        <v>0</v>
      </c>
    </row>
    <row r="8" spans="1:35">
      <c r="A8" s="1" t="s">
        <v>13</v>
      </c>
      <c r="B8" s="3">
        <f>Rural_res_calculation!B58</f>
        <v>0</v>
      </c>
      <c r="C8" s="3">
        <f>Rural_res_calculation!C58</f>
        <v>0</v>
      </c>
      <c r="D8" s="3">
        <f>Rural_res_calculation!D58</f>
        <v>0</v>
      </c>
      <c r="E8" s="3">
        <f>Rural_res_calculation!E58</f>
        <v>0</v>
      </c>
      <c r="F8" s="3">
        <f>Rural_res_calculation!F58</f>
        <v>0</v>
      </c>
      <c r="G8" s="3">
        <f>Rural_res_calculation!G58</f>
        <v>0</v>
      </c>
      <c r="H8" s="3">
        <f>Rural_res_calculation!H58</f>
        <v>0</v>
      </c>
      <c r="I8" s="3">
        <f>Rural_res_calculation!I58</f>
        <v>0</v>
      </c>
      <c r="J8" s="3">
        <f>Rural_res_calculation!J58</f>
        <v>0</v>
      </c>
      <c r="K8" s="3">
        <f>Rural_res_calculation!K58</f>
        <v>0</v>
      </c>
      <c r="L8" s="3">
        <f>Rural_res_calculation!L58</f>
        <v>0</v>
      </c>
      <c r="M8" s="3">
        <f>Rural_res_calculation!M58</f>
        <v>0</v>
      </c>
      <c r="N8" s="3">
        <f>Rural_res_calculation!N58</f>
        <v>0</v>
      </c>
      <c r="O8" s="3">
        <f>Rural_res_calculation!O58</f>
        <v>0</v>
      </c>
      <c r="P8" s="3">
        <f>Rural_res_calculation!P58</f>
        <v>0</v>
      </c>
      <c r="Q8" s="3">
        <f>Rural_res_calculation!Q58</f>
        <v>0</v>
      </c>
      <c r="R8" s="3">
        <f>Rural_res_calculation!R58</f>
        <v>0</v>
      </c>
      <c r="S8" s="3">
        <f>Rural_res_calculation!S58</f>
        <v>0</v>
      </c>
      <c r="T8" s="3">
        <f>Rural_res_calculation!T58</f>
        <v>0</v>
      </c>
      <c r="U8" s="3">
        <f>Rural_res_calculation!U58</f>
        <v>0</v>
      </c>
      <c r="V8" s="3">
        <f>Rural_res_calculation!V58</f>
        <v>0</v>
      </c>
      <c r="W8" s="3">
        <f>Rural_res_calculation!W58</f>
        <v>0</v>
      </c>
      <c r="X8" s="3">
        <f>Rural_res_calculation!X58</f>
        <v>0</v>
      </c>
      <c r="Y8" s="3">
        <f>Rural_res_calculation!Y58</f>
        <v>0</v>
      </c>
      <c r="Z8" s="3">
        <f>Rural_res_calculation!Z58</f>
        <v>0</v>
      </c>
      <c r="AA8" s="3">
        <f>Rural_res_calculation!AA58</f>
        <v>0</v>
      </c>
      <c r="AB8" s="3">
        <f>Rural_res_calculation!AB58</f>
        <v>0</v>
      </c>
      <c r="AC8" s="3">
        <f>Rural_res_calculation!AC58</f>
        <v>0</v>
      </c>
      <c r="AD8" s="3">
        <f>Rural_res_calculation!AD58</f>
        <v>0</v>
      </c>
      <c r="AE8" s="3">
        <f>Rural_res_calculation!AE58</f>
        <v>0</v>
      </c>
      <c r="AF8" s="3">
        <f>Rural_res_calculation!AF58</f>
        <v>0</v>
      </c>
      <c r="AG8" s="3">
        <f>Rural_res_calculation!AG58</f>
        <v>0</v>
      </c>
    </row>
    <row r="9" spans="1:35">
      <c r="A9" s="1" t="s">
        <v>14</v>
      </c>
      <c r="B9" s="3">
        <f>Rural_res_calculation!B59</f>
        <v>0</v>
      </c>
      <c r="C9" s="3">
        <f>Rural_res_calculation!C59</f>
        <v>0</v>
      </c>
      <c r="D9" s="3">
        <f>Rural_res_calculation!D59</f>
        <v>0</v>
      </c>
      <c r="E9" s="3">
        <f>Rural_res_calculation!E59</f>
        <v>0</v>
      </c>
      <c r="F9" s="3">
        <f>Rural_res_calculation!F59</f>
        <v>0</v>
      </c>
      <c r="G9" s="3">
        <f>Rural_res_calculation!G59</f>
        <v>0</v>
      </c>
      <c r="H9" s="3">
        <f>Rural_res_calculation!H59</f>
        <v>0</v>
      </c>
      <c r="I9" s="3">
        <f>Rural_res_calculation!I59</f>
        <v>0</v>
      </c>
      <c r="J9" s="3">
        <f>Rural_res_calculation!J59</f>
        <v>0</v>
      </c>
      <c r="K9" s="3">
        <f>Rural_res_calculation!K59</f>
        <v>0</v>
      </c>
      <c r="L9" s="3">
        <f>Rural_res_calculation!L59</f>
        <v>0</v>
      </c>
      <c r="M9" s="3">
        <f>Rural_res_calculation!M59</f>
        <v>0</v>
      </c>
      <c r="N9" s="3">
        <f>Rural_res_calculation!N59</f>
        <v>0</v>
      </c>
      <c r="O9" s="3">
        <f>Rural_res_calculation!O59</f>
        <v>0</v>
      </c>
      <c r="P9" s="3">
        <f>Rural_res_calculation!P59</f>
        <v>0</v>
      </c>
      <c r="Q9" s="3">
        <f>Rural_res_calculation!Q59</f>
        <v>0</v>
      </c>
      <c r="R9" s="3">
        <f>Rural_res_calculation!R59</f>
        <v>0</v>
      </c>
      <c r="S9" s="3">
        <f>Rural_res_calculation!S59</f>
        <v>0</v>
      </c>
      <c r="T9" s="3">
        <f>Rural_res_calculation!T59</f>
        <v>0</v>
      </c>
      <c r="U9" s="3">
        <f>Rural_res_calculation!U59</f>
        <v>0</v>
      </c>
      <c r="V9" s="3">
        <f>Rural_res_calculation!V59</f>
        <v>0</v>
      </c>
      <c r="W9" s="3">
        <f>Rural_res_calculation!W59</f>
        <v>0</v>
      </c>
      <c r="X9" s="3">
        <f>Rural_res_calculation!X59</f>
        <v>0</v>
      </c>
      <c r="Y9" s="3">
        <f>Rural_res_calculation!Y59</f>
        <v>0</v>
      </c>
      <c r="Z9" s="3">
        <f>Rural_res_calculation!Z59</f>
        <v>0</v>
      </c>
      <c r="AA9" s="3">
        <f>Rural_res_calculation!AA59</f>
        <v>0</v>
      </c>
      <c r="AB9" s="3">
        <f>Rural_res_calculation!AB59</f>
        <v>0</v>
      </c>
      <c r="AC9" s="3">
        <f>Rural_res_calculation!AC59</f>
        <v>0</v>
      </c>
      <c r="AD9" s="3">
        <f>Rural_res_calculation!AD59</f>
        <v>0</v>
      </c>
      <c r="AE9" s="3">
        <f>Rural_res_calculation!AE59</f>
        <v>0</v>
      </c>
      <c r="AF9" s="3">
        <f>Rural_res_calculation!AF59</f>
        <v>0</v>
      </c>
      <c r="AG9" s="3">
        <f>Rural_res_calculation!AG59</f>
        <v>0</v>
      </c>
    </row>
    <row r="10" spans="1:35">
      <c r="A10" s="1" t="s">
        <v>15</v>
      </c>
      <c r="B10" s="3">
        <f>Rural_res_calculation!B60</f>
        <v>328165409726.70074</v>
      </c>
      <c r="C10" s="3">
        <f>Rural_res_calculation!C60</f>
        <v>319838892987.50385</v>
      </c>
      <c r="D10" s="3">
        <f>Rural_res_calculation!D60</f>
        <v>319671142650.26727</v>
      </c>
      <c r="E10" s="3">
        <f>Rural_res_calculation!E60</f>
        <v>306244954658.95605</v>
      </c>
      <c r="F10" s="3">
        <f>Rural_res_calculation!F60</f>
        <v>293382666563.27991</v>
      </c>
      <c r="G10" s="3">
        <f>Rural_res_calculation!G60</f>
        <v>281060594567.62213</v>
      </c>
      <c r="H10" s="3">
        <f>Rural_res_calculation!H60</f>
        <v>269256049595.78198</v>
      </c>
      <c r="I10" s="3">
        <f>Rural_res_calculation!I60</f>
        <v>257947295512.75912</v>
      </c>
      <c r="J10" s="3">
        <f>Rural_res_calculation!J60</f>
        <v>247113509101.22324</v>
      </c>
      <c r="K10" s="3">
        <f>Rural_res_calculation!K60</f>
        <v>236734741718.97186</v>
      </c>
      <c r="L10" s="3">
        <f>Rural_res_calculation!L60</f>
        <v>226791882566.77502</v>
      </c>
      <c r="M10" s="3">
        <f>Rural_res_calculation!M60</f>
        <v>217266623498.97046</v>
      </c>
      <c r="N10" s="3">
        <f>Rural_res_calculation!N60</f>
        <v>208141425312.0137</v>
      </c>
      <c r="O10" s="3">
        <f>Rural_res_calculation!O60</f>
        <v>199399485448.90912</v>
      </c>
      <c r="P10" s="3">
        <f>Rural_res_calculation!P60</f>
        <v>191024707060.05493</v>
      </c>
      <c r="Q10" s="3">
        <f>Rural_res_calculation!Q60</f>
        <v>183001669363.53262</v>
      </c>
      <c r="R10" s="3">
        <f>Rural_res_calculation!R60</f>
        <v>175315599250.26425</v>
      </c>
      <c r="S10" s="3">
        <f>Rural_res_calculation!S60</f>
        <v>167952344081.75314</v>
      </c>
      <c r="T10" s="3">
        <f>Rural_res_calculation!T60</f>
        <v>160898345630.31952</v>
      </c>
      <c r="U10" s="3">
        <f>Rural_res_calculation!U60</f>
        <v>154140615113.8461</v>
      </c>
      <c r="V10" s="3">
        <f>Rural_res_calculation!V60</f>
        <v>147666709279.06454</v>
      </c>
      <c r="W10" s="3">
        <f>Rural_res_calculation!W60</f>
        <v>141464707489.34384</v>
      </c>
      <c r="X10" s="3">
        <f>Rural_res_calculation!X60</f>
        <v>135523189774.7914</v>
      </c>
      <c r="Y10" s="3">
        <f>Rural_res_calculation!Y60</f>
        <v>129831215804.25015</v>
      </c>
      <c r="Z10" s="3">
        <f>Rural_res_calculation!Z60</f>
        <v>124378304740.47163</v>
      </c>
      <c r="AA10" s="3">
        <f>Rural_res_calculation!AA60</f>
        <v>119154415941.37183</v>
      </c>
      <c r="AB10" s="3">
        <f>Rural_res_calculation!AB60</f>
        <v>114149930471.8342</v>
      </c>
      <c r="AC10" s="3">
        <f>Rural_res_calculation!AC60</f>
        <v>109355633392.01715</v>
      </c>
      <c r="AD10" s="3">
        <f>Rural_res_calculation!AD60</f>
        <v>104762696789.55243</v>
      </c>
      <c r="AE10" s="3">
        <f>Rural_res_calculation!AE60</f>
        <v>100362663524.39122</v>
      </c>
      <c r="AF10" s="3">
        <f>Rural_res_calculation!AF60</f>
        <v>96147431656.366791</v>
      </c>
      <c r="AG10" s="3">
        <f>Rural_res_calculation!AG60</f>
        <v>92109239526.799377</v>
      </c>
    </row>
    <row r="11" spans="1:35">
      <c r="A11" s="1" t="s">
        <v>16</v>
      </c>
      <c r="B11" s="3">
        <f>Rural_res_calculation!B61</f>
        <v>0</v>
      </c>
      <c r="C11" s="3">
        <f>Rural_res_calculation!C61</f>
        <v>0</v>
      </c>
      <c r="D11" s="3">
        <f>Rural_res_calculation!D61</f>
        <v>0</v>
      </c>
      <c r="E11" s="3">
        <f>Rural_res_calculation!E61</f>
        <v>0</v>
      </c>
      <c r="F11" s="3">
        <f>Rural_res_calculation!F61</f>
        <v>0</v>
      </c>
      <c r="G11" s="3">
        <f>Rural_res_calculation!G61</f>
        <v>0</v>
      </c>
      <c r="H11" s="3">
        <f>Rural_res_calculation!H61</f>
        <v>0</v>
      </c>
      <c r="I11" s="3">
        <f>Rural_res_calculation!I61</f>
        <v>0</v>
      </c>
      <c r="J11" s="3">
        <f>Rural_res_calculation!J61</f>
        <v>0</v>
      </c>
      <c r="K11" s="3">
        <f>Rural_res_calculation!K61</f>
        <v>0</v>
      </c>
      <c r="L11" s="3">
        <f>Rural_res_calculation!L61</f>
        <v>0</v>
      </c>
      <c r="M11" s="3">
        <f>Rural_res_calculation!M61</f>
        <v>0</v>
      </c>
      <c r="N11" s="3">
        <f>Rural_res_calculation!N61</f>
        <v>0</v>
      </c>
      <c r="O11" s="3">
        <f>Rural_res_calculation!O61</f>
        <v>0</v>
      </c>
      <c r="P11" s="3">
        <f>Rural_res_calculation!P61</f>
        <v>0</v>
      </c>
      <c r="Q11" s="3">
        <f>Rural_res_calculation!Q61</f>
        <v>0</v>
      </c>
      <c r="R11" s="3">
        <f>Rural_res_calculation!R61</f>
        <v>0</v>
      </c>
      <c r="S11" s="3">
        <f>Rural_res_calculation!S61</f>
        <v>0</v>
      </c>
      <c r="T11" s="3">
        <f>Rural_res_calculation!T61</f>
        <v>0</v>
      </c>
      <c r="U11" s="3">
        <f>Rural_res_calculation!U61</f>
        <v>0</v>
      </c>
      <c r="V11" s="3">
        <f>Rural_res_calculation!V61</f>
        <v>0</v>
      </c>
      <c r="W11" s="3">
        <f>Rural_res_calculation!W61</f>
        <v>0</v>
      </c>
      <c r="X11" s="3">
        <f>Rural_res_calculation!X61</f>
        <v>0</v>
      </c>
      <c r="Y11" s="3">
        <f>Rural_res_calculation!Y61</f>
        <v>0</v>
      </c>
      <c r="Z11" s="3">
        <f>Rural_res_calculation!Z61</f>
        <v>0</v>
      </c>
      <c r="AA11" s="3">
        <f>Rural_res_calculation!AA61</f>
        <v>0</v>
      </c>
      <c r="AB11" s="3">
        <f>Rural_res_calculation!AB61</f>
        <v>0</v>
      </c>
      <c r="AC11" s="3">
        <f>Rural_res_calculation!AC61</f>
        <v>0</v>
      </c>
      <c r="AD11" s="3">
        <f>Rural_res_calculation!AD61</f>
        <v>0</v>
      </c>
      <c r="AE11" s="3">
        <f>Rural_res_calculation!AE61</f>
        <v>0</v>
      </c>
      <c r="AF11" s="3">
        <f>Rural_res_calculation!AF61</f>
        <v>0</v>
      </c>
      <c r="AG11" s="3">
        <f>Rural_res_calculation!AG61</f>
        <v>0</v>
      </c>
    </row>
  </sheetData>
  <phoneticPr fontId="11" type="noConversion"/>
  <pageMargins left="0.7" right="0.7" top="0.75" bottom="0.75" header="0.3" footer="0.3"/>
  <pageSetup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I11"/>
  <sheetViews>
    <sheetView topLeftCell="T1" workbookViewId="0">
      <selection activeCell="AF2" sqref="AF2"/>
    </sheetView>
  </sheetViews>
  <sheetFormatPr defaultRowHeight="16.5"/>
  <cols>
    <col min="1" max="1" width="29.875" customWidth="1"/>
    <col min="2" max="2" width="9.75" bestFit="1" customWidth="1"/>
    <col min="3" max="33" width="9.625" bestFit="1" customWidth="1"/>
  </cols>
  <sheetData>
    <row r="1" spans="1:35">
      <c r="A1" s="1" t="s">
        <v>1</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c r="AI1" s="1"/>
    </row>
    <row r="2" spans="1:35">
      <c r="A2" s="1" t="s">
        <v>2</v>
      </c>
      <c r="B2" s="3">
        <f>Rural_res_calculation!B64</f>
        <v>0</v>
      </c>
      <c r="C2" s="3">
        <f>Rural_res_calculation!C64</f>
        <v>0</v>
      </c>
      <c r="D2" s="3">
        <f>Rural_res_calculation!D64</f>
        <v>0</v>
      </c>
      <c r="E2" s="3">
        <f>Rural_res_calculation!E64</f>
        <v>0</v>
      </c>
      <c r="F2" s="3">
        <f>Rural_res_calculation!F64</f>
        <v>0</v>
      </c>
      <c r="G2" s="3">
        <f>Rural_res_calculation!G64</f>
        <v>0</v>
      </c>
      <c r="H2" s="3">
        <f>Rural_res_calculation!H64</f>
        <v>0</v>
      </c>
      <c r="I2" s="3">
        <f>Rural_res_calculation!I64</f>
        <v>0</v>
      </c>
      <c r="J2" s="3">
        <f>Rural_res_calculation!J64</f>
        <v>0</v>
      </c>
      <c r="K2" s="3">
        <f>Rural_res_calculation!K64</f>
        <v>0</v>
      </c>
      <c r="L2" s="3">
        <f>Rural_res_calculation!L64</f>
        <v>0</v>
      </c>
      <c r="M2" s="3">
        <f>Rural_res_calculation!M64</f>
        <v>0</v>
      </c>
      <c r="N2" s="3">
        <f>Rural_res_calculation!N64</f>
        <v>0</v>
      </c>
      <c r="O2" s="3">
        <f>Rural_res_calculation!O64</f>
        <v>0</v>
      </c>
      <c r="P2" s="3">
        <f>Rural_res_calculation!P64</f>
        <v>0</v>
      </c>
      <c r="Q2" s="3">
        <f>Rural_res_calculation!Q64</f>
        <v>0</v>
      </c>
      <c r="R2" s="3">
        <f>Rural_res_calculation!R64</f>
        <v>0</v>
      </c>
      <c r="S2" s="3">
        <f>Rural_res_calculation!S64</f>
        <v>0</v>
      </c>
      <c r="T2" s="3">
        <f>Rural_res_calculation!T64</f>
        <v>0</v>
      </c>
      <c r="U2" s="3">
        <f>Rural_res_calculation!U64</f>
        <v>0</v>
      </c>
      <c r="V2" s="3">
        <f>Rural_res_calculation!V64</f>
        <v>0</v>
      </c>
      <c r="W2" s="3">
        <f>Rural_res_calculation!W64</f>
        <v>0</v>
      </c>
      <c r="X2" s="3">
        <f>Rural_res_calculation!X64</f>
        <v>0</v>
      </c>
      <c r="Y2" s="3">
        <f>Rural_res_calculation!Y64</f>
        <v>0</v>
      </c>
      <c r="Z2" s="3">
        <f>Rural_res_calculation!Z64</f>
        <v>0</v>
      </c>
      <c r="AA2" s="3">
        <f>Rural_res_calculation!AA64</f>
        <v>0</v>
      </c>
      <c r="AB2" s="3">
        <f>Rural_res_calculation!AB64</f>
        <v>0</v>
      </c>
      <c r="AC2" s="3">
        <f>Rural_res_calculation!AC64</f>
        <v>0</v>
      </c>
      <c r="AD2" s="3">
        <f>Rural_res_calculation!AD64</f>
        <v>0</v>
      </c>
      <c r="AE2" s="3">
        <f>Rural_res_calculation!AE64</f>
        <v>0</v>
      </c>
      <c r="AF2" s="3">
        <f>Rural_res_calculation!AF64</f>
        <v>0</v>
      </c>
      <c r="AG2" s="3">
        <f>Rural_res_calculation!AG64</f>
        <v>0</v>
      </c>
    </row>
    <row r="3" spans="1:35">
      <c r="A3" s="1" t="s">
        <v>3</v>
      </c>
      <c r="B3" s="3">
        <f>Rural_res_calculation!B65</f>
        <v>0</v>
      </c>
      <c r="C3" s="3">
        <f>Rural_res_calculation!C65</f>
        <v>0</v>
      </c>
      <c r="D3" s="3">
        <f>Rural_res_calculation!D65</f>
        <v>0</v>
      </c>
      <c r="E3" s="3">
        <f>Rural_res_calculation!E65</f>
        <v>0</v>
      </c>
      <c r="F3" s="3">
        <f>Rural_res_calculation!F65</f>
        <v>0</v>
      </c>
      <c r="G3" s="3">
        <f>Rural_res_calculation!G65</f>
        <v>0</v>
      </c>
      <c r="H3" s="3">
        <f>Rural_res_calculation!H65</f>
        <v>0</v>
      </c>
      <c r="I3" s="3">
        <f>Rural_res_calculation!I65</f>
        <v>0</v>
      </c>
      <c r="J3" s="3">
        <f>Rural_res_calculation!J65</f>
        <v>0</v>
      </c>
      <c r="K3" s="3">
        <f>Rural_res_calculation!K65</f>
        <v>0</v>
      </c>
      <c r="L3" s="3">
        <f>Rural_res_calculation!L65</f>
        <v>0</v>
      </c>
      <c r="M3" s="3">
        <f>Rural_res_calculation!M65</f>
        <v>0</v>
      </c>
      <c r="N3" s="3">
        <f>Rural_res_calculation!N65</f>
        <v>0</v>
      </c>
      <c r="O3" s="3">
        <f>Rural_res_calculation!O65</f>
        <v>0</v>
      </c>
      <c r="P3" s="3">
        <f>Rural_res_calculation!P65</f>
        <v>0</v>
      </c>
      <c r="Q3" s="3">
        <f>Rural_res_calculation!Q65</f>
        <v>0</v>
      </c>
      <c r="R3" s="3">
        <f>Rural_res_calculation!R65</f>
        <v>0</v>
      </c>
      <c r="S3" s="3">
        <f>Rural_res_calculation!S65</f>
        <v>0</v>
      </c>
      <c r="T3" s="3">
        <f>Rural_res_calculation!T65</f>
        <v>0</v>
      </c>
      <c r="U3" s="3">
        <f>Rural_res_calculation!U65</f>
        <v>0</v>
      </c>
      <c r="V3" s="3">
        <f>Rural_res_calculation!V65</f>
        <v>0</v>
      </c>
      <c r="W3" s="3">
        <f>Rural_res_calculation!W65</f>
        <v>0</v>
      </c>
      <c r="X3" s="3">
        <f>Rural_res_calculation!X65</f>
        <v>0</v>
      </c>
      <c r="Y3" s="3">
        <f>Rural_res_calculation!Y65</f>
        <v>0</v>
      </c>
      <c r="Z3" s="3">
        <f>Rural_res_calculation!Z65</f>
        <v>0</v>
      </c>
      <c r="AA3" s="3">
        <f>Rural_res_calculation!AA65</f>
        <v>0</v>
      </c>
      <c r="AB3" s="3">
        <f>Rural_res_calculation!AB65</f>
        <v>0</v>
      </c>
      <c r="AC3" s="3">
        <f>Rural_res_calculation!AC65</f>
        <v>0</v>
      </c>
      <c r="AD3" s="3">
        <f>Rural_res_calculation!AD65</f>
        <v>0</v>
      </c>
      <c r="AE3" s="3">
        <f>Rural_res_calculation!AE65</f>
        <v>0</v>
      </c>
      <c r="AF3" s="3">
        <f>Rural_res_calculation!AF65</f>
        <v>0</v>
      </c>
      <c r="AG3" s="3">
        <f>Rural_res_calculation!AG65</f>
        <v>0</v>
      </c>
    </row>
    <row r="4" spans="1:35">
      <c r="A4" s="1" t="s">
        <v>4</v>
      </c>
      <c r="B4" s="3">
        <f>Rural_res_calculation!B66</f>
        <v>0</v>
      </c>
      <c r="C4" s="3">
        <f>Rural_res_calculation!C66</f>
        <v>0</v>
      </c>
      <c r="D4" s="3">
        <f>Rural_res_calculation!D66</f>
        <v>0</v>
      </c>
      <c r="E4" s="3">
        <f>Rural_res_calculation!E66</f>
        <v>0</v>
      </c>
      <c r="F4" s="3">
        <f>Rural_res_calculation!F66</f>
        <v>0</v>
      </c>
      <c r="G4" s="3">
        <f>Rural_res_calculation!G66</f>
        <v>0</v>
      </c>
      <c r="H4" s="3">
        <f>Rural_res_calculation!H66</f>
        <v>0</v>
      </c>
      <c r="I4" s="3">
        <f>Rural_res_calculation!I66</f>
        <v>0</v>
      </c>
      <c r="J4" s="3">
        <f>Rural_res_calculation!J66</f>
        <v>0</v>
      </c>
      <c r="K4" s="3">
        <f>Rural_res_calculation!K66</f>
        <v>0</v>
      </c>
      <c r="L4" s="3">
        <f>Rural_res_calculation!L66</f>
        <v>0</v>
      </c>
      <c r="M4" s="3">
        <f>Rural_res_calculation!M66</f>
        <v>0</v>
      </c>
      <c r="N4" s="3">
        <f>Rural_res_calculation!N66</f>
        <v>0</v>
      </c>
      <c r="O4" s="3">
        <f>Rural_res_calculation!O66</f>
        <v>0</v>
      </c>
      <c r="P4" s="3">
        <f>Rural_res_calculation!P66</f>
        <v>0</v>
      </c>
      <c r="Q4" s="3">
        <f>Rural_res_calculation!Q66</f>
        <v>0</v>
      </c>
      <c r="R4" s="3">
        <f>Rural_res_calculation!R66</f>
        <v>0</v>
      </c>
      <c r="S4" s="3">
        <f>Rural_res_calculation!S66</f>
        <v>0</v>
      </c>
      <c r="T4" s="3">
        <f>Rural_res_calculation!T66</f>
        <v>0</v>
      </c>
      <c r="U4" s="3">
        <f>Rural_res_calculation!U66</f>
        <v>0</v>
      </c>
      <c r="V4" s="3">
        <f>Rural_res_calculation!V66</f>
        <v>0</v>
      </c>
      <c r="W4" s="3">
        <f>Rural_res_calculation!W66</f>
        <v>0</v>
      </c>
      <c r="X4" s="3">
        <f>Rural_res_calculation!X66</f>
        <v>0</v>
      </c>
      <c r="Y4" s="3">
        <f>Rural_res_calculation!Y66</f>
        <v>0</v>
      </c>
      <c r="Z4" s="3">
        <f>Rural_res_calculation!Z66</f>
        <v>0</v>
      </c>
      <c r="AA4" s="3">
        <f>Rural_res_calculation!AA66</f>
        <v>0</v>
      </c>
      <c r="AB4" s="3">
        <f>Rural_res_calculation!AB66</f>
        <v>0</v>
      </c>
      <c r="AC4" s="3">
        <f>Rural_res_calculation!AC66</f>
        <v>0</v>
      </c>
      <c r="AD4" s="3">
        <f>Rural_res_calculation!AD66</f>
        <v>0</v>
      </c>
      <c r="AE4" s="3">
        <f>Rural_res_calculation!AE66</f>
        <v>0</v>
      </c>
      <c r="AF4" s="3">
        <f>Rural_res_calculation!AF66</f>
        <v>0</v>
      </c>
      <c r="AG4" s="3">
        <f>Rural_res_calculation!AG66</f>
        <v>0</v>
      </c>
    </row>
    <row r="5" spans="1:35">
      <c r="A5" s="1" t="s">
        <v>5</v>
      </c>
      <c r="B5" s="3">
        <f>Rural_res_calculation!B67</f>
        <v>0</v>
      </c>
      <c r="C5" s="3">
        <f>Rural_res_calculation!C67</f>
        <v>0</v>
      </c>
      <c r="D5" s="3">
        <f>Rural_res_calculation!D67</f>
        <v>0</v>
      </c>
      <c r="E5" s="3">
        <f>Rural_res_calculation!E67</f>
        <v>0</v>
      </c>
      <c r="F5" s="3">
        <f>Rural_res_calculation!F67</f>
        <v>0</v>
      </c>
      <c r="G5" s="3">
        <f>Rural_res_calculation!G67</f>
        <v>0</v>
      </c>
      <c r="H5" s="3">
        <f>Rural_res_calculation!H67</f>
        <v>0</v>
      </c>
      <c r="I5" s="3">
        <f>Rural_res_calculation!I67</f>
        <v>0</v>
      </c>
      <c r="J5" s="3">
        <f>Rural_res_calculation!J67</f>
        <v>0</v>
      </c>
      <c r="K5" s="3">
        <f>Rural_res_calculation!K67</f>
        <v>0</v>
      </c>
      <c r="L5" s="3">
        <f>Rural_res_calculation!L67</f>
        <v>0</v>
      </c>
      <c r="M5" s="3">
        <f>Rural_res_calculation!M67</f>
        <v>0</v>
      </c>
      <c r="N5" s="3">
        <f>Rural_res_calculation!N67</f>
        <v>0</v>
      </c>
      <c r="O5" s="3">
        <f>Rural_res_calculation!O67</f>
        <v>0</v>
      </c>
      <c r="P5" s="3">
        <f>Rural_res_calculation!P67</f>
        <v>0</v>
      </c>
      <c r="Q5" s="3">
        <f>Rural_res_calculation!Q67</f>
        <v>0</v>
      </c>
      <c r="R5" s="3">
        <f>Rural_res_calculation!R67</f>
        <v>0</v>
      </c>
      <c r="S5" s="3">
        <f>Rural_res_calculation!S67</f>
        <v>0</v>
      </c>
      <c r="T5" s="3">
        <f>Rural_res_calculation!T67</f>
        <v>0</v>
      </c>
      <c r="U5" s="3">
        <f>Rural_res_calculation!U67</f>
        <v>0</v>
      </c>
      <c r="V5" s="3">
        <f>Rural_res_calculation!V67</f>
        <v>0</v>
      </c>
      <c r="W5" s="3">
        <f>Rural_res_calculation!W67</f>
        <v>0</v>
      </c>
      <c r="X5" s="3">
        <f>Rural_res_calculation!X67</f>
        <v>0</v>
      </c>
      <c r="Y5" s="3">
        <f>Rural_res_calculation!Y67</f>
        <v>0</v>
      </c>
      <c r="Z5" s="3">
        <f>Rural_res_calculation!Z67</f>
        <v>0</v>
      </c>
      <c r="AA5" s="3">
        <f>Rural_res_calculation!AA67</f>
        <v>0</v>
      </c>
      <c r="AB5" s="3">
        <f>Rural_res_calculation!AB67</f>
        <v>0</v>
      </c>
      <c r="AC5" s="3">
        <f>Rural_res_calculation!AC67</f>
        <v>0</v>
      </c>
      <c r="AD5" s="3">
        <f>Rural_res_calculation!AD67</f>
        <v>0</v>
      </c>
      <c r="AE5" s="3">
        <f>Rural_res_calculation!AE67</f>
        <v>0</v>
      </c>
      <c r="AF5" s="3">
        <f>Rural_res_calculation!AF67</f>
        <v>0</v>
      </c>
      <c r="AG5" s="3">
        <f>Rural_res_calculation!AG67</f>
        <v>0</v>
      </c>
    </row>
    <row r="6" spans="1:35">
      <c r="A6" s="1" t="s">
        <v>7</v>
      </c>
      <c r="B6" s="3">
        <f>Rural_res_calculation!B68</f>
        <v>0</v>
      </c>
      <c r="C6" s="3">
        <f>Rural_res_calculation!C68</f>
        <v>0</v>
      </c>
      <c r="D6" s="3">
        <f>Rural_res_calculation!D68</f>
        <v>0</v>
      </c>
      <c r="E6" s="3">
        <f>Rural_res_calculation!E68</f>
        <v>0</v>
      </c>
      <c r="F6" s="3">
        <f>Rural_res_calculation!F68</f>
        <v>0</v>
      </c>
      <c r="G6" s="3">
        <f>Rural_res_calculation!G68</f>
        <v>0</v>
      </c>
      <c r="H6" s="3">
        <f>Rural_res_calculation!H68</f>
        <v>0</v>
      </c>
      <c r="I6" s="3">
        <f>Rural_res_calculation!I68</f>
        <v>0</v>
      </c>
      <c r="J6" s="3">
        <f>Rural_res_calculation!J68</f>
        <v>0</v>
      </c>
      <c r="K6" s="3">
        <f>Rural_res_calculation!K68</f>
        <v>0</v>
      </c>
      <c r="L6" s="3">
        <f>Rural_res_calculation!L68</f>
        <v>0</v>
      </c>
      <c r="M6" s="3">
        <f>Rural_res_calculation!M68</f>
        <v>0</v>
      </c>
      <c r="N6" s="3">
        <f>Rural_res_calculation!N68</f>
        <v>0</v>
      </c>
      <c r="O6" s="3">
        <f>Rural_res_calculation!O68</f>
        <v>0</v>
      </c>
      <c r="P6" s="3">
        <f>Rural_res_calculation!P68</f>
        <v>0</v>
      </c>
      <c r="Q6" s="3">
        <f>Rural_res_calculation!Q68</f>
        <v>0</v>
      </c>
      <c r="R6" s="3">
        <f>Rural_res_calculation!R68</f>
        <v>0</v>
      </c>
      <c r="S6" s="3">
        <f>Rural_res_calculation!S68</f>
        <v>0</v>
      </c>
      <c r="T6" s="3">
        <f>Rural_res_calculation!T68</f>
        <v>0</v>
      </c>
      <c r="U6" s="3">
        <f>Rural_res_calculation!U68</f>
        <v>0</v>
      </c>
      <c r="V6" s="3">
        <f>Rural_res_calculation!V68</f>
        <v>0</v>
      </c>
      <c r="W6" s="3">
        <f>Rural_res_calculation!W68</f>
        <v>0</v>
      </c>
      <c r="X6" s="3">
        <f>Rural_res_calculation!X68</f>
        <v>0</v>
      </c>
      <c r="Y6" s="3">
        <f>Rural_res_calculation!Y68</f>
        <v>0</v>
      </c>
      <c r="Z6" s="3">
        <f>Rural_res_calculation!Z68</f>
        <v>0</v>
      </c>
      <c r="AA6" s="3">
        <f>Rural_res_calculation!AA68</f>
        <v>0</v>
      </c>
      <c r="AB6" s="3">
        <f>Rural_res_calculation!AB68</f>
        <v>0</v>
      </c>
      <c r="AC6" s="3">
        <f>Rural_res_calculation!AC68</f>
        <v>0</v>
      </c>
      <c r="AD6" s="3">
        <f>Rural_res_calculation!AD68</f>
        <v>0</v>
      </c>
      <c r="AE6" s="3">
        <f>Rural_res_calculation!AE68</f>
        <v>0</v>
      </c>
      <c r="AF6" s="3">
        <f>Rural_res_calculation!AF68</f>
        <v>0</v>
      </c>
      <c r="AG6" s="3">
        <f>Rural_res_calculation!AG68</f>
        <v>0</v>
      </c>
    </row>
    <row r="7" spans="1:35">
      <c r="A7" s="1" t="s">
        <v>11</v>
      </c>
      <c r="B7" s="3">
        <f>Rural_res_calculation!B69</f>
        <v>0</v>
      </c>
      <c r="C7" s="3">
        <f>Rural_res_calculation!C69</f>
        <v>0</v>
      </c>
      <c r="D7" s="3">
        <f>Rural_res_calculation!D69</f>
        <v>0</v>
      </c>
      <c r="E7" s="3">
        <f>Rural_res_calculation!E69</f>
        <v>0</v>
      </c>
      <c r="F7" s="3">
        <f>Rural_res_calculation!F69</f>
        <v>0</v>
      </c>
      <c r="G7" s="3">
        <f>Rural_res_calculation!G69</f>
        <v>0</v>
      </c>
      <c r="H7" s="3">
        <f>Rural_res_calculation!H69</f>
        <v>0</v>
      </c>
      <c r="I7" s="3">
        <f>Rural_res_calculation!I69</f>
        <v>0</v>
      </c>
      <c r="J7" s="3">
        <f>Rural_res_calculation!J69</f>
        <v>0</v>
      </c>
      <c r="K7" s="3">
        <f>Rural_res_calculation!K69</f>
        <v>0</v>
      </c>
      <c r="L7" s="3">
        <f>Rural_res_calculation!L69</f>
        <v>0</v>
      </c>
      <c r="M7" s="3">
        <f>Rural_res_calculation!M69</f>
        <v>0</v>
      </c>
      <c r="N7" s="3">
        <f>Rural_res_calculation!N69</f>
        <v>0</v>
      </c>
      <c r="O7" s="3">
        <f>Rural_res_calculation!O69</f>
        <v>0</v>
      </c>
      <c r="P7" s="3">
        <f>Rural_res_calculation!P69</f>
        <v>0</v>
      </c>
      <c r="Q7" s="3">
        <f>Rural_res_calculation!Q69</f>
        <v>0</v>
      </c>
      <c r="R7" s="3">
        <f>Rural_res_calculation!R69</f>
        <v>0</v>
      </c>
      <c r="S7" s="3">
        <f>Rural_res_calculation!S69</f>
        <v>0</v>
      </c>
      <c r="T7" s="3">
        <f>Rural_res_calculation!T69</f>
        <v>0</v>
      </c>
      <c r="U7" s="3">
        <f>Rural_res_calculation!U69</f>
        <v>0</v>
      </c>
      <c r="V7" s="3">
        <f>Rural_res_calculation!V69</f>
        <v>0</v>
      </c>
      <c r="W7" s="3">
        <f>Rural_res_calculation!W69</f>
        <v>0</v>
      </c>
      <c r="X7" s="3">
        <f>Rural_res_calculation!X69</f>
        <v>0</v>
      </c>
      <c r="Y7" s="3">
        <f>Rural_res_calculation!Y69</f>
        <v>0</v>
      </c>
      <c r="Z7" s="3">
        <f>Rural_res_calculation!Z69</f>
        <v>0</v>
      </c>
      <c r="AA7" s="3">
        <f>Rural_res_calculation!AA69</f>
        <v>0</v>
      </c>
      <c r="AB7" s="3">
        <f>Rural_res_calculation!AB69</f>
        <v>0</v>
      </c>
      <c r="AC7" s="3">
        <f>Rural_res_calculation!AC69</f>
        <v>0</v>
      </c>
      <c r="AD7" s="3">
        <f>Rural_res_calculation!AD69</f>
        <v>0</v>
      </c>
      <c r="AE7" s="3">
        <f>Rural_res_calculation!AE69</f>
        <v>0</v>
      </c>
      <c r="AF7" s="3">
        <f>Rural_res_calculation!AF69</f>
        <v>0</v>
      </c>
      <c r="AG7" s="3">
        <f>Rural_res_calculation!AG69</f>
        <v>0</v>
      </c>
    </row>
    <row r="8" spans="1:35">
      <c r="A8" s="1" t="s">
        <v>13</v>
      </c>
      <c r="B8" s="3">
        <f>Rural_res_calculation!B70</f>
        <v>0</v>
      </c>
      <c r="C8" s="3">
        <f>Rural_res_calculation!C70</f>
        <v>0</v>
      </c>
      <c r="D8" s="3">
        <f>Rural_res_calculation!D70</f>
        <v>0</v>
      </c>
      <c r="E8" s="3">
        <f>Rural_res_calculation!E70</f>
        <v>0</v>
      </c>
      <c r="F8" s="3">
        <f>Rural_res_calculation!F70</f>
        <v>0</v>
      </c>
      <c r="G8" s="3">
        <f>Rural_res_calculation!G70</f>
        <v>0</v>
      </c>
      <c r="H8" s="3">
        <f>Rural_res_calculation!H70</f>
        <v>0</v>
      </c>
      <c r="I8" s="3">
        <f>Rural_res_calculation!I70</f>
        <v>0</v>
      </c>
      <c r="J8" s="3">
        <f>Rural_res_calculation!J70</f>
        <v>0</v>
      </c>
      <c r="K8" s="3">
        <f>Rural_res_calculation!K70</f>
        <v>0</v>
      </c>
      <c r="L8" s="3">
        <f>Rural_res_calculation!L70</f>
        <v>0</v>
      </c>
      <c r="M8" s="3">
        <f>Rural_res_calculation!M70</f>
        <v>0</v>
      </c>
      <c r="N8" s="3">
        <f>Rural_res_calculation!N70</f>
        <v>0</v>
      </c>
      <c r="O8" s="3">
        <f>Rural_res_calculation!O70</f>
        <v>0</v>
      </c>
      <c r="P8" s="3">
        <f>Rural_res_calculation!P70</f>
        <v>0</v>
      </c>
      <c r="Q8" s="3">
        <f>Rural_res_calculation!Q70</f>
        <v>0</v>
      </c>
      <c r="R8" s="3">
        <f>Rural_res_calculation!R70</f>
        <v>0</v>
      </c>
      <c r="S8" s="3">
        <f>Rural_res_calculation!S70</f>
        <v>0</v>
      </c>
      <c r="T8" s="3">
        <f>Rural_res_calculation!T70</f>
        <v>0</v>
      </c>
      <c r="U8" s="3">
        <f>Rural_res_calculation!U70</f>
        <v>0</v>
      </c>
      <c r="V8" s="3">
        <f>Rural_res_calculation!V70</f>
        <v>0</v>
      </c>
      <c r="W8" s="3">
        <f>Rural_res_calculation!W70</f>
        <v>0</v>
      </c>
      <c r="X8" s="3">
        <f>Rural_res_calculation!X70</f>
        <v>0</v>
      </c>
      <c r="Y8" s="3">
        <f>Rural_res_calculation!Y70</f>
        <v>0</v>
      </c>
      <c r="Z8" s="3">
        <f>Rural_res_calculation!Z70</f>
        <v>0</v>
      </c>
      <c r="AA8" s="3">
        <f>Rural_res_calculation!AA70</f>
        <v>0</v>
      </c>
      <c r="AB8" s="3">
        <f>Rural_res_calculation!AB70</f>
        <v>0</v>
      </c>
      <c r="AC8" s="3">
        <f>Rural_res_calculation!AC70</f>
        <v>0</v>
      </c>
      <c r="AD8" s="3">
        <f>Rural_res_calculation!AD70</f>
        <v>0</v>
      </c>
      <c r="AE8" s="3">
        <f>Rural_res_calculation!AE70</f>
        <v>0</v>
      </c>
      <c r="AF8" s="3">
        <f>Rural_res_calculation!AF70</f>
        <v>0</v>
      </c>
      <c r="AG8" s="3">
        <f>Rural_res_calculation!AG70</f>
        <v>0</v>
      </c>
    </row>
    <row r="9" spans="1:35">
      <c r="A9" s="1" t="s">
        <v>14</v>
      </c>
      <c r="B9" s="3">
        <f>Rural_res_calculation!B71</f>
        <v>0</v>
      </c>
      <c r="C9" s="3">
        <f>Rural_res_calculation!C71</f>
        <v>0</v>
      </c>
      <c r="D9" s="3">
        <f>Rural_res_calculation!D71</f>
        <v>0</v>
      </c>
      <c r="E9" s="3">
        <f>Rural_res_calculation!E71</f>
        <v>0</v>
      </c>
      <c r="F9" s="3">
        <f>Rural_res_calculation!F71</f>
        <v>0</v>
      </c>
      <c r="G9" s="3">
        <f>Rural_res_calculation!G71</f>
        <v>0</v>
      </c>
      <c r="H9" s="3">
        <f>Rural_res_calculation!H71</f>
        <v>0</v>
      </c>
      <c r="I9" s="3">
        <f>Rural_res_calculation!I71</f>
        <v>0</v>
      </c>
      <c r="J9" s="3">
        <f>Rural_res_calculation!J71</f>
        <v>0</v>
      </c>
      <c r="K9" s="3">
        <f>Rural_res_calculation!K71</f>
        <v>0</v>
      </c>
      <c r="L9" s="3">
        <f>Rural_res_calculation!L71</f>
        <v>0</v>
      </c>
      <c r="M9" s="3">
        <f>Rural_res_calculation!M71</f>
        <v>0</v>
      </c>
      <c r="N9" s="3">
        <f>Rural_res_calculation!N71</f>
        <v>0</v>
      </c>
      <c r="O9" s="3">
        <f>Rural_res_calculation!O71</f>
        <v>0</v>
      </c>
      <c r="P9" s="3">
        <f>Rural_res_calculation!P71</f>
        <v>0</v>
      </c>
      <c r="Q9" s="3">
        <f>Rural_res_calculation!Q71</f>
        <v>0</v>
      </c>
      <c r="R9" s="3">
        <f>Rural_res_calculation!R71</f>
        <v>0</v>
      </c>
      <c r="S9" s="3">
        <f>Rural_res_calculation!S71</f>
        <v>0</v>
      </c>
      <c r="T9" s="3">
        <f>Rural_res_calculation!T71</f>
        <v>0</v>
      </c>
      <c r="U9" s="3">
        <f>Rural_res_calculation!U71</f>
        <v>0</v>
      </c>
      <c r="V9" s="3">
        <f>Rural_res_calculation!V71</f>
        <v>0</v>
      </c>
      <c r="W9" s="3">
        <f>Rural_res_calculation!W71</f>
        <v>0</v>
      </c>
      <c r="X9" s="3">
        <f>Rural_res_calculation!X71</f>
        <v>0</v>
      </c>
      <c r="Y9" s="3">
        <f>Rural_res_calculation!Y71</f>
        <v>0</v>
      </c>
      <c r="Z9" s="3">
        <f>Rural_res_calculation!Z71</f>
        <v>0</v>
      </c>
      <c r="AA9" s="3">
        <f>Rural_res_calculation!AA71</f>
        <v>0</v>
      </c>
      <c r="AB9" s="3">
        <f>Rural_res_calculation!AB71</f>
        <v>0</v>
      </c>
      <c r="AC9" s="3">
        <f>Rural_res_calculation!AC71</f>
        <v>0</v>
      </c>
      <c r="AD9" s="3">
        <f>Rural_res_calculation!AD71</f>
        <v>0</v>
      </c>
      <c r="AE9" s="3">
        <f>Rural_res_calculation!AE71</f>
        <v>0</v>
      </c>
      <c r="AF9" s="3">
        <f>Rural_res_calculation!AF71</f>
        <v>0</v>
      </c>
      <c r="AG9" s="3">
        <f>Rural_res_calculation!AG71</f>
        <v>0</v>
      </c>
    </row>
    <row r="10" spans="1:35">
      <c r="A10" s="1" t="s">
        <v>15</v>
      </c>
      <c r="B10" s="3">
        <f>Rural_res_calculation!B72</f>
        <v>0</v>
      </c>
      <c r="C10" s="3">
        <f>Rural_res_calculation!C72</f>
        <v>0</v>
      </c>
      <c r="D10" s="3">
        <f>Rural_res_calculation!D72</f>
        <v>0</v>
      </c>
      <c r="E10" s="3">
        <f>Rural_res_calculation!E72</f>
        <v>0</v>
      </c>
      <c r="F10" s="3">
        <f>Rural_res_calculation!F72</f>
        <v>0</v>
      </c>
      <c r="G10" s="3">
        <f>Rural_res_calculation!G72</f>
        <v>0</v>
      </c>
      <c r="H10" s="3">
        <f>Rural_res_calculation!H72</f>
        <v>0</v>
      </c>
      <c r="I10" s="3">
        <f>Rural_res_calculation!I72</f>
        <v>0</v>
      </c>
      <c r="J10" s="3">
        <f>Rural_res_calculation!J72</f>
        <v>0</v>
      </c>
      <c r="K10" s="3">
        <f>Rural_res_calculation!K72</f>
        <v>0</v>
      </c>
      <c r="L10" s="3">
        <f>Rural_res_calculation!L72</f>
        <v>0</v>
      </c>
      <c r="M10" s="3">
        <f>Rural_res_calculation!M72</f>
        <v>0</v>
      </c>
      <c r="N10" s="3">
        <f>Rural_res_calculation!N72</f>
        <v>0</v>
      </c>
      <c r="O10" s="3">
        <f>Rural_res_calculation!O72</f>
        <v>0</v>
      </c>
      <c r="P10" s="3">
        <f>Rural_res_calculation!P72</f>
        <v>0</v>
      </c>
      <c r="Q10" s="3">
        <f>Rural_res_calculation!Q72</f>
        <v>0</v>
      </c>
      <c r="R10" s="3">
        <f>Rural_res_calculation!R72</f>
        <v>0</v>
      </c>
      <c r="S10" s="3">
        <f>Rural_res_calculation!S72</f>
        <v>0</v>
      </c>
      <c r="T10" s="3">
        <f>Rural_res_calculation!T72</f>
        <v>0</v>
      </c>
      <c r="U10" s="3">
        <f>Rural_res_calculation!U72</f>
        <v>0</v>
      </c>
      <c r="V10" s="3">
        <f>Rural_res_calculation!V72</f>
        <v>0</v>
      </c>
      <c r="W10" s="3">
        <f>Rural_res_calculation!W72</f>
        <v>0</v>
      </c>
      <c r="X10" s="3">
        <f>Rural_res_calculation!X72</f>
        <v>0</v>
      </c>
      <c r="Y10" s="3">
        <f>Rural_res_calculation!Y72</f>
        <v>0</v>
      </c>
      <c r="Z10" s="3">
        <f>Rural_res_calculation!Z72</f>
        <v>0</v>
      </c>
      <c r="AA10" s="3">
        <f>Rural_res_calculation!AA72</f>
        <v>0</v>
      </c>
      <c r="AB10" s="3">
        <f>Rural_res_calculation!AB72</f>
        <v>0</v>
      </c>
      <c r="AC10" s="3">
        <f>Rural_res_calculation!AC72</f>
        <v>0</v>
      </c>
      <c r="AD10" s="3">
        <f>Rural_res_calculation!AD72</f>
        <v>0</v>
      </c>
      <c r="AE10" s="3">
        <f>Rural_res_calculation!AE72</f>
        <v>0</v>
      </c>
      <c r="AF10" s="3">
        <f>Rural_res_calculation!AF72</f>
        <v>0</v>
      </c>
      <c r="AG10" s="3">
        <f>Rural_res_calculation!AG72</f>
        <v>0</v>
      </c>
    </row>
    <row r="11" spans="1:35">
      <c r="A11" s="1" t="s">
        <v>16</v>
      </c>
      <c r="B11" s="3">
        <f>Rural_res_calculation!B73</f>
        <v>0</v>
      </c>
      <c r="C11" s="3">
        <f>Rural_res_calculation!C73</f>
        <v>0</v>
      </c>
      <c r="D11" s="3">
        <f>Rural_res_calculation!D73</f>
        <v>0</v>
      </c>
      <c r="E11" s="3">
        <f>Rural_res_calculation!E73</f>
        <v>0</v>
      </c>
      <c r="F11" s="3">
        <f>Rural_res_calculation!F73</f>
        <v>0</v>
      </c>
      <c r="G11" s="3">
        <f>Rural_res_calculation!G73</f>
        <v>0</v>
      </c>
      <c r="H11" s="3">
        <f>Rural_res_calculation!H73</f>
        <v>0</v>
      </c>
      <c r="I11" s="3">
        <f>Rural_res_calculation!I73</f>
        <v>0</v>
      </c>
      <c r="J11" s="3">
        <f>Rural_res_calculation!J73</f>
        <v>0</v>
      </c>
      <c r="K11" s="3">
        <f>Rural_res_calculation!K73</f>
        <v>0</v>
      </c>
      <c r="L11" s="3">
        <f>Rural_res_calculation!L73</f>
        <v>0</v>
      </c>
      <c r="M11" s="3">
        <f>Rural_res_calculation!M73</f>
        <v>0</v>
      </c>
      <c r="N11" s="3">
        <f>Rural_res_calculation!N73</f>
        <v>0</v>
      </c>
      <c r="O11" s="3">
        <f>Rural_res_calculation!O73</f>
        <v>0</v>
      </c>
      <c r="P11" s="3">
        <f>Rural_res_calculation!P73</f>
        <v>0</v>
      </c>
      <c r="Q11" s="3">
        <f>Rural_res_calculation!Q73</f>
        <v>0</v>
      </c>
      <c r="R11" s="3">
        <f>Rural_res_calculation!R73</f>
        <v>0</v>
      </c>
      <c r="S11" s="3">
        <f>Rural_res_calculation!S73</f>
        <v>0</v>
      </c>
      <c r="T11" s="3">
        <f>Rural_res_calculation!T73</f>
        <v>0</v>
      </c>
      <c r="U11" s="3">
        <f>Rural_res_calculation!U73</f>
        <v>0</v>
      </c>
      <c r="V11" s="3">
        <f>Rural_res_calculation!V73</f>
        <v>0</v>
      </c>
      <c r="W11" s="3">
        <f>Rural_res_calculation!W73</f>
        <v>0</v>
      </c>
      <c r="X11" s="3">
        <f>Rural_res_calculation!X73</f>
        <v>0</v>
      </c>
      <c r="Y11" s="3">
        <f>Rural_res_calculation!Y73</f>
        <v>0</v>
      </c>
      <c r="Z11" s="3">
        <f>Rural_res_calculation!Z73</f>
        <v>0</v>
      </c>
      <c r="AA11" s="3">
        <f>Rural_res_calculation!AA73</f>
        <v>0</v>
      </c>
      <c r="AB11" s="3">
        <f>Rural_res_calculation!AB73</f>
        <v>0</v>
      </c>
      <c r="AC11" s="3">
        <f>Rural_res_calculation!AC73</f>
        <v>0</v>
      </c>
      <c r="AD11" s="3">
        <f>Rural_res_calculation!AD73</f>
        <v>0</v>
      </c>
      <c r="AE11" s="3">
        <f>Rural_res_calculation!AE73</f>
        <v>0</v>
      </c>
      <c r="AF11" s="3">
        <f>Rural_res_calculation!AF73</f>
        <v>0</v>
      </c>
      <c r="AG11" s="3">
        <f>Rural_res_calculation!AG73</f>
        <v>0</v>
      </c>
    </row>
  </sheetData>
  <phoneticPr fontId="11" type="noConversion"/>
  <pageMargins left="0.7" right="0.7" top="0.75" bottom="0.75" header="0.3" footer="0.3"/>
  <pageSetup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1"/>
  <sheetViews>
    <sheetView workbookViewId="0">
      <selection activeCell="B2" sqref="B2"/>
    </sheetView>
  </sheetViews>
  <sheetFormatPr defaultRowHeight="16.5"/>
  <cols>
    <col min="1" max="1" width="29.875" customWidth="1"/>
    <col min="2" max="2" width="10.625" bestFit="1" customWidth="1"/>
    <col min="3" max="4" width="9.625" bestFit="1" customWidth="1"/>
    <col min="5" max="5" width="12" bestFit="1" customWidth="1"/>
    <col min="6" max="32" width="9.625" bestFit="1" customWidth="1"/>
    <col min="33" max="33" width="11.875" customWidth="1"/>
  </cols>
  <sheetData>
    <row r="1" spans="1:35">
      <c r="A1" s="1" t="s">
        <v>1</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c r="AI1" s="1"/>
    </row>
    <row r="2" spans="1:35">
      <c r="A2" s="1" t="s">
        <v>2</v>
      </c>
      <c r="B2" s="3">
        <f>Commercial_calculation!B4</f>
        <v>127354926442691.86</v>
      </c>
      <c r="C2" s="3">
        <f>Commercial_calculation!C4</f>
        <v>129311080981534.61</v>
      </c>
      <c r="D2" s="3">
        <f>Commercial_calculation!D4</f>
        <v>130455029942383.02</v>
      </c>
      <c r="E2" s="3">
        <f>Commercial_calculation!E4</f>
        <v>137919750859919.16</v>
      </c>
      <c r="F2" s="3">
        <f>Commercial_calculation!F4</f>
        <v>139023108866798.52</v>
      </c>
      <c r="G2" s="3">
        <f>Commercial_calculation!G4</f>
        <v>140135293737732.91</v>
      </c>
      <c r="H2" s="3">
        <f>Commercial_calculation!H4</f>
        <v>141256376087634.78</v>
      </c>
      <c r="I2" s="3">
        <f>Commercial_calculation!I4</f>
        <v>142386427096335.88</v>
      </c>
      <c r="J2" s="3">
        <f>Commercial_calculation!J4</f>
        <v>143525518513106.56</v>
      </c>
      <c r="K2" s="3">
        <f>Commercial_calculation!K4</f>
        <v>144673722661211.41</v>
      </c>
      <c r="L2" s="3">
        <f>Commercial_calculation!L4</f>
        <v>145831112442501.09</v>
      </c>
      <c r="M2" s="3">
        <f>Commercial_calculation!M4</f>
        <v>146997761342041.09</v>
      </c>
      <c r="N2" s="3">
        <f>Commercial_calculation!N4</f>
        <v>148173743432777.44</v>
      </c>
      <c r="O2" s="3">
        <f>Commercial_calculation!O4</f>
        <v>149359133380239.66</v>
      </c>
      <c r="P2" s="3">
        <f>Commercial_calculation!P4</f>
        <v>150554006447281.56</v>
      </c>
      <c r="Q2" s="3">
        <f>Commercial_calculation!Q4</f>
        <v>151758438498859.81</v>
      </c>
      <c r="R2" s="3">
        <f>Commercial_calculation!R4</f>
        <v>152972506006850.69</v>
      </c>
      <c r="S2" s="3">
        <f>Commercial_calculation!S4</f>
        <v>154196286054905.5</v>
      </c>
      <c r="T2" s="3">
        <f>Commercial_calculation!T4</f>
        <v>155429856343344.75</v>
      </c>
      <c r="U2" s="3">
        <f>Commercial_calculation!U4</f>
        <v>156673295194091.5</v>
      </c>
      <c r="V2" s="3">
        <f>Commercial_calculation!V4</f>
        <v>157926681555644.22</v>
      </c>
      <c r="W2" s="3">
        <f>Commercial_calculation!W4</f>
        <v>159190095008089.38</v>
      </c>
      <c r="X2" s="3">
        <f>Commercial_calculation!X4</f>
        <v>160463615768154.09</v>
      </c>
      <c r="Y2" s="3">
        <f>Commercial_calculation!Y4</f>
        <v>161747324694299.31</v>
      </c>
      <c r="Z2" s="3">
        <f>Commercial_calculation!Z4</f>
        <v>163041303291853.72</v>
      </c>
      <c r="AA2" s="3">
        <f>Commercial_calculation!AA4</f>
        <v>164345633718188.56</v>
      </c>
      <c r="AB2" s="3">
        <f>Commercial_calculation!AB4</f>
        <v>165660398787934.06</v>
      </c>
      <c r="AC2" s="3">
        <f>Commercial_calculation!AC4</f>
        <v>166985681978237.53</v>
      </c>
      <c r="AD2" s="3">
        <f>Commercial_calculation!AD4</f>
        <v>168321567434063.44</v>
      </c>
      <c r="AE2" s="3">
        <f>Commercial_calculation!AE4</f>
        <v>169668139973535.94</v>
      </c>
      <c r="AF2" s="3">
        <f>Commercial_calculation!AF4</f>
        <v>171025485093324.22</v>
      </c>
      <c r="AG2" s="3">
        <f>Commercial_calculation!AG4</f>
        <v>172393688974070.81</v>
      </c>
    </row>
    <row r="3" spans="1:35">
      <c r="A3" s="1" t="s">
        <v>3</v>
      </c>
      <c r="B3" s="3">
        <f>Commercial_calculation!B5</f>
        <v>1570335664890.0002</v>
      </c>
      <c r="C3" s="3">
        <f>Commercial_calculation!C5</f>
        <v>0</v>
      </c>
      <c r="D3" s="3">
        <f>Commercial_calculation!D5</f>
        <v>0</v>
      </c>
      <c r="E3" s="3">
        <f>Commercial_calculation!E5</f>
        <v>30038429459.87019</v>
      </c>
      <c r="F3" s="3">
        <f>Commercial_calculation!F5</f>
        <v>27425086096.861485</v>
      </c>
      <c r="G3" s="3">
        <f>Commercial_calculation!G5</f>
        <v>25039103606.434536</v>
      </c>
      <c r="H3" s="3">
        <f>Commercial_calculation!H5</f>
        <v>22860701592.674732</v>
      </c>
      <c r="I3" s="3">
        <f>Commercial_calculation!I5</f>
        <v>20871820554.11203</v>
      </c>
      <c r="J3" s="3">
        <f>Commercial_calculation!J5</f>
        <v>19055972165.904285</v>
      </c>
      <c r="K3" s="3">
        <f>Commercial_calculation!K5</f>
        <v>17398102587.470612</v>
      </c>
      <c r="L3" s="3">
        <f>Commercial_calculation!L5</f>
        <v>15884467662.360668</v>
      </c>
      <c r="M3" s="3">
        <f>Commercial_calculation!M5</f>
        <v>14502518975.735291</v>
      </c>
      <c r="N3" s="3">
        <f>Commercial_calculation!N5</f>
        <v>13240799824.846321</v>
      </c>
      <c r="O3" s="3">
        <f>Commercial_calculation!O5</f>
        <v>12088850240.084692</v>
      </c>
      <c r="P3" s="3">
        <f>Commercial_calculation!P5</f>
        <v>11037120269.197325</v>
      </c>
      <c r="Q3" s="3">
        <f>Commercial_calculation!Q5</f>
        <v>10076890805.777159</v>
      </c>
      <c r="R3" s="3">
        <f>Commercial_calculation!R5</f>
        <v>9200201305.6745472</v>
      </c>
      <c r="S3" s="3">
        <f>Commercial_calculation!S5</f>
        <v>8399783792.080862</v>
      </c>
      <c r="T3" s="3">
        <f>Commercial_calculation!T5</f>
        <v>7669002602.1698275</v>
      </c>
      <c r="U3" s="3">
        <f>Commercial_calculation!U5</f>
        <v>7001799375.7810526</v>
      </c>
      <c r="V3" s="3">
        <f>Commercial_calculation!V5</f>
        <v>6392642830.0881014</v>
      </c>
      <c r="W3" s="3">
        <f>Commercial_calculation!W5</f>
        <v>5836482903.8704367</v>
      </c>
      <c r="X3" s="3">
        <f>Commercial_calculation!X5</f>
        <v>5328708891.2337093</v>
      </c>
      <c r="Y3" s="3">
        <f>Commercial_calculation!Y5</f>
        <v>4865111217.6963768</v>
      </c>
      <c r="Z3" s="3">
        <f>Commercial_calculation!Z5</f>
        <v>4441846541.7567921</v>
      </c>
      <c r="AA3" s="3">
        <f>Commercial_calculation!AA5</f>
        <v>4055405892.6239514</v>
      </c>
      <c r="AB3" s="3">
        <f>Commercial_calculation!AB5</f>
        <v>3702585579.9656677</v>
      </c>
      <c r="AC3" s="3">
        <f>Commercial_calculation!AC5</f>
        <v>3380460634.5086546</v>
      </c>
      <c r="AD3" s="3">
        <f>Commercial_calculation!AD5</f>
        <v>3086360559.3064017</v>
      </c>
      <c r="AE3" s="3">
        <f>Commercial_calculation!AE5</f>
        <v>2817847190.6467447</v>
      </c>
      <c r="AF3" s="3">
        <f>Commercial_calculation!AF5</f>
        <v>2572694485.0604782</v>
      </c>
      <c r="AG3" s="3">
        <f>Commercial_calculation!AG5</f>
        <v>2348870064.8602166</v>
      </c>
    </row>
    <row r="4" spans="1:35">
      <c r="A4" s="1" t="s">
        <v>4</v>
      </c>
      <c r="B4" s="3">
        <f>Commercial_calculation!B6</f>
        <v>66164124700440.008</v>
      </c>
      <c r="C4" s="3">
        <f>Commercial_calculation!C6</f>
        <v>55991397630416.758</v>
      </c>
      <c r="D4" s="3">
        <f>Commercial_calculation!D6</f>
        <v>55822332197000.734</v>
      </c>
      <c r="E4" s="3">
        <f>Commercial_calculation!E6</f>
        <v>60723692807579.898</v>
      </c>
      <c r="F4" s="3">
        <f>Commercial_calculation!F6</f>
        <v>61938166663731.5</v>
      </c>
      <c r="G4" s="3">
        <f>Commercial_calculation!G6</f>
        <v>63176929997006.133</v>
      </c>
      <c r="H4" s="3">
        <f>Commercial_calculation!H6</f>
        <v>64440468596946.258</v>
      </c>
      <c r="I4" s="3">
        <f>Commercial_calculation!I6</f>
        <v>65729277968885.188</v>
      </c>
      <c r="J4" s="3">
        <f>Commercial_calculation!J6</f>
        <v>67043863528262.891</v>
      </c>
      <c r="K4" s="3">
        <f>Commercial_calculation!K6</f>
        <v>68384740798828.148</v>
      </c>
      <c r="L4" s="3">
        <f>Commercial_calculation!L6</f>
        <v>69752435614804.711</v>
      </c>
      <c r="M4" s="3">
        <f>Commercial_calculation!M6</f>
        <v>71147484327100.813</v>
      </c>
      <c r="N4" s="3">
        <f>Commercial_calculation!N6</f>
        <v>72570434013642.828</v>
      </c>
      <c r="O4" s="3">
        <f>Commercial_calculation!O6</f>
        <v>74021842693915.688</v>
      </c>
      <c r="P4" s="3">
        <f>Commercial_calculation!P6</f>
        <v>75502279547794</v>
      </c>
      <c r="Q4" s="3">
        <f>Commercial_calculation!Q6</f>
        <v>77012325138749.875</v>
      </c>
      <c r="R4" s="3">
        <f>Commercial_calculation!R6</f>
        <v>78552571641524.875</v>
      </c>
      <c r="S4" s="3">
        <f>Commercial_calculation!S6</f>
        <v>80123623074355.375</v>
      </c>
      <c r="T4" s="3">
        <f>Commercial_calculation!T6</f>
        <v>81726095535842.484</v>
      </c>
      <c r="U4" s="3">
        <f>Commercial_calculation!U6</f>
        <v>83360617446559.328</v>
      </c>
      <c r="V4" s="3">
        <f>Commercial_calculation!V6</f>
        <v>85027829795490.516</v>
      </c>
      <c r="W4" s="3">
        <f>Commercial_calculation!W6</f>
        <v>86728386391400.328</v>
      </c>
      <c r="X4" s="3">
        <f>Commercial_calculation!X6</f>
        <v>88462954119228.344</v>
      </c>
      <c r="Y4" s="3">
        <f>Commercial_calculation!Y6</f>
        <v>90232213201612.906</v>
      </c>
      <c r="Z4" s="3">
        <f>Commercial_calculation!Z6</f>
        <v>92036857465645.172</v>
      </c>
      <c r="AA4" s="3">
        <f>Commercial_calculation!AA6</f>
        <v>93877594614958.078</v>
      </c>
      <c r="AB4" s="3">
        <f>Commercial_calculation!AB6</f>
        <v>95755146507257.234</v>
      </c>
      <c r="AC4" s="3">
        <f>Commercial_calculation!AC6</f>
        <v>97670249437402.375</v>
      </c>
      <c r="AD4" s="3">
        <f>Commercial_calculation!AD6</f>
        <v>99623654426150.422</v>
      </c>
      <c r="AE4" s="3">
        <f>Commercial_calculation!AE6</f>
        <v>101616127514673.44</v>
      </c>
      <c r="AF4" s="3">
        <f>Commercial_calculation!AF6</f>
        <v>103648450064966.91</v>
      </c>
      <c r="AG4" s="3">
        <f>Commercial_calculation!AG6</f>
        <v>105721419066266.25</v>
      </c>
    </row>
    <row r="5" spans="1:35">
      <c r="A5" s="1" t="s">
        <v>5</v>
      </c>
      <c r="B5" s="3">
        <f>Commercial_calculation!B7</f>
        <v>593944894320.00012</v>
      </c>
      <c r="C5" s="3">
        <f>Commercial_calculation!C7</f>
        <v>584640101382.89893</v>
      </c>
      <c r="D5" s="3">
        <f>Commercial_calculation!D7</f>
        <v>1163069425498.9465</v>
      </c>
      <c r="E5" s="3">
        <f>Commercial_calculation!E7</f>
        <v>503021344373.30408</v>
      </c>
      <c r="F5" s="3">
        <f>Commercial_calculation!F7</f>
        <v>478876319843.38544</v>
      </c>
      <c r="G5" s="3">
        <f>Commercial_calculation!G7</f>
        <v>455890256490.90289</v>
      </c>
      <c r="H5" s="3">
        <f>Commercial_calculation!H7</f>
        <v>434007524179.33954</v>
      </c>
      <c r="I5" s="3">
        <f>Commercial_calculation!I7</f>
        <v>413175163018.7312</v>
      </c>
      <c r="J5" s="3">
        <f>Commercial_calculation!J7</f>
        <v>393342755193.83209</v>
      </c>
      <c r="K5" s="3">
        <f>Commercial_calculation!K7</f>
        <v>374462302944.52814</v>
      </c>
      <c r="L5" s="3">
        <f>Commercial_calculation!L7</f>
        <v>356488112403.1908</v>
      </c>
      <c r="M5" s="3">
        <f>Commercial_calculation!M7</f>
        <v>339376683007.83765</v>
      </c>
      <c r="N5" s="3">
        <f>Commercial_calculation!N7</f>
        <v>323086602223.46143</v>
      </c>
      <c r="O5" s="3">
        <f>Commercial_calculation!O7</f>
        <v>307578445316.73529</v>
      </c>
      <c r="P5" s="3">
        <f>Commercial_calculation!P7</f>
        <v>292814679941.53198</v>
      </c>
      <c r="Q5" s="3">
        <f>Commercial_calculation!Q7</f>
        <v>278759575304.33844</v>
      </c>
      <c r="R5" s="3">
        <f>Commercial_calculation!R7</f>
        <v>265379115689.73019</v>
      </c>
      <c r="S5" s="3">
        <f>Commercial_calculation!S7</f>
        <v>252640918136.62314</v>
      </c>
      <c r="T5" s="3">
        <f>Commercial_calculation!T7</f>
        <v>240514154066.06522</v>
      </c>
      <c r="U5" s="3">
        <f>Commercial_calculation!U7</f>
        <v>228969474670.89407</v>
      </c>
      <c r="V5" s="3">
        <f>Commercial_calculation!V7</f>
        <v>217978939886.69116</v>
      </c>
      <c r="W5" s="3">
        <f>Commercial_calculation!W7</f>
        <v>207515950772.12997</v>
      </c>
      <c r="X5" s="3">
        <f>Commercial_calculation!X7</f>
        <v>197555185135.06772</v>
      </c>
      <c r="Y5" s="3">
        <f>Commercial_calculation!Y7</f>
        <v>188072536248.58447</v>
      </c>
      <c r="Z5" s="3">
        <f>Commercial_calculation!Z7</f>
        <v>179045054508.6524</v>
      </c>
      <c r="AA5" s="3">
        <f>Commercial_calculation!AA7</f>
        <v>170450891892.23709</v>
      </c>
      <c r="AB5" s="3">
        <f>Commercial_calculation!AB7</f>
        <v>162269249081.4097</v>
      </c>
      <c r="AC5" s="3">
        <f>Commercial_calculation!AC7</f>
        <v>154480325125.50201</v>
      </c>
      <c r="AD5" s="3">
        <f>Commercial_calculation!AD7</f>
        <v>147065269519.47791</v>
      </c>
      <c r="AE5" s="3">
        <f>Commercial_calculation!AE7</f>
        <v>140006136582.54297</v>
      </c>
      <c r="AF5" s="3">
        <f>Commercial_calculation!AF7</f>
        <v>133285842026.5809</v>
      </c>
      <c r="AG5" s="3">
        <f>Commercial_calculation!AG7</f>
        <v>126888121609.30501</v>
      </c>
    </row>
    <row r="6" spans="1:35">
      <c r="A6" s="1" t="s">
        <v>7</v>
      </c>
      <c r="B6" s="3">
        <f>Commercial_calculation!B8</f>
        <v>10941281472840.004</v>
      </c>
      <c r="C6" s="3">
        <f>Commercial_calculation!C8</f>
        <v>15013939099192.533</v>
      </c>
      <c r="D6" s="3">
        <f>Commercial_calculation!D8</f>
        <v>15124065791851.648</v>
      </c>
      <c r="E6" s="3">
        <f>Commercial_calculation!E8</f>
        <v>15028622658213.75</v>
      </c>
      <c r="F6" s="3">
        <f>Commercial_calculation!F8</f>
        <v>15299137866061.598</v>
      </c>
      <c r="G6" s="3">
        <f>Commercial_calculation!G8</f>
        <v>15574522347650.707</v>
      </c>
      <c r="H6" s="3">
        <f>Commercial_calculation!H8</f>
        <v>15854863749908.42</v>
      </c>
      <c r="I6" s="3">
        <f>Commercial_calculation!I8</f>
        <v>16140251297406.771</v>
      </c>
      <c r="J6" s="3">
        <f>Commercial_calculation!J8</f>
        <v>16430775820760.094</v>
      </c>
      <c r="K6" s="3">
        <f>Commercial_calculation!K8</f>
        <v>16726529785533.775</v>
      </c>
      <c r="L6" s="3">
        <f>Commercial_calculation!L8</f>
        <v>17027607321673.383</v>
      </c>
      <c r="M6" s="3">
        <f>Commercial_calculation!M8</f>
        <v>17334104253463.504</v>
      </c>
      <c r="N6" s="3">
        <f>Commercial_calculation!N8</f>
        <v>17646118130025.848</v>
      </c>
      <c r="O6" s="3">
        <f>Commercial_calculation!O8</f>
        <v>17963748256366.313</v>
      </c>
      <c r="P6" s="3">
        <f>Commercial_calculation!P8</f>
        <v>18287095724980.906</v>
      </c>
      <c r="Q6" s="3">
        <f>Commercial_calculation!Q8</f>
        <v>18616263448030.563</v>
      </c>
      <c r="R6" s="3">
        <f>Commercial_calculation!R8</f>
        <v>18951356190095.113</v>
      </c>
      <c r="S6" s="3">
        <f>Commercial_calculation!S8</f>
        <v>19292480601516.824</v>
      </c>
      <c r="T6" s="3">
        <f>Commercial_calculation!T8</f>
        <v>19639745252344.129</v>
      </c>
      <c r="U6" s="3">
        <f>Commercial_calculation!U8</f>
        <v>19993260666886.324</v>
      </c>
      <c r="V6" s="3">
        <f>Commercial_calculation!V8</f>
        <v>20353139358890.277</v>
      </c>
      <c r="W6" s="3">
        <f>Commercial_calculation!W8</f>
        <v>20719495867350.301</v>
      </c>
      <c r="X6" s="3">
        <f>Commercial_calculation!X8</f>
        <v>21092446792962.605</v>
      </c>
      <c r="Y6" s="3">
        <f>Commercial_calculation!Y8</f>
        <v>21472110835235.934</v>
      </c>
      <c r="Z6" s="3">
        <f>Commercial_calculation!Z8</f>
        <v>21858608830270.18</v>
      </c>
      <c r="AA6" s="3">
        <f>Commercial_calculation!AA8</f>
        <v>22252063789215.043</v>
      </c>
      <c r="AB6" s="3">
        <f>Commercial_calculation!AB8</f>
        <v>22652600937420.914</v>
      </c>
      <c r="AC6" s="3">
        <f>Commercial_calculation!AC8</f>
        <v>23060347754294.492</v>
      </c>
      <c r="AD6" s="3">
        <f>Commercial_calculation!AD8</f>
        <v>23475434013871.793</v>
      </c>
      <c r="AE6" s="3">
        <f>Commercial_calculation!AE8</f>
        <v>23897991826121.484</v>
      </c>
      <c r="AF6" s="3">
        <f>Commercial_calculation!AF8</f>
        <v>24328155678991.672</v>
      </c>
      <c r="AG6" s="3">
        <f>Commercial_calculation!AG8</f>
        <v>24766062481213.523</v>
      </c>
    </row>
    <row r="7" spans="1:35">
      <c r="A7" s="1" t="s">
        <v>11</v>
      </c>
      <c r="B7" s="3">
        <f>Commercial_calculation!B9</f>
        <v>6267469447800.001</v>
      </c>
      <c r="C7" s="3">
        <f>Commercial_calculation!C9</f>
        <v>20178874268305.18</v>
      </c>
      <c r="D7" s="3">
        <f>Commercial_calculation!D9</f>
        <v>21646428760545.555</v>
      </c>
      <c r="E7" s="3">
        <f>Commercial_calculation!E9</f>
        <v>15344411104444.094</v>
      </c>
      <c r="F7" s="3">
        <f>Commercial_calculation!F9</f>
        <v>16034909604144.076</v>
      </c>
      <c r="G7" s="3">
        <f>Commercial_calculation!G9</f>
        <v>16756480536330.559</v>
      </c>
      <c r="H7" s="3">
        <f>Commercial_calculation!H9</f>
        <v>17510522160465.432</v>
      </c>
      <c r="I7" s="3">
        <f>Commercial_calculation!I9</f>
        <v>18298495657686.375</v>
      </c>
      <c r="J7" s="3">
        <f>Commercial_calculation!J9</f>
        <v>19121927962282.262</v>
      </c>
      <c r="K7" s="3">
        <f>Commercial_calculation!K9</f>
        <v>19982414720584.961</v>
      </c>
      <c r="L7" s="3">
        <f>Commercial_calculation!L9</f>
        <v>20881623383011.281</v>
      </c>
      <c r="M7" s="3">
        <f>Commercial_calculation!M9</f>
        <v>21821296435246.789</v>
      </c>
      <c r="N7" s="3">
        <f>Commercial_calculation!N9</f>
        <v>22803254774832.895</v>
      </c>
      <c r="O7" s="3">
        <f>Commercial_calculation!O9</f>
        <v>23829401239700.375</v>
      </c>
      <c r="P7" s="3">
        <f>Commercial_calculation!P9</f>
        <v>24901724295486.891</v>
      </c>
      <c r="Q7" s="3">
        <f>Commercial_calculation!Q9</f>
        <v>26022301888783.801</v>
      </c>
      <c r="R7" s="3">
        <f>Commercial_calculation!R9</f>
        <v>27193305473779.07</v>
      </c>
      <c r="S7" s="3">
        <f>Commercial_calculation!S9</f>
        <v>28417004220099.125</v>
      </c>
      <c r="T7" s="3">
        <f>Commercial_calculation!T9</f>
        <v>29695769410003.582</v>
      </c>
      <c r="U7" s="3">
        <f>Commercial_calculation!U9</f>
        <v>31032079033453.742</v>
      </c>
      <c r="V7" s="3">
        <f>Commercial_calculation!V9</f>
        <v>32428522589959.16</v>
      </c>
      <c r="W7" s="3">
        <f>Commercial_calculation!W9</f>
        <v>33887806106507.32</v>
      </c>
      <c r="X7" s="3">
        <f>Commercial_calculation!X9</f>
        <v>35412757381300.148</v>
      </c>
      <c r="Y7" s="3">
        <f>Commercial_calculation!Y9</f>
        <v>37006331463458.656</v>
      </c>
      <c r="Z7" s="3">
        <f>Commercial_calculation!Z9</f>
        <v>38671616379314.297</v>
      </c>
      <c r="AA7" s="3">
        <f>Commercial_calculation!AA9</f>
        <v>40411839116383.438</v>
      </c>
      <c r="AB7" s="3">
        <f>Commercial_calculation!AB9</f>
        <v>42230371876620.688</v>
      </c>
      <c r="AC7" s="3">
        <f>Commercial_calculation!AC9</f>
        <v>44130738611068.617</v>
      </c>
      <c r="AD7" s="3">
        <f>Commercial_calculation!AD9</f>
        <v>46116621848566.703</v>
      </c>
      <c r="AE7" s="3">
        <f>Commercial_calculation!AE9</f>
        <v>48191869831752.203</v>
      </c>
      <c r="AF7" s="3">
        <f>Commercial_calculation!AF9</f>
        <v>50360503974181.047</v>
      </c>
      <c r="AG7" s="3">
        <f>Commercial_calculation!AG9</f>
        <v>52626726653019.188</v>
      </c>
    </row>
    <row r="8" spans="1:35">
      <c r="A8" s="1" t="s">
        <v>13</v>
      </c>
      <c r="B8" s="3">
        <f>Commercial_calculation!B10</f>
        <v>15264171876270.004</v>
      </c>
      <c r="C8" s="3">
        <f>Commercial_calculation!C10</f>
        <v>30210188668175.012</v>
      </c>
      <c r="D8" s="3">
        <f>Commercial_calculation!D10</f>
        <v>29890469275228.047</v>
      </c>
      <c r="E8" s="3">
        <f>Commercial_calculation!E10</f>
        <v>12927469082358.551</v>
      </c>
      <c r="F8" s="3">
        <f>Commercial_calculation!F10</f>
        <v>12306950566405.34</v>
      </c>
      <c r="G8" s="3">
        <f>Commercial_calculation!G10</f>
        <v>11716216939217.883</v>
      </c>
      <c r="H8" s="3">
        <f>Commercial_calculation!H10</f>
        <v>11153838526135.424</v>
      </c>
      <c r="I8" s="3">
        <f>Commercial_calculation!I10</f>
        <v>10618454276880.924</v>
      </c>
      <c r="J8" s="3">
        <f>Commercial_calculation!J10</f>
        <v>10108768471590.639</v>
      </c>
      <c r="K8" s="3">
        <f>Commercial_calculation!K10</f>
        <v>9623547584954.2871</v>
      </c>
      <c r="L8" s="3">
        <f>Commercial_calculation!L10</f>
        <v>9161617300876.4805</v>
      </c>
      <c r="M8" s="3">
        <f>Commercial_calculation!M10</f>
        <v>8721859670434.4092</v>
      </c>
      <c r="N8" s="3">
        <f>Commercial_calculation!N10</f>
        <v>8303210406253.5576</v>
      </c>
      <c r="O8" s="3">
        <f>Commercial_calculation!O10</f>
        <v>7904656306753.3867</v>
      </c>
      <c r="P8" s="3">
        <f>Commercial_calculation!P10</f>
        <v>7525232804029.2236</v>
      </c>
      <c r="Q8" s="3">
        <f>Commercial_calculation!Q10</f>
        <v>7164021629435.8203</v>
      </c>
      <c r="R8" s="3">
        <f>Commercial_calculation!R10</f>
        <v>6820148591222.9004</v>
      </c>
      <c r="S8" s="3">
        <f>Commercial_calculation!S10</f>
        <v>6492781458844.2012</v>
      </c>
      <c r="T8" s="3">
        <f>Commercial_calculation!T10</f>
        <v>6181127948819.6797</v>
      </c>
      <c r="U8" s="3">
        <f>Commercial_calculation!U10</f>
        <v>5884433807276.335</v>
      </c>
      <c r="V8" s="3">
        <f>Commercial_calculation!V10</f>
        <v>5601980984527.0703</v>
      </c>
      <c r="W8" s="3">
        <f>Commercial_calculation!W10</f>
        <v>5333085897269.7705</v>
      </c>
      <c r="X8" s="3">
        <f>Commercial_calculation!X10</f>
        <v>5077097774200.8213</v>
      </c>
      <c r="Y8" s="3">
        <f>Commercial_calculation!Y10</f>
        <v>4833397081039.1816</v>
      </c>
      <c r="Z8" s="3">
        <f>Commercial_calculation!Z10</f>
        <v>4601394021149.3008</v>
      </c>
      <c r="AA8" s="3">
        <f>Commercial_calculation!AA10</f>
        <v>4380527108134.1343</v>
      </c>
      <c r="AB8" s="3">
        <f>Commercial_calculation!AB10</f>
        <v>4170261806943.6958</v>
      </c>
      <c r="AC8" s="3">
        <f>Commercial_calculation!AC10</f>
        <v>3970089240210.3984</v>
      </c>
      <c r="AD8" s="3">
        <f>Commercial_calculation!AD10</f>
        <v>3779524956680.2993</v>
      </c>
      <c r="AE8" s="3">
        <f>Commercial_calculation!AE10</f>
        <v>3598107758759.645</v>
      </c>
      <c r="AF8" s="3">
        <f>Commercial_calculation!AF10</f>
        <v>3425398586339.1821</v>
      </c>
      <c r="AG8" s="3">
        <f>Commercial_calculation!AG10</f>
        <v>3260979454194.9014</v>
      </c>
    </row>
    <row r="9" spans="1:35">
      <c r="A9" s="1" t="s">
        <v>14</v>
      </c>
      <c r="B9" s="3">
        <f>Commercial_calculation!B11</f>
        <v>1809723965640.0002</v>
      </c>
      <c r="C9" s="3">
        <f>Commercial_calculation!C11</f>
        <v>3914557358154.1328</v>
      </c>
      <c r="D9" s="3">
        <f>Commercial_calculation!D11</f>
        <v>3543821376625.1646</v>
      </c>
      <c r="E9" s="3">
        <f>Commercial_calculation!E11</f>
        <v>1532683908636.0781</v>
      </c>
      <c r="F9" s="3">
        <f>Commercial_calculation!F11</f>
        <v>1459115081021.5464</v>
      </c>
      <c r="G9" s="3">
        <f>Commercial_calculation!G11</f>
        <v>1389077557132.5122</v>
      </c>
      <c r="H9" s="3">
        <f>Commercial_calculation!H11</f>
        <v>1322401834390.1516</v>
      </c>
      <c r="I9" s="3">
        <f>Commercial_calculation!I11</f>
        <v>1258926546339.4243</v>
      </c>
      <c r="J9" s="3">
        <f>Commercial_calculation!J11</f>
        <v>1198498072115.1318</v>
      </c>
      <c r="K9" s="3">
        <f>Commercial_calculation!K11</f>
        <v>1140970164653.6055</v>
      </c>
      <c r="L9" s="3">
        <f>Commercial_calculation!L11</f>
        <v>1086203596750.2323</v>
      </c>
      <c r="M9" s="3">
        <f>Commercial_calculation!M11</f>
        <v>1034065824106.2211</v>
      </c>
      <c r="N9" s="3">
        <f>Commercial_calculation!N11</f>
        <v>984430664549.12244</v>
      </c>
      <c r="O9" s="3">
        <f>Commercial_calculation!O11</f>
        <v>937177992650.76453</v>
      </c>
      <c r="P9" s="3">
        <f>Commercial_calculation!P11</f>
        <v>892193449003.52783</v>
      </c>
      <c r="Q9" s="3">
        <f>Commercial_calculation!Q11</f>
        <v>849368163451.3584</v>
      </c>
      <c r="R9" s="3">
        <f>Commercial_calculation!R11</f>
        <v>808598491605.69312</v>
      </c>
      <c r="S9" s="3">
        <f>Commercial_calculation!S11</f>
        <v>769785764008.61975</v>
      </c>
      <c r="T9" s="3">
        <f>Commercial_calculation!T11</f>
        <v>732836047336.20593</v>
      </c>
      <c r="U9" s="3">
        <f>Commercial_calculation!U11</f>
        <v>697659917064.06799</v>
      </c>
      <c r="V9" s="3">
        <f>Commercial_calculation!V11</f>
        <v>664172241044.99268</v>
      </c>
      <c r="W9" s="3">
        <f>Commercial_calculation!W11</f>
        <v>632291973474.83301</v>
      </c>
      <c r="X9" s="3">
        <f>Commercial_calculation!X11</f>
        <v>601941958748.04102</v>
      </c>
      <c r="Y9" s="3">
        <f>Commercial_calculation!Y11</f>
        <v>573048744728.13501</v>
      </c>
      <c r="Z9" s="3">
        <f>Commercial_calculation!Z11</f>
        <v>545542404981.18451</v>
      </c>
      <c r="AA9" s="3">
        <f>Commercial_calculation!AA11</f>
        <v>519356369542.08765</v>
      </c>
      <c r="AB9" s="3">
        <f>Commercial_calculation!AB11</f>
        <v>494427263804.06744</v>
      </c>
      <c r="AC9" s="3">
        <f>Commercial_calculation!AC11</f>
        <v>470694755141.47217</v>
      </c>
      <c r="AD9" s="3">
        <f>Commercial_calculation!AD11</f>
        <v>448101406894.68146</v>
      </c>
      <c r="AE9" s="3">
        <f>Commercial_calculation!AE11</f>
        <v>426592539363.73676</v>
      </c>
      <c r="AF9" s="3">
        <f>Commercial_calculation!AF11</f>
        <v>406116097474.27734</v>
      </c>
      <c r="AG9" s="3">
        <f>Commercial_calculation!AG11</f>
        <v>386622524795.51202</v>
      </c>
    </row>
    <row r="10" spans="1:35">
      <c r="A10" s="1" t="s">
        <v>15</v>
      </c>
      <c r="B10" s="3">
        <f>Commercial_calculation!B12</f>
        <v>13033096723140.002</v>
      </c>
      <c r="C10" s="3">
        <f>Commercial_calculation!C12</f>
        <v>26751168624944.395</v>
      </c>
      <c r="D10" s="3">
        <f>Commercial_calculation!D12</f>
        <v>25521553368363.07</v>
      </c>
      <c r="E10" s="3">
        <f>Commercial_calculation!E12</f>
        <v>11037936175084.029</v>
      </c>
      <c r="F10" s="3">
        <f>Commercial_calculation!F12</f>
        <v>10508115238679.996</v>
      </c>
      <c r="G10" s="3">
        <f>Commercial_calculation!G12</f>
        <v>10003725707223.355</v>
      </c>
      <c r="H10" s="3">
        <f>Commercial_calculation!H12</f>
        <v>9523546873276.6348</v>
      </c>
      <c r="I10" s="3">
        <f>Commercial_calculation!I12</f>
        <v>9066416623359.3555</v>
      </c>
      <c r="J10" s="3">
        <f>Commercial_calculation!J12</f>
        <v>8631228625438.1064</v>
      </c>
      <c r="K10" s="3">
        <f>Commercial_calculation!K12</f>
        <v>8216929651417.0771</v>
      </c>
      <c r="L10" s="3">
        <f>Commercial_calculation!L12</f>
        <v>7822517028149.0566</v>
      </c>
      <c r="M10" s="3">
        <f>Commercial_calculation!M12</f>
        <v>7447036210797.9014</v>
      </c>
      <c r="N10" s="3">
        <f>Commercial_calculation!N12</f>
        <v>7089578472679.6016</v>
      </c>
      <c r="O10" s="3">
        <f>Commercial_calculation!O12</f>
        <v>6749278705990.9805</v>
      </c>
      <c r="P10" s="3">
        <f>Commercial_calculation!P12</f>
        <v>6425313328103.4131</v>
      </c>
      <c r="Q10" s="3">
        <f>Commercial_calculation!Q12</f>
        <v>6116898288354.4492</v>
      </c>
      <c r="R10" s="3">
        <f>Commercial_calculation!R12</f>
        <v>5823287170513.4355</v>
      </c>
      <c r="S10" s="3">
        <f>Commercial_calculation!S12</f>
        <v>5543769386328.79</v>
      </c>
      <c r="T10" s="3">
        <f>Commercial_calculation!T12</f>
        <v>5277668455785.0078</v>
      </c>
      <c r="U10" s="3">
        <f>Commercial_calculation!U12</f>
        <v>5024340369907.3271</v>
      </c>
      <c r="V10" s="3">
        <f>Commercial_calculation!V12</f>
        <v>4783172032151.7754</v>
      </c>
      <c r="W10" s="3">
        <f>Commercial_calculation!W12</f>
        <v>4553579774608.4902</v>
      </c>
      <c r="X10" s="3">
        <f>Commercial_calculation!X12</f>
        <v>4335007945427.2827</v>
      </c>
      <c r="Y10" s="3">
        <f>Commercial_calculation!Y12</f>
        <v>4126927564046.7729</v>
      </c>
      <c r="Z10" s="3">
        <f>Commercial_calculation!Z12</f>
        <v>3928835040972.5278</v>
      </c>
      <c r="AA10" s="3">
        <f>Commercial_calculation!AA12</f>
        <v>3740250959005.8462</v>
      </c>
      <c r="AB10" s="3">
        <f>Commercial_calculation!AB12</f>
        <v>3560718912973.5654</v>
      </c>
      <c r="AC10" s="3">
        <f>Commercial_calculation!AC12</f>
        <v>3389804405150.834</v>
      </c>
      <c r="AD10" s="3">
        <f>Commercial_calculation!AD12</f>
        <v>3227093793703.5938</v>
      </c>
      <c r="AE10" s="3">
        <f>Commercial_calculation!AE12</f>
        <v>3072193291605.8213</v>
      </c>
      <c r="AF10" s="3">
        <f>Commercial_calculation!AF12</f>
        <v>2924728013608.7417</v>
      </c>
      <c r="AG10" s="3">
        <f>Commercial_calculation!AG12</f>
        <v>2784341068955.522</v>
      </c>
    </row>
    <row r="11" spans="1:35">
      <c r="A11" s="1" t="s">
        <v>16</v>
      </c>
      <c r="B11" s="3">
        <f>Commercial_calculation!B13</f>
        <v>0</v>
      </c>
      <c r="C11" s="3">
        <f>Commercial_calculation!C13</f>
        <v>0</v>
      </c>
      <c r="D11" s="3">
        <f>Commercial_calculation!D13</f>
        <v>0</v>
      </c>
      <c r="E11" s="3">
        <f>Commercial_calculation!E13</f>
        <v>0</v>
      </c>
      <c r="F11" s="3">
        <f>Commercial_calculation!F13</f>
        <v>0</v>
      </c>
      <c r="G11" s="3">
        <f>Commercial_calculation!G13</f>
        <v>0</v>
      </c>
      <c r="H11" s="3">
        <f>Commercial_calculation!H13</f>
        <v>0</v>
      </c>
      <c r="I11" s="3">
        <f>Commercial_calculation!I13</f>
        <v>0</v>
      </c>
      <c r="J11" s="3">
        <f>Commercial_calculation!J13</f>
        <v>0</v>
      </c>
      <c r="K11" s="3">
        <f>Commercial_calculation!K13</f>
        <v>0</v>
      </c>
      <c r="L11" s="3">
        <f>Commercial_calculation!L13</f>
        <v>0</v>
      </c>
      <c r="M11" s="3">
        <f>Commercial_calculation!M13</f>
        <v>0</v>
      </c>
      <c r="N11" s="3">
        <f>Commercial_calculation!N13</f>
        <v>0</v>
      </c>
      <c r="O11" s="3">
        <f>Commercial_calculation!O13</f>
        <v>0</v>
      </c>
      <c r="P11" s="3">
        <f>Commercial_calculation!P13</f>
        <v>0</v>
      </c>
      <c r="Q11" s="3">
        <f>Commercial_calculation!Q13</f>
        <v>0</v>
      </c>
      <c r="R11" s="3">
        <f>Commercial_calculation!R13</f>
        <v>0</v>
      </c>
      <c r="S11" s="3">
        <f>Commercial_calculation!S13</f>
        <v>0</v>
      </c>
      <c r="T11" s="3">
        <f>Commercial_calculation!T13</f>
        <v>0</v>
      </c>
      <c r="U11" s="3">
        <f>Commercial_calculation!U13</f>
        <v>0</v>
      </c>
      <c r="V11" s="3">
        <f>Commercial_calculation!V13</f>
        <v>0</v>
      </c>
      <c r="W11" s="3">
        <f>Commercial_calculation!W13</f>
        <v>0</v>
      </c>
      <c r="X11" s="3">
        <f>Commercial_calculation!X13</f>
        <v>0</v>
      </c>
      <c r="Y11" s="3">
        <f>Commercial_calculation!Y13</f>
        <v>0</v>
      </c>
      <c r="Z11" s="3">
        <f>Commercial_calculation!Z13</f>
        <v>0</v>
      </c>
      <c r="AA11" s="3">
        <f>Commercial_calculation!AA13</f>
        <v>0</v>
      </c>
      <c r="AB11" s="3">
        <f>Commercial_calculation!AB13</f>
        <v>0</v>
      </c>
      <c r="AC11" s="3">
        <f>Commercial_calculation!AC13</f>
        <v>0</v>
      </c>
      <c r="AD11" s="3">
        <f>Commercial_calculation!AD13</f>
        <v>0</v>
      </c>
      <c r="AE11" s="3">
        <f>Commercial_calculation!AE13</f>
        <v>0</v>
      </c>
      <c r="AF11" s="3">
        <f>Commercial_calculation!AF13</f>
        <v>0</v>
      </c>
      <c r="AG11" s="3">
        <f>Commercial_calculation!AG13</f>
        <v>0</v>
      </c>
    </row>
  </sheetData>
  <phoneticPr fontId="11" type="noConversion"/>
  <pageMargins left="0.7" right="0.7" top="0.75" bottom="0.75" header="0.3" footer="0.3"/>
  <pageSetup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I11"/>
  <sheetViews>
    <sheetView workbookViewId="0">
      <selection activeCell="B2" sqref="B2"/>
    </sheetView>
  </sheetViews>
  <sheetFormatPr defaultRowHeight="16.5"/>
  <cols>
    <col min="1" max="1" width="29.875" customWidth="1"/>
    <col min="2" max="2" width="10.25" bestFit="1" customWidth="1"/>
    <col min="3" max="33" width="9.625" bestFit="1" customWidth="1"/>
  </cols>
  <sheetData>
    <row r="1" spans="1:35">
      <c r="A1" s="1" t="s">
        <v>1</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c r="AI1" s="1"/>
    </row>
    <row r="2" spans="1:35">
      <c r="A2" s="1" t="s">
        <v>2</v>
      </c>
      <c r="B2" s="48">
        <f>Commercial_calculation!B16-DC_deduction_260831!B26</f>
        <v>184596519440634.13</v>
      </c>
      <c r="C2" s="48">
        <f>Commercial_calculation!C16-DC_deduction_260831!C26</f>
        <v>187105884650386.91</v>
      </c>
      <c r="D2" s="48">
        <f>Commercial_calculation!D16-DC_deduction_260831!D26</f>
        <v>188426859204656.03</v>
      </c>
      <c r="E2" s="48">
        <f>Commercial_calculation!E16-DC_deduction_260831!E26</f>
        <v>198996165132516.25</v>
      </c>
      <c r="F2" s="48">
        <f>Commercial_calculation!F16-DC_deduction_260831!F26</f>
        <v>200588134453576.38</v>
      </c>
      <c r="G2" s="48">
        <f>Commercial_calculation!G16-DC_deduction_260831!G26</f>
        <v>202192839529205</v>
      </c>
      <c r="H2" s="48">
        <f>Commercial_calculation!H16-DC_deduction_260831!H26</f>
        <v>203810382245438.66</v>
      </c>
      <c r="I2" s="48">
        <f>Commercial_calculation!I16-DC_deduction_260831!I26</f>
        <v>205440865303402.16</v>
      </c>
      <c r="J2" s="48">
        <f>Commercial_calculation!J16-DC_deduction_260831!J26</f>
        <v>207084392225829.38</v>
      </c>
      <c r="K2" s="48">
        <f>Commercial_calculation!K16-DC_deduction_260831!K26</f>
        <v>208741067363636</v>
      </c>
      <c r="L2" s="48">
        <f>Commercial_calculation!L16-DC_deduction_260831!L26</f>
        <v>210410995902545.13</v>
      </c>
      <c r="M2" s="48">
        <f>Commercial_calculation!M16-DC_deduction_260831!M26</f>
        <v>212094283869765.47</v>
      </c>
      <c r="N2" s="48">
        <f>Commercial_calculation!N16-DC_deduction_260831!N26</f>
        <v>213791038140723.59</v>
      </c>
      <c r="O2" s="48">
        <f>Commercial_calculation!O16-DC_deduction_260831!O26</f>
        <v>215501366445849.41</v>
      </c>
      <c r="P2" s="48">
        <f>Commercial_calculation!P16-DC_deduction_260831!P26</f>
        <v>217225377377416.19</v>
      </c>
      <c r="Q2" s="48">
        <f>Commercial_calculation!Q16-DC_deduction_260831!Q26</f>
        <v>218963180396435.53</v>
      </c>
      <c r="R2" s="48">
        <f>Commercial_calculation!R16-DC_deduction_260831!R26</f>
        <v>220714885839607</v>
      </c>
      <c r="S2" s="48">
        <f>Commercial_calculation!S16-DC_deduction_260831!S26</f>
        <v>222480604926323.88</v>
      </c>
      <c r="T2" s="48">
        <f>Commercial_calculation!T16-DC_deduction_260831!T26</f>
        <v>224260449765734.5</v>
      </c>
      <c r="U2" s="48">
        <f>Commercial_calculation!U16-DC_deduction_260831!U26</f>
        <v>226054533363860.34</v>
      </c>
      <c r="V2" s="48">
        <f>Commercial_calculation!V16-DC_deduction_260831!V26</f>
        <v>227862969630771.25</v>
      </c>
      <c r="W2" s="48">
        <f>Commercial_calculation!W16-DC_deduction_260831!W26</f>
        <v>229685873387817.44</v>
      </c>
      <c r="X2" s="48">
        <f>Commercial_calculation!X16-DC_deduction_260831!X26</f>
        <v>231523360374919.97</v>
      </c>
      <c r="Y2" s="48">
        <f>Commercial_calculation!Y16-DC_deduction_260831!Y26</f>
        <v>233375547257919.31</v>
      </c>
      <c r="Z2" s="48">
        <f>Commercial_calculation!Z16-DC_deduction_260831!Z26</f>
        <v>235242551635982.69</v>
      </c>
      <c r="AA2" s="48">
        <f>Commercial_calculation!AA16-DC_deduction_260831!AA26</f>
        <v>237124492049070.53</v>
      </c>
      <c r="AB2" s="48">
        <f>Commercial_calculation!AB16-DC_deduction_260831!AB26</f>
        <v>239021487985463.09</v>
      </c>
      <c r="AC2" s="48">
        <f>Commercial_calculation!AC16-DC_deduction_260831!AC26</f>
        <v>240933659889346.81</v>
      </c>
      <c r="AD2" s="48">
        <f>Commercial_calculation!AD16-DC_deduction_260831!AD26</f>
        <v>242861129168461.56</v>
      </c>
      <c r="AE2" s="48">
        <f>Commercial_calculation!AE16-DC_deduction_260831!AE26</f>
        <v>244804018201809.25</v>
      </c>
      <c r="AF2" s="48">
        <f>Commercial_calculation!AF16-DC_deduction_260831!AF26</f>
        <v>246762450347423.72</v>
      </c>
      <c r="AG2" s="48">
        <f>Commercial_calculation!AG16-DC_deduction_260831!AG26</f>
        <v>248736549950203.13</v>
      </c>
    </row>
    <row r="3" spans="1:35">
      <c r="A3" s="1" t="s">
        <v>3</v>
      </c>
      <c r="B3" s="3">
        <f>Commercial_calculation!B17</f>
        <v>0</v>
      </c>
      <c r="C3" s="3">
        <f>Commercial_calculation!C17</f>
        <v>0</v>
      </c>
      <c r="D3" s="3">
        <f>Commercial_calculation!D17</f>
        <v>0</v>
      </c>
      <c r="E3" s="3">
        <f>Commercial_calculation!E17</f>
        <v>0</v>
      </c>
      <c r="F3" s="3">
        <f>Commercial_calculation!F17</f>
        <v>0</v>
      </c>
      <c r="G3" s="3">
        <f>Commercial_calculation!G17</f>
        <v>0</v>
      </c>
      <c r="H3" s="3">
        <f>Commercial_calculation!H17</f>
        <v>0</v>
      </c>
      <c r="I3" s="3">
        <f>Commercial_calculation!I17</f>
        <v>0</v>
      </c>
      <c r="J3" s="3">
        <f>Commercial_calculation!J17</f>
        <v>0</v>
      </c>
      <c r="K3" s="3">
        <f>Commercial_calculation!K17</f>
        <v>0</v>
      </c>
      <c r="L3" s="3">
        <f>Commercial_calculation!L17</f>
        <v>0</v>
      </c>
      <c r="M3" s="3">
        <f>Commercial_calculation!M17</f>
        <v>0</v>
      </c>
      <c r="N3" s="3">
        <f>Commercial_calculation!N17</f>
        <v>0</v>
      </c>
      <c r="O3" s="3">
        <f>Commercial_calculation!O17</f>
        <v>0</v>
      </c>
      <c r="P3" s="3">
        <f>Commercial_calculation!P17</f>
        <v>0</v>
      </c>
      <c r="Q3" s="3">
        <f>Commercial_calculation!Q17</f>
        <v>0</v>
      </c>
      <c r="R3" s="3">
        <f>Commercial_calculation!R17</f>
        <v>0</v>
      </c>
      <c r="S3" s="3">
        <f>Commercial_calculation!S17</f>
        <v>0</v>
      </c>
      <c r="T3" s="3">
        <f>Commercial_calculation!T17</f>
        <v>0</v>
      </c>
      <c r="U3" s="3">
        <f>Commercial_calculation!U17</f>
        <v>0</v>
      </c>
      <c r="V3" s="3">
        <f>Commercial_calculation!V17</f>
        <v>0</v>
      </c>
      <c r="W3" s="3">
        <f>Commercial_calculation!W17</f>
        <v>0</v>
      </c>
      <c r="X3" s="3">
        <f>Commercial_calculation!X17</f>
        <v>0</v>
      </c>
      <c r="Y3" s="3">
        <f>Commercial_calculation!Y17</f>
        <v>0</v>
      </c>
      <c r="Z3" s="3">
        <f>Commercial_calculation!Z17</f>
        <v>0</v>
      </c>
      <c r="AA3" s="3">
        <f>Commercial_calculation!AA17</f>
        <v>0</v>
      </c>
      <c r="AB3" s="3">
        <f>Commercial_calculation!AB17</f>
        <v>0</v>
      </c>
      <c r="AC3" s="3">
        <f>Commercial_calculation!AC17</f>
        <v>0</v>
      </c>
      <c r="AD3" s="3">
        <f>Commercial_calculation!AD17</f>
        <v>0</v>
      </c>
      <c r="AE3" s="3">
        <f>Commercial_calculation!AE17</f>
        <v>0</v>
      </c>
      <c r="AF3" s="3">
        <f>Commercial_calculation!AF17</f>
        <v>0</v>
      </c>
      <c r="AG3" s="3">
        <f>Commercial_calculation!AG17</f>
        <v>0</v>
      </c>
    </row>
    <row r="4" spans="1:35">
      <c r="A4" s="1" t="s">
        <v>4</v>
      </c>
      <c r="B4" s="3">
        <f>Commercial_calculation!B18</f>
        <v>26651689808610.008</v>
      </c>
      <c r="C4" s="3">
        <f>Commercial_calculation!C18</f>
        <v>22553995361575.227</v>
      </c>
      <c r="D4" s="3">
        <f>Commercial_calculation!D18</f>
        <v>22485893810936.379</v>
      </c>
      <c r="E4" s="3">
        <f>Commercial_calculation!E18</f>
        <v>24460219674457.195</v>
      </c>
      <c r="F4" s="3">
        <f>Commercial_calculation!F18</f>
        <v>24949424067946.34</v>
      </c>
      <c r="G4" s="3">
        <f>Commercial_calculation!G18</f>
        <v>25448412549305.266</v>
      </c>
      <c r="H4" s="3">
        <f>Commercial_calculation!H18</f>
        <v>25957380800291.371</v>
      </c>
      <c r="I4" s="3">
        <f>Commercial_calculation!I18</f>
        <v>26476528416297.199</v>
      </c>
      <c r="J4" s="3">
        <f>Commercial_calculation!J18</f>
        <v>27006058984623.145</v>
      </c>
      <c r="K4" s="3">
        <f>Commercial_calculation!K18</f>
        <v>27546180164315.609</v>
      </c>
      <c r="L4" s="3">
        <f>Commercial_calculation!L18</f>
        <v>28097103767601.922</v>
      </c>
      <c r="M4" s="3">
        <f>Commercial_calculation!M18</f>
        <v>28659045842953.961</v>
      </c>
      <c r="N4" s="3">
        <f>Commercial_calculation!N18</f>
        <v>29232226759813.039</v>
      </c>
      <c r="O4" s="3">
        <f>Commercial_calculation!O18</f>
        <v>29816871295009.301</v>
      </c>
      <c r="P4" s="3">
        <f>Commercial_calculation!P18</f>
        <v>30413208720909.488</v>
      </c>
      <c r="Q4" s="3">
        <f>Commercial_calculation!Q18</f>
        <v>31021472895327.68</v>
      </c>
      <c r="R4" s="3">
        <f>Commercial_calculation!R18</f>
        <v>31641902353234.234</v>
      </c>
      <c r="S4" s="3">
        <f>Commercial_calculation!S18</f>
        <v>32274740400298.918</v>
      </c>
      <c r="T4" s="3">
        <f>Commercial_calculation!T18</f>
        <v>32920235208304.898</v>
      </c>
      <c r="U4" s="3">
        <f>Commercial_calculation!U18</f>
        <v>33578639912470.996</v>
      </c>
      <c r="V4" s="3">
        <f>Commercial_calculation!V18</f>
        <v>34250212710720.418</v>
      </c>
      <c r="W4" s="3">
        <f>Commercial_calculation!W18</f>
        <v>34935216964934.828</v>
      </c>
      <c r="X4" s="3">
        <f>Commercial_calculation!X18</f>
        <v>35633921304233.523</v>
      </c>
      <c r="Y4" s="3">
        <f>Commercial_calculation!Y18</f>
        <v>36346599730318.195</v>
      </c>
      <c r="Z4" s="3">
        <f>Commercial_calculation!Z18</f>
        <v>37073531724924.563</v>
      </c>
      <c r="AA4" s="3">
        <f>Commercial_calculation!AA18</f>
        <v>37815002359423.055</v>
      </c>
      <c r="AB4" s="3">
        <f>Commercial_calculation!AB18</f>
        <v>38571302406611.516</v>
      </c>
      <c r="AC4" s="3">
        <f>Commercial_calculation!AC18</f>
        <v>39342728454743.75</v>
      </c>
      <c r="AD4" s="3">
        <f>Commercial_calculation!AD18</f>
        <v>40129583023838.625</v>
      </c>
      <c r="AE4" s="3">
        <f>Commercial_calculation!AE18</f>
        <v>40932174684315.398</v>
      </c>
      <c r="AF4" s="3">
        <f>Commercial_calculation!AF18</f>
        <v>41750818178001.711</v>
      </c>
      <c r="AG4" s="3">
        <f>Commercial_calculation!AG18</f>
        <v>42585834541561.742</v>
      </c>
    </row>
    <row r="5" spans="1:35">
      <c r="A5" s="1" t="s">
        <v>5</v>
      </c>
      <c r="B5" s="3">
        <f>Commercial_calculation!B19</f>
        <v>0</v>
      </c>
      <c r="C5" s="3">
        <f>Commercial_calculation!C19</f>
        <v>0</v>
      </c>
      <c r="D5" s="3">
        <f>Commercial_calculation!D19</f>
        <v>0</v>
      </c>
      <c r="E5" s="3">
        <f>Commercial_calculation!E19</f>
        <v>0</v>
      </c>
      <c r="F5" s="3">
        <f>Commercial_calculation!F19</f>
        <v>0</v>
      </c>
      <c r="G5" s="3">
        <f>Commercial_calculation!G19</f>
        <v>0</v>
      </c>
      <c r="H5" s="3">
        <f>Commercial_calculation!H19</f>
        <v>0</v>
      </c>
      <c r="I5" s="3">
        <f>Commercial_calculation!I19</f>
        <v>0</v>
      </c>
      <c r="J5" s="3">
        <f>Commercial_calculation!J19</f>
        <v>0</v>
      </c>
      <c r="K5" s="3">
        <f>Commercial_calculation!K19</f>
        <v>0</v>
      </c>
      <c r="L5" s="3">
        <f>Commercial_calculation!L19</f>
        <v>0</v>
      </c>
      <c r="M5" s="3">
        <f>Commercial_calculation!M19</f>
        <v>0</v>
      </c>
      <c r="N5" s="3">
        <f>Commercial_calculation!N19</f>
        <v>0</v>
      </c>
      <c r="O5" s="3">
        <f>Commercial_calculation!O19</f>
        <v>0</v>
      </c>
      <c r="P5" s="3">
        <f>Commercial_calculation!P19</f>
        <v>0</v>
      </c>
      <c r="Q5" s="3">
        <f>Commercial_calculation!Q19</f>
        <v>0</v>
      </c>
      <c r="R5" s="3">
        <f>Commercial_calculation!R19</f>
        <v>0</v>
      </c>
      <c r="S5" s="3">
        <f>Commercial_calculation!S19</f>
        <v>0</v>
      </c>
      <c r="T5" s="3">
        <f>Commercial_calculation!T19</f>
        <v>0</v>
      </c>
      <c r="U5" s="3">
        <f>Commercial_calculation!U19</f>
        <v>0</v>
      </c>
      <c r="V5" s="3">
        <f>Commercial_calculation!V19</f>
        <v>0</v>
      </c>
      <c r="W5" s="3">
        <f>Commercial_calculation!W19</f>
        <v>0</v>
      </c>
      <c r="X5" s="3">
        <f>Commercial_calculation!X19</f>
        <v>0</v>
      </c>
      <c r="Y5" s="3">
        <f>Commercial_calculation!Y19</f>
        <v>0</v>
      </c>
      <c r="Z5" s="3">
        <f>Commercial_calculation!Z19</f>
        <v>0</v>
      </c>
      <c r="AA5" s="3">
        <f>Commercial_calculation!AA19</f>
        <v>0</v>
      </c>
      <c r="AB5" s="3">
        <f>Commercial_calculation!AB19</f>
        <v>0</v>
      </c>
      <c r="AC5" s="3">
        <f>Commercial_calculation!AC19</f>
        <v>0</v>
      </c>
      <c r="AD5" s="3">
        <f>Commercial_calculation!AD19</f>
        <v>0</v>
      </c>
      <c r="AE5" s="3">
        <f>Commercial_calculation!AE19</f>
        <v>0</v>
      </c>
      <c r="AF5" s="3">
        <f>Commercial_calculation!AF19</f>
        <v>0</v>
      </c>
      <c r="AG5" s="3">
        <f>Commercial_calculation!AG19</f>
        <v>0</v>
      </c>
    </row>
    <row r="6" spans="1:35">
      <c r="A6" s="1" t="s">
        <v>7</v>
      </c>
      <c r="B6" s="3">
        <f>Commercial_calculation!B20</f>
        <v>886476802590.00024</v>
      </c>
      <c r="C6" s="3">
        <f>Commercial_calculation!C20</f>
        <v>1216448800807.4678</v>
      </c>
      <c r="D6" s="3">
        <f>Commercial_calculation!D20</f>
        <v>1225371408148.354</v>
      </c>
      <c r="E6" s="3">
        <f>Commercial_calculation!E20</f>
        <v>1217638481786.2527</v>
      </c>
      <c r="F6" s="3">
        <f>Commercial_calculation!F20</f>
        <v>1239555974458.4053</v>
      </c>
      <c r="G6" s="3">
        <f>Commercial_calculation!G20</f>
        <v>1261867981998.6565</v>
      </c>
      <c r="H6" s="3">
        <f>Commercial_calculation!H20</f>
        <v>1284581605674.6323</v>
      </c>
      <c r="I6" s="3">
        <f>Commercial_calculation!I20</f>
        <v>1307704074576.7756</v>
      </c>
      <c r="J6" s="3">
        <f>Commercial_calculation!J20</f>
        <v>1331242747919.1577</v>
      </c>
      <c r="K6" s="3">
        <f>Commercial_calculation!K20</f>
        <v>1355205117381.7026</v>
      </c>
      <c r="L6" s="3">
        <f>Commercial_calculation!L20</f>
        <v>1379598809494.5732</v>
      </c>
      <c r="M6" s="3">
        <f>Commercial_calculation!M20</f>
        <v>1404431588065.4756</v>
      </c>
      <c r="N6" s="3">
        <f>Commercial_calculation!N20</f>
        <v>1429711356650.6541</v>
      </c>
      <c r="O6" s="3">
        <f>Commercial_calculation!O20</f>
        <v>1455446161070.366</v>
      </c>
      <c r="P6" s="3">
        <f>Commercial_calculation!P20</f>
        <v>1481644191969.6326</v>
      </c>
      <c r="Q6" s="3">
        <f>Commercial_calculation!Q20</f>
        <v>1508313787425.0859</v>
      </c>
      <c r="R6" s="3">
        <f>Commercial_calculation!R20</f>
        <v>1535463435598.7375</v>
      </c>
      <c r="S6" s="3">
        <f>Commercial_calculation!S20</f>
        <v>1563101777439.5149</v>
      </c>
      <c r="T6" s="3">
        <f>Commercial_calculation!T20</f>
        <v>1591237609433.4263</v>
      </c>
      <c r="U6" s="3">
        <f>Commercial_calculation!U20</f>
        <v>1619879886403.228</v>
      </c>
      <c r="V6" s="3">
        <f>Commercial_calculation!V20</f>
        <v>1649037724358.4861</v>
      </c>
      <c r="W6" s="3">
        <f>Commercial_calculation!W20</f>
        <v>1678720403396.939</v>
      </c>
      <c r="X6" s="3">
        <f>Commercial_calculation!X20</f>
        <v>1708937370658.084</v>
      </c>
      <c r="Y6" s="3">
        <f>Commercial_calculation!Y20</f>
        <v>1739698243329.9294</v>
      </c>
      <c r="Z6" s="3">
        <f>Commercial_calculation!Z20</f>
        <v>1771012811709.8682</v>
      </c>
      <c r="AA6" s="3">
        <f>Commercial_calculation!AA20</f>
        <v>1802891042320.6458</v>
      </c>
      <c r="AB6" s="3">
        <f>Commercial_calculation!AB20</f>
        <v>1835343081082.4175</v>
      </c>
      <c r="AC6" s="3">
        <f>Commercial_calculation!AC20</f>
        <v>1868379256541.9011</v>
      </c>
      <c r="AD6" s="3">
        <f>Commercial_calculation!AD20</f>
        <v>1902010083159.6553</v>
      </c>
      <c r="AE6" s="3">
        <f>Commercial_calculation!AE20</f>
        <v>1936246264656.5291</v>
      </c>
      <c r="AF6" s="3">
        <f>Commercial_calculation!AF20</f>
        <v>1971098697420.3467</v>
      </c>
      <c r="AG6" s="3">
        <f>Commercial_calculation!AG20</f>
        <v>2006578473973.9128</v>
      </c>
    </row>
    <row r="7" spans="1:35">
      <c r="A7" s="1" t="s">
        <v>11</v>
      </c>
      <c r="B7" s="3">
        <f>Commercial_calculation!B21</f>
        <v>2133879336300.0005</v>
      </c>
      <c r="C7" s="3">
        <f>Commercial_calculation!C21</f>
        <v>6870282047572.9375</v>
      </c>
      <c r="D7" s="3">
        <f>Commercial_calculation!D21</f>
        <v>7369938923760.0596</v>
      </c>
      <c r="E7" s="3">
        <f>Commercial_calculation!E21</f>
        <v>5224296991979.5889</v>
      </c>
      <c r="F7" s="3">
        <f>Commercial_calculation!F21</f>
        <v>5459390356618.6699</v>
      </c>
      <c r="G7" s="3">
        <f>Commercial_calculation!G21</f>
        <v>5705062922666.5098</v>
      </c>
      <c r="H7" s="3">
        <f>Commercial_calculation!H21</f>
        <v>5961790754186.502</v>
      </c>
      <c r="I7" s="3">
        <f>Commercial_calculation!I21</f>
        <v>6230071338124.8945</v>
      </c>
      <c r="J7" s="3">
        <f>Commercial_calculation!J21</f>
        <v>6510424548340.5146</v>
      </c>
      <c r="K7" s="3">
        <f>Commercial_calculation!K21</f>
        <v>6803393653015.8369</v>
      </c>
      <c r="L7" s="3">
        <f>Commercial_calculation!L21</f>
        <v>7109546367401.5488</v>
      </c>
      <c r="M7" s="3">
        <f>Commercial_calculation!M21</f>
        <v>7429475953934.6182</v>
      </c>
      <c r="N7" s="3">
        <f>Commercial_calculation!N21</f>
        <v>7763802371861.6758</v>
      </c>
      <c r="O7" s="3">
        <f>Commercial_calculation!O21</f>
        <v>8113173478595.4502</v>
      </c>
      <c r="P7" s="3">
        <f>Commercial_calculation!P21</f>
        <v>8478266285132.2451</v>
      </c>
      <c r="Q7" s="3">
        <f>Commercial_calculation!Q21</f>
        <v>8859788267963.1953</v>
      </c>
      <c r="R7" s="3">
        <f>Commercial_calculation!R21</f>
        <v>9258478740021.5391</v>
      </c>
      <c r="S7" s="3">
        <f>Commercial_calculation!S21</f>
        <v>9675110283322.5078</v>
      </c>
      <c r="T7" s="3">
        <f>Commercial_calculation!T21</f>
        <v>10110490246072.02</v>
      </c>
      <c r="U7" s="3">
        <f>Commercial_calculation!U21</f>
        <v>10565462307145.26</v>
      </c>
      <c r="V7" s="3">
        <f>Commercial_calculation!V21</f>
        <v>11040908110966.795</v>
      </c>
      <c r="W7" s="3">
        <f>Commercial_calculation!W21</f>
        <v>11537748975960.301</v>
      </c>
      <c r="X7" s="3">
        <f>Commercial_calculation!X21</f>
        <v>12056947679878.514</v>
      </c>
      <c r="Y7" s="3">
        <f>Commercial_calculation!Y21</f>
        <v>12599510325473.047</v>
      </c>
      <c r="Z7" s="3">
        <f>Commercial_calculation!Z21</f>
        <v>13166488290119.334</v>
      </c>
      <c r="AA7" s="3">
        <f>Commercial_calculation!AA21</f>
        <v>13758980263174.703</v>
      </c>
      <c r="AB7" s="3">
        <f>Commercial_calculation!AB21</f>
        <v>14378134375017.564</v>
      </c>
      <c r="AC7" s="3">
        <f>Commercial_calculation!AC21</f>
        <v>15025150421893.354</v>
      </c>
      <c r="AD7" s="3">
        <f>Commercial_calculation!AD21</f>
        <v>15701282190878.553</v>
      </c>
      <c r="AE7" s="3">
        <f>Commercial_calculation!AE21</f>
        <v>16407839889468.086</v>
      </c>
      <c r="AF7" s="3">
        <f>Commercial_calculation!AF21</f>
        <v>17146192684494.148</v>
      </c>
      <c r="AG7" s="3">
        <f>Commercial_calculation!AG21</f>
        <v>17917771355296.383</v>
      </c>
    </row>
    <row r="8" spans="1:35">
      <c r="A8" s="1" t="s">
        <v>13</v>
      </c>
      <c r="B8" s="3">
        <f>Commercial_calculation!B22</f>
        <v>0</v>
      </c>
      <c r="C8" s="3">
        <f>Commercial_calculation!C22</f>
        <v>0</v>
      </c>
      <c r="D8" s="3">
        <f>Commercial_calculation!D22</f>
        <v>0</v>
      </c>
      <c r="E8" s="3">
        <f>Commercial_calculation!E22</f>
        <v>0</v>
      </c>
      <c r="F8" s="3">
        <f>Commercial_calculation!F22</f>
        <v>0</v>
      </c>
      <c r="G8" s="3">
        <f>Commercial_calculation!G22</f>
        <v>0</v>
      </c>
      <c r="H8" s="3">
        <f>Commercial_calculation!H22</f>
        <v>0</v>
      </c>
      <c r="I8" s="3">
        <f>Commercial_calculation!I22</f>
        <v>0</v>
      </c>
      <c r="J8" s="3">
        <f>Commercial_calculation!J22</f>
        <v>0</v>
      </c>
      <c r="K8" s="3">
        <f>Commercial_calculation!K22</f>
        <v>0</v>
      </c>
      <c r="L8" s="3">
        <f>Commercial_calculation!L22</f>
        <v>0</v>
      </c>
      <c r="M8" s="3">
        <f>Commercial_calculation!M22</f>
        <v>0</v>
      </c>
      <c r="N8" s="3">
        <f>Commercial_calculation!N22</f>
        <v>0</v>
      </c>
      <c r="O8" s="3">
        <f>Commercial_calculation!O22</f>
        <v>0</v>
      </c>
      <c r="P8" s="3">
        <f>Commercial_calculation!P22</f>
        <v>0</v>
      </c>
      <c r="Q8" s="3">
        <f>Commercial_calculation!Q22</f>
        <v>0</v>
      </c>
      <c r="R8" s="3">
        <f>Commercial_calculation!R22</f>
        <v>0</v>
      </c>
      <c r="S8" s="3">
        <f>Commercial_calculation!S22</f>
        <v>0</v>
      </c>
      <c r="T8" s="3">
        <f>Commercial_calculation!T22</f>
        <v>0</v>
      </c>
      <c r="U8" s="3">
        <f>Commercial_calculation!U22</f>
        <v>0</v>
      </c>
      <c r="V8" s="3">
        <f>Commercial_calculation!V22</f>
        <v>0</v>
      </c>
      <c r="W8" s="3">
        <f>Commercial_calculation!W22</f>
        <v>0</v>
      </c>
      <c r="X8" s="3">
        <f>Commercial_calculation!X22</f>
        <v>0</v>
      </c>
      <c r="Y8" s="3">
        <f>Commercial_calculation!Y22</f>
        <v>0</v>
      </c>
      <c r="Z8" s="3">
        <f>Commercial_calculation!Z22</f>
        <v>0</v>
      </c>
      <c r="AA8" s="3">
        <f>Commercial_calculation!AA22</f>
        <v>0</v>
      </c>
      <c r="AB8" s="3">
        <f>Commercial_calculation!AB22</f>
        <v>0</v>
      </c>
      <c r="AC8" s="3">
        <f>Commercial_calculation!AC22</f>
        <v>0</v>
      </c>
      <c r="AD8" s="3">
        <f>Commercial_calculation!AD22</f>
        <v>0</v>
      </c>
      <c r="AE8" s="3">
        <f>Commercial_calculation!AE22</f>
        <v>0</v>
      </c>
      <c r="AF8" s="3">
        <f>Commercial_calculation!AF22</f>
        <v>0</v>
      </c>
      <c r="AG8" s="3">
        <f>Commercial_calculation!AG22</f>
        <v>0</v>
      </c>
    </row>
    <row r="9" spans="1:35">
      <c r="A9" s="1" t="s">
        <v>14</v>
      </c>
      <c r="B9" s="3">
        <f>Commercial_calculation!B23</f>
        <v>0</v>
      </c>
      <c r="C9" s="3">
        <f>Commercial_calculation!C23</f>
        <v>0</v>
      </c>
      <c r="D9" s="3">
        <f>Commercial_calculation!D23</f>
        <v>0</v>
      </c>
      <c r="E9" s="3">
        <f>Commercial_calculation!E23</f>
        <v>0</v>
      </c>
      <c r="F9" s="3">
        <f>Commercial_calculation!F23</f>
        <v>0</v>
      </c>
      <c r="G9" s="3">
        <f>Commercial_calculation!G23</f>
        <v>0</v>
      </c>
      <c r="H9" s="3">
        <f>Commercial_calculation!H23</f>
        <v>0</v>
      </c>
      <c r="I9" s="3">
        <f>Commercial_calculation!I23</f>
        <v>0</v>
      </c>
      <c r="J9" s="3">
        <f>Commercial_calculation!J23</f>
        <v>0</v>
      </c>
      <c r="K9" s="3">
        <f>Commercial_calculation!K23</f>
        <v>0</v>
      </c>
      <c r="L9" s="3">
        <f>Commercial_calculation!L23</f>
        <v>0</v>
      </c>
      <c r="M9" s="3">
        <f>Commercial_calculation!M23</f>
        <v>0</v>
      </c>
      <c r="N9" s="3">
        <f>Commercial_calculation!N23</f>
        <v>0</v>
      </c>
      <c r="O9" s="3">
        <f>Commercial_calculation!O23</f>
        <v>0</v>
      </c>
      <c r="P9" s="3">
        <f>Commercial_calculation!P23</f>
        <v>0</v>
      </c>
      <c r="Q9" s="3">
        <f>Commercial_calculation!Q23</f>
        <v>0</v>
      </c>
      <c r="R9" s="3">
        <f>Commercial_calculation!R23</f>
        <v>0</v>
      </c>
      <c r="S9" s="3">
        <f>Commercial_calculation!S23</f>
        <v>0</v>
      </c>
      <c r="T9" s="3">
        <f>Commercial_calculation!T23</f>
        <v>0</v>
      </c>
      <c r="U9" s="3">
        <f>Commercial_calculation!U23</f>
        <v>0</v>
      </c>
      <c r="V9" s="3">
        <f>Commercial_calculation!V23</f>
        <v>0</v>
      </c>
      <c r="W9" s="3">
        <f>Commercial_calculation!W23</f>
        <v>0</v>
      </c>
      <c r="X9" s="3">
        <f>Commercial_calculation!X23</f>
        <v>0</v>
      </c>
      <c r="Y9" s="3">
        <f>Commercial_calculation!Y23</f>
        <v>0</v>
      </c>
      <c r="Z9" s="3">
        <f>Commercial_calculation!Z23</f>
        <v>0</v>
      </c>
      <c r="AA9" s="3">
        <f>Commercial_calculation!AA23</f>
        <v>0</v>
      </c>
      <c r="AB9" s="3">
        <f>Commercial_calculation!AB23</f>
        <v>0</v>
      </c>
      <c r="AC9" s="3">
        <f>Commercial_calculation!AC23</f>
        <v>0</v>
      </c>
      <c r="AD9" s="3">
        <f>Commercial_calculation!AD23</f>
        <v>0</v>
      </c>
      <c r="AE9" s="3">
        <f>Commercial_calculation!AE23</f>
        <v>0</v>
      </c>
      <c r="AF9" s="3">
        <f>Commercial_calculation!AF23</f>
        <v>0</v>
      </c>
      <c r="AG9" s="3">
        <f>Commercial_calculation!AG23</f>
        <v>0</v>
      </c>
    </row>
    <row r="10" spans="1:35">
      <c r="A10" s="1" t="s">
        <v>15</v>
      </c>
      <c r="B10" s="3">
        <f>Commercial_calculation!B24</f>
        <v>1739842026540.0002</v>
      </c>
      <c r="C10" s="3">
        <f>Commercial_calculation!C24</f>
        <v>3564313909643.1494</v>
      </c>
      <c r="D10" s="3">
        <f>Commercial_calculation!D24</f>
        <v>3406977794772.604</v>
      </c>
      <c r="E10" s="3">
        <f>Commercial_calculation!E24</f>
        <v>1473499786860.3694</v>
      </c>
      <c r="F10" s="3">
        <f>Commercial_calculation!F24</f>
        <v>1402771797091.0715</v>
      </c>
      <c r="G10" s="3">
        <f>Commercial_calculation!G24</f>
        <v>1335438750830.7</v>
      </c>
      <c r="H10" s="3">
        <f>Commercial_calculation!H24</f>
        <v>1271337690790.8264</v>
      </c>
      <c r="I10" s="3">
        <f>Commercial_calculation!I24</f>
        <v>1210313481632.8667</v>
      </c>
      <c r="J10" s="3">
        <f>Commercial_calculation!J24</f>
        <v>1152218434514.489</v>
      </c>
      <c r="K10" s="3">
        <f>Commercial_calculation!K24</f>
        <v>1096911949657.7935</v>
      </c>
      <c r="L10" s="3">
        <f>Commercial_calculation!L24</f>
        <v>1044260176074.2194</v>
      </c>
      <c r="M10" s="3">
        <f>Commercial_calculation!M24</f>
        <v>994135687622.65674</v>
      </c>
      <c r="N10" s="3">
        <f>Commercial_calculation!N24</f>
        <v>946417174616.76917</v>
      </c>
      <c r="O10" s="3">
        <f>Commercial_calculation!O24</f>
        <v>900989150235.16418</v>
      </c>
      <c r="P10" s="3">
        <f>Commercial_calculation!P24</f>
        <v>857741671023.87622</v>
      </c>
      <c r="Q10" s="3">
        <f>Commercial_calculation!Q24</f>
        <v>816570070814.7301</v>
      </c>
      <c r="R10" s="3">
        <f>Commercial_calculation!R24</f>
        <v>777374707415.62305</v>
      </c>
      <c r="S10" s="3">
        <f>Commercial_calculation!S24</f>
        <v>740060721459.6731</v>
      </c>
      <c r="T10" s="3">
        <f>Commercial_calculation!T24</f>
        <v>704537806829.60876</v>
      </c>
      <c r="U10" s="3">
        <f>Commercial_calculation!U24</f>
        <v>670719992101.78748</v>
      </c>
      <c r="V10" s="3">
        <f>Commercial_calculation!V24</f>
        <v>638525432480.90161</v>
      </c>
      <c r="W10" s="3">
        <f>Commercial_calculation!W24</f>
        <v>607876211721.81836</v>
      </c>
      <c r="X10" s="3">
        <f>Commercial_calculation!X24</f>
        <v>578698153559.17102</v>
      </c>
      <c r="Y10" s="3">
        <f>Commercial_calculation!Y24</f>
        <v>550920642188.33081</v>
      </c>
      <c r="Z10" s="3">
        <f>Commercial_calculation!Z24</f>
        <v>524476451363.29089</v>
      </c>
      <c r="AA10" s="3">
        <f>Commercial_calculation!AA24</f>
        <v>499301581697.85291</v>
      </c>
      <c r="AB10" s="3">
        <f>Commercial_calculation!AB24</f>
        <v>475335105776.35596</v>
      </c>
      <c r="AC10" s="3">
        <f>Commercial_calculation!AC24</f>
        <v>452519020699.09082</v>
      </c>
      <c r="AD10" s="3">
        <f>Commercial_calculation!AD24</f>
        <v>430798107705.53442</v>
      </c>
      <c r="AE10" s="3">
        <f>Commercial_calculation!AE24</f>
        <v>410119798535.66876</v>
      </c>
      <c r="AF10" s="3">
        <f>Commercial_calculation!AF24</f>
        <v>390434048205.95667</v>
      </c>
      <c r="AG10" s="3">
        <f>Commercial_calculation!AG24</f>
        <v>371693213892.07074</v>
      </c>
    </row>
    <row r="11" spans="1:35">
      <c r="A11" s="1" t="s">
        <v>16</v>
      </c>
      <c r="B11" s="3">
        <f>Commercial_calculation!B25</f>
        <v>0</v>
      </c>
      <c r="C11" s="3">
        <f>Commercial_calculation!C25</f>
        <v>0</v>
      </c>
      <c r="D11" s="3">
        <f>Commercial_calculation!D25</f>
        <v>0</v>
      </c>
      <c r="E11" s="3">
        <f>Commercial_calculation!E25</f>
        <v>0</v>
      </c>
      <c r="F11" s="3">
        <f>Commercial_calculation!F25</f>
        <v>0</v>
      </c>
      <c r="G11" s="3">
        <f>Commercial_calculation!G25</f>
        <v>0</v>
      </c>
      <c r="H11" s="3">
        <f>Commercial_calculation!H25</f>
        <v>0</v>
      </c>
      <c r="I11" s="3">
        <f>Commercial_calculation!I25</f>
        <v>0</v>
      </c>
      <c r="J11" s="3">
        <f>Commercial_calculation!J25</f>
        <v>0</v>
      </c>
      <c r="K11" s="3">
        <f>Commercial_calculation!K25</f>
        <v>0</v>
      </c>
      <c r="L11" s="3">
        <f>Commercial_calculation!L25</f>
        <v>0</v>
      </c>
      <c r="M11" s="3">
        <f>Commercial_calculation!M25</f>
        <v>0</v>
      </c>
      <c r="N11" s="3">
        <f>Commercial_calculation!N25</f>
        <v>0</v>
      </c>
      <c r="O11" s="3">
        <f>Commercial_calculation!O25</f>
        <v>0</v>
      </c>
      <c r="P11" s="3">
        <f>Commercial_calculation!P25</f>
        <v>0</v>
      </c>
      <c r="Q11" s="3">
        <f>Commercial_calculation!Q25</f>
        <v>0</v>
      </c>
      <c r="R11" s="3">
        <f>Commercial_calculation!R25</f>
        <v>0</v>
      </c>
      <c r="S11" s="3">
        <f>Commercial_calculation!S25</f>
        <v>0</v>
      </c>
      <c r="T11" s="3">
        <f>Commercial_calculation!T25</f>
        <v>0</v>
      </c>
      <c r="U11" s="3">
        <f>Commercial_calculation!U25</f>
        <v>0</v>
      </c>
      <c r="V11" s="3">
        <f>Commercial_calculation!V25</f>
        <v>0</v>
      </c>
      <c r="W11" s="3">
        <f>Commercial_calculation!W25</f>
        <v>0</v>
      </c>
      <c r="X11" s="3">
        <f>Commercial_calculation!X25</f>
        <v>0</v>
      </c>
      <c r="Y11" s="3">
        <f>Commercial_calculation!Y25</f>
        <v>0</v>
      </c>
      <c r="Z11" s="3">
        <f>Commercial_calculation!Z25</f>
        <v>0</v>
      </c>
      <c r="AA11" s="3">
        <f>Commercial_calculation!AA25</f>
        <v>0</v>
      </c>
      <c r="AB11" s="3">
        <f>Commercial_calculation!AB25</f>
        <v>0</v>
      </c>
      <c r="AC11" s="3">
        <f>Commercial_calculation!AC25</f>
        <v>0</v>
      </c>
      <c r="AD11" s="3">
        <f>Commercial_calculation!AD25</f>
        <v>0</v>
      </c>
      <c r="AE11" s="3">
        <f>Commercial_calculation!AE25</f>
        <v>0</v>
      </c>
      <c r="AF11" s="3">
        <f>Commercial_calculation!AF25</f>
        <v>0</v>
      </c>
      <c r="AG11" s="3">
        <f>Commercial_calculation!AG25</f>
        <v>0</v>
      </c>
    </row>
  </sheetData>
  <phoneticPr fontId="11" type="noConversion"/>
  <pageMargins left="0.7" right="0.7" top="0.75" bottom="0.75" header="0.3" footer="0.3"/>
  <pageSetup orientation="portrait"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1"/>
  <sheetViews>
    <sheetView topLeftCell="L1" workbookViewId="0">
      <selection activeCell="B2" sqref="B2"/>
    </sheetView>
  </sheetViews>
  <sheetFormatPr defaultRowHeight="16.5"/>
  <cols>
    <col min="1" max="1" width="29.875" customWidth="1"/>
    <col min="2" max="2" width="9.75" bestFit="1" customWidth="1"/>
    <col min="3" max="33" width="9.625" bestFit="1" customWidth="1"/>
  </cols>
  <sheetData>
    <row r="1" spans="1:35">
      <c r="A1" s="1" t="s">
        <v>1</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c r="AI1" s="1"/>
    </row>
    <row r="2" spans="1:35">
      <c r="A2" s="1" t="s">
        <v>2</v>
      </c>
      <c r="B2" s="3">
        <f>Commercial_calculation!B40</f>
        <v>107131240094621.84</v>
      </c>
      <c r="C2" s="3">
        <f>Commercial_calculation!C40</f>
        <v>108776762864286.34</v>
      </c>
      <c r="D2" s="3">
        <f>Commercial_calculation!D40</f>
        <v>109739055988388.72</v>
      </c>
      <c r="E2" s="3">
        <f>Commercial_calculation!E40</f>
        <v>116018400485507.73</v>
      </c>
      <c r="F2" s="3">
        <f>Commercial_calculation!F40</f>
        <v>116946547689391.8</v>
      </c>
      <c r="G2" s="3">
        <f>Commercial_calculation!G40</f>
        <v>117882120070906.94</v>
      </c>
      <c r="H2" s="3">
        <f>Commercial_calculation!H40</f>
        <v>118825177031474.19</v>
      </c>
      <c r="I2" s="3">
        <f>Commercial_calculation!I40</f>
        <v>119775778447725.98</v>
      </c>
      <c r="J2" s="3">
        <f>Commercial_calculation!J40</f>
        <v>120733984675307.8</v>
      </c>
      <c r="K2" s="3">
        <f>Commercial_calculation!K40</f>
        <v>121699856552710.27</v>
      </c>
      <c r="L2" s="3">
        <f>Commercial_calculation!L40</f>
        <v>122673455405131.95</v>
      </c>
      <c r="M2" s="3">
        <f>Commercial_calculation!M40</f>
        <v>123654843048373.02</v>
      </c>
      <c r="N2" s="3">
        <f>Commercial_calculation!N40</f>
        <v>124644081792760</v>
      </c>
      <c r="O2" s="3">
        <f>Commercial_calculation!O40</f>
        <v>125641234447102.08</v>
      </c>
      <c r="P2" s="3">
        <f>Commercial_calculation!P40</f>
        <v>126646364322678.89</v>
      </c>
      <c r="Q2" s="3">
        <f>Commercial_calculation!Q40</f>
        <v>127659535237260.33</v>
      </c>
      <c r="R2" s="3">
        <f>Commercial_calculation!R40</f>
        <v>128680811519158.41</v>
      </c>
      <c r="S2" s="3">
        <f>Commercial_calculation!S40</f>
        <v>129710258011311.67</v>
      </c>
      <c r="T2" s="3">
        <f>Commercial_calculation!T40</f>
        <v>130747940075402.17</v>
      </c>
      <c r="U2" s="3">
        <f>Commercial_calculation!U40</f>
        <v>131793923596005.39</v>
      </c>
      <c r="V2" s="3">
        <f>Commercial_calculation!V40</f>
        <v>132848274984773.44</v>
      </c>
      <c r="W2" s="3">
        <f>Commercial_calculation!W40</f>
        <v>133911061184651.63</v>
      </c>
      <c r="X2" s="3">
        <f>Commercial_calculation!X40</f>
        <v>134982349674128.84</v>
      </c>
      <c r="Y2" s="3">
        <f>Commercial_calculation!Y40</f>
        <v>136062208471521.88</v>
      </c>
      <c r="Z2" s="3">
        <f>Commercial_calculation!Z40</f>
        <v>137150706139294.05</v>
      </c>
      <c r="AA2" s="3">
        <f>Commercial_calculation!AA40</f>
        <v>138247911788408.41</v>
      </c>
      <c r="AB2" s="3">
        <f>Commercial_calculation!AB40</f>
        <v>139353895082715.67</v>
      </c>
      <c r="AC2" s="3">
        <f>Commercial_calculation!AC40</f>
        <v>140468726243377.39</v>
      </c>
      <c r="AD2" s="3">
        <f>Commercial_calculation!AD40</f>
        <v>141592476053324.41</v>
      </c>
      <c r="AE2" s="3">
        <f>Commercial_calculation!AE40</f>
        <v>142725215861751</v>
      </c>
      <c r="AF2" s="3">
        <f>Commercial_calculation!AF40</f>
        <v>143867017588645</v>
      </c>
      <c r="AG2" s="3">
        <f>Commercial_calculation!AG40</f>
        <v>145017953729354.16</v>
      </c>
    </row>
    <row r="3" spans="1:35">
      <c r="A3" s="1" t="s">
        <v>3</v>
      </c>
      <c r="B3" s="3">
        <f>Commercial_calculation!B41</f>
        <v>0</v>
      </c>
      <c r="C3" s="3">
        <f>Commercial_calculation!C41</f>
        <v>0</v>
      </c>
      <c r="D3" s="3">
        <f>Commercial_calculation!D41</f>
        <v>0</v>
      </c>
      <c r="E3" s="3">
        <f>Commercial_calculation!E41</f>
        <v>0</v>
      </c>
      <c r="F3" s="3">
        <f>Commercial_calculation!F41</f>
        <v>0</v>
      </c>
      <c r="G3" s="3">
        <f>Commercial_calculation!G41</f>
        <v>0</v>
      </c>
      <c r="H3" s="3">
        <f>Commercial_calculation!H41</f>
        <v>0</v>
      </c>
      <c r="I3" s="3">
        <f>Commercial_calculation!I41</f>
        <v>0</v>
      </c>
      <c r="J3" s="3">
        <f>Commercial_calculation!J41</f>
        <v>0</v>
      </c>
      <c r="K3" s="3">
        <f>Commercial_calculation!K41</f>
        <v>0</v>
      </c>
      <c r="L3" s="3">
        <f>Commercial_calculation!L41</f>
        <v>0</v>
      </c>
      <c r="M3" s="3">
        <f>Commercial_calculation!M41</f>
        <v>0</v>
      </c>
      <c r="N3" s="3">
        <f>Commercial_calculation!N41</f>
        <v>0</v>
      </c>
      <c r="O3" s="3">
        <f>Commercial_calculation!O41</f>
        <v>0</v>
      </c>
      <c r="P3" s="3">
        <f>Commercial_calculation!P41</f>
        <v>0</v>
      </c>
      <c r="Q3" s="3">
        <f>Commercial_calculation!Q41</f>
        <v>0</v>
      </c>
      <c r="R3" s="3">
        <f>Commercial_calculation!R41</f>
        <v>0</v>
      </c>
      <c r="S3" s="3">
        <f>Commercial_calculation!S41</f>
        <v>0</v>
      </c>
      <c r="T3" s="3">
        <f>Commercial_calculation!T41</f>
        <v>0</v>
      </c>
      <c r="U3" s="3">
        <f>Commercial_calculation!U41</f>
        <v>0</v>
      </c>
      <c r="V3" s="3">
        <f>Commercial_calculation!V41</f>
        <v>0</v>
      </c>
      <c r="W3" s="3">
        <f>Commercial_calculation!W41</f>
        <v>0</v>
      </c>
      <c r="X3" s="3">
        <f>Commercial_calculation!X41</f>
        <v>0</v>
      </c>
      <c r="Y3" s="3">
        <f>Commercial_calculation!Y41</f>
        <v>0</v>
      </c>
      <c r="Z3" s="3">
        <f>Commercial_calculation!Z41</f>
        <v>0</v>
      </c>
      <c r="AA3" s="3">
        <f>Commercial_calculation!AA41</f>
        <v>0</v>
      </c>
      <c r="AB3" s="3">
        <f>Commercial_calculation!AB41</f>
        <v>0</v>
      </c>
      <c r="AC3" s="3">
        <f>Commercial_calculation!AC41</f>
        <v>0</v>
      </c>
      <c r="AD3" s="3">
        <f>Commercial_calculation!AD41</f>
        <v>0</v>
      </c>
      <c r="AE3" s="3">
        <f>Commercial_calculation!AE41</f>
        <v>0</v>
      </c>
      <c r="AF3" s="3">
        <f>Commercial_calculation!AF41</f>
        <v>0</v>
      </c>
      <c r="AG3" s="3">
        <f>Commercial_calculation!AG41</f>
        <v>0</v>
      </c>
    </row>
    <row r="4" spans="1:35">
      <c r="A4" s="1" t="s">
        <v>4</v>
      </c>
      <c r="B4" s="3">
        <f>Commercial_calculation!B42</f>
        <v>0</v>
      </c>
      <c r="C4" s="3">
        <f>Commercial_calculation!C42</f>
        <v>0</v>
      </c>
      <c r="D4" s="3">
        <f>Commercial_calculation!D42</f>
        <v>0</v>
      </c>
      <c r="E4" s="3">
        <f>Commercial_calculation!E42</f>
        <v>0</v>
      </c>
      <c r="F4" s="3">
        <f>Commercial_calculation!F42</f>
        <v>0</v>
      </c>
      <c r="G4" s="3">
        <f>Commercial_calculation!G42</f>
        <v>0</v>
      </c>
      <c r="H4" s="3">
        <f>Commercial_calculation!H42</f>
        <v>0</v>
      </c>
      <c r="I4" s="3">
        <f>Commercial_calculation!I42</f>
        <v>0</v>
      </c>
      <c r="J4" s="3">
        <f>Commercial_calculation!J42</f>
        <v>0</v>
      </c>
      <c r="K4" s="3">
        <f>Commercial_calculation!K42</f>
        <v>0</v>
      </c>
      <c r="L4" s="3">
        <f>Commercial_calculation!L42</f>
        <v>0</v>
      </c>
      <c r="M4" s="3">
        <f>Commercial_calculation!M42</f>
        <v>0</v>
      </c>
      <c r="N4" s="3">
        <f>Commercial_calculation!N42</f>
        <v>0</v>
      </c>
      <c r="O4" s="3">
        <f>Commercial_calculation!O42</f>
        <v>0</v>
      </c>
      <c r="P4" s="3">
        <f>Commercial_calculation!P42</f>
        <v>0</v>
      </c>
      <c r="Q4" s="3">
        <f>Commercial_calculation!Q42</f>
        <v>0</v>
      </c>
      <c r="R4" s="3">
        <f>Commercial_calculation!R42</f>
        <v>0</v>
      </c>
      <c r="S4" s="3">
        <f>Commercial_calculation!S42</f>
        <v>0</v>
      </c>
      <c r="T4" s="3">
        <f>Commercial_calculation!T42</f>
        <v>0</v>
      </c>
      <c r="U4" s="3">
        <f>Commercial_calculation!U42</f>
        <v>0</v>
      </c>
      <c r="V4" s="3">
        <f>Commercial_calculation!V42</f>
        <v>0</v>
      </c>
      <c r="W4" s="3">
        <f>Commercial_calculation!W42</f>
        <v>0</v>
      </c>
      <c r="X4" s="3">
        <f>Commercial_calculation!X42</f>
        <v>0</v>
      </c>
      <c r="Y4" s="3">
        <f>Commercial_calculation!Y42</f>
        <v>0</v>
      </c>
      <c r="Z4" s="3">
        <f>Commercial_calculation!Z42</f>
        <v>0</v>
      </c>
      <c r="AA4" s="3">
        <f>Commercial_calculation!AA42</f>
        <v>0</v>
      </c>
      <c r="AB4" s="3">
        <f>Commercial_calculation!AB42</f>
        <v>0</v>
      </c>
      <c r="AC4" s="3">
        <f>Commercial_calculation!AC42</f>
        <v>0</v>
      </c>
      <c r="AD4" s="3">
        <f>Commercial_calculation!AD42</f>
        <v>0</v>
      </c>
      <c r="AE4" s="3">
        <f>Commercial_calculation!AE42</f>
        <v>0</v>
      </c>
      <c r="AF4" s="3">
        <f>Commercial_calculation!AF42</f>
        <v>0</v>
      </c>
      <c r="AG4" s="3">
        <f>Commercial_calculation!AG42</f>
        <v>0</v>
      </c>
    </row>
    <row r="5" spans="1:35">
      <c r="A5" s="1" t="s">
        <v>5</v>
      </c>
      <c r="B5" s="3">
        <f>Commercial_calculation!B43</f>
        <v>0</v>
      </c>
      <c r="C5" s="3">
        <f>Commercial_calculation!C43</f>
        <v>0</v>
      </c>
      <c r="D5" s="3">
        <f>Commercial_calculation!D43</f>
        <v>0</v>
      </c>
      <c r="E5" s="3">
        <f>Commercial_calculation!E43</f>
        <v>0</v>
      </c>
      <c r="F5" s="3">
        <f>Commercial_calculation!F43</f>
        <v>0</v>
      </c>
      <c r="G5" s="3">
        <f>Commercial_calculation!G43</f>
        <v>0</v>
      </c>
      <c r="H5" s="3">
        <f>Commercial_calculation!H43</f>
        <v>0</v>
      </c>
      <c r="I5" s="3">
        <f>Commercial_calculation!I43</f>
        <v>0</v>
      </c>
      <c r="J5" s="3">
        <f>Commercial_calculation!J43</f>
        <v>0</v>
      </c>
      <c r="K5" s="3">
        <f>Commercial_calculation!K43</f>
        <v>0</v>
      </c>
      <c r="L5" s="3">
        <f>Commercial_calculation!L43</f>
        <v>0</v>
      </c>
      <c r="M5" s="3">
        <f>Commercial_calculation!M43</f>
        <v>0</v>
      </c>
      <c r="N5" s="3">
        <f>Commercial_calculation!N43</f>
        <v>0</v>
      </c>
      <c r="O5" s="3">
        <f>Commercial_calculation!O43</f>
        <v>0</v>
      </c>
      <c r="P5" s="3">
        <f>Commercial_calculation!P43</f>
        <v>0</v>
      </c>
      <c r="Q5" s="3">
        <f>Commercial_calculation!Q43</f>
        <v>0</v>
      </c>
      <c r="R5" s="3">
        <f>Commercial_calculation!R43</f>
        <v>0</v>
      </c>
      <c r="S5" s="3">
        <f>Commercial_calculation!S43</f>
        <v>0</v>
      </c>
      <c r="T5" s="3">
        <f>Commercial_calculation!T43</f>
        <v>0</v>
      </c>
      <c r="U5" s="3">
        <f>Commercial_calculation!U43</f>
        <v>0</v>
      </c>
      <c r="V5" s="3">
        <f>Commercial_calculation!V43</f>
        <v>0</v>
      </c>
      <c r="W5" s="3">
        <f>Commercial_calculation!W43</f>
        <v>0</v>
      </c>
      <c r="X5" s="3">
        <f>Commercial_calculation!X43</f>
        <v>0</v>
      </c>
      <c r="Y5" s="3">
        <f>Commercial_calculation!Y43</f>
        <v>0</v>
      </c>
      <c r="Z5" s="3">
        <f>Commercial_calculation!Z43</f>
        <v>0</v>
      </c>
      <c r="AA5" s="3">
        <f>Commercial_calculation!AA43</f>
        <v>0</v>
      </c>
      <c r="AB5" s="3">
        <f>Commercial_calculation!AB43</f>
        <v>0</v>
      </c>
      <c r="AC5" s="3">
        <f>Commercial_calculation!AC43</f>
        <v>0</v>
      </c>
      <c r="AD5" s="3">
        <f>Commercial_calculation!AD43</f>
        <v>0</v>
      </c>
      <c r="AE5" s="3">
        <f>Commercial_calculation!AE43</f>
        <v>0</v>
      </c>
      <c r="AF5" s="3">
        <f>Commercial_calculation!AF43</f>
        <v>0</v>
      </c>
      <c r="AG5" s="3">
        <f>Commercial_calculation!AG43</f>
        <v>0</v>
      </c>
    </row>
    <row r="6" spans="1:35">
      <c r="A6" s="1" t="s">
        <v>7</v>
      </c>
      <c r="B6" s="3">
        <f>Commercial_calculation!B44</f>
        <v>0</v>
      </c>
      <c r="C6" s="3">
        <f>Commercial_calculation!C44</f>
        <v>0</v>
      </c>
      <c r="D6" s="3">
        <f>Commercial_calculation!D44</f>
        <v>0</v>
      </c>
      <c r="E6" s="3">
        <f>Commercial_calculation!E44</f>
        <v>0</v>
      </c>
      <c r="F6" s="3">
        <f>Commercial_calculation!F44</f>
        <v>0</v>
      </c>
      <c r="G6" s="3">
        <f>Commercial_calculation!G44</f>
        <v>0</v>
      </c>
      <c r="H6" s="3">
        <f>Commercial_calculation!H44</f>
        <v>0</v>
      </c>
      <c r="I6" s="3">
        <f>Commercial_calculation!I44</f>
        <v>0</v>
      </c>
      <c r="J6" s="3">
        <f>Commercial_calculation!J44</f>
        <v>0</v>
      </c>
      <c r="K6" s="3">
        <f>Commercial_calculation!K44</f>
        <v>0</v>
      </c>
      <c r="L6" s="3">
        <f>Commercial_calculation!L44</f>
        <v>0</v>
      </c>
      <c r="M6" s="3">
        <f>Commercial_calculation!M44</f>
        <v>0</v>
      </c>
      <c r="N6" s="3">
        <f>Commercial_calculation!N44</f>
        <v>0</v>
      </c>
      <c r="O6" s="3">
        <f>Commercial_calculation!O44</f>
        <v>0</v>
      </c>
      <c r="P6" s="3">
        <f>Commercial_calculation!P44</f>
        <v>0</v>
      </c>
      <c r="Q6" s="3">
        <f>Commercial_calculation!Q44</f>
        <v>0</v>
      </c>
      <c r="R6" s="3">
        <f>Commercial_calculation!R44</f>
        <v>0</v>
      </c>
      <c r="S6" s="3">
        <f>Commercial_calculation!S44</f>
        <v>0</v>
      </c>
      <c r="T6" s="3">
        <f>Commercial_calculation!T44</f>
        <v>0</v>
      </c>
      <c r="U6" s="3">
        <f>Commercial_calculation!U44</f>
        <v>0</v>
      </c>
      <c r="V6" s="3">
        <f>Commercial_calculation!V44</f>
        <v>0</v>
      </c>
      <c r="W6" s="3">
        <f>Commercial_calculation!W44</f>
        <v>0</v>
      </c>
      <c r="X6" s="3">
        <f>Commercial_calculation!X44</f>
        <v>0</v>
      </c>
      <c r="Y6" s="3">
        <f>Commercial_calculation!Y44</f>
        <v>0</v>
      </c>
      <c r="Z6" s="3">
        <f>Commercial_calculation!Z44</f>
        <v>0</v>
      </c>
      <c r="AA6" s="3">
        <f>Commercial_calculation!AA44</f>
        <v>0</v>
      </c>
      <c r="AB6" s="3">
        <f>Commercial_calculation!AB44</f>
        <v>0</v>
      </c>
      <c r="AC6" s="3">
        <f>Commercial_calculation!AC44</f>
        <v>0</v>
      </c>
      <c r="AD6" s="3">
        <f>Commercial_calculation!AD44</f>
        <v>0</v>
      </c>
      <c r="AE6" s="3">
        <f>Commercial_calculation!AE44</f>
        <v>0</v>
      </c>
      <c r="AF6" s="3">
        <f>Commercial_calculation!AF44</f>
        <v>0</v>
      </c>
      <c r="AG6" s="3">
        <f>Commercial_calculation!AG44</f>
        <v>0</v>
      </c>
    </row>
    <row r="7" spans="1:35">
      <c r="A7" s="1" t="s">
        <v>11</v>
      </c>
      <c r="B7" s="3">
        <f>Commercial_calculation!B45</f>
        <v>2190189655200.0005</v>
      </c>
      <c r="C7" s="3">
        <f>Commercial_calculation!C45</f>
        <v>7051579915006.5176</v>
      </c>
      <c r="D7" s="3">
        <f>Commercial_calculation!D45</f>
        <v>7564422090643.3555</v>
      </c>
      <c r="E7" s="3">
        <f>Commercial_calculation!E45</f>
        <v>5362159440264.3975</v>
      </c>
      <c r="F7" s="3">
        <f>Commercial_calculation!F45</f>
        <v>5603456615076.2949</v>
      </c>
      <c r="G7" s="3">
        <f>Commercial_calculation!G45</f>
        <v>5855612162754.7275</v>
      </c>
      <c r="H7" s="3">
        <f>Commercial_calculation!H45</f>
        <v>6119114710078.6895</v>
      </c>
      <c r="I7" s="3">
        <f>Commercial_calculation!I45</f>
        <v>6394474872032.2305</v>
      </c>
      <c r="J7" s="3">
        <f>Commercial_calculation!J45</f>
        <v>6682226241273.6807</v>
      </c>
      <c r="K7" s="3">
        <f>Commercial_calculation!K45</f>
        <v>6982926422130.9961</v>
      </c>
      <c r="L7" s="3">
        <f>Commercial_calculation!L45</f>
        <v>7297158111126.8906</v>
      </c>
      <c r="M7" s="3">
        <f>Commercial_calculation!M45</f>
        <v>7625530226127.6006</v>
      </c>
      <c r="N7" s="3">
        <f>Commercial_calculation!N45</f>
        <v>7968679086303.3418</v>
      </c>
      <c r="O7" s="3">
        <f>Commercial_calculation!O45</f>
        <v>8327269645186.9912</v>
      </c>
      <c r="P7" s="3">
        <f>Commercial_calculation!P45</f>
        <v>8701996779220.4053</v>
      </c>
      <c r="Q7" s="3">
        <f>Commercial_calculation!Q45</f>
        <v>9093586634285.3223</v>
      </c>
      <c r="R7" s="3">
        <f>Commercial_calculation!R45</f>
        <v>9502798032828.1602</v>
      </c>
      <c r="S7" s="3">
        <f>Commercial_calculation!S45</f>
        <v>9930423944305.4258</v>
      </c>
      <c r="T7" s="3">
        <f>Commercial_calculation!T45</f>
        <v>10377293021799.17</v>
      </c>
      <c r="U7" s="3">
        <f>Commercial_calculation!U45</f>
        <v>10844271207780.131</v>
      </c>
      <c r="V7" s="3">
        <f>Commercial_calculation!V45</f>
        <v>11332263412130.236</v>
      </c>
      <c r="W7" s="3">
        <f>Commercial_calculation!W45</f>
        <v>11842215265676.096</v>
      </c>
      <c r="X7" s="3">
        <f>Commercial_calculation!X45</f>
        <v>12375114952631.52</v>
      </c>
      <c r="Y7" s="3">
        <f>Commercial_calculation!Y45</f>
        <v>12931995125499.938</v>
      </c>
      <c r="Z7" s="3">
        <f>Commercial_calculation!Z45</f>
        <v>13513934906147.434</v>
      </c>
      <c r="AA7" s="3">
        <f>Commercial_calculation!AA45</f>
        <v>14122061976924.066</v>
      </c>
      <c r="AB7" s="3">
        <f>Commercial_calculation!AB45</f>
        <v>14757554765885.648</v>
      </c>
      <c r="AC7" s="3">
        <f>Commercial_calculation!AC45</f>
        <v>15421644730350.502</v>
      </c>
      <c r="AD7" s="3">
        <f>Commercial_calculation!AD45</f>
        <v>16115618743216.273</v>
      </c>
      <c r="AE7" s="3">
        <f>Commercial_calculation!AE45</f>
        <v>16840821586661.004</v>
      </c>
      <c r="AF7" s="3">
        <f>Commercial_calculation!AF45</f>
        <v>17598658558060.746</v>
      </c>
      <c r="AG7" s="3">
        <f>Commercial_calculation!AG45</f>
        <v>18390598193173.477</v>
      </c>
    </row>
    <row r="8" spans="1:35">
      <c r="A8" s="1" t="s">
        <v>13</v>
      </c>
      <c r="B8" s="3">
        <f>Commercial_calculation!B46</f>
        <v>0</v>
      </c>
      <c r="C8" s="3">
        <f>Commercial_calculation!C46</f>
        <v>0</v>
      </c>
      <c r="D8" s="3">
        <f>Commercial_calculation!D46</f>
        <v>0</v>
      </c>
      <c r="E8" s="3">
        <f>Commercial_calculation!E46</f>
        <v>0</v>
      </c>
      <c r="F8" s="3">
        <f>Commercial_calculation!F46</f>
        <v>0</v>
      </c>
      <c r="G8" s="3">
        <f>Commercial_calculation!G46</f>
        <v>0</v>
      </c>
      <c r="H8" s="3">
        <f>Commercial_calculation!H46</f>
        <v>0</v>
      </c>
      <c r="I8" s="3">
        <f>Commercial_calculation!I46</f>
        <v>0</v>
      </c>
      <c r="J8" s="3">
        <f>Commercial_calculation!J46</f>
        <v>0</v>
      </c>
      <c r="K8" s="3">
        <f>Commercial_calculation!K46</f>
        <v>0</v>
      </c>
      <c r="L8" s="3">
        <f>Commercial_calculation!L46</f>
        <v>0</v>
      </c>
      <c r="M8" s="3">
        <f>Commercial_calculation!M46</f>
        <v>0</v>
      </c>
      <c r="N8" s="3">
        <f>Commercial_calculation!N46</f>
        <v>0</v>
      </c>
      <c r="O8" s="3">
        <f>Commercial_calculation!O46</f>
        <v>0</v>
      </c>
      <c r="P8" s="3">
        <f>Commercial_calculation!P46</f>
        <v>0</v>
      </c>
      <c r="Q8" s="3">
        <f>Commercial_calculation!Q46</f>
        <v>0</v>
      </c>
      <c r="R8" s="3">
        <f>Commercial_calculation!R46</f>
        <v>0</v>
      </c>
      <c r="S8" s="3">
        <f>Commercial_calculation!S46</f>
        <v>0</v>
      </c>
      <c r="T8" s="3">
        <f>Commercial_calculation!T46</f>
        <v>0</v>
      </c>
      <c r="U8" s="3">
        <f>Commercial_calculation!U46</f>
        <v>0</v>
      </c>
      <c r="V8" s="3">
        <f>Commercial_calculation!V46</f>
        <v>0</v>
      </c>
      <c r="W8" s="3">
        <f>Commercial_calculation!W46</f>
        <v>0</v>
      </c>
      <c r="X8" s="3">
        <f>Commercial_calculation!X46</f>
        <v>0</v>
      </c>
      <c r="Y8" s="3">
        <f>Commercial_calculation!Y46</f>
        <v>0</v>
      </c>
      <c r="Z8" s="3">
        <f>Commercial_calculation!Z46</f>
        <v>0</v>
      </c>
      <c r="AA8" s="3">
        <f>Commercial_calculation!AA46</f>
        <v>0</v>
      </c>
      <c r="AB8" s="3">
        <f>Commercial_calculation!AB46</f>
        <v>0</v>
      </c>
      <c r="AC8" s="3">
        <f>Commercial_calculation!AC46</f>
        <v>0</v>
      </c>
      <c r="AD8" s="3">
        <f>Commercial_calculation!AD46</f>
        <v>0</v>
      </c>
      <c r="AE8" s="3">
        <f>Commercial_calculation!AE46</f>
        <v>0</v>
      </c>
      <c r="AF8" s="3">
        <f>Commercial_calculation!AF46</f>
        <v>0</v>
      </c>
      <c r="AG8" s="3">
        <f>Commercial_calculation!AG46</f>
        <v>0</v>
      </c>
    </row>
    <row r="9" spans="1:35">
      <c r="A9" s="1" t="s">
        <v>14</v>
      </c>
      <c r="B9" s="3">
        <f>Commercial_calculation!B47</f>
        <v>0</v>
      </c>
      <c r="C9" s="3">
        <f>Commercial_calculation!C47</f>
        <v>0</v>
      </c>
      <c r="D9" s="3">
        <f>Commercial_calculation!D47</f>
        <v>0</v>
      </c>
      <c r="E9" s="3">
        <f>Commercial_calculation!E47</f>
        <v>0</v>
      </c>
      <c r="F9" s="3">
        <f>Commercial_calculation!F47</f>
        <v>0</v>
      </c>
      <c r="G9" s="3">
        <f>Commercial_calculation!G47</f>
        <v>0</v>
      </c>
      <c r="H9" s="3">
        <f>Commercial_calculation!H47</f>
        <v>0</v>
      </c>
      <c r="I9" s="3">
        <f>Commercial_calculation!I47</f>
        <v>0</v>
      </c>
      <c r="J9" s="3">
        <f>Commercial_calculation!J47</f>
        <v>0</v>
      </c>
      <c r="K9" s="3">
        <f>Commercial_calculation!K47</f>
        <v>0</v>
      </c>
      <c r="L9" s="3">
        <f>Commercial_calculation!L47</f>
        <v>0</v>
      </c>
      <c r="M9" s="3">
        <f>Commercial_calculation!M47</f>
        <v>0</v>
      </c>
      <c r="N9" s="3">
        <f>Commercial_calculation!N47</f>
        <v>0</v>
      </c>
      <c r="O9" s="3">
        <f>Commercial_calculation!O47</f>
        <v>0</v>
      </c>
      <c r="P9" s="3">
        <f>Commercial_calculation!P47</f>
        <v>0</v>
      </c>
      <c r="Q9" s="3">
        <f>Commercial_calculation!Q47</f>
        <v>0</v>
      </c>
      <c r="R9" s="3">
        <f>Commercial_calculation!R47</f>
        <v>0</v>
      </c>
      <c r="S9" s="3">
        <f>Commercial_calculation!S47</f>
        <v>0</v>
      </c>
      <c r="T9" s="3">
        <f>Commercial_calculation!T47</f>
        <v>0</v>
      </c>
      <c r="U9" s="3">
        <f>Commercial_calculation!U47</f>
        <v>0</v>
      </c>
      <c r="V9" s="3">
        <f>Commercial_calculation!V47</f>
        <v>0</v>
      </c>
      <c r="W9" s="3">
        <f>Commercial_calculation!W47</f>
        <v>0</v>
      </c>
      <c r="X9" s="3">
        <f>Commercial_calculation!X47</f>
        <v>0</v>
      </c>
      <c r="Y9" s="3">
        <f>Commercial_calculation!Y47</f>
        <v>0</v>
      </c>
      <c r="Z9" s="3">
        <f>Commercial_calculation!Z47</f>
        <v>0</v>
      </c>
      <c r="AA9" s="3">
        <f>Commercial_calculation!AA47</f>
        <v>0</v>
      </c>
      <c r="AB9" s="3">
        <f>Commercial_calculation!AB47</f>
        <v>0</v>
      </c>
      <c r="AC9" s="3">
        <f>Commercial_calculation!AC47</f>
        <v>0</v>
      </c>
      <c r="AD9" s="3">
        <f>Commercial_calculation!AD47</f>
        <v>0</v>
      </c>
      <c r="AE9" s="3">
        <f>Commercial_calculation!AE47</f>
        <v>0</v>
      </c>
      <c r="AF9" s="3">
        <f>Commercial_calculation!AF47</f>
        <v>0</v>
      </c>
      <c r="AG9" s="3">
        <f>Commercial_calculation!AG47</f>
        <v>0</v>
      </c>
    </row>
    <row r="10" spans="1:35">
      <c r="A10" s="1" t="s">
        <v>15</v>
      </c>
      <c r="B10" s="3">
        <f>Commercial_calculation!B48</f>
        <v>0</v>
      </c>
      <c r="C10" s="3">
        <f>Commercial_calculation!C48</f>
        <v>0</v>
      </c>
      <c r="D10" s="3">
        <f>Commercial_calculation!D48</f>
        <v>0</v>
      </c>
      <c r="E10" s="3">
        <f>Commercial_calculation!E48</f>
        <v>0</v>
      </c>
      <c r="F10" s="3">
        <f>Commercial_calculation!F48</f>
        <v>0</v>
      </c>
      <c r="G10" s="3">
        <f>Commercial_calculation!G48</f>
        <v>0</v>
      </c>
      <c r="H10" s="3">
        <f>Commercial_calculation!H48</f>
        <v>0</v>
      </c>
      <c r="I10" s="3">
        <f>Commercial_calculation!I48</f>
        <v>0</v>
      </c>
      <c r="J10" s="3">
        <f>Commercial_calculation!J48</f>
        <v>0</v>
      </c>
      <c r="K10" s="3">
        <f>Commercial_calculation!K48</f>
        <v>0</v>
      </c>
      <c r="L10" s="3">
        <f>Commercial_calculation!L48</f>
        <v>0</v>
      </c>
      <c r="M10" s="3">
        <f>Commercial_calculation!M48</f>
        <v>0</v>
      </c>
      <c r="N10" s="3">
        <f>Commercial_calculation!N48</f>
        <v>0</v>
      </c>
      <c r="O10" s="3">
        <f>Commercial_calculation!O48</f>
        <v>0</v>
      </c>
      <c r="P10" s="3">
        <f>Commercial_calculation!P48</f>
        <v>0</v>
      </c>
      <c r="Q10" s="3">
        <f>Commercial_calculation!Q48</f>
        <v>0</v>
      </c>
      <c r="R10" s="3">
        <f>Commercial_calculation!R48</f>
        <v>0</v>
      </c>
      <c r="S10" s="3">
        <f>Commercial_calculation!S48</f>
        <v>0</v>
      </c>
      <c r="T10" s="3">
        <f>Commercial_calculation!T48</f>
        <v>0</v>
      </c>
      <c r="U10" s="3">
        <f>Commercial_calculation!U48</f>
        <v>0</v>
      </c>
      <c r="V10" s="3">
        <f>Commercial_calculation!V48</f>
        <v>0</v>
      </c>
      <c r="W10" s="3">
        <f>Commercial_calculation!W48</f>
        <v>0</v>
      </c>
      <c r="X10" s="3">
        <f>Commercial_calculation!X48</f>
        <v>0</v>
      </c>
      <c r="Y10" s="3">
        <f>Commercial_calculation!Y48</f>
        <v>0</v>
      </c>
      <c r="Z10" s="3">
        <f>Commercial_calculation!Z48</f>
        <v>0</v>
      </c>
      <c r="AA10" s="3">
        <f>Commercial_calculation!AA48</f>
        <v>0</v>
      </c>
      <c r="AB10" s="3">
        <f>Commercial_calculation!AB48</f>
        <v>0</v>
      </c>
      <c r="AC10" s="3">
        <f>Commercial_calculation!AC48</f>
        <v>0</v>
      </c>
      <c r="AD10" s="3">
        <f>Commercial_calculation!AD48</f>
        <v>0</v>
      </c>
      <c r="AE10" s="3">
        <f>Commercial_calculation!AE48</f>
        <v>0</v>
      </c>
      <c r="AF10" s="3">
        <f>Commercial_calculation!AF48</f>
        <v>0</v>
      </c>
      <c r="AG10" s="3">
        <f>Commercial_calculation!AG48</f>
        <v>0</v>
      </c>
    </row>
    <row r="11" spans="1:35">
      <c r="A11" s="1" t="s">
        <v>16</v>
      </c>
      <c r="B11" s="3">
        <f>Commercial_calculation!B49</f>
        <v>0</v>
      </c>
      <c r="C11" s="3">
        <f>Commercial_calculation!C49</f>
        <v>0</v>
      </c>
      <c r="D11" s="3">
        <f>Commercial_calculation!D49</f>
        <v>0</v>
      </c>
      <c r="E11" s="3">
        <f>Commercial_calculation!E49</f>
        <v>0</v>
      </c>
      <c r="F11" s="3">
        <f>Commercial_calculation!F49</f>
        <v>0</v>
      </c>
      <c r="G11" s="3">
        <f>Commercial_calculation!G49</f>
        <v>0</v>
      </c>
      <c r="H11" s="3">
        <f>Commercial_calculation!H49</f>
        <v>0</v>
      </c>
      <c r="I11" s="3">
        <f>Commercial_calculation!I49</f>
        <v>0</v>
      </c>
      <c r="J11" s="3">
        <f>Commercial_calculation!J49</f>
        <v>0</v>
      </c>
      <c r="K11" s="3">
        <f>Commercial_calculation!K49</f>
        <v>0</v>
      </c>
      <c r="L11" s="3">
        <f>Commercial_calculation!L49</f>
        <v>0</v>
      </c>
      <c r="M11" s="3">
        <f>Commercial_calculation!M49</f>
        <v>0</v>
      </c>
      <c r="N11" s="3">
        <f>Commercial_calculation!N49</f>
        <v>0</v>
      </c>
      <c r="O11" s="3">
        <f>Commercial_calculation!O49</f>
        <v>0</v>
      </c>
      <c r="P11" s="3">
        <f>Commercial_calculation!P49</f>
        <v>0</v>
      </c>
      <c r="Q11" s="3">
        <f>Commercial_calculation!Q49</f>
        <v>0</v>
      </c>
      <c r="R11" s="3">
        <f>Commercial_calculation!R49</f>
        <v>0</v>
      </c>
      <c r="S11" s="3">
        <f>Commercial_calculation!S49</f>
        <v>0</v>
      </c>
      <c r="T11" s="3">
        <f>Commercial_calculation!T49</f>
        <v>0</v>
      </c>
      <c r="U11" s="3">
        <f>Commercial_calculation!U49</f>
        <v>0</v>
      </c>
      <c r="V11" s="3">
        <f>Commercial_calculation!V49</f>
        <v>0</v>
      </c>
      <c r="W11" s="3">
        <f>Commercial_calculation!W49</f>
        <v>0</v>
      </c>
      <c r="X11" s="3">
        <f>Commercial_calculation!X49</f>
        <v>0</v>
      </c>
      <c r="Y11" s="3">
        <f>Commercial_calculation!Y49</f>
        <v>0</v>
      </c>
      <c r="Z11" s="3">
        <f>Commercial_calculation!Z49</f>
        <v>0</v>
      </c>
      <c r="AA11" s="3">
        <f>Commercial_calculation!AA49</f>
        <v>0</v>
      </c>
      <c r="AB11" s="3">
        <f>Commercial_calculation!AB49</f>
        <v>0</v>
      </c>
      <c r="AC11" s="3">
        <f>Commercial_calculation!AC49</f>
        <v>0</v>
      </c>
      <c r="AD11" s="3">
        <f>Commercial_calculation!AD49</f>
        <v>0</v>
      </c>
      <c r="AE11" s="3">
        <f>Commercial_calculation!AE49</f>
        <v>0</v>
      </c>
      <c r="AF11" s="3">
        <f>Commercial_calculation!AF49</f>
        <v>0</v>
      </c>
      <c r="AG11" s="3">
        <f>Commercial_calculation!AG49</f>
        <v>0</v>
      </c>
    </row>
  </sheetData>
  <phoneticPr fontId="11" type="noConversion"/>
  <pageMargins left="0.7" right="0.7" top="0.75" bottom="0.75" header="0.3" footer="0.3"/>
  <pageSetup orientation="portrait" horizontalDpi="1200" verticalDpi="1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topLeftCell="G1" zoomScale="80" zoomScaleNormal="80" workbookViewId="0">
      <selection activeCell="B2" sqref="B2"/>
    </sheetView>
  </sheetViews>
  <sheetFormatPr defaultRowHeight="16.5"/>
  <cols>
    <col min="1" max="1" width="29.875" customWidth="1"/>
    <col min="2" max="33" width="10.125" customWidth="1"/>
  </cols>
  <sheetData>
    <row r="1" spans="1:35">
      <c r="A1" s="1" t="s">
        <v>1</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c r="AI1" s="1"/>
    </row>
    <row r="2" spans="1:35">
      <c r="A2" s="1" t="s">
        <v>2</v>
      </c>
      <c r="B2" s="3">
        <f>Commercial_calculation!B52</f>
        <v>66524924678051.828</v>
      </c>
      <c r="C2" s="3">
        <f>Commercial_calculation!C52</f>
        <v>67546742581028.5</v>
      </c>
      <c r="D2" s="3">
        <f>Commercial_calculation!D52</f>
        <v>68144296355577.398</v>
      </c>
      <c r="E2" s="3">
        <f>Commercial_calculation!E52</f>
        <v>72043571859022.688</v>
      </c>
      <c r="F2" s="3">
        <f>Commercial_calculation!F52</f>
        <v>72619920433894.875</v>
      </c>
      <c r="G2" s="3">
        <f>Commercial_calculation!G52</f>
        <v>73200879797366.031</v>
      </c>
      <c r="H2" s="3">
        <f>Commercial_calculation!H52</f>
        <v>73786486835744.953</v>
      </c>
      <c r="I2" s="3">
        <f>Commercial_calculation!I52</f>
        <v>74376778730430.906</v>
      </c>
      <c r="J2" s="3">
        <f>Commercial_calculation!J52</f>
        <v>74971792960274.359</v>
      </c>
      <c r="K2" s="3">
        <f>Commercial_calculation!K52</f>
        <v>75571567303956.563</v>
      </c>
      <c r="L2" s="3">
        <f>Commercial_calculation!L52</f>
        <v>76176139842388.219</v>
      </c>
      <c r="M2" s="3">
        <f>Commercial_calculation!M52</f>
        <v>76785548961127.328</v>
      </c>
      <c r="N2" s="3">
        <f>Commercial_calculation!N52</f>
        <v>77399833352816.344</v>
      </c>
      <c r="O2" s="3">
        <f>Commercial_calculation!O52</f>
        <v>78019032019638.875</v>
      </c>
      <c r="P2" s="3">
        <f>Commercial_calculation!P52</f>
        <v>78643184275795.984</v>
      </c>
      <c r="Q2" s="3">
        <f>Commercial_calculation!Q52</f>
        <v>79272329750002.359</v>
      </c>
      <c r="R2" s="3">
        <f>Commercial_calculation!R52</f>
        <v>79906508388002.375</v>
      </c>
      <c r="S2" s="3">
        <f>Commercial_calculation!S52</f>
        <v>80545760455106.391</v>
      </c>
      <c r="T2" s="3">
        <f>Commercial_calculation!T52</f>
        <v>81190126538747.25</v>
      </c>
      <c r="U2" s="3">
        <f>Commercial_calculation!U52</f>
        <v>81839647551057.234</v>
      </c>
      <c r="V2" s="3">
        <f>Commercial_calculation!V52</f>
        <v>82494364731465.688</v>
      </c>
      <c r="W2" s="3">
        <f>Commercial_calculation!W52</f>
        <v>83154319649317.406</v>
      </c>
      <c r="X2" s="3">
        <f>Commercial_calculation!X52</f>
        <v>83819554206511.953</v>
      </c>
      <c r="Y2" s="3">
        <f>Commercial_calculation!Y52</f>
        <v>84490110640164.047</v>
      </c>
      <c r="Z2" s="3">
        <f>Commercial_calculation!Z52</f>
        <v>85166031525285.359</v>
      </c>
      <c r="AA2" s="3">
        <f>Commercial_calculation!AA52</f>
        <v>85847359777487.641</v>
      </c>
      <c r="AB2" s="3">
        <f>Commercial_calculation!AB52</f>
        <v>86534138655707.547</v>
      </c>
      <c r="AC2" s="3">
        <f>Commercial_calculation!AC52</f>
        <v>87226411764953.203</v>
      </c>
      <c r="AD2" s="3">
        <f>Commercial_calculation!AD52</f>
        <v>87924223059072.828</v>
      </c>
      <c r="AE2" s="3">
        <f>Commercial_calculation!AE52</f>
        <v>88627616843545.406</v>
      </c>
      <c r="AF2" s="3">
        <f>Commercial_calculation!AF52</f>
        <v>89336637778293.766</v>
      </c>
      <c r="AG2" s="3">
        <f>Commercial_calculation!AG52</f>
        <v>90051330880520.109</v>
      </c>
    </row>
    <row r="3" spans="1:35">
      <c r="A3" s="1" t="s">
        <v>3</v>
      </c>
      <c r="B3" s="3">
        <f>Commercial_calculation!B53</f>
        <v>296746253490.00006</v>
      </c>
      <c r="C3" s="3">
        <f>Commercial_calculation!C53</f>
        <v>0</v>
      </c>
      <c r="D3" s="3">
        <f>Commercial_calculation!D53</f>
        <v>0</v>
      </c>
      <c r="E3" s="3">
        <f>Commercial_calculation!E53</f>
        <v>35714790000.000008</v>
      </c>
      <c r="F3" s="3">
        <f>Commercial_calculation!F53</f>
        <v>32607603270.000008</v>
      </c>
      <c r="G3" s="3">
        <f>Commercial_calculation!G53</f>
        <v>29770741785.51001</v>
      </c>
      <c r="H3" s="3">
        <f>Commercial_calculation!H53</f>
        <v>27180687250.170639</v>
      </c>
      <c r="I3" s="3">
        <f>Commercial_calculation!I53</f>
        <v>24815967459.405796</v>
      </c>
      <c r="J3" s="3">
        <f>Commercial_calculation!J53</f>
        <v>22656978290.437492</v>
      </c>
      <c r="K3" s="3">
        <f>Commercial_calculation!K53</f>
        <v>20685821179.16943</v>
      </c>
      <c r="L3" s="3">
        <f>Commercial_calculation!L53</f>
        <v>18886154736.581692</v>
      </c>
      <c r="M3" s="3">
        <f>Commercial_calculation!M53</f>
        <v>17243059274.499084</v>
      </c>
      <c r="N3" s="3">
        <f>Commercial_calculation!N53</f>
        <v>15742913117.617664</v>
      </c>
      <c r="O3" s="3">
        <f>Commercial_calculation!O53</f>
        <v>14373279676.384928</v>
      </c>
      <c r="P3" s="3">
        <f>Commercial_calculation!P53</f>
        <v>13122804344.53944</v>
      </c>
      <c r="Q3" s="3">
        <f>Commercial_calculation!Q53</f>
        <v>11981120366.564508</v>
      </c>
      <c r="R3" s="3">
        <f>Commercial_calculation!R53</f>
        <v>10938762894.673397</v>
      </c>
      <c r="S3" s="3">
        <f>Commercial_calculation!S53</f>
        <v>9987090522.8368111</v>
      </c>
      <c r="T3" s="3">
        <f>Commercial_calculation!T53</f>
        <v>9118213647.350008</v>
      </c>
      <c r="U3" s="3">
        <f>Commercial_calculation!U53</f>
        <v>8324929060.0305576</v>
      </c>
      <c r="V3" s="3">
        <f>Commercial_calculation!V53</f>
        <v>7600660231.8078995</v>
      </c>
      <c r="W3" s="3">
        <f>Commercial_calculation!W53</f>
        <v>6939402791.6406126</v>
      </c>
      <c r="X3" s="3">
        <f>Commercial_calculation!X53</f>
        <v>6335674748.7678795</v>
      </c>
      <c r="Y3" s="3">
        <f>Commercial_calculation!Y53</f>
        <v>5784471045.6250744</v>
      </c>
      <c r="Z3" s="3">
        <f>Commercial_calculation!Z53</f>
        <v>5281222064.6556931</v>
      </c>
      <c r="AA3" s="3">
        <f>Commercial_calculation!AA53</f>
        <v>4821755745.0306482</v>
      </c>
      <c r="AB3" s="3">
        <f>Commercial_calculation!AB53</f>
        <v>4402262995.2129822</v>
      </c>
      <c r="AC3" s="3">
        <f>Commercial_calculation!AC53</f>
        <v>4019266114.6294527</v>
      </c>
      <c r="AD3" s="3">
        <f>Commercial_calculation!AD53</f>
        <v>3669589962.6566906</v>
      </c>
      <c r="AE3" s="3">
        <f>Commercial_calculation!AE53</f>
        <v>3350335635.9055586</v>
      </c>
      <c r="AF3" s="3">
        <f>Commercial_calculation!AF53</f>
        <v>3058856435.5817752</v>
      </c>
      <c r="AG3" s="3">
        <f>Commercial_calculation!AG53</f>
        <v>2792735925.686161</v>
      </c>
    </row>
    <row r="4" spans="1:35">
      <c r="A4" s="1" t="s">
        <v>4</v>
      </c>
      <c r="B4" s="3">
        <f>Commercial_calculation!B54</f>
        <v>78014926952040.016</v>
      </c>
      <c r="C4" s="3">
        <f>Commercial_calculation!C54</f>
        <v>66020140308008.047</v>
      </c>
      <c r="D4" s="3">
        <f>Commercial_calculation!D54</f>
        <v>65820793192062.914</v>
      </c>
      <c r="E4" s="3">
        <f>Commercial_calculation!E54</f>
        <v>71600047307962.938</v>
      </c>
      <c r="F4" s="3">
        <f>Commercial_calculation!F54</f>
        <v>73032048254122.203</v>
      </c>
      <c r="G4" s="3">
        <f>Commercial_calculation!G54</f>
        <v>74492689219204.656</v>
      </c>
      <c r="H4" s="3">
        <f>Commercial_calculation!H54</f>
        <v>75982543003588.75</v>
      </c>
      <c r="I4" s="3">
        <f>Commercial_calculation!I54</f>
        <v>77502193863660.531</v>
      </c>
      <c r="J4" s="3">
        <f>Commercial_calculation!J54</f>
        <v>79052237740933.75</v>
      </c>
      <c r="K4" s="3">
        <f>Commercial_calculation!K54</f>
        <v>80633282495752.422</v>
      </c>
      <c r="L4" s="3">
        <f>Commercial_calculation!L54</f>
        <v>82245948145667.469</v>
      </c>
      <c r="M4" s="3">
        <f>Commercial_calculation!M54</f>
        <v>83890867108580.813</v>
      </c>
      <c r="N4" s="3">
        <f>Commercial_calculation!N54</f>
        <v>85568684450752.438</v>
      </c>
      <c r="O4" s="3">
        <f>Commercial_calculation!O54</f>
        <v>87280058139767.484</v>
      </c>
      <c r="P4" s="3">
        <f>Commercial_calculation!P54</f>
        <v>89025659302562.828</v>
      </c>
      <c r="Q4" s="3">
        <f>Commercial_calculation!Q54</f>
        <v>90806172488614.094</v>
      </c>
      <c r="R4" s="3">
        <f>Commercial_calculation!R54</f>
        <v>92622295938386.375</v>
      </c>
      <c r="S4" s="3">
        <f>Commercial_calculation!S54</f>
        <v>94474741857154.109</v>
      </c>
      <c r="T4" s="3">
        <f>Commercial_calculation!T54</f>
        <v>96364236694297.188</v>
      </c>
      <c r="U4" s="3">
        <f>Commercial_calculation!U54</f>
        <v>98291521428183.141</v>
      </c>
      <c r="V4" s="3">
        <f>Commercial_calculation!V54</f>
        <v>100257351856746.81</v>
      </c>
      <c r="W4" s="3">
        <f>Commercial_calculation!W54</f>
        <v>102262498893881.75</v>
      </c>
      <c r="X4" s="3">
        <f>Commercial_calculation!X54</f>
        <v>104307748871759.39</v>
      </c>
      <c r="Y4" s="3">
        <f>Commercial_calculation!Y54</f>
        <v>106393903849194.58</v>
      </c>
      <c r="Z4" s="3">
        <f>Commercial_calculation!Z54</f>
        <v>108521781926178.47</v>
      </c>
      <c r="AA4" s="3">
        <f>Commercial_calculation!AA54</f>
        <v>110692217564702.05</v>
      </c>
      <c r="AB4" s="3">
        <f>Commercial_calculation!AB54</f>
        <v>112906061915996.09</v>
      </c>
      <c r="AC4" s="3">
        <f>Commercial_calculation!AC54</f>
        <v>115164183154316.02</v>
      </c>
      <c r="AD4" s="3">
        <f>Commercial_calculation!AD54</f>
        <v>117467466817402.34</v>
      </c>
      <c r="AE4" s="3">
        <f>Commercial_calculation!AE54</f>
        <v>119816816153750.39</v>
      </c>
      <c r="AF4" s="3">
        <f>Commercial_calculation!AF54</f>
        <v>122213152476825.41</v>
      </c>
      <c r="AG4" s="3">
        <f>Commercial_calculation!AG54</f>
        <v>124657415526361.92</v>
      </c>
    </row>
    <row r="5" spans="1:35">
      <c r="A5" s="1" t="s">
        <v>5</v>
      </c>
      <c r="B5" s="3">
        <f>Commercial_calculation!B55</f>
        <v>1727143434540.0002</v>
      </c>
      <c r="C5" s="3">
        <f>Commercial_calculation!C55</f>
        <v>1652683368723.0925</v>
      </c>
      <c r="D5" s="3">
        <f>Commercial_calculation!D55</f>
        <v>3382111272232.6724</v>
      </c>
      <c r="E5" s="3">
        <f>Commercial_calculation!E55</f>
        <v>1462745148036.8452</v>
      </c>
      <c r="F5" s="3">
        <f>Commercial_calculation!F55</f>
        <v>1392533380931.0767</v>
      </c>
      <c r="G5" s="3">
        <f>Commercial_calculation!G55</f>
        <v>1325691778646.385</v>
      </c>
      <c r="H5" s="3">
        <f>Commercial_calculation!H55</f>
        <v>1262058573271.3584</v>
      </c>
      <c r="I5" s="3">
        <f>Commercial_calculation!I55</f>
        <v>1201479761754.3333</v>
      </c>
      <c r="J5" s="3">
        <f>Commercial_calculation!J55</f>
        <v>1143808733190.1252</v>
      </c>
      <c r="K5" s="3">
        <f>Commercial_calculation!K55</f>
        <v>1088905913996.9991</v>
      </c>
      <c r="L5" s="3">
        <f>Commercial_calculation!L55</f>
        <v>1036638430125.1432</v>
      </c>
      <c r="M5" s="3">
        <f>Commercial_calculation!M55</f>
        <v>986879785479.13623</v>
      </c>
      <c r="N5" s="3">
        <f>Commercial_calculation!N55</f>
        <v>939509555776.1377</v>
      </c>
      <c r="O5" s="3">
        <f>Commercial_calculation!O55</f>
        <v>894413097098.88306</v>
      </c>
      <c r="P5" s="3">
        <f>Commercial_calculation!P55</f>
        <v>851481268438.1366</v>
      </c>
      <c r="Q5" s="3">
        <f>Commercial_calculation!Q55</f>
        <v>810610167553.10596</v>
      </c>
      <c r="R5" s="3">
        <f>Commercial_calculation!R55</f>
        <v>771700879510.55688</v>
      </c>
      <c r="S5" s="3">
        <f>Commercial_calculation!S55</f>
        <v>734659237294.05017</v>
      </c>
      <c r="T5" s="3">
        <f>Commercial_calculation!T55</f>
        <v>699395593903.93579</v>
      </c>
      <c r="U5" s="3">
        <f>Commercial_calculation!U55</f>
        <v>665824605396.54688</v>
      </c>
      <c r="V5" s="3">
        <f>Commercial_calculation!V55</f>
        <v>633865024337.51257</v>
      </c>
      <c r="W5" s="3">
        <f>Commercial_calculation!W55</f>
        <v>603439503169.31189</v>
      </c>
      <c r="X5" s="3">
        <f>Commercial_calculation!X55</f>
        <v>574474407017.18494</v>
      </c>
      <c r="Y5" s="3">
        <f>Commercial_calculation!Y55</f>
        <v>546899635480.36005</v>
      </c>
      <c r="Z5" s="3">
        <f>Commercial_calculation!Z55</f>
        <v>520648452977.30273</v>
      </c>
      <c r="AA5" s="3">
        <f>Commercial_calculation!AA55</f>
        <v>495657327234.39215</v>
      </c>
      <c r="AB5" s="3">
        <f>Commercial_calculation!AB55</f>
        <v>471865775527.1413</v>
      </c>
      <c r="AC5" s="3">
        <f>Commercial_calculation!AC55</f>
        <v>449216218301.8385</v>
      </c>
      <c r="AD5" s="3">
        <f>Commercial_calculation!AD55</f>
        <v>427653839823.35022</v>
      </c>
      <c r="AE5" s="3">
        <f>Commercial_calculation!AE55</f>
        <v>407126455511.82941</v>
      </c>
      <c r="AF5" s="3">
        <f>Commercial_calculation!AF55</f>
        <v>387584385647.2616</v>
      </c>
      <c r="AG5" s="3">
        <f>Commercial_calculation!AG55</f>
        <v>368980335136.19299</v>
      </c>
    </row>
    <row r="6" spans="1:35">
      <c r="A6" s="1" t="s">
        <v>7</v>
      </c>
      <c r="B6" s="3">
        <f>Commercial_calculation!B56</f>
        <v>0</v>
      </c>
      <c r="C6" s="3">
        <f>Commercial_calculation!C56</f>
        <v>0</v>
      </c>
      <c r="D6" s="3">
        <f>Commercial_calculation!D56</f>
        <v>0</v>
      </c>
      <c r="E6" s="3">
        <f>Commercial_calculation!E56</f>
        <v>0</v>
      </c>
      <c r="F6" s="3">
        <f>Commercial_calculation!F56</f>
        <v>0</v>
      </c>
      <c r="G6" s="3">
        <f>Commercial_calculation!G56</f>
        <v>0</v>
      </c>
      <c r="H6" s="3">
        <f>Commercial_calculation!H56</f>
        <v>0</v>
      </c>
      <c r="I6" s="3">
        <f>Commercial_calculation!I56</f>
        <v>0</v>
      </c>
      <c r="J6" s="3">
        <f>Commercial_calculation!J56</f>
        <v>0</v>
      </c>
      <c r="K6" s="3">
        <f>Commercial_calculation!K56</f>
        <v>0</v>
      </c>
      <c r="L6" s="3">
        <f>Commercial_calculation!L56</f>
        <v>0</v>
      </c>
      <c r="M6" s="3">
        <f>Commercial_calculation!M56</f>
        <v>0</v>
      </c>
      <c r="N6" s="3">
        <f>Commercial_calculation!N56</f>
        <v>0</v>
      </c>
      <c r="O6" s="3">
        <f>Commercial_calculation!O56</f>
        <v>0</v>
      </c>
      <c r="P6" s="3">
        <f>Commercial_calculation!P56</f>
        <v>0</v>
      </c>
      <c r="Q6" s="3">
        <f>Commercial_calculation!Q56</f>
        <v>0</v>
      </c>
      <c r="R6" s="3">
        <f>Commercial_calculation!R56</f>
        <v>0</v>
      </c>
      <c r="S6" s="3">
        <f>Commercial_calculation!S56</f>
        <v>0</v>
      </c>
      <c r="T6" s="3">
        <f>Commercial_calculation!T56</f>
        <v>0</v>
      </c>
      <c r="U6" s="3">
        <f>Commercial_calculation!U56</f>
        <v>0</v>
      </c>
      <c r="V6" s="3">
        <f>Commercial_calculation!V56</f>
        <v>0</v>
      </c>
      <c r="W6" s="3">
        <f>Commercial_calculation!W56</f>
        <v>0</v>
      </c>
      <c r="X6" s="3">
        <f>Commercial_calculation!X56</f>
        <v>0</v>
      </c>
      <c r="Y6" s="3">
        <f>Commercial_calculation!Y56</f>
        <v>0</v>
      </c>
      <c r="Z6" s="3">
        <f>Commercial_calculation!Z56</f>
        <v>0</v>
      </c>
      <c r="AA6" s="3">
        <f>Commercial_calculation!AA56</f>
        <v>0</v>
      </c>
      <c r="AB6" s="3">
        <f>Commercial_calculation!AB56</f>
        <v>0</v>
      </c>
      <c r="AC6" s="3">
        <f>Commercial_calculation!AC56</f>
        <v>0</v>
      </c>
      <c r="AD6" s="3">
        <f>Commercial_calculation!AD56</f>
        <v>0</v>
      </c>
      <c r="AE6" s="3">
        <f>Commercial_calculation!AE56</f>
        <v>0</v>
      </c>
      <c r="AF6" s="3">
        <f>Commercial_calculation!AF56</f>
        <v>0</v>
      </c>
      <c r="AG6" s="3">
        <f>Commercial_calculation!AG56</f>
        <v>0</v>
      </c>
    </row>
    <row r="7" spans="1:35">
      <c r="A7" s="1" t="s">
        <v>11</v>
      </c>
      <c r="B7" s="3">
        <f>Commercial_calculation!B57</f>
        <v>3240351308670.0005</v>
      </c>
      <c r="C7" s="3">
        <f>Commercial_calculation!C57</f>
        <v>10432702095698.609</v>
      </c>
      <c r="D7" s="3">
        <f>Commercial_calculation!D57</f>
        <v>11191444066294.871</v>
      </c>
      <c r="E7" s="3">
        <f>Commercial_calculation!E57</f>
        <v>7933230950253.6152</v>
      </c>
      <c r="F7" s="3">
        <f>Commercial_calculation!F57</f>
        <v>8290226343015.0273</v>
      </c>
      <c r="G7" s="3">
        <f>Commercial_calculation!G57</f>
        <v>8663286528450.7031</v>
      </c>
      <c r="H7" s="3">
        <f>Commercial_calculation!H57</f>
        <v>9053134422230.9844</v>
      </c>
      <c r="I7" s="3">
        <f>Commercial_calculation!I57</f>
        <v>9460525471231.3789</v>
      </c>
      <c r="J7" s="3">
        <f>Commercial_calculation!J57</f>
        <v>9886249117436.791</v>
      </c>
      <c r="K7" s="3">
        <f>Commercial_calculation!K57</f>
        <v>10331130327721.445</v>
      </c>
      <c r="L7" s="3">
        <f>Commercial_calculation!L57</f>
        <v>10796031192468.91</v>
      </c>
      <c r="M7" s="3">
        <f>Commercial_calculation!M57</f>
        <v>11281852596130.01</v>
      </c>
      <c r="N7" s="3">
        <f>Commercial_calculation!N57</f>
        <v>11789535962955.859</v>
      </c>
      <c r="O7" s="3">
        <f>Commercial_calculation!O57</f>
        <v>12320065081288.873</v>
      </c>
      <c r="P7" s="3">
        <f>Commercial_calculation!P57</f>
        <v>12874468009946.871</v>
      </c>
      <c r="Q7" s="3">
        <f>Commercial_calculation!Q57</f>
        <v>13453819070394.479</v>
      </c>
      <c r="R7" s="3">
        <f>Commercial_calculation!R57</f>
        <v>14059240928562.229</v>
      </c>
      <c r="S7" s="3">
        <f>Commercial_calculation!S57</f>
        <v>14691906770347.527</v>
      </c>
      <c r="T7" s="3">
        <f>Commercial_calculation!T57</f>
        <v>15353042575013.164</v>
      </c>
      <c r="U7" s="3">
        <f>Commercial_calculation!U57</f>
        <v>16043929490888.756</v>
      </c>
      <c r="V7" s="3">
        <f>Commercial_calculation!V57</f>
        <v>16765906317978.748</v>
      </c>
      <c r="W7" s="3">
        <f>Commercial_calculation!W57</f>
        <v>17520372102287.791</v>
      </c>
      <c r="X7" s="3">
        <f>Commercial_calculation!X57</f>
        <v>18308788846890.742</v>
      </c>
      <c r="Y7" s="3">
        <f>Commercial_calculation!Y57</f>
        <v>19132684345000.824</v>
      </c>
      <c r="Z7" s="3">
        <f>Commercial_calculation!Z57</f>
        <v>19993655140525.859</v>
      </c>
      <c r="AA7" s="3">
        <f>Commercial_calculation!AA57</f>
        <v>20893369621849.523</v>
      </c>
      <c r="AB7" s="3">
        <f>Commercial_calculation!AB57</f>
        <v>21833571254832.75</v>
      </c>
      <c r="AC7" s="3">
        <f>Commercial_calculation!AC57</f>
        <v>22816081961300.223</v>
      </c>
      <c r="AD7" s="3">
        <f>Commercial_calculation!AD57</f>
        <v>23842805649558.73</v>
      </c>
      <c r="AE7" s="3">
        <f>Commercial_calculation!AE57</f>
        <v>24915731903788.871</v>
      </c>
      <c r="AF7" s="3">
        <f>Commercial_calculation!AF57</f>
        <v>26036939839459.367</v>
      </c>
      <c r="AG7" s="3">
        <f>Commercial_calculation!AG57</f>
        <v>27208602132235.035</v>
      </c>
    </row>
    <row r="8" spans="1:35">
      <c r="A8" s="1" t="s">
        <v>13</v>
      </c>
      <c r="B8" s="3">
        <f>Commercial_calculation!B58</f>
        <v>1522192127970.0002</v>
      </c>
      <c r="C8" s="3">
        <f>Commercial_calculation!C58</f>
        <v>3012656811515.2612</v>
      </c>
      <c r="D8" s="3">
        <f>Commercial_calculation!D58</f>
        <v>2980773369226.4717</v>
      </c>
      <c r="E8" s="3">
        <f>Commercial_calculation!E58</f>
        <v>1289168638249.7905</v>
      </c>
      <c r="F8" s="3">
        <f>Commercial_calculation!F58</f>
        <v>1227288543613.8005</v>
      </c>
      <c r="G8" s="3">
        <f>Commercial_calculation!G58</f>
        <v>1168378693520.3381</v>
      </c>
      <c r="H8" s="3">
        <f>Commercial_calculation!H58</f>
        <v>1112296516231.3618</v>
      </c>
      <c r="I8" s="3">
        <f>Commercial_calculation!I58</f>
        <v>1058906283452.2563</v>
      </c>
      <c r="J8" s="3">
        <f>Commercial_calculation!J58</f>
        <v>1008078781846.548</v>
      </c>
      <c r="K8" s="3">
        <f>Commercial_calculation!K58</f>
        <v>959691000317.91357</v>
      </c>
      <c r="L8" s="3">
        <f>Commercial_calculation!L58</f>
        <v>913625832302.65369</v>
      </c>
      <c r="M8" s="3">
        <f>Commercial_calculation!M58</f>
        <v>869771792352.12622</v>
      </c>
      <c r="N8" s="3">
        <f>Commercial_calculation!N58</f>
        <v>828022746319.22412</v>
      </c>
      <c r="O8" s="3">
        <f>Commercial_calculation!O58</f>
        <v>788277654495.90137</v>
      </c>
      <c r="P8" s="3">
        <f>Commercial_calculation!P58</f>
        <v>750440327080.09802</v>
      </c>
      <c r="Q8" s="3">
        <f>Commercial_calculation!Q58</f>
        <v>714419191380.2533</v>
      </c>
      <c r="R8" s="3">
        <f>Commercial_calculation!R58</f>
        <v>680127070194.0011</v>
      </c>
      <c r="S8" s="3">
        <f>Commercial_calculation!S58</f>
        <v>647480970824.68896</v>
      </c>
      <c r="T8" s="3">
        <f>Commercial_calculation!T58</f>
        <v>616401884225.10388</v>
      </c>
      <c r="U8" s="3">
        <f>Commercial_calculation!U58</f>
        <v>586814593782.29883</v>
      </c>
      <c r="V8" s="3">
        <f>Commercial_calculation!V58</f>
        <v>558647493280.74841</v>
      </c>
      <c r="W8" s="3">
        <f>Commercial_calculation!W58</f>
        <v>531832413603.27246</v>
      </c>
      <c r="X8" s="3">
        <f>Commercial_calculation!X58</f>
        <v>506304457750.31537</v>
      </c>
      <c r="Y8" s="3">
        <f>Commercial_calculation!Y58</f>
        <v>482001843778.30023</v>
      </c>
      <c r="Z8" s="3">
        <f>Commercial_calculation!Z58</f>
        <v>458865755276.94177</v>
      </c>
      <c r="AA8" s="3">
        <f>Commercial_calculation!AA58</f>
        <v>436840199023.64856</v>
      </c>
      <c r="AB8" s="3">
        <f>Commercial_calculation!AB58</f>
        <v>415871869470.51343</v>
      </c>
      <c r="AC8" s="3">
        <f>Commercial_calculation!AC58</f>
        <v>395910019735.92877</v>
      </c>
      <c r="AD8" s="3">
        <f>Commercial_calculation!AD58</f>
        <v>376906338788.60419</v>
      </c>
      <c r="AE8" s="3">
        <f>Commercial_calculation!AE58</f>
        <v>358814834526.75116</v>
      </c>
      <c r="AF8" s="3">
        <f>Commercial_calculation!AF58</f>
        <v>341591722469.4671</v>
      </c>
      <c r="AG8" s="3">
        <f>Commercial_calculation!AG58</f>
        <v>325195319790.93268</v>
      </c>
    </row>
    <row r="9" spans="1:35">
      <c r="A9" s="1" t="s">
        <v>14</v>
      </c>
      <c r="B9" s="3">
        <f>Commercial_calculation!B59</f>
        <v>21702687390</v>
      </c>
      <c r="C9" s="3">
        <f>Commercial_calculation!C59</f>
        <v>42320867516.84391</v>
      </c>
      <c r="D9" s="3">
        <f>Commercial_calculation!D59</f>
        <v>42498441178.401688</v>
      </c>
      <c r="E9" s="3">
        <f>Commercial_calculation!E59</f>
        <v>18380349914.329998</v>
      </c>
      <c r="F9" s="3">
        <f>Commercial_calculation!F59</f>
        <v>17498093118.442158</v>
      </c>
      <c r="G9" s="3">
        <f>Commercial_calculation!G59</f>
        <v>16658184648.756933</v>
      </c>
      <c r="H9" s="3">
        <f>Commercial_calculation!H59</f>
        <v>15858591785.6166</v>
      </c>
      <c r="I9" s="3">
        <f>Commercial_calculation!I59</f>
        <v>15097379379.907003</v>
      </c>
      <c r="J9" s="3">
        <f>Commercial_calculation!J59</f>
        <v>14372705169.671467</v>
      </c>
      <c r="K9" s="3">
        <f>Commercial_calculation!K59</f>
        <v>13682815321.527235</v>
      </c>
      <c r="L9" s="3">
        <f>Commercial_calculation!L59</f>
        <v>13026040186.093927</v>
      </c>
      <c r="M9" s="3">
        <f>Commercial_calculation!M59</f>
        <v>12400790257.161419</v>
      </c>
      <c r="N9" s="3">
        <f>Commercial_calculation!N59</f>
        <v>11805552324.817671</v>
      </c>
      <c r="O9" s="3">
        <f>Commercial_calculation!O59</f>
        <v>11238885813.226421</v>
      </c>
      <c r="P9" s="3">
        <f>Commercial_calculation!P59</f>
        <v>10699419294.191553</v>
      </c>
      <c r="Q9" s="3">
        <f>Commercial_calculation!Q59</f>
        <v>10185847168.070358</v>
      </c>
      <c r="R9" s="3">
        <f>Commercial_calculation!R59</f>
        <v>9696926504.0029812</v>
      </c>
      <c r="S9" s="3">
        <f>Commercial_calculation!S59</f>
        <v>9231474031.8108368</v>
      </c>
      <c r="T9" s="3">
        <f>Commercial_calculation!T59</f>
        <v>8788363278.2839165</v>
      </c>
      <c r="U9" s="3">
        <f>Commercial_calculation!U59</f>
        <v>8366521840.9262877</v>
      </c>
      <c r="V9" s="3">
        <f>Commercial_calculation!V59</f>
        <v>7964928792.5618258</v>
      </c>
      <c r="W9" s="3">
        <f>Commercial_calculation!W59</f>
        <v>7582612210.518858</v>
      </c>
      <c r="X9" s="3">
        <f>Commercial_calculation!X59</f>
        <v>7218646824.4139528</v>
      </c>
      <c r="Y9" s="3">
        <f>Commercial_calculation!Y59</f>
        <v>6872151776.842083</v>
      </c>
      <c r="Z9" s="3">
        <f>Commercial_calculation!Z59</f>
        <v>6542288491.5536623</v>
      </c>
      <c r="AA9" s="3">
        <f>Commercial_calculation!AA59</f>
        <v>6228258643.9590864</v>
      </c>
      <c r="AB9" s="3">
        <f>Commercial_calculation!AB59</f>
        <v>5929302229.0490503</v>
      </c>
      <c r="AC9" s="3">
        <f>Commercial_calculation!AC59</f>
        <v>5644695722.0546961</v>
      </c>
      <c r="AD9" s="3">
        <f>Commercial_calculation!AD59</f>
        <v>5373750327.3960705</v>
      </c>
      <c r="AE9" s="3">
        <f>Commercial_calculation!AE59</f>
        <v>5115810311.6810589</v>
      </c>
      <c r="AF9" s="3">
        <f>Commercial_calculation!AF59</f>
        <v>4870251416.7203674</v>
      </c>
      <c r="AG9" s="3">
        <f>Commercial_calculation!AG59</f>
        <v>4636479348.7177896</v>
      </c>
    </row>
    <row r="10" spans="1:35">
      <c r="A10" s="1" t="s">
        <v>15</v>
      </c>
      <c r="B10" s="3">
        <f>Commercial_calculation!B60</f>
        <v>21475942124910.004</v>
      </c>
      <c r="C10" s="3">
        <f>Commercial_calculation!C60</f>
        <v>44126088763837.563</v>
      </c>
      <c r="D10" s="3">
        <f>Commercial_calculation!D60</f>
        <v>42054426106086.336</v>
      </c>
      <c r="E10" s="3">
        <f>Commercial_calculation!E60</f>
        <v>18188315755662.074</v>
      </c>
      <c r="F10" s="3">
        <f>Commercial_calculation!F60</f>
        <v>17315276599390.293</v>
      </c>
      <c r="G10" s="3">
        <f>Commercial_calculation!G60</f>
        <v>16484143322619.559</v>
      </c>
      <c r="H10" s="3">
        <f>Commercial_calculation!H60</f>
        <v>15692904443133.818</v>
      </c>
      <c r="I10" s="3">
        <f>Commercial_calculation!I60</f>
        <v>14939645029863.395</v>
      </c>
      <c r="J10" s="3">
        <f>Commercial_calculation!J60</f>
        <v>14222542068429.951</v>
      </c>
      <c r="K10" s="3">
        <f>Commercial_calculation!K60</f>
        <v>13539860049145.313</v>
      </c>
      <c r="L10" s="3">
        <f>Commercial_calculation!L60</f>
        <v>12889946766786.338</v>
      </c>
      <c r="M10" s="3">
        <f>Commercial_calculation!M60</f>
        <v>12271229321980.594</v>
      </c>
      <c r="N10" s="3">
        <f>Commercial_calculation!N60</f>
        <v>11682210314525.525</v>
      </c>
      <c r="O10" s="3">
        <f>Commercial_calculation!O60</f>
        <v>11121464219428.299</v>
      </c>
      <c r="P10" s="3">
        <f>Commercial_calculation!P60</f>
        <v>10587633936895.74</v>
      </c>
      <c r="Q10" s="3">
        <f>Commercial_calculation!Q60</f>
        <v>10079427507924.744</v>
      </c>
      <c r="R10" s="3">
        <f>Commercial_calculation!R60</f>
        <v>9595614987544.3555</v>
      </c>
      <c r="S10" s="3">
        <f>Commercial_calculation!S60</f>
        <v>9135025468142.2266</v>
      </c>
      <c r="T10" s="3">
        <f>Commercial_calculation!T60</f>
        <v>8696544245671.3994</v>
      </c>
      <c r="U10" s="3">
        <f>Commercial_calculation!U60</f>
        <v>8279110121879.1719</v>
      </c>
      <c r="V10" s="3">
        <f>Commercial_calculation!V60</f>
        <v>7881712836028.9717</v>
      </c>
      <c r="W10" s="3">
        <f>Commercial_calculation!W60</f>
        <v>7503390619899.5811</v>
      </c>
      <c r="X10" s="3">
        <f>Commercial_calculation!X60</f>
        <v>7143227870144.4004</v>
      </c>
      <c r="Y10" s="3">
        <f>Commercial_calculation!Y60</f>
        <v>6800352932377.4688</v>
      </c>
      <c r="Z10" s="3">
        <f>Commercial_calculation!Z60</f>
        <v>6473935991623.3496</v>
      </c>
      <c r="AA10" s="3">
        <f>Commercial_calculation!AA60</f>
        <v>6163187064025.4287</v>
      </c>
      <c r="AB10" s="3">
        <f>Commercial_calculation!AB60</f>
        <v>5867354084952.208</v>
      </c>
      <c r="AC10" s="3">
        <f>Commercial_calculation!AC60</f>
        <v>5585721088874.502</v>
      </c>
      <c r="AD10" s="3">
        <f>Commercial_calculation!AD60</f>
        <v>5317606476608.5254</v>
      </c>
      <c r="AE10" s="3">
        <f>Commercial_calculation!AE60</f>
        <v>5062361365731.3164</v>
      </c>
      <c r="AF10" s="3">
        <f>Commercial_calculation!AF60</f>
        <v>4819368020176.2129</v>
      </c>
      <c r="AG10" s="3">
        <f>Commercial_calculation!AG60</f>
        <v>4588038355207.7549</v>
      </c>
    </row>
    <row r="11" spans="1:35">
      <c r="A11" s="1" t="s">
        <v>16</v>
      </c>
      <c r="B11" s="3">
        <f>Commercial_calculation!B61</f>
        <v>0</v>
      </c>
      <c r="C11" s="3">
        <f>Commercial_calculation!C61</f>
        <v>0</v>
      </c>
      <c r="D11" s="3">
        <f>Commercial_calculation!D61</f>
        <v>0</v>
      </c>
      <c r="E11" s="3">
        <f>Commercial_calculation!E61</f>
        <v>0</v>
      </c>
      <c r="F11" s="3">
        <f>Commercial_calculation!F61</f>
        <v>0</v>
      </c>
      <c r="G11" s="3">
        <f>Commercial_calculation!G61</f>
        <v>0</v>
      </c>
      <c r="H11" s="3">
        <f>Commercial_calculation!H61</f>
        <v>0</v>
      </c>
      <c r="I11" s="3">
        <f>Commercial_calculation!I61</f>
        <v>0</v>
      </c>
      <c r="J11" s="3">
        <f>Commercial_calculation!J61</f>
        <v>0</v>
      </c>
      <c r="K11" s="3">
        <f>Commercial_calculation!K61</f>
        <v>0</v>
      </c>
      <c r="L11" s="3">
        <f>Commercial_calculation!L61</f>
        <v>0</v>
      </c>
      <c r="M11" s="3">
        <f>Commercial_calculation!M61</f>
        <v>0</v>
      </c>
      <c r="N11" s="3">
        <f>Commercial_calculation!N61</f>
        <v>0</v>
      </c>
      <c r="O11" s="3">
        <f>Commercial_calculation!O61</f>
        <v>0</v>
      </c>
      <c r="P11" s="3">
        <f>Commercial_calculation!P61</f>
        <v>0</v>
      </c>
      <c r="Q11" s="3">
        <f>Commercial_calculation!Q61</f>
        <v>0</v>
      </c>
      <c r="R11" s="3">
        <f>Commercial_calculation!R61</f>
        <v>0</v>
      </c>
      <c r="S11" s="3">
        <f>Commercial_calculation!S61</f>
        <v>0</v>
      </c>
      <c r="T11" s="3">
        <f>Commercial_calculation!T61</f>
        <v>0</v>
      </c>
      <c r="U11" s="3">
        <f>Commercial_calculation!U61</f>
        <v>0</v>
      </c>
      <c r="V11" s="3">
        <f>Commercial_calculation!V61</f>
        <v>0</v>
      </c>
      <c r="W11" s="3">
        <f>Commercial_calculation!W61</f>
        <v>0</v>
      </c>
      <c r="X11" s="3">
        <f>Commercial_calculation!X61</f>
        <v>0</v>
      </c>
      <c r="Y11" s="3">
        <f>Commercial_calculation!Y61</f>
        <v>0</v>
      </c>
      <c r="Z11" s="3">
        <f>Commercial_calculation!Z61</f>
        <v>0</v>
      </c>
      <c r="AA11" s="3">
        <f>Commercial_calculation!AA61</f>
        <v>0</v>
      </c>
      <c r="AB11" s="3">
        <f>Commercial_calculation!AB61</f>
        <v>0</v>
      </c>
      <c r="AC11" s="3">
        <f>Commercial_calculation!AC61</f>
        <v>0</v>
      </c>
      <c r="AD11" s="3">
        <f>Commercial_calculation!AD61</f>
        <v>0</v>
      </c>
      <c r="AE11" s="3">
        <f>Commercial_calculation!AE61</f>
        <v>0</v>
      </c>
      <c r="AF11" s="3">
        <f>Commercial_calculation!AF61</f>
        <v>0</v>
      </c>
      <c r="AG11" s="3">
        <f>Commercial_calculation!AG61</f>
        <v>0</v>
      </c>
    </row>
  </sheetData>
  <phoneticPr fontId="11" type="noConversion"/>
  <pageMargins left="0.7" right="0.7" top="0.75" bottom="0.75" header="0.3" footer="0.3"/>
  <pageSetup orientation="portrait" horizontalDpi="1200" verticalDpi="12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election activeCell="C2" sqref="C2"/>
    </sheetView>
  </sheetViews>
  <sheetFormatPr defaultRowHeight="16.5"/>
  <cols>
    <col min="1" max="1" width="29.875" customWidth="1"/>
    <col min="2" max="32" width="9.875" customWidth="1"/>
    <col min="33" max="33" width="11.125" bestFit="1" customWidth="1"/>
  </cols>
  <sheetData>
    <row r="1" spans="1:35">
      <c r="A1" s="1" t="s">
        <v>1</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c r="AI1" s="1"/>
    </row>
    <row r="2" spans="1:35">
      <c r="A2" s="1" t="s">
        <v>2</v>
      </c>
      <c r="B2" s="48">
        <f>Commercial_calculation!B64-SUM(DC_deduction_260831!B27:B28)</f>
        <v>61613565725551.688</v>
      </c>
      <c r="C2" s="48">
        <f>Commercial_calculation!C64-SUM(DC_deduction_260831!C27:C28)</f>
        <v>61123745537931.906</v>
      </c>
      <c r="D2" s="48">
        <f>Commercial_calculation!D64-SUM(DC_deduction_260831!D27:D28)</f>
        <v>60191957295160.055</v>
      </c>
      <c r="E2" s="48">
        <f>Commercial_calculation!E64-SUM(DC_deduction_260831!E27:E28)</f>
        <v>62699666840196.438</v>
      </c>
      <c r="F2" s="48">
        <f>Commercial_calculation!F64-SUM(DC_deduction_260831!F27:F28)</f>
        <v>63201264174918</v>
      </c>
      <c r="G2" s="48">
        <f>Commercial_calculation!G64-SUM(DC_deduction_260831!G27:G28)</f>
        <v>63706874288317.352</v>
      </c>
      <c r="H2" s="48">
        <f>Commercial_calculation!H64-SUM(DC_deduction_260831!H27:H28)</f>
        <v>64216529282623.891</v>
      </c>
      <c r="I2" s="48">
        <f>Commercial_calculation!I64-SUM(DC_deduction_260831!I27:I28)</f>
        <v>64730261516884.883</v>
      </c>
      <c r="J2" s="48">
        <f>Commercial_calculation!J64-SUM(DC_deduction_260831!J27:J28)</f>
        <v>65248103609019.961</v>
      </c>
      <c r="K2" s="48">
        <f>Commercial_calculation!K64-SUM(DC_deduction_260831!K27:K28)</f>
        <v>65770088437892.117</v>
      </c>
      <c r="L2" s="48">
        <f>Commercial_calculation!L64-SUM(DC_deduction_260831!L27:L28)</f>
        <v>66296249145395.258</v>
      </c>
      <c r="M2" s="48">
        <f>Commercial_calculation!M64-SUM(DC_deduction_260831!M27:M28)</f>
        <v>66826619138558.422</v>
      </c>
      <c r="N2" s="48">
        <f>Commercial_calculation!N64-SUM(DC_deduction_260831!N27:N28)</f>
        <v>67361232091666.891</v>
      </c>
      <c r="O2" s="48">
        <f>Commercial_calculation!O64-SUM(DC_deduction_260831!O27:O28)</f>
        <v>67900121948400.234</v>
      </c>
      <c r="P2" s="48">
        <f>Commercial_calculation!P64-SUM(DC_deduction_260831!P27:P28)</f>
        <v>68443322923987.438</v>
      </c>
      <c r="Q2" s="48">
        <f>Commercial_calculation!Q64-SUM(DC_deduction_260831!Q27:Q28)</f>
        <v>68990869507379.328</v>
      </c>
      <c r="R2" s="48">
        <f>Commercial_calculation!R64-SUM(DC_deduction_260831!R27:R28)</f>
        <v>69542796463438.375</v>
      </c>
      <c r="S2" s="48">
        <f>Commercial_calculation!S64-SUM(DC_deduction_260831!S27:S28)</f>
        <v>70099138835145.883</v>
      </c>
      <c r="T2" s="48">
        <f>Commercial_calculation!T64-SUM(DC_deduction_260831!T27:T28)</f>
        <v>70659931945827.047</v>
      </c>
      <c r="U2" s="48">
        <f>Commercial_calculation!U64-SUM(DC_deduction_260831!U27:U28)</f>
        <v>71225211401393.656</v>
      </c>
      <c r="V2" s="48">
        <f>Commercial_calculation!V64-SUM(DC_deduction_260831!V27:V28)</f>
        <v>71795013092604.813</v>
      </c>
      <c r="W2" s="48">
        <f>Commercial_calculation!W64-SUM(DC_deduction_260831!W27:W28)</f>
        <v>72369373197345.656</v>
      </c>
      <c r="X2" s="48">
        <f>Commercial_calculation!X64-SUM(DC_deduction_260831!X27:X28)</f>
        <v>72948328182924.422</v>
      </c>
      <c r="Y2" s="48">
        <f>Commercial_calculation!Y64-SUM(DC_deduction_260831!Y27:Y28)</f>
        <v>73531914808387.828</v>
      </c>
      <c r="Z2" s="48">
        <f>Commercial_calculation!Z64-SUM(DC_deduction_260831!Z27:Z28)</f>
        <v>74120170126854.922</v>
      </c>
      <c r="AA2" s="48">
        <f>Commercial_calculation!AA64-SUM(DC_deduction_260831!AA27:AA28)</f>
        <v>74713131487869.75</v>
      </c>
      <c r="AB2" s="48">
        <f>Commercial_calculation!AB64-SUM(DC_deduction_260831!AB27:AB28)</f>
        <v>75310836539772.703</v>
      </c>
      <c r="AC2" s="48">
        <f>Commercial_calculation!AC64-SUM(DC_deduction_260831!AC27:AC28)</f>
        <v>75913323232090.875</v>
      </c>
      <c r="AD2" s="48">
        <f>Commercial_calculation!AD64-SUM(DC_deduction_260831!AD27:AD28)</f>
        <v>76520629817947.594</v>
      </c>
      <c r="AE2" s="48">
        <f>Commercial_calculation!AE64-SUM(DC_deduction_260831!AE27:AE28)</f>
        <v>77132794856491.172</v>
      </c>
      <c r="AF2" s="48">
        <f>Commercial_calculation!AF64-SUM(DC_deduction_260831!AF27:AF28)</f>
        <v>77749857215343.094</v>
      </c>
      <c r="AG2" s="48">
        <f>Commercial_calculation!AG64-SUM(DC_deduction_260831!AG27:AG28)</f>
        <v>78371856073065.844</v>
      </c>
    </row>
    <row r="3" spans="1:35">
      <c r="A3" s="1" t="s">
        <v>3</v>
      </c>
      <c r="B3" s="3">
        <f>Commercial_calculation!B65</f>
        <v>0</v>
      </c>
      <c r="C3" s="3">
        <f>Commercial_calculation!C65</f>
        <v>0</v>
      </c>
      <c r="D3" s="3">
        <f>Commercial_calculation!D65</f>
        <v>0</v>
      </c>
      <c r="E3" s="3">
        <f>Commercial_calculation!E65</f>
        <v>0</v>
      </c>
      <c r="F3" s="3">
        <f>Commercial_calculation!F65</f>
        <v>0</v>
      </c>
      <c r="G3" s="3">
        <f>Commercial_calculation!G65</f>
        <v>0</v>
      </c>
      <c r="H3" s="3">
        <f>Commercial_calculation!H65</f>
        <v>0</v>
      </c>
      <c r="I3" s="3">
        <f>Commercial_calculation!I65</f>
        <v>0</v>
      </c>
      <c r="J3" s="3">
        <f>Commercial_calculation!J65</f>
        <v>0</v>
      </c>
      <c r="K3" s="3">
        <f>Commercial_calculation!K65</f>
        <v>0</v>
      </c>
      <c r="L3" s="3">
        <f>Commercial_calculation!L65</f>
        <v>0</v>
      </c>
      <c r="M3" s="3">
        <f>Commercial_calculation!M65</f>
        <v>0</v>
      </c>
      <c r="N3" s="3">
        <f>Commercial_calculation!N65</f>
        <v>0</v>
      </c>
      <c r="O3" s="3">
        <f>Commercial_calculation!O65</f>
        <v>0</v>
      </c>
      <c r="P3" s="3">
        <f>Commercial_calculation!P65</f>
        <v>0</v>
      </c>
      <c r="Q3" s="3">
        <f>Commercial_calculation!Q65</f>
        <v>0</v>
      </c>
      <c r="R3" s="3">
        <f>Commercial_calculation!R65</f>
        <v>0</v>
      </c>
      <c r="S3" s="3">
        <f>Commercial_calculation!S65</f>
        <v>0</v>
      </c>
      <c r="T3" s="3">
        <f>Commercial_calculation!T65</f>
        <v>0</v>
      </c>
      <c r="U3" s="3">
        <f>Commercial_calculation!U65</f>
        <v>0</v>
      </c>
      <c r="V3" s="3">
        <f>Commercial_calculation!V65</f>
        <v>0</v>
      </c>
      <c r="W3" s="3">
        <f>Commercial_calculation!W65</f>
        <v>0</v>
      </c>
      <c r="X3" s="3">
        <f>Commercial_calculation!X65</f>
        <v>0</v>
      </c>
      <c r="Y3" s="3">
        <f>Commercial_calculation!Y65</f>
        <v>0</v>
      </c>
      <c r="Z3" s="3">
        <f>Commercial_calculation!Z65</f>
        <v>0</v>
      </c>
      <c r="AA3" s="3">
        <f>Commercial_calculation!AA65</f>
        <v>0</v>
      </c>
      <c r="AB3" s="3">
        <f>Commercial_calculation!AB65</f>
        <v>0</v>
      </c>
      <c r="AC3" s="3">
        <f>Commercial_calculation!AC65</f>
        <v>0</v>
      </c>
      <c r="AD3" s="3">
        <f>Commercial_calculation!AD65</f>
        <v>0</v>
      </c>
      <c r="AE3" s="3">
        <f>Commercial_calculation!AE65</f>
        <v>0</v>
      </c>
      <c r="AF3" s="3">
        <f>Commercial_calculation!AF65</f>
        <v>0</v>
      </c>
      <c r="AG3" s="3">
        <f>Commercial_calculation!AG65</f>
        <v>0</v>
      </c>
    </row>
    <row r="4" spans="1:35">
      <c r="A4" s="1" t="s">
        <v>4</v>
      </c>
      <c r="B4" s="3">
        <f>Commercial_calculation!B66</f>
        <v>0</v>
      </c>
      <c r="C4" s="3">
        <f>Commercial_calculation!C66</f>
        <v>0</v>
      </c>
      <c r="D4" s="3">
        <f>Commercial_calculation!D66</f>
        <v>0</v>
      </c>
      <c r="E4" s="3">
        <f>Commercial_calculation!E66</f>
        <v>0</v>
      </c>
      <c r="F4" s="3">
        <f>Commercial_calculation!F66</f>
        <v>0</v>
      </c>
      <c r="G4" s="3">
        <f>Commercial_calculation!G66</f>
        <v>0</v>
      </c>
      <c r="H4" s="3">
        <f>Commercial_calculation!H66</f>
        <v>0</v>
      </c>
      <c r="I4" s="3">
        <f>Commercial_calculation!I66</f>
        <v>0</v>
      </c>
      <c r="J4" s="3">
        <f>Commercial_calculation!J66</f>
        <v>0</v>
      </c>
      <c r="K4" s="3">
        <f>Commercial_calculation!K66</f>
        <v>0</v>
      </c>
      <c r="L4" s="3">
        <f>Commercial_calculation!L66</f>
        <v>0</v>
      </c>
      <c r="M4" s="3">
        <f>Commercial_calculation!M66</f>
        <v>0</v>
      </c>
      <c r="N4" s="3">
        <f>Commercial_calculation!N66</f>
        <v>0</v>
      </c>
      <c r="O4" s="3">
        <f>Commercial_calculation!O66</f>
        <v>0</v>
      </c>
      <c r="P4" s="3">
        <f>Commercial_calculation!P66</f>
        <v>0</v>
      </c>
      <c r="Q4" s="3">
        <f>Commercial_calculation!Q66</f>
        <v>0</v>
      </c>
      <c r="R4" s="3">
        <f>Commercial_calculation!R66</f>
        <v>0</v>
      </c>
      <c r="S4" s="3">
        <f>Commercial_calculation!S66</f>
        <v>0</v>
      </c>
      <c r="T4" s="3">
        <f>Commercial_calculation!T66</f>
        <v>0</v>
      </c>
      <c r="U4" s="3">
        <f>Commercial_calculation!U66</f>
        <v>0</v>
      </c>
      <c r="V4" s="3">
        <f>Commercial_calculation!V66</f>
        <v>0</v>
      </c>
      <c r="W4" s="3">
        <f>Commercial_calculation!W66</f>
        <v>0</v>
      </c>
      <c r="X4" s="3">
        <f>Commercial_calculation!X66</f>
        <v>0</v>
      </c>
      <c r="Y4" s="3">
        <f>Commercial_calculation!Y66</f>
        <v>0</v>
      </c>
      <c r="Z4" s="3">
        <f>Commercial_calculation!Z66</f>
        <v>0</v>
      </c>
      <c r="AA4" s="3">
        <f>Commercial_calculation!AA66</f>
        <v>0</v>
      </c>
      <c r="AB4" s="3">
        <f>Commercial_calculation!AB66</f>
        <v>0</v>
      </c>
      <c r="AC4" s="3">
        <f>Commercial_calculation!AC66</f>
        <v>0</v>
      </c>
      <c r="AD4" s="3">
        <f>Commercial_calculation!AD66</f>
        <v>0</v>
      </c>
      <c r="AE4" s="3">
        <f>Commercial_calculation!AE66</f>
        <v>0</v>
      </c>
      <c r="AF4" s="3">
        <f>Commercial_calculation!AF66</f>
        <v>0</v>
      </c>
      <c r="AG4" s="3">
        <f>Commercial_calculation!AG66</f>
        <v>0</v>
      </c>
    </row>
    <row r="5" spans="1:35">
      <c r="A5" s="1" t="s">
        <v>5</v>
      </c>
      <c r="B5" s="3">
        <f>Commercial_calculation!B67</f>
        <v>0</v>
      </c>
      <c r="C5" s="3">
        <f>Commercial_calculation!C67</f>
        <v>0</v>
      </c>
      <c r="D5" s="3">
        <f>Commercial_calculation!D67</f>
        <v>0</v>
      </c>
      <c r="E5" s="3">
        <f>Commercial_calculation!E67</f>
        <v>0</v>
      </c>
      <c r="F5" s="3">
        <f>Commercial_calculation!F67</f>
        <v>0</v>
      </c>
      <c r="G5" s="3">
        <f>Commercial_calculation!G67</f>
        <v>0</v>
      </c>
      <c r="H5" s="3">
        <f>Commercial_calculation!H67</f>
        <v>0</v>
      </c>
      <c r="I5" s="3">
        <f>Commercial_calculation!I67</f>
        <v>0</v>
      </c>
      <c r="J5" s="3">
        <f>Commercial_calculation!J67</f>
        <v>0</v>
      </c>
      <c r="K5" s="3">
        <f>Commercial_calculation!K67</f>
        <v>0</v>
      </c>
      <c r="L5" s="3">
        <f>Commercial_calculation!L67</f>
        <v>0</v>
      </c>
      <c r="M5" s="3">
        <f>Commercial_calculation!M67</f>
        <v>0</v>
      </c>
      <c r="N5" s="3">
        <f>Commercial_calculation!N67</f>
        <v>0</v>
      </c>
      <c r="O5" s="3">
        <f>Commercial_calculation!O67</f>
        <v>0</v>
      </c>
      <c r="P5" s="3">
        <f>Commercial_calculation!P67</f>
        <v>0</v>
      </c>
      <c r="Q5" s="3">
        <f>Commercial_calculation!Q67</f>
        <v>0</v>
      </c>
      <c r="R5" s="3">
        <f>Commercial_calculation!R67</f>
        <v>0</v>
      </c>
      <c r="S5" s="3">
        <f>Commercial_calculation!S67</f>
        <v>0</v>
      </c>
      <c r="T5" s="3">
        <f>Commercial_calculation!T67</f>
        <v>0</v>
      </c>
      <c r="U5" s="3">
        <f>Commercial_calculation!U67</f>
        <v>0</v>
      </c>
      <c r="V5" s="3">
        <f>Commercial_calculation!V67</f>
        <v>0</v>
      </c>
      <c r="W5" s="3">
        <f>Commercial_calculation!W67</f>
        <v>0</v>
      </c>
      <c r="X5" s="3">
        <f>Commercial_calculation!X67</f>
        <v>0</v>
      </c>
      <c r="Y5" s="3">
        <f>Commercial_calculation!Y67</f>
        <v>0</v>
      </c>
      <c r="Z5" s="3">
        <f>Commercial_calculation!Z67</f>
        <v>0</v>
      </c>
      <c r="AA5" s="3">
        <f>Commercial_calculation!AA67</f>
        <v>0</v>
      </c>
      <c r="AB5" s="3">
        <f>Commercial_calculation!AB67</f>
        <v>0</v>
      </c>
      <c r="AC5" s="3">
        <f>Commercial_calculation!AC67</f>
        <v>0</v>
      </c>
      <c r="AD5" s="3">
        <f>Commercial_calculation!AD67</f>
        <v>0</v>
      </c>
      <c r="AE5" s="3">
        <f>Commercial_calculation!AE67</f>
        <v>0</v>
      </c>
      <c r="AF5" s="3">
        <f>Commercial_calculation!AF67</f>
        <v>0</v>
      </c>
      <c r="AG5" s="3">
        <f>Commercial_calculation!AG67</f>
        <v>0</v>
      </c>
    </row>
    <row r="6" spans="1:35">
      <c r="A6" s="1" t="s">
        <v>7</v>
      </c>
      <c r="B6" s="3">
        <f>Commercial_calculation!B68</f>
        <v>0</v>
      </c>
      <c r="C6" s="3">
        <f>Commercial_calculation!C68</f>
        <v>0</v>
      </c>
      <c r="D6" s="3">
        <f>Commercial_calculation!D68</f>
        <v>0</v>
      </c>
      <c r="E6" s="3">
        <f>Commercial_calculation!E68</f>
        <v>0</v>
      </c>
      <c r="F6" s="3">
        <f>Commercial_calculation!F68</f>
        <v>0</v>
      </c>
      <c r="G6" s="3">
        <f>Commercial_calculation!G68</f>
        <v>0</v>
      </c>
      <c r="H6" s="3">
        <f>Commercial_calculation!H68</f>
        <v>0</v>
      </c>
      <c r="I6" s="3">
        <f>Commercial_calculation!I68</f>
        <v>0</v>
      </c>
      <c r="J6" s="3">
        <f>Commercial_calculation!J68</f>
        <v>0</v>
      </c>
      <c r="K6" s="3">
        <f>Commercial_calculation!K68</f>
        <v>0</v>
      </c>
      <c r="L6" s="3">
        <f>Commercial_calculation!L68</f>
        <v>0</v>
      </c>
      <c r="M6" s="3">
        <f>Commercial_calculation!M68</f>
        <v>0</v>
      </c>
      <c r="N6" s="3">
        <f>Commercial_calculation!N68</f>
        <v>0</v>
      </c>
      <c r="O6" s="3">
        <f>Commercial_calculation!O68</f>
        <v>0</v>
      </c>
      <c r="P6" s="3">
        <f>Commercial_calculation!P68</f>
        <v>0</v>
      </c>
      <c r="Q6" s="3">
        <f>Commercial_calculation!Q68</f>
        <v>0</v>
      </c>
      <c r="R6" s="3">
        <f>Commercial_calculation!R68</f>
        <v>0</v>
      </c>
      <c r="S6" s="3">
        <f>Commercial_calculation!S68</f>
        <v>0</v>
      </c>
      <c r="T6" s="3">
        <f>Commercial_calculation!T68</f>
        <v>0</v>
      </c>
      <c r="U6" s="3">
        <f>Commercial_calculation!U68</f>
        <v>0</v>
      </c>
      <c r="V6" s="3">
        <f>Commercial_calculation!V68</f>
        <v>0</v>
      </c>
      <c r="W6" s="3">
        <f>Commercial_calculation!W68</f>
        <v>0</v>
      </c>
      <c r="X6" s="3">
        <f>Commercial_calculation!X68</f>
        <v>0</v>
      </c>
      <c r="Y6" s="3">
        <f>Commercial_calculation!Y68</f>
        <v>0</v>
      </c>
      <c r="Z6" s="3">
        <f>Commercial_calculation!Z68</f>
        <v>0</v>
      </c>
      <c r="AA6" s="3">
        <f>Commercial_calculation!AA68</f>
        <v>0</v>
      </c>
      <c r="AB6" s="3">
        <f>Commercial_calculation!AB68</f>
        <v>0</v>
      </c>
      <c r="AC6" s="3">
        <f>Commercial_calculation!AC68</f>
        <v>0</v>
      </c>
      <c r="AD6" s="3">
        <f>Commercial_calculation!AD68</f>
        <v>0</v>
      </c>
      <c r="AE6" s="3">
        <f>Commercial_calculation!AE68</f>
        <v>0</v>
      </c>
      <c r="AF6" s="3">
        <f>Commercial_calculation!AF68</f>
        <v>0</v>
      </c>
      <c r="AG6" s="3">
        <f>Commercial_calculation!AG68</f>
        <v>0</v>
      </c>
    </row>
    <row r="7" spans="1:35">
      <c r="A7" s="1" t="s">
        <v>11</v>
      </c>
      <c r="B7" s="3">
        <f>Commercial_calculation!B69</f>
        <v>3793426578300.001</v>
      </c>
      <c r="C7" s="3">
        <f>Commercial_calculation!C69</f>
        <v>12213394673416.766</v>
      </c>
      <c r="D7" s="3">
        <f>Commercial_calculation!D69</f>
        <v>13101641558756.166</v>
      </c>
      <c r="E7" s="3">
        <f>Commercial_calculation!E69</f>
        <v>9287304453058.3164</v>
      </c>
      <c r="F7" s="3">
        <f>Commercial_calculation!F69</f>
        <v>9705233153445.9395</v>
      </c>
      <c r="G7" s="3">
        <f>Commercial_calculation!G69</f>
        <v>10141968645351.006</v>
      </c>
      <c r="H7" s="3">
        <f>Commercial_calculation!H69</f>
        <v>10598357234391.801</v>
      </c>
      <c r="I7" s="3">
        <f>Commercial_calculation!I69</f>
        <v>11075283309939.432</v>
      </c>
      <c r="J7" s="3">
        <f>Commercial_calculation!J69</f>
        <v>11573671058886.705</v>
      </c>
      <c r="K7" s="3">
        <f>Commercial_calculation!K69</f>
        <v>12094486256536.605</v>
      </c>
      <c r="L7" s="3">
        <f>Commercial_calculation!L69</f>
        <v>12638738138080.752</v>
      </c>
      <c r="M7" s="3">
        <f>Commercial_calculation!M69</f>
        <v>13207481354294.385</v>
      </c>
      <c r="N7" s="3">
        <f>Commercial_calculation!N69</f>
        <v>13801818015237.631</v>
      </c>
      <c r="O7" s="3">
        <f>Commercial_calculation!O69</f>
        <v>14422899825923.324</v>
      </c>
      <c r="P7" s="3">
        <f>Commercial_calculation!P69</f>
        <v>15071930318089.873</v>
      </c>
      <c r="Q7" s="3">
        <f>Commercial_calculation!Q69</f>
        <v>15750167182403.916</v>
      </c>
      <c r="R7" s="3">
        <f>Commercial_calculation!R69</f>
        <v>16458924705612.092</v>
      </c>
      <c r="S7" s="3">
        <f>Commercial_calculation!S69</f>
        <v>17199576317364.635</v>
      </c>
      <c r="T7" s="3">
        <f>Commercial_calculation!T69</f>
        <v>17973557251646.043</v>
      </c>
      <c r="U7" s="3">
        <f>Commercial_calculation!U69</f>
        <v>18782367327970.113</v>
      </c>
      <c r="V7" s="3">
        <f>Commercial_calculation!V69</f>
        <v>19627573857728.766</v>
      </c>
      <c r="W7" s="3">
        <f>Commercial_calculation!W69</f>
        <v>20510814681326.559</v>
      </c>
      <c r="X7" s="3">
        <f>Commercial_calculation!X69</f>
        <v>21433801341986.254</v>
      </c>
      <c r="Y7" s="3">
        <f>Commercial_calculation!Y69</f>
        <v>22398322402375.633</v>
      </c>
      <c r="Z7" s="3">
        <f>Commercial_calculation!Z69</f>
        <v>23406246910482.535</v>
      </c>
      <c r="AA7" s="3">
        <f>Commercial_calculation!AA69</f>
        <v>24459528021454.246</v>
      </c>
      <c r="AB7" s="3">
        <f>Commercial_calculation!AB69</f>
        <v>25560206782419.684</v>
      </c>
      <c r="AC7" s="3">
        <f>Commercial_calculation!AC69</f>
        <v>26710416087628.566</v>
      </c>
      <c r="AD7" s="3">
        <f>Commercial_calculation!AD69</f>
        <v>27912384811571.852</v>
      </c>
      <c r="AE7" s="3">
        <f>Commercial_calculation!AE69</f>
        <v>29168442128092.582</v>
      </c>
      <c r="AF7" s="3">
        <f>Commercial_calculation!AF69</f>
        <v>30481022023856.746</v>
      </c>
      <c r="AG7" s="3">
        <f>Commercial_calculation!AG69</f>
        <v>31852668014930.297</v>
      </c>
    </row>
    <row r="8" spans="1:35">
      <c r="A8" s="1" t="s">
        <v>13</v>
      </c>
      <c r="B8" s="3">
        <f>Commercial_calculation!B70</f>
        <v>0</v>
      </c>
      <c r="C8" s="3">
        <f>Commercial_calculation!C70</f>
        <v>0</v>
      </c>
      <c r="D8" s="3">
        <f>Commercial_calculation!D70</f>
        <v>0</v>
      </c>
      <c r="E8" s="3">
        <f>Commercial_calculation!E70</f>
        <v>0</v>
      </c>
      <c r="F8" s="3">
        <f>Commercial_calculation!F70</f>
        <v>0</v>
      </c>
      <c r="G8" s="3">
        <f>Commercial_calculation!G70</f>
        <v>0</v>
      </c>
      <c r="H8" s="3">
        <f>Commercial_calculation!H70</f>
        <v>0</v>
      </c>
      <c r="I8" s="3">
        <f>Commercial_calculation!I70</f>
        <v>0</v>
      </c>
      <c r="J8" s="3">
        <f>Commercial_calculation!J70</f>
        <v>0</v>
      </c>
      <c r="K8" s="3">
        <f>Commercial_calculation!K70</f>
        <v>0</v>
      </c>
      <c r="L8" s="3">
        <f>Commercial_calculation!L70</f>
        <v>0</v>
      </c>
      <c r="M8" s="3">
        <f>Commercial_calculation!M70</f>
        <v>0</v>
      </c>
      <c r="N8" s="3">
        <f>Commercial_calculation!N70</f>
        <v>0</v>
      </c>
      <c r="O8" s="3">
        <f>Commercial_calculation!O70</f>
        <v>0</v>
      </c>
      <c r="P8" s="3">
        <f>Commercial_calculation!P70</f>
        <v>0</v>
      </c>
      <c r="Q8" s="3">
        <f>Commercial_calculation!Q70</f>
        <v>0</v>
      </c>
      <c r="R8" s="3">
        <f>Commercial_calculation!R70</f>
        <v>0</v>
      </c>
      <c r="S8" s="3">
        <f>Commercial_calculation!S70</f>
        <v>0</v>
      </c>
      <c r="T8" s="3">
        <f>Commercial_calculation!T70</f>
        <v>0</v>
      </c>
      <c r="U8" s="3">
        <f>Commercial_calculation!U70</f>
        <v>0</v>
      </c>
      <c r="V8" s="3">
        <f>Commercial_calculation!V70</f>
        <v>0</v>
      </c>
      <c r="W8" s="3">
        <f>Commercial_calculation!W70</f>
        <v>0</v>
      </c>
      <c r="X8" s="3">
        <f>Commercial_calculation!X70</f>
        <v>0</v>
      </c>
      <c r="Y8" s="3">
        <f>Commercial_calculation!Y70</f>
        <v>0</v>
      </c>
      <c r="Z8" s="3">
        <f>Commercial_calculation!Z70</f>
        <v>0</v>
      </c>
      <c r="AA8" s="3">
        <f>Commercial_calculation!AA70</f>
        <v>0</v>
      </c>
      <c r="AB8" s="3">
        <f>Commercial_calculation!AB70</f>
        <v>0</v>
      </c>
      <c r="AC8" s="3">
        <f>Commercial_calculation!AC70</f>
        <v>0</v>
      </c>
      <c r="AD8" s="3">
        <f>Commercial_calculation!AD70</f>
        <v>0</v>
      </c>
      <c r="AE8" s="3">
        <f>Commercial_calculation!AE70</f>
        <v>0</v>
      </c>
      <c r="AF8" s="3">
        <f>Commercial_calculation!AF70</f>
        <v>0</v>
      </c>
      <c r="AG8" s="3">
        <f>Commercial_calculation!AG70</f>
        <v>0</v>
      </c>
    </row>
    <row r="9" spans="1:35">
      <c r="A9" s="1" t="s">
        <v>14</v>
      </c>
      <c r="B9" s="3">
        <f>Commercial_calculation!B71</f>
        <v>0</v>
      </c>
      <c r="C9" s="3">
        <f>Commercial_calculation!C71</f>
        <v>0</v>
      </c>
      <c r="D9" s="3">
        <f>Commercial_calculation!D71</f>
        <v>0</v>
      </c>
      <c r="E9" s="3">
        <f>Commercial_calculation!E71</f>
        <v>0</v>
      </c>
      <c r="F9" s="3">
        <f>Commercial_calculation!F71</f>
        <v>0</v>
      </c>
      <c r="G9" s="3">
        <f>Commercial_calculation!G71</f>
        <v>0</v>
      </c>
      <c r="H9" s="3">
        <f>Commercial_calculation!H71</f>
        <v>0</v>
      </c>
      <c r="I9" s="3">
        <f>Commercial_calculation!I71</f>
        <v>0</v>
      </c>
      <c r="J9" s="3">
        <f>Commercial_calculation!J71</f>
        <v>0</v>
      </c>
      <c r="K9" s="3">
        <f>Commercial_calculation!K71</f>
        <v>0</v>
      </c>
      <c r="L9" s="3">
        <f>Commercial_calculation!L71</f>
        <v>0</v>
      </c>
      <c r="M9" s="3">
        <f>Commercial_calculation!M71</f>
        <v>0</v>
      </c>
      <c r="N9" s="3">
        <f>Commercial_calculation!N71</f>
        <v>0</v>
      </c>
      <c r="O9" s="3">
        <f>Commercial_calculation!O71</f>
        <v>0</v>
      </c>
      <c r="P9" s="3">
        <f>Commercial_calculation!P71</f>
        <v>0</v>
      </c>
      <c r="Q9" s="3">
        <f>Commercial_calculation!Q71</f>
        <v>0</v>
      </c>
      <c r="R9" s="3">
        <f>Commercial_calculation!R71</f>
        <v>0</v>
      </c>
      <c r="S9" s="3">
        <f>Commercial_calculation!S71</f>
        <v>0</v>
      </c>
      <c r="T9" s="3">
        <f>Commercial_calculation!T71</f>
        <v>0</v>
      </c>
      <c r="U9" s="3">
        <f>Commercial_calculation!U71</f>
        <v>0</v>
      </c>
      <c r="V9" s="3">
        <f>Commercial_calculation!V71</f>
        <v>0</v>
      </c>
      <c r="W9" s="3">
        <f>Commercial_calculation!W71</f>
        <v>0</v>
      </c>
      <c r="X9" s="3">
        <f>Commercial_calculation!X71</f>
        <v>0</v>
      </c>
      <c r="Y9" s="3">
        <f>Commercial_calculation!Y71</f>
        <v>0</v>
      </c>
      <c r="Z9" s="3">
        <f>Commercial_calculation!Z71</f>
        <v>0</v>
      </c>
      <c r="AA9" s="3">
        <f>Commercial_calculation!AA71</f>
        <v>0</v>
      </c>
      <c r="AB9" s="3">
        <f>Commercial_calculation!AB71</f>
        <v>0</v>
      </c>
      <c r="AC9" s="3">
        <f>Commercial_calculation!AC71</f>
        <v>0</v>
      </c>
      <c r="AD9" s="3">
        <f>Commercial_calculation!AD71</f>
        <v>0</v>
      </c>
      <c r="AE9" s="3">
        <f>Commercial_calculation!AE71</f>
        <v>0</v>
      </c>
      <c r="AF9" s="3">
        <f>Commercial_calculation!AF71</f>
        <v>0</v>
      </c>
      <c r="AG9" s="3">
        <f>Commercial_calculation!AG71</f>
        <v>0</v>
      </c>
    </row>
    <row r="10" spans="1:35">
      <c r="A10" s="1" t="s">
        <v>15</v>
      </c>
      <c r="B10" s="3">
        <f>Commercial_calculation!B72</f>
        <v>0</v>
      </c>
      <c r="C10" s="3">
        <f>Commercial_calculation!C72</f>
        <v>0</v>
      </c>
      <c r="D10" s="3">
        <f>Commercial_calculation!D72</f>
        <v>0</v>
      </c>
      <c r="E10" s="3">
        <f>Commercial_calculation!E72</f>
        <v>0</v>
      </c>
      <c r="F10" s="3">
        <f>Commercial_calculation!F72</f>
        <v>0</v>
      </c>
      <c r="G10" s="3">
        <f>Commercial_calculation!G72</f>
        <v>0</v>
      </c>
      <c r="H10" s="3">
        <f>Commercial_calculation!H72</f>
        <v>0</v>
      </c>
      <c r="I10" s="3">
        <f>Commercial_calculation!I72</f>
        <v>0</v>
      </c>
      <c r="J10" s="3">
        <f>Commercial_calculation!J72</f>
        <v>0</v>
      </c>
      <c r="K10" s="3">
        <f>Commercial_calculation!K72</f>
        <v>0</v>
      </c>
      <c r="L10" s="3">
        <f>Commercial_calculation!L72</f>
        <v>0</v>
      </c>
      <c r="M10" s="3">
        <f>Commercial_calculation!M72</f>
        <v>0</v>
      </c>
      <c r="N10" s="3">
        <f>Commercial_calculation!N72</f>
        <v>0</v>
      </c>
      <c r="O10" s="3">
        <f>Commercial_calculation!O72</f>
        <v>0</v>
      </c>
      <c r="P10" s="3">
        <f>Commercial_calculation!P72</f>
        <v>0</v>
      </c>
      <c r="Q10" s="3">
        <f>Commercial_calculation!Q72</f>
        <v>0</v>
      </c>
      <c r="R10" s="3">
        <f>Commercial_calculation!R72</f>
        <v>0</v>
      </c>
      <c r="S10" s="3">
        <f>Commercial_calculation!S72</f>
        <v>0</v>
      </c>
      <c r="T10" s="3">
        <f>Commercial_calculation!T72</f>
        <v>0</v>
      </c>
      <c r="U10" s="3">
        <f>Commercial_calculation!U72</f>
        <v>0</v>
      </c>
      <c r="V10" s="3">
        <f>Commercial_calculation!V72</f>
        <v>0</v>
      </c>
      <c r="W10" s="3">
        <f>Commercial_calculation!W72</f>
        <v>0</v>
      </c>
      <c r="X10" s="3">
        <f>Commercial_calculation!X72</f>
        <v>0</v>
      </c>
      <c r="Y10" s="3">
        <f>Commercial_calculation!Y72</f>
        <v>0</v>
      </c>
      <c r="Z10" s="3">
        <f>Commercial_calculation!Z72</f>
        <v>0</v>
      </c>
      <c r="AA10" s="3">
        <f>Commercial_calculation!AA72</f>
        <v>0</v>
      </c>
      <c r="AB10" s="3">
        <f>Commercial_calculation!AB72</f>
        <v>0</v>
      </c>
      <c r="AC10" s="3">
        <f>Commercial_calculation!AC72</f>
        <v>0</v>
      </c>
      <c r="AD10" s="3">
        <f>Commercial_calculation!AD72</f>
        <v>0</v>
      </c>
      <c r="AE10" s="3">
        <f>Commercial_calculation!AE72</f>
        <v>0</v>
      </c>
      <c r="AF10" s="3">
        <f>Commercial_calculation!AF72</f>
        <v>0</v>
      </c>
      <c r="AG10" s="3">
        <f>Commercial_calculation!AG72</f>
        <v>0</v>
      </c>
    </row>
    <row r="11" spans="1:35">
      <c r="A11" s="1" t="s">
        <v>16</v>
      </c>
      <c r="B11" s="3">
        <f>Commercial_calculation!B73</f>
        <v>0</v>
      </c>
      <c r="C11" s="3">
        <f>Commercial_calculation!C73</f>
        <v>0</v>
      </c>
      <c r="D11" s="3">
        <f>Commercial_calculation!D73</f>
        <v>0</v>
      </c>
      <c r="E11" s="3">
        <f>Commercial_calculation!E73</f>
        <v>0</v>
      </c>
      <c r="F11" s="3">
        <f>Commercial_calculation!F73</f>
        <v>0</v>
      </c>
      <c r="G11" s="3">
        <f>Commercial_calculation!G73</f>
        <v>0</v>
      </c>
      <c r="H11" s="3">
        <f>Commercial_calculation!H73</f>
        <v>0</v>
      </c>
      <c r="I11" s="3">
        <f>Commercial_calculation!I73</f>
        <v>0</v>
      </c>
      <c r="J11" s="3">
        <f>Commercial_calculation!J73</f>
        <v>0</v>
      </c>
      <c r="K11" s="3">
        <f>Commercial_calculation!K73</f>
        <v>0</v>
      </c>
      <c r="L11" s="3">
        <f>Commercial_calculation!L73</f>
        <v>0</v>
      </c>
      <c r="M11" s="3">
        <f>Commercial_calculation!M73</f>
        <v>0</v>
      </c>
      <c r="N11" s="3">
        <f>Commercial_calculation!N73</f>
        <v>0</v>
      </c>
      <c r="O11" s="3">
        <f>Commercial_calculation!O73</f>
        <v>0</v>
      </c>
      <c r="P11" s="3">
        <f>Commercial_calculation!P73</f>
        <v>0</v>
      </c>
      <c r="Q11" s="3">
        <f>Commercial_calculation!Q73</f>
        <v>0</v>
      </c>
      <c r="R11" s="3">
        <f>Commercial_calculation!R73</f>
        <v>0</v>
      </c>
      <c r="S11" s="3">
        <f>Commercial_calculation!S73</f>
        <v>0</v>
      </c>
      <c r="T11" s="3">
        <f>Commercial_calculation!T73</f>
        <v>0</v>
      </c>
      <c r="U11" s="3">
        <f>Commercial_calculation!U73</f>
        <v>0</v>
      </c>
      <c r="V11" s="3">
        <f>Commercial_calculation!V73</f>
        <v>0</v>
      </c>
      <c r="W11" s="3">
        <f>Commercial_calculation!W73</f>
        <v>0</v>
      </c>
      <c r="X11" s="3">
        <f>Commercial_calculation!X73</f>
        <v>0</v>
      </c>
      <c r="Y11" s="3">
        <f>Commercial_calculation!Y73</f>
        <v>0</v>
      </c>
      <c r="Z11" s="3">
        <f>Commercial_calculation!Z73</f>
        <v>0</v>
      </c>
      <c r="AA11" s="3">
        <f>Commercial_calculation!AA73</f>
        <v>0</v>
      </c>
      <c r="AB11" s="3">
        <f>Commercial_calculation!AB73</f>
        <v>0</v>
      </c>
      <c r="AC11" s="3">
        <f>Commercial_calculation!AC73</f>
        <v>0</v>
      </c>
      <c r="AD11" s="3">
        <f>Commercial_calculation!AD73</f>
        <v>0</v>
      </c>
      <c r="AE11" s="3">
        <f>Commercial_calculation!AE73</f>
        <v>0</v>
      </c>
      <c r="AF11" s="3">
        <f>Commercial_calculation!AF73</f>
        <v>0</v>
      </c>
      <c r="AG11" s="3">
        <f>Commercial_calculation!AG73</f>
        <v>0</v>
      </c>
    </row>
  </sheetData>
  <phoneticPr fontId="11" type="noConversion"/>
  <pageMargins left="0.7" right="0.7" top="0.75" bottom="0.75" header="0.3" footer="0.3"/>
  <pageSetup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5169B-F9CD-4E65-A74E-F6E3167B281E}">
  <sheetPr>
    <tabColor theme="3"/>
  </sheetPr>
  <dimension ref="A1:AI11"/>
  <sheetViews>
    <sheetView workbookViewId="0">
      <selection activeCell="A11" sqref="A11"/>
    </sheetView>
  </sheetViews>
  <sheetFormatPr defaultRowHeight="16.5"/>
  <cols>
    <col min="1" max="1" width="29.875" customWidth="1"/>
    <col min="2" max="33" width="9.875" customWidth="1"/>
  </cols>
  <sheetData>
    <row r="1" spans="1:35">
      <c r="A1" s="1" t="s">
        <v>1</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c r="AI1" s="1"/>
    </row>
    <row r="2" spans="1:35">
      <c r="A2" s="1" t="s">
        <v>2</v>
      </c>
      <c r="B2" s="3">
        <v>0</v>
      </c>
      <c r="C2" s="3">
        <v>0</v>
      </c>
      <c r="D2" s="3">
        <v>0</v>
      </c>
      <c r="E2" s="3">
        <v>0</v>
      </c>
      <c r="F2" s="3">
        <v>0</v>
      </c>
      <c r="G2" s="3">
        <v>0</v>
      </c>
      <c r="H2" s="3">
        <v>0</v>
      </c>
      <c r="I2" s="3">
        <v>0</v>
      </c>
      <c r="J2" s="3">
        <v>0</v>
      </c>
      <c r="K2" s="3">
        <v>0</v>
      </c>
      <c r="L2" s="3">
        <v>0</v>
      </c>
      <c r="M2" s="3">
        <v>0</v>
      </c>
      <c r="N2" s="3">
        <v>0</v>
      </c>
      <c r="O2" s="3">
        <v>0</v>
      </c>
      <c r="P2" s="3">
        <v>0</v>
      </c>
      <c r="Q2" s="3">
        <v>0</v>
      </c>
      <c r="R2" s="3">
        <v>0</v>
      </c>
      <c r="S2" s="3">
        <v>0</v>
      </c>
      <c r="T2" s="3">
        <v>0</v>
      </c>
      <c r="U2" s="3">
        <v>0</v>
      </c>
      <c r="V2" s="3">
        <v>0</v>
      </c>
      <c r="W2" s="3">
        <v>0</v>
      </c>
      <c r="X2" s="3">
        <v>0</v>
      </c>
      <c r="Y2" s="3">
        <v>0</v>
      </c>
      <c r="Z2" s="3">
        <v>0</v>
      </c>
      <c r="AA2" s="3">
        <v>0</v>
      </c>
      <c r="AB2" s="3">
        <v>0</v>
      </c>
      <c r="AC2" s="3">
        <v>0</v>
      </c>
      <c r="AD2" s="3">
        <v>0</v>
      </c>
      <c r="AE2" s="3">
        <v>0</v>
      </c>
      <c r="AF2" s="3">
        <v>0</v>
      </c>
      <c r="AG2" s="3">
        <v>0</v>
      </c>
    </row>
    <row r="3" spans="1:35">
      <c r="A3" s="1" t="s">
        <v>3</v>
      </c>
      <c r="B3" s="3">
        <v>0</v>
      </c>
      <c r="C3" s="3">
        <v>0</v>
      </c>
      <c r="D3" s="3">
        <v>0</v>
      </c>
      <c r="E3" s="3">
        <v>0</v>
      </c>
      <c r="F3" s="3">
        <v>0</v>
      </c>
      <c r="G3" s="3">
        <v>0</v>
      </c>
      <c r="H3" s="3">
        <v>0</v>
      </c>
      <c r="I3" s="3">
        <v>0</v>
      </c>
      <c r="J3" s="3">
        <v>0</v>
      </c>
      <c r="K3" s="3">
        <v>0</v>
      </c>
      <c r="L3" s="3">
        <v>0</v>
      </c>
      <c r="M3" s="3">
        <v>0</v>
      </c>
      <c r="N3" s="3">
        <v>0</v>
      </c>
      <c r="O3" s="3">
        <v>0</v>
      </c>
      <c r="P3" s="3">
        <v>0</v>
      </c>
      <c r="Q3" s="3">
        <v>0</v>
      </c>
      <c r="R3" s="3">
        <v>0</v>
      </c>
      <c r="S3" s="3">
        <v>0</v>
      </c>
      <c r="T3" s="3">
        <v>0</v>
      </c>
      <c r="U3" s="3">
        <v>0</v>
      </c>
      <c r="V3" s="3">
        <v>0</v>
      </c>
      <c r="W3" s="3">
        <v>0</v>
      </c>
      <c r="X3" s="3">
        <v>0</v>
      </c>
      <c r="Y3" s="3">
        <v>0</v>
      </c>
      <c r="Z3" s="3">
        <v>0</v>
      </c>
      <c r="AA3" s="3">
        <v>0</v>
      </c>
      <c r="AB3" s="3">
        <v>0</v>
      </c>
      <c r="AC3" s="3">
        <v>0</v>
      </c>
      <c r="AD3" s="3">
        <v>0</v>
      </c>
      <c r="AE3" s="3">
        <v>0</v>
      </c>
      <c r="AF3" s="3">
        <v>0</v>
      </c>
      <c r="AG3" s="3">
        <v>0</v>
      </c>
    </row>
    <row r="4" spans="1:35">
      <c r="A4" s="1" t="s">
        <v>4</v>
      </c>
      <c r="B4" s="3">
        <v>0</v>
      </c>
      <c r="C4" s="3">
        <v>0</v>
      </c>
      <c r="D4" s="3">
        <v>0</v>
      </c>
      <c r="E4" s="3">
        <v>0</v>
      </c>
      <c r="F4" s="3">
        <v>0</v>
      </c>
      <c r="G4" s="3">
        <v>0</v>
      </c>
      <c r="H4" s="3">
        <v>0</v>
      </c>
      <c r="I4" s="3">
        <v>0</v>
      </c>
      <c r="J4" s="3">
        <v>0</v>
      </c>
      <c r="K4" s="3">
        <v>0</v>
      </c>
      <c r="L4" s="3">
        <v>0</v>
      </c>
      <c r="M4" s="3">
        <v>0</v>
      </c>
      <c r="N4" s="3">
        <v>0</v>
      </c>
      <c r="O4" s="3">
        <v>0</v>
      </c>
      <c r="P4" s="3">
        <v>0</v>
      </c>
      <c r="Q4" s="3">
        <v>0</v>
      </c>
      <c r="R4" s="3">
        <v>0</v>
      </c>
      <c r="S4" s="3">
        <v>0</v>
      </c>
      <c r="T4" s="3">
        <v>0</v>
      </c>
      <c r="U4" s="3">
        <v>0</v>
      </c>
      <c r="V4" s="3">
        <v>0</v>
      </c>
      <c r="W4" s="3">
        <v>0</v>
      </c>
      <c r="X4" s="3">
        <v>0</v>
      </c>
      <c r="Y4" s="3">
        <v>0</v>
      </c>
      <c r="Z4" s="3">
        <v>0</v>
      </c>
      <c r="AA4" s="3">
        <v>0</v>
      </c>
      <c r="AB4" s="3">
        <v>0</v>
      </c>
      <c r="AC4" s="3">
        <v>0</v>
      </c>
      <c r="AD4" s="3">
        <v>0</v>
      </c>
      <c r="AE4" s="3">
        <v>0</v>
      </c>
      <c r="AF4" s="3">
        <v>0</v>
      </c>
      <c r="AG4" s="3">
        <v>0</v>
      </c>
    </row>
    <row r="5" spans="1:35">
      <c r="A5" s="1" t="s">
        <v>5</v>
      </c>
      <c r="B5" s="3">
        <v>0</v>
      </c>
      <c r="C5" s="3">
        <v>0</v>
      </c>
      <c r="D5" s="3">
        <v>0</v>
      </c>
      <c r="E5" s="3">
        <v>0</v>
      </c>
      <c r="F5" s="3">
        <v>0</v>
      </c>
      <c r="G5" s="3">
        <v>0</v>
      </c>
      <c r="H5" s="3">
        <v>0</v>
      </c>
      <c r="I5" s="3">
        <v>0</v>
      </c>
      <c r="J5" s="3">
        <v>0</v>
      </c>
      <c r="K5" s="3">
        <v>0</v>
      </c>
      <c r="L5" s="3">
        <v>0</v>
      </c>
      <c r="M5" s="3">
        <v>0</v>
      </c>
      <c r="N5" s="3">
        <v>0</v>
      </c>
      <c r="O5" s="3">
        <v>0</v>
      </c>
      <c r="P5" s="3">
        <v>0</v>
      </c>
      <c r="Q5" s="3">
        <v>0</v>
      </c>
      <c r="R5" s="3">
        <v>0</v>
      </c>
      <c r="S5" s="3">
        <v>0</v>
      </c>
      <c r="T5" s="3">
        <v>0</v>
      </c>
      <c r="U5" s="3">
        <v>0</v>
      </c>
      <c r="V5" s="3">
        <v>0</v>
      </c>
      <c r="W5" s="3">
        <v>0</v>
      </c>
      <c r="X5" s="3">
        <v>0</v>
      </c>
      <c r="Y5" s="3">
        <v>0</v>
      </c>
      <c r="Z5" s="3">
        <v>0</v>
      </c>
      <c r="AA5" s="3">
        <v>0</v>
      </c>
      <c r="AB5" s="3">
        <v>0</v>
      </c>
      <c r="AC5" s="3">
        <v>0</v>
      </c>
      <c r="AD5" s="3">
        <v>0</v>
      </c>
      <c r="AE5" s="3">
        <v>0</v>
      </c>
      <c r="AF5" s="3">
        <v>0</v>
      </c>
      <c r="AG5" s="3">
        <v>0</v>
      </c>
    </row>
    <row r="6" spans="1:35">
      <c r="A6" s="1" t="s">
        <v>7</v>
      </c>
      <c r="B6" s="3">
        <v>0</v>
      </c>
      <c r="C6" s="3">
        <v>0</v>
      </c>
      <c r="D6" s="3">
        <v>0</v>
      </c>
      <c r="E6" s="3">
        <v>0</v>
      </c>
      <c r="F6" s="3">
        <v>0</v>
      </c>
      <c r="G6" s="3">
        <v>0</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c r="AA6" s="3">
        <v>0</v>
      </c>
      <c r="AB6" s="3">
        <v>0</v>
      </c>
      <c r="AC6" s="3">
        <v>0</v>
      </c>
      <c r="AD6" s="3">
        <v>0</v>
      </c>
      <c r="AE6" s="3">
        <v>0</v>
      </c>
      <c r="AF6" s="3">
        <v>0</v>
      </c>
      <c r="AG6" s="3">
        <v>0</v>
      </c>
    </row>
    <row r="7" spans="1:35">
      <c r="A7" s="1" t="s">
        <v>11</v>
      </c>
      <c r="B7" s="3">
        <v>0</v>
      </c>
      <c r="C7" s="3">
        <v>0</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s="3">
        <v>0</v>
      </c>
      <c r="AC7" s="3">
        <v>0</v>
      </c>
      <c r="AD7" s="3">
        <v>0</v>
      </c>
      <c r="AE7" s="3">
        <v>0</v>
      </c>
      <c r="AF7" s="3">
        <v>0</v>
      </c>
      <c r="AG7" s="3">
        <v>0</v>
      </c>
    </row>
    <row r="8" spans="1:35">
      <c r="A8" s="1" t="s">
        <v>13</v>
      </c>
      <c r="B8" s="3">
        <v>0</v>
      </c>
      <c r="C8" s="3">
        <v>0</v>
      </c>
      <c r="D8" s="3">
        <v>0</v>
      </c>
      <c r="E8" s="3">
        <v>0</v>
      </c>
      <c r="F8" s="3">
        <v>0</v>
      </c>
      <c r="G8" s="3">
        <v>0</v>
      </c>
      <c r="H8" s="3">
        <v>0</v>
      </c>
      <c r="I8" s="3">
        <v>0</v>
      </c>
      <c r="J8" s="3">
        <v>0</v>
      </c>
      <c r="K8" s="3">
        <v>0</v>
      </c>
      <c r="L8" s="3">
        <v>0</v>
      </c>
      <c r="M8" s="3">
        <v>0</v>
      </c>
      <c r="N8" s="3">
        <v>0</v>
      </c>
      <c r="O8" s="3">
        <v>0</v>
      </c>
      <c r="P8" s="3">
        <v>0</v>
      </c>
      <c r="Q8" s="3">
        <v>0</v>
      </c>
      <c r="R8" s="3">
        <v>0</v>
      </c>
      <c r="S8" s="3">
        <v>0</v>
      </c>
      <c r="T8" s="3">
        <v>0</v>
      </c>
      <c r="U8" s="3">
        <v>0</v>
      </c>
      <c r="V8" s="3">
        <v>0</v>
      </c>
      <c r="W8" s="3">
        <v>0</v>
      </c>
      <c r="X8" s="3">
        <v>0</v>
      </c>
      <c r="Y8" s="3">
        <v>0</v>
      </c>
      <c r="Z8" s="3">
        <v>0</v>
      </c>
      <c r="AA8" s="3">
        <v>0</v>
      </c>
      <c r="AB8" s="3">
        <v>0</v>
      </c>
      <c r="AC8" s="3">
        <v>0</v>
      </c>
      <c r="AD8" s="3">
        <v>0</v>
      </c>
      <c r="AE8" s="3">
        <v>0</v>
      </c>
      <c r="AF8" s="3">
        <v>0</v>
      </c>
      <c r="AG8" s="3">
        <v>0</v>
      </c>
    </row>
    <row r="9" spans="1:35">
      <c r="A9" s="1" t="s">
        <v>14</v>
      </c>
      <c r="B9" s="3">
        <v>0</v>
      </c>
      <c r="C9" s="3">
        <v>0</v>
      </c>
      <c r="D9" s="3">
        <v>0</v>
      </c>
      <c r="E9" s="3">
        <v>0</v>
      </c>
      <c r="F9" s="3">
        <v>0</v>
      </c>
      <c r="G9" s="3">
        <v>0</v>
      </c>
      <c r="H9" s="3">
        <v>0</v>
      </c>
      <c r="I9" s="3">
        <v>0</v>
      </c>
      <c r="J9" s="3">
        <v>0</v>
      </c>
      <c r="K9" s="3">
        <v>0</v>
      </c>
      <c r="L9" s="3">
        <v>0</v>
      </c>
      <c r="M9" s="3">
        <v>0</v>
      </c>
      <c r="N9" s="3">
        <v>0</v>
      </c>
      <c r="O9" s="3">
        <v>0</v>
      </c>
      <c r="P9" s="3">
        <v>0</v>
      </c>
      <c r="Q9" s="3">
        <v>0</v>
      </c>
      <c r="R9" s="3">
        <v>0</v>
      </c>
      <c r="S9" s="3">
        <v>0</v>
      </c>
      <c r="T9" s="3">
        <v>0</v>
      </c>
      <c r="U9" s="3">
        <v>0</v>
      </c>
      <c r="V9" s="3">
        <v>0</v>
      </c>
      <c r="W9" s="3">
        <v>0</v>
      </c>
      <c r="X9" s="3">
        <v>0</v>
      </c>
      <c r="Y9" s="3">
        <v>0</v>
      </c>
      <c r="Z9" s="3">
        <v>0</v>
      </c>
      <c r="AA9" s="3">
        <v>0</v>
      </c>
      <c r="AB9" s="3">
        <v>0</v>
      </c>
      <c r="AC9" s="3">
        <v>0</v>
      </c>
      <c r="AD9" s="3">
        <v>0</v>
      </c>
      <c r="AE9" s="3">
        <v>0</v>
      </c>
      <c r="AF9" s="3">
        <v>0</v>
      </c>
      <c r="AG9" s="3">
        <v>0</v>
      </c>
    </row>
    <row r="10" spans="1:35">
      <c r="A10" s="1" t="s">
        <v>15</v>
      </c>
      <c r="B10" s="3">
        <v>0</v>
      </c>
      <c r="C10" s="3">
        <v>0</v>
      </c>
      <c r="D10" s="3">
        <v>0</v>
      </c>
      <c r="E10" s="3">
        <v>0</v>
      </c>
      <c r="F10" s="3">
        <v>0</v>
      </c>
      <c r="G10" s="3">
        <v>0</v>
      </c>
      <c r="H10" s="3">
        <v>0</v>
      </c>
      <c r="I10" s="3">
        <v>0</v>
      </c>
      <c r="J10" s="3">
        <v>0</v>
      </c>
      <c r="K10" s="3">
        <v>0</v>
      </c>
      <c r="L10" s="3">
        <v>0</v>
      </c>
      <c r="M10" s="3">
        <v>0</v>
      </c>
      <c r="N10" s="3">
        <v>0</v>
      </c>
      <c r="O10" s="3">
        <v>0</v>
      </c>
      <c r="P10" s="3">
        <v>0</v>
      </c>
      <c r="Q10" s="3">
        <v>0</v>
      </c>
      <c r="R10" s="3">
        <v>0</v>
      </c>
      <c r="S10" s="3">
        <v>0</v>
      </c>
      <c r="T10" s="3">
        <v>0</v>
      </c>
      <c r="U10" s="3">
        <v>0</v>
      </c>
      <c r="V10" s="3">
        <v>0</v>
      </c>
      <c r="W10" s="3">
        <v>0</v>
      </c>
      <c r="X10" s="3">
        <v>0</v>
      </c>
      <c r="Y10" s="3">
        <v>0</v>
      </c>
      <c r="Z10" s="3">
        <v>0</v>
      </c>
      <c r="AA10" s="3">
        <v>0</v>
      </c>
      <c r="AB10" s="3">
        <v>0</v>
      </c>
      <c r="AC10" s="3">
        <v>0</v>
      </c>
      <c r="AD10" s="3">
        <v>0</v>
      </c>
      <c r="AE10" s="3">
        <v>0</v>
      </c>
      <c r="AF10" s="3">
        <v>0</v>
      </c>
      <c r="AG10" s="3">
        <v>0</v>
      </c>
    </row>
    <row r="11" spans="1:35">
      <c r="A11" s="1" t="s">
        <v>16</v>
      </c>
      <c r="B11" s="3">
        <v>0</v>
      </c>
      <c r="C11" s="3">
        <v>0</v>
      </c>
      <c r="D11" s="3">
        <v>0</v>
      </c>
      <c r="E11" s="3">
        <v>0</v>
      </c>
      <c r="F11" s="3">
        <v>0</v>
      </c>
      <c r="G11" s="3">
        <v>0</v>
      </c>
      <c r="H11" s="3">
        <v>0</v>
      </c>
      <c r="I11" s="3">
        <v>0</v>
      </c>
      <c r="J11" s="3">
        <v>0</v>
      </c>
      <c r="K11" s="3">
        <v>0</v>
      </c>
      <c r="L11" s="3">
        <v>0</v>
      </c>
      <c r="M11" s="3">
        <v>0</v>
      </c>
      <c r="N11" s="3">
        <v>0</v>
      </c>
      <c r="O11" s="3">
        <v>0</v>
      </c>
      <c r="P11" s="3">
        <v>0</v>
      </c>
      <c r="Q11" s="3">
        <v>0</v>
      </c>
      <c r="R11" s="3">
        <v>0</v>
      </c>
      <c r="S11" s="3">
        <v>0</v>
      </c>
      <c r="T11" s="3">
        <v>0</v>
      </c>
      <c r="U11" s="3">
        <v>0</v>
      </c>
      <c r="V11" s="3">
        <v>0</v>
      </c>
      <c r="W11" s="3">
        <v>0</v>
      </c>
      <c r="X11" s="3">
        <v>0</v>
      </c>
      <c r="Y11" s="3">
        <v>0</v>
      </c>
      <c r="Z11" s="3">
        <v>0</v>
      </c>
      <c r="AA11" s="3">
        <v>0</v>
      </c>
      <c r="AB11" s="3">
        <v>0</v>
      </c>
      <c r="AC11" s="3">
        <v>0</v>
      </c>
      <c r="AD11" s="3">
        <v>0</v>
      </c>
      <c r="AE11" s="3">
        <v>0</v>
      </c>
      <c r="AF11" s="3">
        <v>0</v>
      </c>
      <c r="AG11" s="3">
        <v>0</v>
      </c>
    </row>
  </sheetData>
  <phoneticPr fontId="11" type="noConversion"/>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28</vt:i4>
      </vt:variant>
      <vt:variant>
        <vt:lpstr>이름 지정된 범위</vt:lpstr>
      </vt:variant>
      <vt:variant>
        <vt:i4>4</vt:i4>
      </vt:variant>
    </vt:vector>
  </HeadingPairs>
  <TitlesOfParts>
    <vt:vector size="32" baseType="lpstr">
      <vt:lpstr>About</vt:lpstr>
      <vt:lpstr>2019</vt:lpstr>
      <vt:lpstr>2020</vt:lpstr>
      <vt:lpstr>2021</vt:lpstr>
      <vt:lpstr>2022</vt:lpstr>
      <vt:lpstr>Forecast</vt:lpstr>
      <vt:lpstr>Commercial_calculation</vt:lpstr>
      <vt:lpstr>DC_deduction_260831</vt:lpstr>
      <vt:lpstr>Urban_res_calculation</vt:lpstr>
      <vt:lpstr>Rural_res_calculation</vt:lpstr>
      <vt:lpstr>참고)2019-2021</vt:lpstr>
      <vt:lpstr>참고)Snapshot2040</vt:lpstr>
      <vt:lpstr>BCEU-urban-residential-heating</vt:lpstr>
      <vt:lpstr>BCEU-urban-residential-cooling</vt:lpstr>
      <vt:lpstr>BCEU-urban-residential-lighting</vt:lpstr>
      <vt:lpstr>BCEU-urban-residential-appl</vt:lpstr>
      <vt:lpstr>BCEU-urban-residential-other</vt:lpstr>
      <vt:lpstr>BCEU-rural-residential-heating</vt:lpstr>
      <vt:lpstr>BCEU-rural-residential-cooling</vt:lpstr>
      <vt:lpstr>BCEU-rural-residential-lighting</vt:lpstr>
      <vt:lpstr>BCEU-rural-residential-appl</vt:lpstr>
      <vt:lpstr>BCEU-rural-residential-other</vt:lpstr>
      <vt:lpstr>BCEU-commercial-heating</vt:lpstr>
      <vt:lpstr>BCEU-commercial-cooling</vt:lpstr>
      <vt:lpstr>BCEU-commercial-lighting</vt:lpstr>
      <vt:lpstr>BCEU-commercial-appl</vt:lpstr>
      <vt:lpstr>BCEU-commercial-other</vt:lpstr>
      <vt:lpstr>BCEU-all-envelope</vt:lpstr>
      <vt:lpstr>Fraction_coal</vt:lpstr>
      <vt:lpstr>Percent_rural</vt:lpstr>
      <vt:lpstr>Percent_urban</vt:lpstr>
      <vt:lpstr>quadrillion</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김주혜</cp:lastModifiedBy>
  <dcterms:created xsi:type="dcterms:W3CDTF">2014-04-18T00:48:59Z</dcterms:created>
  <dcterms:modified xsi:type="dcterms:W3CDTF">2026-09-03T05:33:29Z</dcterms:modified>
</cp:coreProperties>
</file>