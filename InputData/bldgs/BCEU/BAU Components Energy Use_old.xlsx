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NEXT Group\20. 프로젝트 관리\2025 에너지 수요전망 모형 구축\EPS 모형\eps-southkorea-3.3.1\InputData\bldgs\BCEU\"/>
    </mc:Choice>
  </mc:AlternateContent>
  <xr:revisionPtr revIDLastSave="0" documentId="13_ncr:1_{AD3C5792-18E8-4F45-88C0-067B1418A7C3}" xr6:coauthVersionLast="47" xr6:coauthVersionMax="47" xr10:uidLastSave="{00000000-0000-0000-0000-000000000000}"/>
  <bookViews>
    <workbookView xWindow="-60" yWindow="705" windowWidth="13455" windowHeight="19980" tabRatio="952" xr2:uid="{00000000-000D-0000-FFFF-FFFF00000000}"/>
  </bookViews>
  <sheets>
    <sheet name="About" sheetId="1" r:id="rId1"/>
    <sheet name="SYCEU" sheetId="35" r:id="rId2"/>
    <sheet name="2020" sheetId="42" r:id="rId3"/>
    <sheet name="2021" sheetId="43" r:id="rId4"/>
    <sheet name="Forecast" sheetId="39" r:id="rId5"/>
    <sheet name="Snapshot2040" sheetId="40" r:id="rId6"/>
    <sheet name="2019-2021" sheetId="41" r:id="rId7"/>
    <sheet name="Commercial_calculation" sheetId="36" r:id="rId8"/>
    <sheet name="Urban_res_calculation" sheetId="37" r:id="rId9"/>
    <sheet name="Rural_res_calculation" sheetId="38" r:id="rId10"/>
    <sheet name="BCEU-urban-residential-heating" sheetId="18" r:id="rId11"/>
    <sheet name="BCEU-urban-residential-cooling" sheetId="20" r:id="rId12"/>
    <sheet name="BCEU-urban-residential-lighting" sheetId="11" r:id="rId13"/>
    <sheet name="BCEU-urban-residential-appl" sheetId="12" r:id="rId14"/>
    <sheet name="BCEU-urban-residential-other" sheetId="13" r:id="rId15"/>
    <sheet name="BCEU-rural-residential-heating" sheetId="23" r:id="rId16"/>
    <sheet name="BCEU-rural-residential-cooling" sheetId="24" r:id="rId17"/>
    <sheet name="BCEU-rural-residential-lighting" sheetId="25" r:id="rId18"/>
    <sheet name="BCEU-rural-residential-appl" sheetId="26" r:id="rId19"/>
    <sheet name="BCEU-rural-residential-other" sheetId="27" r:id="rId20"/>
    <sheet name="BCEU-commercial-heating" sheetId="21" r:id="rId21"/>
    <sheet name="BCEU-commercial-cooling" sheetId="14" r:id="rId22"/>
    <sheet name="BCEU-commercial-lighting" sheetId="15" r:id="rId23"/>
    <sheet name="BCEU-commercial-appl" sheetId="16" r:id="rId24"/>
    <sheet name="BCEU-commercial-other" sheetId="17" r:id="rId25"/>
    <sheet name="BCEU-all-envelope" sheetId="31" r:id="rId26"/>
  </sheets>
  <externalReferences>
    <externalReference r:id="rId27"/>
  </externalReferences>
  <definedNames>
    <definedName name="Fraction_coal">About!$C$31</definedName>
    <definedName name="gal_per_barrel">[1]About!$A$63</definedName>
    <definedName name="Percent_rural">About!$A$67</definedName>
    <definedName name="Percent_urban">About!$A$66</definedName>
    <definedName name="quadrillion">About!$B$69</definedName>
    <definedName name="Table4">#REF!</definedName>
    <definedName name="Table4_1">#REF!</definedName>
    <definedName name="Table4_A">#REF!</definedName>
    <definedName name="Table5">#REF!</definedName>
    <definedName name="Table5_1">#REF!</definedName>
    <definedName name="Table5_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3" i="38" l="1"/>
  <c r="D72" i="38"/>
  <c r="D71" i="38"/>
  <c r="D70" i="38"/>
  <c r="D69" i="38"/>
  <c r="D68" i="38"/>
  <c r="D67" i="38"/>
  <c r="D66" i="38"/>
  <c r="D65" i="38"/>
  <c r="D64" i="38"/>
  <c r="D61" i="38"/>
  <c r="D60" i="38"/>
  <c r="D59" i="38"/>
  <c r="D58" i="38"/>
  <c r="D57" i="38"/>
  <c r="D56" i="38"/>
  <c r="D55" i="38"/>
  <c r="D54" i="38"/>
  <c r="D53" i="38"/>
  <c r="D52" i="38"/>
  <c r="D49" i="38"/>
  <c r="D48" i="38"/>
  <c r="D47" i="38"/>
  <c r="D46" i="38"/>
  <c r="D45" i="38"/>
  <c r="D44" i="38"/>
  <c r="D43" i="38"/>
  <c r="D42" i="38"/>
  <c r="D41" i="38"/>
  <c r="D40" i="38"/>
  <c r="D37" i="38"/>
  <c r="D36" i="38"/>
  <c r="D35" i="38"/>
  <c r="D34" i="38"/>
  <c r="D33" i="38"/>
  <c r="D32" i="38"/>
  <c r="D31" i="38"/>
  <c r="D30" i="38"/>
  <c r="D29" i="38"/>
  <c r="D28" i="38"/>
  <c r="D25" i="38"/>
  <c r="D24" i="38"/>
  <c r="D23" i="38"/>
  <c r="D22" i="38"/>
  <c r="D21" i="38"/>
  <c r="D20" i="38"/>
  <c r="D19" i="38"/>
  <c r="D18" i="38"/>
  <c r="D17" i="38"/>
  <c r="D16" i="38"/>
  <c r="D13" i="38"/>
  <c r="D12" i="38"/>
  <c r="D11" i="38"/>
  <c r="D10" i="38"/>
  <c r="D9" i="38"/>
  <c r="D8" i="38"/>
  <c r="D7" i="38"/>
  <c r="D6" i="38"/>
  <c r="D5" i="38"/>
  <c r="D4" i="38"/>
  <c r="C73" i="38"/>
  <c r="C72" i="38"/>
  <c r="C71" i="38"/>
  <c r="C70" i="38"/>
  <c r="C69" i="38"/>
  <c r="C68" i="38"/>
  <c r="C67" i="38"/>
  <c r="C66" i="38"/>
  <c r="C65" i="38"/>
  <c r="C64" i="38"/>
  <c r="C61" i="38"/>
  <c r="C60" i="38"/>
  <c r="C59" i="38"/>
  <c r="C58" i="38"/>
  <c r="C57" i="38"/>
  <c r="C56" i="38"/>
  <c r="C55" i="38"/>
  <c r="C54" i="38"/>
  <c r="C53" i="38"/>
  <c r="C52" i="38"/>
  <c r="C49" i="38"/>
  <c r="C48" i="38"/>
  <c r="C47" i="38"/>
  <c r="C46" i="38"/>
  <c r="C45" i="38"/>
  <c r="C44" i="38"/>
  <c r="C43" i="38"/>
  <c r="C42" i="38"/>
  <c r="C41" i="38"/>
  <c r="C40" i="38"/>
  <c r="C37" i="38"/>
  <c r="C36" i="38"/>
  <c r="C35" i="38"/>
  <c r="C34" i="38"/>
  <c r="C33" i="38"/>
  <c r="C32" i="38"/>
  <c r="C31" i="38"/>
  <c r="C30" i="38"/>
  <c r="C29" i="38"/>
  <c r="C28" i="38"/>
  <c r="C25" i="38"/>
  <c r="C24" i="38"/>
  <c r="C23" i="38"/>
  <c r="C22" i="38"/>
  <c r="C21" i="38"/>
  <c r="C20" i="38"/>
  <c r="C19" i="38"/>
  <c r="C18" i="38"/>
  <c r="C17" i="38"/>
  <c r="C16" i="38"/>
  <c r="C13" i="38"/>
  <c r="C12" i="38"/>
  <c r="C11" i="38"/>
  <c r="C10" i="38"/>
  <c r="C9" i="38"/>
  <c r="C8" i="38"/>
  <c r="C7" i="38"/>
  <c r="C6" i="38"/>
  <c r="C5" i="38"/>
  <c r="C4" i="38"/>
  <c r="C73" i="37"/>
  <c r="C72" i="37"/>
  <c r="C71" i="37"/>
  <c r="C70" i="37"/>
  <c r="C69" i="37"/>
  <c r="C68" i="37"/>
  <c r="C67" i="37"/>
  <c r="C66" i="37"/>
  <c r="C65" i="37"/>
  <c r="C64" i="37"/>
  <c r="C61" i="37"/>
  <c r="C60" i="37"/>
  <c r="C59" i="37"/>
  <c r="C58" i="37"/>
  <c r="C57" i="37"/>
  <c r="C56" i="37"/>
  <c r="C55" i="37"/>
  <c r="C54" i="37"/>
  <c r="C53" i="37"/>
  <c r="C52" i="37"/>
  <c r="C49" i="37"/>
  <c r="C48" i="37"/>
  <c r="C47" i="37"/>
  <c r="C46" i="37"/>
  <c r="C45" i="37"/>
  <c r="C44" i="37"/>
  <c r="C43" i="37"/>
  <c r="C42" i="37"/>
  <c r="C41" i="37"/>
  <c r="C40" i="37"/>
  <c r="C37" i="37"/>
  <c r="C36" i="37"/>
  <c r="C35" i="37"/>
  <c r="C34" i="37"/>
  <c r="C33" i="37"/>
  <c r="C32" i="37"/>
  <c r="C31" i="37"/>
  <c r="C30" i="37"/>
  <c r="C29" i="37"/>
  <c r="C28" i="37"/>
  <c r="C25" i="37"/>
  <c r="C24" i="37"/>
  <c r="C23" i="37"/>
  <c r="C22" i="37"/>
  <c r="C21" i="37"/>
  <c r="C20" i="37"/>
  <c r="C19" i="37"/>
  <c r="C18" i="37"/>
  <c r="C17" i="37"/>
  <c r="C16" i="37"/>
  <c r="C13" i="37"/>
  <c r="C12" i="37"/>
  <c r="C11" i="37"/>
  <c r="C10" i="37"/>
  <c r="C9" i="37"/>
  <c r="C8" i="37"/>
  <c r="C7" i="37"/>
  <c r="C6" i="37"/>
  <c r="C5" i="37"/>
  <c r="C4" i="37"/>
  <c r="D73" i="37"/>
  <c r="D72" i="37"/>
  <c r="D71" i="37"/>
  <c r="D70" i="37"/>
  <c r="D69" i="37"/>
  <c r="D68" i="37"/>
  <c r="D67" i="37"/>
  <c r="D66" i="37"/>
  <c r="D65" i="37"/>
  <c r="D64" i="37"/>
  <c r="D61" i="37"/>
  <c r="D60" i="37"/>
  <c r="D59" i="37"/>
  <c r="D58" i="37"/>
  <c r="D57" i="37"/>
  <c r="D56" i="37"/>
  <c r="D55" i="37"/>
  <c r="D54" i="37"/>
  <c r="D53" i="37"/>
  <c r="D52" i="37"/>
  <c r="D49" i="37"/>
  <c r="D48" i="37"/>
  <c r="D47" i="37"/>
  <c r="D46" i="37"/>
  <c r="D45" i="37"/>
  <c r="D44" i="37"/>
  <c r="D43" i="37"/>
  <c r="D42" i="37"/>
  <c r="D41" i="37"/>
  <c r="D40" i="37"/>
  <c r="D37" i="37"/>
  <c r="D36" i="37"/>
  <c r="D35" i="37"/>
  <c r="D34" i="37"/>
  <c r="D33" i="37"/>
  <c r="D32" i="37"/>
  <c r="D31" i="37"/>
  <c r="D30" i="37"/>
  <c r="D29" i="37"/>
  <c r="D28" i="37"/>
  <c r="D25" i="37"/>
  <c r="D24" i="37"/>
  <c r="D23" i="37"/>
  <c r="D22" i="37"/>
  <c r="D21" i="37"/>
  <c r="D20" i="37"/>
  <c r="D19" i="37"/>
  <c r="D18" i="37"/>
  <c r="D17" i="37"/>
  <c r="D16" i="37"/>
  <c r="D13" i="37"/>
  <c r="D12" i="37"/>
  <c r="D11" i="37"/>
  <c r="D10" i="37"/>
  <c r="D9" i="37"/>
  <c r="D8" i="37"/>
  <c r="D7" i="37"/>
  <c r="D6" i="37"/>
  <c r="D5" i="37"/>
  <c r="D4" i="37"/>
  <c r="D72" i="36"/>
  <c r="D64" i="36"/>
  <c r="D54" i="36"/>
  <c r="D44" i="36"/>
  <c r="D34" i="36"/>
  <c r="D24" i="36"/>
  <c r="D16" i="36"/>
  <c r="D6" i="36"/>
  <c r="C70" i="36"/>
  <c r="C69" i="36"/>
  <c r="C60" i="36"/>
  <c r="C52" i="36"/>
  <c r="C49" i="36"/>
  <c r="C41" i="36"/>
  <c r="C32" i="36"/>
  <c r="C31" i="36"/>
  <c r="C22" i="36"/>
  <c r="C21" i="36"/>
  <c r="C12" i="36"/>
  <c r="C11" i="36"/>
  <c r="G35" i="43"/>
  <c r="F35" i="43"/>
  <c r="E35" i="43"/>
  <c r="D35" i="43"/>
  <c r="C35" i="43"/>
  <c r="B35" i="43"/>
  <c r="G34" i="43"/>
  <c r="F34" i="43"/>
  <c r="E34" i="43"/>
  <c r="D34" i="43"/>
  <c r="C34" i="43"/>
  <c r="B34" i="43"/>
  <c r="G33" i="43"/>
  <c r="F33" i="43"/>
  <c r="E33" i="43"/>
  <c r="D33" i="43"/>
  <c r="C33" i="43"/>
  <c r="B33" i="43"/>
  <c r="G32" i="43"/>
  <c r="F32" i="43"/>
  <c r="E32" i="43"/>
  <c r="D32" i="43"/>
  <c r="C32" i="43"/>
  <c r="B32" i="43"/>
  <c r="G31" i="43"/>
  <c r="F31" i="43"/>
  <c r="E31" i="43"/>
  <c r="D31" i="43"/>
  <c r="C31" i="43"/>
  <c r="B31" i="43"/>
  <c r="G30" i="43"/>
  <c r="F30" i="43"/>
  <c r="E30" i="43"/>
  <c r="D30" i="43"/>
  <c r="C30" i="43"/>
  <c r="B30" i="43"/>
  <c r="G29" i="43"/>
  <c r="F29" i="43"/>
  <c r="E29" i="43"/>
  <c r="D29" i="43"/>
  <c r="C29" i="43"/>
  <c r="B29" i="43"/>
  <c r="G28" i="43"/>
  <c r="F28" i="43"/>
  <c r="E28" i="43"/>
  <c r="D28" i="43"/>
  <c r="C28" i="43"/>
  <c r="B28" i="43"/>
  <c r="G27" i="43"/>
  <c r="F27" i="43"/>
  <c r="E27" i="43"/>
  <c r="D27" i="43"/>
  <c r="C27" i="43"/>
  <c r="B27" i="43"/>
  <c r="G26" i="43"/>
  <c r="F26" i="43"/>
  <c r="E26" i="43"/>
  <c r="D26" i="43"/>
  <c r="C26" i="43"/>
  <c r="B26" i="43"/>
  <c r="G23" i="43"/>
  <c r="F23" i="43"/>
  <c r="E23" i="43"/>
  <c r="D23" i="43"/>
  <c r="C23" i="43"/>
  <c r="B23" i="43"/>
  <c r="G22" i="43"/>
  <c r="F22" i="43"/>
  <c r="E22" i="43"/>
  <c r="D22" i="43"/>
  <c r="C22" i="43"/>
  <c r="B22" i="43"/>
  <c r="G21" i="43"/>
  <c r="F21" i="43"/>
  <c r="E21" i="43"/>
  <c r="D21" i="43"/>
  <c r="C21" i="43"/>
  <c r="B21" i="43"/>
  <c r="G20" i="43"/>
  <c r="F20" i="43"/>
  <c r="E20" i="43"/>
  <c r="D20" i="43"/>
  <c r="C20" i="43"/>
  <c r="B20" i="43"/>
  <c r="G19" i="43"/>
  <c r="F19" i="43"/>
  <c r="E19" i="43"/>
  <c r="D19" i="43"/>
  <c r="C19" i="43"/>
  <c r="B19" i="43"/>
  <c r="G18" i="43"/>
  <c r="F18" i="43"/>
  <c r="E18" i="43"/>
  <c r="D18" i="43"/>
  <c r="C18" i="43"/>
  <c r="B18" i="43"/>
  <c r="G17" i="43"/>
  <c r="F17" i="43"/>
  <c r="E17" i="43"/>
  <c r="D17" i="43"/>
  <c r="C17" i="43"/>
  <c r="B17" i="43"/>
  <c r="G16" i="43"/>
  <c r="F16" i="43"/>
  <c r="E16" i="43"/>
  <c r="D16" i="43"/>
  <c r="C16" i="43"/>
  <c r="B16" i="43"/>
  <c r="G15" i="43"/>
  <c r="F15" i="43"/>
  <c r="E15" i="43"/>
  <c r="D15" i="43"/>
  <c r="C15" i="43"/>
  <c r="B15" i="43"/>
  <c r="G14" i="43"/>
  <c r="F14" i="43"/>
  <c r="E14" i="43"/>
  <c r="D14" i="43"/>
  <c r="C14" i="43"/>
  <c r="B14" i="43"/>
  <c r="G11" i="43"/>
  <c r="D73" i="36" s="1"/>
  <c r="F11" i="43"/>
  <c r="D61" i="36" s="1"/>
  <c r="E11" i="43"/>
  <c r="D49" i="36" s="1"/>
  <c r="D11" i="43"/>
  <c r="D37" i="36" s="1"/>
  <c r="C11" i="43"/>
  <c r="D25" i="36" s="1"/>
  <c r="B11" i="43"/>
  <c r="D13" i="36" s="1"/>
  <c r="G10" i="43"/>
  <c r="F10" i="43"/>
  <c r="D60" i="36" s="1"/>
  <c r="E10" i="43"/>
  <c r="D48" i="36" s="1"/>
  <c r="D10" i="43"/>
  <c r="D36" i="36" s="1"/>
  <c r="C10" i="43"/>
  <c r="B10" i="43"/>
  <c r="D12" i="36" s="1"/>
  <c r="G9" i="43"/>
  <c r="D71" i="36" s="1"/>
  <c r="F9" i="43"/>
  <c r="D59" i="36" s="1"/>
  <c r="E9" i="43"/>
  <c r="D47" i="36" s="1"/>
  <c r="D9" i="43"/>
  <c r="D35" i="36" s="1"/>
  <c r="C9" i="43"/>
  <c r="D23" i="36" s="1"/>
  <c r="B9" i="43"/>
  <c r="D11" i="36" s="1"/>
  <c r="G8" i="43"/>
  <c r="D70" i="36" s="1"/>
  <c r="F8" i="43"/>
  <c r="D58" i="36" s="1"/>
  <c r="E8" i="43"/>
  <c r="D46" i="36" s="1"/>
  <c r="D8" i="43"/>
  <c r="C8" i="43"/>
  <c r="D22" i="36" s="1"/>
  <c r="B8" i="43"/>
  <c r="D10" i="36" s="1"/>
  <c r="G7" i="43"/>
  <c r="D69" i="36" s="1"/>
  <c r="F7" i="43"/>
  <c r="D57" i="36" s="1"/>
  <c r="E7" i="43"/>
  <c r="D45" i="36" s="1"/>
  <c r="D7" i="43"/>
  <c r="D33" i="36" s="1"/>
  <c r="C7" i="43"/>
  <c r="D21" i="36" s="1"/>
  <c r="B7" i="43"/>
  <c r="D9" i="36" s="1"/>
  <c r="G6" i="43"/>
  <c r="D68" i="36" s="1"/>
  <c r="F6" i="43"/>
  <c r="D56" i="36" s="1"/>
  <c r="E6" i="43"/>
  <c r="D6" i="43"/>
  <c r="D32" i="36" s="1"/>
  <c r="C6" i="43"/>
  <c r="D20" i="36" s="1"/>
  <c r="B6" i="43"/>
  <c r="D8" i="36" s="1"/>
  <c r="G5" i="43"/>
  <c r="D67" i="36" s="1"/>
  <c r="F5" i="43"/>
  <c r="D55" i="36" s="1"/>
  <c r="E5" i="43"/>
  <c r="D43" i="36" s="1"/>
  <c r="D5" i="43"/>
  <c r="D31" i="36" s="1"/>
  <c r="C5" i="43"/>
  <c r="D19" i="36" s="1"/>
  <c r="B5" i="43"/>
  <c r="D7" i="36" s="1"/>
  <c r="G4" i="43"/>
  <c r="D66" i="36" s="1"/>
  <c r="F4" i="43"/>
  <c r="E4" i="43"/>
  <c r="D42" i="36" s="1"/>
  <c r="D4" i="43"/>
  <c r="D30" i="36" s="1"/>
  <c r="C4" i="43"/>
  <c r="D18" i="36" s="1"/>
  <c r="B4" i="43"/>
  <c r="G3" i="43"/>
  <c r="D65" i="36" s="1"/>
  <c r="F3" i="43"/>
  <c r="D53" i="36" s="1"/>
  <c r="E3" i="43"/>
  <c r="D41" i="36" s="1"/>
  <c r="D3" i="43"/>
  <c r="D29" i="36" s="1"/>
  <c r="C3" i="43"/>
  <c r="D17" i="36" s="1"/>
  <c r="B3" i="43"/>
  <c r="D5" i="36" s="1"/>
  <c r="G2" i="43"/>
  <c r="F2" i="43"/>
  <c r="D52" i="36" s="1"/>
  <c r="E2" i="43"/>
  <c r="D40" i="36" s="1"/>
  <c r="D2" i="43"/>
  <c r="D28" i="36" s="1"/>
  <c r="C2" i="43"/>
  <c r="B2" i="43"/>
  <c r="D4" i="36" s="1"/>
  <c r="E4" i="36" s="1"/>
  <c r="G35" i="42"/>
  <c r="F35" i="42"/>
  <c r="E35" i="42"/>
  <c r="D35" i="42"/>
  <c r="C35" i="42"/>
  <c r="B35" i="42"/>
  <c r="G34" i="42"/>
  <c r="F34" i="42"/>
  <c r="E34" i="42"/>
  <c r="D34" i="42"/>
  <c r="C34" i="42"/>
  <c r="B34" i="42"/>
  <c r="G33" i="42"/>
  <c r="F33" i="42"/>
  <c r="E33" i="42"/>
  <c r="D33" i="42"/>
  <c r="C33" i="42"/>
  <c r="B33" i="42"/>
  <c r="G32" i="42"/>
  <c r="F32" i="42"/>
  <c r="E32" i="42"/>
  <c r="D32" i="42"/>
  <c r="C32" i="42"/>
  <c r="B32" i="42"/>
  <c r="G31" i="42"/>
  <c r="F31" i="42"/>
  <c r="E31" i="42"/>
  <c r="D31" i="42"/>
  <c r="C31" i="42"/>
  <c r="B31" i="42"/>
  <c r="G30" i="42"/>
  <c r="F30" i="42"/>
  <c r="E30" i="42"/>
  <c r="D30" i="42"/>
  <c r="C30" i="42"/>
  <c r="B30" i="42"/>
  <c r="G29" i="42"/>
  <c r="F29" i="42"/>
  <c r="E29" i="42"/>
  <c r="D29" i="42"/>
  <c r="C29" i="42"/>
  <c r="B29" i="42"/>
  <c r="G28" i="42"/>
  <c r="F28" i="42"/>
  <c r="E28" i="42"/>
  <c r="D28" i="42"/>
  <c r="C28" i="42"/>
  <c r="B28" i="42"/>
  <c r="G27" i="42"/>
  <c r="F27" i="42"/>
  <c r="E27" i="42"/>
  <c r="D27" i="42"/>
  <c r="C27" i="42"/>
  <c r="B27" i="42"/>
  <c r="G26" i="42"/>
  <c r="F26" i="42"/>
  <c r="E26" i="42"/>
  <c r="D26" i="42"/>
  <c r="C26" i="42"/>
  <c r="B26" i="42"/>
  <c r="G23" i="42"/>
  <c r="F23" i="42"/>
  <c r="E23" i="42"/>
  <c r="D23" i="42"/>
  <c r="C23" i="42"/>
  <c r="B23" i="42"/>
  <c r="G22" i="42"/>
  <c r="F22" i="42"/>
  <c r="E22" i="42"/>
  <c r="D22" i="42"/>
  <c r="C22" i="42"/>
  <c r="B22" i="42"/>
  <c r="G21" i="42"/>
  <c r="F21" i="42"/>
  <c r="E21" i="42"/>
  <c r="D21" i="42"/>
  <c r="C21" i="42"/>
  <c r="B21" i="42"/>
  <c r="G20" i="42"/>
  <c r="F20" i="42"/>
  <c r="E20" i="42"/>
  <c r="D20" i="42"/>
  <c r="C20" i="42"/>
  <c r="B20" i="42"/>
  <c r="G19" i="42"/>
  <c r="F19" i="42"/>
  <c r="E19" i="42"/>
  <c r="D19" i="42"/>
  <c r="C19" i="42"/>
  <c r="B19" i="42"/>
  <c r="G18" i="42"/>
  <c r="F18" i="42"/>
  <c r="E18" i="42"/>
  <c r="D18" i="42"/>
  <c r="C18" i="42"/>
  <c r="B18" i="42"/>
  <c r="G17" i="42"/>
  <c r="F17" i="42"/>
  <c r="E17" i="42"/>
  <c r="D17" i="42"/>
  <c r="C17" i="42"/>
  <c r="B17" i="42"/>
  <c r="G16" i="42"/>
  <c r="F16" i="42"/>
  <c r="E16" i="42"/>
  <c r="D16" i="42"/>
  <c r="C16" i="42"/>
  <c r="B16" i="42"/>
  <c r="G15" i="42"/>
  <c r="F15" i="42"/>
  <c r="E15" i="42"/>
  <c r="D15" i="42"/>
  <c r="C15" i="42"/>
  <c r="B15" i="42"/>
  <c r="G14" i="42"/>
  <c r="F14" i="42"/>
  <c r="E14" i="42"/>
  <c r="D14" i="42"/>
  <c r="C14" i="42"/>
  <c r="B14" i="42"/>
  <c r="G11" i="42"/>
  <c r="C73" i="36" s="1"/>
  <c r="F11" i="42"/>
  <c r="C61" i="36" s="1"/>
  <c r="E11" i="42"/>
  <c r="D11" i="42"/>
  <c r="C37" i="36" s="1"/>
  <c r="C11" i="42"/>
  <c r="C25" i="36" s="1"/>
  <c r="B11" i="42"/>
  <c r="C13" i="36" s="1"/>
  <c r="G10" i="42"/>
  <c r="C72" i="36" s="1"/>
  <c r="F10" i="42"/>
  <c r="E10" i="42"/>
  <c r="C48" i="36" s="1"/>
  <c r="D10" i="42"/>
  <c r="C36" i="36" s="1"/>
  <c r="C10" i="42"/>
  <c r="C24" i="36" s="1"/>
  <c r="B10" i="42"/>
  <c r="G9" i="42"/>
  <c r="C71" i="36" s="1"/>
  <c r="F9" i="42"/>
  <c r="C59" i="36" s="1"/>
  <c r="E9" i="42"/>
  <c r="C47" i="36" s="1"/>
  <c r="D9" i="42"/>
  <c r="C35" i="36" s="1"/>
  <c r="C9" i="42"/>
  <c r="C23" i="36" s="1"/>
  <c r="B9" i="42"/>
  <c r="G8" i="42"/>
  <c r="F8" i="42"/>
  <c r="C58" i="36" s="1"/>
  <c r="E8" i="42"/>
  <c r="C46" i="36" s="1"/>
  <c r="D8" i="42"/>
  <c r="C34" i="36" s="1"/>
  <c r="C8" i="42"/>
  <c r="B8" i="42"/>
  <c r="C10" i="36" s="1"/>
  <c r="G7" i="42"/>
  <c r="F7" i="42"/>
  <c r="C57" i="36" s="1"/>
  <c r="E7" i="42"/>
  <c r="C45" i="36" s="1"/>
  <c r="D7" i="42"/>
  <c r="C33" i="36" s="1"/>
  <c r="C7" i="42"/>
  <c r="B7" i="42"/>
  <c r="C9" i="36" s="1"/>
  <c r="G6" i="42"/>
  <c r="C68" i="36" s="1"/>
  <c r="F6" i="42"/>
  <c r="C56" i="36" s="1"/>
  <c r="E6" i="42"/>
  <c r="C44" i="36" s="1"/>
  <c r="D6" i="42"/>
  <c r="C6" i="42"/>
  <c r="C20" i="36" s="1"/>
  <c r="B6" i="42"/>
  <c r="C8" i="36" s="1"/>
  <c r="G5" i="42"/>
  <c r="C67" i="36" s="1"/>
  <c r="F5" i="42"/>
  <c r="C55" i="36" s="1"/>
  <c r="E5" i="42"/>
  <c r="C43" i="36" s="1"/>
  <c r="D5" i="42"/>
  <c r="C5" i="42"/>
  <c r="C19" i="36" s="1"/>
  <c r="B5" i="42"/>
  <c r="C7" i="36" s="1"/>
  <c r="G4" i="42"/>
  <c r="C66" i="36" s="1"/>
  <c r="F4" i="42"/>
  <c r="C54" i="36" s="1"/>
  <c r="E4" i="42"/>
  <c r="C42" i="36" s="1"/>
  <c r="D4" i="42"/>
  <c r="C30" i="36" s="1"/>
  <c r="C4" i="42"/>
  <c r="C18" i="36" s="1"/>
  <c r="B4" i="42"/>
  <c r="C6" i="36" s="1"/>
  <c r="G3" i="42"/>
  <c r="C65" i="36" s="1"/>
  <c r="F3" i="42"/>
  <c r="C53" i="36" s="1"/>
  <c r="E3" i="42"/>
  <c r="D3" i="42"/>
  <c r="C29" i="36" s="1"/>
  <c r="C3" i="42"/>
  <c r="C17" i="36" s="1"/>
  <c r="B3" i="42"/>
  <c r="C5" i="36" s="1"/>
  <c r="G2" i="42"/>
  <c r="C64" i="36" s="1"/>
  <c r="F2" i="42"/>
  <c r="E2" i="42"/>
  <c r="C40" i="36" s="1"/>
  <c r="D2" i="42"/>
  <c r="C28" i="36" s="1"/>
  <c r="C2" i="42"/>
  <c r="C16" i="36" s="1"/>
  <c r="B2" i="42"/>
  <c r="C4" i="36" s="1"/>
  <c r="K31" i="41"/>
  <c r="K30" i="41"/>
  <c r="K29" i="41"/>
  <c r="K28" i="41"/>
  <c r="K27" i="41"/>
  <c r="K26" i="41"/>
  <c r="K25" i="41"/>
  <c r="K24" i="41"/>
  <c r="K23" i="41"/>
  <c r="K22" i="41"/>
  <c r="K21" i="41"/>
  <c r="K20" i="41"/>
  <c r="K19" i="41"/>
  <c r="K18" i="41"/>
  <c r="E31" i="41"/>
  <c r="E29" i="41"/>
  <c r="E27" i="41"/>
  <c r="E25" i="41"/>
  <c r="E21" i="41"/>
  <c r="E23" i="41"/>
  <c r="AK34" i="41"/>
  <c r="AJ34" i="41"/>
  <c r="AL3" i="41"/>
  <c r="AL2" i="41"/>
  <c r="E18" i="41" s="1"/>
  <c r="AK3" i="41"/>
  <c r="AK2" i="41"/>
  <c r="E30" i="41"/>
  <c r="E28" i="41"/>
  <c r="E26" i="41"/>
  <c r="E24" i="41"/>
  <c r="E22" i="41"/>
  <c r="E20" i="41"/>
  <c r="J47" i="41"/>
  <c r="J46" i="41"/>
  <c r="J45" i="41"/>
  <c r="J44" i="41"/>
  <c r="J43" i="41"/>
  <c r="D47" i="41"/>
  <c r="D46" i="41"/>
  <c r="D45" i="41"/>
  <c r="D44" i="41"/>
  <c r="D43" i="41"/>
  <c r="AK15" i="41"/>
  <c r="AL15" i="41" s="1"/>
  <c r="AL14" i="41"/>
  <c r="AK14" i="41"/>
  <c r="AK13" i="41"/>
  <c r="AL13" i="41" s="1"/>
  <c r="AK12" i="41"/>
  <c r="AL12" i="41" s="1"/>
  <c r="AK11" i="41"/>
  <c r="AL11" i="41" s="1"/>
  <c r="AL10" i="41"/>
  <c r="AK10" i="41"/>
  <c r="AK9" i="41"/>
  <c r="AL9" i="41" s="1"/>
  <c r="AK8" i="41"/>
  <c r="AL8" i="41" s="1"/>
  <c r="AK7" i="41"/>
  <c r="AL7" i="41" s="1"/>
  <c r="AL6" i="41"/>
  <c r="AK6" i="41"/>
  <c r="AK4" i="41"/>
  <c r="AL4" i="41" s="1"/>
  <c r="AJ39" i="41"/>
  <c r="AK39" i="41" s="1"/>
  <c r="AJ38" i="41"/>
  <c r="AK38" i="41" s="1"/>
  <c r="AJ37" i="41"/>
  <c r="AK37" i="41" s="1"/>
  <c r="AJ36" i="41"/>
  <c r="AK36" i="41" s="1"/>
  <c r="AJ35" i="41"/>
  <c r="AK35" i="41" s="1"/>
  <c r="D42" i="41"/>
  <c r="D30" i="41"/>
  <c r="J30" i="41" s="1"/>
  <c r="D28" i="41"/>
  <c r="D26" i="41"/>
  <c r="J26" i="41" s="1"/>
  <c r="D24" i="41"/>
  <c r="J24" i="41" s="1"/>
  <c r="D22" i="41"/>
  <c r="J22" i="41" s="1"/>
  <c r="D21" i="41"/>
  <c r="D20" i="41"/>
  <c r="D18" i="41"/>
  <c r="C31" i="41"/>
  <c r="I31" i="41" s="1"/>
  <c r="C29" i="41"/>
  <c r="I29" i="41" s="1"/>
  <c r="C27" i="41"/>
  <c r="I27" i="41" s="1"/>
  <c r="C25" i="41"/>
  <c r="I25" i="41" s="1"/>
  <c r="C23" i="41"/>
  <c r="I23" i="41" s="1"/>
  <c r="C19" i="41"/>
  <c r="I19" i="41" s="1"/>
  <c r="I30" i="41"/>
  <c r="J28" i="41"/>
  <c r="I28" i="41"/>
  <c r="I26" i="41"/>
  <c r="I24" i="41"/>
  <c r="I22" i="41"/>
  <c r="J21" i="41"/>
  <c r="I21" i="41"/>
  <c r="J20" i="41"/>
  <c r="I20" i="41"/>
  <c r="J18" i="41"/>
  <c r="E19" i="41" l="1"/>
  <c r="J42" i="41"/>
  <c r="I47" i="41" l="1"/>
  <c r="H47" i="41"/>
  <c r="I46" i="41"/>
  <c r="H46" i="41"/>
  <c r="H45" i="41"/>
  <c r="H44" i="41"/>
  <c r="I43" i="41"/>
  <c r="H43" i="41"/>
  <c r="I42" i="41"/>
  <c r="H42" i="41"/>
  <c r="C47" i="41"/>
  <c r="D31" i="41" s="1"/>
  <c r="J31" i="41" s="1"/>
  <c r="B47" i="41"/>
  <c r="C46" i="41"/>
  <c r="D29" i="41" s="1"/>
  <c r="J29" i="41" s="1"/>
  <c r="B46" i="41"/>
  <c r="C45" i="41"/>
  <c r="D27" i="41" s="1"/>
  <c r="J27" i="41" s="1"/>
  <c r="B45" i="41"/>
  <c r="C44" i="41"/>
  <c r="D25" i="41" s="1"/>
  <c r="J25" i="41" s="1"/>
  <c r="B44" i="41"/>
  <c r="C43" i="41"/>
  <c r="D23" i="41" s="1"/>
  <c r="J23" i="41" s="1"/>
  <c r="B43" i="41"/>
  <c r="C42" i="41"/>
  <c r="D19" i="41" s="1"/>
  <c r="J19" i="41" s="1"/>
  <c r="B42" i="41"/>
  <c r="I18" i="41"/>
  <c r="C30" i="41"/>
  <c r="C28" i="41"/>
  <c r="C26" i="41"/>
  <c r="C24" i="41"/>
  <c r="C22" i="41"/>
  <c r="C21" i="41"/>
  <c r="C20" i="41"/>
  <c r="C18" i="41"/>
  <c r="B24" i="38"/>
  <c r="B22" i="38"/>
  <c r="B20" i="38"/>
  <c r="B6" i="24" s="1"/>
  <c r="B18" i="38"/>
  <c r="B4" i="24" s="1"/>
  <c r="B16" i="38"/>
  <c r="B2" i="24" s="1"/>
  <c r="B12" i="37"/>
  <c r="B10" i="37"/>
  <c r="B8" i="37"/>
  <c r="B6" i="37"/>
  <c r="B4" i="37"/>
  <c r="B4" i="36"/>
  <c r="B2" i="21" s="1"/>
  <c r="B5" i="36"/>
  <c r="B3" i="21" s="1"/>
  <c r="B6" i="36"/>
  <c r="B4" i="21" s="1"/>
  <c r="B7" i="36"/>
  <c r="B8" i="36"/>
  <c r="B6" i="21" s="1"/>
  <c r="B9" i="36"/>
  <c r="B7" i="21" s="1"/>
  <c r="B10" i="36"/>
  <c r="B8" i="21" s="1"/>
  <c r="B11" i="36"/>
  <c r="B12" i="36"/>
  <c r="B13" i="36"/>
  <c r="B11" i="21" s="1"/>
  <c r="B16" i="36"/>
  <c r="B2" i="14" s="1"/>
  <c r="B17" i="36"/>
  <c r="B3" i="14" s="1"/>
  <c r="B18" i="36"/>
  <c r="B4" i="14" s="1"/>
  <c r="B19" i="36"/>
  <c r="B5" i="14" s="1"/>
  <c r="B20" i="36"/>
  <c r="B6" i="14" s="1"/>
  <c r="B21" i="36"/>
  <c r="B7" i="14" s="1"/>
  <c r="B22" i="36"/>
  <c r="B8" i="14" s="1"/>
  <c r="B23" i="36"/>
  <c r="B9" i="14" s="1"/>
  <c r="B24" i="36"/>
  <c r="B10" i="14" s="1"/>
  <c r="B25" i="36"/>
  <c r="B11" i="14" s="1"/>
  <c r="B28" i="36"/>
  <c r="E28" i="36" s="1"/>
  <c r="F28" i="36" s="1"/>
  <c r="G28" i="36" s="1"/>
  <c r="H28" i="36" s="1"/>
  <c r="I28" i="36" s="1"/>
  <c r="J28" i="36" s="1"/>
  <c r="K28" i="36" s="1"/>
  <c r="L28" i="36" s="1"/>
  <c r="M28" i="36" s="1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B29" i="36"/>
  <c r="E29" i="36" s="1"/>
  <c r="F29" i="36" s="1"/>
  <c r="G29" i="36" s="1"/>
  <c r="H29" i="36" s="1"/>
  <c r="I29" i="36" s="1"/>
  <c r="J29" i="36" s="1"/>
  <c r="K29" i="36" s="1"/>
  <c r="L29" i="36" s="1"/>
  <c r="M29" i="36" s="1"/>
  <c r="N29" i="36" s="1"/>
  <c r="O29" i="36" s="1"/>
  <c r="P29" i="36" s="1"/>
  <c r="Q29" i="36" s="1"/>
  <c r="R29" i="36" s="1"/>
  <c r="S29" i="36" s="1"/>
  <c r="T29" i="36" s="1"/>
  <c r="U29" i="36" s="1"/>
  <c r="V29" i="36" s="1"/>
  <c r="W29" i="36" s="1"/>
  <c r="B30" i="36"/>
  <c r="E30" i="36" s="1"/>
  <c r="F30" i="36" s="1"/>
  <c r="G30" i="36" s="1"/>
  <c r="H30" i="36" s="1"/>
  <c r="I30" i="36" s="1"/>
  <c r="J30" i="36" s="1"/>
  <c r="K30" i="36" s="1"/>
  <c r="L30" i="36" s="1"/>
  <c r="M30" i="36" s="1"/>
  <c r="N30" i="36" s="1"/>
  <c r="O30" i="36" s="1"/>
  <c r="P30" i="36" s="1"/>
  <c r="Q30" i="36" s="1"/>
  <c r="R30" i="36" s="1"/>
  <c r="S30" i="36" s="1"/>
  <c r="T30" i="36" s="1"/>
  <c r="U30" i="36" s="1"/>
  <c r="V30" i="36" s="1"/>
  <c r="W30" i="36" s="1"/>
  <c r="B31" i="36"/>
  <c r="E31" i="36" s="1"/>
  <c r="F31" i="36" s="1"/>
  <c r="G31" i="36" s="1"/>
  <c r="H31" i="36" s="1"/>
  <c r="I31" i="36" s="1"/>
  <c r="J31" i="36" s="1"/>
  <c r="K31" i="36" s="1"/>
  <c r="L31" i="36" s="1"/>
  <c r="M31" i="36" s="1"/>
  <c r="N31" i="36" s="1"/>
  <c r="O31" i="36" s="1"/>
  <c r="P31" i="36" s="1"/>
  <c r="Q31" i="36" s="1"/>
  <c r="R31" i="36" s="1"/>
  <c r="S31" i="36" s="1"/>
  <c r="T31" i="36" s="1"/>
  <c r="U31" i="36" s="1"/>
  <c r="V31" i="36" s="1"/>
  <c r="W31" i="36" s="1"/>
  <c r="B32" i="36"/>
  <c r="E32" i="36" s="1"/>
  <c r="F32" i="36" s="1"/>
  <c r="G32" i="36" s="1"/>
  <c r="H32" i="36" s="1"/>
  <c r="I32" i="36" s="1"/>
  <c r="J32" i="36" s="1"/>
  <c r="K32" i="36" s="1"/>
  <c r="L32" i="36" s="1"/>
  <c r="M32" i="36" s="1"/>
  <c r="N32" i="36" s="1"/>
  <c r="O32" i="36" s="1"/>
  <c r="P32" i="36" s="1"/>
  <c r="Q32" i="36" s="1"/>
  <c r="R32" i="36" s="1"/>
  <c r="S32" i="36" s="1"/>
  <c r="T32" i="36" s="1"/>
  <c r="U32" i="36" s="1"/>
  <c r="V32" i="36" s="1"/>
  <c r="W32" i="36" s="1"/>
  <c r="B33" i="36"/>
  <c r="E33" i="36" s="1"/>
  <c r="F33" i="36" s="1"/>
  <c r="G33" i="36" s="1"/>
  <c r="H33" i="36" s="1"/>
  <c r="I33" i="36" s="1"/>
  <c r="J33" i="36" s="1"/>
  <c r="K33" i="36" s="1"/>
  <c r="L33" i="36" s="1"/>
  <c r="M33" i="36" s="1"/>
  <c r="N33" i="36" s="1"/>
  <c r="O33" i="36" s="1"/>
  <c r="P33" i="36" s="1"/>
  <c r="Q33" i="36" s="1"/>
  <c r="R33" i="36" s="1"/>
  <c r="S33" i="36" s="1"/>
  <c r="T33" i="36" s="1"/>
  <c r="U33" i="36" s="1"/>
  <c r="V33" i="36" s="1"/>
  <c r="W33" i="36" s="1"/>
  <c r="B34" i="36"/>
  <c r="E34" i="36" s="1"/>
  <c r="F34" i="36" s="1"/>
  <c r="G34" i="36" s="1"/>
  <c r="H34" i="36" s="1"/>
  <c r="I34" i="36" s="1"/>
  <c r="J34" i="36" s="1"/>
  <c r="K34" i="36" s="1"/>
  <c r="L34" i="36" s="1"/>
  <c r="M34" i="36" s="1"/>
  <c r="N34" i="36" s="1"/>
  <c r="O34" i="36" s="1"/>
  <c r="P34" i="36" s="1"/>
  <c r="Q34" i="36" s="1"/>
  <c r="R34" i="36" s="1"/>
  <c r="S34" i="36" s="1"/>
  <c r="T34" i="36" s="1"/>
  <c r="U34" i="36" s="1"/>
  <c r="V34" i="36" s="1"/>
  <c r="W34" i="36" s="1"/>
  <c r="B35" i="36"/>
  <c r="E35" i="36" s="1"/>
  <c r="F35" i="36" s="1"/>
  <c r="G35" i="36" s="1"/>
  <c r="H35" i="36" s="1"/>
  <c r="I35" i="36" s="1"/>
  <c r="J35" i="36" s="1"/>
  <c r="K35" i="36" s="1"/>
  <c r="L35" i="36" s="1"/>
  <c r="M35" i="36" s="1"/>
  <c r="N35" i="36" s="1"/>
  <c r="O35" i="36" s="1"/>
  <c r="P35" i="36" s="1"/>
  <c r="Q35" i="36" s="1"/>
  <c r="R35" i="36" s="1"/>
  <c r="S35" i="36" s="1"/>
  <c r="T35" i="36" s="1"/>
  <c r="U35" i="36" s="1"/>
  <c r="V35" i="36" s="1"/>
  <c r="W35" i="36" s="1"/>
  <c r="B36" i="36"/>
  <c r="E36" i="36" s="1"/>
  <c r="F36" i="36" s="1"/>
  <c r="G36" i="36" s="1"/>
  <c r="H36" i="36" s="1"/>
  <c r="I36" i="36" s="1"/>
  <c r="J36" i="36" s="1"/>
  <c r="K36" i="36" s="1"/>
  <c r="L36" i="36" s="1"/>
  <c r="M36" i="36" s="1"/>
  <c r="N36" i="36" s="1"/>
  <c r="O36" i="36" s="1"/>
  <c r="P36" i="36" s="1"/>
  <c r="Q36" i="36" s="1"/>
  <c r="R36" i="36" s="1"/>
  <c r="S36" i="36" s="1"/>
  <c r="T36" i="36" s="1"/>
  <c r="U36" i="36" s="1"/>
  <c r="V36" i="36" s="1"/>
  <c r="W36" i="36" s="1"/>
  <c r="B37" i="36"/>
  <c r="E37" i="36" s="1"/>
  <c r="F37" i="36" s="1"/>
  <c r="G37" i="36" s="1"/>
  <c r="H37" i="36" s="1"/>
  <c r="I37" i="36" s="1"/>
  <c r="J37" i="36" s="1"/>
  <c r="K37" i="36" s="1"/>
  <c r="L37" i="36" s="1"/>
  <c r="M37" i="36" s="1"/>
  <c r="N37" i="36" s="1"/>
  <c r="O37" i="36" s="1"/>
  <c r="P37" i="36" s="1"/>
  <c r="Q37" i="36" s="1"/>
  <c r="R37" i="36" s="1"/>
  <c r="S37" i="36" s="1"/>
  <c r="T37" i="36" s="1"/>
  <c r="U37" i="36" s="1"/>
  <c r="V37" i="36" s="1"/>
  <c r="W37" i="36" s="1"/>
  <c r="B40" i="36"/>
  <c r="B2" i="15" s="1"/>
  <c r="B41" i="36"/>
  <c r="B3" i="15" s="1"/>
  <c r="B42" i="36"/>
  <c r="B4" i="15" s="1"/>
  <c r="B43" i="36"/>
  <c r="B5" i="15" s="1"/>
  <c r="B44" i="36"/>
  <c r="B6" i="15" s="1"/>
  <c r="B45" i="36"/>
  <c r="B7" i="15" s="1"/>
  <c r="B46" i="36"/>
  <c r="B8" i="15" s="1"/>
  <c r="B47" i="36"/>
  <c r="B9" i="15" s="1"/>
  <c r="B48" i="36"/>
  <c r="B10" i="15" s="1"/>
  <c r="B49" i="36"/>
  <c r="B11" i="15" s="1"/>
  <c r="B52" i="36"/>
  <c r="B2" i="16" s="1"/>
  <c r="B53" i="36"/>
  <c r="B3" i="16" s="1"/>
  <c r="B54" i="36"/>
  <c r="B4" i="16" s="1"/>
  <c r="B55" i="36"/>
  <c r="B5" i="16" s="1"/>
  <c r="B56" i="36"/>
  <c r="B6" i="16" s="1"/>
  <c r="B57" i="36"/>
  <c r="B7" i="16" s="1"/>
  <c r="B58" i="36"/>
  <c r="B8" i="16" s="1"/>
  <c r="B59" i="36"/>
  <c r="B9" i="16" s="1"/>
  <c r="B60" i="36"/>
  <c r="B10" i="16" s="1"/>
  <c r="B61" i="36"/>
  <c r="B11" i="16" s="1"/>
  <c r="B64" i="36"/>
  <c r="B2" i="17" s="1"/>
  <c r="B65" i="36"/>
  <c r="B3" i="17" s="1"/>
  <c r="B66" i="36"/>
  <c r="B4" i="17" s="1"/>
  <c r="B67" i="36"/>
  <c r="B5" i="17" s="1"/>
  <c r="B68" i="36"/>
  <c r="B6" i="17" s="1"/>
  <c r="B69" i="36"/>
  <c r="B7" i="17" s="1"/>
  <c r="B70" i="36"/>
  <c r="B8" i="17" s="1"/>
  <c r="B71" i="36"/>
  <c r="B9" i="17" s="1"/>
  <c r="B72" i="36"/>
  <c r="B10" i="17" s="1"/>
  <c r="B73" i="36"/>
  <c r="B11" i="17" s="1"/>
  <c r="B73" i="38"/>
  <c r="B72" i="38"/>
  <c r="B10" i="27" s="1"/>
  <c r="B71" i="38"/>
  <c r="B70" i="38"/>
  <c r="B69" i="38"/>
  <c r="B68" i="38"/>
  <c r="B67" i="38"/>
  <c r="B5" i="27" s="1"/>
  <c r="B66" i="38"/>
  <c r="B65" i="38"/>
  <c r="B64" i="38"/>
  <c r="B73" i="37"/>
  <c r="B72" i="37"/>
  <c r="B10" i="13" s="1"/>
  <c r="B71" i="37"/>
  <c r="B9" i="13" s="1"/>
  <c r="B70" i="37"/>
  <c r="B8" i="13" s="1"/>
  <c r="B69" i="37"/>
  <c r="B7" i="13" s="1"/>
  <c r="B68" i="37"/>
  <c r="B6" i="13" s="1"/>
  <c r="B67" i="37"/>
  <c r="B5" i="13" s="1"/>
  <c r="B66" i="37"/>
  <c r="B4" i="13" s="1"/>
  <c r="B65" i="37"/>
  <c r="B3" i="13" s="1"/>
  <c r="B64" i="37"/>
  <c r="B61" i="38"/>
  <c r="B60" i="38"/>
  <c r="B10" i="26" s="1"/>
  <c r="B59" i="38"/>
  <c r="B58" i="38"/>
  <c r="B57" i="38"/>
  <c r="B56" i="38"/>
  <c r="B55" i="38"/>
  <c r="B54" i="38"/>
  <c r="B4" i="26" s="1"/>
  <c r="B53" i="38"/>
  <c r="B52" i="38"/>
  <c r="B49" i="38"/>
  <c r="B48" i="38"/>
  <c r="B10" i="25" s="1"/>
  <c r="B47" i="38"/>
  <c r="B46" i="38"/>
  <c r="B8" i="25" s="1"/>
  <c r="B45" i="38"/>
  <c r="B7" i="25" s="1"/>
  <c r="B44" i="38"/>
  <c r="B43" i="38"/>
  <c r="B5" i="25" s="1"/>
  <c r="B42" i="38"/>
  <c r="B4" i="25" s="1"/>
  <c r="B41" i="38"/>
  <c r="B3" i="25" s="1"/>
  <c r="B40" i="38"/>
  <c r="B2" i="25" s="1"/>
  <c r="B37" i="38"/>
  <c r="E37" i="38" s="1"/>
  <c r="F37" i="38" s="1"/>
  <c r="G37" i="38" s="1"/>
  <c r="H37" i="38" s="1"/>
  <c r="I37" i="38" s="1"/>
  <c r="J37" i="38" s="1"/>
  <c r="K37" i="38" s="1"/>
  <c r="L37" i="38" s="1"/>
  <c r="M37" i="38" s="1"/>
  <c r="N37" i="38" s="1"/>
  <c r="O37" i="38" s="1"/>
  <c r="P37" i="38" s="1"/>
  <c r="Q37" i="38" s="1"/>
  <c r="R37" i="38" s="1"/>
  <c r="S37" i="38" s="1"/>
  <c r="T37" i="38" s="1"/>
  <c r="U37" i="38" s="1"/>
  <c r="V37" i="38" s="1"/>
  <c r="W37" i="38" s="1"/>
  <c r="B36" i="38"/>
  <c r="E36" i="38" s="1"/>
  <c r="F36" i="38" s="1"/>
  <c r="G36" i="38" s="1"/>
  <c r="H36" i="38" s="1"/>
  <c r="I36" i="38" s="1"/>
  <c r="J36" i="38" s="1"/>
  <c r="K36" i="38" s="1"/>
  <c r="L36" i="38" s="1"/>
  <c r="M36" i="38" s="1"/>
  <c r="N36" i="38" s="1"/>
  <c r="O36" i="38" s="1"/>
  <c r="P36" i="38" s="1"/>
  <c r="Q36" i="38" s="1"/>
  <c r="R36" i="38" s="1"/>
  <c r="S36" i="38" s="1"/>
  <c r="T36" i="38" s="1"/>
  <c r="U36" i="38" s="1"/>
  <c r="V36" i="38" s="1"/>
  <c r="W36" i="38" s="1"/>
  <c r="B35" i="38"/>
  <c r="E35" i="38" s="1"/>
  <c r="F35" i="38" s="1"/>
  <c r="G35" i="38" s="1"/>
  <c r="H35" i="38" s="1"/>
  <c r="I35" i="38" s="1"/>
  <c r="J35" i="38" s="1"/>
  <c r="K35" i="38" s="1"/>
  <c r="L35" i="38" s="1"/>
  <c r="M35" i="38" s="1"/>
  <c r="N35" i="38" s="1"/>
  <c r="O35" i="38" s="1"/>
  <c r="P35" i="38" s="1"/>
  <c r="Q35" i="38" s="1"/>
  <c r="R35" i="38" s="1"/>
  <c r="S35" i="38" s="1"/>
  <c r="T35" i="38" s="1"/>
  <c r="U35" i="38" s="1"/>
  <c r="V35" i="38" s="1"/>
  <c r="W35" i="38" s="1"/>
  <c r="B34" i="38"/>
  <c r="E34" i="38" s="1"/>
  <c r="F34" i="38" s="1"/>
  <c r="G34" i="38" s="1"/>
  <c r="H34" i="38" s="1"/>
  <c r="I34" i="38" s="1"/>
  <c r="J34" i="38" s="1"/>
  <c r="K34" i="38" s="1"/>
  <c r="L34" i="38" s="1"/>
  <c r="M34" i="38" s="1"/>
  <c r="N34" i="38" s="1"/>
  <c r="O34" i="38" s="1"/>
  <c r="P34" i="38" s="1"/>
  <c r="Q34" i="38" s="1"/>
  <c r="R34" i="38" s="1"/>
  <c r="S34" i="38" s="1"/>
  <c r="T34" i="38" s="1"/>
  <c r="U34" i="38" s="1"/>
  <c r="V34" i="38" s="1"/>
  <c r="W34" i="38" s="1"/>
  <c r="B33" i="38"/>
  <c r="E33" i="38" s="1"/>
  <c r="F33" i="38" s="1"/>
  <c r="G33" i="38" s="1"/>
  <c r="H33" i="38" s="1"/>
  <c r="I33" i="38" s="1"/>
  <c r="J33" i="38" s="1"/>
  <c r="K33" i="38" s="1"/>
  <c r="L33" i="38" s="1"/>
  <c r="M33" i="38" s="1"/>
  <c r="N33" i="38" s="1"/>
  <c r="O33" i="38" s="1"/>
  <c r="P33" i="38" s="1"/>
  <c r="Q33" i="38" s="1"/>
  <c r="R33" i="38" s="1"/>
  <c r="S33" i="38" s="1"/>
  <c r="T33" i="38" s="1"/>
  <c r="U33" i="38" s="1"/>
  <c r="V33" i="38" s="1"/>
  <c r="W33" i="38" s="1"/>
  <c r="B32" i="38"/>
  <c r="E32" i="38" s="1"/>
  <c r="F32" i="38" s="1"/>
  <c r="G32" i="38" s="1"/>
  <c r="H32" i="38" s="1"/>
  <c r="I32" i="38" s="1"/>
  <c r="J32" i="38" s="1"/>
  <c r="K32" i="38" s="1"/>
  <c r="L32" i="38" s="1"/>
  <c r="M32" i="38" s="1"/>
  <c r="N32" i="38" s="1"/>
  <c r="O32" i="38" s="1"/>
  <c r="P32" i="38" s="1"/>
  <c r="Q32" i="38" s="1"/>
  <c r="R32" i="38" s="1"/>
  <c r="S32" i="38" s="1"/>
  <c r="T32" i="38" s="1"/>
  <c r="U32" i="38" s="1"/>
  <c r="V32" i="38" s="1"/>
  <c r="W32" i="38" s="1"/>
  <c r="B31" i="38"/>
  <c r="E31" i="38" s="1"/>
  <c r="F31" i="38" s="1"/>
  <c r="G31" i="38" s="1"/>
  <c r="H31" i="38" s="1"/>
  <c r="I31" i="38" s="1"/>
  <c r="J31" i="38" s="1"/>
  <c r="K31" i="38" s="1"/>
  <c r="L31" i="38" s="1"/>
  <c r="M31" i="38" s="1"/>
  <c r="N31" i="38" s="1"/>
  <c r="O31" i="38" s="1"/>
  <c r="P31" i="38" s="1"/>
  <c r="Q31" i="38" s="1"/>
  <c r="R31" i="38" s="1"/>
  <c r="S31" i="38" s="1"/>
  <c r="T31" i="38" s="1"/>
  <c r="U31" i="38" s="1"/>
  <c r="V31" i="38" s="1"/>
  <c r="W31" i="38" s="1"/>
  <c r="B30" i="38"/>
  <c r="E30" i="38" s="1"/>
  <c r="F30" i="38" s="1"/>
  <c r="G30" i="38" s="1"/>
  <c r="H30" i="38" s="1"/>
  <c r="I30" i="38" s="1"/>
  <c r="J30" i="38" s="1"/>
  <c r="K30" i="38" s="1"/>
  <c r="L30" i="38" s="1"/>
  <c r="M30" i="38" s="1"/>
  <c r="N30" i="38" s="1"/>
  <c r="O30" i="38" s="1"/>
  <c r="P30" i="38" s="1"/>
  <c r="Q30" i="38" s="1"/>
  <c r="R30" i="38" s="1"/>
  <c r="S30" i="38" s="1"/>
  <c r="T30" i="38" s="1"/>
  <c r="U30" i="38" s="1"/>
  <c r="V30" i="38" s="1"/>
  <c r="W30" i="38" s="1"/>
  <c r="B29" i="38"/>
  <c r="E29" i="38" s="1"/>
  <c r="F29" i="38" s="1"/>
  <c r="G29" i="38" s="1"/>
  <c r="H29" i="38" s="1"/>
  <c r="I29" i="38" s="1"/>
  <c r="J29" i="38" s="1"/>
  <c r="K29" i="38" s="1"/>
  <c r="L29" i="38" s="1"/>
  <c r="M29" i="38" s="1"/>
  <c r="N29" i="38" s="1"/>
  <c r="O29" i="38" s="1"/>
  <c r="P29" i="38" s="1"/>
  <c r="Q29" i="38" s="1"/>
  <c r="R29" i="38" s="1"/>
  <c r="S29" i="38" s="1"/>
  <c r="T29" i="38" s="1"/>
  <c r="U29" i="38" s="1"/>
  <c r="V29" i="38" s="1"/>
  <c r="W29" i="38" s="1"/>
  <c r="X29" i="38" s="1"/>
  <c r="Y29" i="38" s="1"/>
  <c r="Z29" i="38" s="1"/>
  <c r="AA29" i="38" s="1"/>
  <c r="AB29" i="38" s="1"/>
  <c r="AC29" i="38" s="1"/>
  <c r="AD29" i="38" s="1"/>
  <c r="AE29" i="38" s="1"/>
  <c r="AF29" i="38" s="1"/>
  <c r="AG29" i="38" s="1"/>
  <c r="B28" i="38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B25" i="38"/>
  <c r="B11" i="24" s="1"/>
  <c r="B23" i="38"/>
  <c r="B9" i="24" s="1"/>
  <c r="B21" i="38"/>
  <c r="B7" i="24" s="1"/>
  <c r="B19" i="38"/>
  <c r="B5" i="24" s="1"/>
  <c r="B17" i="38"/>
  <c r="B3" i="24" s="1"/>
  <c r="B13" i="38"/>
  <c r="B11" i="23" s="1"/>
  <c r="B12" i="38"/>
  <c r="B10" i="23" s="1"/>
  <c r="B11" i="38"/>
  <c r="B9" i="23" s="1"/>
  <c r="B10" i="38"/>
  <c r="B8" i="23" s="1"/>
  <c r="B9" i="38"/>
  <c r="B7" i="23" s="1"/>
  <c r="B8" i="38"/>
  <c r="B6" i="23" s="1"/>
  <c r="B7" i="38"/>
  <c r="B5" i="23" s="1"/>
  <c r="B6" i="38"/>
  <c r="B4" i="23" s="1"/>
  <c r="B5" i="38"/>
  <c r="B3" i="23" s="1"/>
  <c r="B4" i="38"/>
  <c r="B2" i="23" s="1"/>
  <c r="B61" i="37"/>
  <c r="B11" i="12" s="1"/>
  <c r="B60" i="37"/>
  <c r="B10" i="12" s="1"/>
  <c r="B59" i="37"/>
  <c r="B9" i="12" s="1"/>
  <c r="B58" i="37"/>
  <c r="B8" i="12" s="1"/>
  <c r="B57" i="37"/>
  <c r="B7" i="12" s="1"/>
  <c r="B56" i="37"/>
  <c r="B6" i="12" s="1"/>
  <c r="B55" i="37"/>
  <c r="B5" i="12" s="1"/>
  <c r="B54" i="37"/>
  <c r="B4" i="12" s="1"/>
  <c r="B53" i="37"/>
  <c r="B3" i="12" s="1"/>
  <c r="B52" i="37"/>
  <c r="B2" i="12" s="1"/>
  <c r="B49" i="37"/>
  <c r="B11" i="11" s="1"/>
  <c r="B48" i="37"/>
  <c r="B10" i="11" s="1"/>
  <c r="B47" i="37"/>
  <c r="B9" i="11" s="1"/>
  <c r="B46" i="37"/>
  <c r="B8" i="11" s="1"/>
  <c r="B45" i="37"/>
  <c r="B44" i="37"/>
  <c r="B6" i="11" s="1"/>
  <c r="B43" i="37"/>
  <c r="B5" i="11" s="1"/>
  <c r="B42" i="37"/>
  <c r="B41" i="37"/>
  <c r="B3" i="11" s="1"/>
  <c r="B40" i="37"/>
  <c r="B2" i="11" s="1"/>
  <c r="B37" i="37"/>
  <c r="E37" i="37" s="1"/>
  <c r="F37" i="37" s="1"/>
  <c r="G37" i="37" s="1"/>
  <c r="H37" i="37" s="1"/>
  <c r="I37" i="37" s="1"/>
  <c r="J37" i="37" s="1"/>
  <c r="K37" i="37" s="1"/>
  <c r="L37" i="37" s="1"/>
  <c r="M37" i="37" s="1"/>
  <c r="N37" i="37" s="1"/>
  <c r="O37" i="37" s="1"/>
  <c r="P37" i="37" s="1"/>
  <c r="Q37" i="37" s="1"/>
  <c r="R37" i="37" s="1"/>
  <c r="S37" i="37" s="1"/>
  <c r="T37" i="37" s="1"/>
  <c r="U37" i="37" s="1"/>
  <c r="V37" i="37" s="1"/>
  <c r="W37" i="37" s="1"/>
  <c r="X37" i="37" s="1"/>
  <c r="B36" i="37"/>
  <c r="E36" i="37" s="1"/>
  <c r="F36" i="37" s="1"/>
  <c r="G36" i="37" s="1"/>
  <c r="H36" i="37" s="1"/>
  <c r="I36" i="37" s="1"/>
  <c r="J36" i="37" s="1"/>
  <c r="K36" i="37" s="1"/>
  <c r="L36" i="37" s="1"/>
  <c r="M36" i="37" s="1"/>
  <c r="N36" i="37" s="1"/>
  <c r="O36" i="37" s="1"/>
  <c r="P36" i="37" s="1"/>
  <c r="Q36" i="37" s="1"/>
  <c r="R36" i="37" s="1"/>
  <c r="S36" i="37" s="1"/>
  <c r="T36" i="37" s="1"/>
  <c r="U36" i="37" s="1"/>
  <c r="V36" i="37" s="1"/>
  <c r="W36" i="37" s="1"/>
  <c r="X36" i="37" s="1"/>
  <c r="B35" i="37"/>
  <c r="E35" i="37" s="1"/>
  <c r="F35" i="37" s="1"/>
  <c r="G35" i="37" s="1"/>
  <c r="H35" i="37" s="1"/>
  <c r="I35" i="37" s="1"/>
  <c r="J35" i="37" s="1"/>
  <c r="K35" i="37" s="1"/>
  <c r="L35" i="37" s="1"/>
  <c r="M35" i="37" s="1"/>
  <c r="N35" i="37" s="1"/>
  <c r="O35" i="37" s="1"/>
  <c r="P35" i="37" s="1"/>
  <c r="Q35" i="37" s="1"/>
  <c r="R35" i="37" s="1"/>
  <c r="S35" i="37" s="1"/>
  <c r="T35" i="37" s="1"/>
  <c r="U35" i="37" s="1"/>
  <c r="V35" i="37" s="1"/>
  <c r="W35" i="37" s="1"/>
  <c r="X35" i="37" s="1"/>
  <c r="B34" i="37"/>
  <c r="E34" i="37" s="1"/>
  <c r="F34" i="37" s="1"/>
  <c r="G34" i="37" s="1"/>
  <c r="H34" i="37" s="1"/>
  <c r="I34" i="37" s="1"/>
  <c r="J34" i="37" s="1"/>
  <c r="K34" i="37" s="1"/>
  <c r="L34" i="37" s="1"/>
  <c r="M34" i="37" s="1"/>
  <c r="N34" i="37" s="1"/>
  <c r="O34" i="37" s="1"/>
  <c r="P34" i="37" s="1"/>
  <c r="Q34" i="37" s="1"/>
  <c r="R34" i="37" s="1"/>
  <c r="S34" i="37" s="1"/>
  <c r="T34" i="37" s="1"/>
  <c r="U34" i="37" s="1"/>
  <c r="V34" i="37" s="1"/>
  <c r="W34" i="37" s="1"/>
  <c r="X34" i="37" s="1"/>
  <c r="B33" i="37"/>
  <c r="E33" i="37" s="1"/>
  <c r="F33" i="37" s="1"/>
  <c r="G33" i="37" s="1"/>
  <c r="H33" i="37" s="1"/>
  <c r="I33" i="37" s="1"/>
  <c r="J33" i="37" s="1"/>
  <c r="K33" i="37" s="1"/>
  <c r="L33" i="37" s="1"/>
  <c r="M33" i="37" s="1"/>
  <c r="N33" i="37" s="1"/>
  <c r="O33" i="37" s="1"/>
  <c r="P33" i="37" s="1"/>
  <c r="Q33" i="37" s="1"/>
  <c r="R33" i="37" s="1"/>
  <c r="S33" i="37" s="1"/>
  <c r="T33" i="37" s="1"/>
  <c r="U33" i="37" s="1"/>
  <c r="V33" i="37" s="1"/>
  <c r="W33" i="37" s="1"/>
  <c r="X33" i="37" s="1"/>
  <c r="B32" i="37"/>
  <c r="E32" i="37" s="1"/>
  <c r="F32" i="37" s="1"/>
  <c r="G32" i="37" s="1"/>
  <c r="H32" i="37" s="1"/>
  <c r="I32" i="37" s="1"/>
  <c r="J32" i="37" s="1"/>
  <c r="K32" i="37" s="1"/>
  <c r="L32" i="37" s="1"/>
  <c r="M32" i="37" s="1"/>
  <c r="N32" i="37" s="1"/>
  <c r="O32" i="37" s="1"/>
  <c r="P32" i="37" s="1"/>
  <c r="Q32" i="37" s="1"/>
  <c r="R32" i="37" s="1"/>
  <c r="S32" i="37" s="1"/>
  <c r="T32" i="37" s="1"/>
  <c r="U32" i="37" s="1"/>
  <c r="V32" i="37" s="1"/>
  <c r="W32" i="37" s="1"/>
  <c r="X32" i="37" s="1"/>
  <c r="B31" i="37"/>
  <c r="E31" i="37" s="1"/>
  <c r="F31" i="37" s="1"/>
  <c r="G31" i="37" s="1"/>
  <c r="H31" i="37" s="1"/>
  <c r="I31" i="37" s="1"/>
  <c r="J31" i="37" s="1"/>
  <c r="K31" i="37" s="1"/>
  <c r="L31" i="37" s="1"/>
  <c r="M31" i="37" s="1"/>
  <c r="N31" i="37" s="1"/>
  <c r="O31" i="37" s="1"/>
  <c r="P31" i="37" s="1"/>
  <c r="Q31" i="37" s="1"/>
  <c r="R31" i="37" s="1"/>
  <c r="S31" i="37" s="1"/>
  <c r="T31" i="37" s="1"/>
  <c r="U31" i="37" s="1"/>
  <c r="V31" i="37" s="1"/>
  <c r="W31" i="37" s="1"/>
  <c r="X31" i="37" s="1"/>
  <c r="B30" i="37"/>
  <c r="E30" i="37" s="1"/>
  <c r="F30" i="37" s="1"/>
  <c r="G30" i="37" s="1"/>
  <c r="H30" i="37" s="1"/>
  <c r="I30" i="37" s="1"/>
  <c r="J30" i="37" s="1"/>
  <c r="K30" i="37" s="1"/>
  <c r="L30" i="37" s="1"/>
  <c r="M30" i="37" s="1"/>
  <c r="N30" i="37" s="1"/>
  <c r="O30" i="37" s="1"/>
  <c r="P30" i="37" s="1"/>
  <c r="Q30" i="37" s="1"/>
  <c r="R30" i="37" s="1"/>
  <c r="S30" i="37" s="1"/>
  <c r="T30" i="37" s="1"/>
  <c r="U30" i="37" s="1"/>
  <c r="V30" i="37" s="1"/>
  <c r="W30" i="37" s="1"/>
  <c r="X30" i="37" s="1"/>
  <c r="B29" i="37"/>
  <c r="E29" i="37" s="1"/>
  <c r="F29" i="37" s="1"/>
  <c r="G29" i="37" s="1"/>
  <c r="H29" i="37" s="1"/>
  <c r="I29" i="37" s="1"/>
  <c r="J29" i="37" s="1"/>
  <c r="K29" i="37" s="1"/>
  <c r="L29" i="37" s="1"/>
  <c r="M29" i="37" s="1"/>
  <c r="N29" i="37" s="1"/>
  <c r="O29" i="37" s="1"/>
  <c r="P29" i="37" s="1"/>
  <c r="Q29" i="37" s="1"/>
  <c r="R29" i="37" s="1"/>
  <c r="S29" i="37" s="1"/>
  <c r="T29" i="37" s="1"/>
  <c r="U29" i="37" s="1"/>
  <c r="V29" i="37" s="1"/>
  <c r="W29" i="37" s="1"/>
  <c r="X29" i="37" s="1"/>
  <c r="B28" i="37"/>
  <c r="E28" i="37" s="1"/>
  <c r="F28" i="37" s="1"/>
  <c r="G28" i="37" s="1"/>
  <c r="H28" i="37" s="1"/>
  <c r="I28" i="37" s="1"/>
  <c r="J28" i="37" s="1"/>
  <c r="K28" i="37" s="1"/>
  <c r="L28" i="37" s="1"/>
  <c r="M28" i="37" s="1"/>
  <c r="N28" i="37" s="1"/>
  <c r="O28" i="37" s="1"/>
  <c r="P28" i="37" s="1"/>
  <c r="Q28" i="37" s="1"/>
  <c r="R28" i="37" s="1"/>
  <c r="S28" i="37" s="1"/>
  <c r="T28" i="37" s="1"/>
  <c r="U28" i="37" s="1"/>
  <c r="V28" i="37" s="1"/>
  <c r="W28" i="37" s="1"/>
  <c r="X28" i="37" s="1"/>
  <c r="B25" i="37"/>
  <c r="B24" i="37"/>
  <c r="B10" i="20" s="1"/>
  <c r="B23" i="37"/>
  <c r="B9" i="20" s="1"/>
  <c r="B22" i="37"/>
  <c r="B21" i="37"/>
  <c r="B20" i="37"/>
  <c r="B19" i="37"/>
  <c r="B18" i="37"/>
  <c r="B4" i="20" s="1"/>
  <c r="B17" i="37"/>
  <c r="B16" i="37"/>
  <c r="B13" i="37"/>
  <c r="B11" i="37"/>
  <c r="B9" i="37"/>
  <c r="B7" i="37"/>
  <c r="B5" i="18" s="1"/>
  <c r="B5" i="37"/>
  <c r="X32" i="36" l="1"/>
  <c r="Y32" i="36" s="1"/>
  <c r="Z32" i="36" s="1"/>
  <c r="AA32" i="36" s="1"/>
  <c r="AB32" i="36" s="1"/>
  <c r="AC32" i="36" s="1"/>
  <c r="AD32" i="36" s="1"/>
  <c r="AE32" i="36" s="1"/>
  <c r="AF32" i="36" s="1"/>
  <c r="AG32" i="36" s="1"/>
  <c r="D6" i="40"/>
  <c r="C10" i="21"/>
  <c r="X31" i="36"/>
  <c r="Y31" i="36" s="1"/>
  <c r="Z31" i="36" s="1"/>
  <c r="AA31" i="36" s="1"/>
  <c r="AB31" i="36" s="1"/>
  <c r="AC31" i="36" s="1"/>
  <c r="AD31" i="36" s="1"/>
  <c r="AE31" i="36" s="1"/>
  <c r="AF31" i="36" s="1"/>
  <c r="AG31" i="36" s="1"/>
  <c r="D5" i="40"/>
  <c r="C9" i="21"/>
  <c r="X33" i="36"/>
  <c r="Y33" i="36" s="1"/>
  <c r="Z33" i="36" s="1"/>
  <c r="AA33" i="36" s="1"/>
  <c r="AB33" i="36" s="1"/>
  <c r="AC33" i="36" s="1"/>
  <c r="AD33" i="36" s="1"/>
  <c r="AE33" i="36" s="1"/>
  <c r="AF33" i="36" s="1"/>
  <c r="AG33" i="36" s="1"/>
  <c r="D7" i="40"/>
  <c r="X30" i="36"/>
  <c r="Y30" i="36" s="1"/>
  <c r="Z30" i="36" s="1"/>
  <c r="AA30" i="36" s="1"/>
  <c r="AB30" i="36" s="1"/>
  <c r="AC30" i="36" s="1"/>
  <c r="AD30" i="36" s="1"/>
  <c r="AE30" i="36" s="1"/>
  <c r="AF30" i="36" s="1"/>
  <c r="AG30" i="36" s="1"/>
  <c r="D4" i="40"/>
  <c r="X37" i="36"/>
  <c r="Y37" i="36" s="1"/>
  <c r="Z37" i="36" s="1"/>
  <c r="AA37" i="36" s="1"/>
  <c r="AB37" i="36" s="1"/>
  <c r="AC37" i="36" s="1"/>
  <c r="AD37" i="36" s="1"/>
  <c r="AE37" i="36" s="1"/>
  <c r="AF37" i="36" s="1"/>
  <c r="AG37" i="36" s="1"/>
  <c r="D11" i="40"/>
  <c r="X29" i="36"/>
  <c r="Y29" i="36" s="1"/>
  <c r="Z29" i="36" s="1"/>
  <c r="AA29" i="36" s="1"/>
  <c r="AB29" i="36" s="1"/>
  <c r="AC29" i="36" s="1"/>
  <c r="AD29" i="36" s="1"/>
  <c r="AE29" i="36" s="1"/>
  <c r="AF29" i="36" s="1"/>
  <c r="AG29" i="36" s="1"/>
  <c r="D3" i="40"/>
  <c r="X36" i="36"/>
  <c r="Y36" i="36" s="1"/>
  <c r="Z36" i="36" s="1"/>
  <c r="AA36" i="36" s="1"/>
  <c r="AB36" i="36" s="1"/>
  <c r="AC36" i="36" s="1"/>
  <c r="AD36" i="36" s="1"/>
  <c r="AE36" i="36" s="1"/>
  <c r="AF36" i="36" s="1"/>
  <c r="AG36" i="36" s="1"/>
  <c r="D10" i="40"/>
  <c r="X28" i="36"/>
  <c r="Y28" i="36" s="1"/>
  <c r="Z28" i="36" s="1"/>
  <c r="AA28" i="36" s="1"/>
  <c r="AB28" i="36" s="1"/>
  <c r="AC28" i="36" s="1"/>
  <c r="AD28" i="36" s="1"/>
  <c r="AE28" i="36" s="1"/>
  <c r="AF28" i="36" s="1"/>
  <c r="AG28" i="36" s="1"/>
  <c r="D2" i="40"/>
  <c r="X35" i="36"/>
  <c r="Y35" i="36" s="1"/>
  <c r="Z35" i="36" s="1"/>
  <c r="AA35" i="36" s="1"/>
  <c r="AB35" i="36" s="1"/>
  <c r="AC35" i="36" s="1"/>
  <c r="AD35" i="36" s="1"/>
  <c r="AE35" i="36" s="1"/>
  <c r="AF35" i="36" s="1"/>
  <c r="AG35" i="36" s="1"/>
  <c r="D9" i="40"/>
  <c r="C5" i="21"/>
  <c r="X34" i="36"/>
  <c r="Y34" i="36" s="1"/>
  <c r="Z34" i="36" s="1"/>
  <c r="AA34" i="36" s="1"/>
  <c r="AB34" i="36" s="1"/>
  <c r="AC34" i="36" s="1"/>
  <c r="AD34" i="36" s="1"/>
  <c r="AE34" i="36" s="1"/>
  <c r="AF34" i="36" s="1"/>
  <c r="AG34" i="36" s="1"/>
  <c r="D8" i="40"/>
  <c r="B5" i="21"/>
  <c r="B9" i="21"/>
  <c r="B10" i="21"/>
  <c r="I44" i="41"/>
  <c r="I45" i="41"/>
  <c r="C6" i="23"/>
  <c r="C3" i="24"/>
  <c r="B9" i="18"/>
  <c r="E23" i="37"/>
  <c r="B4" i="18"/>
  <c r="Y28" i="37"/>
  <c r="Z28" i="37" s="1"/>
  <c r="AA28" i="37" s="1"/>
  <c r="AB28" i="37" s="1"/>
  <c r="AC28" i="37" s="1"/>
  <c r="AD28" i="37" s="1"/>
  <c r="AE28" i="37" s="1"/>
  <c r="AF28" i="37" s="1"/>
  <c r="AG28" i="37" s="1"/>
  <c r="D15" i="40"/>
  <c r="C4" i="11"/>
  <c r="B2" i="18"/>
  <c r="Y35" i="37"/>
  <c r="Z35" i="37" s="1"/>
  <c r="AA35" i="37" s="1"/>
  <c r="AB35" i="37" s="1"/>
  <c r="AC35" i="37" s="1"/>
  <c r="AD35" i="37" s="1"/>
  <c r="AE35" i="37" s="1"/>
  <c r="AF35" i="37" s="1"/>
  <c r="AG35" i="37" s="1"/>
  <c r="D22" i="40"/>
  <c r="C11" i="20"/>
  <c r="Y30" i="37"/>
  <c r="Z30" i="37" s="1"/>
  <c r="AA30" i="37" s="1"/>
  <c r="AB30" i="37" s="1"/>
  <c r="AC30" i="37" s="1"/>
  <c r="AD30" i="37" s="1"/>
  <c r="AE30" i="37" s="1"/>
  <c r="AF30" i="37" s="1"/>
  <c r="AG30" i="37" s="1"/>
  <c r="D17" i="40"/>
  <c r="B11" i="18"/>
  <c r="B3" i="20"/>
  <c r="Y31" i="37"/>
  <c r="Z31" i="37" s="1"/>
  <c r="AA31" i="37" s="1"/>
  <c r="AB31" i="37" s="1"/>
  <c r="AC31" i="37" s="1"/>
  <c r="AD31" i="37" s="1"/>
  <c r="AE31" i="37" s="1"/>
  <c r="AF31" i="37" s="1"/>
  <c r="AG31" i="37" s="1"/>
  <c r="D18" i="40"/>
  <c r="C7" i="11"/>
  <c r="C9" i="18"/>
  <c r="Y32" i="37"/>
  <c r="Z32" i="37" s="1"/>
  <c r="AA32" i="37" s="1"/>
  <c r="AB32" i="37" s="1"/>
  <c r="AC32" i="37" s="1"/>
  <c r="AD32" i="37" s="1"/>
  <c r="AE32" i="37" s="1"/>
  <c r="AF32" i="37" s="1"/>
  <c r="AG32" i="37" s="1"/>
  <c r="D19" i="40"/>
  <c r="Y33" i="37"/>
  <c r="Z33" i="37" s="1"/>
  <c r="AA33" i="37" s="1"/>
  <c r="AB33" i="37" s="1"/>
  <c r="AC33" i="37" s="1"/>
  <c r="AD33" i="37" s="1"/>
  <c r="AE33" i="37" s="1"/>
  <c r="AF33" i="37" s="1"/>
  <c r="AG33" i="37" s="1"/>
  <c r="D20" i="40"/>
  <c r="C11" i="13"/>
  <c r="B7" i="18"/>
  <c r="B8" i="18"/>
  <c r="C9" i="20"/>
  <c r="Y29" i="37"/>
  <c r="Z29" i="37" s="1"/>
  <c r="AA29" i="37" s="1"/>
  <c r="AB29" i="37" s="1"/>
  <c r="AC29" i="37" s="1"/>
  <c r="AD29" i="37" s="1"/>
  <c r="AE29" i="37" s="1"/>
  <c r="AF29" i="37" s="1"/>
  <c r="AG29" i="37" s="1"/>
  <c r="D16" i="40"/>
  <c r="B5" i="20"/>
  <c r="B10" i="18"/>
  <c r="B2" i="20"/>
  <c r="Y36" i="37"/>
  <c r="Z36" i="37" s="1"/>
  <c r="AA36" i="37" s="1"/>
  <c r="AB36" i="37" s="1"/>
  <c r="AC36" i="37" s="1"/>
  <c r="AD36" i="37" s="1"/>
  <c r="AE36" i="37" s="1"/>
  <c r="AF36" i="37" s="1"/>
  <c r="AG36" i="37" s="1"/>
  <c r="D23" i="40"/>
  <c r="C2" i="13"/>
  <c r="B6" i="18"/>
  <c r="B6" i="20"/>
  <c r="Y37" i="37"/>
  <c r="Z37" i="37" s="1"/>
  <c r="AA37" i="37" s="1"/>
  <c r="AB37" i="37" s="1"/>
  <c r="AC37" i="37" s="1"/>
  <c r="AD37" i="37" s="1"/>
  <c r="AE37" i="37" s="1"/>
  <c r="AF37" i="37" s="1"/>
  <c r="AG37" i="37" s="1"/>
  <c r="D24" i="40"/>
  <c r="C3" i="13"/>
  <c r="Y34" i="37"/>
  <c r="Z34" i="37" s="1"/>
  <c r="AA34" i="37" s="1"/>
  <c r="AB34" i="37" s="1"/>
  <c r="AC34" i="37" s="1"/>
  <c r="AD34" i="37" s="1"/>
  <c r="AE34" i="37" s="1"/>
  <c r="AF34" i="37" s="1"/>
  <c r="AG34" i="37" s="1"/>
  <c r="D21" i="40"/>
  <c r="C7" i="20"/>
  <c r="B3" i="18"/>
  <c r="C8" i="20"/>
  <c r="B11" i="20"/>
  <c r="B4" i="11"/>
  <c r="B7" i="11"/>
  <c r="B2" i="13"/>
  <c r="B11" i="13"/>
  <c r="B8" i="20"/>
  <c r="B7" i="20"/>
  <c r="X37" i="38"/>
  <c r="Y37" i="38" s="1"/>
  <c r="Z37" i="38" s="1"/>
  <c r="AA37" i="38" s="1"/>
  <c r="AB37" i="38" s="1"/>
  <c r="AC37" i="38" s="1"/>
  <c r="AD37" i="38" s="1"/>
  <c r="AE37" i="38" s="1"/>
  <c r="AF37" i="38" s="1"/>
  <c r="AG37" i="38" s="1"/>
  <c r="D37" i="40"/>
  <c r="X35" i="38"/>
  <c r="Y35" i="38" s="1"/>
  <c r="Z35" i="38" s="1"/>
  <c r="AA35" i="38" s="1"/>
  <c r="AB35" i="38" s="1"/>
  <c r="AC35" i="38" s="1"/>
  <c r="AD35" i="38" s="1"/>
  <c r="AE35" i="38" s="1"/>
  <c r="AF35" i="38" s="1"/>
  <c r="AG35" i="38" s="1"/>
  <c r="D35" i="40"/>
  <c r="X28" i="38"/>
  <c r="Y28" i="38" s="1"/>
  <c r="Z28" i="38" s="1"/>
  <c r="AA28" i="38" s="1"/>
  <c r="AB28" i="38" s="1"/>
  <c r="AC28" i="38" s="1"/>
  <c r="AD28" i="38" s="1"/>
  <c r="AE28" i="38" s="1"/>
  <c r="AF28" i="38" s="1"/>
  <c r="AG28" i="38" s="1"/>
  <c r="D28" i="40"/>
  <c r="X30" i="38"/>
  <c r="Y30" i="38" s="1"/>
  <c r="Z30" i="38" s="1"/>
  <c r="AA30" i="38" s="1"/>
  <c r="AB30" i="38" s="1"/>
  <c r="AC30" i="38" s="1"/>
  <c r="AD30" i="38" s="1"/>
  <c r="AE30" i="38" s="1"/>
  <c r="AF30" i="38" s="1"/>
  <c r="AG30" i="38" s="1"/>
  <c r="D30" i="40"/>
  <c r="X31" i="38"/>
  <c r="Y31" i="38" s="1"/>
  <c r="Z31" i="38" s="1"/>
  <c r="AA31" i="38" s="1"/>
  <c r="AB31" i="38" s="1"/>
  <c r="AC31" i="38" s="1"/>
  <c r="AD31" i="38" s="1"/>
  <c r="AE31" i="38" s="1"/>
  <c r="AF31" i="38" s="1"/>
  <c r="AG31" i="38" s="1"/>
  <c r="D31" i="40"/>
  <c r="X33" i="38"/>
  <c r="Y33" i="38" s="1"/>
  <c r="Z33" i="38" s="1"/>
  <c r="AA33" i="38" s="1"/>
  <c r="AB33" i="38" s="1"/>
  <c r="AC33" i="38" s="1"/>
  <c r="AD33" i="38" s="1"/>
  <c r="AE33" i="38" s="1"/>
  <c r="AF33" i="38" s="1"/>
  <c r="AG33" i="38" s="1"/>
  <c r="D33" i="40"/>
  <c r="X34" i="38"/>
  <c r="Y34" i="38" s="1"/>
  <c r="Z34" i="38" s="1"/>
  <c r="AA34" i="38" s="1"/>
  <c r="AB34" i="38" s="1"/>
  <c r="AC34" i="38" s="1"/>
  <c r="AD34" i="38" s="1"/>
  <c r="AE34" i="38" s="1"/>
  <c r="AF34" i="38" s="1"/>
  <c r="AG34" i="38" s="1"/>
  <c r="D34" i="40"/>
  <c r="B7" i="26"/>
  <c r="B11" i="27"/>
  <c r="B6" i="25"/>
  <c r="B8" i="26"/>
  <c r="B9" i="26"/>
  <c r="X32" i="38"/>
  <c r="Y32" i="38" s="1"/>
  <c r="Z32" i="38" s="1"/>
  <c r="AA32" i="38" s="1"/>
  <c r="AB32" i="38" s="1"/>
  <c r="AC32" i="38" s="1"/>
  <c r="AD32" i="38" s="1"/>
  <c r="AE32" i="38" s="1"/>
  <c r="AF32" i="38" s="1"/>
  <c r="AG32" i="38" s="1"/>
  <c r="D32" i="40"/>
  <c r="B2" i="27"/>
  <c r="B9" i="25"/>
  <c r="B11" i="26"/>
  <c r="B3" i="27"/>
  <c r="B4" i="27"/>
  <c r="B6" i="26"/>
  <c r="B11" i="25"/>
  <c r="C2" i="23"/>
  <c r="X36" i="38"/>
  <c r="Y36" i="38" s="1"/>
  <c r="Z36" i="38" s="1"/>
  <c r="AA36" i="38" s="1"/>
  <c r="AB36" i="38" s="1"/>
  <c r="AC36" i="38" s="1"/>
  <c r="AD36" i="38" s="1"/>
  <c r="AE36" i="38" s="1"/>
  <c r="AF36" i="38" s="1"/>
  <c r="AG36" i="38" s="1"/>
  <c r="D36" i="40"/>
  <c r="B2" i="26"/>
  <c r="B6" i="27"/>
  <c r="C3" i="23"/>
  <c r="B3" i="26"/>
  <c r="B7" i="27"/>
  <c r="C4" i="23"/>
  <c r="D29" i="40"/>
  <c r="B8" i="24"/>
  <c r="B10" i="24"/>
  <c r="B8" i="27"/>
  <c r="B5" i="26"/>
  <c r="C5" i="26"/>
  <c r="B9" i="27"/>
  <c r="D9" i="20" l="1"/>
  <c r="D6" i="23"/>
  <c r="C8" i="14"/>
  <c r="C3" i="17"/>
  <c r="C8" i="17"/>
  <c r="C4" i="21"/>
  <c r="C9" i="14"/>
  <c r="C2" i="14"/>
  <c r="C9" i="16"/>
  <c r="E7" i="36"/>
  <c r="D5" i="21"/>
  <c r="E11" i="36"/>
  <c r="D9" i="21"/>
  <c r="C5" i="17"/>
  <c r="C7" i="16"/>
  <c r="C6" i="16"/>
  <c r="C10" i="14"/>
  <c r="C7" i="21"/>
  <c r="C6" i="21"/>
  <c r="C3" i="16"/>
  <c r="C2" i="16"/>
  <c r="C2" i="17"/>
  <c r="C6" i="17"/>
  <c r="C2" i="21"/>
  <c r="C9" i="15"/>
  <c r="C8" i="21"/>
  <c r="C10" i="17"/>
  <c r="C7" i="15"/>
  <c r="C6" i="15"/>
  <c r="C3" i="21"/>
  <c r="C11" i="16"/>
  <c r="C10" i="16"/>
  <c r="C3" i="15"/>
  <c r="C5" i="15"/>
  <c r="C4" i="17"/>
  <c r="C5" i="14"/>
  <c r="C2" i="15"/>
  <c r="C7" i="17"/>
  <c r="C4" i="16"/>
  <c r="C7" i="14"/>
  <c r="C6" i="14"/>
  <c r="E12" i="36"/>
  <c r="D10" i="21"/>
  <c r="C9" i="17"/>
  <c r="C3" i="14"/>
  <c r="C8" i="16"/>
  <c r="C11" i="14"/>
  <c r="C5" i="16"/>
  <c r="C10" i="15"/>
  <c r="C11" i="21"/>
  <c r="C8" i="15"/>
  <c r="C4" i="14"/>
  <c r="C11" i="15"/>
  <c r="C4" i="15"/>
  <c r="C11" i="17"/>
  <c r="E55" i="38"/>
  <c r="D3" i="23"/>
  <c r="C7" i="18"/>
  <c r="C11" i="11"/>
  <c r="C8" i="13"/>
  <c r="C3" i="11"/>
  <c r="E65" i="37"/>
  <c r="D3" i="13"/>
  <c r="C2" i="20"/>
  <c r="C3" i="20"/>
  <c r="C2" i="18"/>
  <c r="C4" i="20"/>
  <c r="C9" i="13"/>
  <c r="C5" i="11"/>
  <c r="C2" i="12"/>
  <c r="C3" i="12"/>
  <c r="E73" i="37"/>
  <c r="D11" i="13"/>
  <c r="E25" i="37"/>
  <c r="D11" i="20"/>
  <c r="C10" i="18"/>
  <c r="C10" i="11"/>
  <c r="C10" i="12"/>
  <c r="C10" i="20"/>
  <c r="C4" i="13"/>
  <c r="C8" i="12"/>
  <c r="C5" i="13"/>
  <c r="C6" i="20"/>
  <c r="C11" i="18"/>
  <c r="C5" i="18"/>
  <c r="C7" i="13"/>
  <c r="E22" i="37"/>
  <c r="D8" i="20"/>
  <c r="C5" i="20"/>
  <c r="E42" i="37"/>
  <c r="D4" i="11"/>
  <c r="C9" i="11"/>
  <c r="C2" i="11"/>
  <c r="C3" i="18"/>
  <c r="C6" i="18"/>
  <c r="F23" i="37"/>
  <c r="E9" i="20"/>
  <c r="E45" i="37"/>
  <c r="D7" i="11"/>
  <c r="C5" i="12"/>
  <c r="C4" i="12"/>
  <c r="C9" i="12"/>
  <c r="C10" i="13"/>
  <c r="E64" i="37"/>
  <c r="D2" i="13"/>
  <c r="D9" i="18"/>
  <c r="E11" i="37"/>
  <c r="C4" i="18"/>
  <c r="C6" i="12"/>
  <c r="C11" i="12"/>
  <c r="C6" i="11"/>
  <c r="C7" i="12"/>
  <c r="C8" i="11"/>
  <c r="C6" i="13"/>
  <c r="E21" i="37"/>
  <c r="D7" i="20"/>
  <c r="C8" i="18"/>
  <c r="D5" i="26"/>
  <c r="C9" i="23"/>
  <c r="C2" i="27"/>
  <c r="C9" i="24"/>
  <c r="C2" i="26"/>
  <c r="C4" i="27"/>
  <c r="C6" i="25"/>
  <c r="C6" i="27"/>
  <c r="C7" i="27"/>
  <c r="C8" i="23"/>
  <c r="C3" i="27"/>
  <c r="D3" i="24"/>
  <c r="E17" i="38"/>
  <c r="C8" i="25"/>
  <c r="E4" i="38"/>
  <c r="D2" i="23"/>
  <c r="C3" i="26"/>
  <c r="C4" i="26"/>
  <c r="E8" i="38"/>
  <c r="E5" i="38"/>
  <c r="C10" i="27"/>
  <c r="C10" i="26"/>
  <c r="C11" i="26"/>
  <c r="C5" i="25"/>
  <c r="C11" i="27"/>
  <c r="D39" i="40"/>
  <c r="D40" i="40" s="1"/>
  <c r="C2" i="24"/>
  <c r="E6" i="38"/>
  <c r="D4" i="23"/>
  <c r="C10" i="25"/>
  <c r="C4" i="24"/>
  <c r="C5" i="27"/>
  <c r="C3" i="25"/>
  <c r="C7" i="25"/>
  <c r="C9" i="25"/>
  <c r="C7" i="23"/>
  <c r="C7" i="26"/>
  <c r="C11" i="23"/>
  <c r="C6" i="24"/>
  <c r="C7" i="24"/>
  <c r="C11" i="25"/>
  <c r="C9" i="26"/>
  <c r="C8" i="26"/>
  <c r="C5" i="23"/>
  <c r="C8" i="27"/>
  <c r="C10" i="24"/>
  <c r="C9" i="27"/>
  <c r="C8" i="24"/>
  <c r="C10" i="23"/>
  <c r="C11" i="24"/>
  <c r="C2" i="25"/>
  <c r="C6" i="26"/>
  <c r="C5" i="24"/>
  <c r="C4" i="25"/>
  <c r="E48" i="36" l="1"/>
  <c r="D10" i="15"/>
  <c r="E17" i="36"/>
  <c r="D3" i="14"/>
  <c r="E21" i="36"/>
  <c r="D7" i="14"/>
  <c r="E60" i="36"/>
  <c r="D10" i="16"/>
  <c r="E45" i="36"/>
  <c r="D7" i="15"/>
  <c r="E53" i="36"/>
  <c r="D3" i="16"/>
  <c r="E55" i="36"/>
  <c r="D5" i="16"/>
  <c r="D11" i="16"/>
  <c r="E61" i="36"/>
  <c r="E56" i="36"/>
  <c r="D6" i="16"/>
  <c r="F7" i="36"/>
  <c r="E5" i="21"/>
  <c r="E6" i="36"/>
  <c r="D4" i="21"/>
  <c r="E18" i="36"/>
  <c r="D4" i="14"/>
  <c r="E71" i="36"/>
  <c r="D9" i="17"/>
  <c r="E54" i="36"/>
  <c r="D4" i="16"/>
  <c r="E66" i="36"/>
  <c r="D4" i="17"/>
  <c r="E72" i="36"/>
  <c r="D10" i="17"/>
  <c r="E68" i="36"/>
  <c r="D6" i="17"/>
  <c r="E69" i="36"/>
  <c r="D7" i="17"/>
  <c r="E43" i="36"/>
  <c r="D5" i="15"/>
  <c r="E64" i="36"/>
  <c r="D2" i="17"/>
  <c r="E8" i="36"/>
  <c r="D6" i="21"/>
  <c r="E57" i="36"/>
  <c r="D7" i="16"/>
  <c r="E59" i="36"/>
  <c r="D9" i="16"/>
  <c r="E70" i="36"/>
  <c r="D8" i="17"/>
  <c r="E73" i="36"/>
  <c r="D11" i="17"/>
  <c r="E46" i="36"/>
  <c r="D8" i="15"/>
  <c r="E25" i="36"/>
  <c r="D11" i="14"/>
  <c r="F12" i="36"/>
  <c r="E10" i="21"/>
  <c r="E5" i="36"/>
  <c r="D3" i="21"/>
  <c r="E10" i="36"/>
  <c r="D8" i="21"/>
  <c r="E9" i="36"/>
  <c r="D7" i="21"/>
  <c r="E67" i="36"/>
  <c r="D5" i="17"/>
  <c r="D2" i="15"/>
  <c r="E40" i="36"/>
  <c r="E41" i="36"/>
  <c r="D3" i="15"/>
  <c r="E47" i="36"/>
  <c r="D9" i="15"/>
  <c r="E52" i="36"/>
  <c r="D2" i="16"/>
  <c r="E16" i="36"/>
  <c r="D2" i="14"/>
  <c r="E65" i="36"/>
  <c r="D3" i="17"/>
  <c r="E42" i="36"/>
  <c r="D4" i="15"/>
  <c r="E13" i="36"/>
  <c r="D11" i="21"/>
  <c r="E58" i="36"/>
  <c r="D8" i="16"/>
  <c r="E20" i="36"/>
  <c r="D6" i="14"/>
  <c r="E44" i="36"/>
  <c r="D6" i="15"/>
  <c r="E49" i="36"/>
  <c r="D11" i="15"/>
  <c r="E19" i="36"/>
  <c r="D5" i="14"/>
  <c r="D2" i="21"/>
  <c r="E24" i="36"/>
  <c r="D10" i="14"/>
  <c r="F11" i="36"/>
  <c r="E9" i="21"/>
  <c r="E23" i="36"/>
  <c r="D9" i="14"/>
  <c r="E22" i="36"/>
  <c r="D8" i="14"/>
  <c r="E55" i="37"/>
  <c r="D5" i="12"/>
  <c r="E47" i="37"/>
  <c r="D9" i="11"/>
  <c r="D11" i="18"/>
  <c r="E13" i="37"/>
  <c r="E52" i="37"/>
  <c r="D2" i="12"/>
  <c r="E16" i="37"/>
  <c r="D2" i="20"/>
  <c r="E9" i="18"/>
  <c r="F11" i="37"/>
  <c r="E43" i="37"/>
  <c r="D5" i="11"/>
  <c r="E6" i="37"/>
  <c r="D4" i="18"/>
  <c r="E46" i="37"/>
  <c r="D8" i="11"/>
  <c r="F42" i="37"/>
  <c r="E4" i="11"/>
  <c r="E20" i="37"/>
  <c r="D6" i="20"/>
  <c r="E48" i="37"/>
  <c r="D10" i="11"/>
  <c r="F65" i="37"/>
  <c r="E3" i="13"/>
  <c r="D5" i="13"/>
  <c r="E67" i="37"/>
  <c r="E12" i="37"/>
  <c r="D10" i="18"/>
  <c r="E41" i="37"/>
  <c r="D3" i="11"/>
  <c r="F64" i="37"/>
  <c r="E2" i="13"/>
  <c r="G23" i="37"/>
  <c r="F9" i="20"/>
  <c r="E19" i="37"/>
  <c r="D5" i="20"/>
  <c r="E71" i="37"/>
  <c r="D9" i="13"/>
  <c r="E68" i="37"/>
  <c r="D6" i="13"/>
  <c r="F45" i="37"/>
  <c r="E7" i="11"/>
  <c r="E8" i="37"/>
  <c r="D6" i="18"/>
  <c r="F22" i="37"/>
  <c r="E8" i="20"/>
  <c r="E58" i="37"/>
  <c r="D8" i="12"/>
  <c r="F25" i="37"/>
  <c r="E11" i="20"/>
  <c r="E18" i="37"/>
  <c r="D4" i="20"/>
  <c r="E70" i="37"/>
  <c r="D8" i="13"/>
  <c r="E57" i="37"/>
  <c r="D7" i="12"/>
  <c r="E44" i="37"/>
  <c r="D6" i="11"/>
  <c r="D3" i="18"/>
  <c r="E5" i="37"/>
  <c r="E66" i="37"/>
  <c r="D4" i="13"/>
  <c r="E4" i="37"/>
  <c r="D2" i="18"/>
  <c r="E49" i="37"/>
  <c r="D11" i="11"/>
  <c r="E59" i="37"/>
  <c r="D9" i="12"/>
  <c r="E69" i="37"/>
  <c r="D7" i="13"/>
  <c r="F73" i="37"/>
  <c r="E11" i="13"/>
  <c r="E10" i="37"/>
  <c r="D8" i="18"/>
  <c r="E61" i="37"/>
  <c r="D11" i="12"/>
  <c r="D5" i="18"/>
  <c r="E7" i="37"/>
  <c r="D7" i="18"/>
  <c r="E9" i="37"/>
  <c r="E60" i="37"/>
  <c r="D10" i="12"/>
  <c r="E72" i="37"/>
  <c r="D10" i="13"/>
  <c r="F21" i="37"/>
  <c r="E7" i="20"/>
  <c r="E56" i="37"/>
  <c r="D6" i="12"/>
  <c r="E54" i="37"/>
  <c r="D4" i="12"/>
  <c r="D2" i="11"/>
  <c r="E40" i="37"/>
  <c r="E24" i="37"/>
  <c r="D10" i="20"/>
  <c r="E53" i="37"/>
  <c r="D3" i="12"/>
  <c r="E17" i="37"/>
  <c r="D3" i="20"/>
  <c r="F17" i="38"/>
  <c r="E3" i="24"/>
  <c r="E45" i="38"/>
  <c r="D7" i="25"/>
  <c r="E70" i="38"/>
  <c r="D8" i="27"/>
  <c r="F8" i="38"/>
  <c r="E6" i="23"/>
  <c r="D10" i="24"/>
  <c r="E24" i="38"/>
  <c r="E7" i="38"/>
  <c r="D5" i="23"/>
  <c r="E73" i="38"/>
  <c r="D11" i="27"/>
  <c r="D3" i="27"/>
  <c r="E65" i="38"/>
  <c r="E52" i="38"/>
  <c r="D2" i="26"/>
  <c r="E43" i="38"/>
  <c r="D5" i="25"/>
  <c r="E10" i="38"/>
  <c r="D8" i="23"/>
  <c r="E23" i="38"/>
  <c r="D9" i="24"/>
  <c r="E56" i="38"/>
  <c r="D6" i="26"/>
  <c r="E40" i="38"/>
  <c r="D2" i="25"/>
  <c r="E57" i="38"/>
  <c r="D7" i="26"/>
  <c r="D4" i="26"/>
  <c r="E54" i="38"/>
  <c r="D3" i="25"/>
  <c r="E41" i="38"/>
  <c r="E61" i="38"/>
  <c r="D11" i="26"/>
  <c r="E20" i="38"/>
  <c r="D6" i="24"/>
  <c r="E13" i="38"/>
  <c r="D11" i="23"/>
  <c r="E12" i="38"/>
  <c r="D10" i="23"/>
  <c r="E53" i="38"/>
  <c r="D3" i="26"/>
  <c r="E69" i="38"/>
  <c r="D7" i="27"/>
  <c r="E64" i="38"/>
  <c r="D2" i="27"/>
  <c r="D5" i="27"/>
  <c r="E67" i="38"/>
  <c r="E18" i="38"/>
  <c r="D4" i="24"/>
  <c r="E42" i="38"/>
  <c r="D4" i="25"/>
  <c r="E22" i="38"/>
  <c r="D8" i="24"/>
  <c r="E59" i="38"/>
  <c r="D9" i="26"/>
  <c r="E9" i="38"/>
  <c r="D7" i="23"/>
  <c r="D10" i="25"/>
  <c r="E48" i="38"/>
  <c r="E66" i="38"/>
  <c r="D4" i="27"/>
  <c r="E19" i="38"/>
  <c r="D5" i="24"/>
  <c r="E60" i="38"/>
  <c r="D10" i="26"/>
  <c r="F4" i="38"/>
  <c r="E2" i="23"/>
  <c r="D6" i="27"/>
  <c r="E68" i="38"/>
  <c r="D9" i="23"/>
  <c r="E11" i="38"/>
  <c r="F5" i="38"/>
  <c r="E3" i="23"/>
  <c r="E49" i="38"/>
  <c r="D11" i="25"/>
  <c r="E47" i="38"/>
  <c r="D9" i="25"/>
  <c r="F6" i="38"/>
  <c r="E4" i="23"/>
  <c r="E44" i="38"/>
  <c r="D6" i="25"/>
  <c r="E25" i="38"/>
  <c r="D11" i="24"/>
  <c r="E58" i="38"/>
  <c r="D8" i="26"/>
  <c r="E71" i="38"/>
  <c r="D9" i="27"/>
  <c r="E21" i="38"/>
  <c r="D7" i="24"/>
  <c r="E16" i="38"/>
  <c r="D2" i="24"/>
  <c r="E72" i="38"/>
  <c r="D10" i="27"/>
  <c r="E46" i="38"/>
  <c r="D8" i="25"/>
  <c r="F55" i="38"/>
  <c r="E5" i="26"/>
  <c r="B69" i="1"/>
  <c r="F61" i="36" l="1"/>
  <c r="E11" i="16"/>
  <c r="G11" i="36"/>
  <c r="F9" i="21"/>
  <c r="F49" i="36"/>
  <c r="E11" i="15"/>
  <c r="F13" i="36"/>
  <c r="E11" i="21"/>
  <c r="F67" i="36"/>
  <c r="E5" i="17"/>
  <c r="G12" i="36"/>
  <c r="F10" i="21"/>
  <c r="F70" i="36"/>
  <c r="E8" i="17"/>
  <c r="F64" i="36"/>
  <c r="E2" i="17"/>
  <c r="F72" i="36"/>
  <c r="E10" i="17"/>
  <c r="F18" i="36"/>
  <c r="E4" i="14"/>
  <c r="F60" i="36"/>
  <c r="E10" i="16"/>
  <c r="F52" i="36"/>
  <c r="E2" i="16"/>
  <c r="F24" i="36"/>
  <c r="E10" i="14"/>
  <c r="F42" i="36"/>
  <c r="E4" i="15"/>
  <c r="F47" i="36"/>
  <c r="E9" i="15"/>
  <c r="F9" i="36"/>
  <c r="E7" i="21"/>
  <c r="F25" i="36"/>
  <c r="E11" i="14"/>
  <c r="F59" i="36"/>
  <c r="E9" i="16"/>
  <c r="F43" i="36"/>
  <c r="E5" i="15"/>
  <c r="F66" i="36"/>
  <c r="E4" i="17"/>
  <c r="F6" i="36"/>
  <c r="E4" i="21"/>
  <c r="F55" i="36"/>
  <c r="E5" i="16"/>
  <c r="F21" i="36"/>
  <c r="E7" i="14"/>
  <c r="F44" i="36"/>
  <c r="E6" i="15"/>
  <c r="F22" i="36"/>
  <c r="E8" i="14"/>
  <c r="F4" i="36"/>
  <c r="E2" i="21"/>
  <c r="F20" i="36"/>
  <c r="E6" i="14"/>
  <c r="F65" i="36"/>
  <c r="E3" i="17"/>
  <c r="F41" i="36"/>
  <c r="E3" i="15"/>
  <c r="F10" i="36"/>
  <c r="E8" i="21"/>
  <c r="F46" i="36"/>
  <c r="E8" i="15"/>
  <c r="F57" i="36"/>
  <c r="E7" i="16"/>
  <c r="F69" i="36"/>
  <c r="E7" i="17"/>
  <c r="F54" i="36"/>
  <c r="E4" i="16"/>
  <c r="G7" i="36"/>
  <c r="F5" i="21"/>
  <c r="F53" i="36"/>
  <c r="E3" i="16"/>
  <c r="F17" i="36"/>
  <c r="E3" i="14"/>
  <c r="F40" i="36"/>
  <c r="E2" i="15"/>
  <c r="F23" i="36"/>
  <c r="E9" i="14"/>
  <c r="F19" i="36"/>
  <c r="E5" i="14"/>
  <c r="F58" i="36"/>
  <c r="E8" i="16"/>
  <c r="F16" i="36"/>
  <c r="E2" i="14"/>
  <c r="F5" i="36"/>
  <c r="E3" i="21"/>
  <c r="F73" i="36"/>
  <c r="E11" i="17"/>
  <c r="F8" i="36"/>
  <c r="E6" i="21"/>
  <c r="F68" i="36"/>
  <c r="E6" i="17"/>
  <c r="F71" i="36"/>
  <c r="E9" i="17"/>
  <c r="F56" i="36"/>
  <c r="E6" i="16"/>
  <c r="F45" i="36"/>
  <c r="E7" i="15"/>
  <c r="F48" i="36"/>
  <c r="E10" i="15"/>
  <c r="F69" i="37"/>
  <c r="E7" i="13"/>
  <c r="F44" i="37"/>
  <c r="E6" i="11"/>
  <c r="G22" i="37"/>
  <c r="F8" i="20"/>
  <c r="H23" i="37"/>
  <c r="G9" i="20"/>
  <c r="F48" i="37"/>
  <c r="E10" i="11"/>
  <c r="F9" i="37"/>
  <c r="E7" i="18"/>
  <c r="F57" i="37"/>
  <c r="E7" i="12"/>
  <c r="F8" i="37"/>
  <c r="E6" i="18"/>
  <c r="G64" i="37"/>
  <c r="F2" i="13"/>
  <c r="F20" i="37"/>
  <c r="E6" i="20"/>
  <c r="F16" i="37"/>
  <c r="E2" i="20"/>
  <c r="F40" i="37"/>
  <c r="E2" i="11"/>
  <c r="E5" i="18"/>
  <c r="F7" i="37"/>
  <c r="F60" i="37"/>
  <c r="E10" i="12"/>
  <c r="F70" i="37"/>
  <c r="E8" i="13"/>
  <c r="G45" i="37"/>
  <c r="F7" i="11"/>
  <c r="F41" i="37"/>
  <c r="E3" i="11"/>
  <c r="G42" i="37"/>
  <c r="F4" i="11"/>
  <c r="F52" i="37"/>
  <c r="E2" i="12"/>
  <c r="F13" i="37"/>
  <c r="E11" i="18"/>
  <c r="F56" i="37"/>
  <c r="E6" i="12"/>
  <c r="F4" i="37"/>
  <c r="E2" i="18"/>
  <c r="F18" i="37"/>
  <c r="E4" i="20"/>
  <c r="F68" i="37"/>
  <c r="E6" i="13"/>
  <c r="F12" i="37"/>
  <c r="E10" i="18"/>
  <c r="F46" i="37"/>
  <c r="E8" i="11"/>
  <c r="F49" i="37"/>
  <c r="E11" i="11"/>
  <c r="F61" i="37"/>
  <c r="E11" i="12"/>
  <c r="F67" i="37"/>
  <c r="E5" i="13"/>
  <c r="G11" i="37"/>
  <c r="F9" i="18"/>
  <c r="F59" i="37"/>
  <c r="E9" i="12"/>
  <c r="F54" i="37"/>
  <c r="E4" i="12"/>
  <c r="G21" i="37"/>
  <c r="F7" i="20"/>
  <c r="F10" i="37"/>
  <c r="E8" i="18"/>
  <c r="F66" i="37"/>
  <c r="E4" i="13"/>
  <c r="G25" i="37"/>
  <c r="F11" i="20"/>
  <c r="F71" i="37"/>
  <c r="E9" i="13"/>
  <c r="F6" i="37"/>
  <c r="E4" i="18"/>
  <c r="F47" i="37"/>
  <c r="E9" i="11"/>
  <c r="F17" i="37"/>
  <c r="E3" i="20"/>
  <c r="F5" i="37"/>
  <c r="E3" i="18"/>
  <c r="F24" i="37"/>
  <c r="E10" i="20"/>
  <c r="F53" i="37"/>
  <c r="E3" i="12"/>
  <c r="F72" i="37"/>
  <c r="E10" i="13"/>
  <c r="G73" i="37"/>
  <c r="F11" i="13"/>
  <c r="F58" i="37"/>
  <c r="E8" i="12"/>
  <c r="F19" i="37"/>
  <c r="E5" i="20"/>
  <c r="G65" i="37"/>
  <c r="F3" i="13"/>
  <c r="F43" i="37"/>
  <c r="E5" i="11"/>
  <c r="F55" i="37"/>
  <c r="E5" i="12"/>
  <c r="E9" i="24"/>
  <c r="F23" i="38"/>
  <c r="F7" i="38"/>
  <c r="E5" i="23"/>
  <c r="F41" i="38"/>
  <c r="E3" i="25"/>
  <c r="F24" i="38"/>
  <c r="E10" i="24"/>
  <c r="F16" i="38"/>
  <c r="E2" i="24"/>
  <c r="F10" i="38"/>
  <c r="E8" i="23"/>
  <c r="F9" i="38"/>
  <c r="E7" i="23"/>
  <c r="F54" i="38"/>
  <c r="E4" i="26"/>
  <c r="F61" i="38"/>
  <c r="E11" i="26"/>
  <c r="G6" i="38"/>
  <c r="F4" i="23"/>
  <c r="F60" i="38"/>
  <c r="E10" i="26"/>
  <c r="F53" i="38"/>
  <c r="E3" i="26"/>
  <c r="E5" i="25"/>
  <c r="F43" i="38"/>
  <c r="G8" i="38"/>
  <c r="F6" i="23"/>
  <c r="G4" i="38"/>
  <c r="F2" i="23"/>
  <c r="E6" i="25"/>
  <c r="F44" i="38"/>
  <c r="F47" i="38"/>
  <c r="E9" i="25"/>
  <c r="E5" i="24"/>
  <c r="F19" i="38"/>
  <c r="F42" i="38"/>
  <c r="E4" i="25"/>
  <c r="F12" i="38"/>
  <c r="E10" i="23"/>
  <c r="F57" i="38"/>
  <c r="E7" i="26"/>
  <c r="F52" i="38"/>
  <c r="E2" i="26"/>
  <c r="F70" i="38"/>
  <c r="E8" i="27"/>
  <c r="F68" i="38"/>
  <c r="E6" i="27"/>
  <c r="F65" i="38"/>
  <c r="E3" i="27"/>
  <c r="F59" i="38"/>
  <c r="E9" i="26"/>
  <c r="F21" i="38"/>
  <c r="E7" i="24"/>
  <c r="F58" i="38"/>
  <c r="E8" i="26"/>
  <c r="F18" i="38"/>
  <c r="E4" i="24"/>
  <c r="F13" i="38"/>
  <c r="E11" i="23"/>
  <c r="F40" i="38"/>
  <c r="E2" i="25"/>
  <c r="F45" i="38"/>
  <c r="E7" i="25"/>
  <c r="F72" i="38"/>
  <c r="E10" i="27"/>
  <c r="F69" i="38"/>
  <c r="E7" i="27"/>
  <c r="F71" i="38"/>
  <c r="E9" i="27"/>
  <c r="G55" i="38"/>
  <c r="F5" i="26"/>
  <c r="G5" i="38"/>
  <c r="F3" i="23"/>
  <c r="F11" i="38"/>
  <c r="E9" i="23"/>
  <c r="F48" i="38"/>
  <c r="E10" i="25"/>
  <c r="F67" i="38"/>
  <c r="E5" i="27"/>
  <c r="F64" i="38"/>
  <c r="E2" i="27"/>
  <c r="F22" i="38"/>
  <c r="E8" i="24"/>
  <c r="F49" i="38"/>
  <c r="E11" i="25"/>
  <c r="F66" i="38"/>
  <c r="E4" i="27"/>
  <c r="E8" i="25"/>
  <c r="F46" i="38"/>
  <c r="F25" i="38"/>
  <c r="E11" i="24"/>
  <c r="F20" i="38"/>
  <c r="E6" i="24"/>
  <c r="F56" i="38"/>
  <c r="E6" i="26"/>
  <c r="E11" i="27"/>
  <c r="F73" i="38"/>
  <c r="G17" i="38"/>
  <c r="F3" i="24"/>
  <c r="A66" i="1"/>
  <c r="G56" i="36" l="1"/>
  <c r="F6" i="16"/>
  <c r="G73" i="36"/>
  <c r="F11" i="17"/>
  <c r="G19" i="36"/>
  <c r="F5" i="14"/>
  <c r="G53" i="36"/>
  <c r="F3" i="16"/>
  <c r="G57" i="36"/>
  <c r="F7" i="16"/>
  <c r="G65" i="36"/>
  <c r="F3" i="17"/>
  <c r="G44" i="36"/>
  <c r="F6" i="15"/>
  <c r="G66" i="36"/>
  <c r="F4" i="17"/>
  <c r="G9" i="36"/>
  <c r="F7" i="21"/>
  <c r="G52" i="36"/>
  <c r="F2" i="16"/>
  <c r="G64" i="36"/>
  <c r="F2" i="17"/>
  <c r="G13" i="36"/>
  <c r="F11" i="21"/>
  <c r="G71" i="36"/>
  <c r="F9" i="17"/>
  <c r="G5" i="36"/>
  <c r="F3" i="21"/>
  <c r="G23" i="36"/>
  <c r="F9" i="14"/>
  <c r="H7" i="36"/>
  <c r="G5" i="21"/>
  <c r="G46" i="36"/>
  <c r="F8" i="15"/>
  <c r="G20" i="36"/>
  <c r="F6" i="14"/>
  <c r="G21" i="36"/>
  <c r="F7" i="14"/>
  <c r="G43" i="36"/>
  <c r="F5" i="15"/>
  <c r="G47" i="36"/>
  <c r="F9" i="15"/>
  <c r="G60" i="36"/>
  <c r="F10" i="16"/>
  <c r="G70" i="36"/>
  <c r="F8" i="17"/>
  <c r="G49" i="36"/>
  <c r="F11" i="15"/>
  <c r="G48" i="36"/>
  <c r="F10" i="15"/>
  <c r="G68" i="36"/>
  <c r="F6" i="17"/>
  <c r="G16" i="36"/>
  <c r="F2" i="14"/>
  <c r="G40" i="36"/>
  <c r="F2" i="15"/>
  <c r="G54" i="36"/>
  <c r="F4" i="16"/>
  <c r="G10" i="36"/>
  <c r="F8" i="21"/>
  <c r="G4" i="36"/>
  <c r="F2" i="21"/>
  <c r="G55" i="36"/>
  <c r="F5" i="16"/>
  <c r="G59" i="36"/>
  <c r="F9" i="16"/>
  <c r="G42" i="36"/>
  <c r="F4" i="15"/>
  <c r="G18" i="36"/>
  <c r="F4" i="14"/>
  <c r="H12" i="36"/>
  <c r="G10" i="21"/>
  <c r="H11" i="36"/>
  <c r="G9" i="21"/>
  <c r="G45" i="36"/>
  <c r="F7" i="15"/>
  <c r="G8" i="36"/>
  <c r="F6" i="21"/>
  <c r="G58" i="36"/>
  <c r="F8" i="16"/>
  <c r="G17" i="36"/>
  <c r="F3" i="14"/>
  <c r="G69" i="36"/>
  <c r="F7" i="17"/>
  <c r="G41" i="36"/>
  <c r="F3" i="15"/>
  <c r="G22" i="36"/>
  <c r="F8" i="14"/>
  <c r="G6" i="36"/>
  <c r="F4" i="21"/>
  <c r="G25" i="36"/>
  <c r="F11" i="14"/>
  <c r="G24" i="36"/>
  <c r="F10" i="14"/>
  <c r="G72" i="36"/>
  <c r="F10" i="17"/>
  <c r="G67" i="36"/>
  <c r="F5" i="17"/>
  <c r="G61" i="36"/>
  <c r="F11" i="16"/>
  <c r="G9" i="37"/>
  <c r="F7" i="18"/>
  <c r="G19" i="37"/>
  <c r="F5" i="20"/>
  <c r="G5" i="37"/>
  <c r="F3" i="18"/>
  <c r="G66" i="37"/>
  <c r="F4" i="13"/>
  <c r="G67" i="37"/>
  <c r="F5" i="13"/>
  <c r="G18" i="37"/>
  <c r="F4" i="20"/>
  <c r="G41" i="37"/>
  <c r="F3" i="11"/>
  <c r="G16" i="37"/>
  <c r="F2" i="20"/>
  <c r="G48" i="37"/>
  <c r="F10" i="11"/>
  <c r="H65" i="37"/>
  <c r="G3" i="13"/>
  <c r="G24" i="37"/>
  <c r="F10" i="20"/>
  <c r="G58" i="37"/>
  <c r="F8" i="12"/>
  <c r="G17" i="37"/>
  <c r="F3" i="20"/>
  <c r="G10" i="37"/>
  <c r="F8" i="18"/>
  <c r="G61" i="37"/>
  <c r="F11" i="12"/>
  <c r="G4" i="37"/>
  <c r="F2" i="18"/>
  <c r="H45" i="37"/>
  <c r="G7" i="11"/>
  <c r="G20" i="37"/>
  <c r="F6" i="20"/>
  <c r="I23" i="37"/>
  <c r="H9" i="20"/>
  <c r="H25" i="37"/>
  <c r="G11" i="20"/>
  <c r="G68" i="37"/>
  <c r="F6" i="13"/>
  <c r="H73" i="37"/>
  <c r="G11" i="13"/>
  <c r="G47" i="37"/>
  <c r="F9" i="11"/>
  <c r="H21" i="37"/>
  <c r="G7" i="20"/>
  <c r="G49" i="37"/>
  <c r="F11" i="11"/>
  <c r="G56" i="37"/>
  <c r="F6" i="12"/>
  <c r="G70" i="37"/>
  <c r="F8" i="13"/>
  <c r="H64" i="37"/>
  <c r="G2" i="13"/>
  <c r="H22" i="37"/>
  <c r="G8" i="20"/>
  <c r="G40" i="37"/>
  <c r="F2" i="11"/>
  <c r="G55" i="37"/>
  <c r="F5" i="12"/>
  <c r="G72" i="37"/>
  <c r="F10" i="13"/>
  <c r="G6" i="37"/>
  <c r="F4" i="18"/>
  <c r="G54" i="37"/>
  <c r="F4" i="12"/>
  <c r="G46" i="37"/>
  <c r="F8" i="11"/>
  <c r="G13" i="37"/>
  <c r="F11" i="18"/>
  <c r="G60" i="37"/>
  <c r="F10" i="12"/>
  <c r="G8" i="37"/>
  <c r="F6" i="18"/>
  <c r="G44" i="37"/>
  <c r="F6" i="11"/>
  <c r="H11" i="37"/>
  <c r="G9" i="18"/>
  <c r="G7" i="37"/>
  <c r="F5" i="18"/>
  <c r="H42" i="37"/>
  <c r="G4" i="11"/>
  <c r="G43" i="37"/>
  <c r="F5" i="11"/>
  <c r="G53" i="37"/>
  <c r="F3" i="12"/>
  <c r="G71" i="37"/>
  <c r="F9" i="13"/>
  <c r="G59" i="37"/>
  <c r="F9" i="12"/>
  <c r="G12" i="37"/>
  <c r="F10" i="18"/>
  <c r="G52" i="37"/>
  <c r="F2" i="12"/>
  <c r="G57" i="37"/>
  <c r="F7" i="12"/>
  <c r="G69" i="37"/>
  <c r="F7" i="13"/>
  <c r="G19" i="38"/>
  <c r="F5" i="24"/>
  <c r="G53" i="38"/>
  <c r="F3" i="26"/>
  <c r="F6" i="26"/>
  <c r="G56" i="38"/>
  <c r="G13" i="38"/>
  <c r="F11" i="23"/>
  <c r="G71" i="38"/>
  <c r="F9" i="27"/>
  <c r="G18" i="38"/>
  <c r="F4" i="24"/>
  <c r="G70" i="38"/>
  <c r="F8" i="27"/>
  <c r="F9" i="25"/>
  <c r="G47" i="38"/>
  <c r="G60" i="38"/>
  <c r="F10" i="26"/>
  <c r="G16" i="38"/>
  <c r="F2" i="24"/>
  <c r="G44" i="38"/>
  <c r="F6" i="25"/>
  <c r="G67" i="38"/>
  <c r="F5" i="27"/>
  <c r="G69" i="38"/>
  <c r="F7" i="27"/>
  <c r="G58" i="38"/>
  <c r="F8" i="26"/>
  <c r="F2" i="26"/>
  <c r="G52" i="38"/>
  <c r="H6" i="38"/>
  <c r="G4" i="23"/>
  <c r="F10" i="24"/>
  <c r="G24" i="38"/>
  <c r="H55" i="38"/>
  <c r="G5" i="26"/>
  <c r="G64" i="38"/>
  <c r="F2" i="27"/>
  <c r="G72" i="38"/>
  <c r="F10" i="27"/>
  <c r="G21" i="38"/>
  <c r="F7" i="24"/>
  <c r="G57" i="38"/>
  <c r="F7" i="26"/>
  <c r="H4" i="38"/>
  <c r="G2" i="23"/>
  <c r="G61" i="38"/>
  <c r="F11" i="26"/>
  <c r="G41" i="38"/>
  <c r="F3" i="25"/>
  <c r="G22" i="38"/>
  <c r="F8" i="24"/>
  <c r="G48" i="38"/>
  <c r="F10" i="25"/>
  <c r="G11" i="38"/>
  <c r="F9" i="23"/>
  <c r="G45" i="38"/>
  <c r="F7" i="25"/>
  <c r="F9" i="26"/>
  <c r="G59" i="38"/>
  <c r="G12" i="38"/>
  <c r="F10" i="23"/>
  <c r="H8" i="38"/>
  <c r="G6" i="23"/>
  <c r="G54" i="38"/>
  <c r="F4" i="26"/>
  <c r="G7" i="38"/>
  <c r="F5" i="23"/>
  <c r="G10" i="38"/>
  <c r="F8" i="23"/>
  <c r="G46" i="38"/>
  <c r="F8" i="25"/>
  <c r="H17" i="38"/>
  <c r="G3" i="24"/>
  <c r="G73" i="38"/>
  <c r="F11" i="27"/>
  <c r="G43" i="38"/>
  <c r="F5" i="25"/>
  <c r="F9" i="24"/>
  <c r="G23" i="38"/>
  <c r="G68" i="38"/>
  <c r="F6" i="27"/>
  <c r="G20" i="38"/>
  <c r="F6" i="24"/>
  <c r="G25" i="38"/>
  <c r="F11" i="24"/>
  <c r="G66" i="38"/>
  <c r="F4" i="27"/>
  <c r="G49" i="38"/>
  <c r="F11" i="25"/>
  <c r="H5" i="38"/>
  <c r="G3" i="23"/>
  <c r="G40" i="38"/>
  <c r="F2" i="25"/>
  <c r="G65" i="38"/>
  <c r="F3" i="27"/>
  <c r="G42" i="38"/>
  <c r="F4" i="25"/>
  <c r="G9" i="38"/>
  <c r="F7" i="23"/>
  <c r="A67" i="1"/>
  <c r="H22" i="36" l="1"/>
  <c r="G8" i="14"/>
  <c r="H58" i="36"/>
  <c r="G8" i="16"/>
  <c r="H10" i="21"/>
  <c r="I12" i="36"/>
  <c r="H55" i="36"/>
  <c r="G5" i="16"/>
  <c r="H40" i="36"/>
  <c r="G2" i="15"/>
  <c r="H49" i="36"/>
  <c r="G11" i="15"/>
  <c r="H43" i="36"/>
  <c r="G5" i="15"/>
  <c r="I7" i="36"/>
  <c r="H5" i="21"/>
  <c r="H13" i="36"/>
  <c r="G11" i="21"/>
  <c r="H66" i="36"/>
  <c r="G4" i="17"/>
  <c r="H53" i="36"/>
  <c r="G3" i="16"/>
  <c r="H72" i="36"/>
  <c r="G10" i="17"/>
  <c r="H24" i="36"/>
  <c r="G10" i="14"/>
  <c r="H41" i="36"/>
  <c r="G3" i="15"/>
  <c r="H8" i="36"/>
  <c r="G6" i="21"/>
  <c r="H18" i="36"/>
  <c r="G4" i="14"/>
  <c r="H4" i="36"/>
  <c r="G2" i="21"/>
  <c r="H16" i="36"/>
  <c r="G2" i="14"/>
  <c r="H70" i="36"/>
  <c r="G8" i="17"/>
  <c r="H21" i="36"/>
  <c r="G7" i="14"/>
  <c r="H23" i="36"/>
  <c r="G9" i="14"/>
  <c r="H64" i="36"/>
  <c r="G2" i="17"/>
  <c r="H44" i="36"/>
  <c r="G6" i="15"/>
  <c r="H19" i="36"/>
  <c r="G5" i="14"/>
  <c r="H61" i="36"/>
  <c r="G11" i="16"/>
  <c r="H25" i="36"/>
  <c r="G11" i="14"/>
  <c r="H69" i="36"/>
  <c r="G7" i="17"/>
  <c r="H45" i="36"/>
  <c r="G7" i="15"/>
  <c r="H42" i="36"/>
  <c r="G4" i="15"/>
  <c r="H10" i="36"/>
  <c r="G8" i="21"/>
  <c r="H68" i="36"/>
  <c r="G6" i="17"/>
  <c r="H60" i="36"/>
  <c r="G10" i="16"/>
  <c r="H20" i="36"/>
  <c r="G6" i="14"/>
  <c r="H5" i="36"/>
  <c r="G3" i="21"/>
  <c r="H52" i="36"/>
  <c r="G2" i="16"/>
  <c r="H65" i="36"/>
  <c r="G3" i="17"/>
  <c r="H73" i="36"/>
  <c r="G11" i="17"/>
  <c r="H67" i="36"/>
  <c r="G5" i="17"/>
  <c r="H6" i="36"/>
  <c r="G4" i="21"/>
  <c r="H17" i="36"/>
  <c r="G3" i="14"/>
  <c r="I11" i="36"/>
  <c r="H9" i="21"/>
  <c r="H59" i="36"/>
  <c r="G9" i="16"/>
  <c r="H54" i="36"/>
  <c r="G4" i="16"/>
  <c r="H48" i="36"/>
  <c r="G10" i="15"/>
  <c r="H47" i="36"/>
  <c r="G9" i="15"/>
  <c r="H46" i="36"/>
  <c r="G8" i="15"/>
  <c r="H71" i="36"/>
  <c r="G9" i="17"/>
  <c r="H9" i="36"/>
  <c r="G7" i="21"/>
  <c r="H57" i="36"/>
  <c r="G7" i="16"/>
  <c r="H56" i="36"/>
  <c r="G6" i="16"/>
  <c r="H40" i="37"/>
  <c r="G2" i="11"/>
  <c r="I21" i="37"/>
  <c r="H7" i="20"/>
  <c r="H20" i="37"/>
  <c r="G6" i="20"/>
  <c r="H58" i="37"/>
  <c r="G8" i="12"/>
  <c r="H18" i="37"/>
  <c r="G4" i="20"/>
  <c r="H46" i="37"/>
  <c r="G8" i="11"/>
  <c r="I22" i="37"/>
  <c r="H8" i="20"/>
  <c r="H47" i="37"/>
  <c r="G9" i="11"/>
  <c r="I45" i="37"/>
  <c r="H7" i="11"/>
  <c r="H24" i="37"/>
  <c r="G10" i="20"/>
  <c r="H67" i="37"/>
  <c r="G5" i="13"/>
  <c r="H54" i="37"/>
  <c r="G4" i="12"/>
  <c r="I64" i="37"/>
  <c r="H2" i="13"/>
  <c r="I73" i="37"/>
  <c r="H11" i="13"/>
  <c r="H4" i="37"/>
  <c r="G2" i="18"/>
  <c r="I65" i="37"/>
  <c r="H3" i="13"/>
  <c r="H66" i="37"/>
  <c r="G4" i="13"/>
  <c r="H13" i="37"/>
  <c r="G11" i="18"/>
  <c r="H7" i="37"/>
  <c r="G5" i="18"/>
  <c r="H71" i="37"/>
  <c r="G9" i="13"/>
  <c r="H44" i="37"/>
  <c r="G6" i="11"/>
  <c r="H6" i="37"/>
  <c r="G4" i="18"/>
  <c r="H70" i="37"/>
  <c r="G8" i="13"/>
  <c r="H68" i="37"/>
  <c r="G6" i="13"/>
  <c r="H61" i="37"/>
  <c r="G11" i="12"/>
  <c r="H48" i="37"/>
  <c r="G10" i="11"/>
  <c r="H5" i="37"/>
  <c r="G3" i="18"/>
  <c r="I42" i="37"/>
  <c r="H4" i="11"/>
  <c r="I11" i="37"/>
  <c r="H9" i="18"/>
  <c r="H53" i="37"/>
  <c r="G3" i="12"/>
  <c r="H56" i="37"/>
  <c r="G6" i="12"/>
  <c r="I25" i="37"/>
  <c r="H11" i="20"/>
  <c r="H10" i="37"/>
  <c r="G8" i="18"/>
  <c r="H16" i="37"/>
  <c r="G2" i="20"/>
  <c r="H19" i="37"/>
  <c r="G5" i="20"/>
  <c r="H52" i="37"/>
  <c r="G2" i="12"/>
  <c r="H12" i="37"/>
  <c r="G10" i="18"/>
  <c r="H59" i="37"/>
  <c r="G9" i="12"/>
  <c r="H69" i="37"/>
  <c r="G7" i="13"/>
  <c r="H8" i="37"/>
  <c r="G6" i="18"/>
  <c r="H72" i="37"/>
  <c r="G10" i="13"/>
  <c r="H57" i="37"/>
  <c r="G7" i="12"/>
  <c r="H43" i="37"/>
  <c r="G5" i="11"/>
  <c r="H60" i="37"/>
  <c r="G10" i="12"/>
  <c r="H55" i="37"/>
  <c r="G5" i="12"/>
  <c r="H49" i="37"/>
  <c r="G11" i="11"/>
  <c r="J23" i="37"/>
  <c r="I9" i="20"/>
  <c r="H17" i="37"/>
  <c r="G3" i="20"/>
  <c r="H41" i="37"/>
  <c r="G3" i="11"/>
  <c r="H9" i="37"/>
  <c r="G7" i="18"/>
  <c r="H61" i="38"/>
  <c r="G11" i="26"/>
  <c r="I55" i="38"/>
  <c r="H5" i="26"/>
  <c r="H67" i="38"/>
  <c r="G5" i="27"/>
  <c r="H18" i="38"/>
  <c r="G4" i="24"/>
  <c r="H24" i="38"/>
  <c r="G10" i="24"/>
  <c r="H59" i="38"/>
  <c r="G9" i="26"/>
  <c r="H10" i="38"/>
  <c r="G8" i="23"/>
  <c r="H45" i="38"/>
  <c r="G7" i="25"/>
  <c r="I4" i="38"/>
  <c r="H2" i="23"/>
  <c r="H44" i="38"/>
  <c r="G6" i="25"/>
  <c r="H71" i="38"/>
  <c r="G9" i="27"/>
  <c r="H65" i="38"/>
  <c r="G3" i="27"/>
  <c r="H23" i="38"/>
  <c r="G9" i="24"/>
  <c r="I5" i="38"/>
  <c r="H3" i="23"/>
  <c r="H7" i="38"/>
  <c r="G5" i="23"/>
  <c r="H11" i="38"/>
  <c r="G9" i="23"/>
  <c r="H57" i="38"/>
  <c r="G7" i="26"/>
  <c r="I6" i="38"/>
  <c r="H4" i="23"/>
  <c r="H16" i="38"/>
  <c r="G2" i="24"/>
  <c r="H13" i="38"/>
  <c r="G11" i="23"/>
  <c r="H40" i="38"/>
  <c r="G2" i="25"/>
  <c r="H52" i="38"/>
  <c r="G2" i="26"/>
  <c r="H56" i="38"/>
  <c r="G6" i="26"/>
  <c r="H49" i="38"/>
  <c r="G11" i="25"/>
  <c r="H43" i="38"/>
  <c r="G5" i="25"/>
  <c r="H54" i="38"/>
  <c r="G4" i="26"/>
  <c r="H48" i="38"/>
  <c r="G10" i="25"/>
  <c r="H21" i="38"/>
  <c r="G7" i="24"/>
  <c r="H60" i="38"/>
  <c r="G10" i="26"/>
  <c r="H20" i="38"/>
  <c r="G6" i="24"/>
  <c r="G9" i="25"/>
  <c r="H47" i="38"/>
  <c r="H46" i="38"/>
  <c r="G8" i="25"/>
  <c r="H66" i="38"/>
  <c r="G4" i="27"/>
  <c r="H73" i="38"/>
  <c r="G11" i="27"/>
  <c r="I8" i="38"/>
  <c r="H6" i="23"/>
  <c r="H22" i="38"/>
  <c r="G8" i="24"/>
  <c r="H72" i="38"/>
  <c r="G10" i="27"/>
  <c r="H58" i="38"/>
  <c r="G8" i="26"/>
  <c r="H53" i="38"/>
  <c r="G3" i="26"/>
  <c r="H68" i="38"/>
  <c r="G6" i="27"/>
  <c r="H9" i="38"/>
  <c r="G7" i="23"/>
  <c r="H42" i="38"/>
  <c r="G4" i="25"/>
  <c r="H25" i="38"/>
  <c r="G11" i="24"/>
  <c r="I17" i="38"/>
  <c r="H3" i="24"/>
  <c r="H12" i="38"/>
  <c r="G10" i="23"/>
  <c r="H41" i="38"/>
  <c r="G3" i="25"/>
  <c r="H64" i="38"/>
  <c r="G2" i="27"/>
  <c r="H69" i="38"/>
  <c r="G7" i="27"/>
  <c r="H70" i="38"/>
  <c r="G8" i="27"/>
  <c r="H19" i="38"/>
  <c r="G5" i="24"/>
  <c r="I48" i="36" l="1"/>
  <c r="H10" i="15"/>
  <c r="I17" i="36"/>
  <c r="H3" i="14"/>
  <c r="I65" i="36"/>
  <c r="H3" i="17"/>
  <c r="I60" i="36"/>
  <c r="H10" i="16"/>
  <c r="I45" i="36"/>
  <c r="H7" i="15"/>
  <c r="I19" i="36"/>
  <c r="H5" i="14"/>
  <c r="I21" i="36"/>
  <c r="H7" i="14"/>
  <c r="I18" i="36"/>
  <c r="H4" i="14"/>
  <c r="I72" i="36"/>
  <c r="H10" i="17"/>
  <c r="J7" i="36"/>
  <c r="I5" i="21"/>
  <c r="I55" i="36"/>
  <c r="H5" i="16"/>
  <c r="I9" i="36"/>
  <c r="H7" i="21"/>
  <c r="J12" i="36"/>
  <c r="I10" i="21"/>
  <c r="I71" i="36"/>
  <c r="H9" i="17"/>
  <c r="I54" i="36"/>
  <c r="H4" i="16"/>
  <c r="I6" i="36"/>
  <c r="H4" i="21"/>
  <c r="I52" i="36"/>
  <c r="H2" i="16"/>
  <c r="I68" i="36"/>
  <c r="H6" i="17"/>
  <c r="I69" i="36"/>
  <c r="H7" i="17"/>
  <c r="I44" i="36"/>
  <c r="H6" i="15"/>
  <c r="I70" i="36"/>
  <c r="H8" i="17"/>
  <c r="I8" i="36"/>
  <c r="H6" i="21"/>
  <c r="I53" i="36"/>
  <c r="H3" i="16"/>
  <c r="I43" i="36"/>
  <c r="H5" i="15"/>
  <c r="I56" i="36"/>
  <c r="H6" i="16"/>
  <c r="I46" i="36"/>
  <c r="H8" i="15"/>
  <c r="I59" i="36"/>
  <c r="H9" i="16"/>
  <c r="I67" i="36"/>
  <c r="H5" i="17"/>
  <c r="I5" i="36"/>
  <c r="H3" i="21"/>
  <c r="I10" i="36"/>
  <c r="H8" i="21"/>
  <c r="I25" i="36"/>
  <c r="H11" i="14"/>
  <c r="I64" i="36"/>
  <c r="H2" i="17"/>
  <c r="I16" i="36"/>
  <c r="H2" i="14"/>
  <c r="I41" i="36"/>
  <c r="H3" i="15"/>
  <c r="I66" i="36"/>
  <c r="H4" i="17"/>
  <c r="I49" i="36"/>
  <c r="H11" i="15"/>
  <c r="I58" i="36"/>
  <c r="H8" i="16"/>
  <c r="I57" i="36"/>
  <c r="H7" i="16"/>
  <c r="I47" i="36"/>
  <c r="H9" i="15"/>
  <c r="J11" i="36"/>
  <c r="I9" i="21"/>
  <c r="I73" i="36"/>
  <c r="H11" i="17"/>
  <c r="I20" i="36"/>
  <c r="H6" i="14"/>
  <c r="I42" i="36"/>
  <c r="H4" i="15"/>
  <c r="I61" i="36"/>
  <c r="H11" i="16"/>
  <c r="I23" i="36"/>
  <c r="H9" i="14"/>
  <c r="I4" i="36"/>
  <c r="H2" i="21"/>
  <c r="I24" i="36"/>
  <c r="H10" i="14"/>
  <c r="I13" i="36"/>
  <c r="H11" i="21"/>
  <c r="I40" i="36"/>
  <c r="H2" i="15"/>
  <c r="I22" i="36"/>
  <c r="H8" i="14"/>
  <c r="I53" i="37"/>
  <c r="H3" i="12"/>
  <c r="I52" i="37"/>
  <c r="H2" i="12"/>
  <c r="K23" i="37"/>
  <c r="J9" i="20"/>
  <c r="I72" i="37"/>
  <c r="H10" i="13"/>
  <c r="I19" i="37"/>
  <c r="H5" i="20"/>
  <c r="J11" i="37"/>
  <c r="I9" i="18"/>
  <c r="I70" i="37"/>
  <c r="H8" i="13"/>
  <c r="I66" i="37"/>
  <c r="H4" i="13"/>
  <c r="I67" i="37"/>
  <c r="H5" i="13"/>
  <c r="I18" i="37"/>
  <c r="H4" i="20"/>
  <c r="I57" i="37"/>
  <c r="H7" i="12"/>
  <c r="I17" i="37"/>
  <c r="H3" i="20"/>
  <c r="I49" i="37"/>
  <c r="H11" i="11"/>
  <c r="I8" i="37"/>
  <c r="H6" i="18"/>
  <c r="I16" i="37"/>
  <c r="H2" i="20"/>
  <c r="J42" i="37"/>
  <c r="I4" i="11"/>
  <c r="I6" i="37"/>
  <c r="H4" i="18"/>
  <c r="J65" i="37"/>
  <c r="I3" i="13"/>
  <c r="I24" i="37"/>
  <c r="H10" i="20"/>
  <c r="I58" i="37"/>
  <c r="H8" i="12"/>
  <c r="I54" i="37"/>
  <c r="H4" i="12"/>
  <c r="I55" i="37"/>
  <c r="H5" i="12"/>
  <c r="I69" i="37"/>
  <c r="H7" i="13"/>
  <c r="I10" i="37"/>
  <c r="H8" i="18"/>
  <c r="I5" i="37"/>
  <c r="H3" i="18"/>
  <c r="I44" i="37"/>
  <c r="H6" i="11"/>
  <c r="I4" i="37"/>
  <c r="H2" i="18"/>
  <c r="J45" i="37"/>
  <c r="I7" i="11"/>
  <c r="I20" i="37"/>
  <c r="H6" i="20"/>
  <c r="I46" i="37"/>
  <c r="H8" i="11"/>
  <c r="I9" i="37"/>
  <c r="H7" i="18"/>
  <c r="I60" i="37"/>
  <c r="H10" i="12"/>
  <c r="I59" i="37"/>
  <c r="H9" i="12"/>
  <c r="J25" i="37"/>
  <c r="I11" i="20"/>
  <c r="I48" i="37"/>
  <c r="H10" i="11"/>
  <c r="I71" i="37"/>
  <c r="H9" i="13"/>
  <c r="J73" i="37"/>
  <c r="I11" i="13"/>
  <c r="I47" i="37"/>
  <c r="H9" i="11"/>
  <c r="J21" i="37"/>
  <c r="I7" i="20"/>
  <c r="I68" i="37"/>
  <c r="H6" i="13"/>
  <c r="I13" i="37"/>
  <c r="H11" i="18"/>
  <c r="I41" i="37"/>
  <c r="H3" i="11"/>
  <c r="I43" i="37"/>
  <c r="H5" i="11"/>
  <c r="I12" i="37"/>
  <c r="H10" i="18"/>
  <c r="I56" i="37"/>
  <c r="H6" i="12"/>
  <c r="I61" i="37"/>
  <c r="H11" i="12"/>
  <c r="I7" i="37"/>
  <c r="H5" i="18"/>
  <c r="J64" i="37"/>
  <c r="I2" i="13"/>
  <c r="J22" i="37"/>
  <c r="I8" i="20"/>
  <c r="I40" i="37"/>
  <c r="H2" i="11"/>
  <c r="I20" i="38"/>
  <c r="H6" i="24"/>
  <c r="I49" i="38"/>
  <c r="H11" i="25"/>
  <c r="J6" i="38"/>
  <c r="I4" i="23"/>
  <c r="I65" i="38"/>
  <c r="H3" i="27"/>
  <c r="I59" i="38"/>
  <c r="H9" i="26"/>
  <c r="I9" i="38"/>
  <c r="H7" i="23"/>
  <c r="I56" i="38"/>
  <c r="H6" i="26"/>
  <c r="I57" i="38"/>
  <c r="H7" i="26"/>
  <c r="I71" i="38"/>
  <c r="H9" i="27"/>
  <c r="I24" i="38"/>
  <c r="H10" i="24"/>
  <c r="I42" i="38"/>
  <c r="H4" i="25"/>
  <c r="I69" i="38"/>
  <c r="H7" i="27"/>
  <c r="I41" i="38"/>
  <c r="H3" i="25"/>
  <c r="I68" i="38"/>
  <c r="H6" i="27"/>
  <c r="I73" i="38"/>
  <c r="H11" i="27"/>
  <c r="I21" i="38"/>
  <c r="H7" i="24"/>
  <c r="H2" i="26"/>
  <c r="I52" i="38"/>
  <c r="I11" i="38"/>
  <c r="H9" i="23"/>
  <c r="I44" i="38"/>
  <c r="H6" i="25"/>
  <c r="I18" i="38"/>
  <c r="H4" i="24"/>
  <c r="I22" i="38"/>
  <c r="H8" i="24"/>
  <c r="I12" i="38"/>
  <c r="H10" i="23"/>
  <c r="I53" i="38"/>
  <c r="H3" i="26"/>
  <c r="I66" i="38"/>
  <c r="H4" i="27"/>
  <c r="I48" i="38"/>
  <c r="H10" i="25"/>
  <c r="I40" i="38"/>
  <c r="H2" i="25"/>
  <c r="I7" i="38"/>
  <c r="H5" i="23"/>
  <c r="J4" i="38"/>
  <c r="I2" i="23"/>
  <c r="I67" i="38"/>
  <c r="H5" i="27"/>
  <c r="J17" i="38"/>
  <c r="I3" i="24"/>
  <c r="I58" i="38"/>
  <c r="H8" i="26"/>
  <c r="I46" i="38"/>
  <c r="H8" i="25"/>
  <c r="I54" i="38"/>
  <c r="H4" i="26"/>
  <c r="I13" i="38"/>
  <c r="H11" i="23"/>
  <c r="J5" i="38"/>
  <c r="I3" i="23"/>
  <c r="I45" i="38"/>
  <c r="H7" i="25"/>
  <c r="J55" i="38"/>
  <c r="I5" i="26"/>
  <c r="I60" i="38"/>
  <c r="H10" i="26"/>
  <c r="I47" i="38"/>
  <c r="H9" i="25"/>
  <c r="I64" i="38"/>
  <c r="H2" i="27"/>
  <c r="J8" i="38"/>
  <c r="I6" i="23"/>
  <c r="I19" i="38"/>
  <c r="H5" i="24"/>
  <c r="I70" i="38"/>
  <c r="H8" i="27"/>
  <c r="H11" i="24"/>
  <c r="I25" i="38"/>
  <c r="I72" i="38"/>
  <c r="H10" i="27"/>
  <c r="I43" i="38"/>
  <c r="H5" i="25"/>
  <c r="I16" i="38"/>
  <c r="H2" i="24"/>
  <c r="I23" i="38"/>
  <c r="H9" i="24"/>
  <c r="I10" i="38"/>
  <c r="H8" i="23"/>
  <c r="I61" i="38"/>
  <c r="H11" i="26"/>
  <c r="J61" i="36" l="1"/>
  <c r="I11" i="16"/>
  <c r="K11" i="36"/>
  <c r="J9" i="21"/>
  <c r="J49" i="36"/>
  <c r="I11" i="15"/>
  <c r="J64" i="36"/>
  <c r="I2" i="17"/>
  <c r="J67" i="36"/>
  <c r="I5" i="17"/>
  <c r="J43" i="36"/>
  <c r="I5" i="15"/>
  <c r="J44" i="36"/>
  <c r="I6" i="15"/>
  <c r="J6" i="36"/>
  <c r="I4" i="21"/>
  <c r="J9" i="36"/>
  <c r="I7" i="21"/>
  <c r="J18" i="36"/>
  <c r="I4" i="14"/>
  <c r="J60" i="36"/>
  <c r="I10" i="16"/>
  <c r="J13" i="36"/>
  <c r="I11" i="21"/>
  <c r="J24" i="36"/>
  <c r="I10" i="14"/>
  <c r="J42" i="36"/>
  <c r="I4" i="15"/>
  <c r="J47" i="36"/>
  <c r="I9" i="15"/>
  <c r="J66" i="36"/>
  <c r="I4" i="17"/>
  <c r="J25" i="36"/>
  <c r="I11" i="14"/>
  <c r="J59" i="36"/>
  <c r="I9" i="16"/>
  <c r="J53" i="36"/>
  <c r="I3" i="16"/>
  <c r="J69" i="36"/>
  <c r="I7" i="17"/>
  <c r="J54" i="36"/>
  <c r="I4" i="16"/>
  <c r="J55" i="36"/>
  <c r="I5" i="16"/>
  <c r="J21" i="36"/>
  <c r="I7" i="14"/>
  <c r="J65" i="36"/>
  <c r="I3" i="17"/>
  <c r="J22" i="36"/>
  <c r="I8" i="14"/>
  <c r="J4" i="36"/>
  <c r="I2" i="21"/>
  <c r="J20" i="36"/>
  <c r="I6" i="14"/>
  <c r="J57" i="36"/>
  <c r="I7" i="16"/>
  <c r="J41" i="36"/>
  <c r="I3" i="15"/>
  <c r="J10" i="36"/>
  <c r="I8" i="21"/>
  <c r="J46" i="36"/>
  <c r="I8" i="15"/>
  <c r="J8" i="36"/>
  <c r="I6" i="21"/>
  <c r="J68" i="36"/>
  <c r="I6" i="17"/>
  <c r="J71" i="36"/>
  <c r="I9" i="17"/>
  <c r="K7" i="36"/>
  <c r="J5" i="21"/>
  <c r="J19" i="36"/>
  <c r="I5" i="14"/>
  <c r="J17" i="36"/>
  <c r="I3" i="14"/>
  <c r="J40" i="36"/>
  <c r="I2" i="15"/>
  <c r="J23" i="36"/>
  <c r="I9" i="14"/>
  <c r="J73" i="36"/>
  <c r="I11" i="17"/>
  <c r="J58" i="36"/>
  <c r="I8" i="16"/>
  <c r="J16" i="36"/>
  <c r="I2" i="14"/>
  <c r="J5" i="36"/>
  <c r="I3" i="21"/>
  <c r="J56" i="36"/>
  <c r="I6" i="16"/>
  <c r="J70" i="36"/>
  <c r="I8" i="17"/>
  <c r="J52" i="36"/>
  <c r="I2" i="16"/>
  <c r="K12" i="36"/>
  <c r="J10" i="21"/>
  <c r="J72" i="36"/>
  <c r="I10" i="17"/>
  <c r="J45" i="36"/>
  <c r="I7" i="15"/>
  <c r="J48" i="36"/>
  <c r="I10" i="15"/>
  <c r="J41" i="37"/>
  <c r="I3" i="11"/>
  <c r="J10" i="37"/>
  <c r="I8" i="18"/>
  <c r="K65" i="37"/>
  <c r="J3" i="13"/>
  <c r="J17" i="37"/>
  <c r="I3" i="20"/>
  <c r="K11" i="37"/>
  <c r="J9" i="18"/>
  <c r="J7" i="37"/>
  <c r="I5" i="18"/>
  <c r="J20" i="37"/>
  <c r="I6" i="20"/>
  <c r="J69" i="37"/>
  <c r="I7" i="13"/>
  <c r="J6" i="37"/>
  <c r="I4" i="18"/>
  <c r="J57" i="37"/>
  <c r="I7" i="12"/>
  <c r="J19" i="37"/>
  <c r="I5" i="20"/>
  <c r="K25" i="37"/>
  <c r="J11" i="20"/>
  <c r="K45" i="37"/>
  <c r="J7" i="11"/>
  <c r="J55" i="37"/>
  <c r="I5" i="12"/>
  <c r="K42" i="37"/>
  <c r="J4" i="11"/>
  <c r="J18" i="37"/>
  <c r="I4" i="20"/>
  <c r="J72" i="37"/>
  <c r="I10" i="13"/>
  <c r="J68" i="37"/>
  <c r="I6" i="13"/>
  <c r="K21" i="37"/>
  <c r="J7" i="20"/>
  <c r="J59" i="37"/>
  <c r="I9" i="12"/>
  <c r="J4" i="37"/>
  <c r="I2" i="18"/>
  <c r="J54" i="37"/>
  <c r="I4" i="12"/>
  <c r="J16" i="37"/>
  <c r="I2" i="20"/>
  <c r="J67" i="37"/>
  <c r="I5" i="13"/>
  <c r="L23" i="37"/>
  <c r="K9" i="20"/>
  <c r="J46" i="37"/>
  <c r="I8" i="11"/>
  <c r="J13" i="37"/>
  <c r="I11" i="18"/>
  <c r="J56" i="37"/>
  <c r="I6" i="12"/>
  <c r="J12" i="37"/>
  <c r="I10" i="18"/>
  <c r="J44" i="37"/>
  <c r="I6" i="11"/>
  <c r="J58" i="37"/>
  <c r="I8" i="12"/>
  <c r="J8" i="37"/>
  <c r="I6" i="18"/>
  <c r="J66" i="37"/>
  <c r="I4" i="13"/>
  <c r="J52" i="37"/>
  <c r="I2" i="12"/>
  <c r="J71" i="37"/>
  <c r="I9" i="13"/>
  <c r="J48" i="37"/>
  <c r="I10" i="11"/>
  <c r="J61" i="37"/>
  <c r="I11" i="12"/>
  <c r="J40" i="37"/>
  <c r="I2" i="11"/>
  <c r="J47" i="37"/>
  <c r="I9" i="11"/>
  <c r="J60" i="37"/>
  <c r="I10" i="12"/>
  <c r="K64" i="37"/>
  <c r="J2" i="13"/>
  <c r="K22" i="37"/>
  <c r="J8" i="20"/>
  <c r="J43" i="37"/>
  <c r="I5" i="11"/>
  <c r="K73" i="37"/>
  <c r="J11" i="13"/>
  <c r="J9" i="37"/>
  <c r="I7" i="18"/>
  <c r="J5" i="37"/>
  <c r="I3" i="18"/>
  <c r="J24" i="37"/>
  <c r="I10" i="20"/>
  <c r="J49" i="37"/>
  <c r="I11" i="11"/>
  <c r="J70" i="37"/>
  <c r="I8" i="13"/>
  <c r="J53" i="37"/>
  <c r="I3" i="12"/>
  <c r="J23" i="38"/>
  <c r="I9" i="24"/>
  <c r="K17" i="38"/>
  <c r="J3" i="24"/>
  <c r="J66" i="38"/>
  <c r="I4" i="27"/>
  <c r="J11" i="38"/>
  <c r="I9" i="23"/>
  <c r="J69" i="38"/>
  <c r="I7" i="27"/>
  <c r="J9" i="38"/>
  <c r="I7" i="23"/>
  <c r="J52" i="38"/>
  <c r="I2" i="26"/>
  <c r="K8" i="38"/>
  <c r="J6" i="23"/>
  <c r="J53" i="38"/>
  <c r="I3" i="26"/>
  <c r="J42" i="38"/>
  <c r="I4" i="25"/>
  <c r="J59" i="38"/>
  <c r="I9" i="26"/>
  <c r="J67" i="38"/>
  <c r="I5" i="27"/>
  <c r="J43" i="38"/>
  <c r="I5" i="25"/>
  <c r="J64" i="38"/>
  <c r="I2" i="27"/>
  <c r="J13" i="38"/>
  <c r="I11" i="23"/>
  <c r="K4" i="38"/>
  <c r="J2" i="23"/>
  <c r="J12" i="38"/>
  <c r="I10" i="23"/>
  <c r="J21" i="38"/>
  <c r="I7" i="24"/>
  <c r="J24" i="38"/>
  <c r="I10" i="24"/>
  <c r="J65" i="38"/>
  <c r="I3" i="27"/>
  <c r="J45" i="38"/>
  <c r="I7" i="25"/>
  <c r="J72" i="38"/>
  <c r="I10" i="27"/>
  <c r="J47" i="38"/>
  <c r="I9" i="25"/>
  <c r="J54" i="38"/>
  <c r="I4" i="26"/>
  <c r="J7" i="38"/>
  <c r="I5" i="23"/>
  <c r="J22" i="38"/>
  <c r="I8" i="24"/>
  <c r="J73" i="38"/>
  <c r="I11" i="27"/>
  <c r="J71" i="38"/>
  <c r="I9" i="27"/>
  <c r="K6" i="38"/>
  <c r="J4" i="23"/>
  <c r="J19" i="38"/>
  <c r="I5" i="24"/>
  <c r="J25" i="38"/>
  <c r="I11" i="24"/>
  <c r="I10" i="26"/>
  <c r="J60" i="38"/>
  <c r="J46" i="38"/>
  <c r="I8" i="25"/>
  <c r="J40" i="38"/>
  <c r="I2" i="25"/>
  <c r="J18" i="38"/>
  <c r="I4" i="24"/>
  <c r="J68" i="38"/>
  <c r="I6" i="27"/>
  <c r="J57" i="38"/>
  <c r="I7" i="26"/>
  <c r="J49" i="38"/>
  <c r="I11" i="25"/>
  <c r="J16" i="38"/>
  <c r="I2" i="24"/>
  <c r="J61" i="38"/>
  <c r="I11" i="26"/>
  <c r="K5" i="38"/>
  <c r="J3" i="23"/>
  <c r="J10" i="38"/>
  <c r="I8" i="23"/>
  <c r="J70" i="38"/>
  <c r="I8" i="27"/>
  <c r="K55" i="38"/>
  <c r="J5" i="26"/>
  <c r="J58" i="38"/>
  <c r="I8" i="26"/>
  <c r="J48" i="38"/>
  <c r="I10" i="25"/>
  <c r="J44" i="38"/>
  <c r="I6" i="25"/>
  <c r="J41" i="38"/>
  <c r="I3" i="25"/>
  <c r="J56" i="38"/>
  <c r="I6" i="26"/>
  <c r="J20" i="38"/>
  <c r="I6" i="24"/>
  <c r="K72" i="36" l="1"/>
  <c r="J10" i="17"/>
  <c r="K73" i="36"/>
  <c r="J11" i="17"/>
  <c r="K19" i="36"/>
  <c r="J5" i="14"/>
  <c r="K8" i="36"/>
  <c r="J6" i="21"/>
  <c r="K57" i="36"/>
  <c r="J7" i="16"/>
  <c r="K65" i="36"/>
  <c r="J3" i="17"/>
  <c r="K69" i="36"/>
  <c r="J7" i="17"/>
  <c r="K66" i="36"/>
  <c r="J4" i="17"/>
  <c r="K13" i="36"/>
  <c r="J11" i="21"/>
  <c r="K6" i="36"/>
  <c r="J4" i="21"/>
  <c r="K64" i="36"/>
  <c r="J2" i="17"/>
  <c r="K56" i="36"/>
  <c r="J6" i="16"/>
  <c r="K5" i="36"/>
  <c r="J3" i="21"/>
  <c r="K23" i="36"/>
  <c r="J9" i="14"/>
  <c r="K5" i="21"/>
  <c r="L7" i="36"/>
  <c r="K46" i="36"/>
  <c r="J8" i="15"/>
  <c r="K20" i="36"/>
  <c r="J6" i="14"/>
  <c r="K21" i="36"/>
  <c r="J7" i="14"/>
  <c r="K53" i="36"/>
  <c r="J3" i="16"/>
  <c r="K47" i="36"/>
  <c r="J9" i="15"/>
  <c r="K60" i="36"/>
  <c r="J10" i="16"/>
  <c r="K44" i="36"/>
  <c r="J6" i="15"/>
  <c r="K49" i="36"/>
  <c r="J11" i="15"/>
  <c r="L12" i="36"/>
  <c r="K10" i="21"/>
  <c r="K48" i="36"/>
  <c r="J10" i="15"/>
  <c r="K52" i="36"/>
  <c r="J2" i="16"/>
  <c r="K16" i="36"/>
  <c r="J2" i="14"/>
  <c r="K40" i="36"/>
  <c r="J2" i="15"/>
  <c r="K71" i="36"/>
  <c r="J9" i="17"/>
  <c r="K10" i="36"/>
  <c r="J8" i="21"/>
  <c r="K4" i="36"/>
  <c r="J2" i="21"/>
  <c r="K55" i="36"/>
  <c r="J5" i="16"/>
  <c r="K59" i="36"/>
  <c r="J9" i="16"/>
  <c r="K42" i="36"/>
  <c r="J4" i="15"/>
  <c r="K18" i="36"/>
  <c r="J4" i="14"/>
  <c r="K43" i="36"/>
  <c r="J5" i="15"/>
  <c r="L11" i="36"/>
  <c r="K9" i="21"/>
  <c r="K45" i="36"/>
  <c r="J7" i="15"/>
  <c r="K70" i="36"/>
  <c r="J8" i="17"/>
  <c r="K58" i="36"/>
  <c r="J8" i="16"/>
  <c r="K17" i="36"/>
  <c r="J3" i="14"/>
  <c r="K68" i="36"/>
  <c r="J6" i="17"/>
  <c r="K41" i="36"/>
  <c r="J3" i="15"/>
  <c r="K22" i="36"/>
  <c r="J8" i="14"/>
  <c r="K54" i="36"/>
  <c r="J4" i="16"/>
  <c r="K25" i="36"/>
  <c r="J11" i="14"/>
  <c r="K24" i="36"/>
  <c r="J10" i="14"/>
  <c r="K9" i="36"/>
  <c r="J7" i="21"/>
  <c r="K67" i="36"/>
  <c r="J5" i="17"/>
  <c r="K61" i="36"/>
  <c r="J11" i="16"/>
  <c r="K49" i="37"/>
  <c r="J11" i="11"/>
  <c r="L22" i="37"/>
  <c r="K8" i="20"/>
  <c r="K48" i="37"/>
  <c r="J10" i="11"/>
  <c r="K44" i="37"/>
  <c r="J6" i="11"/>
  <c r="K67" i="37"/>
  <c r="J5" i="13"/>
  <c r="K68" i="37"/>
  <c r="J6" i="13"/>
  <c r="L25" i="37"/>
  <c r="K11" i="20"/>
  <c r="K7" i="37"/>
  <c r="J5" i="18"/>
  <c r="K71" i="37"/>
  <c r="J9" i="13"/>
  <c r="K12" i="37"/>
  <c r="J10" i="18"/>
  <c r="K16" i="37"/>
  <c r="J2" i="20"/>
  <c r="K72" i="37"/>
  <c r="J10" i="13"/>
  <c r="K19" i="37"/>
  <c r="J5" i="20"/>
  <c r="L11" i="37"/>
  <c r="K9" i="18"/>
  <c r="K60" i="37"/>
  <c r="J10" i="12"/>
  <c r="K56" i="37"/>
  <c r="J6" i="12"/>
  <c r="K54" i="37"/>
  <c r="J4" i="12"/>
  <c r="K18" i="37"/>
  <c r="J4" i="20"/>
  <c r="K57" i="37"/>
  <c r="J7" i="12"/>
  <c r="K17" i="37"/>
  <c r="J3" i="20"/>
  <c r="L64" i="37"/>
  <c r="K2" i="13"/>
  <c r="K47" i="37"/>
  <c r="J9" i="11"/>
  <c r="K13" i="37"/>
  <c r="J11" i="18"/>
  <c r="K4" i="37"/>
  <c r="J2" i="18"/>
  <c r="L42" i="37"/>
  <c r="K4" i="11"/>
  <c r="K6" i="37"/>
  <c r="J4" i="18"/>
  <c r="L65" i="37"/>
  <c r="K3" i="13"/>
  <c r="K52" i="37"/>
  <c r="J2" i="12"/>
  <c r="K9" i="37"/>
  <c r="J7" i="18"/>
  <c r="K66" i="37"/>
  <c r="J4" i="13"/>
  <c r="L73" i="37"/>
  <c r="K11" i="13"/>
  <c r="K46" i="37"/>
  <c r="J8" i="11"/>
  <c r="K59" i="37"/>
  <c r="J9" i="12"/>
  <c r="K55" i="37"/>
  <c r="J5" i="12"/>
  <c r="K69" i="37"/>
  <c r="J7" i="13"/>
  <c r="K10" i="37"/>
  <c r="J8" i="18"/>
  <c r="K24" i="37"/>
  <c r="J10" i="20"/>
  <c r="K5" i="37"/>
  <c r="J3" i="18"/>
  <c r="K53" i="37"/>
  <c r="J3" i="12"/>
  <c r="K40" i="37"/>
  <c r="J2" i="11"/>
  <c r="K8" i="37"/>
  <c r="J6" i="18"/>
  <c r="K70" i="37"/>
  <c r="J8" i="13"/>
  <c r="K43" i="37"/>
  <c r="J5" i="11"/>
  <c r="K61" i="37"/>
  <c r="J11" i="12"/>
  <c r="K58" i="37"/>
  <c r="J8" i="12"/>
  <c r="M23" i="37"/>
  <c r="L9" i="20"/>
  <c r="L21" i="37"/>
  <c r="K7" i="20"/>
  <c r="L45" i="37"/>
  <c r="K7" i="11"/>
  <c r="K20" i="37"/>
  <c r="J6" i="20"/>
  <c r="K41" i="37"/>
  <c r="J3" i="11"/>
  <c r="K68" i="38"/>
  <c r="J6" i="27"/>
  <c r="K19" i="38"/>
  <c r="J5" i="24"/>
  <c r="K54" i="38"/>
  <c r="J4" i="26"/>
  <c r="K21" i="38"/>
  <c r="J7" i="24"/>
  <c r="K67" i="38"/>
  <c r="J5" i="27"/>
  <c r="K9" i="38"/>
  <c r="J7" i="23"/>
  <c r="K18" i="38"/>
  <c r="J4" i="24"/>
  <c r="K47" i="38"/>
  <c r="J9" i="25"/>
  <c r="K12" i="38"/>
  <c r="J10" i="23"/>
  <c r="K59" i="38"/>
  <c r="J9" i="26"/>
  <c r="K69" i="38"/>
  <c r="J7" i="27"/>
  <c r="L6" i="38"/>
  <c r="K4" i="23"/>
  <c r="K44" i="38"/>
  <c r="J6" i="25"/>
  <c r="K48" i="38"/>
  <c r="J10" i="25"/>
  <c r="K61" i="38"/>
  <c r="J11" i="26"/>
  <c r="K40" i="38"/>
  <c r="J2" i="25"/>
  <c r="K71" i="38"/>
  <c r="J9" i="27"/>
  <c r="K72" i="38"/>
  <c r="J10" i="27"/>
  <c r="L4" i="38"/>
  <c r="K2" i="23"/>
  <c r="K42" i="38"/>
  <c r="J4" i="25"/>
  <c r="K11" i="38"/>
  <c r="J9" i="23"/>
  <c r="K10" i="38"/>
  <c r="J8" i="23"/>
  <c r="K58" i="38"/>
  <c r="J8" i="26"/>
  <c r="K16" i="38"/>
  <c r="J2" i="24"/>
  <c r="K46" i="38"/>
  <c r="J8" i="25"/>
  <c r="K73" i="38"/>
  <c r="J11" i="27"/>
  <c r="K45" i="38"/>
  <c r="J7" i="25"/>
  <c r="K13" i="38"/>
  <c r="J11" i="23"/>
  <c r="K53" i="38"/>
  <c r="J3" i="26"/>
  <c r="K66" i="38"/>
  <c r="J4" i="27"/>
  <c r="K60" i="38"/>
  <c r="J10" i="26"/>
  <c r="L55" i="38"/>
  <c r="K5" i="26"/>
  <c r="K49" i="38"/>
  <c r="J11" i="25"/>
  <c r="K22" i="38"/>
  <c r="J8" i="24"/>
  <c r="K65" i="38"/>
  <c r="J3" i="27"/>
  <c r="K64" i="38"/>
  <c r="J2" i="27"/>
  <c r="L8" i="38"/>
  <c r="K6" i="23"/>
  <c r="L17" i="38"/>
  <c r="K3" i="24"/>
  <c r="K41" i="38"/>
  <c r="J3" i="25"/>
  <c r="L5" i="38"/>
  <c r="K3" i="23"/>
  <c r="K20" i="38"/>
  <c r="J6" i="24"/>
  <c r="K56" i="38"/>
  <c r="J6" i="26"/>
  <c r="K70" i="38"/>
  <c r="J8" i="27"/>
  <c r="K57" i="38"/>
  <c r="J7" i="26"/>
  <c r="K25" i="38"/>
  <c r="J11" i="24"/>
  <c r="K7" i="38"/>
  <c r="J5" i="23"/>
  <c r="K24" i="38"/>
  <c r="J10" i="24"/>
  <c r="K43" i="38"/>
  <c r="J5" i="25"/>
  <c r="K52" i="38"/>
  <c r="J2" i="26"/>
  <c r="K23" i="38"/>
  <c r="J9" i="24"/>
  <c r="L22" i="36" l="1"/>
  <c r="K8" i="14"/>
  <c r="L58" i="36"/>
  <c r="K8" i="16"/>
  <c r="L43" i="36"/>
  <c r="K5" i="15"/>
  <c r="L55" i="36"/>
  <c r="K5" i="16"/>
  <c r="L40" i="36"/>
  <c r="K2" i="15"/>
  <c r="M12" i="36"/>
  <c r="L10" i="21"/>
  <c r="L47" i="36"/>
  <c r="K9" i="15"/>
  <c r="L46" i="36"/>
  <c r="K8" i="15"/>
  <c r="L56" i="36"/>
  <c r="K6" i="16"/>
  <c r="L66" i="36"/>
  <c r="K4" i="17"/>
  <c r="L8" i="36"/>
  <c r="K6" i="21"/>
  <c r="L9" i="36"/>
  <c r="K7" i="21"/>
  <c r="M7" i="36"/>
  <c r="L5" i="21"/>
  <c r="L24" i="36"/>
  <c r="K10" i="14"/>
  <c r="L41" i="36"/>
  <c r="K3" i="15"/>
  <c r="L70" i="36"/>
  <c r="K8" i="17"/>
  <c r="L18" i="36"/>
  <c r="K4" i="14"/>
  <c r="L4" i="36"/>
  <c r="K2" i="21"/>
  <c r="L16" i="36"/>
  <c r="K2" i="14"/>
  <c r="L49" i="36"/>
  <c r="K11" i="15"/>
  <c r="L53" i="36"/>
  <c r="K3" i="16"/>
  <c r="L64" i="36"/>
  <c r="K2" i="17"/>
  <c r="L69" i="36"/>
  <c r="K7" i="17"/>
  <c r="L19" i="36"/>
  <c r="K5" i="14"/>
  <c r="L61" i="36"/>
  <c r="K11" i="16"/>
  <c r="L25" i="36"/>
  <c r="K11" i="14"/>
  <c r="L68" i="36"/>
  <c r="K6" i="17"/>
  <c r="L45" i="36"/>
  <c r="K7" i="15"/>
  <c r="L42" i="36"/>
  <c r="K4" i="15"/>
  <c r="L10" i="36"/>
  <c r="K8" i="21"/>
  <c r="L52" i="36"/>
  <c r="K2" i="16"/>
  <c r="L44" i="36"/>
  <c r="K6" i="15"/>
  <c r="L21" i="36"/>
  <c r="K7" i="14"/>
  <c r="L23" i="36"/>
  <c r="K9" i="14"/>
  <c r="L6" i="36"/>
  <c r="K4" i="21"/>
  <c r="L65" i="36"/>
  <c r="K3" i="17"/>
  <c r="L73" i="36"/>
  <c r="K11" i="17"/>
  <c r="L67" i="36"/>
  <c r="K5" i="17"/>
  <c r="L54" i="36"/>
  <c r="K4" i="16"/>
  <c r="L17" i="36"/>
  <c r="K3" i="14"/>
  <c r="M11" i="36"/>
  <c r="L9" i="21"/>
  <c r="L59" i="36"/>
  <c r="K9" i="16"/>
  <c r="L71" i="36"/>
  <c r="K9" i="17"/>
  <c r="L48" i="36"/>
  <c r="K10" i="15"/>
  <c r="L60" i="36"/>
  <c r="K10" i="16"/>
  <c r="L20" i="36"/>
  <c r="K6" i="14"/>
  <c r="L5" i="36"/>
  <c r="K3" i="21"/>
  <c r="L13" i="36"/>
  <c r="K11" i="21"/>
  <c r="L57" i="36"/>
  <c r="K7" i="16"/>
  <c r="L72" i="36"/>
  <c r="K10" i="17"/>
  <c r="M45" i="37"/>
  <c r="L7" i="11"/>
  <c r="L70" i="37"/>
  <c r="K8" i="13"/>
  <c r="L10" i="37"/>
  <c r="K8" i="18"/>
  <c r="L66" i="37"/>
  <c r="K4" i="13"/>
  <c r="L4" i="37"/>
  <c r="K2" i="18"/>
  <c r="L18" i="37"/>
  <c r="K4" i="20"/>
  <c r="L72" i="37"/>
  <c r="K10" i="13"/>
  <c r="L68" i="37"/>
  <c r="K6" i="13"/>
  <c r="M21" i="37"/>
  <c r="L7" i="20"/>
  <c r="L8" i="37"/>
  <c r="K6" i="18"/>
  <c r="L69" i="37"/>
  <c r="K7" i="13"/>
  <c r="L9" i="37"/>
  <c r="K7" i="18"/>
  <c r="L13" i="37"/>
  <c r="K11" i="18"/>
  <c r="L54" i="37"/>
  <c r="K4" i="12"/>
  <c r="L16" i="37"/>
  <c r="K2" i="20"/>
  <c r="L67" i="37"/>
  <c r="K5" i="13"/>
  <c r="N23" i="37"/>
  <c r="M9" i="20"/>
  <c r="L40" i="37"/>
  <c r="K2" i="11"/>
  <c r="L55" i="37"/>
  <c r="K5" i="12"/>
  <c r="L52" i="37"/>
  <c r="K2" i="12"/>
  <c r="L47" i="37"/>
  <c r="K9" i="11"/>
  <c r="L56" i="37"/>
  <c r="K6" i="12"/>
  <c r="L12" i="37"/>
  <c r="K10" i="18"/>
  <c r="L44" i="37"/>
  <c r="K6" i="11"/>
  <c r="L58" i="37"/>
  <c r="K8" i="12"/>
  <c r="L53" i="37"/>
  <c r="K3" i="12"/>
  <c r="L59" i="37"/>
  <c r="K9" i="12"/>
  <c r="M65" i="37"/>
  <c r="L3" i="13"/>
  <c r="M64" i="37"/>
  <c r="L2" i="13"/>
  <c r="L60" i="37"/>
  <c r="K10" i="12"/>
  <c r="L71" i="37"/>
  <c r="K9" i="13"/>
  <c r="L48" i="37"/>
  <c r="K10" i="11"/>
  <c r="L61" i="37"/>
  <c r="K11" i="12"/>
  <c r="L5" i="37"/>
  <c r="K3" i="18"/>
  <c r="L46" i="37"/>
  <c r="K8" i="11"/>
  <c r="L6" i="37"/>
  <c r="K4" i="18"/>
  <c r="L17" i="37"/>
  <c r="K3" i="20"/>
  <c r="M11" i="37"/>
  <c r="L9" i="18"/>
  <c r="L7" i="37"/>
  <c r="K5" i="18"/>
  <c r="M22" i="37"/>
  <c r="L8" i="20"/>
  <c r="L41" i="37"/>
  <c r="K3" i="11"/>
  <c r="L20" i="37"/>
  <c r="K6" i="20"/>
  <c r="L43" i="37"/>
  <c r="K5" i="11"/>
  <c r="L24" i="37"/>
  <c r="K10" i="20"/>
  <c r="M73" i="37"/>
  <c r="L11" i="13"/>
  <c r="M42" i="37"/>
  <c r="L4" i="11"/>
  <c r="L57" i="37"/>
  <c r="K7" i="12"/>
  <c r="L19" i="37"/>
  <c r="K5" i="20"/>
  <c r="M25" i="37"/>
  <c r="L11" i="20"/>
  <c r="L49" i="37"/>
  <c r="K11" i="11"/>
  <c r="L43" i="38"/>
  <c r="K5" i="25"/>
  <c r="L56" i="38"/>
  <c r="K6" i="26"/>
  <c r="L64" i="38"/>
  <c r="K2" i="27"/>
  <c r="L66" i="38"/>
  <c r="K4" i="27"/>
  <c r="L16" i="38"/>
  <c r="K2" i="24"/>
  <c r="L72" i="38"/>
  <c r="K10" i="27"/>
  <c r="M6" i="38"/>
  <c r="L4" i="23"/>
  <c r="L9" i="38"/>
  <c r="K7" i="23"/>
  <c r="L24" i="38"/>
  <c r="K10" i="24"/>
  <c r="L20" i="38"/>
  <c r="K6" i="24"/>
  <c r="L65" i="38"/>
  <c r="K3" i="27"/>
  <c r="L53" i="38"/>
  <c r="K3" i="26"/>
  <c r="L58" i="38"/>
  <c r="K8" i="26"/>
  <c r="L71" i="38"/>
  <c r="K9" i="27"/>
  <c r="L69" i="38"/>
  <c r="K7" i="27"/>
  <c r="K5" i="27"/>
  <c r="L67" i="38"/>
  <c r="L7" i="38"/>
  <c r="K5" i="23"/>
  <c r="M5" i="38"/>
  <c r="L3" i="23"/>
  <c r="L22" i="38"/>
  <c r="K8" i="24"/>
  <c r="L13" i="38"/>
  <c r="K11" i="23"/>
  <c r="L10" i="38"/>
  <c r="K8" i="23"/>
  <c r="L40" i="38"/>
  <c r="K2" i="25"/>
  <c r="L59" i="38"/>
  <c r="K9" i="26"/>
  <c r="L21" i="38"/>
  <c r="K7" i="24"/>
  <c r="L25" i="38"/>
  <c r="K11" i="24"/>
  <c r="L41" i="38"/>
  <c r="K3" i="25"/>
  <c r="L49" i="38"/>
  <c r="K11" i="25"/>
  <c r="L45" i="38"/>
  <c r="K7" i="25"/>
  <c r="L11" i="38"/>
  <c r="K9" i="23"/>
  <c r="L61" i="38"/>
  <c r="K11" i="26"/>
  <c r="L12" i="38"/>
  <c r="K10" i="23"/>
  <c r="L54" i="38"/>
  <c r="K4" i="26"/>
  <c r="L23" i="38"/>
  <c r="K9" i="24"/>
  <c r="L57" i="38"/>
  <c r="K7" i="26"/>
  <c r="M17" i="38"/>
  <c r="L3" i="24"/>
  <c r="M55" i="38"/>
  <c r="L5" i="26"/>
  <c r="L73" i="38"/>
  <c r="K11" i="27"/>
  <c r="L42" i="38"/>
  <c r="K4" i="25"/>
  <c r="L48" i="38"/>
  <c r="K10" i="25"/>
  <c r="L47" i="38"/>
  <c r="K9" i="25"/>
  <c r="L19" i="38"/>
  <c r="K5" i="24"/>
  <c r="L52" i="38"/>
  <c r="K2" i="26"/>
  <c r="L70" i="38"/>
  <c r="K8" i="27"/>
  <c r="M8" i="38"/>
  <c r="L6" i="23"/>
  <c r="L60" i="38"/>
  <c r="K10" i="26"/>
  <c r="L46" i="38"/>
  <c r="K8" i="25"/>
  <c r="M4" i="38"/>
  <c r="L2" i="23"/>
  <c r="L44" i="38"/>
  <c r="K6" i="25"/>
  <c r="L18" i="38"/>
  <c r="K4" i="24"/>
  <c r="L68" i="38"/>
  <c r="K6" i="27"/>
  <c r="M13" i="36" l="1"/>
  <c r="L11" i="21"/>
  <c r="M17" i="36"/>
  <c r="L3" i="14"/>
  <c r="M65" i="36"/>
  <c r="L3" i="17"/>
  <c r="M44" i="36"/>
  <c r="L6" i="15"/>
  <c r="M45" i="36"/>
  <c r="L7" i="15"/>
  <c r="M19" i="36"/>
  <c r="L5" i="14"/>
  <c r="M49" i="36"/>
  <c r="L11" i="15"/>
  <c r="M70" i="36"/>
  <c r="L8" i="17"/>
  <c r="M9" i="36"/>
  <c r="L7" i="21"/>
  <c r="M46" i="36"/>
  <c r="L8" i="15"/>
  <c r="M55" i="36"/>
  <c r="L5" i="16"/>
  <c r="M48" i="36"/>
  <c r="L10" i="15"/>
  <c r="M5" i="36"/>
  <c r="L3" i="21"/>
  <c r="M71" i="36"/>
  <c r="L9" i="17"/>
  <c r="M54" i="36"/>
  <c r="L4" i="16"/>
  <c r="M6" i="36"/>
  <c r="L4" i="21"/>
  <c r="M52" i="36"/>
  <c r="L2" i="16"/>
  <c r="M68" i="36"/>
  <c r="L6" i="17"/>
  <c r="M69" i="36"/>
  <c r="L7" i="17"/>
  <c r="M16" i="36"/>
  <c r="L2" i="14"/>
  <c r="M41" i="36"/>
  <c r="L3" i="15"/>
  <c r="M8" i="36"/>
  <c r="L6" i="21"/>
  <c r="M47" i="36"/>
  <c r="L9" i="15"/>
  <c r="M43" i="36"/>
  <c r="L5" i="15"/>
  <c r="M72" i="36"/>
  <c r="L10" i="17"/>
  <c r="M20" i="36"/>
  <c r="L6" i="14"/>
  <c r="M59" i="36"/>
  <c r="L9" i="16"/>
  <c r="M67" i="36"/>
  <c r="L5" i="17"/>
  <c r="M23" i="36"/>
  <c r="L9" i="14"/>
  <c r="M10" i="36"/>
  <c r="L8" i="21"/>
  <c r="M25" i="36"/>
  <c r="L11" i="14"/>
  <c r="M64" i="36"/>
  <c r="L2" i="17"/>
  <c r="M4" i="36"/>
  <c r="L2" i="21"/>
  <c r="M24" i="36"/>
  <c r="L10" i="14"/>
  <c r="M66" i="36"/>
  <c r="L4" i="17"/>
  <c r="N12" i="36"/>
  <c r="M10" i="21"/>
  <c r="M58" i="36"/>
  <c r="L8" i="16"/>
  <c r="M57" i="36"/>
  <c r="L7" i="16"/>
  <c r="M60" i="36"/>
  <c r="L10" i="16"/>
  <c r="N11" i="36"/>
  <c r="M9" i="21"/>
  <c r="M73" i="36"/>
  <c r="L11" i="17"/>
  <c r="M21" i="36"/>
  <c r="L7" i="14"/>
  <c r="M42" i="36"/>
  <c r="L4" i="15"/>
  <c r="M61" i="36"/>
  <c r="L11" i="16"/>
  <c r="M53" i="36"/>
  <c r="L3" i="16"/>
  <c r="M18" i="36"/>
  <c r="L4" i="14"/>
  <c r="N7" i="36"/>
  <c r="M5" i="21"/>
  <c r="M56" i="36"/>
  <c r="L6" i="16"/>
  <c r="M40" i="36"/>
  <c r="L2" i="15"/>
  <c r="M22" i="36"/>
  <c r="L8" i="14"/>
  <c r="M19" i="37"/>
  <c r="L5" i="20"/>
  <c r="M20" i="37"/>
  <c r="L6" i="20"/>
  <c r="M6" i="37"/>
  <c r="L4" i="18"/>
  <c r="M60" i="37"/>
  <c r="L10" i="12"/>
  <c r="M44" i="37"/>
  <c r="L6" i="11"/>
  <c r="M40" i="37"/>
  <c r="L2" i="11"/>
  <c r="M9" i="37"/>
  <c r="L7" i="18"/>
  <c r="M18" i="37"/>
  <c r="L4" i="20"/>
  <c r="M57" i="37"/>
  <c r="L7" i="12"/>
  <c r="M41" i="37"/>
  <c r="L3" i="11"/>
  <c r="M46" i="37"/>
  <c r="L8" i="11"/>
  <c r="N64" i="37"/>
  <c r="M2" i="13"/>
  <c r="M12" i="37"/>
  <c r="L10" i="18"/>
  <c r="O23" i="37"/>
  <c r="N9" i="20"/>
  <c r="M69" i="37"/>
  <c r="L7" i="13"/>
  <c r="M4" i="37"/>
  <c r="L2" i="18"/>
  <c r="N42" i="37"/>
  <c r="M4" i="11"/>
  <c r="N22" i="37"/>
  <c r="M8" i="20"/>
  <c r="M5" i="37"/>
  <c r="L3" i="18"/>
  <c r="N65" i="37"/>
  <c r="M3" i="13"/>
  <c r="M56" i="37"/>
  <c r="L6" i="12"/>
  <c r="M67" i="37"/>
  <c r="L5" i="13"/>
  <c r="M8" i="37"/>
  <c r="L6" i="18"/>
  <c r="M66" i="37"/>
  <c r="L4" i="13"/>
  <c r="N73" i="37"/>
  <c r="M11" i="13"/>
  <c r="M7" i="37"/>
  <c r="L5" i="18"/>
  <c r="M61" i="37"/>
  <c r="L11" i="12"/>
  <c r="M59" i="37"/>
  <c r="L9" i="12"/>
  <c r="M47" i="37"/>
  <c r="L9" i="11"/>
  <c r="M16" i="37"/>
  <c r="L2" i="20"/>
  <c r="N21" i="37"/>
  <c r="M7" i="20"/>
  <c r="M10" i="37"/>
  <c r="L8" i="18"/>
  <c r="M49" i="37"/>
  <c r="L11" i="11"/>
  <c r="M24" i="37"/>
  <c r="L10" i="20"/>
  <c r="N11" i="37"/>
  <c r="M9" i="18"/>
  <c r="M48" i="37"/>
  <c r="L10" i="11"/>
  <c r="M53" i="37"/>
  <c r="L3" i="12"/>
  <c r="M52" i="37"/>
  <c r="L2" i="12"/>
  <c r="M54" i="37"/>
  <c r="L4" i="12"/>
  <c r="M68" i="37"/>
  <c r="L6" i="13"/>
  <c r="M70" i="37"/>
  <c r="L8" i="13"/>
  <c r="N25" i="37"/>
  <c r="M11" i="20"/>
  <c r="M43" i="37"/>
  <c r="L5" i="11"/>
  <c r="M17" i="37"/>
  <c r="L3" i="20"/>
  <c r="M71" i="37"/>
  <c r="L9" i="13"/>
  <c r="M58" i="37"/>
  <c r="L8" i="12"/>
  <c r="M55" i="37"/>
  <c r="L5" i="12"/>
  <c r="M13" i="37"/>
  <c r="L11" i="18"/>
  <c r="M72" i="37"/>
  <c r="L10" i="13"/>
  <c r="N45" i="37"/>
  <c r="M7" i="11"/>
  <c r="M21" i="38"/>
  <c r="L7" i="24"/>
  <c r="M61" i="38"/>
  <c r="L11" i="26"/>
  <c r="N4" i="38"/>
  <c r="M2" i="23"/>
  <c r="M19" i="38"/>
  <c r="L5" i="24"/>
  <c r="N17" i="38"/>
  <c r="M3" i="24"/>
  <c r="M11" i="38"/>
  <c r="L9" i="23"/>
  <c r="M59" i="38"/>
  <c r="L9" i="26"/>
  <c r="M7" i="38"/>
  <c r="L5" i="23"/>
  <c r="M65" i="38"/>
  <c r="L3" i="27"/>
  <c r="M16" i="38"/>
  <c r="L2" i="24"/>
  <c r="N5" i="38"/>
  <c r="M3" i="23"/>
  <c r="M67" i="38"/>
  <c r="L5" i="27"/>
  <c r="M72" i="38"/>
  <c r="L10" i="27"/>
  <c r="M46" i="38"/>
  <c r="L8" i="25"/>
  <c r="M47" i="38"/>
  <c r="L9" i="25"/>
  <c r="M57" i="38"/>
  <c r="L7" i="26"/>
  <c r="M45" i="38"/>
  <c r="L7" i="25"/>
  <c r="M40" i="38"/>
  <c r="L2" i="25"/>
  <c r="M20" i="38"/>
  <c r="L6" i="24"/>
  <c r="M66" i="38"/>
  <c r="L4" i="27"/>
  <c r="M53" i="38"/>
  <c r="L3" i="26"/>
  <c r="N55" i="38"/>
  <c r="M5" i="26"/>
  <c r="M60" i="38"/>
  <c r="L10" i="26"/>
  <c r="M48" i="38"/>
  <c r="L10" i="25"/>
  <c r="M23" i="38"/>
  <c r="L9" i="24"/>
  <c r="M49" i="38"/>
  <c r="L11" i="25"/>
  <c r="M10" i="38"/>
  <c r="L8" i="23"/>
  <c r="M69" i="38"/>
  <c r="L7" i="27"/>
  <c r="M24" i="38"/>
  <c r="L10" i="24"/>
  <c r="M64" i="38"/>
  <c r="L2" i="27"/>
  <c r="L6" i="25"/>
  <c r="M44" i="38"/>
  <c r="M52" i="38"/>
  <c r="L2" i="26"/>
  <c r="M68" i="38"/>
  <c r="L6" i="27"/>
  <c r="N8" i="38"/>
  <c r="M6" i="23"/>
  <c r="M42" i="38"/>
  <c r="L4" i="25"/>
  <c r="M54" i="38"/>
  <c r="L4" i="26"/>
  <c r="M41" i="38"/>
  <c r="L3" i="25"/>
  <c r="M13" i="38"/>
  <c r="L11" i="23"/>
  <c r="M71" i="38"/>
  <c r="L9" i="27"/>
  <c r="M9" i="38"/>
  <c r="L7" i="23"/>
  <c r="M56" i="38"/>
  <c r="L6" i="26"/>
  <c r="M18" i="38"/>
  <c r="L4" i="24"/>
  <c r="M70" i="38"/>
  <c r="L8" i="27"/>
  <c r="M73" i="38"/>
  <c r="L11" i="27"/>
  <c r="M12" i="38"/>
  <c r="L10" i="23"/>
  <c r="M25" i="38"/>
  <c r="L11" i="24"/>
  <c r="M22" i="38"/>
  <c r="L8" i="24"/>
  <c r="M58" i="38"/>
  <c r="L8" i="26"/>
  <c r="N6" i="38"/>
  <c r="M4" i="23"/>
  <c r="M43" i="38"/>
  <c r="L5" i="25"/>
  <c r="N61" i="36" l="1"/>
  <c r="M11" i="16"/>
  <c r="O11" i="36"/>
  <c r="N9" i="21"/>
  <c r="O12" i="36"/>
  <c r="N10" i="21"/>
  <c r="N64" i="36"/>
  <c r="M2" i="17"/>
  <c r="N67" i="36"/>
  <c r="M5" i="17"/>
  <c r="N43" i="36"/>
  <c r="M5" i="15"/>
  <c r="N16" i="36"/>
  <c r="M2" i="14"/>
  <c r="N6" i="36"/>
  <c r="M4" i="21"/>
  <c r="N48" i="36"/>
  <c r="M10" i="15"/>
  <c r="N70" i="36"/>
  <c r="M8" i="17"/>
  <c r="N44" i="36"/>
  <c r="M6" i="15"/>
  <c r="N56" i="36"/>
  <c r="M6" i="16"/>
  <c r="O7" i="36"/>
  <c r="N5" i="21"/>
  <c r="N42" i="36"/>
  <c r="M4" i="15"/>
  <c r="N60" i="36"/>
  <c r="M10" i="16"/>
  <c r="N66" i="36"/>
  <c r="M4" i="17"/>
  <c r="N25" i="36"/>
  <c r="M11" i="14"/>
  <c r="N59" i="36"/>
  <c r="M9" i="16"/>
  <c r="N47" i="36"/>
  <c r="M9" i="15"/>
  <c r="N69" i="36"/>
  <c r="M7" i="17"/>
  <c r="N54" i="36"/>
  <c r="M4" i="16"/>
  <c r="N55" i="36"/>
  <c r="M5" i="16"/>
  <c r="N49" i="36"/>
  <c r="M11" i="15"/>
  <c r="N65" i="36"/>
  <c r="M3" i="17"/>
  <c r="N22" i="36"/>
  <c r="M8" i="14"/>
  <c r="N18" i="36"/>
  <c r="M4" i="14"/>
  <c r="N21" i="36"/>
  <c r="M7" i="14"/>
  <c r="N57" i="36"/>
  <c r="M7" i="16"/>
  <c r="N24" i="36"/>
  <c r="M10" i="14"/>
  <c r="N10" i="36"/>
  <c r="M8" i="21"/>
  <c r="N20" i="36"/>
  <c r="M6" i="14"/>
  <c r="N8" i="36"/>
  <c r="M6" i="21"/>
  <c r="N68" i="36"/>
  <c r="M6" i="17"/>
  <c r="N71" i="36"/>
  <c r="M9" i="17"/>
  <c r="N46" i="36"/>
  <c r="M8" i="15"/>
  <c r="N19" i="36"/>
  <c r="M5" i="14"/>
  <c r="N17" i="36"/>
  <c r="M3" i="14"/>
  <c r="N40" i="36"/>
  <c r="M2" i="15"/>
  <c r="N53" i="36"/>
  <c r="M3" i="16"/>
  <c r="N73" i="36"/>
  <c r="M11" i="17"/>
  <c r="N58" i="36"/>
  <c r="M8" i="16"/>
  <c r="N4" i="36"/>
  <c r="M2" i="21"/>
  <c r="N23" i="36"/>
  <c r="M9" i="14"/>
  <c r="N72" i="36"/>
  <c r="M10" i="17"/>
  <c r="N41" i="36"/>
  <c r="M3" i="15"/>
  <c r="N52" i="36"/>
  <c r="M2" i="16"/>
  <c r="N5" i="36"/>
  <c r="M3" i="21"/>
  <c r="N9" i="36"/>
  <c r="M7" i="21"/>
  <c r="N45" i="36"/>
  <c r="M7" i="15"/>
  <c r="N13" i="36"/>
  <c r="M11" i="21"/>
  <c r="N13" i="37"/>
  <c r="M11" i="18"/>
  <c r="O25" i="37"/>
  <c r="N11" i="20"/>
  <c r="N48" i="37"/>
  <c r="M10" i="11"/>
  <c r="N16" i="37"/>
  <c r="M2" i="20"/>
  <c r="N66" i="37"/>
  <c r="M4" i="13"/>
  <c r="O22" i="37"/>
  <c r="N8" i="20"/>
  <c r="O64" i="37"/>
  <c r="N2" i="13"/>
  <c r="N40" i="37"/>
  <c r="M2" i="11"/>
  <c r="N55" i="37"/>
  <c r="M5" i="12"/>
  <c r="N70" i="37"/>
  <c r="M8" i="13"/>
  <c r="O11" i="37"/>
  <c r="N9" i="18"/>
  <c r="N47" i="37"/>
  <c r="M9" i="11"/>
  <c r="N8" i="37"/>
  <c r="M6" i="18"/>
  <c r="O42" i="37"/>
  <c r="N4" i="11"/>
  <c r="N46" i="37"/>
  <c r="M8" i="11"/>
  <c r="N44" i="37"/>
  <c r="M6" i="11"/>
  <c r="N58" i="37"/>
  <c r="M8" i="12"/>
  <c r="N68" i="37"/>
  <c r="M6" i="13"/>
  <c r="N24" i="37"/>
  <c r="M10" i="20"/>
  <c r="N59" i="37"/>
  <c r="M9" i="12"/>
  <c r="N67" i="37"/>
  <c r="M5" i="13"/>
  <c r="N4" i="37"/>
  <c r="M2" i="18"/>
  <c r="N41" i="37"/>
  <c r="M3" i="11"/>
  <c r="N60" i="37"/>
  <c r="M10" i="12"/>
  <c r="N54" i="37"/>
  <c r="M4" i="12"/>
  <c r="N49" i="37"/>
  <c r="M11" i="11"/>
  <c r="N61" i="37"/>
  <c r="M11" i="12"/>
  <c r="N56" i="37"/>
  <c r="M6" i="12"/>
  <c r="N69" i="37"/>
  <c r="M7" i="13"/>
  <c r="N57" i="37"/>
  <c r="M7" i="12"/>
  <c r="N6" i="37"/>
  <c r="M4" i="18"/>
  <c r="N71" i="37"/>
  <c r="M9" i="13"/>
  <c r="N17" i="37"/>
  <c r="M3" i="20"/>
  <c r="N10" i="37"/>
  <c r="M8" i="18"/>
  <c r="N7" i="37"/>
  <c r="M5" i="18"/>
  <c r="O65" i="37"/>
  <c r="N3" i="13"/>
  <c r="P23" i="37"/>
  <c r="O9" i="20"/>
  <c r="N18" i="37"/>
  <c r="M4" i="20"/>
  <c r="N20" i="37"/>
  <c r="M6" i="20"/>
  <c r="O45" i="37"/>
  <c r="N7" i="11"/>
  <c r="N52" i="37"/>
  <c r="M2" i="12"/>
  <c r="N72" i="37"/>
  <c r="M10" i="13"/>
  <c r="N43" i="37"/>
  <c r="M5" i="11"/>
  <c r="N53" i="37"/>
  <c r="M3" i="12"/>
  <c r="O21" i="37"/>
  <c r="N7" i="20"/>
  <c r="O73" i="37"/>
  <c r="N11" i="13"/>
  <c r="N5" i="37"/>
  <c r="M3" i="18"/>
  <c r="N12" i="37"/>
  <c r="M10" i="18"/>
  <c r="N9" i="37"/>
  <c r="M7" i="18"/>
  <c r="N19" i="37"/>
  <c r="M5" i="20"/>
  <c r="N58" i="38"/>
  <c r="M8" i="26"/>
  <c r="N18" i="38"/>
  <c r="M4" i="24"/>
  <c r="N54" i="38"/>
  <c r="M4" i="26"/>
  <c r="N64" i="38"/>
  <c r="M2" i="27"/>
  <c r="N48" i="38"/>
  <c r="M10" i="25"/>
  <c r="N40" i="38"/>
  <c r="M2" i="25"/>
  <c r="N67" i="38"/>
  <c r="M5" i="27"/>
  <c r="N11" i="38"/>
  <c r="M9" i="23"/>
  <c r="N22" i="38"/>
  <c r="M8" i="24"/>
  <c r="N56" i="38"/>
  <c r="M6" i="26"/>
  <c r="N42" i="38"/>
  <c r="M4" i="25"/>
  <c r="N24" i="38"/>
  <c r="M10" i="24"/>
  <c r="N60" i="38"/>
  <c r="M10" i="26"/>
  <c r="N45" i="38"/>
  <c r="M7" i="25"/>
  <c r="O5" i="38"/>
  <c r="N3" i="23"/>
  <c r="O17" i="38"/>
  <c r="N3" i="24"/>
  <c r="N25" i="38"/>
  <c r="M11" i="24"/>
  <c r="N9" i="38"/>
  <c r="M7" i="23"/>
  <c r="O8" i="38"/>
  <c r="N6" i="23"/>
  <c r="N69" i="38"/>
  <c r="M7" i="27"/>
  <c r="O55" i="38"/>
  <c r="N5" i="26"/>
  <c r="N57" i="38"/>
  <c r="M7" i="26"/>
  <c r="N16" i="38"/>
  <c r="M2" i="24"/>
  <c r="N19" i="38"/>
  <c r="M5" i="24"/>
  <c r="N12" i="38"/>
  <c r="M10" i="23"/>
  <c r="N71" i="38"/>
  <c r="M9" i="27"/>
  <c r="M6" i="27"/>
  <c r="N68" i="38"/>
  <c r="N10" i="38"/>
  <c r="M8" i="23"/>
  <c r="N53" i="38"/>
  <c r="M3" i="26"/>
  <c r="N47" i="38"/>
  <c r="M9" i="25"/>
  <c r="N65" i="38"/>
  <c r="M3" i="27"/>
  <c r="O4" i="38"/>
  <c r="N2" i="23"/>
  <c r="N43" i="38"/>
  <c r="M5" i="25"/>
  <c r="N73" i="38"/>
  <c r="M11" i="27"/>
  <c r="N13" i="38"/>
  <c r="M11" i="23"/>
  <c r="N52" i="38"/>
  <c r="M2" i="26"/>
  <c r="N49" i="38"/>
  <c r="M11" i="25"/>
  <c r="N66" i="38"/>
  <c r="M4" i="27"/>
  <c r="N46" i="38"/>
  <c r="M8" i="25"/>
  <c r="N7" i="38"/>
  <c r="M5" i="23"/>
  <c r="N61" i="38"/>
  <c r="M11" i="26"/>
  <c r="N44" i="38"/>
  <c r="M6" i="25"/>
  <c r="O6" i="38"/>
  <c r="N4" i="23"/>
  <c r="N70" i="38"/>
  <c r="M8" i="27"/>
  <c r="N41" i="38"/>
  <c r="M3" i="25"/>
  <c r="N23" i="38"/>
  <c r="M9" i="24"/>
  <c r="N20" i="38"/>
  <c r="M6" i="24"/>
  <c r="N72" i="38"/>
  <c r="M10" i="27"/>
  <c r="N59" i="38"/>
  <c r="M9" i="26"/>
  <c r="N21" i="38"/>
  <c r="M7" i="24"/>
  <c r="O9" i="36" l="1"/>
  <c r="N7" i="21"/>
  <c r="O73" i="36"/>
  <c r="N11" i="17"/>
  <c r="O19" i="36"/>
  <c r="N5" i="14"/>
  <c r="O8" i="36"/>
  <c r="N6" i="21"/>
  <c r="O57" i="36"/>
  <c r="N7" i="16"/>
  <c r="O65" i="36"/>
  <c r="N3" i="17"/>
  <c r="O69" i="36"/>
  <c r="N7" i="17"/>
  <c r="O66" i="36"/>
  <c r="N4" i="17"/>
  <c r="O56" i="36"/>
  <c r="N6" i="16"/>
  <c r="O6" i="36"/>
  <c r="N4" i="21"/>
  <c r="O64" i="36"/>
  <c r="N2" i="17"/>
  <c r="O72" i="36"/>
  <c r="N10" i="17"/>
  <c r="O5" i="36"/>
  <c r="N3" i="21"/>
  <c r="O23" i="36"/>
  <c r="N9" i="14"/>
  <c r="O53" i="36"/>
  <c r="N3" i="16"/>
  <c r="O46" i="36"/>
  <c r="N8" i="15"/>
  <c r="O20" i="36"/>
  <c r="N6" i="14"/>
  <c r="O21" i="36"/>
  <c r="N7" i="14"/>
  <c r="O49" i="36"/>
  <c r="N11" i="15"/>
  <c r="O47" i="36"/>
  <c r="N9" i="15"/>
  <c r="O60" i="36"/>
  <c r="N10" i="16"/>
  <c r="O44" i="36"/>
  <c r="N6" i="15"/>
  <c r="O16" i="36"/>
  <c r="N2" i="14"/>
  <c r="P12" i="36"/>
  <c r="O10" i="21"/>
  <c r="O13" i="36"/>
  <c r="N11" i="21"/>
  <c r="O52" i="36"/>
  <c r="N2" i="16"/>
  <c r="O4" i="36"/>
  <c r="N2" i="21"/>
  <c r="O40" i="36"/>
  <c r="N2" i="15"/>
  <c r="O71" i="36"/>
  <c r="N9" i="17"/>
  <c r="O10" i="36"/>
  <c r="N8" i="21"/>
  <c r="O18" i="36"/>
  <c r="N4" i="14"/>
  <c r="O55" i="36"/>
  <c r="N5" i="16"/>
  <c r="O59" i="36"/>
  <c r="N9" i="16"/>
  <c r="O42" i="36"/>
  <c r="N4" i="15"/>
  <c r="O70" i="36"/>
  <c r="N8" i="17"/>
  <c r="O43" i="36"/>
  <c r="N5" i="15"/>
  <c r="P11" i="36"/>
  <c r="O9" i="21"/>
  <c r="O45" i="36"/>
  <c r="N7" i="15"/>
  <c r="O41" i="36"/>
  <c r="N3" i="15"/>
  <c r="O58" i="36"/>
  <c r="N8" i="16"/>
  <c r="O17" i="36"/>
  <c r="N3" i="14"/>
  <c r="O68" i="36"/>
  <c r="N6" i="17"/>
  <c r="O24" i="36"/>
  <c r="N10" i="14"/>
  <c r="O22" i="36"/>
  <c r="N8" i="14"/>
  <c r="O54" i="36"/>
  <c r="N4" i="16"/>
  <c r="O25" i="36"/>
  <c r="N11" i="14"/>
  <c r="P7" i="36"/>
  <c r="O5" i="21"/>
  <c r="O48" i="36"/>
  <c r="N10" i="15"/>
  <c r="O67" i="36"/>
  <c r="N5" i="17"/>
  <c r="O61" i="36"/>
  <c r="N11" i="16"/>
  <c r="P65" i="37"/>
  <c r="O3" i="13"/>
  <c r="O57" i="37"/>
  <c r="N7" i="12"/>
  <c r="O60" i="37"/>
  <c r="N10" i="12"/>
  <c r="O68" i="37"/>
  <c r="N6" i="13"/>
  <c r="O47" i="37"/>
  <c r="N9" i="11"/>
  <c r="P22" i="37"/>
  <c r="O8" i="20"/>
  <c r="O52" i="37"/>
  <c r="N2" i="12"/>
  <c r="O69" i="37"/>
  <c r="N7" i="13"/>
  <c r="O41" i="37"/>
  <c r="N3" i="11"/>
  <c r="O58" i="37"/>
  <c r="N8" i="12"/>
  <c r="P11" i="37"/>
  <c r="O9" i="18"/>
  <c r="O66" i="37"/>
  <c r="N4" i="13"/>
  <c r="P73" i="37"/>
  <c r="O11" i="13"/>
  <c r="O56" i="37"/>
  <c r="N6" i="12"/>
  <c r="O4" i="37"/>
  <c r="N2" i="18"/>
  <c r="O44" i="37"/>
  <c r="N6" i="11"/>
  <c r="O70" i="37"/>
  <c r="N8" i="13"/>
  <c r="O16" i="37"/>
  <c r="N2" i="20"/>
  <c r="O12" i="37"/>
  <c r="N10" i="18"/>
  <c r="O72" i="37"/>
  <c r="N10" i="13"/>
  <c r="O10" i="37"/>
  <c r="N8" i="18"/>
  <c r="O20" i="37"/>
  <c r="N6" i="20"/>
  <c r="O17" i="37"/>
  <c r="N3" i="20"/>
  <c r="O61" i="37"/>
  <c r="N11" i="12"/>
  <c r="O67" i="37"/>
  <c r="N5" i="13"/>
  <c r="O46" i="37"/>
  <c r="N8" i="11"/>
  <c r="O55" i="37"/>
  <c r="N5" i="12"/>
  <c r="O48" i="37"/>
  <c r="N10" i="11"/>
  <c r="O5" i="37"/>
  <c r="N3" i="18"/>
  <c r="P45" i="37"/>
  <c r="O7" i="11"/>
  <c r="P21" i="37"/>
  <c r="O7" i="20"/>
  <c r="O71" i="37"/>
  <c r="N9" i="13"/>
  <c r="O59" i="37"/>
  <c r="N9" i="12"/>
  <c r="P42" i="37"/>
  <c r="O4" i="11"/>
  <c r="O40" i="37"/>
  <c r="N2" i="11"/>
  <c r="P25" i="37"/>
  <c r="O11" i="20"/>
  <c r="O7" i="37"/>
  <c r="N5" i="18"/>
  <c r="O19" i="37"/>
  <c r="N5" i="20"/>
  <c r="O53" i="37"/>
  <c r="N3" i="12"/>
  <c r="O18" i="37"/>
  <c r="N4" i="20"/>
  <c r="O49" i="37"/>
  <c r="N11" i="11"/>
  <c r="O9" i="37"/>
  <c r="N7" i="18"/>
  <c r="O43" i="37"/>
  <c r="N5" i="11"/>
  <c r="Q23" i="37"/>
  <c r="P9" i="20"/>
  <c r="O6" i="37"/>
  <c r="N4" i="18"/>
  <c r="O54" i="37"/>
  <c r="N4" i="12"/>
  <c r="O24" i="37"/>
  <c r="N10" i="20"/>
  <c r="O8" i="37"/>
  <c r="N6" i="18"/>
  <c r="P64" i="37"/>
  <c r="O2" i="13"/>
  <c r="O13" i="37"/>
  <c r="N11" i="18"/>
  <c r="O44" i="38"/>
  <c r="N6" i="25"/>
  <c r="O47" i="38"/>
  <c r="N9" i="25"/>
  <c r="O19" i="38"/>
  <c r="N5" i="24"/>
  <c r="O9" i="38"/>
  <c r="N7" i="23"/>
  <c r="O24" i="38"/>
  <c r="N10" i="24"/>
  <c r="O40" i="38"/>
  <c r="N2" i="25"/>
  <c r="O53" i="38"/>
  <c r="N3" i="26"/>
  <c r="O16" i="38"/>
  <c r="N2" i="24"/>
  <c r="O25" i="38"/>
  <c r="N11" i="24"/>
  <c r="O42" i="38"/>
  <c r="N4" i="25"/>
  <c r="O48" i="38"/>
  <c r="N10" i="25"/>
  <c r="O20" i="38"/>
  <c r="N6" i="24"/>
  <c r="O23" i="38"/>
  <c r="N9" i="24"/>
  <c r="O7" i="38"/>
  <c r="N5" i="23"/>
  <c r="O73" i="38"/>
  <c r="N11" i="27"/>
  <c r="O10" i="38"/>
  <c r="N8" i="23"/>
  <c r="O57" i="38"/>
  <c r="N7" i="26"/>
  <c r="P17" i="38"/>
  <c r="O3" i="24"/>
  <c r="O56" i="38"/>
  <c r="N6" i="26"/>
  <c r="O64" i="38"/>
  <c r="N2" i="27"/>
  <c r="O68" i="38"/>
  <c r="N6" i="27"/>
  <c r="O41" i="38"/>
  <c r="N3" i="25"/>
  <c r="O46" i="38"/>
  <c r="N8" i="25"/>
  <c r="O43" i="38"/>
  <c r="N5" i="25"/>
  <c r="P55" i="38"/>
  <c r="O5" i="26"/>
  <c r="P5" i="38"/>
  <c r="O3" i="23"/>
  <c r="O22" i="38"/>
  <c r="N8" i="24"/>
  <c r="O54" i="38"/>
  <c r="N4" i="26"/>
  <c r="O72" i="38"/>
  <c r="N10" i="27"/>
  <c r="O52" i="38"/>
  <c r="N2" i="26"/>
  <c r="O70" i="38"/>
  <c r="N8" i="27"/>
  <c r="O66" i="38"/>
  <c r="N4" i="27"/>
  <c r="P4" i="38"/>
  <c r="O2" i="23"/>
  <c r="O71" i="38"/>
  <c r="N9" i="27"/>
  <c r="O69" i="38"/>
  <c r="N7" i="27"/>
  <c r="O45" i="38"/>
  <c r="N7" i="25"/>
  <c r="O11" i="38"/>
  <c r="N9" i="23"/>
  <c r="O18" i="38"/>
  <c r="N4" i="24"/>
  <c r="O61" i="38"/>
  <c r="N11" i="26"/>
  <c r="O21" i="38"/>
  <c r="N7" i="24"/>
  <c r="O13" i="38"/>
  <c r="N11" i="23"/>
  <c r="O59" i="38"/>
  <c r="N9" i="26"/>
  <c r="P6" i="38"/>
  <c r="O4" i="23"/>
  <c r="O49" i="38"/>
  <c r="N11" i="25"/>
  <c r="O65" i="38"/>
  <c r="N3" i="27"/>
  <c r="O12" i="38"/>
  <c r="N10" i="23"/>
  <c r="P8" i="38"/>
  <c r="O6" i="23"/>
  <c r="O60" i="38"/>
  <c r="N10" i="26"/>
  <c r="O67" i="38"/>
  <c r="N5" i="27"/>
  <c r="O58" i="38"/>
  <c r="N8" i="26"/>
  <c r="P48" i="36" l="1"/>
  <c r="O10" i="15"/>
  <c r="P22" i="36"/>
  <c r="O8" i="14"/>
  <c r="P58" i="36"/>
  <c r="O8" i="16"/>
  <c r="P43" i="36"/>
  <c r="O5" i="15"/>
  <c r="P55" i="36"/>
  <c r="O5" i="16"/>
  <c r="P40" i="36"/>
  <c r="O2" i="15"/>
  <c r="Q12" i="36"/>
  <c r="P10" i="21"/>
  <c r="P47" i="36"/>
  <c r="O9" i="15"/>
  <c r="P46" i="36"/>
  <c r="O8" i="15"/>
  <c r="P72" i="36"/>
  <c r="O10" i="17"/>
  <c r="P66" i="36"/>
  <c r="O4" i="17"/>
  <c r="P8" i="36"/>
  <c r="O6" i="21"/>
  <c r="Q7" i="36"/>
  <c r="P5" i="21"/>
  <c r="P24" i="36"/>
  <c r="O10" i="14"/>
  <c r="P41" i="36"/>
  <c r="O3" i="15"/>
  <c r="P70" i="36"/>
  <c r="O8" i="17"/>
  <c r="P18" i="36"/>
  <c r="O4" i="14"/>
  <c r="P4" i="36"/>
  <c r="O2" i="21"/>
  <c r="P16" i="36"/>
  <c r="O2" i="14"/>
  <c r="P49" i="36"/>
  <c r="O11" i="15"/>
  <c r="P53" i="36"/>
  <c r="O3" i="16"/>
  <c r="P64" i="36"/>
  <c r="O2" i="17"/>
  <c r="P69" i="36"/>
  <c r="O7" i="17"/>
  <c r="P19" i="36"/>
  <c r="O5" i="14"/>
  <c r="P61" i="36"/>
  <c r="O11" i="16"/>
  <c r="P25" i="36"/>
  <c r="O11" i="14"/>
  <c r="P68" i="36"/>
  <c r="O6" i="17"/>
  <c r="P45" i="36"/>
  <c r="O7" i="15"/>
  <c r="P42" i="36"/>
  <c r="O4" i="15"/>
  <c r="P10" i="36"/>
  <c r="O8" i="21"/>
  <c r="P52" i="36"/>
  <c r="O2" i="16"/>
  <c r="P44" i="36"/>
  <c r="O6" i="15"/>
  <c r="P21" i="36"/>
  <c r="O7" i="14"/>
  <c r="P23" i="36"/>
  <c r="O9" i="14"/>
  <c r="P6" i="36"/>
  <c r="O4" i="21"/>
  <c r="P65" i="36"/>
  <c r="O3" i="17"/>
  <c r="P73" i="36"/>
  <c r="O11" i="17"/>
  <c r="P67" i="36"/>
  <c r="O5" i="17"/>
  <c r="P54" i="36"/>
  <c r="O4" i="16"/>
  <c r="P17" i="36"/>
  <c r="O3" i="14"/>
  <c r="Q11" i="36"/>
  <c r="P9" i="21"/>
  <c r="P59" i="36"/>
  <c r="O9" i="16"/>
  <c r="P71" i="36"/>
  <c r="O9" i="17"/>
  <c r="P13" i="36"/>
  <c r="O11" i="21"/>
  <c r="P60" i="36"/>
  <c r="O10" i="16"/>
  <c r="P20" i="36"/>
  <c r="O6" i="14"/>
  <c r="P5" i="36"/>
  <c r="O3" i="21"/>
  <c r="P56" i="36"/>
  <c r="O6" i="16"/>
  <c r="P57" i="36"/>
  <c r="O7" i="16"/>
  <c r="P9" i="36"/>
  <c r="O7" i="21"/>
  <c r="P8" i="37"/>
  <c r="O6" i="18"/>
  <c r="P9" i="37"/>
  <c r="O7" i="18"/>
  <c r="Q25" i="37"/>
  <c r="P11" i="20"/>
  <c r="Q45" i="37"/>
  <c r="P7" i="11"/>
  <c r="P61" i="37"/>
  <c r="O11" i="12"/>
  <c r="P16" i="37"/>
  <c r="O2" i="20"/>
  <c r="P66" i="37"/>
  <c r="O4" i="13"/>
  <c r="Q22" i="37"/>
  <c r="P8" i="20"/>
  <c r="P40" i="37"/>
  <c r="O2" i="11"/>
  <c r="P5" i="37"/>
  <c r="O3" i="18"/>
  <c r="P17" i="37"/>
  <c r="O3" i="20"/>
  <c r="P70" i="37"/>
  <c r="O8" i="13"/>
  <c r="Q11" i="37"/>
  <c r="P9" i="18"/>
  <c r="P47" i="37"/>
  <c r="O9" i="11"/>
  <c r="Q42" i="37"/>
  <c r="P4" i="11"/>
  <c r="P48" i="37"/>
  <c r="O10" i="11"/>
  <c r="P20" i="37"/>
  <c r="O6" i="20"/>
  <c r="P44" i="37"/>
  <c r="O6" i="11"/>
  <c r="P58" i="37"/>
  <c r="O8" i="12"/>
  <c r="P68" i="37"/>
  <c r="O6" i="13"/>
  <c r="P53" i="37"/>
  <c r="O3" i="12"/>
  <c r="P59" i="37"/>
  <c r="O9" i="12"/>
  <c r="P55" i="37"/>
  <c r="O5" i="12"/>
  <c r="P10" i="37"/>
  <c r="O8" i="18"/>
  <c r="P4" i="37"/>
  <c r="O2" i="18"/>
  <c r="P41" i="37"/>
  <c r="O3" i="11"/>
  <c r="P60" i="37"/>
  <c r="O10" i="12"/>
  <c r="P49" i="37"/>
  <c r="O11" i="11"/>
  <c r="P54" i="37"/>
  <c r="O4" i="12"/>
  <c r="P6" i="37"/>
  <c r="O4" i="18"/>
  <c r="R23" i="37"/>
  <c r="Q9" i="20"/>
  <c r="P71" i="37"/>
  <c r="O9" i="13"/>
  <c r="P46" i="37"/>
  <c r="O8" i="11"/>
  <c r="P72" i="37"/>
  <c r="O10" i="13"/>
  <c r="P56" i="37"/>
  <c r="O6" i="12"/>
  <c r="P69" i="37"/>
  <c r="O7" i="13"/>
  <c r="P57" i="37"/>
  <c r="O7" i="12"/>
  <c r="P24" i="37"/>
  <c r="O10" i="20"/>
  <c r="P18" i="37"/>
  <c r="O4" i="20"/>
  <c r="P13" i="37"/>
  <c r="O11" i="18"/>
  <c r="P19" i="37"/>
  <c r="O5" i="20"/>
  <c r="Q64" i="37"/>
  <c r="P2" i="13"/>
  <c r="P43" i="37"/>
  <c r="O5" i="11"/>
  <c r="P7" i="37"/>
  <c r="O5" i="18"/>
  <c r="Q21" i="37"/>
  <c r="P7" i="20"/>
  <c r="P67" i="37"/>
  <c r="O5" i="13"/>
  <c r="P12" i="37"/>
  <c r="O10" i="18"/>
  <c r="Q73" i="37"/>
  <c r="P11" i="13"/>
  <c r="P52" i="37"/>
  <c r="O2" i="12"/>
  <c r="Q65" i="37"/>
  <c r="P3" i="13"/>
  <c r="P52" i="38"/>
  <c r="O2" i="26"/>
  <c r="P43" i="38"/>
  <c r="O5" i="25"/>
  <c r="Q17" i="38"/>
  <c r="P3" i="24"/>
  <c r="P20" i="38"/>
  <c r="O6" i="24"/>
  <c r="P40" i="38"/>
  <c r="O2" i="25"/>
  <c r="P72" i="38"/>
  <c r="O10" i="27"/>
  <c r="P46" i="38"/>
  <c r="O8" i="25"/>
  <c r="P57" i="38"/>
  <c r="O7" i="26"/>
  <c r="P48" i="38"/>
  <c r="O10" i="25"/>
  <c r="P24" i="38"/>
  <c r="O10" i="24"/>
  <c r="P69" i="38"/>
  <c r="O7" i="27"/>
  <c r="P12" i="38"/>
  <c r="O10" i="23"/>
  <c r="P21" i="38"/>
  <c r="O7" i="24"/>
  <c r="P71" i="38"/>
  <c r="O9" i="27"/>
  <c r="P54" i="38"/>
  <c r="O4" i="26"/>
  <c r="P41" i="38"/>
  <c r="O3" i="25"/>
  <c r="P10" i="38"/>
  <c r="O8" i="23"/>
  <c r="P42" i="38"/>
  <c r="O4" i="25"/>
  <c r="P9" i="38"/>
  <c r="O7" i="23"/>
  <c r="P60" i="38"/>
  <c r="O10" i="26"/>
  <c r="P65" i="38"/>
  <c r="O3" i="27"/>
  <c r="P61" i="38"/>
  <c r="O11" i="26"/>
  <c r="Q4" i="38"/>
  <c r="P2" i="23"/>
  <c r="P22" i="38"/>
  <c r="O8" i="24"/>
  <c r="P68" i="38"/>
  <c r="O6" i="27"/>
  <c r="P73" i="38"/>
  <c r="O11" i="27"/>
  <c r="P25" i="38"/>
  <c r="O11" i="24"/>
  <c r="P19" i="38"/>
  <c r="O5" i="24"/>
  <c r="P59" i="38"/>
  <c r="O9" i="26"/>
  <c r="P45" i="38"/>
  <c r="O7" i="25"/>
  <c r="P58" i="38"/>
  <c r="O8" i="26"/>
  <c r="P49" i="38"/>
  <c r="O11" i="25"/>
  <c r="P18" i="38"/>
  <c r="O4" i="24"/>
  <c r="P66" i="38"/>
  <c r="O4" i="27"/>
  <c r="Q5" i="38"/>
  <c r="P3" i="23"/>
  <c r="P64" i="38"/>
  <c r="O2" i="27"/>
  <c r="P7" i="38"/>
  <c r="O5" i="23"/>
  <c r="P16" i="38"/>
  <c r="O2" i="24"/>
  <c r="P47" i="38"/>
  <c r="O9" i="25"/>
  <c r="P13" i="38"/>
  <c r="O11" i="23"/>
  <c r="Q8" i="38"/>
  <c r="P6" i="23"/>
  <c r="P67" i="38"/>
  <c r="O5" i="27"/>
  <c r="Q6" i="38"/>
  <c r="P4" i="23"/>
  <c r="P11" i="38"/>
  <c r="O9" i="23"/>
  <c r="P70" i="38"/>
  <c r="O8" i="27"/>
  <c r="Q55" i="38"/>
  <c r="P5" i="26"/>
  <c r="P56" i="38"/>
  <c r="O6" i="26"/>
  <c r="P23" i="38"/>
  <c r="O9" i="24"/>
  <c r="P53" i="38"/>
  <c r="O3" i="26"/>
  <c r="P44" i="38"/>
  <c r="O6" i="25"/>
  <c r="Q13" i="36" l="1"/>
  <c r="P11" i="21"/>
  <c r="Q17" i="36"/>
  <c r="P3" i="14"/>
  <c r="Q65" i="36"/>
  <c r="P3" i="17"/>
  <c r="Q44" i="36"/>
  <c r="P6" i="15"/>
  <c r="Q45" i="36"/>
  <c r="P7" i="15"/>
  <c r="Q19" i="36"/>
  <c r="P5" i="14"/>
  <c r="Q49" i="36"/>
  <c r="P11" i="15"/>
  <c r="Q70" i="36"/>
  <c r="P8" i="17"/>
  <c r="Q8" i="36"/>
  <c r="P6" i="21"/>
  <c r="Q47" i="36"/>
  <c r="P9" i="15"/>
  <c r="Q43" i="36"/>
  <c r="P5" i="15"/>
  <c r="Q56" i="36"/>
  <c r="P6" i="16"/>
  <c r="Q5" i="36"/>
  <c r="P3" i="21"/>
  <c r="Q71" i="36"/>
  <c r="P9" i="17"/>
  <c r="Q54" i="36"/>
  <c r="P4" i="16"/>
  <c r="Q6" i="36"/>
  <c r="P4" i="21"/>
  <c r="Q52" i="36"/>
  <c r="P2" i="16"/>
  <c r="Q68" i="36"/>
  <c r="P6" i="17"/>
  <c r="Q69" i="36"/>
  <c r="P7" i="17"/>
  <c r="Q16" i="36"/>
  <c r="P2" i="14"/>
  <c r="Q41" i="36"/>
  <c r="P3" i="15"/>
  <c r="Q66" i="36"/>
  <c r="P4" i="17"/>
  <c r="R12" i="36"/>
  <c r="Q10" i="21"/>
  <c r="Q58" i="36"/>
  <c r="P8" i="16"/>
  <c r="Q9" i="36"/>
  <c r="P7" i="21"/>
  <c r="Q20" i="36"/>
  <c r="P6" i="14"/>
  <c r="Q59" i="36"/>
  <c r="P9" i="16"/>
  <c r="Q67" i="36"/>
  <c r="P5" i="17"/>
  <c r="Q23" i="36"/>
  <c r="P9" i="14"/>
  <c r="Q10" i="36"/>
  <c r="P8" i="21"/>
  <c r="Q25" i="36"/>
  <c r="P11" i="14"/>
  <c r="Q64" i="36"/>
  <c r="P2" i="17"/>
  <c r="Q4" i="36"/>
  <c r="P2" i="21"/>
  <c r="Q24" i="36"/>
  <c r="P10" i="14"/>
  <c r="Q72" i="36"/>
  <c r="P10" i="17"/>
  <c r="Q40" i="36"/>
  <c r="P2" i="15"/>
  <c r="Q22" i="36"/>
  <c r="P8" i="14"/>
  <c r="Q57" i="36"/>
  <c r="P7" i="16"/>
  <c r="Q60" i="36"/>
  <c r="P10" i="16"/>
  <c r="R11" i="36"/>
  <c r="Q9" i="21"/>
  <c r="Q73" i="36"/>
  <c r="P11" i="17"/>
  <c r="Q21" i="36"/>
  <c r="P7" i="14"/>
  <c r="Q42" i="36"/>
  <c r="P4" i="15"/>
  <c r="Q61" i="36"/>
  <c r="P11" i="16"/>
  <c r="Q53" i="36"/>
  <c r="P3" i="16"/>
  <c r="Q18" i="36"/>
  <c r="P4" i="14"/>
  <c r="R7" i="36"/>
  <c r="Q5" i="21"/>
  <c r="Q46" i="36"/>
  <c r="P8" i="15"/>
  <c r="Q55" i="36"/>
  <c r="P5" i="16"/>
  <c r="Q48" i="36"/>
  <c r="P10" i="15"/>
  <c r="Q2" i="13"/>
  <c r="R64" i="37"/>
  <c r="Q69" i="37"/>
  <c r="P7" i="13"/>
  <c r="Q6" i="37"/>
  <c r="P4" i="18"/>
  <c r="Q10" i="37"/>
  <c r="P8" i="18"/>
  <c r="Q44" i="37"/>
  <c r="P6" i="11"/>
  <c r="Q70" i="37"/>
  <c r="P8" i="13"/>
  <c r="Q16" i="37"/>
  <c r="P2" i="20"/>
  <c r="Q19" i="37"/>
  <c r="P5" i="20"/>
  <c r="Q54" i="37"/>
  <c r="P4" i="12"/>
  <c r="Q55" i="37"/>
  <c r="P5" i="12"/>
  <c r="Q20" i="37"/>
  <c r="P6" i="20"/>
  <c r="Q17" i="37"/>
  <c r="P3" i="20"/>
  <c r="Q61" i="37"/>
  <c r="P11" i="12"/>
  <c r="R73" i="37"/>
  <c r="Q11" i="13"/>
  <c r="Q67" i="37"/>
  <c r="P5" i="13"/>
  <c r="Q49" i="37"/>
  <c r="P11" i="11"/>
  <c r="Q59" i="37"/>
  <c r="P9" i="12"/>
  <c r="Q48" i="37"/>
  <c r="P10" i="11"/>
  <c r="Q5" i="37"/>
  <c r="P3" i="18"/>
  <c r="R45" i="37"/>
  <c r="Q7" i="11"/>
  <c r="Q56" i="37"/>
  <c r="P6" i="12"/>
  <c r="R21" i="37"/>
  <c r="Q7" i="20"/>
  <c r="Q46" i="37"/>
  <c r="P8" i="11"/>
  <c r="Q60" i="37"/>
  <c r="P10" i="12"/>
  <c r="Q53" i="37"/>
  <c r="P3" i="12"/>
  <c r="R42" i="37"/>
  <c r="Q4" i="11"/>
  <c r="Q40" i="37"/>
  <c r="P2" i="11"/>
  <c r="R25" i="37"/>
  <c r="Q11" i="20"/>
  <c r="Q72" i="37"/>
  <c r="P10" i="13"/>
  <c r="Q18" i="37"/>
  <c r="P4" i="20"/>
  <c r="Q71" i="37"/>
  <c r="P9" i="13"/>
  <c r="Q68" i="37"/>
  <c r="P6" i="13"/>
  <c r="Q47" i="37"/>
  <c r="P9" i="11"/>
  <c r="R22" i="37"/>
  <c r="Q8" i="20"/>
  <c r="Q9" i="37"/>
  <c r="P7" i="18"/>
  <c r="Q12" i="37"/>
  <c r="P10" i="18"/>
  <c r="Q13" i="37"/>
  <c r="P11" i="18"/>
  <c r="R65" i="37"/>
  <c r="Q3" i="13"/>
  <c r="Q7" i="37"/>
  <c r="P5" i="18"/>
  <c r="Q24" i="37"/>
  <c r="P10" i="20"/>
  <c r="Q41" i="37"/>
  <c r="P3" i="11"/>
  <c r="Q52" i="37"/>
  <c r="P2" i="12"/>
  <c r="Q43" i="37"/>
  <c r="P5" i="11"/>
  <c r="Q57" i="37"/>
  <c r="P7" i="12"/>
  <c r="S23" i="37"/>
  <c r="R9" i="20"/>
  <c r="Q4" i="37"/>
  <c r="P2" i="18"/>
  <c r="Q58" i="37"/>
  <c r="P8" i="12"/>
  <c r="R11" i="37"/>
  <c r="Q9" i="18"/>
  <c r="Q66" i="37"/>
  <c r="P4" i="13"/>
  <c r="Q8" i="37"/>
  <c r="P6" i="18"/>
  <c r="Q45" i="38"/>
  <c r="P7" i="25"/>
  <c r="Q42" i="38"/>
  <c r="P4" i="25"/>
  <c r="Q59" i="38"/>
  <c r="P9" i="26"/>
  <c r="R4" i="38"/>
  <c r="Q2" i="23"/>
  <c r="Q10" i="38"/>
  <c r="P8" i="23"/>
  <c r="Q69" i="38"/>
  <c r="P7" i="27"/>
  <c r="Q40" i="38"/>
  <c r="P2" i="25"/>
  <c r="Q67" i="38"/>
  <c r="P5" i="27"/>
  <c r="Q13" i="38"/>
  <c r="P11" i="23"/>
  <c r="Q66" i="38"/>
  <c r="P4" i="27"/>
  <c r="Q19" i="38"/>
  <c r="P5" i="24"/>
  <c r="Q61" i="38"/>
  <c r="P11" i="26"/>
  <c r="Q41" i="38"/>
  <c r="P3" i="25"/>
  <c r="Q24" i="38"/>
  <c r="P10" i="24"/>
  <c r="Q20" i="38"/>
  <c r="P6" i="24"/>
  <c r="Q23" i="38"/>
  <c r="P9" i="24"/>
  <c r="Q72" i="38"/>
  <c r="P10" i="27"/>
  <c r="Q70" i="38"/>
  <c r="P8" i="27"/>
  <c r="Q47" i="38"/>
  <c r="P9" i="25"/>
  <c r="Q18" i="38"/>
  <c r="P4" i="24"/>
  <c r="Q25" i="38"/>
  <c r="P11" i="24"/>
  <c r="Q65" i="38"/>
  <c r="P3" i="27"/>
  <c r="Q54" i="38"/>
  <c r="P4" i="26"/>
  <c r="Q48" i="38"/>
  <c r="P10" i="25"/>
  <c r="R17" i="38"/>
  <c r="Q3" i="24"/>
  <c r="Q22" i="38"/>
  <c r="P8" i="24"/>
  <c r="Q56" i="38"/>
  <c r="P6" i="26"/>
  <c r="R55" i="38"/>
  <c r="Q5" i="26"/>
  <c r="Q16" i="38"/>
  <c r="P2" i="24"/>
  <c r="Q49" i="38"/>
  <c r="P11" i="25"/>
  <c r="Q73" i="38"/>
  <c r="P11" i="27"/>
  <c r="Q60" i="38"/>
  <c r="P10" i="26"/>
  <c r="Q71" i="38"/>
  <c r="P9" i="27"/>
  <c r="Q57" i="38"/>
  <c r="P7" i="26"/>
  <c r="Q43" i="38"/>
  <c r="P5" i="25"/>
  <c r="Q64" i="38"/>
  <c r="P2" i="27"/>
  <c r="R5" i="38"/>
  <c r="Q3" i="23"/>
  <c r="Q44" i="38"/>
  <c r="P6" i="25"/>
  <c r="Q12" i="38"/>
  <c r="P10" i="23"/>
  <c r="R8" i="38"/>
  <c r="Q6" i="23"/>
  <c r="Q11" i="38"/>
  <c r="P9" i="23"/>
  <c r="Q53" i="38"/>
  <c r="P3" i="26"/>
  <c r="R6" i="38"/>
  <c r="Q4" i="23"/>
  <c r="Q7" i="38"/>
  <c r="P5" i="23"/>
  <c r="Q58" i="38"/>
  <c r="P8" i="26"/>
  <c r="Q68" i="38"/>
  <c r="P6" i="27"/>
  <c r="Q9" i="38"/>
  <c r="P7" i="23"/>
  <c r="Q21" i="38"/>
  <c r="P7" i="24"/>
  <c r="Q46" i="38"/>
  <c r="P8" i="25"/>
  <c r="Q52" i="38"/>
  <c r="P2" i="26"/>
  <c r="R61" i="36" l="1"/>
  <c r="Q11" i="16"/>
  <c r="S11" i="36"/>
  <c r="R9" i="21"/>
  <c r="R40" i="36"/>
  <c r="Q2" i="15"/>
  <c r="R64" i="36"/>
  <c r="Q2" i="17"/>
  <c r="R67" i="36"/>
  <c r="Q5" i="17"/>
  <c r="R58" i="36"/>
  <c r="Q8" i="16"/>
  <c r="R16" i="36"/>
  <c r="Q2" i="14"/>
  <c r="R6" i="36"/>
  <c r="Q4" i="21"/>
  <c r="R56" i="36"/>
  <c r="Q6" i="16"/>
  <c r="R70" i="36"/>
  <c r="Q8" i="17"/>
  <c r="R44" i="36"/>
  <c r="Q6" i="15"/>
  <c r="R46" i="36"/>
  <c r="Q8" i="15"/>
  <c r="S7" i="36"/>
  <c r="R5" i="21"/>
  <c r="R42" i="36"/>
  <c r="Q4" i="15"/>
  <c r="R60" i="36"/>
  <c r="Q10" i="16"/>
  <c r="R72" i="36"/>
  <c r="Q10" i="17"/>
  <c r="R25" i="36"/>
  <c r="Q11" i="14"/>
  <c r="R59" i="36"/>
  <c r="Q9" i="16"/>
  <c r="S12" i="36"/>
  <c r="R10" i="21"/>
  <c r="R69" i="36"/>
  <c r="Q7" i="17"/>
  <c r="R54" i="36"/>
  <c r="Q4" i="16"/>
  <c r="R43" i="36"/>
  <c r="Q5" i="15"/>
  <c r="R49" i="36"/>
  <c r="Q11" i="15"/>
  <c r="R65" i="36"/>
  <c r="Q3" i="17"/>
  <c r="R48" i="36"/>
  <c r="Q10" i="15"/>
  <c r="R18" i="36"/>
  <c r="Q4" i="14"/>
  <c r="R21" i="36"/>
  <c r="Q7" i="14"/>
  <c r="R57" i="36"/>
  <c r="Q7" i="16"/>
  <c r="R24" i="36"/>
  <c r="Q10" i="14"/>
  <c r="R10" i="36"/>
  <c r="Q8" i="21"/>
  <c r="R20" i="36"/>
  <c r="Q6" i="14"/>
  <c r="R66" i="36"/>
  <c r="Q4" i="17"/>
  <c r="R68" i="36"/>
  <c r="Q6" i="17"/>
  <c r="R71" i="36"/>
  <c r="Q9" i="17"/>
  <c r="R47" i="36"/>
  <c r="Q9" i="15"/>
  <c r="R19" i="36"/>
  <c r="Q5" i="14"/>
  <c r="R17" i="36"/>
  <c r="Q3" i="14"/>
  <c r="R55" i="36"/>
  <c r="Q5" i="16"/>
  <c r="R53" i="36"/>
  <c r="Q3" i="16"/>
  <c r="R73" i="36"/>
  <c r="Q11" i="17"/>
  <c r="R22" i="36"/>
  <c r="Q8" i="14"/>
  <c r="R4" i="36"/>
  <c r="Q2" i="21"/>
  <c r="R23" i="36"/>
  <c r="Q9" i="14"/>
  <c r="R9" i="36"/>
  <c r="Q7" i="21"/>
  <c r="R41" i="36"/>
  <c r="Q3" i="15"/>
  <c r="R52" i="36"/>
  <c r="Q2" i="16"/>
  <c r="R5" i="36"/>
  <c r="Q3" i="21"/>
  <c r="R8" i="36"/>
  <c r="Q6" i="21"/>
  <c r="R45" i="36"/>
  <c r="Q7" i="15"/>
  <c r="R13" i="36"/>
  <c r="Q11" i="21"/>
  <c r="S11" i="37"/>
  <c r="R9" i="18"/>
  <c r="R52" i="37"/>
  <c r="Q2" i="12"/>
  <c r="R12" i="37"/>
  <c r="Q10" i="18"/>
  <c r="R18" i="37"/>
  <c r="Q4" i="20"/>
  <c r="R60" i="37"/>
  <c r="Q10" i="12"/>
  <c r="R48" i="37"/>
  <c r="Q10" i="11"/>
  <c r="R17" i="37"/>
  <c r="Q3" i="20"/>
  <c r="R70" i="37"/>
  <c r="Q8" i="13"/>
  <c r="R58" i="37"/>
  <c r="Q8" i="12"/>
  <c r="R41" i="37"/>
  <c r="Q3" i="11"/>
  <c r="R9" i="37"/>
  <c r="Q7" i="18"/>
  <c r="R72" i="37"/>
  <c r="Q10" i="13"/>
  <c r="R46" i="37"/>
  <c r="Q8" i="11"/>
  <c r="R59" i="37"/>
  <c r="Q9" i="12"/>
  <c r="R20" i="37"/>
  <c r="Q6" i="20"/>
  <c r="R44" i="37"/>
  <c r="Q6" i="11"/>
  <c r="R4" i="37"/>
  <c r="Q2" i="18"/>
  <c r="R24" i="37"/>
  <c r="Q10" i="20"/>
  <c r="S22" i="37"/>
  <c r="R8" i="20"/>
  <c r="S25" i="37"/>
  <c r="R11" i="20"/>
  <c r="S21" i="37"/>
  <c r="R7" i="20"/>
  <c r="R49" i="37"/>
  <c r="Q11" i="11"/>
  <c r="R55" i="37"/>
  <c r="Q5" i="12"/>
  <c r="R10" i="37"/>
  <c r="Q8" i="18"/>
  <c r="T23" i="37"/>
  <c r="S9" i="20"/>
  <c r="R7" i="37"/>
  <c r="Q5" i="18"/>
  <c r="R47" i="37"/>
  <c r="Q9" i="11"/>
  <c r="R40" i="37"/>
  <c r="Q2" i="11"/>
  <c r="R56" i="37"/>
  <c r="Q6" i="12"/>
  <c r="R67" i="37"/>
  <c r="Q5" i="13"/>
  <c r="R54" i="37"/>
  <c r="Q4" i="12"/>
  <c r="R6" i="37"/>
  <c r="Q4" i="18"/>
  <c r="R8" i="37"/>
  <c r="Q6" i="18"/>
  <c r="R57" i="37"/>
  <c r="Q7" i="12"/>
  <c r="S65" i="37"/>
  <c r="R3" i="13"/>
  <c r="R68" i="37"/>
  <c r="Q6" i="13"/>
  <c r="S42" i="37"/>
  <c r="R4" i="11"/>
  <c r="S45" i="37"/>
  <c r="R7" i="11"/>
  <c r="S73" i="37"/>
  <c r="R11" i="13"/>
  <c r="R19" i="37"/>
  <c r="Q5" i="20"/>
  <c r="R69" i="37"/>
  <c r="Q7" i="13"/>
  <c r="S64" i="37"/>
  <c r="R2" i="13"/>
  <c r="R66" i="37"/>
  <c r="Q4" i="13"/>
  <c r="R43" i="37"/>
  <c r="Q5" i="11"/>
  <c r="R13" i="37"/>
  <c r="Q11" i="18"/>
  <c r="R71" i="37"/>
  <c r="Q9" i="13"/>
  <c r="R53" i="37"/>
  <c r="Q3" i="12"/>
  <c r="R5" i="37"/>
  <c r="Q3" i="18"/>
  <c r="R61" i="37"/>
  <c r="Q11" i="12"/>
  <c r="R16" i="37"/>
  <c r="Q2" i="20"/>
  <c r="R21" i="38"/>
  <c r="Q7" i="24"/>
  <c r="R53" i="38"/>
  <c r="Q3" i="26"/>
  <c r="R64" i="38"/>
  <c r="Q2" i="27"/>
  <c r="R49" i="38"/>
  <c r="Q11" i="25"/>
  <c r="R48" i="38"/>
  <c r="Q10" i="25"/>
  <c r="R70" i="38"/>
  <c r="Q8" i="27"/>
  <c r="Q11" i="26"/>
  <c r="R61" i="38"/>
  <c r="R69" i="38"/>
  <c r="Q7" i="27"/>
  <c r="R9" i="38"/>
  <c r="Q7" i="23"/>
  <c r="R11" i="38"/>
  <c r="Q9" i="23"/>
  <c r="R43" i="38"/>
  <c r="Q5" i="25"/>
  <c r="R16" i="38"/>
  <c r="Q2" i="24"/>
  <c r="R54" i="38"/>
  <c r="Q4" i="26"/>
  <c r="R72" i="38"/>
  <c r="Q10" i="27"/>
  <c r="R19" i="38"/>
  <c r="Q5" i="24"/>
  <c r="R10" i="38"/>
  <c r="Q8" i="23"/>
  <c r="R68" i="38"/>
  <c r="Q6" i="27"/>
  <c r="S8" i="38"/>
  <c r="R6" i="23"/>
  <c r="R57" i="38"/>
  <c r="Q7" i="26"/>
  <c r="S55" i="38"/>
  <c r="R5" i="26"/>
  <c r="R65" i="38"/>
  <c r="Q3" i="27"/>
  <c r="R23" i="38"/>
  <c r="Q9" i="24"/>
  <c r="R66" i="38"/>
  <c r="Q4" i="27"/>
  <c r="S4" i="38"/>
  <c r="R2" i="23"/>
  <c r="R58" i="38"/>
  <c r="Q8" i="26"/>
  <c r="R12" i="38"/>
  <c r="Q10" i="23"/>
  <c r="R71" i="38"/>
  <c r="Q9" i="27"/>
  <c r="R56" i="38"/>
  <c r="Q6" i="26"/>
  <c r="R25" i="38"/>
  <c r="Q11" i="24"/>
  <c r="R20" i="38"/>
  <c r="Q6" i="24"/>
  <c r="R13" i="38"/>
  <c r="Q11" i="23"/>
  <c r="R59" i="38"/>
  <c r="Q9" i="26"/>
  <c r="R52" i="38"/>
  <c r="Q2" i="26"/>
  <c r="R7" i="38"/>
  <c r="Q5" i="23"/>
  <c r="R44" i="38"/>
  <c r="Q6" i="25"/>
  <c r="R60" i="38"/>
  <c r="Q10" i="26"/>
  <c r="R22" i="38"/>
  <c r="Q8" i="24"/>
  <c r="R18" i="38"/>
  <c r="Q4" i="24"/>
  <c r="R24" i="38"/>
  <c r="Q10" i="24"/>
  <c r="R67" i="38"/>
  <c r="Q5" i="27"/>
  <c r="R42" i="38"/>
  <c r="Q4" i="25"/>
  <c r="R46" i="38"/>
  <c r="Q8" i="25"/>
  <c r="S6" i="38"/>
  <c r="R4" i="23"/>
  <c r="S5" i="38"/>
  <c r="R3" i="23"/>
  <c r="R73" i="38"/>
  <c r="Q11" i="27"/>
  <c r="S17" i="38"/>
  <c r="R3" i="24"/>
  <c r="R47" i="38"/>
  <c r="Q9" i="25"/>
  <c r="R41" i="38"/>
  <c r="Q3" i="25"/>
  <c r="R40" i="38"/>
  <c r="Q2" i="25"/>
  <c r="R45" i="38"/>
  <c r="Q7" i="25"/>
  <c r="S9" i="36" l="1"/>
  <c r="R7" i="21"/>
  <c r="S73" i="36"/>
  <c r="R11" i="17"/>
  <c r="S19" i="36"/>
  <c r="R5" i="14"/>
  <c r="S66" i="36"/>
  <c r="R4" i="17"/>
  <c r="S57" i="36"/>
  <c r="R7" i="16"/>
  <c r="S65" i="36"/>
  <c r="R3" i="17"/>
  <c r="S69" i="36"/>
  <c r="R7" i="17"/>
  <c r="S72" i="36"/>
  <c r="R10" i="17"/>
  <c r="S46" i="36"/>
  <c r="R8" i="15"/>
  <c r="S6" i="36"/>
  <c r="R4" i="21"/>
  <c r="S64" i="36"/>
  <c r="R2" i="17"/>
  <c r="S8" i="36"/>
  <c r="R6" i="21"/>
  <c r="S5" i="36"/>
  <c r="R3" i="21"/>
  <c r="S23" i="36"/>
  <c r="R9" i="14"/>
  <c r="S53" i="36"/>
  <c r="R3" i="16"/>
  <c r="S47" i="36"/>
  <c r="R9" i="15"/>
  <c r="S20" i="36"/>
  <c r="R6" i="14"/>
  <c r="S21" i="36"/>
  <c r="R7" i="14"/>
  <c r="S49" i="36"/>
  <c r="R11" i="15"/>
  <c r="T12" i="36"/>
  <c r="S10" i="21"/>
  <c r="S60" i="36"/>
  <c r="R10" i="16"/>
  <c r="S44" i="36"/>
  <c r="R6" i="15"/>
  <c r="S16" i="36"/>
  <c r="R2" i="14"/>
  <c r="S40" i="36"/>
  <c r="R2" i="15"/>
  <c r="S13" i="36"/>
  <c r="R11" i="21"/>
  <c r="S52" i="36"/>
  <c r="R2" i="16"/>
  <c r="S4" i="36"/>
  <c r="R2" i="21"/>
  <c r="S55" i="36"/>
  <c r="R5" i="16"/>
  <c r="S71" i="36"/>
  <c r="R9" i="17"/>
  <c r="S10" i="36"/>
  <c r="R8" i="21"/>
  <c r="S18" i="36"/>
  <c r="R4" i="14"/>
  <c r="S43" i="36"/>
  <c r="R5" i="15"/>
  <c r="S59" i="36"/>
  <c r="R9" i="16"/>
  <c r="S42" i="36"/>
  <c r="R4" i="15"/>
  <c r="S70" i="36"/>
  <c r="R8" i="17"/>
  <c r="S58" i="36"/>
  <c r="R8" i="16"/>
  <c r="T11" i="36"/>
  <c r="S9" i="21"/>
  <c r="S45" i="36"/>
  <c r="R7" i="15"/>
  <c r="S41" i="36"/>
  <c r="R3" i="15"/>
  <c r="S22" i="36"/>
  <c r="R8" i="14"/>
  <c r="S17" i="36"/>
  <c r="R3" i="14"/>
  <c r="S68" i="36"/>
  <c r="R6" i="17"/>
  <c r="S24" i="36"/>
  <c r="R10" i="14"/>
  <c r="S48" i="36"/>
  <c r="R10" i="15"/>
  <c r="S54" i="36"/>
  <c r="R4" i="16"/>
  <c r="S25" i="36"/>
  <c r="R11" i="14"/>
  <c r="S5" i="21"/>
  <c r="T7" i="36"/>
  <c r="S56" i="36"/>
  <c r="R6" i="16"/>
  <c r="S67" i="36"/>
  <c r="R5" i="17"/>
  <c r="S61" i="36"/>
  <c r="R11" i="16"/>
  <c r="S5" i="37"/>
  <c r="R3" i="18"/>
  <c r="T64" i="37"/>
  <c r="S2" i="13"/>
  <c r="S68" i="37"/>
  <c r="R6" i="13"/>
  <c r="S67" i="37"/>
  <c r="R5" i="13"/>
  <c r="S10" i="37"/>
  <c r="R8" i="18"/>
  <c r="S24" i="37"/>
  <c r="R10" i="20"/>
  <c r="S72" i="37"/>
  <c r="R10" i="13"/>
  <c r="S48" i="37"/>
  <c r="R10" i="11"/>
  <c r="S53" i="37"/>
  <c r="R3" i="12"/>
  <c r="S69" i="37"/>
  <c r="R7" i="13"/>
  <c r="T65" i="37"/>
  <c r="S3" i="13"/>
  <c r="S56" i="37"/>
  <c r="R6" i="12"/>
  <c r="S55" i="37"/>
  <c r="R5" i="12"/>
  <c r="S4" i="37"/>
  <c r="R2" i="18"/>
  <c r="S9" i="37"/>
  <c r="R7" i="18"/>
  <c r="S60" i="37"/>
  <c r="R10" i="12"/>
  <c r="S71" i="37"/>
  <c r="R9" i="13"/>
  <c r="S19" i="37"/>
  <c r="R5" i="20"/>
  <c r="S57" i="37"/>
  <c r="R7" i="12"/>
  <c r="S40" i="37"/>
  <c r="R2" i="11"/>
  <c r="S49" i="37"/>
  <c r="R11" i="11"/>
  <c r="S44" i="37"/>
  <c r="R6" i="11"/>
  <c r="S41" i="37"/>
  <c r="R3" i="11"/>
  <c r="S18" i="37"/>
  <c r="R4" i="20"/>
  <c r="S13" i="37"/>
  <c r="R11" i="18"/>
  <c r="T73" i="37"/>
  <c r="S11" i="13"/>
  <c r="S8" i="37"/>
  <c r="R6" i="18"/>
  <c r="S47" i="37"/>
  <c r="R9" i="11"/>
  <c r="T21" i="37"/>
  <c r="S7" i="20"/>
  <c r="S20" i="37"/>
  <c r="R6" i="20"/>
  <c r="S58" i="37"/>
  <c r="R8" i="12"/>
  <c r="S12" i="37"/>
  <c r="R10" i="18"/>
  <c r="S16" i="37"/>
  <c r="R2" i="20"/>
  <c r="S43" i="37"/>
  <c r="R5" i="11"/>
  <c r="T45" i="37"/>
  <c r="S7" i="11"/>
  <c r="S6" i="37"/>
  <c r="R4" i="18"/>
  <c r="S7" i="37"/>
  <c r="R5" i="18"/>
  <c r="T25" i="37"/>
  <c r="S11" i="20"/>
  <c r="S59" i="37"/>
  <c r="R9" i="12"/>
  <c r="S70" i="37"/>
  <c r="R8" i="13"/>
  <c r="S52" i="37"/>
  <c r="R2" i="12"/>
  <c r="S61" i="37"/>
  <c r="R11" i="12"/>
  <c r="S66" i="37"/>
  <c r="R4" i="13"/>
  <c r="T42" i="37"/>
  <c r="S4" i="11"/>
  <c r="S54" i="37"/>
  <c r="R4" i="12"/>
  <c r="U23" i="37"/>
  <c r="T9" i="20"/>
  <c r="T22" i="37"/>
  <c r="S8" i="20"/>
  <c r="S46" i="37"/>
  <c r="R8" i="11"/>
  <c r="S17" i="37"/>
  <c r="R3" i="20"/>
  <c r="T11" i="37"/>
  <c r="S9" i="18"/>
  <c r="S41" i="38"/>
  <c r="R3" i="25"/>
  <c r="S46" i="38"/>
  <c r="R8" i="25"/>
  <c r="S60" i="38"/>
  <c r="R10" i="26"/>
  <c r="S20" i="38"/>
  <c r="R6" i="24"/>
  <c r="T4" i="38"/>
  <c r="S2" i="23"/>
  <c r="T8" i="38"/>
  <c r="S6" i="23"/>
  <c r="S16" i="38"/>
  <c r="R2" i="24"/>
  <c r="S70" i="38"/>
  <c r="R8" i="27"/>
  <c r="S47" i="38"/>
  <c r="R9" i="25"/>
  <c r="S42" i="38"/>
  <c r="R4" i="25"/>
  <c r="S44" i="38"/>
  <c r="R6" i="25"/>
  <c r="S25" i="38"/>
  <c r="R11" i="24"/>
  <c r="S66" i="38"/>
  <c r="R4" i="27"/>
  <c r="S68" i="38"/>
  <c r="R6" i="27"/>
  <c r="S43" i="38"/>
  <c r="R5" i="25"/>
  <c r="S48" i="38"/>
  <c r="R10" i="25"/>
  <c r="T17" i="38"/>
  <c r="S3" i="24"/>
  <c r="S67" i="38"/>
  <c r="R5" i="27"/>
  <c r="S7" i="38"/>
  <c r="R5" i="23"/>
  <c r="S56" i="38"/>
  <c r="R6" i="26"/>
  <c r="S23" i="38"/>
  <c r="R9" i="24"/>
  <c r="S10" i="38"/>
  <c r="R8" i="23"/>
  <c r="S11" i="38"/>
  <c r="R9" i="23"/>
  <c r="S49" i="38"/>
  <c r="R11" i="25"/>
  <c r="S73" i="38"/>
  <c r="R11" i="27"/>
  <c r="S24" i="38"/>
  <c r="R10" i="24"/>
  <c r="R2" i="26"/>
  <c r="S52" i="38"/>
  <c r="R9" i="27"/>
  <c r="S71" i="38"/>
  <c r="S65" i="38"/>
  <c r="R3" i="27"/>
  <c r="S19" i="38"/>
  <c r="R5" i="24"/>
  <c r="S9" i="38"/>
  <c r="R7" i="23"/>
  <c r="S64" i="38"/>
  <c r="R2" i="27"/>
  <c r="S45" i="38"/>
  <c r="R7" i="25"/>
  <c r="T5" i="38"/>
  <c r="S3" i="23"/>
  <c r="S18" i="38"/>
  <c r="R4" i="24"/>
  <c r="S59" i="38"/>
  <c r="R9" i="26"/>
  <c r="S12" i="38"/>
  <c r="R10" i="23"/>
  <c r="T55" i="38"/>
  <c r="S5" i="26"/>
  <c r="S72" i="38"/>
  <c r="R10" i="27"/>
  <c r="S69" i="38"/>
  <c r="R7" i="27"/>
  <c r="S53" i="38"/>
  <c r="R3" i="26"/>
  <c r="S61" i="38"/>
  <c r="R11" i="26"/>
  <c r="S40" i="38"/>
  <c r="R2" i="25"/>
  <c r="T6" i="38"/>
  <c r="S4" i="23"/>
  <c r="S22" i="38"/>
  <c r="R8" i="24"/>
  <c r="S13" i="38"/>
  <c r="R11" i="23"/>
  <c r="S58" i="38"/>
  <c r="R8" i="26"/>
  <c r="S57" i="38"/>
  <c r="R7" i="26"/>
  <c r="S54" i="38"/>
  <c r="R4" i="26"/>
  <c r="S21" i="38"/>
  <c r="R7" i="24"/>
  <c r="T56" i="36" l="1"/>
  <c r="S6" i="16"/>
  <c r="T22" i="36"/>
  <c r="S8" i="14"/>
  <c r="T58" i="36"/>
  <c r="S8" i="16"/>
  <c r="T43" i="36"/>
  <c r="S5" i="15"/>
  <c r="T55" i="36"/>
  <c r="S5" i="16"/>
  <c r="T40" i="36"/>
  <c r="S2" i="15"/>
  <c r="U12" i="36"/>
  <c r="T10" i="21"/>
  <c r="T47" i="36"/>
  <c r="S9" i="15"/>
  <c r="T8" i="36"/>
  <c r="S6" i="21"/>
  <c r="T72" i="36"/>
  <c r="S10" i="17"/>
  <c r="T66" i="36"/>
  <c r="S4" i="17"/>
  <c r="T48" i="36"/>
  <c r="S10" i="15"/>
  <c r="U7" i="36"/>
  <c r="T5" i="21"/>
  <c r="T24" i="36"/>
  <c r="S10" i="14"/>
  <c r="T41" i="36"/>
  <c r="S3" i="15"/>
  <c r="T70" i="36"/>
  <c r="S8" i="17"/>
  <c r="T18" i="36"/>
  <c r="S4" i="14"/>
  <c r="T4" i="36"/>
  <c r="S2" i="21"/>
  <c r="T16" i="36"/>
  <c r="S2" i="14"/>
  <c r="T49" i="36"/>
  <c r="S11" i="15"/>
  <c r="T53" i="36"/>
  <c r="S3" i="16"/>
  <c r="T64" i="36"/>
  <c r="S2" i="17"/>
  <c r="T69" i="36"/>
  <c r="S7" i="17"/>
  <c r="T19" i="36"/>
  <c r="S5" i="14"/>
  <c r="T61" i="36"/>
  <c r="S11" i="16"/>
  <c r="T25" i="36"/>
  <c r="S11" i="14"/>
  <c r="T68" i="36"/>
  <c r="S6" i="17"/>
  <c r="T45" i="36"/>
  <c r="S7" i="15"/>
  <c r="T42" i="36"/>
  <c r="S4" i="15"/>
  <c r="T10" i="36"/>
  <c r="S8" i="21"/>
  <c r="T52" i="36"/>
  <c r="S2" i="16"/>
  <c r="T44" i="36"/>
  <c r="S6" i="15"/>
  <c r="T21" i="36"/>
  <c r="S7" i="14"/>
  <c r="T23" i="36"/>
  <c r="S9" i="14"/>
  <c r="T6" i="36"/>
  <c r="S4" i="21"/>
  <c r="T65" i="36"/>
  <c r="S3" i="17"/>
  <c r="T73" i="36"/>
  <c r="S11" i="17"/>
  <c r="T67" i="36"/>
  <c r="S5" i="17"/>
  <c r="T54" i="36"/>
  <c r="S4" i="16"/>
  <c r="T17" i="36"/>
  <c r="S3" i="14"/>
  <c r="U11" i="36"/>
  <c r="T9" i="21"/>
  <c r="T59" i="36"/>
  <c r="S9" i="16"/>
  <c r="T71" i="36"/>
  <c r="S9" i="17"/>
  <c r="T13" i="36"/>
  <c r="S11" i="21"/>
  <c r="T60" i="36"/>
  <c r="S10" i="16"/>
  <c r="T20" i="36"/>
  <c r="S6" i="14"/>
  <c r="T5" i="36"/>
  <c r="S3" i="21"/>
  <c r="T46" i="36"/>
  <c r="S8" i="15"/>
  <c r="T57" i="36"/>
  <c r="S7" i="16"/>
  <c r="T9" i="36"/>
  <c r="S7" i="21"/>
  <c r="T24" i="37"/>
  <c r="S10" i="20"/>
  <c r="U22" i="37"/>
  <c r="T8" i="20"/>
  <c r="T52" i="37"/>
  <c r="S2" i="12"/>
  <c r="U45" i="37"/>
  <c r="T7" i="11"/>
  <c r="U21" i="37"/>
  <c r="T7" i="20"/>
  <c r="T41" i="37"/>
  <c r="S3" i="11"/>
  <c r="T71" i="37"/>
  <c r="S9" i="13"/>
  <c r="U65" i="37"/>
  <c r="T3" i="13"/>
  <c r="T10" i="37"/>
  <c r="S8" i="18"/>
  <c r="T6" i="37"/>
  <c r="S4" i="18"/>
  <c r="V23" i="37"/>
  <c r="U9" i="20"/>
  <c r="T70" i="37"/>
  <c r="S8" i="13"/>
  <c r="T43" i="37"/>
  <c r="S5" i="11"/>
  <c r="T47" i="37"/>
  <c r="S9" i="11"/>
  <c r="T44" i="37"/>
  <c r="S6" i="11"/>
  <c r="T60" i="37"/>
  <c r="S10" i="12"/>
  <c r="T69" i="37"/>
  <c r="S7" i="13"/>
  <c r="T67" i="37"/>
  <c r="S5" i="13"/>
  <c r="T61" i="37"/>
  <c r="S11" i="12"/>
  <c r="T18" i="37"/>
  <c r="S4" i="20"/>
  <c r="T54" i="37"/>
  <c r="S4" i="12"/>
  <c r="T59" i="37"/>
  <c r="S9" i="12"/>
  <c r="T16" i="37"/>
  <c r="S2" i="20"/>
  <c r="T8" i="37"/>
  <c r="S6" i="18"/>
  <c r="T49" i="37"/>
  <c r="S11" i="11"/>
  <c r="T9" i="37"/>
  <c r="S7" i="18"/>
  <c r="T53" i="37"/>
  <c r="S3" i="12"/>
  <c r="T68" i="37"/>
  <c r="S6" i="13"/>
  <c r="T56" i="37"/>
  <c r="S6" i="12"/>
  <c r="T46" i="37"/>
  <c r="S8" i="11"/>
  <c r="U11" i="37"/>
  <c r="T9" i="18"/>
  <c r="U42" i="37"/>
  <c r="T4" i="11"/>
  <c r="U25" i="37"/>
  <c r="T11" i="20"/>
  <c r="T12" i="37"/>
  <c r="S10" i="18"/>
  <c r="U73" i="37"/>
  <c r="T11" i="13"/>
  <c r="T40" i="37"/>
  <c r="S2" i="11"/>
  <c r="T4" i="37"/>
  <c r="S2" i="18"/>
  <c r="T48" i="37"/>
  <c r="S10" i="11"/>
  <c r="U64" i="37"/>
  <c r="T2" i="13"/>
  <c r="T20" i="37"/>
  <c r="S6" i="20"/>
  <c r="T19" i="37"/>
  <c r="S5" i="20"/>
  <c r="T17" i="37"/>
  <c r="S3" i="20"/>
  <c r="T66" i="37"/>
  <c r="S4" i="13"/>
  <c r="T7" i="37"/>
  <c r="S5" i="18"/>
  <c r="T58" i="37"/>
  <c r="S8" i="12"/>
  <c r="T13" i="37"/>
  <c r="S11" i="18"/>
  <c r="T57" i="37"/>
  <c r="S7" i="12"/>
  <c r="T55" i="37"/>
  <c r="S5" i="12"/>
  <c r="T72" i="37"/>
  <c r="S10" i="13"/>
  <c r="T5" i="37"/>
  <c r="S3" i="18"/>
  <c r="T19" i="38"/>
  <c r="S5" i="24"/>
  <c r="T49" i="38"/>
  <c r="S11" i="25"/>
  <c r="T53" i="38"/>
  <c r="S3" i="26"/>
  <c r="T18" i="38"/>
  <c r="S4" i="24"/>
  <c r="T65" i="38"/>
  <c r="S3" i="27"/>
  <c r="T11" i="38"/>
  <c r="S9" i="23"/>
  <c r="U17" i="38"/>
  <c r="T3" i="24"/>
  <c r="T44" i="38"/>
  <c r="S6" i="25"/>
  <c r="U4" i="38"/>
  <c r="T2" i="23"/>
  <c r="T71" i="38"/>
  <c r="S9" i="27"/>
  <c r="T57" i="38"/>
  <c r="S7" i="26"/>
  <c r="T13" i="38"/>
  <c r="S11" i="23"/>
  <c r="T69" i="38"/>
  <c r="S7" i="27"/>
  <c r="U5" i="38"/>
  <c r="T3" i="23"/>
  <c r="T10" i="38"/>
  <c r="S8" i="23"/>
  <c r="T48" i="38"/>
  <c r="S10" i="25"/>
  <c r="T42" i="38"/>
  <c r="S4" i="25"/>
  <c r="T20" i="38"/>
  <c r="S6" i="24"/>
  <c r="T52" i="38"/>
  <c r="S2" i="26"/>
  <c r="T25" i="38"/>
  <c r="S11" i="24"/>
  <c r="T22" i="38"/>
  <c r="S8" i="24"/>
  <c r="T72" i="38"/>
  <c r="S10" i="27"/>
  <c r="T45" i="38"/>
  <c r="S7" i="25"/>
  <c r="T23" i="38"/>
  <c r="S9" i="24"/>
  <c r="T43" i="38"/>
  <c r="S5" i="25"/>
  <c r="T47" i="38"/>
  <c r="S9" i="25"/>
  <c r="T60" i="38"/>
  <c r="S10" i="26"/>
  <c r="T61" i="38"/>
  <c r="S11" i="26"/>
  <c r="T59" i="38"/>
  <c r="S9" i="26"/>
  <c r="T58" i="38"/>
  <c r="S8" i="26"/>
  <c r="U55" i="38"/>
  <c r="T5" i="26"/>
  <c r="T64" i="38"/>
  <c r="S2" i="27"/>
  <c r="T24" i="38"/>
  <c r="S10" i="24"/>
  <c r="T56" i="38"/>
  <c r="S6" i="26"/>
  <c r="T68" i="38"/>
  <c r="S6" i="27"/>
  <c r="T70" i="38"/>
  <c r="S8" i="27"/>
  <c r="T46" i="38"/>
  <c r="S8" i="25"/>
  <c r="T67" i="38"/>
  <c r="S5" i="27"/>
  <c r="U6" i="38"/>
  <c r="T4" i="23"/>
  <c r="U8" i="38"/>
  <c r="T6" i="23"/>
  <c r="T21" i="38"/>
  <c r="S7" i="24"/>
  <c r="T54" i="38"/>
  <c r="S4" i="26"/>
  <c r="T40" i="38"/>
  <c r="S2" i="25"/>
  <c r="T12" i="38"/>
  <c r="S10" i="23"/>
  <c r="T9" i="38"/>
  <c r="S7" i="23"/>
  <c r="T73" i="38"/>
  <c r="S11" i="27"/>
  <c r="T7" i="38"/>
  <c r="S5" i="23"/>
  <c r="T66" i="38"/>
  <c r="S4" i="27"/>
  <c r="T16" i="38"/>
  <c r="S2" i="24"/>
  <c r="T41" i="38"/>
  <c r="S3" i="25"/>
  <c r="U13" i="36" l="1"/>
  <c r="T11" i="21"/>
  <c r="U17" i="36"/>
  <c r="T3" i="14"/>
  <c r="U65" i="36"/>
  <c r="T3" i="17"/>
  <c r="U44" i="36"/>
  <c r="T6" i="15"/>
  <c r="U45" i="36"/>
  <c r="T7" i="15"/>
  <c r="U19" i="36"/>
  <c r="T5" i="14"/>
  <c r="U49" i="36"/>
  <c r="T11" i="15"/>
  <c r="U70" i="36"/>
  <c r="T8" i="17"/>
  <c r="U48" i="36"/>
  <c r="T10" i="15"/>
  <c r="U47" i="36"/>
  <c r="T9" i="15"/>
  <c r="U43" i="36"/>
  <c r="T5" i="15"/>
  <c r="U46" i="36"/>
  <c r="T8" i="15"/>
  <c r="U5" i="36"/>
  <c r="T3" i="21"/>
  <c r="U71" i="36"/>
  <c r="T9" i="17"/>
  <c r="U54" i="36"/>
  <c r="T4" i="16"/>
  <c r="U6" i="36"/>
  <c r="T4" i="21"/>
  <c r="U52" i="36"/>
  <c r="T2" i="16"/>
  <c r="U68" i="36"/>
  <c r="T6" i="17"/>
  <c r="U69" i="36"/>
  <c r="T7" i="17"/>
  <c r="U16" i="36"/>
  <c r="T2" i="14"/>
  <c r="U41" i="36"/>
  <c r="T3" i="15"/>
  <c r="U66" i="36"/>
  <c r="T4" i="17"/>
  <c r="V12" i="36"/>
  <c r="U10" i="21"/>
  <c r="U58" i="36"/>
  <c r="T8" i="16"/>
  <c r="U9" i="36"/>
  <c r="T7" i="21"/>
  <c r="U20" i="36"/>
  <c r="T6" i="14"/>
  <c r="U59" i="36"/>
  <c r="T9" i="16"/>
  <c r="U67" i="36"/>
  <c r="T5" i="17"/>
  <c r="U23" i="36"/>
  <c r="T9" i="14"/>
  <c r="U10" i="36"/>
  <c r="T8" i="21"/>
  <c r="U25" i="36"/>
  <c r="T11" i="14"/>
  <c r="U64" i="36"/>
  <c r="T2" i="17"/>
  <c r="U4" i="36"/>
  <c r="T2" i="21"/>
  <c r="U24" i="36"/>
  <c r="T10" i="14"/>
  <c r="U72" i="36"/>
  <c r="T10" i="17"/>
  <c r="U40" i="36"/>
  <c r="T2" i="15"/>
  <c r="U22" i="36"/>
  <c r="T8" i="14"/>
  <c r="U57" i="36"/>
  <c r="T7" i="16"/>
  <c r="U60" i="36"/>
  <c r="T10" i="16"/>
  <c r="V11" i="36"/>
  <c r="U9" i="21"/>
  <c r="U73" i="36"/>
  <c r="T11" i="17"/>
  <c r="U21" i="36"/>
  <c r="T7" i="14"/>
  <c r="U42" i="36"/>
  <c r="T4" i="15"/>
  <c r="U61" i="36"/>
  <c r="T11" i="16"/>
  <c r="U53" i="36"/>
  <c r="T3" i="16"/>
  <c r="U18" i="36"/>
  <c r="T4" i="14"/>
  <c r="V7" i="36"/>
  <c r="U5" i="21"/>
  <c r="U8" i="36"/>
  <c r="T6" i="21"/>
  <c r="U55" i="36"/>
  <c r="T5" i="16"/>
  <c r="U56" i="36"/>
  <c r="T6" i="16"/>
  <c r="U46" i="37"/>
  <c r="T8" i="11"/>
  <c r="U8" i="37"/>
  <c r="T6" i="18"/>
  <c r="U67" i="37"/>
  <c r="T5" i="13"/>
  <c r="U70" i="37"/>
  <c r="T8" i="13"/>
  <c r="U41" i="37"/>
  <c r="T3" i="11"/>
  <c r="V73" i="37"/>
  <c r="U11" i="13"/>
  <c r="U56" i="37"/>
  <c r="T6" i="12"/>
  <c r="U16" i="37"/>
  <c r="T2" i="20"/>
  <c r="U69" i="37"/>
  <c r="T7" i="13"/>
  <c r="W23" i="37"/>
  <c r="V9" i="20"/>
  <c r="V21" i="37"/>
  <c r="U7" i="20"/>
  <c r="U40" i="37"/>
  <c r="T2" i="11"/>
  <c r="U17" i="37"/>
  <c r="T3" i="20"/>
  <c r="U12" i="37"/>
  <c r="T10" i="18"/>
  <c r="U68" i="37"/>
  <c r="T6" i="13"/>
  <c r="U59" i="37"/>
  <c r="T9" i="12"/>
  <c r="U60" i="37"/>
  <c r="T10" i="12"/>
  <c r="U6" i="37"/>
  <c r="T4" i="18"/>
  <c r="V45" i="37"/>
  <c r="U7" i="11"/>
  <c r="U57" i="37"/>
  <c r="T7" i="12"/>
  <c r="U58" i="37"/>
  <c r="T8" i="12"/>
  <c r="V64" i="37"/>
  <c r="U2" i="13"/>
  <c r="V25" i="37"/>
  <c r="U11" i="20"/>
  <c r="U53" i="37"/>
  <c r="T3" i="12"/>
  <c r="U54" i="37"/>
  <c r="T4" i="12"/>
  <c r="U44" i="37"/>
  <c r="T6" i="11"/>
  <c r="U10" i="37"/>
  <c r="T8" i="18"/>
  <c r="U52" i="37"/>
  <c r="T2" i="12"/>
  <c r="U20" i="37"/>
  <c r="T6" i="20"/>
  <c r="U5" i="37"/>
  <c r="T3" i="18"/>
  <c r="V42" i="37"/>
  <c r="U4" i="11"/>
  <c r="U18" i="37"/>
  <c r="T4" i="20"/>
  <c r="U47" i="37"/>
  <c r="T9" i="11"/>
  <c r="V65" i="37"/>
  <c r="U3" i="13"/>
  <c r="V22" i="37"/>
  <c r="U8" i="20"/>
  <c r="U19" i="37"/>
  <c r="T5" i="20"/>
  <c r="U13" i="37"/>
  <c r="T11" i="18"/>
  <c r="U7" i="37"/>
  <c r="T5" i="18"/>
  <c r="U48" i="37"/>
  <c r="T10" i="11"/>
  <c r="U9" i="37"/>
  <c r="T7" i="18"/>
  <c r="U55" i="37"/>
  <c r="T5" i="12"/>
  <c r="U72" i="37"/>
  <c r="T10" i="13"/>
  <c r="U66" i="37"/>
  <c r="T4" i="13"/>
  <c r="U4" i="37"/>
  <c r="T2" i="18"/>
  <c r="V11" i="37"/>
  <c r="U9" i="18"/>
  <c r="U49" i="37"/>
  <c r="T11" i="11"/>
  <c r="U61" i="37"/>
  <c r="T11" i="12"/>
  <c r="U43" i="37"/>
  <c r="T5" i="11"/>
  <c r="U71" i="37"/>
  <c r="T9" i="13"/>
  <c r="U24" i="37"/>
  <c r="T10" i="20"/>
  <c r="U70" i="38"/>
  <c r="T8" i="27"/>
  <c r="U58" i="38"/>
  <c r="T8" i="26"/>
  <c r="U23" i="38"/>
  <c r="T9" i="24"/>
  <c r="U20" i="38"/>
  <c r="T6" i="24"/>
  <c r="U13" i="38"/>
  <c r="T11" i="23"/>
  <c r="U11" i="38"/>
  <c r="T9" i="23"/>
  <c r="U66" i="38"/>
  <c r="T4" i="27"/>
  <c r="U21" i="38"/>
  <c r="T7" i="24"/>
  <c r="U68" i="38"/>
  <c r="T6" i="27"/>
  <c r="U59" i="38"/>
  <c r="T9" i="26"/>
  <c r="U45" i="38"/>
  <c r="T7" i="25"/>
  <c r="U42" i="38"/>
  <c r="T4" i="25"/>
  <c r="U57" i="38"/>
  <c r="T7" i="26"/>
  <c r="U65" i="38"/>
  <c r="T3" i="27"/>
  <c r="U7" i="38"/>
  <c r="T5" i="23"/>
  <c r="U73" i="38"/>
  <c r="T11" i="27"/>
  <c r="V8" i="38"/>
  <c r="U6" i="23"/>
  <c r="U56" i="38"/>
  <c r="T6" i="26"/>
  <c r="U61" i="38"/>
  <c r="T11" i="26"/>
  <c r="U72" i="38"/>
  <c r="T10" i="27"/>
  <c r="U48" i="38"/>
  <c r="T10" i="25"/>
  <c r="U71" i="38"/>
  <c r="T9" i="27"/>
  <c r="U18" i="38"/>
  <c r="T4" i="24"/>
  <c r="U9" i="38"/>
  <c r="T7" i="23"/>
  <c r="V6" i="38"/>
  <c r="U4" i="23"/>
  <c r="U24" i="38"/>
  <c r="T10" i="24"/>
  <c r="U60" i="38"/>
  <c r="T10" i="26"/>
  <c r="U22" i="38"/>
  <c r="T8" i="24"/>
  <c r="U10" i="38"/>
  <c r="T8" i="23"/>
  <c r="V4" i="38"/>
  <c r="U2" i="23"/>
  <c r="U53" i="38"/>
  <c r="T3" i="26"/>
  <c r="U54" i="38"/>
  <c r="T4" i="26"/>
  <c r="U41" i="38"/>
  <c r="T3" i="25"/>
  <c r="U12" i="38"/>
  <c r="T10" i="23"/>
  <c r="U67" i="38"/>
  <c r="T5" i="27"/>
  <c r="U64" i="38"/>
  <c r="T2" i="27"/>
  <c r="U47" i="38"/>
  <c r="T9" i="25"/>
  <c r="U25" i="38"/>
  <c r="T11" i="24"/>
  <c r="V5" i="38"/>
  <c r="U3" i="23"/>
  <c r="U44" i="38"/>
  <c r="T6" i="25"/>
  <c r="U49" i="38"/>
  <c r="T11" i="25"/>
  <c r="U16" i="38"/>
  <c r="T2" i="24"/>
  <c r="U40" i="38"/>
  <c r="T2" i="25"/>
  <c r="U46" i="38"/>
  <c r="T8" i="25"/>
  <c r="V55" i="38"/>
  <c r="U5" i="26"/>
  <c r="U43" i="38"/>
  <c r="T5" i="25"/>
  <c r="U52" i="38"/>
  <c r="T2" i="26"/>
  <c r="U69" i="38"/>
  <c r="T7" i="27"/>
  <c r="V17" i="38"/>
  <c r="U3" i="24"/>
  <c r="U19" i="38"/>
  <c r="T5" i="24"/>
  <c r="V8" i="36" l="1"/>
  <c r="U6" i="21"/>
  <c r="W11" i="36"/>
  <c r="V9" i="21"/>
  <c r="V40" i="36"/>
  <c r="U2" i="15"/>
  <c r="V64" i="36"/>
  <c r="U2" i="17"/>
  <c r="V67" i="36"/>
  <c r="U5" i="17"/>
  <c r="V58" i="36"/>
  <c r="U8" i="16"/>
  <c r="V16" i="36"/>
  <c r="U2" i="14"/>
  <c r="V6" i="36"/>
  <c r="U4" i="21"/>
  <c r="V46" i="36"/>
  <c r="U8" i="15"/>
  <c r="V70" i="36"/>
  <c r="U8" i="17"/>
  <c r="V44" i="36"/>
  <c r="U6" i="15"/>
  <c r="V61" i="36"/>
  <c r="U11" i="16"/>
  <c r="W7" i="36"/>
  <c r="V5" i="21"/>
  <c r="V42" i="36"/>
  <c r="U4" i="15"/>
  <c r="V60" i="36"/>
  <c r="U10" i="16"/>
  <c r="V72" i="36"/>
  <c r="U10" i="17"/>
  <c r="V25" i="36"/>
  <c r="U11" i="14"/>
  <c r="V59" i="36"/>
  <c r="U9" i="16"/>
  <c r="W12" i="36"/>
  <c r="V10" i="21"/>
  <c r="V69" i="36"/>
  <c r="U7" i="17"/>
  <c r="V54" i="36"/>
  <c r="U4" i="16"/>
  <c r="V43" i="36"/>
  <c r="U5" i="15"/>
  <c r="V49" i="36"/>
  <c r="U11" i="15"/>
  <c r="V65" i="36"/>
  <c r="U3" i="17"/>
  <c r="V56" i="36"/>
  <c r="U6" i="16"/>
  <c r="V18" i="36"/>
  <c r="U4" i="14"/>
  <c r="V21" i="36"/>
  <c r="U7" i="14"/>
  <c r="V57" i="36"/>
  <c r="U7" i="16"/>
  <c r="V24" i="36"/>
  <c r="U10" i="14"/>
  <c r="V10" i="36"/>
  <c r="U8" i="21"/>
  <c r="V20" i="36"/>
  <c r="U6" i="14"/>
  <c r="V66" i="36"/>
  <c r="U4" i="17"/>
  <c r="V68" i="36"/>
  <c r="U6" i="17"/>
  <c r="V71" i="36"/>
  <c r="U9" i="17"/>
  <c r="V47" i="36"/>
  <c r="U9" i="15"/>
  <c r="V19" i="36"/>
  <c r="U5" i="14"/>
  <c r="V17" i="36"/>
  <c r="U3" i="14"/>
  <c r="V55" i="36"/>
  <c r="U5" i="16"/>
  <c r="V53" i="36"/>
  <c r="U3" i="16"/>
  <c r="V73" i="36"/>
  <c r="U11" i="17"/>
  <c r="V22" i="36"/>
  <c r="U8" i="14"/>
  <c r="V4" i="36"/>
  <c r="U2" i="21"/>
  <c r="V23" i="36"/>
  <c r="U9" i="14"/>
  <c r="V9" i="36"/>
  <c r="U7" i="21"/>
  <c r="V41" i="36"/>
  <c r="U3" i="15"/>
  <c r="V52" i="36"/>
  <c r="U2" i="16"/>
  <c r="V5" i="36"/>
  <c r="U3" i="21"/>
  <c r="V48" i="36"/>
  <c r="U10" i="15"/>
  <c r="V45" i="36"/>
  <c r="U7" i="15"/>
  <c r="V13" i="36"/>
  <c r="U11" i="21"/>
  <c r="W73" i="37"/>
  <c r="V11" i="13"/>
  <c r="V19" i="37"/>
  <c r="U5" i="20"/>
  <c r="V61" i="37"/>
  <c r="U11" i="12"/>
  <c r="V55" i="37"/>
  <c r="U5" i="12"/>
  <c r="W22" i="37"/>
  <c r="V8" i="20"/>
  <c r="V20" i="37"/>
  <c r="U6" i="20"/>
  <c r="W25" i="37"/>
  <c r="V11" i="20"/>
  <c r="V60" i="37"/>
  <c r="U10" i="12"/>
  <c r="W21" i="37"/>
  <c r="V7" i="20"/>
  <c r="V41" i="37"/>
  <c r="U3" i="11"/>
  <c r="V43" i="37"/>
  <c r="U5" i="11"/>
  <c r="V72" i="37"/>
  <c r="U10" i="13"/>
  <c r="V49" i="37"/>
  <c r="U11" i="11"/>
  <c r="V9" i="37"/>
  <c r="U7" i="18"/>
  <c r="W65" i="37"/>
  <c r="V3" i="13"/>
  <c r="V52" i="37"/>
  <c r="U2" i="12"/>
  <c r="W64" i="37"/>
  <c r="V2" i="13"/>
  <c r="V59" i="37"/>
  <c r="U9" i="12"/>
  <c r="X23" i="37"/>
  <c r="W9" i="20"/>
  <c r="C22" i="40"/>
  <c r="V70" i="37"/>
  <c r="U8" i="13"/>
  <c r="V53" i="37"/>
  <c r="U3" i="12"/>
  <c r="W11" i="37"/>
  <c r="V9" i="18"/>
  <c r="V48" i="37"/>
  <c r="U10" i="11"/>
  <c r="V47" i="37"/>
  <c r="U9" i="11"/>
  <c r="V10" i="37"/>
  <c r="U8" i="18"/>
  <c r="V58" i="37"/>
  <c r="U8" i="12"/>
  <c r="V68" i="37"/>
  <c r="U6" i="13"/>
  <c r="V69" i="37"/>
  <c r="U7" i="13"/>
  <c r="V67" i="37"/>
  <c r="U5" i="13"/>
  <c r="V40" i="37"/>
  <c r="U2" i="11"/>
  <c r="V24" i="37"/>
  <c r="U10" i="20"/>
  <c r="V4" i="37"/>
  <c r="U2" i="18"/>
  <c r="V7" i="37"/>
  <c r="U5" i="18"/>
  <c r="V18" i="37"/>
  <c r="U4" i="20"/>
  <c r="V44" i="37"/>
  <c r="U6" i="11"/>
  <c r="V57" i="37"/>
  <c r="U7" i="12"/>
  <c r="V12" i="37"/>
  <c r="U10" i="18"/>
  <c r="V16" i="37"/>
  <c r="U2" i="20"/>
  <c r="V8" i="37"/>
  <c r="U6" i="18"/>
  <c r="V5" i="37"/>
  <c r="U3" i="18"/>
  <c r="V6" i="37"/>
  <c r="U4" i="18"/>
  <c r="V71" i="37"/>
  <c r="U9" i="13"/>
  <c r="V66" i="37"/>
  <c r="U4" i="13"/>
  <c r="V13" i="37"/>
  <c r="U11" i="18"/>
  <c r="W42" i="37"/>
  <c r="V4" i="11"/>
  <c r="V54" i="37"/>
  <c r="U4" i="12"/>
  <c r="W45" i="37"/>
  <c r="V7" i="11"/>
  <c r="V17" i="37"/>
  <c r="U3" i="20"/>
  <c r="V56" i="37"/>
  <c r="U6" i="12"/>
  <c r="V46" i="37"/>
  <c r="U8" i="11"/>
  <c r="V16" i="38"/>
  <c r="U2" i="24"/>
  <c r="V64" i="38"/>
  <c r="U2" i="27"/>
  <c r="W4" i="38"/>
  <c r="V2" i="23"/>
  <c r="V9" i="38"/>
  <c r="U7" i="23"/>
  <c r="V56" i="38"/>
  <c r="U6" i="26"/>
  <c r="V42" i="38"/>
  <c r="U4" i="25"/>
  <c r="V11" i="38"/>
  <c r="U9" i="23"/>
  <c r="V18" i="38"/>
  <c r="U4" i="24"/>
  <c r="W8" i="38"/>
  <c r="V6" i="23"/>
  <c r="V45" i="38"/>
  <c r="U7" i="25"/>
  <c r="V13" i="38"/>
  <c r="U11" i="23"/>
  <c r="V10" i="38"/>
  <c r="U8" i="23"/>
  <c r="V49" i="38"/>
  <c r="U11" i="25"/>
  <c r="V43" i="38"/>
  <c r="U5" i="25"/>
  <c r="V44" i="38"/>
  <c r="U6" i="25"/>
  <c r="V12" i="38"/>
  <c r="U10" i="23"/>
  <c r="V22" i="38"/>
  <c r="U8" i="24"/>
  <c r="V71" i="38"/>
  <c r="U9" i="27"/>
  <c r="V73" i="38"/>
  <c r="U11" i="27"/>
  <c r="V59" i="38"/>
  <c r="U9" i="26"/>
  <c r="V20" i="38"/>
  <c r="U6" i="24"/>
  <c r="V67" i="38"/>
  <c r="U5" i="27"/>
  <c r="W55" i="38"/>
  <c r="V5" i="26"/>
  <c r="W5" i="38"/>
  <c r="V3" i="23"/>
  <c r="V41" i="38"/>
  <c r="U3" i="25"/>
  <c r="V60" i="38"/>
  <c r="U10" i="26"/>
  <c r="V48" i="38"/>
  <c r="U10" i="25"/>
  <c r="V7" i="38"/>
  <c r="U5" i="23"/>
  <c r="V68" i="38"/>
  <c r="U6" i="27"/>
  <c r="V23" i="38"/>
  <c r="U9" i="24"/>
  <c r="V46" i="38"/>
  <c r="U8" i="25"/>
  <c r="V25" i="38"/>
  <c r="U11" i="24"/>
  <c r="V54" i="38"/>
  <c r="U4" i="26"/>
  <c r="V24" i="38"/>
  <c r="U10" i="24"/>
  <c r="V72" i="38"/>
  <c r="U10" i="27"/>
  <c r="V65" i="38"/>
  <c r="U3" i="27"/>
  <c r="V21" i="38"/>
  <c r="U7" i="24"/>
  <c r="V58" i="38"/>
  <c r="U8" i="26"/>
  <c r="V69" i="38"/>
  <c r="U7" i="27"/>
  <c r="V52" i="38"/>
  <c r="U2" i="26"/>
  <c r="V19" i="38"/>
  <c r="U5" i="24"/>
  <c r="W17" i="38"/>
  <c r="V3" i="24"/>
  <c r="V40" i="38"/>
  <c r="U2" i="25"/>
  <c r="V47" i="38"/>
  <c r="U9" i="25"/>
  <c r="V53" i="38"/>
  <c r="U3" i="26"/>
  <c r="W6" i="38"/>
  <c r="V4" i="23"/>
  <c r="V61" i="38"/>
  <c r="U11" i="26"/>
  <c r="V57" i="38"/>
  <c r="U7" i="26"/>
  <c r="V66" i="38"/>
  <c r="U4" i="27"/>
  <c r="V70" i="38"/>
  <c r="U8" i="27"/>
  <c r="W48" i="36" l="1"/>
  <c r="V10" i="15"/>
  <c r="W9" i="36"/>
  <c r="V7" i="21"/>
  <c r="W73" i="36"/>
  <c r="V11" i="17"/>
  <c r="W19" i="36"/>
  <c r="V5" i="14"/>
  <c r="W66" i="36"/>
  <c r="V4" i="17"/>
  <c r="W57" i="36"/>
  <c r="V7" i="16"/>
  <c r="W65" i="36"/>
  <c r="V3" i="17"/>
  <c r="W69" i="36"/>
  <c r="V7" i="17"/>
  <c r="W72" i="36"/>
  <c r="V10" i="17"/>
  <c r="W61" i="36"/>
  <c r="V11" i="16"/>
  <c r="W6" i="36"/>
  <c r="V4" i="21"/>
  <c r="W64" i="36"/>
  <c r="V2" i="17"/>
  <c r="W5" i="36"/>
  <c r="V3" i="21"/>
  <c r="W23" i="36"/>
  <c r="V9" i="14"/>
  <c r="W53" i="36"/>
  <c r="V3" i="16"/>
  <c r="W47" i="36"/>
  <c r="V9" i="15"/>
  <c r="W20" i="36"/>
  <c r="V6" i="14"/>
  <c r="W21" i="36"/>
  <c r="V7" i="14"/>
  <c r="W49" i="36"/>
  <c r="V11" i="15"/>
  <c r="X12" i="36"/>
  <c r="W10" i="21"/>
  <c r="B10" i="40"/>
  <c r="W60" i="36"/>
  <c r="V10" i="16"/>
  <c r="W44" i="36"/>
  <c r="V6" i="15"/>
  <c r="W16" i="36"/>
  <c r="V2" i="14"/>
  <c r="W40" i="36"/>
  <c r="V2" i="15"/>
  <c r="W13" i="36"/>
  <c r="V11" i="21"/>
  <c r="W52" i="36"/>
  <c r="V2" i="16"/>
  <c r="W4" i="36"/>
  <c r="V2" i="21"/>
  <c r="W55" i="36"/>
  <c r="V5" i="16"/>
  <c r="W71" i="36"/>
  <c r="V9" i="17"/>
  <c r="W10" i="36"/>
  <c r="V8" i="21"/>
  <c r="W18" i="36"/>
  <c r="V4" i="14"/>
  <c r="W43" i="36"/>
  <c r="V5" i="15"/>
  <c r="W59" i="36"/>
  <c r="V9" i="16"/>
  <c r="W42" i="36"/>
  <c r="V4" i="15"/>
  <c r="W70" i="36"/>
  <c r="V8" i="17"/>
  <c r="W58" i="36"/>
  <c r="V8" i="16"/>
  <c r="X11" i="36"/>
  <c r="W9" i="21"/>
  <c r="B9" i="40"/>
  <c r="W45" i="36"/>
  <c r="V7" i="15"/>
  <c r="W41" i="36"/>
  <c r="V3" i="15"/>
  <c r="W22" i="36"/>
  <c r="V8" i="14"/>
  <c r="W17" i="36"/>
  <c r="V3" i="14"/>
  <c r="W68" i="36"/>
  <c r="V6" i="17"/>
  <c r="W24" i="36"/>
  <c r="V10" i="14"/>
  <c r="W56" i="36"/>
  <c r="V6" i="16"/>
  <c r="W54" i="36"/>
  <c r="V4" i="16"/>
  <c r="W25" i="36"/>
  <c r="V11" i="14"/>
  <c r="X7" i="36"/>
  <c r="W5" i="21"/>
  <c r="B5" i="40"/>
  <c r="W46" i="36"/>
  <c r="V8" i="15"/>
  <c r="W67" i="36"/>
  <c r="V5" i="17"/>
  <c r="W8" i="36"/>
  <c r="V6" i="21"/>
  <c r="W47" i="37"/>
  <c r="V9" i="11"/>
  <c r="W59" i="37"/>
  <c r="V9" i="12"/>
  <c r="W72" i="37"/>
  <c r="V10" i="13"/>
  <c r="W20" i="37"/>
  <c r="V6" i="20"/>
  <c r="W40" i="37"/>
  <c r="V2" i="11"/>
  <c r="X45" i="37"/>
  <c r="E20" i="40"/>
  <c r="W7" i="11"/>
  <c r="W6" i="37"/>
  <c r="V4" i="18"/>
  <c r="W44" i="37"/>
  <c r="V6" i="11"/>
  <c r="W67" i="37"/>
  <c r="V5" i="13"/>
  <c r="W48" i="37"/>
  <c r="V10" i="11"/>
  <c r="W57" i="37"/>
  <c r="V7" i="12"/>
  <c r="X64" i="37"/>
  <c r="W2" i="13"/>
  <c r="G15" i="40"/>
  <c r="W43" i="37"/>
  <c r="V5" i="11"/>
  <c r="X22" i="37"/>
  <c r="C21" i="40"/>
  <c r="W8" i="20"/>
  <c r="W54" i="37"/>
  <c r="V4" i="12"/>
  <c r="W5" i="37"/>
  <c r="V3" i="18"/>
  <c r="W18" i="37"/>
  <c r="V4" i="20"/>
  <c r="W69" i="37"/>
  <c r="V7" i="13"/>
  <c r="X11" i="37"/>
  <c r="W9" i="18"/>
  <c r="B22" i="40"/>
  <c r="W52" i="37"/>
  <c r="V2" i="12"/>
  <c r="W41" i="37"/>
  <c r="V3" i="11"/>
  <c r="W55" i="37"/>
  <c r="V5" i="12"/>
  <c r="X42" i="37"/>
  <c r="E17" i="40"/>
  <c r="W4" i="11"/>
  <c r="W8" i="37"/>
  <c r="V6" i="18"/>
  <c r="W7" i="37"/>
  <c r="V5" i="18"/>
  <c r="W68" i="37"/>
  <c r="V6" i="13"/>
  <c r="W53" i="37"/>
  <c r="V3" i="12"/>
  <c r="W17" i="37"/>
  <c r="V3" i="20"/>
  <c r="X65" i="37"/>
  <c r="W3" i="13"/>
  <c r="G16" i="40"/>
  <c r="X21" i="37"/>
  <c r="W7" i="20"/>
  <c r="C20" i="40"/>
  <c r="W61" i="37"/>
  <c r="V11" i="12"/>
  <c r="W46" i="37"/>
  <c r="V8" i="11"/>
  <c r="W13" i="37"/>
  <c r="V11" i="18"/>
  <c r="W16" i="37"/>
  <c r="V2" i="20"/>
  <c r="W4" i="37"/>
  <c r="V2" i="18"/>
  <c r="W58" i="37"/>
  <c r="V8" i="12"/>
  <c r="W70" i="37"/>
  <c r="V8" i="13"/>
  <c r="W9" i="37"/>
  <c r="V7" i="18"/>
  <c r="W60" i="37"/>
  <c r="V10" i="12"/>
  <c r="W19" i="37"/>
  <c r="V5" i="20"/>
  <c r="W71" i="37"/>
  <c r="V9" i="13"/>
  <c r="W56" i="37"/>
  <c r="V6" i="12"/>
  <c r="W66" i="37"/>
  <c r="V4" i="13"/>
  <c r="W12" i="37"/>
  <c r="V10" i="18"/>
  <c r="W24" i="37"/>
  <c r="V10" i="20"/>
  <c r="W10" i="37"/>
  <c r="V8" i="18"/>
  <c r="Y23" i="37"/>
  <c r="X9" i="20"/>
  <c r="W49" i="37"/>
  <c r="V11" i="11"/>
  <c r="X25" i="37"/>
  <c r="C24" i="40"/>
  <c r="W11" i="20"/>
  <c r="X73" i="37"/>
  <c r="W11" i="13"/>
  <c r="G24" i="40"/>
  <c r="W57" i="38"/>
  <c r="V7" i="26"/>
  <c r="X17" i="38"/>
  <c r="W3" i="24"/>
  <c r="C29" i="40"/>
  <c r="W65" i="38"/>
  <c r="V3" i="27"/>
  <c r="W23" i="38"/>
  <c r="V9" i="24"/>
  <c r="X5" i="38"/>
  <c r="W3" i="23"/>
  <c r="B29" i="40"/>
  <c r="W71" i="38"/>
  <c r="V9" i="27"/>
  <c r="W10" i="38"/>
  <c r="V8" i="23"/>
  <c r="W42" i="38"/>
  <c r="V4" i="25"/>
  <c r="W61" i="38"/>
  <c r="V11" i="26"/>
  <c r="W19" i="38"/>
  <c r="V5" i="24"/>
  <c r="W72" i="38"/>
  <c r="V10" i="27"/>
  <c r="W68" i="38"/>
  <c r="V6" i="27"/>
  <c r="X55" i="38"/>
  <c r="F31" i="40"/>
  <c r="W5" i="26"/>
  <c r="W22" i="38"/>
  <c r="V8" i="24"/>
  <c r="W13" i="38"/>
  <c r="V11" i="23"/>
  <c r="W56" i="38"/>
  <c r="V6" i="26"/>
  <c r="X6" i="38"/>
  <c r="W4" i="23"/>
  <c r="B30" i="40"/>
  <c r="W52" i="38"/>
  <c r="V2" i="26"/>
  <c r="W24" i="38"/>
  <c r="V10" i="24"/>
  <c r="W7" i="38"/>
  <c r="V5" i="23"/>
  <c r="W67" i="38"/>
  <c r="V5" i="27"/>
  <c r="W12" i="38"/>
  <c r="V10" i="23"/>
  <c r="W45" i="38"/>
  <c r="V7" i="25"/>
  <c r="W9" i="38"/>
  <c r="V7" i="23"/>
  <c r="W53" i="38"/>
  <c r="V3" i="26"/>
  <c r="W69" i="38"/>
  <c r="V7" i="27"/>
  <c r="W54" i="38"/>
  <c r="V4" i="26"/>
  <c r="W48" i="38"/>
  <c r="V10" i="25"/>
  <c r="W20" i="38"/>
  <c r="V6" i="24"/>
  <c r="W44" i="38"/>
  <c r="V6" i="25"/>
  <c r="X8" i="38"/>
  <c r="B32" i="40"/>
  <c r="W6" i="23"/>
  <c r="X4" i="38"/>
  <c r="W2" i="23"/>
  <c r="B28" i="40"/>
  <c r="W70" i="38"/>
  <c r="V8" i="27"/>
  <c r="W47" i="38"/>
  <c r="V9" i="25"/>
  <c r="W58" i="38"/>
  <c r="V8" i="26"/>
  <c r="W25" i="38"/>
  <c r="V11" i="24"/>
  <c r="W60" i="38"/>
  <c r="V10" i="26"/>
  <c r="W59" i="38"/>
  <c r="V9" i="26"/>
  <c r="W43" i="38"/>
  <c r="V5" i="25"/>
  <c r="W18" i="38"/>
  <c r="V4" i="24"/>
  <c r="W64" i="38"/>
  <c r="V2" i="27"/>
  <c r="W66" i="38"/>
  <c r="V4" i="27"/>
  <c r="W40" i="38"/>
  <c r="V2" i="25"/>
  <c r="W21" i="38"/>
  <c r="V7" i="24"/>
  <c r="W46" i="38"/>
  <c r="V8" i="25"/>
  <c r="W41" i="38"/>
  <c r="V3" i="25"/>
  <c r="W73" i="38"/>
  <c r="V11" i="27"/>
  <c r="W49" i="38"/>
  <c r="V11" i="25"/>
  <c r="W11" i="38"/>
  <c r="V9" i="23"/>
  <c r="W16" i="38"/>
  <c r="V2" i="24"/>
  <c r="X58" i="36" l="1"/>
  <c r="W8" i="16"/>
  <c r="F8" i="40"/>
  <c r="X43" i="36"/>
  <c r="W5" i="15"/>
  <c r="E5" i="40"/>
  <c r="X55" i="36"/>
  <c r="W5" i="16"/>
  <c r="F5" i="40"/>
  <c r="X40" i="36"/>
  <c r="W2" i="15"/>
  <c r="E2" i="40"/>
  <c r="Y7" i="36"/>
  <c r="X5" i="21"/>
  <c r="X24" i="36"/>
  <c r="W10" i="14"/>
  <c r="C10" i="40"/>
  <c r="X41" i="36"/>
  <c r="W3" i="15"/>
  <c r="E3" i="40"/>
  <c r="Y12" i="36"/>
  <c r="X10" i="21"/>
  <c r="X47" i="36"/>
  <c r="W9" i="15"/>
  <c r="E9" i="40"/>
  <c r="X64" i="36"/>
  <c r="W2" i="17"/>
  <c r="G2" i="40"/>
  <c r="X69" i="36"/>
  <c r="W7" i="17"/>
  <c r="G7" i="40"/>
  <c r="X19" i="36"/>
  <c r="W5" i="14"/>
  <c r="C5" i="40"/>
  <c r="X8" i="36"/>
  <c r="W6" i="21"/>
  <c r="B6" i="40"/>
  <c r="X70" i="36"/>
  <c r="W8" i="17"/>
  <c r="G8" i="40"/>
  <c r="X18" i="36"/>
  <c r="W4" i="14"/>
  <c r="C4" i="40"/>
  <c r="X4" i="36"/>
  <c r="W2" i="21"/>
  <c r="B2" i="40"/>
  <c r="X16" i="36"/>
  <c r="W2" i="14"/>
  <c r="C2" i="40"/>
  <c r="X25" i="36"/>
  <c r="W11" i="14"/>
  <c r="C11" i="40"/>
  <c r="X68" i="36"/>
  <c r="W6" i="17"/>
  <c r="G6" i="40"/>
  <c r="X45" i="36"/>
  <c r="W7" i="15"/>
  <c r="E7" i="40"/>
  <c r="X49" i="36"/>
  <c r="W11" i="15"/>
  <c r="E11" i="40"/>
  <c r="X53" i="36"/>
  <c r="W3" i="16"/>
  <c r="F3" i="40"/>
  <c r="X6" i="36"/>
  <c r="B4" i="40"/>
  <c r="W4" i="21"/>
  <c r="X65" i="36"/>
  <c r="W3" i="17"/>
  <c r="G3" i="40"/>
  <c r="X73" i="36"/>
  <c r="W11" i="17"/>
  <c r="G11" i="40"/>
  <c r="X67" i="36"/>
  <c r="W5" i="17"/>
  <c r="G5" i="40"/>
  <c r="X42" i="36"/>
  <c r="W4" i="15"/>
  <c r="E4" i="40"/>
  <c r="X10" i="36"/>
  <c r="B8" i="40"/>
  <c r="W8" i="21"/>
  <c r="X52" i="36"/>
  <c r="W2" i="16"/>
  <c r="F2" i="40"/>
  <c r="X44" i="36"/>
  <c r="W6" i="15"/>
  <c r="E6" i="40"/>
  <c r="X54" i="36"/>
  <c r="W4" i="16"/>
  <c r="F4" i="40"/>
  <c r="X17" i="36"/>
  <c r="W3" i="14"/>
  <c r="C3" i="40"/>
  <c r="X21" i="36"/>
  <c r="W7" i="14"/>
  <c r="C7" i="40"/>
  <c r="X23" i="36"/>
  <c r="W9" i="14"/>
  <c r="C9" i="40"/>
  <c r="X61" i="36"/>
  <c r="W11" i="16"/>
  <c r="F11" i="40"/>
  <c r="X57" i="36"/>
  <c r="W7" i="16"/>
  <c r="F7" i="40"/>
  <c r="X9" i="36"/>
  <c r="B7" i="40"/>
  <c r="W7" i="21"/>
  <c r="X46" i="36"/>
  <c r="W8" i="15"/>
  <c r="E8" i="40"/>
  <c r="Y11" i="36"/>
  <c r="X9" i="21"/>
  <c r="X59" i="36"/>
  <c r="W9" i="16"/>
  <c r="F9" i="40"/>
  <c r="X71" i="36"/>
  <c r="W9" i="17"/>
  <c r="G9" i="40"/>
  <c r="X13" i="36"/>
  <c r="B11" i="40"/>
  <c r="W11" i="21"/>
  <c r="X60" i="36"/>
  <c r="W10" i="16"/>
  <c r="F10" i="40"/>
  <c r="I5" i="40"/>
  <c r="J5" i="40" s="1"/>
  <c r="X56" i="36"/>
  <c r="W6" i="16"/>
  <c r="F6" i="40"/>
  <c r="X22" i="36"/>
  <c r="W8" i="14"/>
  <c r="C8" i="40"/>
  <c r="X20" i="36"/>
  <c r="W6" i="14"/>
  <c r="C6" i="40"/>
  <c r="X5" i="36"/>
  <c r="B3" i="40"/>
  <c r="W3" i="21"/>
  <c r="X72" i="36"/>
  <c r="W10" i="17"/>
  <c r="G10" i="40"/>
  <c r="X66" i="36"/>
  <c r="W4" i="17"/>
  <c r="G4" i="40"/>
  <c r="X48" i="36"/>
  <c r="W10" i="15"/>
  <c r="E10" i="40"/>
  <c r="Y73" i="37"/>
  <c r="X11" i="13"/>
  <c r="X55" i="37"/>
  <c r="W5" i="12"/>
  <c r="F18" i="40"/>
  <c r="Y45" i="37"/>
  <c r="X7" i="11"/>
  <c r="X18" i="37"/>
  <c r="C17" i="40"/>
  <c r="W4" i="20"/>
  <c r="X12" i="37"/>
  <c r="W10" i="18"/>
  <c r="B23" i="40"/>
  <c r="X9" i="37"/>
  <c r="W7" i="18"/>
  <c r="B20" i="40"/>
  <c r="X46" i="37"/>
  <c r="E21" i="40"/>
  <c r="W8" i="11"/>
  <c r="X53" i="37"/>
  <c r="W3" i="12"/>
  <c r="F16" i="40"/>
  <c r="X5" i="37"/>
  <c r="W3" i="18"/>
  <c r="B16" i="40"/>
  <c r="X57" i="37"/>
  <c r="W7" i="12"/>
  <c r="F20" i="40"/>
  <c r="X41" i="37"/>
  <c r="W3" i="11"/>
  <c r="E16" i="40"/>
  <c r="X40" i="37"/>
  <c r="E15" i="40"/>
  <c r="W2" i="11"/>
  <c r="Y25" i="37"/>
  <c r="X11" i="20"/>
  <c r="X66" i="37"/>
  <c r="W4" i="13"/>
  <c r="G17" i="40"/>
  <c r="X70" i="37"/>
  <c r="W8" i="13"/>
  <c r="G21" i="40"/>
  <c r="X61" i="37"/>
  <c r="W11" i="12"/>
  <c r="F24" i="40"/>
  <c r="X68" i="37"/>
  <c r="W6" i="13"/>
  <c r="G19" i="40"/>
  <c r="X54" i="37"/>
  <c r="W4" i="12"/>
  <c r="F17" i="40"/>
  <c r="X48" i="37"/>
  <c r="W10" i="11"/>
  <c r="E23" i="40"/>
  <c r="X13" i="37"/>
  <c r="W11" i="18"/>
  <c r="B24" i="40"/>
  <c r="X52" i="37"/>
  <c r="W2" i="12"/>
  <c r="F15" i="40"/>
  <c r="X20" i="37"/>
  <c r="C19" i="40"/>
  <c r="W6" i="20"/>
  <c r="X60" i="37"/>
  <c r="W10" i="12"/>
  <c r="F23" i="40"/>
  <c r="X49" i="37"/>
  <c r="W11" i="11"/>
  <c r="E24" i="40"/>
  <c r="X56" i="37"/>
  <c r="W6" i="12"/>
  <c r="F19" i="40"/>
  <c r="X58" i="37"/>
  <c r="W8" i="12"/>
  <c r="F21" i="40"/>
  <c r="X7" i="37"/>
  <c r="W5" i="18"/>
  <c r="B18" i="40"/>
  <c r="X67" i="37"/>
  <c r="W5" i="13"/>
  <c r="G18" i="40"/>
  <c r="Y21" i="37"/>
  <c r="X7" i="20"/>
  <c r="Y22" i="37"/>
  <c r="X8" i="20"/>
  <c r="X72" i="37"/>
  <c r="W10" i="13"/>
  <c r="G23" i="40"/>
  <c r="Y64" i="37"/>
  <c r="X2" i="13"/>
  <c r="Z23" i="37"/>
  <c r="Y9" i="20"/>
  <c r="X71" i="37"/>
  <c r="W9" i="13"/>
  <c r="G22" i="40"/>
  <c r="X4" i="37"/>
  <c r="W2" i="18"/>
  <c r="B15" i="40"/>
  <c r="X8" i="37"/>
  <c r="W6" i="18"/>
  <c r="B19" i="40"/>
  <c r="Y11" i="37"/>
  <c r="X9" i="18"/>
  <c r="X44" i="37"/>
  <c r="W6" i="11"/>
  <c r="E19" i="40"/>
  <c r="X24" i="37"/>
  <c r="C23" i="40"/>
  <c r="W10" i="20"/>
  <c r="X43" i="37"/>
  <c r="W5" i="11"/>
  <c r="E18" i="40"/>
  <c r="X59" i="37"/>
  <c r="W9" i="12"/>
  <c r="F22" i="40"/>
  <c r="X17" i="37"/>
  <c r="W3" i="20"/>
  <c r="C16" i="40"/>
  <c r="X10" i="37"/>
  <c r="W8" i="18"/>
  <c r="B21" i="40"/>
  <c r="X19" i="37"/>
  <c r="C18" i="40"/>
  <c r="W5" i="20"/>
  <c r="X16" i="37"/>
  <c r="C15" i="40"/>
  <c r="W2" i="20"/>
  <c r="Y65" i="37"/>
  <c r="X3" i="13"/>
  <c r="X69" i="37"/>
  <c r="W7" i="13"/>
  <c r="G20" i="40"/>
  <c r="X6" i="37"/>
  <c r="W4" i="18"/>
  <c r="B17" i="40"/>
  <c r="Y42" i="37"/>
  <c r="X4" i="11"/>
  <c r="X47" i="37"/>
  <c r="W9" i="11"/>
  <c r="E22" i="40"/>
  <c r="X46" i="38"/>
  <c r="W8" i="25"/>
  <c r="E34" i="40"/>
  <c r="X43" i="38"/>
  <c r="W5" i="25"/>
  <c r="E31" i="40"/>
  <c r="X70" i="38"/>
  <c r="W8" i="27"/>
  <c r="G34" i="40"/>
  <c r="X48" i="38"/>
  <c r="E36" i="40"/>
  <c r="W10" i="25"/>
  <c r="X12" i="38"/>
  <c r="W10" i="23"/>
  <c r="B36" i="40"/>
  <c r="X72" i="38"/>
  <c r="W10" i="27"/>
  <c r="G36" i="40"/>
  <c r="X56" i="38"/>
  <c r="W6" i="26"/>
  <c r="F32" i="40"/>
  <c r="Y5" i="38"/>
  <c r="X3" i="23"/>
  <c r="X59" i="38"/>
  <c r="F35" i="40"/>
  <c r="W9" i="26"/>
  <c r="X54" i="38"/>
  <c r="W4" i="26"/>
  <c r="F30" i="40"/>
  <c r="X67" i="38"/>
  <c r="W5" i="27"/>
  <c r="G31" i="40"/>
  <c r="X19" i="38"/>
  <c r="W5" i="24"/>
  <c r="C31" i="40"/>
  <c r="X21" i="38"/>
  <c r="W7" i="24"/>
  <c r="C33" i="40"/>
  <c r="Y4" i="38"/>
  <c r="X2" i="23"/>
  <c r="X13" i="38"/>
  <c r="W11" i="23"/>
  <c r="B37" i="40"/>
  <c r="X23" i="38"/>
  <c r="W9" i="24"/>
  <c r="C35" i="40"/>
  <c r="X11" i="38"/>
  <c r="W9" i="23"/>
  <c r="B35" i="40"/>
  <c r="X40" i="38"/>
  <c r="W2" i="25"/>
  <c r="E28" i="40"/>
  <c r="X60" i="38"/>
  <c r="W10" i="26"/>
  <c r="F36" i="40"/>
  <c r="X69" i="38"/>
  <c r="G33" i="40"/>
  <c r="W7" i="27"/>
  <c r="X7" i="38"/>
  <c r="W5" i="23"/>
  <c r="B31" i="40"/>
  <c r="X61" i="38"/>
  <c r="F37" i="40"/>
  <c r="W11" i="26"/>
  <c r="X22" i="38"/>
  <c r="C34" i="40"/>
  <c r="W8" i="24"/>
  <c r="X65" i="38"/>
  <c r="W3" i="27"/>
  <c r="G29" i="40"/>
  <c r="X49" i="38"/>
  <c r="W11" i="25"/>
  <c r="E37" i="40"/>
  <c r="X66" i="38"/>
  <c r="W4" i="27"/>
  <c r="G30" i="40"/>
  <c r="X25" i="38"/>
  <c r="W11" i="24"/>
  <c r="C37" i="40"/>
  <c r="Y8" i="38"/>
  <c r="X6" i="23"/>
  <c r="X53" i="38"/>
  <c r="F29" i="40"/>
  <c r="W3" i="26"/>
  <c r="X24" i="38"/>
  <c r="C36" i="40"/>
  <c r="W10" i="24"/>
  <c r="X42" i="38"/>
  <c r="W4" i="25"/>
  <c r="E30" i="40"/>
  <c r="Y6" i="38"/>
  <c r="X4" i="23"/>
  <c r="X16" i="38"/>
  <c r="C28" i="40"/>
  <c r="W2" i="24"/>
  <c r="X73" i="38"/>
  <c r="W11" i="27"/>
  <c r="G37" i="40"/>
  <c r="X64" i="38"/>
  <c r="G28" i="40"/>
  <c r="W2" i="27"/>
  <c r="X58" i="38"/>
  <c r="W8" i="26"/>
  <c r="F34" i="40"/>
  <c r="X44" i="38"/>
  <c r="E32" i="40"/>
  <c r="W6" i="25"/>
  <c r="X9" i="38"/>
  <c r="W7" i="23"/>
  <c r="B33" i="40"/>
  <c r="X52" i="38"/>
  <c r="F28" i="40"/>
  <c r="W2" i="26"/>
  <c r="Y55" i="38"/>
  <c r="X5" i="26"/>
  <c r="X10" i="38"/>
  <c r="B34" i="40"/>
  <c r="W8" i="23"/>
  <c r="Y17" i="38"/>
  <c r="X3" i="24"/>
  <c r="X41" i="38"/>
  <c r="E29" i="40"/>
  <c r="W3" i="25"/>
  <c r="X18" i="38"/>
  <c r="C30" i="40"/>
  <c r="W4" i="24"/>
  <c r="X47" i="38"/>
  <c r="W9" i="25"/>
  <c r="E35" i="40"/>
  <c r="X20" i="38"/>
  <c r="W6" i="24"/>
  <c r="C32" i="40"/>
  <c r="X45" i="38"/>
  <c r="W7" i="25"/>
  <c r="E33" i="40"/>
  <c r="X68" i="38"/>
  <c r="W6" i="27"/>
  <c r="G32" i="40"/>
  <c r="X71" i="38"/>
  <c r="W9" i="27"/>
  <c r="G35" i="40"/>
  <c r="X57" i="38"/>
  <c r="W7" i="26"/>
  <c r="F33" i="40"/>
  <c r="I11" i="40" l="1"/>
  <c r="J11" i="40" s="1"/>
  <c r="I7" i="40"/>
  <c r="J7" i="40" s="1"/>
  <c r="I32" i="40"/>
  <c r="J32" i="40" s="1"/>
  <c r="I9" i="40"/>
  <c r="J9" i="40" s="1"/>
  <c r="I3" i="40"/>
  <c r="J3" i="40" s="1"/>
  <c r="I10" i="40"/>
  <c r="J10" i="40" s="1"/>
  <c r="I29" i="40"/>
  <c r="J29" i="40" s="1"/>
  <c r="I21" i="40"/>
  <c r="J21" i="40" s="1"/>
  <c r="Y20" i="36"/>
  <c r="X6" i="14"/>
  <c r="Y21" i="36"/>
  <c r="X7" i="14"/>
  <c r="Y45" i="36"/>
  <c r="X7" i="15"/>
  <c r="Y19" i="36"/>
  <c r="X5" i="14"/>
  <c r="Y71" i="36"/>
  <c r="X9" i="17"/>
  <c r="Y46" i="36"/>
  <c r="X8" i="15"/>
  <c r="Y44" i="36"/>
  <c r="X6" i="15"/>
  <c r="Y73" i="36"/>
  <c r="X11" i="17"/>
  <c r="Y16" i="36"/>
  <c r="X2" i="14"/>
  <c r="Y47" i="36"/>
  <c r="X9" i="15"/>
  <c r="Y24" i="36"/>
  <c r="X10" i="14"/>
  <c r="Y55" i="36"/>
  <c r="X5" i="16"/>
  <c r="Y72" i="36"/>
  <c r="X10" i="17"/>
  <c r="Y61" i="36"/>
  <c r="X11" i="16"/>
  <c r="Y42" i="36"/>
  <c r="X4" i="15"/>
  <c r="Y53" i="36"/>
  <c r="X3" i="16"/>
  <c r="I2" i="40"/>
  <c r="Y70" i="36"/>
  <c r="X8" i="17"/>
  <c r="Y60" i="36"/>
  <c r="X10" i="16"/>
  <c r="Y17" i="36"/>
  <c r="X3" i="14"/>
  <c r="Y68" i="36"/>
  <c r="X6" i="17"/>
  <c r="I6" i="40"/>
  <c r="J6" i="40" s="1"/>
  <c r="Y69" i="36"/>
  <c r="X7" i="17"/>
  <c r="Z12" i="36"/>
  <c r="Y10" i="21"/>
  <c r="Z7" i="36"/>
  <c r="Y5" i="21"/>
  <c r="Y48" i="36"/>
  <c r="X10" i="15"/>
  <c r="Y22" i="36"/>
  <c r="X8" i="14"/>
  <c r="Y59" i="36"/>
  <c r="X9" i="16"/>
  <c r="Y9" i="36"/>
  <c r="X7" i="21"/>
  <c r="Y52" i="36"/>
  <c r="X2" i="16"/>
  <c r="Y65" i="36"/>
  <c r="X3" i="17"/>
  <c r="Y4" i="36"/>
  <c r="X2" i="21"/>
  <c r="Y43" i="36"/>
  <c r="X5" i="15"/>
  <c r="Y5" i="36"/>
  <c r="X3" i="21"/>
  <c r="Y23" i="36"/>
  <c r="X9" i="14"/>
  <c r="Y49" i="36"/>
  <c r="X11" i="15"/>
  <c r="Y8" i="36"/>
  <c r="X6" i="21"/>
  <c r="Y13" i="36"/>
  <c r="X11" i="21"/>
  <c r="Z11" i="36"/>
  <c r="Y9" i="21"/>
  <c r="Y54" i="36"/>
  <c r="X4" i="16"/>
  <c r="I8" i="40"/>
  <c r="J8" i="40" s="1"/>
  <c r="Y67" i="36"/>
  <c r="X5" i="17"/>
  <c r="I4" i="40"/>
  <c r="J4" i="40" s="1"/>
  <c r="Y25" i="36"/>
  <c r="X11" i="14"/>
  <c r="Y64" i="36"/>
  <c r="X2" i="17"/>
  <c r="Y41" i="36"/>
  <c r="X3" i="15"/>
  <c r="Y40" i="36"/>
  <c r="X2" i="15"/>
  <c r="Y66" i="36"/>
  <c r="X4" i="17"/>
  <c r="Y56" i="36"/>
  <c r="X6" i="16"/>
  <c r="Y57" i="36"/>
  <c r="X7" i="16"/>
  <c r="Y10" i="36"/>
  <c r="X8" i="21"/>
  <c r="Y6" i="36"/>
  <c r="X4" i="21"/>
  <c r="Y18" i="36"/>
  <c r="X4" i="14"/>
  <c r="Y58" i="36"/>
  <c r="X8" i="16"/>
  <c r="B39" i="40"/>
  <c r="B40" i="40" s="1"/>
  <c r="I28" i="40"/>
  <c r="J28" i="40" s="1"/>
  <c r="I30" i="40"/>
  <c r="J30" i="40" s="1"/>
  <c r="I17" i="40"/>
  <c r="J17" i="40" s="1"/>
  <c r="I22" i="40"/>
  <c r="J22" i="40" s="1"/>
  <c r="I16" i="40"/>
  <c r="J16" i="40" s="1"/>
  <c r="Y69" i="37"/>
  <c r="X7" i="13"/>
  <c r="Z21" i="37"/>
  <c r="Y7" i="20"/>
  <c r="Y5" i="37"/>
  <c r="X3" i="18"/>
  <c r="Z65" i="37"/>
  <c r="Y3" i="13"/>
  <c r="Y17" i="37"/>
  <c r="X3" i="20"/>
  <c r="Y44" i="37"/>
  <c r="X6" i="11"/>
  <c r="Y56" i="37"/>
  <c r="X6" i="12"/>
  <c r="Y52" i="37"/>
  <c r="X2" i="12"/>
  <c r="Y68" i="37"/>
  <c r="X6" i="13"/>
  <c r="Y12" i="37"/>
  <c r="X10" i="18"/>
  <c r="AA23" i="37"/>
  <c r="Z9" i="20"/>
  <c r="Y67" i="37"/>
  <c r="X5" i="13"/>
  <c r="I24" i="40"/>
  <c r="J24" i="40" s="1"/>
  <c r="Y71" i="37"/>
  <c r="X9" i="13"/>
  <c r="Y47" i="37"/>
  <c r="X9" i="11"/>
  <c r="Z11" i="37"/>
  <c r="Y9" i="18"/>
  <c r="Y40" i="37"/>
  <c r="X2" i="11"/>
  <c r="Y53" i="37"/>
  <c r="X3" i="12"/>
  <c r="Y18" i="37"/>
  <c r="X4" i="20"/>
  <c r="Y16" i="37"/>
  <c r="X2" i="20"/>
  <c r="Y59" i="37"/>
  <c r="X9" i="12"/>
  <c r="I19" i="40"/>
  <c r="J19" i="40" s="1"/>
  <c r="Z64" i="37"/>
  <c r="Y2" i="13"/>
  <c r="Y49" i="37"/>
  <c r="X11" i="11"/>
  <c r="Y13" i="37"/>
  <c r="X11" i="18"/>
  <c r="Y61" i="37"/>
  <c r="X11" i="12"/>
  <c r="Z42" i="37"/>
  <c r="Y4" i="11"/>
  <c r="I18" i="40"/>
  <c r="J18" i="40" s="1"/>
  <c r="Z45" i="37"/>
  <c r="Y7" i="11"/>
  <c r="Y8" i="37"/>
  <c r="X6" i="18"/>
  <c r="Y41" i="37"/>
  <c r="X3" i="11"/>
  <c r="Y46" i="37"/>
  <c r="X8" i="11"/>
  <c r="Y19" i="37"/>
  <c r="X5" i="20"/>
  <c r="Y43" i="37"/>
  <c r="X5" i="11"/>
  <c r="I15" i="40"/>
  <c r="Y72" i="37"/>
  <c r="X10" i="13"/>
  <c r="Y7" i="37"/>
  <c r="X5" i="18"/>
  <c r="Y60" i="37"/>
  <c r="X10" i="12"/>
  <c r="Y48" i="37"/>
  <c r="X10" i="11"/>
  <c r="Y70" i="37"/>
  <c r="X8" i="13"/>
  <c r="I20" i="40"/>
  <c r="J20" i="40" s="1"/>
  <c r="Y6" i="37"/>
  <c r="X4" i="18"/>
  <c r="Y55" i="37"/>
  <c r="X5" i="12"/>
  <c r="Z25" i="37"/>
  <c r="Y11" i="20"/>
  <c r="Y4" i="37"/>
  <c r="X2" i="18"/>
  <c r="Z22" i="37"/>
  <c r="Y8" i="20"/>
  <c r="Y57" i="37"/>
  <c r="X7" i="12"/>
  <c r="Y9" i="37"/>
  <c r="X7" i="18"/>
  <c r="Y10" i="37"/>
  <c r="X8" i="18"/>
  <c r="Y24" i="37"/>
  <c r="X10" i="20"/>
  <c r="Y58" i="37"/>
  <c r="X8" i="12"/>
  <c r="Y20" i="37"/>
  <c r="X6" i="20"/>
  <c r="Y54" i="37"/>
  <c r="X4" i="12"/>
  <c r="Y66" i="37"/>
  <c r="X4" i="13"/>
  <c r="I23" i="40"/>
  <c r="J23" i="40" s="1"/>
  <c r="Z73" i="37"/>
  <c r="Y11" i="13"/>
  <c r="Z6" i="38"/>
  <c r="Y4" i="23"/>
  <c r="Y19" i="38"/>
  <c r="X5" i="24"/>
  <c r="Z55" i="38"/>
  <c r="Y5" i="26"/>
  <c r="Y58" i="38"/>
  <c r="X8" i="26"/>
  <c r="Y69" i="38"/>
  <c r="X7" i="27"/>
  <c r="Y23" i="38"/>
  <c r="X9" i="24"/>
  <c r="Y48" i="38"/>
  <c r="X10" i="25"/>
  <c r="Z8" i="38"/>
  <c r="Y6" i="23"/>
  <c r="Y18" i="38"/>
  <c r="X4" i="24"/>
  <c r="Y25" i="38"/>
  <c r="X11" i="24"/>
  <c r="Y22" i="38"/>
  <c r="X8" i="24"/>
  <c r="I37" i="40"/>
  <c r="J37" i="40" s="1"/>
  <c r="Y56" i="38"/>
  <c r="X6" i="26"/>
  <c r="Y47" i="38"/>
  <c r="X9" i="25"/>
  <c r="G39" i="40"/>
  <c r="G40" i="40" s="1"/>
  <c r="Y42" i="38"/>
  <c r="X4" i="25"/>
  <c r="Y67" i="38"/>
  <c r="X5" i="27"/>
  <c r="Y52" i="38"/>
  <c r="X2" i="26"/>
  <c r="Y64" i="38"/>
  <c r="X2" i="27"/>
  <c r="Y60" i="38"/>
  <c r="X10" i="26"/>
  <c r="Y13" i="38"/>
  <c r="X11" i="23"/>
  <c r="Y70" i="38"/>
  <c r="X8" i="27"/>
  <c r="Y65" i="38"/>
  <c r="X3" i="27"/>
  <c r="I33" i="40"/>
  <c r="J33" i="40" s="1"/>
  <c r="Y66" i="38"/>
  <c r="X4" i="27"/>
  <c r="E39" i="40"/>
  <c r="E40" i="40" s="1"/>
  <c r="Y24" i="38"/>
  <c r="X10" i="24"/>
  <c r="Z4" i="38"/>
  <c r="Y2" i="23"/>
  <c r="Y54" i="38"/>
  <c r="X4" i="26"/>
  <c r="Z5" i="38"/>
  <c r="Y3" i="23"/>
  <c r="Y9" i="38"/>
  <c r="X7" i="23"/>
  <c r="Y73" i="38"/>
  <c r="X11" i="27"/>
  <c r="Y61" i="38"/>
  <c r="X11" i="26"/>
  <c r="Y40" i="38"/>
  <c r="X2" i="25"/>
  <c r="Y72" i="38"/>
  <c r="X10" i="27"/>
  <c r="Y43" i="38"/>
  <c r="X5" i="25"/>
  <c r="Y10" i="38"/>
  <c r="X8" i="23"/>
  <c r="F39" i="40"/>
  <c r="F40" i="40" s="1"/>
  <c r="Y20" i="38"/>
  <c r="X6" i="24"/>
  <c r="Z17" i="38"/>
  <c r="Y3" i="24"/>
  <c r="Y49" i="38"/>
  <c r="X11" i="25"/>
  <c r="I31" i="40"/>
  <c r="J31" i="40" s="1"/>
  <c r="I35" i="40"/>
  <c r="J35" i="40" s="1"/>
  <c r="I36" i="40"/>
  <c r="J36" i="40" s="1"/>
  <c r="Y41" i="38"/>
  <c r="X3" i="25"/>
  <c r="C39" i="40"/>
  <c r="C40" i="40" s="1"/>
  <c r="Y53" i="38"/>
  <c r="X3" i="26"/>
  <c r="Y21" i="38"/>
  <c r="X7" i="24"/>
  <c r="X9" i="26"/>
  <c r="Y59" i="38"/>
  <c r="Y71" i="38"/>
  <c r="X9" i="27"/>
  <c r="Y68" i="38"/>
  <c r="X6" i="27"/>
  <c r="Y45" i="38"/>
  <c r="X7" i="25"/>
  <c r="Y57" i="38"/>
  <c r="X7" i="26"/>
  <c r="I34" i="40"/>
  <c r="J34" i="40" s="1"/>
  <c r="Y44" i="38"/>
  <c r="X6" i="25"/>
  <c r="Y16" i="38"/>
  <c r="X2" i="24"/>
  <c r="Y7" i="38"/>
  <c r="X5" i="23"/>
  <c r="Y11" i="38"/>
  <c r="X9" i="23"/>
  <c r="Y12" i="38"/>
  <c r="X10" i="23"/>
  <c r="Y46" i="38"/>
  <c r="X8" i="25"/>
  <c r="Z67" i="36" l="1"/>
  <c r="Y5" i="17"/>
  <c r="Z68" i="36"/>
  <c r="Y6" i="17"/>
  <c r="Z41" i="36"/>
  <c r="Y3" i="15"/>
  <c r="Z8" i="36"/>
  <c r="Y6" i="21"/>
  <c r="Z43" i="36"/>
  <c r="Y5" i="15"/>
  <c r="Z9" i="36"/>
  <c r="Y7" i="21"/>
  <c r="AA7" i="36"/>
  <c r="Z5" i="21"/>
  <c r="Z53" i="36"/>
  <c r="Y3" i="16"/>
  <c r="Z55" i="36"/>
  <c r="Y5" i="16"/>
  <c r="Z73" i="36"/>
  <c r="Y11" i="17"/>
  <c r="Z19" i="36"/>
  <c r="Y5" i="14"/>
  <c r="Z57" i="36"/>
  <c r="Y7" i="16"/>
  <c r="Z17" i="36"/>
  <c r="Y3" i="14"/>
  <c r="Z18" i="36"/>
  <c r="Y4" i="14"/>
  <c r="Z56" i="36"/>
  <c r="Y6" i="16"/>
  <c r="Z64" i="36"/>
  <c r="Y2" i="17"/>
  <c r="Z54" i="36"/>
  <c r="Y4" i="16"/>
  <c r="Z49" i="36"/>
  <c r="Y11" i="15"/>
  <c r="Z4" i="36"/>
  <c r="Y2" i="21"/>
  <c r="Z59" i="36"/>
  <c r="Y9" i="16"/>
  <c r="AA12" i="36"/>
  <c r="Z10" i="21"/>
  <c r="Z42" i="36"/>
  <c r="Y4" i="15"/>
  <c r="Z24" i="36"/>
  <c r="Y10" i="14"/>
  <c r="Z44" i="36"/>
  <c r="Y6" i="15"/>
  <c r="Z45" i="36"/>
  <c r="Y7" i="15"/>
  <c r="Z60" i="36"/>
  <c r="Y10" i="16"/>
  <c r="Z6" i="36"/>
  <c r="Y4" i="21"/>
  <c r="Z66" i="36"/>
  <c r="Y4" i="17"/>
  <c r="Z25" i="36"/>
  <c r="Y11" i="14"/>
  <c r="AA11" i="36"/>
  <c r="Z9" i="21"/>
  <c r="Z23" i="36"/>
  <c r="Y9" i="14"/>
  <c r="Z65" i="36"/>
  <c r="Y3" i="17"/>
  <c r="Z22" i="36"/>
  <c r="Y8" i="14"/>
  <c r="Z69" i="36"/>
  <c r="Y7" i="17"/>
  <c r="Z61" i="36"/>
  <c r="Y11" i="16"/>
  <c r="Z47" i="36"/>
  <c r="Y9" i="15"/>
  <c r="Z46" i="36"/>
  <c r="Y8" i="15"/>
  <c r="Z21" i="36"/>
  <c r="Y7" i="14"/>
  <c r="Z58" i="36"/>
  <c r="Y8" i="16"/>
  <c r="Z70" i="36"/>
  <c r="Y8" i="17"/>
  <c r="Z10" i="36"/>
  <c r="Y8" i="21"/>
  <c r="Z40" i="36"/>
  <c r="Y2" i="15"/>
  <c r="Z13" i="36"/>
  <c r="Y11" i="21"/>
  <c r="Z5" i="36"/>
  <c r="Y3" i="21"/>
  <c r="Z52" i="36"/>
  <c r="Y2" i="16"/>
  <c r="Z48" i="36"/>
  <c r="Y10" i="15"/>
  <c r="J2" i="40"/>
  <c r="I12" i="40"/>
  <c r="J12" i="40" s="1"/>
  <c r="Z72" i="36"/>
  <c r="Y10" i="17"/>
  <c r="Z16" i="36"/>
  <c r="Y2" i="14"/>
  <c r="Z71" i="36"/>
  <c r="Y9" i="17"/>
  <c r="Z20" i="36"/>
  <c r="Y6" i="14"/>
  <c r="Z60" i="37"/>
  <c r="Y10" i="12"/>
  <c r="Z13" i="37"/>
  <c r="Y11" i="18"/>
  <c r="Z67" i="37"/>
  <c r="Y5" i="13"/>
  <c r="Z44" i="37"/>
  <c r="Y6" i="11"/>
  <c r="AA25" i="37"/>
  <c r="Z11" i="20"/>
  <c r="Z41" i="37"/>
  <c r="Y3" i="11"/>
  <c r="Z53" i="37"/>
  <c r="Y3" i="12"/>
  <c r="Z7" i="37"/>
  <c r="Y5" i="18"/>
  <c r="Z49" i="37"/>
  <c r="Y11" i="11"/>
  <c r="AB23" i="37"/>
  <c r="AA9" i="20"/>
  <c r="Z17" i="37"/>
  <c r="Y3" i="20"/>
  <c r="Z10" i="37"/>
  <c r="Y8" i="18"/>
  <c r="Z55" i="37"/>
  <c r="Y5" i="12"/>
  <c r="Z8" i="37"/>
  <c r="Y6" i="18"/>
  <c r="Z40" i="37"/>
  <c r="Y2" i="11"/>
  <c r="Z4" i="37"/>
  <c r="Y2" i="18"/>
  <c r="Z72" i="37"/>
  <c r="Y10" i="13"/>
  <c r="AA64" i="37"/>
  <c r="Z2" i="13"/>
  <c r="Z12" i="37"/>
  <c r="Y10" i="18"/>
  <c r="AA65" i="37"/>
  <c r="Z3" i="13"/>
  <c r="I25" i="40"/>
  <c r="J25" i="40" s="1"/>
  <c r="J15" i="40"/>
  <c r="AA45" i="37"/>
  <c r="Z7" i="11"/>
  <c r="AA11" i="37"/>
  <c r="Z9" i="18"/>
  <c r="Z46" i="37"/>
  <c r="Y8" i="11"/>
  <c r="Z68" i="37"/>
  <c r="Y6" i="13"/>
  <c r="Z5" i="37"/>
  <c r="Y3" i="18"/>
  <c r="Z9" i="37"/>
  <c r="Y7" i="18"/>
  <c r="Z54" i="37"/>
  <c r="Y4" i="12"/>
  <c r="Z57" i="37"/>
  <c r="Y7" i="12"/>
  <c r="Z43" i="37"/>
  <c r="Y5" i="11"/>
  <c r="Z59" i="37"/>
  <c r="Y9" i="12"/>
  <c r="Z47" i="37"/>
  <c r="Y9" i="11"/>
  <c r="Z70" i="37"/>
  <c r="Y8" i="13"/>
  <c r="AA42" i="37"/>
  <c r="Z4" i="11"/>
  <c r="Z52" i="37"/>
  <c r="Y2" i="12"/>
  <c r="AA21" i="37"/>
  <c r="Z7" i="20"/>
  <c r="Z18" i="37"/>
  <c r="Y4" i="20"/>
  <c r="AA73" i="37"/>
  <c r="Z11" i="13"/>
  <c r="Z6" i="37"/>
  <c r="Y4" i="18"/>
  <c r="Z20" i="37"/>
  <c r="Y6" i="20"/>
  <c r="AA22" i="37"/>
  <c r="Z8" i="20"/>
  <c r="Z19" i="37"/>
  <c r="Y5" i="20"/>
  <c r="Z16" i="37"/>
  <c r="Y2" i="20"/>
  <c r="Z71" i="37"/>
  <c r="Y9" i="13"/>
  <c r="Z58" i="37"/>
  <c r="Y8" i="12"/>
  <c r="Z24" i="37"/>
  <c r="Y10" i="20"/>
  <c r="Z66" i="37"/>
  <c r="Y4" i="13"/>
  <c r="Z48" i="37"/>
  <c r="Y10" i="11"/>
  <c r="Z61" i="37"/>
  <c r="Y11" i="12"/>
  <c r="Z56" i="37"/>
  <c r="Y6" i="12"/>
  <c r="Z69" i="37"/>
  <c r="Y7" i="13"/>
  <c r="Z66" i="38"/>
  <c r="Y4" i="27"/>
  <c r="AA5" i="38"/>
  <c r="Z3" i="23"/>
  <c r="Z65" i="38"/>
  <c r="Y3" i="27"/>
  <c r="Z67" i="38"/>
  <c r="Y5" i="27"/>
  <c r="Z25" i="38"/>
  <c r="Y11" i="24"/>
  <c r="Z58" i="38"/>
  <c r="Y8" i="26"/>
  <c r="Z71" i="38"/>
  <c r="Y9" i="27"/>
  <c r="Z69" i="38"/>
  <c r="Y7" i="27"/>
  <c r="Z59" i="38"/>
  <c r="Y9" i="26"/>
  <c r="Z72" i="38"/>
  <c r="Y10" i="27"/>
  <c r="Z54" i="38"/>
  <c r="Y4" i="26"/>
  <c r="Z70" i="38"/>
  <c r="Y8" i="27"/>
  <c r="Z42" i="38"/>
  <c r="Y4" i="25"/>
  <c r="Z18" i="38"/>
  <c r="Y4" i="24"/>
  <c r="AA55" i="38"/>
  <c r="Z5" i="26"/>
  <c r="Z9" i="38"/>
  <c r="Y7" i="23"/>
  <c r="Z52" i="38"/>
  <c r="Y2" i="26"/>
  <c r="Z40" i="38"/>
  <c r="Y2" i="25"/>
  <c r="AA4" i="38"/>
  <c r="Z2" i="23"/>
  <c r="Z13" i="38"/>
  <c r="Y11" i="23"/>
  <c r="AA8" i="38"/>
  <c r="Z6" i="23"/>
  <c r="Z19" i="38"/>
  <c r="Y5" i="24"/>
  <c r="Z68" i="38"/>
  <c r="Y6" i="27"/>
  <c r="Z16" i="38"/>
  <c r="Y2" i="24"/>
  <c r="Z21" i="38"/>
  <c r="Y7" i="24"/>
  <c r="AA17" i="38"/>
  <c r="Z3" i="24"/>
  <c r="Z47" i="38"/>
  <c r="Y9" i="25"/>
  <c r="Z22" i="38"/>
  <c r="Y8" i="24"/>
  <c r="Z49" i="38"/>
  <c r="Y11" i="25"/>
  <c r="Z61" i="38"/>
  <c r="Y11" i="26"/>
  <c r="Z24" i="38"/>
  <c r="Y10" i="24"/>
  <c r="Z60" i="38"/>
  <c r="Y10" i="26"/>
  <c r="Z48" i="38"/>
  <c r="Y10" i="25"/>
  <c r="AA6" i="38"/>
  <c r="Z4" i="23"/>
  <c r="Z45" i="38"/>
  <c r="Y7" i="25"/>
  <c r="Z41" i="38"/>
  <c r="Y3" i="25"/>
  <c r="Z43" i="38"/>
  <c r="Y5" i="25"/>
  <c r="Z44" i="38"/>
  <c r="Y6" i="25"/>
  <c r="Z46" i="38"/>
  <c r="Y8" i="25"/>
  <c r="Z57" i="38"/>
  <c r="Y7" i="26"/>
  <c r="Z53" i="38"/>
  <c r="Y3" i="26"/>
  <c r="Z20" i="38"/>
  <c r="Y6" i="24"/>
  <c r="Z56" i="38"/>
  <c r="Y6" i="26"/>
  <c r="I38" i="40"/>
  <c r="J38" i="40" s="1"/>
  <c r="Z11" i="38"/>
  <c r="Y9" i="23"/>
  <c r="Z10" i="38"/>
  <c r="Y8" i="23"/>
  <c r="Z7" i="38"/>
  <c r="Y5" i="23"/>
  <c r="Z12" i="38"/>
  <c r="Y10" i="23"/>
  <c r="Z73" i="38"/>
  <c r="Y11" i="27"/>
  <c r="Z64" i="38"/>
  <c r="Y2" i="27"/>
  <c r="Z23" i="38"/>
  <c r="Y9" i="24"/>
  <c r="AA72" i="36" l="1"/>
  <c r="Z10" i="17"/>
  <c r="AA5" i="36"/>
  <c r="Z3" i="21"/>
  <c r="AA70" i="36"/>
  <c r="Z8" i="17"/>
  <c r="AA47" i="36"/>
  <c r="Z9" i="15"/>
  <c r="AA65" i="36"/>
  <c r="Z3" i="17"/>
  <c r="AA66" i="36"/>
  <c r="Z4" i="17"/>
  <c r="AA44" i="36"/>
  <c r="Z6" i="15"/>
  <c r="AA59" i="36"/>
  <c r="Z9" i="16"/>
  <c r="AA64" i="36"/>
  <c r="Z2" i="17"/>
  <c r="AA57" i="36"/>
  <c r="Z7" i="16"/>
  <c r="AA53" i="36"/>
  <c r="Z3" i="16"/>
  <c r="AA8" i="36"/>
  <c r="Z6" i="21"/>
  <c r="AA20" i="36"/>
  <c r="Z6" i="14"/>
  <c r="AA13" i="36"/>
  <c r="Z11" i="21"/>
  <c r="AA58" i="36"/>
  <c r="Z8" i="16"/>
  <c r="AA61" i="36"/>
  <c r="Z11" i="16"/>
  <c r="AA23" i="36"/>
  <c r="Z9" i="14"/>
  <c r="AA6" i="36"/>
  <c r="Z4" i="21"/>
  <c r="AA24" i="36"/>
  <c r="Z10" i="14"/>
  <c r="AA4" i="36"/>
  <c r="Z2" i="21"/>
  <c r="AA56" i="36"/>
  <c r="Z6" i="16"/>
  <c r="AA19" i="36"/>
  <c r="Z5" i="14"/>
  <c r="AB7" i="36"/>
  <c r="AA5" i="21"/>
  <c r="AA41" i="36"/>
  <c r="Z3" i="15"/>
  <c r="AA48" i="36"/>
  <c r="Z10" i="15"/>
  <c r="AA40" i="36"/>
  <c r="Z2" i="15"/>
  <c r="AA21" i="36"/>
  <c r="Z7" i="14"/>
  <c r="AA69" i="36"/>
  <c r="Z7" i="17"/>
  <c r="AB11" i="36"/>
  <c r="AA9" i="21"/>
  <c r="AA60" i="36"/>
  <c r="Z10" i="16"/>
  <c r="AA42" i="36"/>
  <c r="Z4" i="15"/>
  <c r="AA49" i="36"/>
  <c r="Z11" i="15"/>
  <c r="AA18" i="36"/>
  <c r="Z4" i="14"/>
  <c r="AA73" i="36"/>
  <c r="Z11" i="17"/>
  <c r="AA9" i="36"/>
  <c r="Z7" i="21"/>
  <c r="AA68" i="36"/>
  <c r="Z6" i="17"/>
  <c r="AA71" i="36"/>
  <c r="Z9" i="17"/>
  <c r="AA16" i="36"/>
  <c r="Z2" i="14"/>
  <c r="AA52" i="36"/>
  <c r="Z2" i="16"/>
  <c r="AA10" i="36"/>
  <c r="Z8" i="21"/>
  <c r="AA46" i="36"/>
  <c r="Z8" i="15"/>
  <c r="AA22" i="36"/>
  <c r="Z8" i="14"/>
  <c r="AA25" i="36"/>
  <c r="Z11" i="14"/>
  <c r="AA45" i="36"/>
  <c r="Z7" i="15"/>
  <c r="AB12" i="36"/>
  <c r="AA10" i="21"/>
  <c r="AA54" i="36"/>
  <c r="Z4" i="16"/>
  <c r="AA17" i="36"/>
  <c r="Z3" i="14"/>
  <c r="AA55" i="36"/>
  <c r="Z5" i="16"/>
  <c r="AA43" i="36"/>
  <c r="Z5" i="15"/>
  <c r="AA67" i="36"/>
  <c r="Z5" i="17"/>
  <c r="AA19" i="37"/>
  <c r="Z5" i="20"/>
  <c r="AB21" i="37"/>
  <c r="AA7" i="20"/>
  <c r="AA43" i="37"/>
  <c r="Z5" i="11"/>
  <c r="AA46" i="37"/>
  <c r="Z8" i="11"/>
  <c r="AB64" i="37"/>
  <c r="AA2" i="13"/>
  <c r="AA10" i="37"/>
  <c r="Z8" i="18"/>
  <c r="AA41" i="37"/>
  <c r="Z3" i="11"/>
  <c r="AA48" i="37"/>
  <c r="Z10" i="11"/>
  <c r="AA66" i="37"/>
  <c r="Z4" i="13"/>
  <c r="AB22" i="37"/>
  <c r="AA8" i="20"/>
  <c r="AA52" i="37"/>
  <c r="Z2" i="12"/>
  <c r="AA57" i="37"/>
  <c r="Z7" i="12"/>
  <c r="AB11" i="37"/>
  <c r="AA9" i="18"/>
  <c r="AA72" i="37"/>
  <c r="Z10" i="13"/>
  <c r="AA17" i="37"/>
  <c r="Z3" i="20"/>
  <c r="AB25" i="37"/>
  <c r="AA11" i="20"/>
  <c r="AA24" i="37"/>
  <c r="Z10" i="20"/>
  <c r="AA20" i="37"/>
  <c r="Z6" i="20"/>
  <c r="AB42" i="37"/>
  <c r="AA4" i="11"/>
  <c r="AA54" i="37"/>
  <c r="Z4" i="12"/>
  <c r="AB45" i="37"/>
  <c r="AA7" i="11"/>
  <c r="AA4" i="37"/>
  <c r="Z2" i="18"/>
  <c r="AC23" i="37"/>
  <c r="AB9" i="20"/>
  <c r="AA44" i="37"/>
  <c r="Z6" i="11"/>
  <c r="AA6" i="37"/>
  <c r="Z4" i="18"/>
  <c r="AA9" i="37"/>
  <c r="Z7" i="18"/>
  <c r="AA40" i="37"/>
  <c r="Z2" i="11"/>
  <c r="AA49" i="37"/>
  <c r="Z11" i="11"/>
  <c r="AA67" i="37"/>
  <c r="Z5" i="13"/>
  <c r="AA69" i="37"/>
  <c r="Z7" i="13"/>
  <c r="AA70" i="37"/>
  <c r="Z8" i="13"/>
  <c r="AA56" i="37"/>
  <c r="Z6" i="12"/>
  <c r="AB73" i="37"/>
  <c r="AA11" i="13"/>
  <c r="AA47" i="37"/>
  <c r="Z9" i="11"/>
  <c r="AA5" i="37"/>
  <c r="Z3" i="18"/>
  <c r="AB65" i="37"/>
  <c r="AA3" i="13"/>
  <c r="AA8" i="37"/>
  <c r="Z6" i="18"/>
  <c r="AA7" i="37"/>
  <c r="Z5" i="18"/>
  <c r="AA13" i="37"/>
  <c r="Z11" i="18"/>
  <c r="AA58" i="37"/>
  <c r="Z8" i="12"/>
  <c r="AA71" i="37"/>
  <c r="Z9" i="13"/>
  <c r="AA61" i="37"/>
  <c r="Z11" i="12"/>
  <c r="AA16" i="37"/>
  <c r="Z2" i="20"/>
  <c r="AA18" i="37"/>
  <c r="Z4" i="20"/>
  <c r="AA59" i="37"/>
  <c r="Z9" i="12"/>
  <c r="AA68" i="37"/>
  <c r="Z6" i="13"/>
  <c r="AA12" i="37"/>
  <c r="Z10" i="18"/>
  <c r="AA55" i="37"/>
  <c r="Z5" i="12"/>
  <c r="AA53" i="37"/>
  <c r="Z3" i="12"/>
  <c r="AA60" i="37"/>
  <c r="Z10" i="12"/>
  <c r="AA41" i="38"/>
  <c r="Z3" i="25"/>
  <c r="AA61" i="38"/>
  <c r="Z11" i="26"/>
  <c r="AA16" i="38"/>
  <c r="Z2" i="24"/>
  <c r="AA40" i="38"/>
  <c r="Z2" i="25"/>
  <c r="AA70" i="38"/>
  <c r="Z8" i="27"/>
  <c r="AA58" i="38"/>
  <c r="Z8" i="26"/>
  <c r="AA49" i="38"/>
  <c r="Z11" i="25"/>
  <c r="AA68" i="38"/>
  <c r="Z6" i="27"/>
  <c r="AA52" i="38"/>
  <c r="Z2" i="26"/>
  <c r="AA54" i="38"/>
  <c r="Z4" i="26"/>
  <c r="AA25" i="38"/>
  <c r="Z11" i="24"/>
  <c r="AA53" i="38"/>
  <c r="Z3" i="26"/>
  <c r="AA7" i="38"/>
  <c r="Z5" i="23"/>
  <c r="AA45" i="38"/>
  <c r="Z7" i="25"/>
  <c r="AA57" i="38"/>
  <c r="Z7" i="26"/>
  <c r="AB6" i="38"/>
  <c r="AA4" i="23"/>
  <c r="AA22" i="38"/>
  <c r="Z8" i="24"/>
  <c r="AA19" i="38"/>
  <c r="Z5" i="24"/>
  <c r="AA9" i="38"/>
  <c r="Z7" i="23"/>
  <c r="AA72" i="38"/>
  <c r="Z10" i="27"/>
  <c r="AA67" i="38"/>
  <c r="Z5" i="27"/>
  <c r="AA20" i="38"/>
  <c r="Z6" i="24"/>
  <c r="AA10" i="38"/>
  <c r="Z8" i="23"/>
  <c r="AA46" i="38"/>
  <c r="Z8" i="25"/>
  <c r="AA48" i="38"/>
  <c r="Z10" i="25"/>
  <c r="AA47" i="38"/>
  <c r="Z9" i="25"/>
  <c r="AB8" i="38"/>
  <c r="AA6" i="23"/>
  <c r="AB55" i="38"/>
  <c r="AA5" i="26"/>
  <c r="AA59" i="38"/>
  <c r="Z9" i="26"/>
  <c r="AA65" i="38"/>
  <c r="Z3" i="27"/>
  <c r="AA11" i="38"/>
  <c r="Z9" i="23"/>
  <c r="AA44" i="38"/>
  <c r="Z6" i="25"/>
  <c r="AA60" i="38"/>
  <c r="Z10" i="26"/>
  <c r="AB17" i="38"/>
  <c r="AA3" i="24"/>
  <c r="AA13" i="38"/>
  <c r="Z11" i="23"/>
  <c r="AA18" i="38"/>
  <c r="Z4" i="24"/>
  <c r="AA69" i="38"/>
  <c r="Z7" i="27"/>
  <c r="AB5" i="38"/>
  <c r="AA3" i="23"/>
  <c r="AA12" i="38"/>
  <c r="Z10" i="23"/>
  <c r="AA23" i="38"/>
  <c r="Z9" i="24"/>
  <c r="AA64" i="38"/>
  <c r="Z2" i="27"/>
  <c r="AA73" i="38"/>
  <c r="Z11" i="27"/>
  <c r="AA56" i="38"/>
  <c r="Z6" i="26"/>
  <c r="AA43" i="38"/>
  <c r="Z5" i="25"/>
  <c r="AA24" i="38"/>
  <c r="Z10" i="24"/>
  <c r="AA21" i="38"/>
  <c r="Z7" i="24"/>
  <c r="AB4" i="38"/>
  <c r="AA2" i="23"/>
  <c r="AA42" i="38"/>
  <c r="Z4" i="25"/>
  <c r="AA71" i="38"/>
  <c r="Z9" i="27"/>
  <c r="AA66" i="38"/>
  <c r="Z4" i="27"/>
  <c r="AB55" i="36" l="1"/>
  <c r="AA5" i="16"/>
  <c r="AB45" i="36"/>
  <c r="AA7" i="15"/>
  <c r="AB10" i="36"/>
  <c r="AA8" i="21"/>
  <c r="AB68" i="36"/>
  <c r="AA6" i="17"/>
  <c r="AB49" i="36"/>
  <c r="AA11" i="15"/>
  <c r="AB69" i="36"/>
  <c r="AA7" i="17"/>
  <c r="AB41" i="36"/>
  <c r="AA3" i="15"/>
  <c r="AB4" i="36"/>
  <c r="AA2" i="21"/>
  <c r="AB61" i="36"/>
  <c r="AA11" i="16"/>
  <c r="AB8" i="36"/>
  <c r="AA6" i="21"/>
  <c r="AB59" i="36"/>
  <c r="AA9" i="16"/>
  <c r="AB47" i="36"/>
  <c r="AA9" i="15"/>
  <c r="AB17" i="36"/>
  <c r="AA3" i="14"/>
  <c r="AB25" i="36"/>
  <c r="AA11" i="14"/>
  <c r="AB52" i="36"/>
  <c r="AA2" i="16"/>
  <c r="AB9" i="36"/>
  <c r="AA7" i="21"/>
  <c r="AB42" i="36"/>
  <c r="AA4" i="15"/>
  <c r="AB21" i="36"/>
  <c r="AA7" i="14"/>
  <c r="AC7" i="36"/>
  <c r="AB5" i="21"/>
  <c r="AB24" i="36"/>
  <c r="AA10" i="14"/>
  <c r="AB58" i="36"/>
  <c r="AA8" i="16"/>
  <c r="AB53" i="36"/>
  <c r="AA3" i="16"/>
  <c r="AB44" i="36"/>
  <c r="AA6" i="15"/>
  <c r="AB70" i="36"/>
  <c r="AA8" i="17"/>
  <c r="AB67" i="36"/>
  <c r="AA5" i="17"/>
  <c r="AB54" i="36"/>
  <c r="AA4" i="16"/>
  <c r="AB22" i="36"/>
  <c r="AA8" i="14"/>
  <c r="AB16" i="36"/>
  <c r="AA2" i="14"/>
  <c r="AB73" i="36"/>
  <c r="AA11" i="17"/>
  <c r="AB60" i="36"/>
  <c r="AA10" i="16"/>
  <c r="AB40" i="36"/>
  <c r="AA2" i="15"/>
  <c r="AB19" i="36"/>
  <c r="AA5" i="14"/>
  <c r="AB6" i="36"/>
  <c r="AA4" i="21"/>
  <c r="AB13" i="36"/>
  <c r="AA11" i="21"/>
  <c r="AB57" i="36"/>
  <c r="AA7" i="16"/>
  <c r="AB66" i="36"/>
  <c r="AA4" i="17"/>
  <c r="AB5" i="36"/>
  <c r="AA3" i="21"/>
  <c r="AB43" i="36"/>
  <c r="AA5" i="15"/>
  <c r="AC12" i="36"/>
  <c r="AB10" i="21"/>
  <c r="AB46" i="36"/>
  <c r="AA8" i="15"/>
  <c r="AB71" i="36"/>
  <c r="AA9" i="17"/>
  <c r="AB18" i="36"/>
  <c r="AA4" i="14"/>
  <c r="AC11" i="36"/>
  <c r="AB9" i="21"/>
  <c r="AB48" i="36"/>
  <c r="AA10" i="15"/>
  <c r="AB56" i="36"/>
  <c r="AA6" i="16"/>
  <c r="AB23" i="36"/>
  <c r="AA9" i="14"/>
  <c r="AB20" i="36"/>
  <c r="AA6" i="14"/>
  <c r="AB64" i="36"/>
  <c r="AA2" i="17"/>
  <c r="AB65" i="36"/>
  <c r="AA3" i="17"/>
  <c r="AB72" i="36"/>
  <c r="AA10" i="17"/>
  <c r="AB61" i="37"/>
  <c r="AA11" i="12"/>
  <c r="AC65" i="37"/>
  <c r="AB3" i="13"/>
  <c r="AB69" i="37"/>
  <c r="AA7" i="13"/>
  <c r="AB44" i="37"/>
  <c r="AA6" i="11"/>
  <c r="AB20" i="37"/>
  <c r="AA6" i="20"/>
  <c r="AB57" i="37"/>
  <c r="AA7" i="12"/>
  <c r="AB10" i="37"/>
  <c r="AA8" i="18"/>
  <c r="AB5" i="37"/>
  <c r="AA3" i="18"/>
  <c r="AB67" i="37"/>
  <c r="AA5" i="13"/>
  <c r="AD23" i="37"/>
  <c r="AC9" i="20"/>
  <c r="AB24" i="37"/>
  <c r="AA10" i="20"/>
  <c r="AB52" i="37"/>
  <c r="AA2" i="12"/>
  <c r="AC64" i="37"/>
  <c r="AB2" i="13"/>
  <c r="AB55" i="37"/>
  <c r="AA5" i="12"/>
  <c r="AB47" i="37"/>
  <c r="AA9" i="11"/>
  <c r="AB49" i="37"/>
  <c r="AA11" i="11"/>
  <c r="AB4" i="37"/>
  <c r="AA2" i="18"/>
  <c r="AC25" i="37"/>
  <c r="AB11" i="20"/>
  <c r="AC22" i="37"/>
  <c r="AB8" i="20"/>
  <c r="AB46" i="37"/>
  <c r="AA8" i="11"/>
  <c r="AB13" i="37"/>
  <c r="AA11" i="18"/>
  <c r="AB40" i="37"/>
  <c r="AA2" i="11"/>
  <c r="AC45" i="37"/>
  <c r="AB7" i="11"/>
  <c r="AB17" i="37"/>
  <c r="AA3" i="20"/>
  <c r="AB66" i="37"/>
  <c r="AA4" i="13"/>
  <c r="AB43" i="37"/>
  <c r="AA5" i="11"/>
  <c r="AB71" i="37"/>
  <c r="AA9" i="13"/>
  <c r="AB58" i="37"/>
  <c r="AA8" i="12"/>
  <c r="AB59" i="37"/>
  <c r="AA9" i="12"/>
  <c r="AC73" i="37"/>
  <c r="AB11" i="13"/>
  <c r="AB7" i="37"/>
  <c r="AA5" i="18"/>
  <c r="AB9" i="37"/>
  <c r="AA7" i="18"/>
  <c r="AB54" i="37"/>
  <c r="AA4" i="12"/>
  <c r="AB72" i="37"/>
  <c r="AA10" i="13"/>
  <c r="AB48" i="37"/>
  <c r="AA10" i="11"/>
  <c r="AC21" i="37"/>
  <c r="AB7" i="20"/>
  <c r="AB12" i="37"/>
  <c r="AA10" i="18"/>
  <c r="AB68" i="37"/>
  <c r="AA6" i="13"/>
  <c r="AB60" i="37"/>
  <c r="AA10" i="12"/>
  <c r="AB18" i="37"/>
  <c r="AA4" i="20"/>
  <c r="AB56" i="37"/>
  <c r="AA6" i="12"/>
  <c r="AB53" i="37"/>
  <c r="AA3" i="12"/>
  <c r="AB16" i="37"/>
  <c r="AA2" i="20"/>
  <c r="AB8" i="37"/>
  <c r="AA6" i="18"/>
  <c r="AB70" i="37"/>
  <c r="AA8" i="13"/>
  <c r="AB6" i="37"/>
  <c r="AA4" i="18"/>
  <c r="AC42" i="37"/>
  <c r="AB4" i="11"/>
  <c r="AC11" i="37"/>
  <c r="AB9" i="18"/>
  <c r="AB41" i="37"/>
  <c r="AA3" i="11"/>
  <c r="AB19" i="37"/>
  <c r="AA5" i="20"/>
  <c r="AB65" i="38"/>
  <c r="AA3" i="27"/>
  <c r="AB46" i="38"/>
  <c r="AA8" i="25"/>
  <c r="AB19" i="38"/>
  <c r="AA5" i="24"/>
  <c r="AB53" i="38"/>
  <c r="AA3" i="26"/>
  <c r="AB58" i="38"/>
  <c r="AA8" i="26"/>
  <c r="AB10" i="38"/>
  <c r="AA8" i="23"/>
  <c r="AB22" i="38"/>
  <c r="AA8" i="24"/>
  <c r="AB25" i="38"/>
  <c r="AA11" i="24"/>
  <c r="AB70" i="38"/>
  <c r="AA8" i="27"/>
  <c r="AC4" i="38"/>
  <c r="AB2" i="23"/>
  <c r="AB64" i="38"/>
  <c r="AA2" i="27"/>
  <c r="AB23" i="38"/>
  <c r="AA9" i="24"/>
  <c r="AC17" i="38"/>
  <c r="AB3" i="24"/>
  <c r="AC55" i="38"/>
  <c r="AB5" i="26"/>
  <c r="AB20" i="38"/>
  <c r="AA6" i="24"/>
  <c r="AC6" i="38"/>
  <c r="AB4" i="23"/>
  <c r="AB54" i="38"/>
  <c r="AA4" i="26"/>
  <c r="AB40" i="38"/>
  <c r="AA2" i="25"/>
  <c r="AB18" i="38"/>
  <c r="AA4" i="24"/>
  <c r="AB24" i="38"/>
  <c r="AA10" i="24"/>
  <c r="AB12" i="38"/>
  <c r="AA10" i="23"/>
  <c r="AB60" i="38"/>
  <c r="AA10" i="26"/>
  <c r="AC8" i="38"/>
  <c r="AB6" i="23"/>
  <c r="AB67" i="38"/>
  <c r="AA5" i="27"/>
  <c r="AB57" i="38"/>
  <c r="AA7" i="26"/>
  <c r="AB52" i="38"/>
  <c r="AA2" i="26"/>
  <c r="AB16" i="38"/>
  <c r="AA2" i="24"/>
  <c r="AB73" i="38"/>
  <c r="AA11" i="27"/>
  <c r="AB42" i="38"/>
  <c r="AA4" i="25"/>
  <c r="AB43" i="38"/>
  <c r="AA5" i="25"/>
  <c r="AC5" i="38"/>
  <c r="AB3" i="23"/>
  <c r="AB44" i="38"/>
  <c r="AA6" i="25"/>
  <c r="AB47" i="38"/>
  <c r="AA9" i="25"/>
  <c r="AB72" i="38"/>
  <c r="AA10" i="27"/>
  <c r="AB45" i="38"/>
  <c r="AA7" i="25"/>
  <c r="AB68" i="38"/>
  <c r="AA6" i="27"/>
  <c r="AB61" i="38"/>
  <c r="AA11" i="26"/>
  <c r="AB59" i="38"/>
  <c r="AA9" i="26"/>
  <c r="AB66" i="38"/>
  <c r="AA4" i="27"/>
  <c r="AB13" i="38"/>
  <c r="AA11" i="23"/>
  <c r="AB21" i="38"/>
  <c r="AA7" i="24"/>
  <c r="AB71" i="38"/>
  <c r="AA9" i="27"/>
  <c r="AB56" i="38"/>
  <c r="AA6" i="26"/>
  <c r="AB69" i="38"/>
  <c r="AA7" i="27"/>
  <c r="AB11" i="38"/>
  <c r="AA9" i="23"/>
  <c r="AB48" i="38"/>
  <c r="AA10" i="25"/>
  <c r="AB9" i="38"/>
  <c r="AA7" i="23"/>
  <c r="AB7" i="38"/>
  <c r="AA5" i="23"/>
  <c r="AB49" i="38"/>
  <c r="AA11" i="25"/>
  <c r="AB41" i="38"/>
  <c r="AA3" i="25"/>
  <c r="AC46" i="36" l="1"/>
  <c r="AB8" i="15"/>
  <c r="AC48" i="36"/>
  <c r="AB10" i="15"/>
  <c r="AC70" i="36"/>
  <c r="AB8" i="17"/>
  <c r="AC9" i="36"/>
  <c r="AB7" i="21"/>
  <c r="AC20" i="36"/>
  <c r="AB6" i="14"/>
  <c r="AD11" i="36"/>
  <c r="AC9" i="21"/>
  <c r="AD12" i="36"/>
  <c r="AC10" i="21"/>
  <c r="AC57" i="36"/>
  <c r="AB7" i="16"/>
  <c r="AC40" i="36"/>
  <c r="AB2" i="15"/>
  <c r="AC22" i="36"/>
  <c r="AB8" i="14"/>
  <c r="AC44" i="36"/>
  <c r="AB6" i="15"/>
  <c r="AD7" i="36"/>
  <c r="AC5" i="21"/>
  <c r="AC52" i="36"/>
  <c r="AB2" i="16"/>
  <c r="AC59" i="36"/>
  <c r="AB9" i="16"/>
  <c r="AC41" i="36"/>
  <c r="AB3" i="15"/>
  <c r="AC10" i="36"/>
  <c r="AB8" i="21"/>
  <c r="AC66" i="36"/>
  <c r="AB4" i="17"/>
  <c r="AC47" i="36"/>
  <c r="AB9" i="15"/>
  <c r="AC16" i="36"/>
  <c r="AB2" i="14"/>
  <c r="AC68" i="36"/>
  <c r="AB6" i="17"/>
  <c r="AC72" i="36"/>
  <c r="AB10" i="17"/>
  <c r="AC23" i="36"/>
  <c r="AB9" i="14"/>
  <c r="AC18" i="36"/>
  <c r="AB4" i="14"/>
  <c r="AC43" i="36"/>
  <c r="AB5" i="15"/>
  <c r="AC13" i="36"/>
  <c r="AB11" i="21"/>
  <c r="AC60" i="36"/>
  <c r="AB10" i="16"/>
  <c r="AC54" i="36"/>
  <c r="AB4" i="16"/>
  <c r="AC53" i="36"/>
  <c r="AB3" i="16"/>
  <c r="AC21" i="36"/>
  <c r="AB7" i="14"/>
  <c r="AC25" i="36"/>
  <c r="AB11" i="14"/>
  <c r="AC8" i="36"/>
  <c r="AB6" i="21"/>
  <c r="AC69" i="36"/>
  <c r="AB7" i="17"/>
  <c r="AC45" i="36"/>
  <c r="AB7" i="15"/>
  <c r="AC24" i="36"/>
  <c r="AB10" i="14"/>
  <c r="AC64" i="36"/>
  <c r="AB2" i="17"/>
  <c r="AC19" i="36"/>
  <c r="AB5" i="14"/>
  <c r="AC4" i="36"/>
  <c r="AB2" i="21"/>
  <c r="AC65" i="36"/>
  <c r="AB3" i="17"/>
  <c r="AC56" i="36"/>
  <c r="AB6" i="16"/>
  <c r="AC71" i="36"/>
  <c r="AB9" i="17"/>
  <c r="AC5" i="36"/>
  <c r="AB3" i="21"/>
  <c r="AC6" i="36"/>
  <c r="AB4" i="21"/>
  <c r="AC73" i="36"/>
  <c r="AB11" i="17"/>
  <c r="AC67" i="36"/>
  <c r="AB5" i="17"/>
  <c r="AC58" i="36"/>
  <c r="AB8" i="16"/>
  <c r="AC42" i="36"/>
  <c r="AB4" i="15"/>
  <c r="AC17" i="36"/>
  <c r="AB3" i="14"/>
  <c r="AC61" i="36"/>
  <c r="AB11" i="16"/>
  <c r="AC49" i="36"/>
  <c r="AB11" i="15"/>
  <c r="AC55" i="36"/>
  <c r="AB5" i="16"/>
  <c r="AD21" i="37"/>
  <c r="AC7" i="20"/>
  <c r="AC56" i="37"/>
  <c r="AB6" i="12"/>
  <c r="AC48" i="37"/>
  <c r="AB10" i="11"/>
  <c r="AC59" i="37"/>
  <c r="AB9" i="12"/>
  <c r="AD45" i="37"/>
  <c r="AC7" i="11"/>
  <c r="AC4" i="37"/>
  <c r="AB2" i="18"/>
  <c r="AC24" i="37"/>
  <c r="AB10" i="20"/>
  <c r="AC20" i="37"/>
  <c r="AB6" i="20"/>
  <c r="AD11" i="37"/>
  <c r="AC9" i="18"/>
  <c r="AC17" i="37"/>
  <c r="AB3" i="20"/>
  <c r="AC6" i="37"/>
  <c r="AB4" i="18"/>
  <c r="AC18" i="37"/>
  <c r="AB4" i="20"/>
  <c r="AC72" i="37"/>
  <c r="AB10" i="13"/>
  <c r="AC58" i="37"/>
  <c r="AB8" i="12"/>
  <c r="AC40" i="37"/>
  <c r="AB2" i="11"/>
  <c r="AC49" i="37"/>
  <c r="AB11" i="11"/>
  <c r="AE23" i="37"/>
  <c r="AD9" i="20"/>
  <c r="AC44" i="37"/>
  <c r="AB6" i="11"/>
  <c r="AD73" i="37"/>
  <c r="AC11" i="13"/>
  <c r="AC52" i="37"/>
  <c r="AB2" i="12"/>
  <c r="AC70" i="37"/>
  <c r="AB8" i="13"/>
  <c r="AC60" i="37"/>
  <c r="AB10" i="12"/>
  <c r="AC54" i="37"/>
  <c r="AB4" i="12"/>
  <c r="AC71" i="37"/>
  <c r="AB9" i="13"/>
  <c r="AC13" i="37"/>
  <c r="AB11" i="18"/>
  <c r="AC47" i="37"/>
  <c r="AB9" i="11"/>
  <c r="AC67" i="37"/>
  <c r="AB5" i="13"/>
  <c r="AC69" i="37"/>
  <c r="AB7" i="13"/>
  <c r="AC57" i="37"/>
  <c r="AB7" i="12"/>
  <c r="AC53" i="37"/>
  <c r="AB3" i="12"/>
  <c r="AC19" i="37"/>
  <c r="AB5" i="20"/>
  <c r="AC8" i="37"/>
  <c r="AB6" i="18"/>
  <c r="AC68" i="37"/>
  <c r="AB6" i="13"/>
  <c r="AC9" i="37"/>
  <c r="AB7" i="18"/>
  <c r="AC43" i="37"/>
  <c r="AB5" i="11"/>
  <c r="AC46" i="37"/>
  <c r="AB8" i="11"/>
  <c r="AC55" i="37"/>
  <c r="AB5" i="12"/>
  <c r="AC5" i="37"/>
  <c r="AB3" i="18"/>
  <c r="AD65" i="37"/>
  <c r="AC3" i="13"/>
  <c r="AD42" i="37"/>
  <c r="AC4" i="11"/>
  <c r="AD25" i="37"/>
  <c r="AC11" i="20"/>
  <c r="AC41" i="37"/>
  <c r="AB3" i="11"/>
  <c r="AC16" i="37"/>
  <c r="AB2" i="20"/>
  <c r="AC12" i="37"/>
  <c r="AB10" i="18"/>
  <c r="AC7" i="37"/>
  <c r="AB5" i="18"/>
  <c r="AC66" i="37"/>
  <c r="AB4" i="13"/>
  <c r="AD22" i="37"/>
  <c r="AC8" i="20"/>
  <c r="AD64" i="37"/>
  <c r="AC2" i="13"/>
  <c r="AC10" i="37"/>
  <c r="AB8" i="18"/>
  <c r="AC61" i="37"/>
  <c r="AB11" i="12"/>
  <c r="AC43" i="38"/>
  <c r="AB5" i="25"/>
  <c r="AC67" i="38"/>
  <c r="AB5" i="27"/>
  <c r="AC40" i="38"/>
  <c r="AB2" i="25"/>
  <c r="AC23" i="38"/>
  <c r="AB9" i="24"/>
  <c r="AC10" i="38"/>
  <c r="AB8" i="23"/>
  <c r="AC45" i="38"/>
  <c r="AB7" i="25"/>
  <c r="AD8" i="38"/>
  <c r="AC6" i="23"/>
  <c r="AC54" i="38"/>
  <c r="AB4" i="26"/>
  <c r="AC64" i="38"/>
  <c r="AB2" i="27"/>
  <c r="AC58" i="38"/>
  <c r="AB8" i="26"/>
  <c r="AC9" i="38"/>
  <c r="AB7" i="23"/>
  <c r="AC48" i="38"/>
  <c r="AB10" i="25"/>
  <c r="AC13" i="38"/>
  <c r="AB11" i="23"/>
  <c r="AC72" i="38"/>
  <c r="AB10" i="27"/>
  <c r="AC73" i="38"/>
  <c r="AB11" i="27"/>
  <c r="AC60" i="38"/>
  <c r="AB10" i="26"/>
  <c r="AD6" i="38"/>
  <c r="AC4" i="23"/>
  <c r="AD4" i="38"/>
  <c r="AC2" i="23"/>
  <c r="AC53" i="38"/>
  <c r="AB3" i="26"/>
  <c r="AC11" i="38"/>
  <c r="AB9" i="23"/>
  <c r="AC66" i="38"/>
  <c r="AB4" i="27"/>
  <c r="AC47" i="38"/>
  <c r="AB9" i="25"/>
  <c r="AC16" i="38"/>
  <c r="AB2" i="24"/>
  <c r="AC12" i="38"/>
  <c r="AB10" i="23"/>
  <c r="AC20" i="38"/>
  <c r="AB6" i="24"/>
  <c r="AC70" i="38"/>
  <c r="AB8" i="27"/>
  <c r="AC19" i="38"/>
  <c r="AB5" i="24"/>
  <c r="AC71" i="38"/>
  <c r="AB9" i="27"/>
  <c r="AC68" i="38"/>
  <c r="AB6" i="27"/>
  <c r="AC69" i="38"/>
  <c r="AB7" i="27"/>
  <c r="AC59" i="38"/>
  <c r="AB9" i="26"/>
  <c r="AC44" i="38"/>
  <c r="AB6" i="25"/>
  <c r="AC52" i="38"/>
  <c r="AB2" i="26"/>
  <c r="AC24" i="38"/>
  <c r="AB10" i="24"/>
  <c r="AD55" i="38"/>
  <c r="AC5" i="26"/>
  <c r="AC25" i="38"/>
  <c r="AB11" i="24"/>
  <c r="AC46" i="38"/>
  <c r="AB8" i="25"/>
  <c r="AC7" i="38"/>
  <c r="AB5" i="23"/>
  <c r="AC21" i="38"/>
  <c r="AB7" i="24"/>
  <c r="AC41" i="38"/>
  <c r="AB3" i="25"/>
  <c r="AC42" i="38"/>
  <c r="AB4" i="25"/>
  <c r="AC49" i="38"/>
  <c r="AB11" i="25"/>
  <c r="AC56" i="38"/>
  <c r="AB6" i="26"/>
  <c r="AC61" i="38"/>
  <c r="AB11" i="26"/>
  <c r="AD5" i="38"/>
  <c r="AC3" i="23"/>
  <c r="AC57" i="38"/>
  <c r="AB7" i="26"/>
  <c r="AC18" i="38"/>
  <c r="AB4" i="24"/>
  <c r="AD17" i="38"/>
  <c r="AC3" i="24"/>
  <c r="AC22" i="38"/>
  <c r="AB8" i="24"/>
  <c r="AC65" i="38"/>
  <c r="AB3" i="27"/>
  <c r="AD61" i="36" l="1"/>
  <c r="AC11" i="16"/>
  <c r="AD67" i="36"/>
  <c r="AC5" i="17"/>
  <c r="AD71" i="36"/>
  <c r="AC9" i="17"/>
  <c r="AD19" i="36"/>
  <c r="AC5" i="14"/>
  <c r="AD69" i="36"/>
  <c r="AC7" i="17"/>
  <c r="AD53" i="36"/>
  <c r="AC3" i="16"/>
  <c r="AD43" i="36"/>
  <c r="AC5" i="15"/>
  <c r="AD68" i="36"/>
  <c r="AC6" i="17"/>
  <c r="AD10" i="36"/>
  <c r="AC8" i="21"/>
  <c r="AE7" i="36"/>
  <c r="AD5" i="21"/>
  <c r="AD57" i="36"/>
  <c r="AC7" i="16"/>
  <c r="AD9" i="36"/>
  <c r="AC7" i="21"/>
  <c r="AD17" i="36"/>
  <c r="AC3" i="14"/>
  <c r="AD73" i="36"/>
  <c r="AC11" i="17"/>
  <c r="AD56" i="36"/>
  <c r="AC6" i="16"/>
  <c r="AD64" i="36"/>
  <c r="AC2" i="17"/>
  <c r="AD8" i="36"/>
  <c r="AC6" i="21"/>
  <c r="AD54" i="36"/>
  <c r="AC4" i="16"/>
  <c r="AD18" i="36"/>
  <c r="AC4" i="14"/>
  <c r="AD16" i="36"/>
  <c r="AC2" i="14"/>
  <c r="AD41" i="36"/>
  <c r="AC3" i="15"/>
  <c r="AD44" i="36"/>
  <c r="AC6" i="15"/>
  <c r="AE12" i="36"/>
  <c r="AD10" i="21"/>
  <c r="AD70" i="36"/>
  <c r="AC8" i="17"/>
  <c r="AD55" i="36"/>
  <c r="AC5" i="16"/>
  <c r="AD42" i="36"/>
  <c r="AC4" i="15"/>
  <c r="AD6" i="36"/>
  <c r="AC4" i="21"/>
  <c r="AD65" i="36"/>
  <c r="AC3" i="17"/>
  <c r="AD24" i="36"/>
  <c r="AC10" i="14"/>
  <c r="AD25" i="36"/>
  <c r="AC11" i="14"/>
  <c r="AD60" i="36"/>
  <c r="AC10" i="16"/>
  <c r="AD23" i="36"/>
  <c r="AC9" i="14"/>
  <c r="AD47" i="36"/>
  <c r="AC9" i="15"/>
  <c r="AD59" i="36"/>
  <c r="AC9" i="16"/>
  <c r="AD22" i="36"/>
  <c r="AC8" i="14"/>
  <c r="AE11" i="36"/>
  <c r="AD9" i="21"/>
  <c r="AD48" i="36"/>
  <c r="AC10" i="15"/>
  <c r="AD49" i="36"/>
  <c r="AC11" i="15"/>
  <c r="AD58" i="36"/>
  <c r="AC8" i="16"/>
  <c r="AD5" i="36"/>
  <c r="AC3" i="21"/>
  <c r="AD4" i="36"/>
  <c r="AC2" i="21"/>
  <c r="AD45" i="36"/>
  <c r="AC7" i="15"/>
  <c r="AD21" i="36"/>
  <c r="AC7" i="14"/>
  <c r="AD13" i="36"/>
  <c r="AC11" i="21"/>
  <c r="AD72" i="36"/>
  <c r="AC10" i="17"/>
  <c r="AD66" i="36"/>
  <c r="AC4" i="17"/>
  <c r="AD52" i="36"/>
  <c r="AC2" i="16"/>
  <c r="AD40" i="36"/>
  <c r="AC2" i="15"/>
  <c r="AD20" i="36"/>
  <c r="AC6" i="14"/>
  <c r="AD46" i="36"/>
  <c r="AC8" i="15"/>
  <c r="AD41" i="37"/>
  <c r="AC3" i="11"/>
  <c r="AD46" i="37"/>
  <c r="AC8" i="11"/>
  <c r="AD53" i="37"/>
  <c r="AC3" i="12"/>
  <c r="AD71" i="37"/>
  <c r="AC9" i="13"/>
  <c r="AD44" i="37"/>
  <c r="AC6" i="11"/>
  <c r="AD18" i="37"/>
  <c r="AC4" i="20"/>
  <c r="AD4" i="37"/>
  <c r="AC2" i="18"/>
  <c r="AD43" i="37"/>
  <c r="AC5" i="11"/>
  <c r="AD57" i="37"/>
  <c r="AC7" i="12"/>
  <c r="AD54" i="37"/>
  <c r="AC4" i="12"/>
  <c r="AF23" i="37"/>
  <c r="AE9" i="20"/>
  <c r="AD6" i="37"/>
  <c r="AC4" i="18"/>
  <c r="AE45" i="37"/>
  <c r="AD7" i="11"/>
  <c r="AD69" i="37"/>
  <c r="AC7" i="13"/>
  <c r="AD60" i="37"/>
  <c r="AC10" i="12"/>
  <c r="AD49" i="37"/>
  <c r="AC11" i="11"/>
  <c r="AD17" i="37"/>
  <c r="AC3" i="20"/>
  <c r="AD59" i="37"/>
  <c r="AC9" i="12"/>
  <c r="AE22" i="37"/>
  <c r="AD8" i="20"/>
  <c r="AD66" i="37"/>
  <c r="AC4" i="13"/>
  <c r="AE65" i="37"/>
  <c r="AD3" i="13"/>
  <c r="AD68" i="37"/>
  <c r="AC6" i="13"/>
  <c r="AD67" i="37"/>
  <c r="AC5" i="13"/>
  <c r="AD70" i="37"/>
  <c r="AC8" i="13"/>
  <c r="AD40" i="37"/>
  <c r="AC2" i="11"/>
  <c r="AE11" i="37"/>
  <c r="AD9" i="18"/>
  <c r="AD48" i="37"/>
  <c r="AC10" i="11"/>
  <c r="AE25" i="37"/>
  <c r="AD11" i="20"/>
  <c r="AE42" i="37"/>
  <c r="AD4" i="11"/>
  <c r="AD7" i="37"/>
  <c r="AC5" i="18"/>
  <c r="AD8" i="37"/>
  <c r="AC6" i="18"/>
  <c r="AD52" i="37"/>
  <c r="AC2" i="12"/>
  <c r="AD58" i="37"/>
  <c r="AC8" i="12"/>
  <c r="AD20" i="37"/>
  <c r="AC6" i="20"/>
  <c r="AD56" i="37"/>
  <c r="AC6" i="12"/>
  <c r="AD9" i="37"/>
  <c r="AC7" i="18"/>
  <c r="AD61" i="37"/>
  <c r="AC11" i="12"/>
  <c r="AD12" i="37"/>
  <c r="AC10" i="18"/>
  <c r="AD5" i="37"/>
  <c r="AC3" i="18"/>
  <c r="AD47" i="37"/>
  <c r="AC9" i="11"/>
  <c r="AE64" i="37"/>
  <c r="AD2" i="13"/>
  <c r="AD10" i="37"/>
  <c r="AC8" i="18"/>
  <c r="AD16" i="37"/>
  <c r="AC2" i="20"/>
  <c r="AD55" i="37"/>
  <c r="AC5" i="12"/>
  <c r="AD19" i="37"/>
  <c r="AC5" i="20"/>
  <c r="AD13" i="37"/>
  <c r="AC11" i="18"/>
  <c r="AE73" i="37"/>
  <c r="AD11" i="13"/>
  <c r="AD72" i="37"/>
  <c r="AC10" i="13"/>
  <c r="AD24" i="37"/>
  <c r="AC10" i="20"/>
  <c r="AE21" i="37"/>
  <c r="AD7" i="20"/>
  <c r="AE17" i="38"/>
  <c r="AD3" i="24"/>
  <c r="AD69" i="38"/>
  <c r="AC7" i="27"/>
  <c r="AD12" i="38"/>
  <c r="AC10" i="23"/>
  <c r="AE4" i="38"/>
  <c r="AD2" i="23"/>
  <c r="AD48" i="38"/>
  <c r="AC10" i="25"/>
  <c r="AD45" i="38"/>
  <c r="AC7" i="25"/>
  <c r="AD68" i="38"/>
  <c r="AC6" i="27"/>
  <c r="AD16" i="38"/>
  <c r="AC2" i="24"/>
  <c r="AE6" i="38"/>
  <c r="AD4" i="23"/>
  <c r="AD9" i="38"/>
  <c r="AC7" i="23"/>
  <c r="AD10" i="38"/>
  <c r="AC8" i="23"/>
  <c r="AD25" i="38"/>
  <c r="AC11" i="24"/>
  <c r="AD41" i="38"/>
  <c r="AC3" i="25"/>
  <c r="AD24" i="38"/>
  <c r="AC10" i="24"/>
  <c r="AD71" i="38"/>
  <c r="AC9" i="27"/>
  <c r="AD47" i="38"/>
  <c r="AC9" i="25"/>
  <c r="AD60" i="38"/>
  <c r="AC10" i="26"/>
  <c r="AD58" i="38"/>
  <c r="AC8" i="26"/>
  <c r="AD23" i="38"/>
  <c r="AC9" i="24"/>
  <c r="AE55" i="38"/>
  <c r="AD5" i="26"/>
  <c r="AE5" i="38"/>
  <c r="AD3" i="23"/>
  <c r="AD21" i="38"/>
  <c r="AC7" i="24"/>
  <c r="AD52" i="38"/>
  <c r="AC2" i="26"/>
  <c r="AD19" i="38"/>
  <c r="AC5" i="24"/>
  <c r="AD66" i="38"/>
  <c r="AC4" i="27"/>
  <c r="AD73" i="38"/>
  <c r="AC11" i="27"/>
  <c r="AD64" i="38"/>
  <c r="AC2" i="27"/>
  <c r="AD40" i="38"/>
  <c r="AC2" i="25"/>
  <c r="AD61" i="38"/>
  <c r="AC11" i="26"/>
  <c r="AD7" i="38"/>
  <c r="AC5" i="23"/>
  <c r="AD44" i="38"/>
  <c r="AC6" i="25"/>
  <c r="AD70" i="38"/>
  <c r="AC8" i="27"/>
  <c r="AD11" i="38"/>
  <c r="AC9" i="23"/>
  <c r="AD72" i="38"/>
  <c r="AC10" i="27"/>
  <c r="AD54" i="38"/>
  <c r="AC4" i="26"/>
  <c r="AD67" i="38"/>
  <c r="AC5" i="27"/>
  <c r="AD42" i="38"/>
  <c r="AC4" i="25"/>
  <c r="AD65" i="38"/>
  <c r="AC3" i="27"/>
  <c r="AD49" i="38"/>
  <c r="AC11" i="25"/>
  <c r="AD18" i="38"/>
  <c r="AC4" i="24"/>
  <c r="AD57" i="38"/>
  <c r="AC7" i="26"/>
  <c r="AD22" i="38"/>
  <c r="AC8" i="24"/>
  <c r="AD56" i="38"/>
  <c r="AC6" i="26"/>
  <c r="AD46" i="38"/>
  <c r="AC8" i="25"/>
  <c r="AD59" i="38"/>
  <c r="AC9" i="26"/>
  <c r="AD20" i="38"/>
  <c r="AC6" i="24"/>
  <c r="AD53" i="38"/>
  <c r="AC3" i="26"/>
  <c r="AD13" i="38"/>
  <c r="AC11" i="23"/>
  <c r="AE8" i="38"/>
  <c r="AD6" i="23"/>
  <c r="AD43" i="38"/>
  <c r="AC5" i="25"/>
  <c r="AE40" i="36" l="1"/>
  <c r="AD2" i="15"/>
  <c r="AE13" i="36"/>
  <c r="AD11" i="21"/>
  <c r="AE5" i="36"/>
  <c r="AD3" i="21"/>
  <c r="AF11" i="36"/>
  <c r="AE9" i="21"/>
  <c r="AE23" i="36"/>
  <c r="AD9" i="14"/>
  <c r="AE65" i="36"/>
  <c r="AD3" i="17"/>
  <c r="AE70" i="36"/>
  <c r="AD8" i="17"/>
  <c r="AE16" i="36"/>
  <c r="AD2" i="14"/>
  <c r="AE64" i="36"/>
  <c r="AD2" i="17"/>
  <c r="AE9" i="36"/>
  <c r="AD7" i="21"/>
  <c r="AE68" i="36"/>
  <c r="AD6" i="17"/>
  <c r="AE19" i="36"/>
  <c r="AD5" i="14"/>
  <c r="AE52" i="36"/>
  <c r="AD2" i="16"/>
  <c r="AE21" i="36"/>
  <c r="AD7" i="14"/>
  <c r="AE58" i="36"/>
  <c r="AD8" i="16"/>
  <c r="AE22" i="36"/>
  <c r="AD8" i="14"/>
  <c r="AE60" i="36"/>
  <c r="AD10" i="16"/>
  <c r="AE6" i="36"/>
  <c r="AD4" i="21"/>
  <c r="AF12" i="36"/>
  <c r="AE10" i="21"/>
  <c r="AE18" i="36"/>
  <c r="AD4" i="14"/>
  <c r="AE56" i="36"/>
  <c r="AD6" i="16"/>
  <c r="AE57" i="36"/>
  <c r="AD7" i="16"/>
  <c r="AE43" i="36"/>
  <c r="AD5" i="15"/>
  <c r="AE71" i="36"/>
  <c r="AD9" i="17"/>
  <c r="AE46" i="36"/>
  <c r="AD8" i="15"/>
  <c r="AE66" i="36"/>
  <c r="AD4" i="17"/>
  <c r="AE45" i="36"/>
  <c r="AD7" i="15"/>
  <c r="AE49" i="36"/>
  <c r="AD11" i="15"/>
  <c r="AE59" i="36"/>
  <c r="AD9" i="16"/>
  <c r="AE25" i="36"/>
  <c r="AD11" i="14"/>
  <c r="AE42" i="36"/>
  <c r="AD4" i="15"/>
  <c r="AE44" i="36"/>
  <c r="AD6" i="15"/>
  <c r="AE54" i="36"/>
  <c r="AD4" i="16"/>
  <c r="AE73" i="36"/>
  <c r="AD11" i="17"/>
  <c r="AF7" i="36"/>
  <c r="AE5" i="21"/>
  <c r="AE53" i="36"/>
  <c r="AD3" i="16"/>
  <c r="AE67" i="36"/>
  <c r="AD5" i="17"/>
  <c r="AE20" i="36"/>
  <c r="AD6" i="14"/>
  <c r="AE72" i="36"/>
  <c r="AD10" i="17"/>
  <c r="AE4" i="36"/>
  <c r="AD2" i="21"/>
  <c r="AE48" i="36"/>
  <c r="AD10" i="15"/>
  <c r="AE47" i="36"/>
  <c r="AD9" i="15"/>
  <c r="AE24" i="36"/>
  <c r="AD10" i="14"/>
  <c r="AE55" i="36"/>
  <c r="AD5" i="16"/>
  <c r="AE41" i="36"/>
  <c r="AD3" i="15"/>
  <c r="AE8" i="36"/>
  <c r="AD6" i="21"/>
  <c r="AE17" i="36"/>
  <c r="AD3" i="14"/>
  <c r="AE10" i="36"/>
  <c r="AD8" i="21"/>
  <c r="AE69" i="36"/>
  <c r="AD7" i="17"/>
  <c r="AE61" i="36"/>
  <c r="AD11" i="16"/>
  <c r="AE10" i="37"/>
  <c r="AD8" i="18"/>
  <c r="AE9" i="37"/>
  <c r="AD7" i="18"/>
  <c r="AE7" i="37"/>
  <c r="AD5" i="18"/>
  <c r="AE70" i="37"/>
  <c r="AD8" i="13"/>
  <c r="AE59" i="37"/>
  <c r="AD9" i="12"/>
  <c r="AE6" i="37"/>
  <c r="AD4" i="18"/>
  <c r="AE18" i="37"/>
  <c r="AD4" i="20"/>
  <c r="AE56" i="37"/>
  <c r="AD6" i="12"/>
  <c r="AF42" i="37"/>
  <c r="AE4" i="11"/>
  <c r="AE67" i="37"/>
  <c r="AD5" i="13"/>
  <c r="AE17" i="37"/>
  <c r="AD3" i="20"/>
  <c r="AG23" i="37"/>
  <c r="AG9" i="20" s="1"/>
  <c r="AF9" i="20"/>
  <c r="AE44" i="37"/>
  <c r="AD6" i="11"/>
  <c r="AE20" i="37"/>
  <c r="AD6" i="20"/>
  <c r="AF25" i="37"/>
  <c r="AE11" i="20"/>
  <c r="AE68" i="37"/>
  <c r="AD6" i="13"/>
  <c r="AE49" i="37"/>
  <c r="AD11" i="11"/>
  <c r="AE54" i="37"/>
  <c r="AD4" i="12"/>
  <c r="AE71" i="37"/>
  <c r="AD9" i="13"/>
  <c r="AE72" i="37"/>
  <c r="AD10" i="13"/>
  <c r="AF73" i="37"/>
  <c r="AE11" i="13"/>
  <c r="AE5" i="37"/>
  <c r="AD3" i="18"/>
  <c r="AE58" i="37"/>
  <c r="AD8" i="12"/>
  <c r="AE48" i="37"/>
  <c r="AD10" i="11"/>
  <c r="AF65" i="37"/>
  <c r="AE3" i="13"/>
  <c r="AE60" i="37"/>
  <c r="AD10" i="12"/>
  <c r="AE57" i="37"/>
  <c r="AD7" i="12"/>
  <c r="AE53" i="37"/>
  <c r="AD3" i="12"/>
  <c r="AE47" i="37"/>
  <c r="AD9" i="11"/>
  <c r="AE19" i="37"/>
  <c r="AD5" i="20"/>
  <c r="AE55" i="37"/>
  <c r="AD5" i="12"/>
  <c r="AF11" i="37"/>
  <c r="AE9" i="18"/>
  <c r="AE66" i="37"/>
  <c r="AD4" i="13"/>
  <c r="AE69" i="37"/>
  <c r="AD7" i="13"/>
  <c r="AE43" i="37"/>
  <c r="AD5" i="11"/>
  <c r="AE46" i="37"/>
  <c r="AD8" i="11"/>
  <c r="AF64" i="37"/>
  <c r="AE2" i="13"/>
  <c r="AE13" i="37"/>
  <c r="AD11" i="18"/>
  <c r="AF21" i="37"/>
  <c r="AE7" i="20"/>
  <c r="AE12" i="37"/>
  <c r="AD10" i="18"/>
  <c r="AE52" i="37"/>
  <c r="AD2" i="12"/>
  <c r="AE24" i="37"/>
  <c r="AD10" i="20"/>
  <c r="AE16" i="37"/>
  <c r="AD2" i="20"/>
  <c r="AE61" i="37"/>
  <c r="AD11" i="12"/>
  <c r="AE8" i="37"/>
  <c r="AD6" i="18"/>
  <c r="AE40" i="37"/>
  <c r="AD2" i="11"/>
  <c r="AF22" i="37"/>
  <c r="AE8" i="20"/>
  <c r="AF45" i="37"/>
  <c r="AE7" i="11"/>
  <c r="AE4" i="37"/>
  <c r="AD2" i="18"/>
  <c r="AE41" i="37"/>
  <c r="AD3" i="11"/>
  <c r="AE67" i="38"/>
  <c r="AD5" i="27"/>
  <c r="AE22" i="38"/>
  <c r="AD8" i="24"/>
  <c r="AE7" i="38"/>
  <c r="AD5" i="23"/>
  <c r="AE61" i="38"/>
  <c r="AD11" i="26"/>
  <c r="AE52" i="38"/>
  <c r="AD2" i="26"/>
  <c r="AE60" i="38"/>
  <c r="AD10" i="26"/>
  <c r="AE10" i="38"/>
  <c r="AD8" i="23"/>
  <c r="AE48" i="38"/>
  <c r="AD10" i="25"/>
  <c r="AE13" i="38"/>
  <c r="AD11" i="23"/>
  <c r="AE72" i="38"/>
  <c r="AD10" i="27"/>
  <c r="AE40" i="38"/>
  <c r="AD2" i="25"/>
  <c r="AE21" i="38"/>
  <c r="AD7" i="24"/>
  <c r="AE47" i="38"/>
  <c r="AD9" i="25"/>
  <c r="AE9" i="38"/>
  <c r="AD7" i="23"/>
  <c r="AF4" i="38"/>
  <c r="AE2" i="23"/>
  <c r="AE25" i="38"/>
  <c r="AD11" i="24"/>
  <c r="AE54" i="38"/>
  <c r="AD4" i="26"/>
  <c r="AE20" i="38"/>
  <c r="AD6" i="24"/>
  <c r="AE59" i="38"/>
  <c r="AD9" i="26"/>
  <c r="AE49" i="38"/>
  <c r="AD11" i="25"/>
  <c r="AE11" i="38"/>
  <c r="AD9" i="23"/>
  <c r="AE64" i="38"/>
  <c r="AD2" i="27"/>
  <c r="AF5" i="38"/>
  <c r="AE3" i="23"/>
  <c r="AE71" i="38"/>
  <c r="AD9" i="27"/>
  <c r="AF6" i="38"/>
  <c r="AE4" i="23"/>
  <c r="AE12" i="38"/>
  <c r="AD10" i="23"/>
  <c r="AE19" i="38"/>
  <c r="AD5" i="24"/>
  <c r="AE53" i="38"/>
  <c r="AD3" i="26"/>
  <c r="AE18" i="38"/>
  <c r="AD4" i="24"/>
  <c r="AE43" i="38"/>
  <c r="AD5" i="25"/>
  <c r="AE70" i="38"/>
  <c r="AD8" i="27"/>
  <c r="AE73" i="38"/>
  <c r="AD11" i="27"/>
  <c r="AF55" i="38"/>
  <c r="AE5" i="26"/>
  <c r="AE24" i="38"/>
  <c r="AD10" i="24"/>
  <c r="AE16" i="38"/>
  <c r="AD2" i="24"/>
  <c r="AE69" i="38"/>
  <c r="AD7" i="27"/>
  <c r="AE58" i="38"/>
  <c r="AD8" i="26"/>
  <c r="AE65" i="38"/>
  <c r="AD3" i="27"/>
  <c r="AE45" i="38"/>
  <c r="AD7" i="25"/>
  <c r="AE57" i="38"/>
  <c r="AD7" i="26"/>
  <c r="AE46" i="38"/>
  <c r="AD8" i="25"/>
  <c r="AF8" i="38"/>
  <c r="AE6" i="23"/>
  <c r="AE56" i="38"/>
  <c r="AD6" i="26"/>
  <c r="AE42" i="38"/>
  <c r="AD4" i="25"/>
  <c r="AE44" i="38"/>
  <c r="AD6" i="25"/>
  <c r="AE66" i="38"/>
  <c r="AD4" i="27"/>
  <c r="AE23" i="38"/>
  <c r="AD9" i="24"/>
  <c r="AE41" i="38"/>
  <c r="AD3" i="25"/>
  <c r="AE68" i="38"/>
  <c r="AD6" i="27"/>
  <c r="AF17" i="38"/>
  <c r="AE3" i="24"/>
  <c r="AF10" i="36" l="1"/>
  <c r="AE8" i="21"/>
  <c r="AF55" i="36"/>
  <c r="AE5" i="16"/>
  <c r="AF4" i="36"/>
  <c r="AE2" i="21"/>
  <c r="AF53" i="36"/>
  <c r="AE3" i="16"/>
  <c r="AF44" i="36"/>
  <c r="AE6" i="15"/>
  <c r="AF49" i="36"/>
  <c r="AE11" i="15"/>
  <c r="AF71" i="36"/>
  <c r="AE9" i="17"/>
  <c r="AF18" i="36"/>
  <c r="AE4" i="14"/>
  <c r="AF22" i="36"/>
  <c r="AE8" i="14"/>
  <c r="AF19" i="36"/>
  <c r="AE5" i="14"/>
  <c r="AF16" i="36"/>
  <c r="AE2" i="14"/>
  <c r="AG11" i="36"/>
  <c r="AG9" i="21" s="1"/>
  <c r="AF9" i="21"/>
  <c r="AF24" i="36"/>
  <c r="AE10" i="14"/>
  <c r="AF5" i="36"/>
  <c r="AE3" i="21"/>
  <c r="AF72" i="36"/>
  <c r="AE10" i="17"/>
  <c r="AF42" i="36"/>
  <c r="AE4" i="15"/>
  <c r="AF43" i="36"/>
  <c r="AE5" i="15"/>
  <c r="AF58" i="36"/>
  <c r="AE8" i="16"/>
  <c r="AF61" i="36"/>
  <c r="AE11" i="16"/>
  <c r="AF8" i="36"/>
  <c r="AE6" i="21"/>
  <c r="AF47" i="36"/>
  <c r="AE9" i="15"/>
  <c r="AF20" i="36"/>
  <c r="AE6" i="14"/>
  <c r="AF73" i="36"/>
  <c r="AE11" i="17"/>
  <c r="AF25" i="36"/>
  <c r="AE11" i="14"/>
  <c r="AF66" i="36"/>
  <c r="AE4" i="17"/>
  <c r="AF57" i="36"/>
  <c r="AE7" i="16"/>
  <c r="AF6" i="36"/>
  <c r="AE4" i="21"/>
  <c r="AF21" i="36"/>
  <c r="AE7" i="14"/>
  <c r="AF9" i="36"/>
  <c r="AE7" i="21"/>
  <c r="AF65" i="36"/>
  <c r="AE3" i="17"/>
  <c r="AF13" i="36"/>
  <c r="AE11" i="21"/>
  <c r="AF17" i="36"/>
  <c r="AE3" i="14"/>
  <c r="AF70" i="36"/>
  <c r="AE8" i="17"/>
  <c r="AG7" i="36"/>
  <c r="AG5" i="21" s="1"/>
  <c r="AF5" i="21"/>
  <c r="AF45" i="36"/>
  <c r="AE7" i="15"/>
  <c r="AG12" i="36"/>
  <c r="AG10" i="21" s="1"/>
  <c r="AF10" i="21"/>
  <c r="AF68" i="36"/>
  <c r="AE6" i="17"/>
  <c r="AF69" i="36"/>
  <c r="AE7" i="17"/>
  <c r="AF41" i="36"/>
  <c r="AE3" i="15"/>
  <c r="AF48" i="36"/>
  <c r="AE10" i="15"/>
  <c r="AF67" i="36"/>
  <c r="AE5" i="17"/>
  <c r="AF54" i="36"/>
  <c r="AE4" i="16"/>
  <c r="AF59" i="36"/>
  <c r="AE9" i="16"/>
  <c r="AF46" i="36"/>
  <c r="AE8" i="15"/>
  <c r="AF56" i="36"/>
  <c r="AE6" i="16"/>
  <c r="AF60" i="36"/>
  <c r="AE10" i="16"/>
  <c r="AF52" i="36"/>
  <c r="AE2" i="16"/>
  <c r="AF64" i="36"/>
  <c r="AE2" i="17"/>
  <c r="AF23" i="36"/>
  <c r="AE9" i="14"/>
  <c r="AF40" i="36"/>
  <c r="AE2" i="15"/>
  <c r="AF24" i="37"/>
  <c r="AE10" i="20"/>
  <c r="AF46" i="37"/>
  <c r="AE8" i="11"/>
  <c r="AF19" i="37"/>
  <c r="AE5" i="20"/>
  <c r="AF48" i="37"/>
  <c r="AE10" i="11"/>
  <c r="AF54" i="37"/>
  <c r="AE4" i="12"/>
  <c r="AF6" i="37"/>
  <c r="AE4" i="18"/>
  <c r="AF52" i="37"/>
  <c r="AE2" i="12"/>
  <c r="AF47" i="37"/>
  <c r="AE9" i="11"/>
  <c r="AF58" i="37"/>
  <c r="AE8" i="12"/>
  <c r="AF49" i="37"/>
  <c r="AE11" i="11"/>
  <c r="AF17" i="37"/>
  <c r="AE3" i="20"/>
  <c r="AF59" i="37"/>
  <c r="AE9" i="12"/>
  <c r="AF40" i="37"/>
  <c r="AE2" i="11"/>
  <c r="AF53" i="37"/>
  <c r="AE3" i="12"/>
  <c r="AF5" i="37"/>
  <c r="AE3" i="18"/>
  <c r="AF68" i="37"/>
  <c r="AE6" i="13"/>
  <c r="AF67" i="37"/>
  <c r="AE5" i="13"/>
  <c r="AF70" i="37"/>
  <c r="AE8" i="13"/>
  <c r="AF43" i="37"/>
  <c r="AE5" i="11"/>
  <c r="AF8" i="37"/>
  <c r="AE6" i="18"/>
  <c r="AF66" i="37"/>
  <c r="AE4" i="13"/>
  <c r="AF57" i="37"/>
  <c r="AE7" i="12"/>
  <c r="AG73" i="37"/>
  <c r="AG11" i="13" s="1"/>
  <c r="AF11" i="13"/>
  <c r="AG25" i="37"/>
  <c r="AG11" i="20" s="1"/>
  <c r="AF11" i="20"/>
  <c r="AG42" i="37"/>
  <c r="AG4" i="11" s="1"/>
  <c r="AF4" i="11"/>
  <c r="AF7" i="37"/>
  <c r="AE5" i="18"/>
  <c r="AG45" i="37"/>
  <c r="AG7" i="11" s="1"/>
  <c r="AF7" i="11"/>
  <c r="AF69" i="37"/>
  <c r="AE7" i="13"/>
  <c r="AG21" i="37"/>
  <c r="AG7" i="20" s="1"/>
  <c r="AF7" i="20"/>
  <c r="AG11" i="37"/>
  <c r="AF9" i="18"/>
  <c r="AF72" i="37"/>
  <c r="AE10" i="13"/>
  <c r="AF20" i="37"/>
  <c r="AE6" i="20"/>
  <c r="AF56" i="37"/>
  <c r="AE6" i="12"/>
  <c r="AF9" i="37"/>
  <c r="AE7" i="18"/>
  <c r="AG22" i="37"/>
  <c r="AG8" i="20" s="1"/>
  <c r="AF8" i="20"/>
  <c r="AF12" i="37"/>
  <c r="AE10" i="18"/>
  <c r="AF41" i="37"/>
  <c r="AE3" i="11"/>
  <c r="AF61" i="37"/>
  <c r="AE11" i="12"/>
  <c r="AF13" i="37"/>
  <c r="AE11" i="18"/>
  <c r="AF60" i="37"/>
  <c r="AE10" i="12"/>
  <c r="AF4" i="37"/>
  <c r="AE2" i="18"/>
  <c r="AF16" i="37"/>
  <c r="AE2" i="20"/>
  <c r="AG64" i="37"/>
  <c r="AG2" i="13" s="1"/>
  <c r="AF2" i="13"/>
  <c r="AF55" i="37"/>
  <c r="AE5" i="12"/>
  <c r="AG65" i="37"/>
  <c r="AG3" i="13" s="1"/>
  <c r="AF3" i="13"/>
  <c r="AF71" i="37"/>
  <c r="AE9" i="13"/>
  <c r="AF44" i="37"/>
  <c r="AE6" i="11"/>
  <c r="AF18" i="37"/>
  <c r="AE4" i="20"/>
  <c r="AF10" i="37"/>
  <c r="AE8" i="18"/>
  <c r="AF43" i="38"/>
  <c r="AE5" i="25"/>
  <c r="AF71" i="38"/>
  <c r="AE9" i="27"/>
  <c r="AF20" i="38"/>
  <c r="AE6" i="24"/>
  <c r="AF21" i="38"/>
  <c r="AE7" i="24"/>
  <c r="AF60" i="38"/>
  <c r="AE10" i="26"/>
  <c r="AF18" i="38"/>
  <c r="AE4" i="24"/>
  <c r="AF54" i="38"/>
  <c r="AE4" i="26"/>
  <c r="AF40" i="38"/>
  <c r="AE2" i="25"/>
  <c r="AF52" i="38"/>
  <c r="AE2" i="26"/>
  <c r="AG5" i="38"/>
  <c r="AG3" i="23" s="1"/>
  <c r="AF3" i="23"/>
  <c r="AF23" i="38"/>
  <c r="AE9" i="24"/>
  <c r="AF66" i="38"/>
  <c r="AE4" i="27"/>
  <c r="AF57" i="38"/>
  <c r="AE7" i="26"/>
  <c r="AF24" i="38"/>
  <c r="AE10" i="24"/>
  <c r="AF53" i="38"/>
  <c r="AE3" i="26"/>
  <c r="AF64" i="38"/>
  <c r="AE2" i="27"/>
  <c r="AF25" i="38"/>
  <c r="AE11" i="24"/>
  <c r="AF72" i="38"/>
  <c r="AE10" i="27"/>
  <c r="AF61" i="38"/>
  <c r="AE11" i="26"/>
  <c r="AF16" i="38"/>
  <c r="AE2" i="24"/>
  <c r="AF44" i="38"/>
  <c r="AE6" i="25"/>
  <c r="AF45" i="38"/>
  <c r="AE7" i="25"/>
  <c r="AG55" i="38"/>
  <c r="AG5" i="26" s="1"/>
  <c r="AF5" i="26"/>
  <c r="AF19" i="38"/>
  <c r="AE5" i="24"/>
  <c r="AF11" i="38"/>
  <c r="AE9" i="23"/>
  <c r="AG4" i="38"/>
  <c r="AG2" i="23" s="1"/>
  <c r="AF2" i="23"/>
  <c r="AF13" i="38"/>
  <c r="AE11" i="23"/>
  <c r="AF7" i="38"/>
  <c r="AE5" i="23"/>
  <c r="AF41" i="38"/>
  <c r="AE3" i="25"/>
  <c r="AF69" i="38"/>
  <c r="AE7" i="27"/>
  <c r="AF42" i="38"/>
  <c r="AE4" i="25"/>
  <c r="AF65" i="38"/>
  <c r="AE3" i="27"/>
  <c r="AF73" i="38"/>
  <c r="AE11" i="27"/>
  <c r="AF12" i="38"/>
  <c r="AE10" i="23"/>
  <c r="AF49" i="38"/>
  <c r="AE11" i="25"/>
  <c r="AF9" i="38"/>
  <c r="AE7" i="23"/>
  <c r="AF48" i="38"/>
  <c r="AE10" i="25"/>
  <c r="AF22" i="38"/>
  <c r="AE8" i="24"/>
  <c r="AG8" i="38"/>
  <c r="AG6" i="23" s="1"/>
  <c r="AF6" i="23"/>
  <c r="AG17" i="38"/>
  <c r="AG3" i="24" s="1"/>
  <c r="AF3" i="24"/>
  <c r="AF46" i="38"/>
  <c r="AE8" i="25"/>
  <c r="AF68" i="38"/>
  <c r="AE6" i="27"/>
  <c r="AF56" i="38"/>
  <c r="AE6" i="26"/>
  <c r="AF58" i="38"/>
  <c r="AE8" i="26"/>
  <c r="AF70" i="38"/>
  <c r="AE8" i="27"/>
  <c r="AG6" i="38"/>
  <c r="AG4" i="23" s="1"/>
  <c r="AF4" i="23"/>
  <c r="AF59" i="38"/>
  <c r="AE9" i="26"/>
  <c r="AF47" i="38"/>
  <c r="AE9" i="25"/>
  <c r="AF10" i="38"/>
  <c r="AE8" i="23"/>
  <c r="AF67" i="38"/>
  <c r="AE5" i="27"/>
  <c r="AG64" i="36" l="1"/>
  <c r="AG2" i="17" s="1"/>
  <c r="AF2" i="17"/>
  <c r="AG46" i="36"/>
  <c r="AG8" i="15" s="1"/>
  <c r="AF8" i="15"/>
  <c r="AG48" i="36"/>
  <c r="AG10" i="15" s="1"/>
  <c r="AF10" i="15"/>
  <c r="AG17" i="36"/>
  <c r="AG3" i="14" s="1"/>
  <c r="AF3" i="14"/>
  <c r="AG21" i="36"/>
  <c r="AG7" i="14" s="1"/>
  <c r="AF7" i="14"/>
  <c r="AG25" i="36"/>
  <c r="AG11" i="14" s="1"/>
  <c r="AF11" i="14"/>
  <c r="AG8" i="36"/>
  <c r="AG6" i="21" s="1"/>
  <c r="AF6" i="21"/>
  <c r="AG42" i="36"/>
  <c r="AG4" i="15" s="1"/>
  <c r="AF4" i="15"/>
  <c r="AG18" i="36"/>
  <c r="AG4" i="14" s="1"/>
  <c r="AF4" i="14"/>
  <c r="AG53" i="36"/>
  <c r="AG3" i="16" s="1"/>
  <c r="AF3" i="16"/>
  <c r="AG52" i="36"/>
  <c r="AG2" i="16" s="1"/>
  <c r="AF2" i="16"/>
  <c r="AG59" i="36"/>
  <c r="AG9" i="16" s="1"/>
  <c r="AF9" i="16"/>
  <c r="AG41" i="36"/>
  <c r="AG3" i="15" s="1"/>
  <c r="AF3" i="15"/>
  <c r="AG45" i="36"/>
  <c r="AG7" i="15" s="1"/>
  <c r="AF7" i="15"/>
  <c r="AG13" i="36"/>
  <c r="AG11" i="21" s="1"/>
  <c r="AF11" i="21"/>
  <c r="AG6" i="36"/>
  <c r="AG4" i="21" s="1"/>
  <c r="AF4" i="21"/>
  <c r="AG73" i="36"/>
  <c r="AG11" i="17" s="1"/>
  <c r="AF11" i="17"/>
  <c r="AG61" i="36"/>
  <c r="AG11" i="16" s="1"/>
  <c r="AF11" i="16"/>
  <c r="AG72" i="36"/>
  <c r="AG10" i="17" s="1"/>
  <c r="AF10" i="17"/>
  <c r="AG16" i="36"/>
  <c r="AG2" i="14" s="1"/>
  <c r="AF2" i="14"/>
  <c r="AG71" i="36"/>
  <c r="AG9" i="17" s="1"/>
  <c r="AF9" i="17"/>
  <c r="AG4" i="36"/>
  <c r="AG2" i="21" s="1"/>
  <c r="AF2" i="21"/>
  <c r="AG40" i="36"/>
  <c r="AG2" i="15" s="1"/>
  <c r="AF2" i="15"/>
  <c r="AG60" i="36"/>
  <c r="AG10" i="16" s="1"/>
  <c r="AF10" i="16"/>
  <c r="AG54" i="36"/>
  <c r="AG4" i="16" s="1"/>
  <c r="AF4" i="16"/>
  <c r="AG69" i="36"/>
  <c r="AG7" i="17" s="1"/>
  <c r="AF7" i="17"/>
  <c r="AG65" i="36"/>
  <c r="AG3" i="17" s="1"/>
  <c r="AF3" i="17"/>
  <c r="AG57" i="36"/>
  <c r="AG7" i="16" s="1"/>
  <c r="AF7" i="16"/>
  <c r="AG20" i="36"/>
  <c r="AG6" i="14" s="1"/>
  <c r="AF6" i="14"/>
  <c r="AG58" i="36"/>
  <c r="AG8" i="16" s="1"/>
  <c r="AF8" i="16"/>
  <c r="AG5" i="36"/>
  <c r="AG3" i="21" s="1"/>
  <c r="AF3" i="21"/>
  <c r="AG19" i="36"/>
  <c r="AG5" i="14" s="1"/>
  <c r="AF5" i="14"/>
  <c r="AG49" i="36"/>
  <c r="AG11" i="15" s="1"/>
  <c r="AF11" i="15"/>
  <c r="AG55" i="36"/>
  <c r="AG5" i="16" s="1"/>
  <c r="AF5" i="16"/>
  <c r="AG23" i="36"/>
  <c r="AG9" i="14" s="1"/>
  <c r="AF9" i="14"/>
  <c r="AG56" i="36"/>
  <c r="AG6" i="16" s="1"/>
  <c r="AF6" i="16"/>
  <c r="AG67" i="36"/>
  <c r="AG5" i="17" s="1"/>
  <c r="AF5" i="17"/>
  <c r="AG68" i="36"/>
  <c r="AG6" i="17" s="1"/>
  <c r="AF6" i="17"/>
  <c r="AG70" i="36"/>
  <c r="AG8" i="17" s="1"/>
  <c r="AF8" i="17"/>
  <c r="AG9" i="36"/>
  <c r="AG7" i="21" s="1"/>
  <c r="AF7" i="21"/>
  <c r="AG66" i="36"/>
  <c r="AG4" i="17" s="1"/>
  <c r="AF4" i="17"/>
  <c r="AG47" i="36"/>
  <c r="AG9" i="15" s="1"/>
  <c r="AF9" i="15"/>
  <c r="AG43" i="36"/>
  <c r="AG5" i="15" s="1"/>
  <c r="AF5" i="15"/>
  <c r="AG24" i="36"/>
  <c r="AG10" i="14" s="1"/>
  <c r="AF10" i="14"/>
  <c r="AG22" i="36"/>
  <c r="AG8" i="14" s="1"/>
  <c r="AF8" i="14"/>
  <c r="AG44" i="36"/>
  <c r="AG6" i="15" s="1"/>
  <c r="AF6" i="15"/>
  <c r="AG10" i="36"/>
  <c r="AG8" i="21" s="1"/>
  <c r="AF8" i="21"/>
  <c r="AG18" i="37"/>
  <c r="AG4" i="20" s="1"/>
  <c r="AF4" i="20"/>
  <c r="AG16" i="37"/>
  <c r="AG2" i="20" s="1"/>
  <c r="AF2" i="20"/>
  <c r="AG12" i="37"/>
  <c r="AF10" i="18"/>
  <c r="AG70" i="37"/>
  <c r="AG8" i="13" s="1"/>
  <c r="AF8" i="13"/>
  <c r="AG59" i="37"/>
  <c r="AG9" i="12" s="1"/>
  <c r="AF9" i="12"/>
  <c r="AG6" i="37"/>
  <c r="AF4" i="18"/>
  <c r="AG67" i="37"/>
  <c r="AG5" i="13" s="1"/>
  <c r="AF5" i="13"/>
  <c r="AG17" i="37"/>
  <c r="AG3" i="20" s="1"/>
  <c r="AF3" i="20"/>
  <c r="AG54" i="37"/>
  <c r="AG4" i="12" s="1"/>
  <c r="AF4" i="12"/>
  <c r="AG9" i="37"/>
  <c r="AF7" i="18"/>
  <c r="AG69" i="37"/>
  <c r="AG7" i="13" s="1"/>
  <c r="AF7" i="13"/>
  <c r="AG57" i="37"/>
  <c r="AG7" i="12" s="1"/>
  <c r="AF7" i="12"/>
  <c r="AG68" i="37"/>
  <c r="AG6" i="13" s="1"/>
  <c r="AF6" i="13"/>
  <c r="AG49" i="37"/>
  <c r="AG11" i="11" s="1"/>
  <c r="AF11" i="11"/>
  <c r="AG48" i="37"/>
  <c r="AG10" i="11" s="1"/>
  <c r="AF10" i="11"/>
  <c r="AG60" i="37"/>
  <c r="AG10" i="12" s="1"/>
  <c r="AF10" i="12"/>
  <c r="AG13" i="37"/>
  <c r="AF11" i="18"/>
  <c r="AG56" i="37"/>
  <c r="AG6" i="12" s="1"/>
  <c r="AF6" i="12"/>
  <c r="AG66" i="37"/>
  <c r="AG4" i="13" s="1"/>
  <c r="AF4" i="13"/>
  <c r="AG5" i="37"/>
  <c r="AF3" i="18"/>
  <c r="AG58" i="37"/>
  <c r="AG8" i="12" s="1"/>
  <c r="AF8" i="12"/>
  <c r="AG19" i="37"/>
  <c r="AG5" i="20" s="1"/>
  <c r="AF5" i="20"/>
  <c r="AG44" i="37"/>
  <c r="AG6" i="11" s="1"/>
  <c r="AF6" i="11"/>
  <c r="AG71" i="37"/>
  <c r="AG9" i="13" s="1"/>
  <c r="AF9" i="13"/>
  <c r="AG55" i="37"/>
  <c r="AG5" i="12" s="1"/>
  <c r="AF5" i="12"/>
  <c r="AG61" i="37"/>
  <c r="AG11" i="12" s="1"/>
  <c r="AF11" i="12"/>
  <c r="AG20" i="37"/>
  <c r="AG6" i="20" s="1"/>
  <c r="AF6" i="20"/>
  <c r="AG7" i="37"/>
  <c r="AF5" i="18"/>
  <c r="AG8" i="37"/>
  <c r="AF6" i="18"/>
  <c r="AG53" i="37"/>
  <c r="AG3" i="12" s="1"/>
  <c r="AF3" i="12"/>
  <c r="AG47" i="37"/>
  <c r="AG9" i="11" s="1"/>
  <c r="AF9" i="11"/>
  <c r="AG46" i="37"/>
  <c r="AG8" i="11" s="1"/>
  <c r="AF8" i="11"/>
  <c r="AG4" i="37"/>
  <c r="AF2" i="18"/>
  <c r="AG10" i="37"/>
  <c r="AF8" i="18"/>
  <c r="AG41" i="37"/>
  <c r="AG3" i="11" s="1"/>
  <c r="AF3" i="11"/>
  <c r="AG72" i="37"/>
  <c r="AG10" i="13" s="1"/>
  <c r="AF10" i="13"/>
  <c r="AG43" i="37"/>
  <c r="AG5" i="11" s="1"/>
  <c r="AF5" i="11"/>
  <c r="AG40" i="37"/>
  <c r="AG2" i="11" s="1"/>
  <c r="AF2" i="11"/>
  <c r="AG52" i="37"/>
  <c r="AG2" i="12" s="1"/>
  <c r="AF2" i="12"/>
  <c r="AG24" i="37"/>
  <c r="AG10" i="20" s="1"/>
  <c r="AF10" i="20"/>
  <c r="AG9" i="38"/>
  <c r="AG7" i="23" s="1"/>
  <c r="AF7" i="23"/>
  <c r="AG69" i="38"/>
  <c r="AG7" i="27" s="1"/>
  <c r="AF7" i="27"/>
  <c r="AG19" i="38"/>
  <c r="AG5" i="24" s="1"/>
  <c r="AF5" i="24"/>
  <c r="AG72" i="38"/>
  <c r="AG10" i="27" s="1"/>
  <c r="AF10" i="27"/>
  <c r="AG66" i="38"/>
  <c r="AG4" i="27" s="1"/>
  <c r="AF4" i="27"/>
  <c r="AG18" i="38"/>
  <c r="AG4" i="24" s="1"/>
  <c r="AF4" i="24"/>
  <c r="AG49" i="38"/>
  <c r="AG11" i="25" s="1"/>
  <c r="AF11" i="25"/>
  <c r="AG25" i="38"/>
  <c r="AG11" i="24" s="1"/>
  <c r="AF11" i="24"/>
  <c r="AG23" i="38"/>
  <c r="AG9" i="24" s="1"/>
  <c r="AF9" i="24"/>
  <c r="AG60" i="38"/>
  <c r="AG10" i="26" s="1"/>
  <c r="AF10" i="26"/>
  <c r="AG41" i="38"/>
  <c r="AG3" i="25" s="1"/>
  <c r="AF3" i="25"/>
  <c r="AG47" i="38"/>
  <c r="AG9" i="25" s="1"/>
  <c r="AF9" i="25"/>
  <c r="AG46" i="38"/>
  <c r="AG8" i="25" s="1"/>
  <c r="AF8" i="25"/>
  <c r="AG12" i="38"/>
  <c r="AG10" i="23" s="1"/>
  <c r="AF10" i="23"/>
  <c r="AG7" i="38"/>
  <c r="AG5" i="23" s="1"/>
  <c r="AF5" i="23"/>
  <c r="AG45" i="38"/>
  <c r="AG7" i="25" s="1"/>
  <c r="AF7" i="25"/>
  <c r="AG64" i="38"/>
  <c r="AG2" i="27" s="1"/>
  <c r="AF2" i="27"/>
  <c r="AG21" i="38"/>
  <c r="AG7" i="24" s="1"/>
  <c r="AF7" i="24"/>
  <c r="AG70" i="38"/>
  <c r="AG8" i="27" s="1"/>
  <c r="AF8" i="27"/>
  <c r="AG73" i="38"/>
  <c r="AG11" i="27" s="1"/>
  <c r="AF11" i="27"/>
  <c r="AG13" i="38"/>
  <c r="AG11" i="23" s="1"/>
  <c r="AF11" i="23"/>
  <c r="AG44" i="38"/>
  <c r="AG6" i="25" s="1"/>
  <c r="AF6" i="25"/>
  <c r="AG53" i="38"/>
  <c r="AG3" i="26" s="1"/>
  <c r="AF3" i="26"/>
  <c r="AG52" i="38"/>
  <c r="AG2" i="26" s="1"/>
  <c r="AF2" i="26"/>
  <c r="AG20" i="38"/>
  <c r="AG6" i="24" s="1"/>
  <c r="AF6" i="24"/>
  <c r="AG58" i="38"/>
  <c r="AG8" i="26" s="1"/>
  <c r="AF8" i="26"/>
  <c r="AG22" i="38"/>
  <c r="AG8" i="24" s="1"/>
  <c r="AF8" i="24"/>
  <c r="AG65" i="38"/>
  <c r="AG3" i="27" s="1"/>
  <c r="AF3" i="27"/>
  <c r="AG16" i="38"/>
  <c r="AG2" i="24" s="1"/>
  <c r="AF2" i="24"/>
  <c r="AG24" i="38"/>
  <c r="AG10" i="24" s="1"/>
  <c r="AF10" i="24"/>
  <c r="AG40" i="38"/>
  <c r="AG2" i="25" s="1"/>
  <c r="AF2" i="25"/>
  <c r="AG71" i="38"/>
  <c r="AG9" i="27" s="1"/>
  <c r="AF9" i="27"/>
  <c r="AG67" i="38"/>
  <c r="AG5" i="27" s="1"/>
  <c r="AF5" i="27"/>
  <c r="AG68" i="38"/>
  <c r="AG6" i="27" s="1"/>
  <c r="AF6" i="27"/>
  <c r="AG59" i="38"/>
  <c r="AG9" i="26" s="1"/>
  <c r="AF9" i="26"/>
  <c r="AG10" i="38"/>
  <c r="AG8" i="23" s="1"/>
  <c r="AF8" i="23"/>
  <c r="AG56" i="38"/>
  <c r="AG6" i="26" s="1"/>
  <c r="AF6" i="26"/>
  <c r="AG48" i="38"/>
  <c r="AG10" i="25" s="1"/>
  <c r="AF10" i="25"/>
  <c r="AG42" i="38"/>
  <c r="AG4" i="25" s="1"/>
  <c r="AF4" i="25"/>
  <c r="AG11" i="38"/>
  <c r="AG9" i="23" s="1"/>
  <c r="AF9" i="23"/>
  <c r="AG61" i="38"/>
  <c r="AG11" i="26" s="1"/>
  <c r="AF11" i="26"/>
  <c r="AG57" i="38"/>
  <c r="AG7" i="26" s="1"/>
  <c r="AF7" i="26"/>
  <c r="AF4" i="26"/>
  <c r="AG54" i="38"/>
  <c r="AG4" i="26" s="1"/>
  <c r="AG43" i="38"/>
  <c r="AG5" i="25" s="1"/>
  <c r="AF5" i="25"/>
</calcChain>
</file>

<file path=xl/sharedStrings.xml><?xml version="1.0" encoding="utf-8"?>
<sst xmlns="http://schemas.openxmlformats.org/spreadsheetml/2006/main" count="906" uniqueCount="130">
  <si>
    <t>Sources:</t>
  </si>
  <si>
    <t>Year</t>
  </si>
  <si>
    <t>electricity (BTU)</t>
  </si>
  <si>
    <t>coal (BTU)</t>
  </si>
  <si>
    <t>natural gas (BTU)</t>
  </si>
  <si>
    <t>petroleum diesel (BTU)</t>
  </si>
  <si>
    <t>BCEU BAU Components Energy Use</t>
  </si>
  <si>
    <t>heat (BTU)</t>
  </si>
  <si>
    <t>Notes:</t>
  </si>
  <si>
    <t>Urban</t>
  </si>
  <si>
    <t>Rural</t>
  </si>
  <si>
    <t>biomass (BTU)</t>
  </si>
  <si>
    <t>Urban Residential Split</t>
  </si>
  <si>
    <t>kerosene (BTU)</t>
  </si>
  <si>
    <t>heavy or residual fuel oil (BTU)</t>
  </si>
  <si>
    <t>LPG propane or butane (BTU)</t>
  </si>
  <si>
    <t>hydrogen (BTU)</t>
  </si>
  <si>
    <t>Quadrillion</t>
  </si>
  <si>
    <t>Commercial &amp; Public</t>
    <phoneticPr fontId="10" type="noConversion"/>
  </si>
  <si>
    <t>KOSIS</t>
    <phoneticPr fontId="10" type="noConversion"/>
  </si>
  <si>
    <t>Commercial and Public sector energy consumption</t>
    <phoneticPr fontId="10" type="noConversion"/>
  </si>
  <si>
    <t>https://kosis.kr/statHtml/statHtml.do?orgId=115&amp;tblId=DT_F_C845&amp;vw_cd=MT_ZTITLE&amp;list_id=11505_001&amp;seqNo=&amp;lang_mode=ko&amp;language=kor&amp;obj_var_id=&amp;itm_id=&amp;conn_path=MT_ZTITLE</t>
    <phoneticPr fontId="10" type="noConversion"/>
  </si>
  <si>
    <t>Residential</t>
    <phoneticPr fontId="10" type="noConversion"/>
  </si>
  <si>
    <t>Assumption:</t>
    <phoneticPr fontId="10" type="noConversion"/>
  </si>
  <si>
    <t>Classification ETC. in the Korean Data set is classified as biomass as it is mainly used for heating</t>
    <phoneticPr fontId="10" type="noConversion"/>
  </si>
  <si>
    <t>Gasoline is classified as petroleum diesel</t>
    <phoneticPr fontId="10" type="noConversion"/>
  </si>
  <si>
    <t>Applications include cooking</t>
    <phoneticPr fontId="10" type="noConversion"/>
  </si>
  <si>
    <t>Heating inlucdes hot-water. Since floor heating using hot water is the main heating method in South Korea, it is not possible to distinguish hot water consumption from heating.</t>
    <phoneticPr fontId="10" type="noConversion"/>
  </si>
  <si>
    <t>For residential, we assumed the energy consumption pattern in 2018 was not changed until 2019</t>
    <phoneticPr fontId="10" type="noConversion"/>
  </si>
  <si>
    <t>1kWh to BTU</t>
    <phoneticPr fontId="10" type="noConversion"/>
  </si>
  <si>
    <t>City Gas Nm3 to MJ</t>
    <phoneticPr fontId="10" type="noConversion"/>
  </si>
  <si>
    <t>MJ to BTU</t>
    <phoneticPr fontId="10" type="noConversion"/>
  </si>
  <si>
    <t>Coal kg to kcal</t>
    <phoneticPr fontId="10" type="noConversion"/>
  </si>
  <si>
    <t>kcal to BTU</t>
    <phoneticPr fontId="10" type="noConversion"/>
  </si>
  <si>
    <t>LPG kg to MJ</t>
    <phoneticPr fontId="10" type="noConversion"/>
  </si>
  <si>
    <t>Urban population rate</t>
    <phoneticPr fontId="10" type="noConversion"/>
  </si>
  <si>
    <t>https://www.index.go.kr/potal/main/EachDtlPageDetail.do?idx_cd=1200</t>
  </si>
  <si>
    <t>heating</t>
  </si>
  <si>
    <t>cooling &amp; ventilation</t>
  </si>
  <si>
    <t>envelope</t>
  </si>
  <si>
    <t>lighting</t>
  </si>
  <si>
    <t>appliances</t>
  </si>
  <si>
    <t>other</t>
  </si>
  <si>
    <t>Commercial</t>
    <phoneticPr fontId="10" type="noConversion"/>
  </si>
  <si>
    <t>Urban residential</t>
    <phoneticPr fontId="10" type="noConversion"/>
  </si>
  <si>
    <t>Rural Residential</t>
    <phoneticPr fontId="10" type="noConversion"/>
  </si>
  <si>
    <t>appliances</t>
    <phoneticPr fontId="10" type="noConversion"/>
  </si>
  <si>
    <t>Rural residential</t>
    <phoneticPr fontId="10" type="noConversion"/>
  </si>
  <si>
    <t>Start year data is from SYDEC</t>
    <phoneticPr fontId="10" type="noConversion"/>
  </si>
  <si>
    <t>KOSIS Forecast Page 112</t>
    <phoneticPr fontId="10" type="noConversion"/>
  </si>
  <si>
    <t>* following residential changes</t>
    <phoneticPr fontId="10" type="noConversion"/>
  </si>
  <si>
    <t>Total (BTU)</t>
    <phoneticPr fontId="10" type="noConversion"/>
  </si>
  <si>
    <t>Total (mTOE)</t>
    <phoneticPr fontId="10" type="noConversion"/>
  </si>
  <si>
    <t>* this tab is for validating the outcome by cross checking</t>
    <phoneticPr fontId="10" type="noConversion"/>
  </si>
  <si>
    <t>1 TOE to mmBTU</t>
    <phoneticPr fontId="10" type="noConversion"/>
  </si>
  <si>
    <t>분류별(1)</t>
  </si>
  <si>
    <t>분류별(2)</t>
  </si>
  <si>
    <t>2019. 01</t>
  </si>
  <si>
    <t>2019. 02</t>
  </si>
  <si>
    <t>2019. 03</t>
  </si>
  <si>
    <t>2019. 04</t>
  </si>
  <si>
    <t>2019. 05</t>
  </si>
  <si>
    <t>2019. 06</t>
  </si>
  <si>
    <t>2019. 07</t>
  </si>
  <si>
    <t>2019. 08</t>
  </si>
  <si>
    <t>2019. 09</t>
  </si>
  <si>
    <t>2019. 10</t>
  </si>
  <si>
    <t>2019. 11</t>
  </si>
  <si>
    <t>2019. 12</t>
  </si>
  <si>
    <t>2020. 01</t>
  </si>
  <si>
    <t>2020. 02</t>
  </si>
  <si>
    <t>2020. 03</t>
  </si>
  <si>
    <t>2020. 04</t>
  </si>
  <si>
    <t>2020. 05</t>
  </si>
  <si>
    <t>2020. 06</t>
  </si>
  <si>
    <t>2020. 07</t>
  </si>
  <si>
    <t>2020. 08</t>
  </si>
  <si>
    <t>2020. 09</t>
  </si>
  <si>
    <t>2020. 10</t>
  </si>
  <si>
    <t>2020. 11</t>
  </si>
  <si>
    <t>2020. 12</t>
  </si>
  <si>
    <t>합계</t>
  </si>
  <si>
    <t>가정</t>
  </si>
  <si>
    <t/>
  </si>
  <si>
    <t>상업</t>
  </si>
  <si>
    <t>석탄</t>
  </si>
  <si>
    <t>석유</t>
  </si>
  <si>
    <t>도시가스</t>
  </si>
  <si>
    <t>전력</t>
  </si>
  <si>
    <t>열</t>
  </si>
  <si>
    <t>신재생 및 기타</t>
  </si>
  <si>
    <t xml:space="preserve"> kTOE</t>
    <phoneticPr fontId="10" type="noConversion"/>
  </si>
  <si>
    <t>BTU</t>
    <phoneticPr fontId="10" type="noConversion"/>
  </si>
  <si>
    <t>kTOE</t>
    <phoneticPr fontId="10" type="noConversion"/>
  </si>
  <si>
    <t>2021. 01</t>
  </si>
  <si>
    <t>2021. 02</t>
  </si>
  <si>
    <t>2021. 03</t>
  </si>
  <si>
    <t>2021. 04</t>
  </si>
  <si>
    <t>2021. 05</t>
  </si>
  <si>
    <t>2021. 06</t>
  </si>
  <si>
    <t>2021. 07</t>
  </si>
  <si>
    <t>2021. 08</t>
  </si>
  <si>
    <t>2021. 09</t>
  </si>
  <si>
    <t>2021. 10</t>
  </si>
  <si>
    <t>2021. 11</t>
    <phoneticPr fontId="10" type="noConversion"/>
  </si>
  <si>
    <t>2021. 12</t>
    <phoneticPr fontId="10" type="noConversion"/>
  </si>
  <si>
    <t>2020 (BTU)</t>
  </si>
  <si>
    <t>electricity</t>
  </si>
  <si>
    <t xml:space="preserve">coal </t>
  </si>
  <si>
    <t>natural gas</t>
  </si>
  <si>
    <t xml:space="preserve">petroleum diesel </t>
  </si>
  <si>
    <t xml:space="preserve">heat </t>
  </si>
  <si>
    <t>biomass</t>
  </si>
  <si>
    <t>kerosene</t>
  </si>
  <si>
    <t xml:space="preserve">heavy or residual fuel oil </t>
  </si>
  <si>
    <t>LPG propane or butane</t>
  </si>
  <si>
    <t>hydrogen</t>
  </si>
  <si>
    <t>coal</t>
  </si>
  <si>
    <t>petroleum diesel</t>
  </si>
  <si>
    <t>heat</t>
  </si>
  <si>
    <t>etc</t>
  </si>
  <si>
    <t>heavy or residual fuel oil</t>
  </si>
  <si>
    <t>2021 (BTU)</t>
  </si>
  <si>
    <t>2023 LONG-TERM ENERGY OUTLOOK</t>
    <phoneticPr fontId="10" type="noConversion"/>
  </si>
  <si>
    <t>https://www.kesis.net/sub/sub_0005_01.jsp?M_MENU_ID=M_M_002&amp;S_MENU_ID=S_M_017&amp;CATEGORY_ID=C_012&amp;SEQ=46</t>
    <phoneticPr fontId="10" type="noConversion"/>
  </si>
  <si>
    <t>석탄 공급 및 수요 - 연탄용</t>
    <phoneticPr fontId="10" type="noConversion"/>
  </si>
  <si>
    <r>
      <t xml:space="preserve">Residential demand changes (annual % growth between </t>
    </r>
    <r>
      <rPr>
        <sz val="11"/>
        <color rgb="FFFF0000"/>
        <rFont val="맑은 고딕"/>
        <family val="3"/>
        <charset val="129"/>
        <scheme val="minor"/>
      </rPr>
      <t>2022 and 2050</t>
    </r>
    <r>
      <rPr>
        <sz val="11"/>
        <color theme="1"/>
        <rFont val="맑은 고딕"/>
        <family val="2"/>
        <scheme val="minor"/>
      </rPr>
      <t>)</t>
    </r>
    <phoneticPr fontId="10" type="noConversion"/>
  </si>
  <si>
    <r>
      <t xml:space="preserve">KOSIS Forecast Page </t>
    </r>
    <r>
      <rPr>
        <sz val="11"/>
        <color rgb="FFFF0000"/>
        <rFont val="맑은 고딕"/>
        <family val="3"/>
        <charset val="129"/>
        <scheme val="minor"/>
      </rPr>
      <t>95</t>
    </r>
    <phoneticPr fontId="10" type="noConversion"/>
  </si>
  <si>
    <r>
      <t xml:space="preserve">Residential demand changes (% between </t>
    </r>
    <r>
      <rPr>
        <sz val="11"/>
        <color rgb="FFFF0000"/>
        <rFont val="맑은 고딕"/>
        <family val="3"/>
        <charset val="129"/>
        <scheme val="minor"/>
      </rPr>
      <t>2022 and 2050</t>
    </r>
    <r>
      <rPr>
        <sz val="11"/>
        <color theme="1"/>
        <rFont val="맑은 고딕"/>
        <family val="2"/>
        <scheme val="minor"/>
      </rPr>
      <t>)</t>
    </r>
    <phoneticPr fontId="10" type="noConversion"/>
  </si>
  <si>
    <r>
      <t xml:space="preserve">Commercial demand changes (% between </t>
    </r>
    <r>
      <rPr>
        <sz val="11"/>
        <color rgb="FFFF0000"/>
        <rFont val="맑은 고딕"/>
        <family val="3"/>
        <charset val="129"/>
        <scheme val="minor"/>
      </rPr>
      <t>2022 and 2050</t>
    </r>
    <r>
      <rPr>
        <sz val="11"/>
        <color theme="1"/>
        <rFont val="맑은 고딕"/>
        <family val="2"/>
        <scheme val="minor"/>
      </rPr>
      <t>)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</si>
</sst>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(* #,##0.00_);_(* \(#,##0.00\);_(* &quot;-&quot;??_);_(@_)"/>
    <numFmt numFmtId="177" formatCode="0.0%"/>
    <numFmt numFmtId="178" formatCode="0.000E+00"/>
    <numFmt numFmtId="179" formatCode="0_);[Red]\(0\)"/>
    <numFmt numFmtId="180" formatCode="0.E+00"/>
    <numFmt numFmtId="181" formatCode="0.0.E+00"/>
  </numFmts>
  <fonts count="20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9"/>
      <color theme="1"/>
      <name val="맑은 고딕"/>
      <family val="2"/>
      <scheme val="minor"/>
    </font>
    <font>
      <b/>
      <sz val="12"/>
      <color theme="4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sz val="12"/>
      <color indexed="3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rgb="FF666666"/>
      <name val="맑은 고딕"/>
      <family val="3"/>
      <charset val="129"/>
      <scheme val="minor"/>
    </font>
    <font>
      <sz val="11"/>
      <color rgb="FF202124"/>
      <name val="맑은 고딕"/>
      <family val="3"/>
      <charset val="129"/>
      <scheme val="minor"/>
    </font>
    <font>
      <sz val="11"/>
      <color rgb="FF4D5156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u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4" fillId="0" borderId="0" applyNumberFormat="0" applyProtection="0">
      <alignment horizontal="left"/>
    </xf>
    <xf numFmtId="0" fontId="2" fillId="0" borderId="2" applyNumberFormat="0" applyFont="0" applyProtection="0">
      <alignment wrapText="1"/>
    </xf>
    <xf numFmtId="0" fontId="3" fillId="0" borderId="3" applyNumberFormat="0" applyProtection="0">
      <alignment wrapText="1"/>
    </xf>
    <xf numFmtId="0" fontId="2" fillId="0" borderId="4" applyNumberFormat="0" applyProtection="0">
      <alignment vertical="top" wrapText="1"/>
    </xf>
    <xf numFmtId="0" fontId="5" fillId="0" borderId="0" applyNumberFormat="0" applyFill="0" applyBorder="0" applyAlignment="0" applyProtection="0"/>
    <xf numFmtId="0" fontId="7" fillId="0" borderId="0"/>
    <xf numFmtId="0" fontId="7" fillId="0" borderId="8" applyNumberFormat="0" applyProtection="0">
      <alignment wrapText="1"/>
    </xf>
    <xf numFmtId="0" fontId="8" fillId="0" borderId="6" applyNumberFormat="0" applyProtection="0">
      <alignment wrapText="1"/>
    </xf>
    <xf numFmtId="0" fontId="7" fillId="0" borderId="7" applyNumberFormat="0" applyFont="0" applyProtection="0">
      <alignment wrapText="1"/>
    </xf>
    <xf numFmtId="0" fontId="8" fillId="0" borderId="5" applyNumberFormat="0" applyProtection="0">
      <alignment wrapText="1"/>
    </xf>
    <xf numFmtId="0" fontId="7" fillId="0" borderId="0" applyNumberFormat="0" applyFill="0" applyBorder="0" applyAlignment="0" applyProtection="0"/>
    <xf numFmtId="0" fontId="6" fillId="0" borderId="0" applyNumberFormat="0" applyProtection="0">
      <alignment horizontal="left"/>
    </xf>
    <xf numFmtId="9" fontId="9" fillId="0" borderId="0" applyFont="0" applyFill="0" applyBorder="0" applyAlignment="0" applyProtection="0"/>
    <xf numFmtId="0" fontId="3" fillId="0" borderId="9" applyNumberFormat="0" applyProtection="0">
      <alignment horizontal="left" wrapText="1"/>
    </xf>
    <xf numFmtId="176" fontId="9" fillId="0" borderId="0" applyFont="0" applyFill="0" applyBorder="0" applyAlignment="0" applyProtection="0"/>
    <xf numFmtId="0" fontId="13" fillId="0" borderId="0">
      <alignment vertical="center"/>
    </xf>
  </cellStyleXfs>
  <cellXfs count="38">
    <xf numFmtId="0" fontId="0" fillId="0" borderId="0" xfId="0"/>
    <xf numFmtId="0" fontId="1" fillId="0" borderId="0" xfId="0" applyFont="1"/>
    <xf numFmtId="11" fontId="0" fillId="0" borderId="0" xfId="0" applyNumberFormat="1"/>
    <xf numFmtId="178" fontId="0" fillId="0" borderId="0" xfId="0" applyNumberFormat="1"/>
    <xf numFmtId="177" fontId="0" fillId="0" borderId="0" xfId="15" applyNumberFormat="1" applyFont="1"/>
    <xf numFmtId="4" fontId="0" fillId="0" borderId="0" xfId="0" applyNumberFormat="1"/>
    <xf numFmtId="11" fontId="0" fillId="0" borderId="0" xfId="17" applyNumberFormat="1" applyFont="1"/>
    <xf numFmtId="9" fontId="0" fillId="0" borderId="0" xfId="15" applyFont="1"/>
    <xf numFmtId="0" fontId="11" fillId="0" borderId="0" xfId="0" applyFont="1" applyAlignment="1">
      <alignment horizontal="left"/>
    </xf>
    <xf numFmtId="0" fontId="11" fillId="2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10" fontId="12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1" fillId="0" borderId="0" xfId="0" applyFont="1"/>
    <xf numFmtId="177" fontId="0" fillId="0" borderId="0" xfId="0" applyNumberFormat="1"/>
    <xf numFmtId="179" fontId="0" fillId="0" borderId="0" xfId="0" applyNumberFormat="1"/>
    <xf numFmtId="0" fontId="13" fillId="3" borderId="11" xfId="18" applyFill="1" applyBorder="1">
      <alignment vertical="center"/>
    </xf>
    <xf numFmtId="0" fontId="13" fillId="4" borderId="11" xfId="18" applyFill="1" applyBorder="1" applyAlignment="1"/>
    <xf numFmtId="3" fontId="13" fillId="0" borderId="11" xfId="18" applyNumberFormat="1" applyBorder="1" applyAlignment="1">
      <alignment horizontal="right"/>
    </xf>
    <xf numFmtId="0" fontId="13" fillId="5" borderId="13" xfId="18" applyFill="1" applyBorder="1" applyAlignment="1"/>
    <xf numFmtId="0" fontId="13" fillId="5" borderId="11" xfId="18" applyFill="1" applyBorder="1" applyAlignment="1"/>
    <xf numFmtId="0" fontId="13" fillId="5" borderId="12" xfId="18" applyFill="1" applyBorder="1" applyAlignment="1"/>
    <xf numFmtId="0" fontId="13" fillId="5" borderId="10" xfId="18" applyFill="1" applyBorder="1" applyAlignment="1"/>
    <xf numFmtId="3" fontId="13" fillId="0" borderId="0" xfId="18" applyNumberFormat="1" applyAlignment="1">
      <alignment horizontal="right"/>
    </xf>
    <xf numFmtId="3" fontId="0" fillId="0" borderId="0" xfId="0" applyNumberFormat="1"/>
    <xf numFmtId="180" fontId="0" fillId="0" borderId="0" xfId="0" applyNumberFormat="1"/>
    <xf numFmtId="0" fontId="13" fillId="0" borderId="0" xfId="18" applyAlignment="1">
      <alignment horizontal="right"/>
    </xf>
    <xf numFmtId="0" fontId="13" fillId="4" borderId="12" xfId="18" applyFill="1" applyBorder="1" applyAlignment="1"/>
    <xf numFmtId="1" fontId="0" fillId="0" borderId="0" xfId="0" applyNumberFormat="1"/>
    <xf numFmtId="181" fontId="0" fillId="0" borderId="0" xfId="0" applyNumberFormat="1"/>
    <xf numFmtId="0" fontId="5" fillId="0" borderId="0" xfId="7" applyAlignment="1">
      <alignment horizontal="left"/>
    </xf>
    <xf numFmtId="0" fontId="17" fillId="0" borderId="0" xfId="0" applyFont="1" applyAlignment="1">
      <alignment horizontal="left"/>
    </xf>
    <xf numFmtId="0" fontId="18" fillId="0" borderId="0" xfId="7" applyFont="1" applyAlignment="1">
      <alignment horizontal="left"/>
    </xf>
    <xf numFmtId="11" fontId="19" fillId="0" borderId="0" xfId="0" applyNumberFormat="1" applyFont="1" applyAlignment="1">
      <alignment vertical="center"/>
    </xf>
    <xf numFmtId="177" fontId="19" fillId="0" borderId="0" xfId="15" applyNumberFormat="1" applyFont="1"/>
  </cellXfs>
  <cellStyles count="19">
    <cellStyle name="Body: normal cell" xfId="4" xr:uid="{00000000-0005-0000-0000-000000000000}"/>
    <cellStyle name="Body: normal cell 2" xfId="11" xr:uid="{00000000-0005-0000-0000-000001000000}"/>
    <cellStyle name="Font: Calibri, 9pt regular" xfId="1" xr:uid="{00000000-0005-0000-0000-000003000000}"/>
    <cellStyle name="Font: Calibri, 9pt regular 2" xfId="13" xr:uid="{00000000-0005-0000-0000-000004000000}"/>
    <cellStyle name="Footnotes: top row" xfId="6" xr:uid="{00000000-0005-0000-0000-000005000000}"/>
    <cellStyle name="Footnotes: top row 2" xfId="9" xr:uid="{00000000-0005-0000-0000-000006000000}"/>
    <cellStyle name="Header: bottom row" xfId="2" xr:uid="{00000000-0005-0000-0000-000007000000}"/>
    <cellStyle name="Header: bottom row 2" xfId="12" xr:uid="{00000000-0005-0000-0000-000008000000}"/>
    <cellStyle name="Header: top rows" xfId="16" xr:uid="{00000000-0005-0000-0000-000009000000}"/>
    <cellStyle name="Normal 2" xfId="8" xr:uid="{00000000-0005-0000-0000-00000C000000}"/>
    <cellStyle name="Parent row" xfId="5" xr:uid="{00000000-0005-0000-0000-00000D000000}"/>
    <cellStyle name="Parent row 2" xfId="10" xr:uid="{00000000-0005-0000-0000-00000E000000}"/>
    <cellStyle name="Table title" xfId="3" xr:uid="{00000000-0005-0000-0000-000010000000}"/>
    <cellStyle name="Table title 2" xfId="14" xr:uid="{00000000-0005-0000-0000-000011000000}"/>
    <cellStyle name="백분율" xfId="15" builtinId="5"/>
    <cellStyle name="쉼표" xfId="17" builtinId="3"/>
    <cellStyle name="표준" xfId="0" builtinId="0"/>
    <cellStyle name="표준 2" xfId="18" xr:uid="{C87D6EE6-BA00-4F5B-B77D-E27DCD49F655}"/>
    <cellStyle name="하이퍼링크" xfId="7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eff-nonadmin\Dropbox%20(Energy%20Innovation)\EI-PlcyMdl\eps-1.5.0-us-wipE\InputData\web-app\BCF\BTU%20Conversion%20Facto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73"/>
      <sheetName val="GREET1 Fuel_Specs"/>
      <sheetName val="BCF-BpLFOU"/>
      <sheetName val="BCF-BpSFOU"/>
      <sheetName val="BCF-VFEUCF"/>
      <sheetName val="BCF-BpEIEOU"/>
    </sheetNames>
    <sheetDataSet>
      <sheetData sheetId="0">
        <row r="63">
          <cell r="A63">
            <v>42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kesis.net/sub/sub_0005_01.jsp?M_MENU_ID=M_M_002&amp;S_MENU_ID=S_M_017&amp;CATEGORY_ID=C_012&amp;SEQ=46" TargetMode="External"/><Relationship Id="rId1" Type="http://schemas.openxmlformats.org/officeDocument/2006/relationships/hyperlink" Target="https://kosis.kr/statHtml/statHtml.do?orgId=115&amp;tblId=DT_F_C845&amp;vw_cd=MT_ZTITLE&amp;list_id=11505_001&amp;seqNo=&amp;lang_mode=ko&amp;language=kor&amp;obj_var_id=&amp;itm_id=&amp;conn_path=MT_ZTITL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workbookViewId="0">
      <selection activeCell="B22" sqref="B22"/>
    </sheetView>
  </sheetViews>
  <sheetFormatPr defaultRowHeight="16.5" x14ac:dyDescent="0.3"/>
  <cols>
    <col min="1" max="1" width="23.75" customWidth="1"/>
    <col min="2" max="2" width="61.375" customWidth="1"/>
    <col min="3" max="3" width="19.25" customWidth="1"/>
  </cols>
  <sheetData>
    <row r="1" spans="1:3" x14ac:dyDescent="0.3">
      <c r="A1" s="1" t="s">
        <v>6</v>
      </c>
    </row>
    <row r="3" spans="1:3" x14ac:dyDescent="0.3">
      <c r="A3" s="8" t="s">
        <v>0</v>
      </c>
      <c r="B3" s="9" t="s">
        <v>18</v>
      </c>
      <c r="C3" s="10"/>
    </row>
    <row r="4" spans="1:3" x14ac:dyDescent="0.3">
      <c r="A4" s="10"/>
      <c r="B4" s="10" t="s">
        <v>19</v>
      </c>
      <c r="C4" s="10"/>
    </row>
    <row r="5" spans="1:3" x14ac:dyDescent="0.3">
      <c r="A5" s="10"/>
      <c r="B5" s="10">
        <v>2020</v>
      </c>
      <c r="C5" s="10"/>
    </row>
    <row r="6" spans="1:3" x14ac:dyDescent="0.3">
      <c r="A6" s="10"/>
      <c r="B6" s="10" t="s">
        <v>20</v>
      </c>
      <c r="C6" s="10"/>
    </row>
    <row r="7" spans="1:3" x14ac:dyDescent="0.3">
      <c r="A7" s="10"/>
      <c r="B7" s="33" t="s">
        <v>21</v>
      </c>
      <c r="C7" s="10"/>
    </row>
    <row r="8" spans="1:3" x14ac:dyDescent="0.3">
      <c r="A8" s="10"/>
      <c r="B8" s="10"/>
      <c r="C8" s="10"/>
    </row>
    <row r="9" spans="1:3" x14ac:dyDescent="0.3">
      <c r="A9" s="10"/>
      <c r="B9" s="10"/>
      <c r="C9" s="10"/>
    </row>
    <row r="10" spans="1:3" x14ac:dyDescent="0.3">
      <c r="A10" s="10"/>
      <c r="B10" s="9" t="s">
        <v>22</v>
      </c>
      <c r="C10" s="10"/>
    </row>
    <row r="11" spans="1:3" x14ac:dyDescent="0.3">
      <c r="A11" s="10"/>
      <c r="B11" s="10" t="s">
        <v>19</v>
      </c>
      <c r="C11" s="10"/>
    </row>
    <row r="12" spans="1:3" x14ac:dyDescent="0.3">
      <c r="A12" s="10"/>
      <c r="B12" s="34">
        <v>2023</v>
      </c>
      <c r="C12" s="10"/>
    </row>
    <row r="13" spans="1:3" x14ac:dyDescent="0.3">
      <c r="A13" s="10"/>
      <c r="B13" s="34" t="s">
        <v>123</v>
      </c>
      <c r="C13" s="10"/>
    </row>
    <row r="14" spans="1:3" x14ac:dyDescent="0.3">
      <c r="A14" s="10"/>
      <c r="B14" s="35" t="s">
        <v>124</v>
      </c>
      <c r="C14" s="10"/>
    </row>
    <row r="15" spans="1:3" x14ac:dyDescent="0.3">
      <c r="A15" s="10"/>
      <c r="B15" s="10"/>
      <c r="C15" s="10"/>
    </row>
    <row r="16" spans="1:3" x14ac:dyDescent="0.3">
      <c r="A16" s="10"/>
      <c r="B16" s="10"/>
      <c r="C16" s="10"/>
    </row>
    <row r="17" spans="1:3" x14ac:dyDescent="0.3">
      <c r="A17" s="8" t="s">
        <v>8</v>
      </c>
      <c r="B17" s="10"/>
      <c r="C17" s="10"/>
    </row>
    <row r="18" spans="1:3" x14ac:dyDescent="0.3">
      <c r="A18" s="10" t="s">
        <v>48</v>
      </c>
      <c r="B18" s="10"/>
      <c r="C18" s="10"/>
    </row>
    <row r="19" spans="1:3" x14ac:dyDescent="0.3">
      <c r="A19" s="10"/>
      <c r="B19" s="10"/>
      <c r="C19" s="10"/>
    </row>
    <row r="20" spans="1:3" x14ac:dyDescent="0.3">
      <c r="A20" s="10"/>
      <c r="B20" s="10"/>
      <c r="C20" s="10"/>
    </row>
    <row r="21" spans="1:3" x14ac:dyDescent="0.3">
      <c r="A21" s="10"/>
      <c r="B21" s="10"/>
      <c r="C21" s="10"/>
    </row>
    <row r="22" spans="1:3" x14ac:dyDescent="0.3">
      <c r="A22" s="8" t="s">
        <v>23</v>
      </c>
      <c r="B22" s="10"/>
      <c r="C22" s="10"/>
    </row>
    <row r="23" spans="1:3" x14ac:dyDescent="0.3">
      <c r="A23" s="10" t="s">
        <v>24</v>
      </c>
      <c r="B23" s="10"/>
      <c r="C23" s="10"/>
    </row>
    <row r="24" spans="1:3" x14ac:dyDescent="0.3">
      <c r="A24" s="10" t="s">
        <v>25</v>
      </c>
      <c r="B24" s="10"/>
      <c r="C24" s="10"/>
    </row>
    <row r="25" spans="1:3" x14ac:dyDescent="0.3">
      <c r="A25" s="10" t="s">
        <v>26</v>
      </c>
      <c r="B25" s="10"/>
      <c r="C25" s="10"/>
    </row>
    <row r="26" spans="1:3" x14ac:dyDescent="0.3">
      <c r="A26" s="10" t="s">
        <v>27</v>
      </c>
      <c r="B26" s="10"/>
      <c r="C26" s="10"/>
    </row>
    <row r="27" spans="1:3" x14ac:dyDescent="0.3">
      <c r="A27" s="10" t="s">
        <v>28</v>
      </c>
      <c r="B27" s="10"/>
      <c r="C27" s="10"/>
    </row>
    <row r="28" spans="1:3" x14ac:dyDescent="0.3">
      <c r="A28" s="10"/>
      <c r="B28" s="10"/>
      <c r="C28" s="10"/>
    </row>
    <row r="29" spans="1:3" x14ac:dyDescent="0.3">
      <c r="A29" s="10"/>
      <c r="B29" s="10"/>
      <c r="C29" s="10"/>
    </row>
    <row r="30" spans="1:3" x14ac:dyDescent="0.3">
      <c r="A30" s="10" t="s">
        <v>54</v>
      </c>
      <c r="B30" s="10">
        <v>39.683100000000003</v>
      </c>
      <c r="C30" s="10"/>
    </row>
    <row r="31" spans="1:3" x14ac:dyDescent="0.3">
      <c r="A31" s="10" t="s">
        <v>29</v>
      </c>
      <c r="B31" s="11">
        <v>3412.1419999999998</v>
      </c>
      <c r="C31" s="10"/>
    </row>
    <row r="32" spans="1:3" x14ac:dyDescent="0.3">
      <c r="A32" s="10" t="s">
        <v>30</v>
      </c>
      <c r="B32" s="10">
        <v>43.54</v>
      </c>
      <c r="C32" s="10"/>
    </row>
    <row r="33" spans="1:3" x14ac:dyDescent="0.3">
      <c r="A33" s="10" t="s">
        <v>31</v>
      </c>
      <c r="B33" s="10">
        <v>947.81700000000001</v>
      </c>
      <c r="C33" s="10"/>
    </row>
    <row r="34" spans="1:3" x14ac:dyDescent="0.3">
      <c r="A34" s="10" t="s">
        <v>32</v>
      </c>
      <c r="B34" s="12">
        <v>4600</v>
      </c>
      <c r="C34" s="10"/>
    </row>
    <row r="35" spans="1:3" x14ac:dyDescent="0.3">
      <c r="A35" s="10" t="s">
        <v>33</v>
      </c>
      <c r="B35" s="13">
        <v>3.968318</v>
      </c>
      <c r="C35" s="10"/>
    </row>
    <row r="36" spans="1:3" x14ac:dyDescent="0.3">
      <c r="A36" s="10" t="s">
        <v>34</v>
      </c>
      <c r="B36" s="10">
        <v>50.4</v>
      </c>
      <c r="C36" s="10"/>
    </row>
    <row r="37" spans="1:3" x14ac:dyDescent="0.3">
      <c r="A37" s="10" t="s">
        <v>35</v>
      </c>
      <c r="B37" s="14">
        <v>0.91800000000000004</v>
      </c>
      <c r="C37" s="10" t="s">
        <v>36</v>
      </c>
    </row>
    <row r="65" spans="1:2" x14ac:dyDescent="0.3">
      <c r="A65" s="1" t="s">
        <v>12</v>
      </c>
    </row>
    <row r="66" spans="1:2" x14ac:dyDescent="0.3">
      <c r="A66" s="4" t="e">
        <f>#REF!/(#REF!+#REF!)</f>
        <v>#REF!</v>
      </c>
      <c r="B66" t="s">
        <v>9</v>
      </c>
    </row>
    <row r="67" spans="1:2" x14ac:dyDescent="0.3">
      <c r="A67" s="4" t="e">
        <f>#REF!/(#REF!+#REF!)</f>
        <v>#REF!</v>
      </c>
      <c r="B67" t="s">
        <v>10</v>
      </c>
    </row>
    <row r="69" spans="1:2" x14ac:dyDescent="0.3">
      <c r="A69" t="s">
        <v>17</v>
      </c>
      <c r="B69" s="6">
        <f>10^15</f>
        <v>1000000000000000</v>
      </c>
    </row>
  </sheetData>
  <phoneticPr fontId="10" type="noConversion"/>
  <hyperlinks>
    <hyperlink ref="B7" r:id="rId1" xr:uid="{E3D81ACC-CD3F-44CE-83E2-D8AE4FA810A2}"/>
    <hyperlink ref="B14" r:id="rId2" xr:uid="{33897A44-3821-4B6E-8927-AA2917681289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6D3F1-92E7-40E9-A07E-C7DBA9C24A0B}">
  <dimension ref="A1:G35"/>
  <sheetViews>
    <sheetView workbookViewId="0">
      <selection activeCell="E26" sqref="E26"/>
    </sheetView>
  </sheetViews>
  <sheetFormatPr defaultRowHeight="16.5" x14ac:dyDescent="0.3"/>
  <cols>
    <col min="1" max="1" width="28.25" bestFit="1" customWidth="1"/>
    <col min="2" max="2" width="12.5" bestFit="1" customWidth="1"/>
    <col min="3" max="3" width="19.375" bestFit="1" customWidth="1"/>
    <col min="4" max="4" width="9.25" bestFit="1" customWidth="1"/>
    <col min="5" max="7" width="12.5" bestFit="1" customWidth="1"/>
  </cols>
  <sheetData>
    <row r="1" spans="1:7" x14ac:dyDescent="0.3">
      <c r="A1" s="16" t="s">
        <v>43</v>
      </c>
      <c r="B1" s="16" t="s">
        <v>37</v>
      </c>
      <c r="C1" s="16" t="s">
        <v>38</v>
      </c>
      <c r="D1" s="16" t="s">
        <v>39</v>
      </c>
      <c r="E1" s="16" t="s">
        <v>40</v>
      </c>
      <c r="F1" s="16" t="s">
        <v>41</v>
      </c>
      <c r="G1" s="16" t="s">
        <v>42</v>
      </c>
    </row>
    <row r="2" spans="1:7" x14ac:dyDescent="0.3">
      <c r="A2" s="16" t="s">
        <v>2</v>
      </c>
      <c r="B2" s="36">
        <v>129000000000000</v>
      </c>
      <c r="C2" s="36">
        <v>181000000000000</v>
      </c>
      <c r="D2" s="36">
        <v>0</v>
      </c>
      <c r="E2" s="36">
        <v>111000000000000</v>
      </c>
      <c r="F2" s="36">
        <v>79700000000000</v>
      </c>
      <c r="G2" s="36">
        <v>68100000000000</v>
      </c>
    </row>
    <row r="3" spans="1:7" x14ac:dyDescent="0.3">
      <c r="A3" s="16" t="s">
        <v>3</v>
      </c>
      <c r="B3" s="36">
        <v>0</v>
      </c>
      <c r="C3" s="36">
        <v>0</v>
      </c>
      <c r="D3" s="36">
        <v>0</v>
      </c>
      <c r="E3" s="36">
        <v>0</v>
      </c>
      <c r="F3" s="36">
        <v>0</v>
      </c>
      <c r="G3" s="36">
        <v>0</v>
      </c>
    </row>
    <row r="4" spans="1:7" x14ac:dyDescent="0.3">
      <c r="A4" s="16" t="s">
        <v>4</v>
      </c>
      <c r="B4" s="36">
        <v>59200000000000</v>
      </c>
      <c r="C4" s="36">
        <v>19400000000000</v>
      </c>
      <c r="D4" s="36">
        <v>0</v>
      </c>
      <c r="E4" s="36">
        <v>0</v>
      </c>
      <c r="F4" s="36">
        <v>68600000000000</v>
      </c>
      <c r="G4" s="36">
        <v>0</v>
      </c>
    </row>
    <row r="5" spans="1:7" x14ac:dyDescent="0.3">
      <c r="A5" s="16" t="s">
        <v>5</v>
      </c>
      <c r="B5" s="36">
        <v>1740000000000</v>
      </c>
      <c r="C5" s="36">
        <v>0</v>
      </c>
      <c r="D5" s="36">
        <v>0</v>
      </c>
      <c r="E5" s="36">
        <v>0</v>
      </c>
      <c r="F5" s="36">
        <v>549000000000</v>
      </c>
      <c r="G5" s="36">
        <v>0</v>
      </c>
    </row>
    <row r="6" spans="1:7" x14ac:dyDescent="0.3">
      <c r="A6" s="16" t="s">
        <v>7</v>
      </c>
      <c r="B6" s="36">
        <v>15100000000000</v>
      </c>
      <c r="C6" s="36">
        <v>1790000000000</v>
      </c>
      <c r="D6" s="36">
        <v>0</v>
      </c>
      <c r="E6" s="36">
        <v>0</v>
      </c>
      <c r="F6" s="36">
        <v>0</v>
      </c>
      <c r="G6" s="36">
        <v>0</v>
      </c>
    </row>
    <row r="7" spans="1:7" x14ac:dyDescent="0.3">
      <c r="A7" s="16" t="s">
        <v>11</v>
      </c>
      <c r="B7" s="36">
        <v>42700000000000</v>
      </c>
      <c r="C7" s="36">
        <v>208000000000</v>
      </c>
      <c r="D7" s="36">
        <v>0</v>
      </c>
      <c r="E7" s="36">
        <v>3470000000000</v>
      </c>
      <c r="F7" s="36">
        <v>6660000000000</v>
      </c>
      <c r="G7" s="36">
        <v>139000000000</v>
      </c>
    </row>
    <row r="8" spans="1:7" x14ac:dyDescent="0.3">
      <c r="A8" s="16" t="s">
        <v>13</v>
      </c>
      <c r="B8" s="36">
        <v>31500000000000</v>
      </c>
      <c r="C8" s="36">
        <v>0</v>
      </c>
      <c r="D8" s="36">
        <v>0</v>
      </c>
      <c r="E8" s="36">
        <v>0</v>
      </c>
      <c r="F8" s="36">
        <v>3840000000000</v>
      </c>
      <c r="G8" s="36">
        <v>0</v>
      </c>
    </row>
    <row r="9" spans="1:7" x14ac:dyDescent="0.3">
      <c r="A9" s="16" t="s">
        <v>14</v>
      </c>
      <c r="B9" s="36">
        <v>3900000000000</v>
      </c>
      <c r="C9" s="36">
        <v>0</v>
      </c>
      <c r="D9" s="36">
        <v>0</v>
      </c>
      <c r="E9" s="36">
        <v>0</v>
      </c>
      <c r="F9" s="36">
        <v>318000000000</v>
      </c>
      <c r="G9" s="36">
        <v>0</v>
      </c>
    </row>
    <row r="10" spans="1:7" x14ac:dyDescent="0.3">
      <c r="A10" s="16" t="s">
        <v>15</v>
      </c>
      <c r="B10" s="36">
        <v>19000000000000</v>
      </c>
      <c r="C10" s="36">
        <v>318000000000</v>
      </c>
      <c r="D10" s="36">
        <v>0</v>
      </c>
      <c r="E10" s="36">
        <v>0</v>
      </c>
      <c r="F10" s="36">
        <v>60000000000000</v>
      </c>
      <c r="G10" s="36">
        <v>0</v>
      </c>
    </row>
    <row r="11" spans="1:7" x14ac:dyDescent="0.3">
      <c r="A11" s="16" t="s">
        <v>16</v>
      </c>
      <c r="B11" s="36">
        <v>0</v>
      </c>
      <c r="C11" s="36">
        <v>0</v>
      </c>
      <c r="D11" s="36">
        <v>0</v>
      </c>
      <c r="E11" s="36">
        <v>0</v>
      </c>
      <c r="F11" s="36">
        <v>0</v>
      </c>
      <c r="G11" s="36">
        <v>0</v>
      </c>
    </row>
    <row r="12" spans="1:7" x14ac:dyDescent="0.3">
      <c r="A12" s="16"/>
    </row>
    <row r="13" spans="1:7" x14ac:dyDescent="0.3">
      <c r="A13" s="16" t="s">
        <v>44</v>
      </c>
      <c r="B13" s="16" t="s">
        <v>37</v>
      </c>
      <c r="C13" s="16" t="s">
        <v>38</v>
      </c>
      <c r="D13" s="16" t="s">
        <v>39</v>
      </c>
      <c r="E13" s="16" t="s">
        <v>40</v>
      </c>
      <c r="F13" s="16" t="s">
        <v>41</v>
      </c>
      <c r="G13" s="16" t="s">
        <v>42</v>
      </c>
    </row>
    <row r="14" spans="1:7" x14ac:dyDescent="0.3">
      <c r="A14" s="16" t="s">
        <v>2</v>
      </c>
      <c r="B14" s="36">
        <v>16100000000000</v>
      </c>
      <c r="C14" s="36">
        <v>19800000000000</v>
      </c>
      <c r="D14" s="36">
        <v>0</v>
      </c>
      <c r="E14" s="36">
        <v>19800000000000</v>
      </c>
      <c r="F14" s="36">
        <v>165000000000000</v>
      </c>
      <c r="G14" s="36">
        <v>0</v>
      </c>
    </row>
    <row r="15" spans="1:7" x14ac:dyDescent="0.3">
      <c r="A15" s="16" t="s">
        <v>3</v>
      </c>
      <c r="B15" s="36">
        <v>10800000000000</v>
      </c>
      <c r="C15" s="36">
        <v>0</v>
      </c>
      <c r="D15" s="36">
        <v>0</v>
      </c>
      <c r="E15" s="36">
        <v>0</v>
      </c>
      <c r="F15" s="36">
        <v>0</v>
      </c>
      <c r="G15" s="36">
        <v>0</v>
      </c>
    </row>
    <row r="16" spans="1:7" x14ac:dyDescent="0.3">
      <c r="A16" s="16" t="s">
        <v>4</v>
      </c>
      <c r="B16" s="36">
        <v>322000000000000</v>
      </c>
      <c r="C16" s="36">
        <v>0</v>
      </c>
      <c r="D16" s="36">
        <v>0</v>
      </c>
      <c r="E16" s="36">
        <v>0</v>
      </c>
      <c r="F16" s="36">
        <v>67600000000000</v>
      </c>
      <c r="G16" s="36">
        <v>0</v>
      </c>
    </row>
    <row r="17" spans="1:7" x14ac:dyDescent="0.3">
      <c r="A17" s="16" t="s">
        <v>5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</row>
    <row r="18" spans="1:7" x14ac:dyDescent="0.3">
      <c r="A18" s="16" t="s">
        <v>7</v>
      </c>
      <c r="B18" s="36">
        <v>82900000000000</v>
      </c>
      <c r="C18" s="36">
        <v>0</v>
      </c>
      <c r="D18" s="36">
        <v>0</v>
      </c>
      <c r="E18" s="36">
        <v>0</v>
      </c>
      <c r="F18" s="36">
        <v>0</v>
      </c>
      <c r="G18" s="36">
        <v>0</v>
      </c>
    </row>
    <row r="19" spans="1:7" x14ac:dyDescent="0.3">
      <c r="A19" s="16" t="s">
        <v>11</v>
      </c>
      <c r="B19" s="36">
        <v>16300000000000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</row>
    <row r="20" spans="1:7" x14ac:dyDescent="0.3">
      <c r="A20" s="16" t="s">
        <v>13</v>
      </c>
      <c r="B20" s="36">
        <v>0</v>
      </c>
      <c r="C20" s="36">
        <v>0</v>
      </c>
      <c r="D20" s="36">
        <v>0</v>
      </c>
      <c r="E20" s="36">
        <v>0</v>
      </c>
      <c r="F20" s="36">
        <v>0</v>
      </c>
      <c r="G20" s="36">
        <v>0</v>
      </c>
    </row>
    <row r="21" spans="1:7" x14ac:dyDescent="0.3">
      <c r="A21" s="16" t="s">
        <v>14</v>
      </c>
      <c r="B21" s="36">
        <v>85200000000000</v>
      </c>
      <c r="C21" s="36">
        <v>0</v>
      </c>
      <c r="D21" s="36">
        <v>0</v>
      </c>
      <c r="E21" s="36">
        <v>0</v>
      </c>
      <c r="F21" s="36">
        <v>0</v>
      </c>
      <c r="G21" s="36">
        <v>0</v>
      </c>
    </row>
    <row r="22" spans="1:7" x14ac:dyDescent="0.3">
      <c r="A22" s="16" t="s">
        <v>15</v>
      </c>
      <c r="B22" s="36">
        <v>21400000000000</v>
      </c>
      <c r="C22" s="36">
        <v>0</v>
      </c>
      <c r="D22" s="36">
        <v>0</v>
      </c>
      <c r="E22" s="36">
        <v>0</v>
      </c>
      <c r="F22" s="36">
        <v>4490000000000</v>
      </c>
      <c r="G22" s="36">
        <v>0</v>
      </c>
    </row>
    <row r="23" spans="1:7" x14ac:dyDescent="0.3">
      <c r="A23" s="16" t="s">
        <v>16</v>
      </c>
      <c r="B23" s="36">
        <v>0</v>
      </c>
      <c r="C23" s="36">
        <v>0</v>
      </c>
      <c r="D23" s="36">
        <v>0</v>
      </c>
      <c r="E23" s="36">
        <v>0</v>
      </c>
      <c r="F23" s="36">
        <v>0</v>
      </c>
      <c r="G23" s="36">
        <v>0</v>
      </c>
    </row>
    <row r="25" spans="1:7" x14ac:dyDescent="0.3">
      <c r="A25" s="1" t="s">
        <v>47</v>
      </c>
      <c r="B25" s="15" t="s">
        <v>37</v>
      </c>
      <c r="C25" s="15" t="s">
        <v>38</v>
      </c>
      <c r="D25" s="15" t="s">
        <v>39</v>
      </c>
      <c r="E25" s="15" t="s">
        <v>40</v>
      </c>
      <c r="F25" s="15" t="s">
        <v>41</v>
      </c>
      <c r="G25" s="15" t="s">
        <v>42</v>
      </c>
    </row>
    <row r="26" spans="1:7" x14ac:dyDescent="0.3">
      <c r="A26" s="1" t="s">
        <v>2</v>
      </c>
      <c r="B26" s="36">
        <v>1440000000000</v>
      </c>
      <c r="C26" s="36">
        <v>1770000000000</v>
      </c>
      <c r="D26" s="36">
        <v>0</v>
      </c>
      <c r="E26" s="36">
        <v>1770000000000</v>
      </c>
      <c r="F26" s="36">
        <v>14700000000000</v>
      </c>
      <c r="G26" s="36">
        <v>0</v>
      </c>
    </row>
    <row r="27" spans="1:7" x14ac:dyDescent="0.3">
      <c r="A27" s="1" t="s">
        <v>3</v>
      </c>
      <c r="B27" s="36">
        <v>963000000000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</row>
    <row r="28" spans="1:7" x14ac:dyDescent="0.3">
      <c r="A28" s="1" t="s">
        <v>4</v>
      </c>
      <c r="B28" s="36">
        <v>28800000000000</v>
      </c>
      <c r="C28" s="36">
        <v>0</v>
      </c>
      <c r="D28" s="36">
        <v>0</v>
      </c>
      <c r="E28" s="36">
        <v>0</v>
      </c>
      <c r="F28" s="36">
        <v>6040000000000</v>
      </c>
      <c r="G28" s="36">
        <v>0</v>
      </c>
    </row>
    <row r="29" spans="1:7" x14ac:dyDescent="0.3">
      <c r="A29" s="1" t="s">
        <v>5</v>
      </c>
      <c r="B29" s="36">
        <v>0</v>
      </c>
      <c r="C29" s="36">
        <v>0</v>
      </c>
      <c r="D29" s="36">
        <v>0</v>
      </c>
      <c r="E29" s="36">
        <v>0</v>
      </c>
      <c r="F29" s="36">
        <v>0</v>
      </c>
      <c r="G29" s="36">
        <v>0</v>
      </c>
    </row>
    <row r="30" spans="1:7" x14ac:dyDescent="0.3">
      <c r="A30" s="1" t="s">
        <v>7</v>
      </c>
      <c r="B30" s="36">
        <v>7410000000000</v>
      </c>
      <c r="C30" s="36">
        <v>0</v>
      </c>
      <c r="D30" s="36">
        <v>0</v>
      </c>
      <c r="E30" s="36">
        <v>0</v>
      </c>
      <c r="F30" s="36">
        <v>0</v>
      </c>
      <c r="G30" s="36">
        <v>0</v>
      </c>
    </row>
    <row r="31" spans="1:7" x14ac:dyDescent="0.3">
      <c r="A31" s="1" t="s">
        <v>11</v>
      </c>
      <c r="B31" s="36">
        <v>1450000000000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</row>
    <row r="32" spans="1:7" x14ac:dyDescent="0.3">
      <c r="A32" s="1" t="s">
        <v>13</v>
      </c>
      <c r="B32" s="36">
        <v>0</v>
      </c>
      <c r="C32" s="36">
        <v>0</v>
      </c>
      <c r="D32" s="36">
        <v>0</v>
      </c>
      <c r="E32" s="36">
        <v>0</v>
      </c>
      <c r="F32" s="36">
        <v>0</v>
      </c>
      <c r="G32" s="36">
        <v>0</v>
      </c>
    </row>
    <row r="33" spans="1:7" x14ac:dyDescent="0.3">
      <c r="A33" s="1" t="s">
        <v>14</v>
      </c>
      <c r="B33" s="36">
        <v>7610000000000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</row>
    <row r="34" spans="1:7" x14ac:dyDescent="0.3">
      <c r="A34" s="1" t="s">
        <v>15</v>
      </c>
      <c r="B34" s="36">
        <v>1910000000000</v>
      </c>
      <c r="C34" s="36">
        <v>0</v>
      </c>
      <c r="D34" s="36">
        <v>0</v>
      </c>
      <c r="E34" s="36">
        <v>0</v>
      </c>
      <c r="F34" s="36">
        <v>401000000000</v>
      </c>
      <c r="G34" s="36">
        <v>0</v>
      </c>
    </row>
    <row r="35" spans="1:7" x14ac:dyDescent="0.3">
      <c r="A35" s="1" t="s">
        <v>16</v>
      </c>
      <c r="B35" s="36">
        <v>0</v>
      </c>
      <c r="C35" s="36">
        <v>0</v>
      </c>
      <c r="D35" s="36">
        <v>0</v>
      </c>
      <c r="E35" s="36">
        <v>0</v>
      </c>
      <c r="F35" s="36">
        <v>0</v>
      </c>
      <c r="G35" s="36">
        <v>0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C5634-8E37-4102-BD51-07591524D1A5}">
  <dimension ref="A1:O35"/>
  <sheetViews>
    <sheetView zoomScale="85" zoomScaleNormal="85" workbookViewId="0">
      <selection activeCell="J2" sqref="J2"/>
    </sheetView>
  </sheetViews>
  <sheetFormatPr defaultColWidth="14.625" defaultRowHeight="16.5" x14ac:dyDescent="0.3"/>
  <cols>
    <col min="1" max="1" width="30.25" bestFit="1" customWidth="1"/>
  </cols>
  <sheetData>
    <row r="1" spans="1:15" x14ac:dyDescent="0.3">
      <c r="A1" s="16" t="s">
        <v>43</v>
      </c>
      <c r="B1" s="16" t="s">
        <v>37</v>
      </c>
      <c r="C1" s="16" t="s">
        <v>38</v>
      </c>
      <c r="D1" s="16" t="s">
        <v>39</v>
      </c>
      <c r="E1" s="16" t="s">
        <v>40</v>
      </c>
      <c r="F1" s="16" t="s">
        <v>41</v>
      </c>
      <c r="G1" s="16" t="s">
        <v>42</v>
      </c>
      <c r="I1" s="16">
        <v>2020</v>
      </c>
      <c r="J1" s="16" t="s">
        <v>37</v>
      </c>
      <c r="K1" s="16" t="s">
        <v>38</v>
      </c>
      <c r="L1" s="16" t="s">
        <v>39</v>
      </c>
      <c r="M1" s="16" t="s">
        <v>40</v>
      </c>
      <c r="N1" s="16" t="s">
        <v>41</v>
      </c>
      <c r="O1" s="16" t="s">
        <v>42</v>
      </c>
    </row>
    <row r="2" spans="1:15" x14ac:dyDescent="0.3">
      <c r="A2" s="16" t="s">
        <v>2</v>
      </c>
      <c r="B2" s="2">
        <f>J2</f>
        <v>128085531122407</v>
      </c>
      <c r="C2" s="2">
        <f t="shared" ref="C2:C11" si="0">K2</f>
        <v>178932270756877.25</v>
      </c>
      <c r="D2" s="2">
        <f t="shared" ref="D2:D11" si="1">L2</f>
        <v>0</v>
      </c>
      <c r="E2" s="2">
        <f t="shared" ref="E2:E11" si="2">M2</f>
        <v>109852244589602.05</v>
      </c>
      <c r="F2" s="2">
        <f t="shared" ref="F2:F11" si="3">N2</f>
        <v>78959313632808.156</v>
      </c>
      <c r="G2" s="2">
        <f t="shared" ref="G2:G11" si="4">O2</f>
        <v>67518903420123.07</v>
      </c>
      <c r="I2" s="16" t="s">
        <v>107</v>
      </c>
      <c r="J2" s="2">
        <v>128085531122407</v>
      </c>
      <c r="K2" s="2">
        <v>178932270756877.25</v>
      </c>
      <c r="L2" s="2">
        <v>0</v>
      </c>
      <c r="M2" s="2">
        <v>109852244589602.05</v>
      </c>
      <c r="N2" s="2">
        <v>78959313632808.156</v>
      </c>
      <c r="O2" s="2">
        <v>67518903420123.07</v>
      </c>
    </row>
    <row r="3" spans="1:15" x14ac:dyDescent="0.3">
      <c r="A3" s="16" t="s">
        <v>3</v>
      </c>
      <c r="B3" s="2">
        <f t="shared" ref="B3:B11" si="5">J3</f>
        <v>0</v>
      </c>
      <c r="C3" s="2">
        <f t="shared" si="0"/>
        <v>0</v>
      </c>
      <c r="D3" s="2">
        <f t="shared" si="1"/>
        <v>0</v>
      </c>
      <c r="E3" s="2">
        <f t="shared" si="2"/>
        <v>0</v>
      </c>
      <c r="F3" s="2">
        <f t="shared" si="3"/>
        <v>0</v>
      </c>
      <c r="G3" s="2">
        <f t="shared" si="4"/>
        <v>0</v>
      </c>
      <c r="I3" s="16" t="s">
        <v>117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</row>
    <row r="4" spans="1:15" x14ac:dyDescent="0.3">
      <c r="A4" s="16" t="s">
        <v>4</v>
      </c>
      <c r="B4" s="2">
        <f t="shared" si="5"/>
        <v>58150486891512.766</v>
      </c>
      <c r="C4" s="2">
        <f t="shared" si="0"/>
        <v>19015685329482.852</v>
      </c>
      <c r="D4" s="2">
        <f t="shared" si="1"/>
        <v>0</v>
      </c>
      <c r="E4" s="2">
        <f t="shared" si="2"/>
        <v>0</v>
      </c>
      <c r="F4" s="2">
        <f t="shared" si="3"/>
        <v>67399361079004.43</v>
      </c>
      <c r="G4" s="2">
        <f t="shared" si="4"/>
        <v>0</v>
      </c>
      <c r="I4" s="16" t="s">
        <v>109</v>
      </c>
      <c r="J4" s="2">
        <v>58150486891512.766</v>
      </c>
      <c r="K4" s="2">
        <v>19015685329482.852</v>
      </c>
      <c r="L4" s="2">
        <v>0</v>
      </c>
      <c r="M4" s="2">
        <v>0</v>
      </c>
      <c r="N4" s="2">
        <v>67399361079004.43</v>
      </c>
      <c r="O4" s="2">
        <v>0</v>
      </c>
    </row>
    <row r="5" spans="1:15" x14ac:dyDescent="0.3">
      <c r="A5" s="16" t="s">
        <v>5</v>
      </c>
      <c r="B5" s="2">
        <f t="shared" si="5"/>
        <v>1635011946079.1394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>
        <f t="shared" si="3"/>
        <v>515140750134.52344</v>
      </c>
      <c r="G5" s="2">
        <f t="shared" si="4"/>
        <v>0</v>
      </c>
      <c r="I5" s="16" t="s">
        <v>118</v>
      </c>
      <c r="J5" s="2">
        <v>1635011946079.1394</v>
      </c>
      <c r="K5" s="2">
        <v>0</v>
      </c>
      <c r="L5" s="2">
        <v>0</v>
      </c>
      <c r="M5" s="2">
        <v>0</v>
      </c>
      <c r="N5" s="2">
        <v>515140750134.52344</v>
      </c>
      <c r="O5" s="2">
        <v>0</v>
      </c>
    </row>
    <row r="6" spans="1:15" x14ac:dyDescent="0.3">
      <c r="A6" s="16" t="s">
        <v>7</v>
      </c>
      <c r="B6" s="2">
        <f t="shared" si="5"/>
        <v>14511153872761.668</v>
      </c>
      <c r="C6" s="2">
        <f t="shared" si="0"/>
        <v>1719234027238.3359</v>
      </c>
      <c r="D6" s="2">
        <f t="shared" si="1"/>
        <v>0</v>
      </c>
      <c r="E6" s="2">
        <f t="shared" si="2"/>
        <v>0</v>
      </c>
      <c r="F6" s="2">
        <f t="shared" si="3"/>
        <v>0</v>
      </c>
      <c r="G6" s="2">
        <f t="shared" si="4"/>
        <v>0</v>
      </c>
      <c r="I6" s="16" t="s">
        <v>119</v>
      </c>
      <c r="J6" s="2">
        <v>14511153872761.668</v>
      </c>
      <c r="K6" s="2">
        <v>1719234027238.3359</v>
      </c>
      <c r="L6" s="2">
        <v>0</v>
      </c>
      <c r="M6" s="2">
        <v>0</v>
      </c>
      <c r="N6" s="2">
        <v>0</v>
      </c>
      <c r="O6" s="2">
        <v>0</v>
      </c>
    </row>
    <row r="7" spans="1:15" x14ac:dyDescent="0.3">
      <c r="A7" s="16" t="s">
        <v>11</v>
      </c>
      <c r="B7" s="2">
        <f t="shared" si="5"/>
        <v>45560446860313.336</v>
      </c>
      <c r="C7" s="2">
        <f t="shared" si="0"/>
        <v>222246082245.43088</v>
      </c>
      <c r="D7" s="2">
        <f t="shared" si="1"/>
        <v>0</v>
      </c>
      <c r="E7" s="2">
        <f t="shared" si="2"/>
        <v>3704101370757.1816</v>
      </c>
      <c r="F7" s="2">
        <f t="shared" si="3"/>
        <v>7111874631853.7881</v>
      </c>
      <c r="G7" s="2">
        <f t="shared" si="4"/>
        <v>148164054830.28726</v>
      </c>
      <c r="I7" s="16" t="s">
        <v>120</v>
      </c>
      <c r="J7" s="2">
        <v>45560446860313.336</v>
      </c>
      <c r="K7" s="2">
        <v>222246082245.43088</v>
      </c>
      <c r="L7" s="2">
        <v>0</v>
      </c>
      <c r="M7" s="2">
        <v>3704101370757.1816</v>
      </c>
      <c r="N7" s="2">
        <v>7111874631853.7881</v>
      </c>
      <c r="O7" s="2">
        <v>148164054830.28726</v>
      </c>
    </row>
    <row r="8" spans="1:15" x14ac:dyDescent="0.3">
      <c r="A8" s="16" t="s">
        <v>13</v>
      </c>
      <c r="B8" s="2">
        <f t="shared" si="5"/>
        <v>29616860228748.609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>
        <f t="shared" si="3"/>
        <v>3605985250941.6631</v>
      </c>
      <c r="G8" s="2">
        <f t="shared" si="4"/>
        <v>0</v>
      </c>
      <c r="I8" s="16" t="s">
        <v>113</v>
      </c>
      <c r="J8" s="2">
        <v>29616860228748.609</v>
      </c>
      <c r="K8" s="2">
        <v>0</v>
      </c>
      <c r="L8" s="2">
        <v>0</v>
      </c>
      <c r="M8" s="2">
        <v>0</v>
      </c>
      <c r="N8" s="2">
        <v>3605985250941.6631</v>
      </c>
      <c r="O8" s="2">
        <v>0</v>
      </c>
    </row>
    <row r="9" spans="1:15" x14ac:dyDescent="0.3">
      <c r="A9" s="16" t="s">
        <v>14</v>
      </c>
      <c r="B9" s="2">
        <f t="shared" si="5"/>
        <v>3658245906752.4121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>
        <f t="shared" si="3"/>
        <v>298632318918.56433</v>
      </c>
      <c r="G9" s="2">
        <f t="shared" si="4"/>
        <v>0</v>
      </c>
      <c r="I9" s="16" t="s">
        <v>121</v>
      </c>
      <c r="J9" s="2">
        <v>3658245906752.4121</v>
      </c>
      <c r="K9" s="2">
        <v>0</v>
      </c>
      <c r="L9" s="2">
        <v>0</v>
      </c>
      <c r="M9" s="2">
        <v>0</v>
      </c>
      <c r="N9" s="2">
        <v>298632318918.56433</v>
      </c>
      <c r="O9" s="2">
        <v>0</v>
      </c>
    </row>
    <row r="10" spans="1:15" x14ac:dyDescent="0.3">
      <c r="A10" s="16" t="s">
        <v>15</v>
      </c>
      <c r="B10" s="2">
        <f t="shared" si="5"/>
        <v>17835815247411.25</v>
      </c>
      <c r="C10" s="2">
        <f t="shared" si="0"/>
        <v>298632318918.56421</v>
      </c>
      <c r="D10" s="2">
        <f t="shared" si="1"/>
        <v>0</v>
      </c>
      <c r="E10" s="2">
        <f t="shared" si="2"/>
        <v>0</v>
      </c>
      <c r="F10" s="2">
        <f t="shared" si="3"/>
        <v>56307123732095.281</v>
      </c>
      <c r="G10" s="2">
        <f t="shared" si="4"/>
        <v>0</v>
      </c>
      <c r="I10" s="16" t="s">
        <v>115</v>
      </c>
      <c r="J10" s="2">
        <v>17835815247411.25</v>
      </c>
      <c r="K10" s="2">
        <v>298632318918.56421</v>
      </c>
      <c r="L10" s="2">
        <v>0</v>
      </c>
      <c r="M10" s="2">
        <v>0</v>
      </c>
      <c r="N10" s="2">
        <v>56307123732095.281</v>
      </c>
      <c r="O10" s="2">
        <v>0</v>
      </c>
    </row>
    <row r="11" spans="1:15" x14ac:dyDescent="0.3">
      <c r="A11" s="16" t="s">
        <v>16</v>
      </c>
      <c r="B11" s="2">
        <f t="shared" si="5"/>
        <v>0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>
        <f t="shared" si="3"/>
        <v>0</v>
      </c>
      <c r="G11" s="2">
        <f t="shared" si="4"/>
        <v>0</v>
      </c>
      <c r="I11" s="16" t="s">
        <v>116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</row>
    <row r="12" spans="1:15" x14ac:dyDescent="0.3">
      <c r="A12" s="16"/>
    </row>
    <row r="13" spans="1:15" x14ac:dyDescent="0.3">
      <c r="A13" s="16" t="s">
        <v>44</v>
      </c>
      <c r="B13" s="16" t="s">
        <v>37</v>
      </c>
      <c r="C13" s="16" t="s">
        <v>38</v>
      </c>
      <c r="D13" s="16" t="s">
        <v>39</v>
      </c>
      <c r="E13" s="16" t="s">
        <v>40</v>
      </c>
      <c r="F13" s="16" t="s">
        <v>41</v>
      </c>
      <c r="G13" s="16" t="s">
        <v>42</v>
      </c>
      <c r="I13" s="16" t="s">
        <v>106</v>
      </c>
      <c r="J13" s="16" t="s">
        <v>37</v>
      </c>
      <c r="K13" s="16" t="s">
        <v>38</v>
      </c>
      <c r="L13" s="16" t="s">
        <v>39</v>
      </c>
      <c r="M13" s="16" t="s">
        <v>40</v>
      </c>
      <c r="N13" s="16" t="s">
        <v>41</v>
      </c>
      <c r="O13" s="16" t="s">
        <v>42</v>
      </c>
    </row>
    <row r="14" spans="1:15" x14ac:dyDescent="0.3">
      <c r="A14" s="16" t="s">
        <v>2</v>
      </c>
      <c r="B14" s="2">
        <f>J14*About!$B$37</f>
        <v>16152737143772.865</v>
      </c>
      <c r="C14" s="2">
        <f>K14*About!$B$37</f>
        <v>19829823270841.098</v>
      </c>
      <c r="D14" s="2">
        <f>L14*About!$B$37</f>
        <v>0</v>
      </c>
      <c r="E14" s="2">
        <f>M14*About!$B$37</f>
        <v>19829823270841.098</v>
      </c>
      <c r="F14" s="2">
        <f>N14*About!$B$37</f>
        <v>164947876262544.94</v>
      </c>
      <c r="G14" s="2">
        <f>O14*About!$B$37</f>
        <v>0</v>
      </c>
      <c r="I14" s="16" t="s">
        <v>107</v>
      </c>
      <c r="J14" s="2">
        <v>17595574230689.395</v>
      </c>
      <c r="K14" s="2">
        <v>21601114674118.84</v>
      </c>
      <c r="L14" s="2"/>
      <c r="M14" s="2">
        <v>21601114674118.84</v>
      </c>
      <c r="N14" s="2">
        <v>179681782421072.91</v>
      </c>
      <c r="O14" s="2"/>
    </row>
    <row r="15" spans="1:15" x14ac:dyDescent="0.3">
      <c r="A15" s="16" t="s">
        <v>3</v>
      </c>
      <c r="B15" s="2">
        <f>J15*About!$B$37</f>
        <v>10491576710400.002</v>
      </c>
      <c r="C15" s="2">
        <f>K15*About!$B$37</f>
        <v>0</v>
      </c>
      <c r="D15" s="2">
        <f>L15*About!$B$37</f>
        <v>0</v>
      </c>
      <c r="E15" s="2">
        <f>M15*About!$B$37</f>
        <v>0</v>
      </c>
      <c r="F15" s="2">
        <f>N15*About!$B$37</f>
        <v>0</v>
      </c>
      <c r="G15" s="2">
        <f>O15*About!$B$37</f>
        <v>0</v>
      </c>
      <c r="I15" s="16" t="s">
        <v>108</v>
      </c>
      <c r="J15" s="2">
        <v>11428732800000.002</v>
      </c>
      <c r="K15" s="2"/>
      <c r="L15" s="2"/>
      <c r="M15" s="2"/>
      <c r="N15" s="2"/>
      <c r="O15" s="2"/>
    </row>
    <row r="16" spans="1:15" x14ac:dyDescent="0.3">
      <c r="A16" s="16" t="s">
        <v>4</v>
      </c>
      <c r="B16" s="2">
        <f>J16*About!$B$37</f>
        <v>311210457713401.94</v>
      </c>
      <c r="C16" s="2">
        <f>K16*About!$B$37</f>
        <v>0</v>
      </c>
      <c r="D16" s="2">
        <f>L16*About!$B$37</f>
        <v>0</v>
      </c>
      <c r="E16" s="2">
        <f>M16*About!$B$37</f>
        <v>0</v>
      </c>
      <c r="F16" s="2">
        <f>N16*About!$B$37</f>
        <v>65284144029598.063</v>
      </c>
      <c r="G16" s="2">
        <f>O16*About!$B$37</f>
        <v>0</v>
      </c>
      <c r="I16" s="16" t="s">
        <v>109</v>
      </c>
      <c r="J16" s="2">
        <v>339009213195426.94</v>
      </c>
      <c r="K16" s="2"/>
      <c r="L16" s="2"/>
      <c r="M16" s="2"/>
      <c r="N16" s="2">
        <v>71115625304573.047</v>
      </c>
      <c r="O16" s="2"/>
    </row>
    <row r="17" spans="1:15" x14ac:dyDescent="0.3">
      <c r="A17" s="16" t="s">
        <v>5</v>
      </c>
      <c r="B17" s="2">
        <f>J17*About!$B$37</f>
        <v>0</v>
      </c>
      <c r="C17" s="2">
        <f>K17*About!$B$37</f>
        <v>0</v>
      </c>
      <c r="D17" s="2">
        <f>L17*About!$B$37</f>
        <v>0</v>
      </c>
      <c r="E17" s="2">
        <f>M17*About!$B$37</f>
        <v>0</v>
      </c>
      <c r="F17" s="2">
        <f>N17*About!$B$37</f>
        <v>0</v>
      </c>
      <c r="G17" s="2">
        <f>O17*About!$B$37</f>
        <v>0</v>
      </c>
      <c r="I17" s="16" t="s">
        <v>110</v>
      </c>
      <c r="J17" s="2"/>
      <c r="K17" s="2"/>
      <c r="L17" s="2"/>
      <c r="M17" s="2"/>
      <c r="N17" s="2"/>
      <c r="O17" s="2"/>
    </row>
    <row r="18" spans="1:15" x14ac:dyDescent="0.3">
      <c r="A18" s="16" t="s">
        <v>7</v>
      </c>
      <c r="B18" s="2">
        <f>J18*About!$B$37</f>
        <v>79816126987800.016</v>
      </c>
      <c r="C18" s="2">
        <f>K18*About!$B$37</f>
        <v>0</v>
      </c>
      <c r="D18" s="2">
        <f>L18*About!$B$37</f>
        <v>0</v>
      </c>
      <c r="E18" s="2">
        <f>M18*About!$B$37</f>
        <v>0</v>
      </c>
      <c r="F18" s="2">
        <f>N18*About!$B$37</f>
        <v>0</v>
      </c>
      <c r="G18" s="2">
        <f>O18*About!$B$37</f>
        <v>0</v>
      </c>
      <c r="I18" s="16" t="s">
        <v>111</v>
      </c>
      <c r="J18" s="2">
        <v>86945672100000.016</v>
      </c>
      <c r="K18" s="2"/>
      <c r="L18" s="2"/>
      <c r="M18" s="2"/>
      <c r="N18" s="2"/>
      <c r="O18" s="2"/>
    </row>
    <row r="19" spans="1:15" x14ac:dyDescent="0.3">
      <c r="A19" s="16" t="s">
        <v>11</v>
      </c>
      <c r="B19" s="2">
        <f>J19*About!$B$37</f>
        <v>16720950382200</v>
      </c>
      <c r="C19" s="2">
        <f>K19*About!$B$37</f>
        <v>0</v>
      </c>
      <c r="D19" s="2">
        <f>L19*About!$B$37</f>
        <v>0</v>
      </c>
      <c r="E19" s="2">
        <f>M19*About!$B$37</f>
        <v>0</v>
      </c>
      <c r="F19" s="2">
        <f>N19*About!$B$37</f>
        <v>0</v>
      </c>
      <c r="G19" s="2">
        <f>O19*About!$B$37</f>
        <v>0</v>
      </c>
      <c r="I19" s="16" t="s">
        <v>112</v>
      </c>
      <c r="J19" s="2">
        <v>18214542900000</v>
      </c>
      <c r="K19" s="2"/>
      <c r="L19" s="2"/>
      <c r="M19" s="2"/>
      <c r="N19" s="2"/>
      <c r="O19" s="2"/>
    </row>
    <row r="20" spans="1:15" x14ac:dyDescent="0.3">
      <c r="A20" s="16" t="s">
        <v>13</v>
      </c>
      <c r="B20" s="2">
        <f>J20*About!$B$37</f>
        <v>0</v>
      </c>
      <c r="C20" s="2">
        <f>K20*About!$B$37</f>
        <v>0</v>
      </c>
      <c r="D20" s="2">
        <f>L20*About!$B$37</f>
        <v>0</v>
      </c>
      <c r="E20" s="2">
        <f>M20*About!$B$37</f>
        <v>0</v>
      </c>
      <c r="F20" s="2">
        <f>N20*About!$B$37</f>
        <v>0</v>
      </c>
      <c r="G20" s="2">
        <f>O20*About!$B$37</f>
        <v>0</v>
      </c>
      <c r="I20" s="16" t="s">
        <v>113</v>
      </c>
      <c r="J20" s="2"/>
      <c r="K20" s="2"/>
      <c r="L20" s="2"/>
      <c r="M20" s="2"/>
      <c r="N20" s="2"/>
      <c r="O20" s="2"/>
    </row>
    <row r="21" spans="1:15" x14ac:dyDescent="0.3">
      <c r="A21" s="16" t="s">
        <v>14</v>
      </c>
      <c r="B21" s="2">
        <f>J21*About!$B$37</f>
        <v>80367512748743.031</v>
      </c>
      <c r="C21" s="2">
        <f>K21*About!$B$37</f>
        <v>0</v>
      </c>
      <c r="D21" s="2">
        <f>L21*About!$B$37</f>
        <v>0</v>
      </c>
      <c r="E21" s="2">
        <f>M21*About!$B$37</f>
        <v>0</v>
      </c>
      <c r="F21" s="2">
        <f>N21*About!$B$37</f>
        <v>0</v>
      </c>
      <c r="G21" s="2">
        <f>O21*About!$B$37</f>
        <v>0</v>
      </c>
      <c r="I21" s="16" t="s">
        <v>114</v>
      </c>
      <c r="J21" s="2">
        <v>87546310183815.938</v>
      </c>
      <c r="K21" s="2"/>
      <c r="L21" s="2"/>
      <c r="M21" s="2"/>
      <c r="N21" s="2"/>
      <c r="O21" s="2"/>
    </row>
    <row r="22" spans="1:15" x14ac:dyDescent="0.3">
      <c r="A22" s="16" t="s">
        <v>15</v>
      </c>
      <c r="B22" s="2">
        <f>J22*About!$B$37</f>
        <v>20201251495655.078</v>
      </c>
      <c r="C22" s="2">
        <f>K22*About!$B$37</f>
        <v>0</v>
      </c>
      <c r="D22" s="2">
        <f>L22*About!$B$37</f>
        <v>0</v>
      </c>
      <c r="E22" s="2">
        <f>M22*About!$B$37</f>
        <v>0</v>
      </c>
      <c r="F22" s="2">
        <f>N22*About!$B$37</f>
        <v>4237715602201.9023</v>
      </c>
      <c r="G22" s="2">
        <f>O22*About!$B$37</f>
        <v>0</v>
      </c>
      <c r="I22" s="16" t="s">
        <v>115</v>
      </c>
      <c r="J22" s="2">
        <v>22005720583502.262</v>
      </c>
      <c r="K22" s="2"/>
      <c r="L22" s="2"/>
      <c r="M22" s="2"/>
      <c r="N22" s="2">
        <v>4616247932681.8105</v>
      </c>
      <c r="O22" s="2"/>
    </row>
    <row r="23" spans="1:15" x14ac:dyDescent="0.3">
      <c r="A23" s="16" t="s">
        <v>16</v>
      </c>
      <c r="B23" s="2">
        <f>J23*About!$B$37</f>
        <v>0</v>
      </c>
      <c r="C23" s="2">
        <f>K23*About!$B$37</f>
        <v>0</v>
      </c>
      <c r="D23" s="2">
        <f>L23*About!$B$37</f>
        <v>0</v>
      </c>
      <c r="E23" s="2">
        <f>M23*About!$B$37</f>
        <v>0</v>
      </c>
      <c r="F23" s="2">
        <f>N23*About!$B$37</f>
        <v>0</v>
      </c>
      <c r="G23" s="2">
        <f>O23*About!$B$37</f>
        <v>0</v>
      </c>
      <c r="I23" s="16" t="s">
        <v>116</v>
      </c>
      <c r="J23" s="2"/>
      <c r="K23" s="2"/>
      <c r="L23" s="2"/>
      <c r="M23" s="2"/>
      <c r="N23" s="2"/>
      <c r="O23" s="2"/>
    </row>
    <row r="25" spans="1:15" x14ac:dyDescent="0.3">
      <c r="A25" s="1" t="s">
        <v>47</v>
      </c>
      <c r="B25" s="15" t="s">
        <v>37</v>
      </c>
      <c r="C25" s="15" t="s">
        <v>38</v>
      </c>
      <c r="D25" s="15" t="s">
        <v>39</v>
      </c>
      <c r="E25" s="15" t="s">
        <v>40</v>
      </c>
      <c r="F25" s="15" t="s">
        <v>41</v>
      </c>
      <c r="G25" s="15" t="s">
        <v>42</v>
      </c>
    </row>
    <row r="26" spans="1:15" x14ac:dyDescent="0.3">
      <c r="A26" s="1" t="s">
        <v>2</v>
      </c>
      <c r="B26" s="2">
        <f>J14*(1-About!$B$37)</f>
        <v>1442837086916.5298</v>
      </c>
      <c r="C26" s="2">
        <f>K14*(1-About!$B$37)</f>
        <v>1771291403277.7441</v>
      </c>
      <c r="D26" s="2">
        <f>L14*(1-About!$B$37)</f>
        <v>0</v>
      </c>
      <c r="E26" s="2">
        <f>M14*(1-About!$B$37)</f>
        <v>1771291403277.7441</v>
      </c>
      <c r="F26" s="2">
        <f>N14*(1-About!$B$37)</f>
        <v>14733906158527.971</v>
      </c>
      <c r="G26" s="2">
        <f>O14*(1-About!$B$37)</f>
        <v>0</v>
      </c>
    </row>
    <row r="27" spans="1:15" x14ac:dyDescent="0.3">
      <c r="A27" s="1" t="s">
        <v>3</v>
      </c>
      <c r="B27" s="2">
        <f>J15*(1-About!$B$37)</f>
        <v>937156089599.99976</v>
      </c>
      <c r="C27" s="2">
        <f>K15*(1-About!$B$37)</f>
        <v>0</v>
      </c>
      <c r="D27" s="2">
        <f>L15*(1-About!$B$37)</f>
        <v>0</v>
      </c>
      <c r="E27" s="2">
        <f>M15*(1-About!$B$37)</f>
        <v>0</v>
      </c>
      <c r="F27" s="2">
        <f>N15*(1-About!$B$37)</f>
        <v>0</v>
      </c>
      <c r="G27" s="2">
        <f>O15*(1-About!$B$37)</f>
        <v>0</v>
      </c>
    </row>
    <row r="28" spans="1:15" x14ac:dyDescent="0.3">
      <c r="A28" s="1" t="s">
        <v>4</v>
      </c>
      <c r="B28" s="2">
        <f>J16*(1-About!$B$37)</f>
        <v>27798755482024.996</v>
      </c>
      <c r="C28" s="2">
        <f>K16*(1-About!$B$37)</f>
        <v>0</v>
      </c>
      <c r="D28" s="2">
        <f>L16*(1-About!$B$37)</f>
        <v>0</v>
      </c>
      <c r="E28" s="2">
        <f>M16*(1-About!$B$37)</f>
        <v>0</v>
      </c>
      <c r="F28" s="2">
        <f>N16*(1-About!$B$37)</f>
        <v>5831481274974.9873</v>
      </c>
      <c r="G28" s="2">
        <f>O16*(1-About!$B$37)</f>
        <v>0</v>
      </c>
    </row>
    <row r="29" spans="1:15" x14ac:dyDescent="0.3">
      <c r="A29" s="1" t="s">
        <v>5</v>
      </c>
      <c r="B29" s="2">
        <f>J17*(1-About!$B$37)</f>
        <v>0</v>
      </c>
      <c r="C29" s="2">
        <f>K17*(1-About!$B$37)</f>
        <v>0</v>
      </c>
      <c r="D29" s="2">
        <f>L17*(1-About!$B$37)</f>
        <v>0</v>
      </c>
      <c r="E29" s="2">
        <f>M17*(1-About!$B$37)</f>
        <v>0</v>
      </c>
      <c r="F29" s="2">
        <f>N17*(1-About!$B$37)</f>
        <v>0</v>
      </c>
      <c r="G29" s="2">
        <f>O17*(1-About!$B$37)</f>
        <v>0</v>
      </c>
    </row>
    <row r="30" spans="1:15" x14ac:dyDescent="0.3">
      <c r="A30" s="1" t="s">
        <v>7</v>
      </c>
      <c r="B30" s="2">
        <f>J18*(1-About!$B$37)</f>
        <v>7129545112199.998</v>
      </c>
      <c r="C30" s="2">
        <f>K18*(1-About!$B$37)</f>
        <v>0</v>
      </c>
      <c r="D30" s="2">
        <f>L18*(1-About!$B$37)</f>
        <v>0</v>
      </c>
      <c r="E30" s="2">
        <f>M18*(1-About!$B$37)</f>
        <v>0</v>
      </c>
      <c r="F30" s="2">
        <f>N18*(1-About!$B$37)</f>
        <v>0</v>
      </c>
      <c r="G30" s="2">
        <f>O18*(1-About!$B$37)</f>
        <v>0</v>
      </c>
    </row>
    <row r="31" spans="1:15" x14ac:dyDescent="0.3">
      <c r="A31" s="1" t="s">
        <v>11</v>
      </c>
      <c r="B31" s="2">
        <f>J19*(1-About!$B$37)</f>
        <v>1493592517799.9993</v>
      </c>
      <c r="C31" s="2">
        <f>K19*(1-About!$B$37)</f>
        <v>0</v>
      </c>
      <c r="D31" s="2">
        <f>L19*(1-About!$B$37)</f>
        <v>0</v>
      </c>
      <c r="E31" s="2">
        <f>M19*(1-About!$B$37)</f>
        <v>0</v>
      </c>
      <c r="F31" s="2">
        <f>N19*(1-About!$B$37)</f>
        <v>0</v>
      </c>
      <c r="G31" s="2">
        <f>O19*(1-About!$B$37)</f>
        <v>0</v>
      </c>
    </row>
    <row r="32" spans="1:15" x14ac:dyDescent="0.3">
      <c r="A32" s="1" t="s">
        <v>13</v>
      </c>
      <c r="B32" s="2">
        <f>J20*(1-About!$B$37)</f>
        <v>0</v>
      </c>
      <c r="C32" s="2">
        <f>K20*(1-About!$B$37)</f>
        <v>0</v>
      </c>
      <c r="D32" s="2">
        <f>L20*(1-About!$B$37)</f>
        <v>0</v>
      </c>
      <c r="E32" s="2">
        <f>M20*(1-About!$B$37)</f>
        <v>0</v>
      </c>
      <c r="F32" s="2">
        <f>N20*(1-About!$B$37)</f>
        <v>0</v>
      </c>
      <c r="G32" s="2">
        <f>O20*(1-About!$B$37)</f>
        <v>0</v>
      </c>
    </row>
    <row r="33" spans="1:7" x14ac:dyDescent="0.3">
      <c r="A33" s="1" t="s">
        <v>14</v>
      </c>
      <c r="B33" s="2">
        <f>J21*(1-About!$B$37)</f>
        <v>7178797435072.9033</v>
      </c>
      <c r="C33" s="2">
        <f>K21*(1-About!$B$37)</f>
        <v>0</v>
      </c>
      <c r="D33" s="2">
        <f>L21*(1-About!$B$37)</f>
        <v>0</v>
      </c>
      <c r="E33" s="2">
        <f>M21*(1-About!$B$37)</f>
        <v>0</v>
      </c>
      <c r="F33" s="2">
        <f>N21*(1-About!$B$37)</f>
        <v>0</v>
      </c>
      <c r="G33" s="2">
        <f>O21*(1-About!$B$37)</f>
        <v>0</v>
      </c>
    </row>
    <row r="34" spans="1:7" x14ac:dyDescent="0.3">
      <c r="A34" s="1" t="s">
        <v>15</v>
      </c>
      <c r="B34" s="2">
        <f>J22*(1-About!$B$37)</f>
        <v>1804469087847.1846</v>
      </c>
      <c r="C34" s="2">
        <f>K22*(1-About!$B$37)</f>
        <v>0</v>
      </c>
      <c r="D34" s="2">
        <f>L22*(1-About!$B$37)</f>
        <v>0</v>
      </c>
      <c r="E34" s="2">
        <f>M22*(1-About!$B$37)</f>
        <v>0</v>
      </c>
      <c r="F34" s="2">
        <f>N22*(1-About!$B$37)</f>
        <v>378532330479.90826</v>
      </c>
      <c r="G34" s="2">
        <f>O22*(1-About!$B$37)</f>
        <v>0</v>
      </c>
    </row>
    <row r="35" spans="1:7" x14ac:dyDescent="0.3">
      <c r="A35" s="1" t="s">
        <v>16</v>
      </c>
      <c r="B35" s="2">
        <f>J23*(1-About!$B$37)</f>
        <v>0</v>
      </c>
      <c r="C35" s="2">
        <f>K23*(1-About!$B$37)</f>
        <v>0</v>
      </c>
      <c r="D35" s="2">
        <f>L23*(1-About!$B$37)</f>
        <v>0</v>
      </c>
      <c r="E35" s="2">
        <f>M23*(1-About!$B$37)</f>
        <v>0</v>
      </c>
      <c r="F35" s="2">
        <f>N23*(1-About!$B$37)</f>
        <v>0</v>
      </c>
      <c r="G35" s="2">
        <f>O23*(1-About!$B$37)</f>
        <v>0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3329B-C745-41ED-9C35-7E1E1BEFFFDB}">
  <dimension ref="A1:O35"/>
  <sheetViews>
    <sheetView workbookViewId="0">
      <selection activeCell="K27" sqref="K27"/>
    </sheetView>
  </sheetViews>
  <sheetFormatPr defaultColWidth="11.875" defaultRowHeight="16.5" x14ac:dyDescent="0.3"/>
  <cols>
    <col min="1" max="1" width="30.25" bestFit="1" customWidth="1"/>
    <col min="9" max="9" width="11.875" style="16"/>
    <col min="10" max="15" width="13" bestFit="1" customWidth="1"/>
  </cols>
  <sheetData>
    <row r="1" spans="1:15" x14ac:dyDescent="0.3">
      <c r="A1" s="16" t="s">
        <v>43</v>
      </c>
      <c r="B1" s="16" t="s">
        <v>37</v>
      </c>
      <c r="C1" s="16" t="s">
        <v>38</v>
      </c>
      <c r="D1" s="16" t="s">
        <v>39</v>
      </c>
      <c r="E1" s="16" t="s">
        <v>40</v>
      </c>
      <c r="F1" s="16" t="s">
        <v>41</v>
      </c>
      <c r="G1" s="16" t="s">
        <v>42</v>
      </c>
      <c r="I1" s="16">
        <v>2021</v>
      </c>
      <c r="J1" s="16" t="s">
        <v>37</v>
      </c>
      <c r="K1" s="16" t="s">
        <v>38</v>
      </c>
      <c r="L1" s="16" t="s">
        <v>39</v>
      </c>
      <c r="M1" s="16" t="s">
        <v>40</v>
      </c>
      <c r="N1" s="16" t="s">
        <v>41</v>
      </c>
      <c r="O1" s="16" t="s">
        <v>42</v>
      </c>
    </row>
    <row r="2" spans="1:15" x14ac:dyDescent="0.3">
      <c r="A2" s="16" t="s">
        <v>2</v>
      </c>
      <c r="B2" s="2">
        <f>J2</f>
        <v>129221921053730.27</v>
      </c>
      <c r="C2" s="2">
        <f t="shared" ref="C2:G11" si="0">K2</f>
        <v>180518473873199.38</v>
      </c>
      <c r="D2" s="2">
        <f t="shared" si="0"/>
        <v>0</v>
      </c>
      <c r="E2" s="2">
        <f t="shared" si="0"/>
        <v>110827334647082.92</v>
      </c>
      <c r="F2" s="2">
        <f t="shared" si="0"/>
        <v>79661110893788.578</v>
      </c>
      <c r="G2" s="2">
        <f t="shared" si="0"/>
        <v>68119493654016.609</v>
      </c>
      <c r="I2" s="16" t="s">
        <v>107</v>
      </c>
      <c r="J2" s="2">
        <v>129221921053730.27</v>
      </c>
      <c r="K2" s="2">
        <v>180518473873199.38</v>
      </c>
      <c r="L2" s="2">
        <v>0</v>
      </c>
      <c r="M2" s="2">
        <v>110827334647082.92</v>
      </c>
      <c r="N2" s="2">
        <v>79661110893788.578</v>
      </c>
      <c r="O2" s="2">
        <v>68119493654016.609</v>
      </c>
    </row>
    <row r="3" spans="1:15" x14ac:dyDescent="0.3">
      <c r="A3" s="16" t="s">
        <v>3</v>
      </c>
      <c r="B3" s="2">
        <f t="shared" ref="B3:B11" si="1">J3</f>
        <v>0</v>
      </c>
      <c r="C3" s="2">
        <f t="shared" si="0"/>
        <v>0</v>
      </c>
      <c r="D3" s="2">
        <f t="shared" si="0"/>
        <v>0</v>
      </c>
      <c r="E3" s="2">
        <f t="shared" si="0"/>
        <v>0</v>
      </c>
      <c r="F3" s="2">
        <f t="shared" si="0"/>
        <v>0</v>
      </c>
      <c r="G3" s="2">
        <f t="shared" si="0"/>
        <v>0</v>
      </c>
      <c r="I3" s="16" t="s">
        <v>117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</row>
    <row r="4" spans="1:15" x14ac:dyDescent="0.3">
      <c r="A4" s="16" t="s">
        <v>4</v>
      </c>
      <c r="B4" s="2">
        <f t="shared" si="1"/>
        <v>57974902110890.578</v>
      </c>
      <c r="C4" s="2">
        <f t="shared" si="0"/>
        <v>18958267668592.289</v>
      </c>
      <c r="D4" s="2">
        <f t="shared" si="0"/>
        <v>0</v>
      </c>
      <c r="E4" s="2">
        <f t="shared" si="0"/>
        <v>0</v>
      </c>
      <c r="F4" s="2">
        <f t="shared" si="0"/>
        <v>67195849420517.18</v>
      </c>
      <c r="G4" s="2">
        <f t="shared" si="0"/>
        <v>0</v>
      </c>
      <c r="I4" s="16" t="s">
        <v>109</v>
      </c>
      <c r="J4" s="2">
        <v>57974902110890.578</v>
      </c>
      <c r="K4" s="2">
        <v>18958267668592.289</v>
      </c>
      <c r="L4" s="2">
        <v>0</v>
      </c>
      <c r="M4" s="2">
        <v>0</v>
      </c>
      <c r="N4" s="2">
        <v>67195849420517.18</v>
      </c>
      <c r="O4" s="2">
        <v>0</v>
      </c>
    </row>
    <row r="5" spans="1:15" x14ac:dyDescent="0.3">
      <c r="A5" s="16" t="s">
        <v>5</v>
      </c>
      <c r="B5" s="2">
        <f t="shared" si="1"/>
        <v>1609349044937.332</v>
      </c>
      <c r="C5" s="2">
        <f t="shared" si="0"/>
        <v>0</v>
      </c>
      <c r="D5" s="2">
        <f t="shared" si="0"/>
        <v>0</v>
      </c>
      <c r="E5" s="2">
        <f t="shared" si="0"/>
        <v>0</v>
      </c>
      <c r="F5" s="2">
        <f t="shared" si="0"/>
        <v>507055178541.89917</v>
      </c>
      <c r="G5" s="2">
        <f t="shared" si="0"/>
        <v>0</v>
      </c>
      <c r="I5" s="16" t="s">
        <v>118</v>
      </c>
      <c r="J5" s="2">
        <v>1609349044937.332</v>
      </c>
      <c r="K5" s="2">
        <v>0</v>
      </c>
      <c r="L5" s="2">
        <v>0</v>
      </c>
      <c r="M5" s="2">
        <v>0</v>
      </c>
      <c r="N5" s="2">
        <v>507055178541.89917</v>
      </c>
      <c r="O5" s="2">
        <v>0</v>
      </c>
    </row>
    <row r="6" spans="1:15" x14ac:dyDescent="0.3">
      <c r="A6" s="16" t="s">
        <v>7</v>
      </c>
      <c r="B6" s="2">
        <f t="shared" si="1"/>
        <v>14617592654224.467</v>
      </c>
      <c r="C6" s="2">
        <f t="shared" si="0"/>
        <v>1731844545775.5361</v>
      </c>
      <c r="D6" s="2">
        <f t="shared" si="0"/>
        <v>0</v>
      </c>
      <c r="E6" s="2">
        <f t="shared" si="0"/>
        <v>0</v>
      </c>
      <c r="F6" s="2">
        <f t="shared" si="0"/>
        <v>0</v>
      </c>
      <c r="G6" s="2">
        <f t="shared" si="0"/>
        <v>0</v>
      </c>
      <c r="I6" s="16" t="s">
        <v>119</v>
      </c>
      <c r="J6" s="2">
        <v>14617592654224.467</v>
      </c>
      <c r="K6" s="2">
        <v>1731844545775.5361</v>
      </c>
      <c r="L6" s="2">
        <v>0</v>
      </c>
      <c r="M6" s="2">
        <v>0</v>
      </c>
      <c r="N6" s="2">
        <v>0</v>
      </c>
      <c r="O6" s="2">
        <v>0</v>
      </c>
    </row>
    <row r="7" spans="1:15" x14ac:dyDescent="0.3">
      <c r="A7" s="16" t="s">
        <v>11</v>
      </c>
      <c r="B7" s="2">
        <f t="shared" si="1"/>
        <v>48873933904699.766</v>
      </c>
      <c r="C7" s="2">
        <f t="shared" si="0"/>
        <v>238409433681.46222</v>
      </c>
      <c r="D7" s="2">
        <f t="shared" si="0"/>
        <v>0</v>
      </c>
      <c r="E7" s="2">
        <f t="shared" si="0"/>
        <v>3973490561357.7036</v>
      </c>
      <c r="F7" s="2">
        <f t="shared" si="0"/>
        <v>7629101877806.791</v>
      </c>
      <c r="G7" s="2">
        <f t="shared" si="0"/>
        <v>158939622454.30817</v>
      </c>
      <c r="I7" s="16" t="s">
        <v>120</v>
      </c>
      <c r="J7" s="2">
        <v>48873933904699.766</v>
      </c>
      <c r="K7" s="2">
        <v>238409433681.46222</v>
      </c>
      <c r="L7" s="2">
        <v>0</v>
      </c>
      <c r="M7" s="2">
        <v>3973490561357.7036</v>
      </c>
      <c r="N7" s="2">
        <v>7629101877806.791</v>
      </c>
      <c r="O7" s="2">
        <v>158939622454.30817</v>
      </c>
    </row>
    <row r="8" spans="1:15" x14ac:dyDescent="0.3">
      <c r="A8" s="16" t="s">
        <v>13</v>
      </c>
      <c r="B8" s="2">
        <f t="shared" si="1"/>
        <v>29151998453271.219</v>
      </c>
      <c r="C8" s="2">
        <f t="shared" si="0"/>
        <v>0</v>
      </c>
      <c r="D8" s="2">
        <f t="shared" si="0"/>
        <v>0</v>
      </c>
      <c r="E8" s="2">
        <f t="shared" si="0"/>
        <v>0</v>
      </c>
      <c r="F8" s="2">
        <f t="shared" si="0"/>
        <v>3549386249793.2939</v>
      </c>
      <c r="G8" s="2">
        <f t="shared" si="0"/>
        <v>0</v>
      </c>
      <c r="I8" s="16" t="s">
        <v>113</v>
      </c>
      <c r="J8" s="2">
        <v>29151998453271.219</v>
      </c>
      <c r="K8" s="2">
        <v>0</v>
      </c>
      <c r="L8" s="2">
        <v>0</v>
      </c>
      <c r="M8" s="2">
        <v>0</v>
      </c>
      <c r="N8" s="2">
        <v>3549386249793.2939</v>
      </c>
      <c r="O8" s="2">
        <v>0</v>
      </c>
    </row>
    <row r="9" spans="1:15" x14ac:dyDescent="0.3">
      <c r="A9" s="16" t="s">
        <v>14</v>
      </c>
      <c r="B9" s="2">
        <f t="shared" si="1"/>
        <v>3600826630225.0806</v>
      </c>
      <c r="C9" s="2">
        <f t="shared" si="0"/>
        <v>0</v>
      </c>
      <c r="D9" s="2">
        <f t="shared" si="0"/>
        <v>0</v>
      </c>
      <c r="E9" s="2">
        <f t="shared" si="0"/>
        <v>0</v>
      </c>
      <c r="F9" s="2">
        <f t="shared" si="0"/>
        <v>293945031038.7821</v>
      </c>
      <c r="G9" s="2">
        <f t="shared" si="0"/>
        <v>0</v>
      </c>
      <c r="I9" s="16" t="s">
        <v>121</v>
      </c>
      <c r="J9" s="2">
        <v>3600826630225.0806</v>
      </c>
      <c r="K9" s="2">
        <v>0</v>
      </c>
      <c r="L9" s="2">
        <v>0</v>
      </c>
      <c r="M9" s="2">
        <v>0</v>
      </c>
      <c r="N9" s="2">
        <v>293945031038.7821</v>
      </c>
      <c r="O9" s="2">
        <v>0</v>
      </c>
    </row>
    <row r="10" spans="1:15" x14ac:dyDescent="0.3">
      <c r="A10" s="16" t="s">
        <v>15</v>
      </c>
      <c r="B10" s="2">
        <f t="shared" si="1"/>
        <v>17555866978791.26</v>
      </c>
      <c r="C10" s="2">
        <f t="shared" si="0"/>
        <v>293945031038.7821</v>
      </c>
      <c r="D10" s="2">
        <f t="shared" si="0"/>
        <v>0</v>
      </c>
      <c r="E10" s="2">
        <f t="shared" si="0"/>
        <v>0</v>
      </c>
      <c r="F10" s="2">
        <f t="shared" si="0"/>
        <v>55423335602362.352</v>
      </c>
      <c r="G10" s="2">
        <f t="shared" si="0"/>
        <v>0</v>
      </c>
      <c r="I10" s="16" t="s">
        <v>115</v>
      </c>
      <c r="J10" s="2">
        <v>17555866978791.26</v>
      </c>
      <c r="K10" s="2">
        <v>293945031038.7821</v>
      </c>
      <c r="L10" s="2">
        <v>0</v>
      </c>
      <c r="M10" s="2">
        <v>0</v>
      </c>
      <c r="N10" s="2">
        <v>55423335602362.352</v>
      </c>
      <c r="O10" s="2">
        <v>0</v>
      </c>
    </row>
    <row r="11" spans="1:15" x14ac:dyDescent="0.3">
      <c r="A11" s="16" t="s">
        <v>16</v>
      </c>
      <c r="B11" s="2">
        <f t="shared" si="1"/>
        <v>0</v>
      </c>
      <c r="C11" s="2">
        <f t="shared" si="0"/>
        <v>0</v>
      </c>
      <c r="D11" s="2">
        <f t="shared" si="0"/>
        <v>0</v>
      </c>
      <c r="E11" s="2">
        <f t="shared" si="0"/>
        <v>0</v>
      </c>
      <c r="F11" s="2">
        <f t="shared" si="0"/>
        <v>0</v>
      </c>
      <c r="G11" s="2">
        <f t="shared" si="0"/>
        <v>0</v>
      </c>
      <c r="I11" s="16" t="s">
        <v>116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</row>
    <row r="12" spans="1:15" x14ac:dyDescent="0.3">
      <c r="A12" s="16"/>
    </row>
    <row r="13" spans="1:15" x14ac:dyDescent="0.3">
      <c r="A13" s="16" t="s">
        <v>44</v>
      </c>
      <c r="B13" s="16" t="s">
        <v>37</v>
      </c>
      <c r="C13" s="16" t="s">
        <v>38</v>
      </c>
      <c r="D13" s="16" t="s">
        <v>39</v>
      </c>
      <c r="E13" s="16" t="s">
        <v>40</v>
      </c>
      <c r="F13" s="16" t="s">
        <v>41</v>
      </c>
      <c r="G13" s="16" t="s">
        <v>42</v>
      </c>
      <c r="I13" s="16" t="s">
        <v>122</v>
      </c>
      <c r="J13" s="16" t="s">
        <v>37</v>
      </c>
      <c r="K13" s="16" t="s">
        <v>38</v>
      </c>
      <c r="L13" s="16" t="s">
        <v>39</v>
      </c>
      <c r="M13" s="16" t="s">
        <v>40</v>
      </c>
      <c r="N13" s="16" t="s">
        <v>41</v>
      </c>
      <c r="O13" s="16" t="s">
        <v>42</v>
      </c>
    </row>
    <row r="14" spans="1:15" x14ac:dyDescent="0.3">
      <c r="A14" s="16" t="s">
        <v>2</v>
      </c>
      <c r="B14" s="2">
        <f>J14*About!$B$37</f>
        <v>17884694216042.055</v>
      </c>
      <c r="C14" s="2">
        <f>K14*About!$B$37</f>
        <v>21956051311951.871</v>
      </c>
      <c r="D14" s="2">
        <f>L14*About!$B$37</f>
        <v>0</v>
      </c>
      <c r="E14" s="2">
        <f>M14*About!$B$37</f>
        <v>21956051311951.871</v>
      </c>
      <c r="F14" s="2">
        <f>N14*About!$B$37</f>
        <v>182634206344306.56</v>
      </c>
      <c r="G14" s="2">
        <f>O14*About!$B$37</f>
        <v>0</v>
      </c>
      <c r="I14" s="16" t="s">
        <v>107</v>
      </c>
      <c r="J14" s="2">
        <v>19482237708106.813</v>
      </c>
      <c r="K14" s="2">
        <v>23917267224348.441</v>
      </c>
      <c r="L14" s="2">
        <v>0</v>
      </c>
      <c r="M14" s="2">
        <v>23917267224348.441</v>
      </c>
      <c r="N14" s="2">
        <v>198947937194233.72</v>
      </c>
      <c r="O14" s="2"/>
    </row>
    <row r="15" spans="1:15" x14ac:dyDescent="0.3">
      <c r="A15" s="16" t="s">
        <v>3</v>
      </c>
      <c r="B15" s="2">
        <f>J15*About!$B$37</f>
        <v>7212958988400</v>
      </c>
      <c r="C15" s="2">
        <f>K15*About!$B$37</f>
        <v>0</v>
      </c>
      <c r="D15" s="2">
        <f>L15*About!$B$37</f>
        <v>0</v>
      </c>
      <c r="E15" s="2">
        <f>M15*About!$B$37</f>
        <v>0</v>
      </c>
      <c r="F15" s="2">
        <f>N15*About!$B$37</f>
        <v>0</v>
      </c>
      <c r="G15" s="2">
        <f>O15*About!$B$37</f>
        <v>0</v>
      </c>
      <c r="I15" s="16" t="s">
        <v>108</v>
      </c>
      <c r="J15" s="2">
        <v>7857253800000</v>
      </c>
      <c r="K15" s="2"/>
      <c r="L15" s="2"/>
      <c r="M15" s="2"/>
      <c r="N15" s="2"/>
      <c r="O15" s="2"/>
    </row>
    <row r="16" spans="1:15" x14ac:dyDescent="0.3">
      <c r="A16" s="16" t="s">
        <v>4</v>
      </c>
      <c r="B16" s="2">
        <f>J16*About!$B$37</f>
        <v>326672624399992</v>
      </c>
      <c r="C16" s="2">
        <f>K16*About!$B$37</f>
        <v>0</v>
      </c>
      <c r="D16" s="2">
        <f>L16*About!$B$37</f>
        <v>0</v>
      </c>
      <c r="E16" s="2">
        <f>M16*About!$B$37</f>
        <v>0</v>
      </c>
      <c r="F16" s="2">
        <f>N16*About!$B$37</f>
        <v>68527718568814.211</v>
      </c>
      <c r="G16" s="2">
        <f>O16*About!$B$37</f>
        <v>0</v>
      </c>
      <c r="I16" s="16" t="s">
        <v>109</v>
      </c>
      <c r="J16" s="2">
        <v>355852532026135.06</v>
      </c>
      <c r="K16" s="2"/>
      <c r="L16" s="2"/>
      <c r="M16" s="2"/>
      <c r="N16" s="2">
        <v>74648930902847.719</v>
      </c>
      <c r="O16" s="2"/>
    </row>
    <row r="17" spans="1:15" x14ac:dyDescent="0.3">
      <c r="A17" s="16" t="s">
        <v>5</v>
      </c>
      <c r="B17" s="2">
        <f>J17*About!$B$37</f>
        <v>0</v>
      </c>
      <c r="C17" s="2">
        <f>K17*About!$B$37</f>
        <v>0</v>
      </c>
      <c r="D17" s="2">
        <f>L17*About!$B$37</f>
        <v>0</v>
      </c>
      <c r="E17" s="2">
        <f>M17*About!$B$37</f>
        <v>0</v>
      </c>
      <c r="F17" s="2">
        <f>N17*About!$B$37</f>
        <v>0</v>
      </c>
      <c r="G17" s="2">
        <f>O17*About!$B$37</f>
        <v>0</v>
      </c>
      <c r="I17" s="16" t="s">
        <v>110</v>
      </c>
      <c r="J17" s="2"/>
      <c r="K17" s="2"/>
      <c r="L17" s="2"/>
      <c r="M17" s="2"/>
      <c r="N17" s="2"/>
      <c r="O17" s="2"/>
    </row>
    <row r="18" spans="1:15" x14ac:dyDescent="0.3">
      <c r="A18" s="16" t="s">
        <v>7</v>
      </c>
      <c r="B18" s="2">
        <f>J18*About!$B$37</f>
        <v>87603886894891.609</v>
      </c>
      <c r="C18" s="2">
        <f>K18*About!$B$37</f>
        <v>0</v>
      </c>
      <c r="D18" s="2">
        <f>L18*About!$B$37</f>
        <v>0</v>
      </c>
      <c r="E18" s="2">
        <f>M18*About!$B$37</f>
        <v>0</v>
      </c>
      <c r="F18" s="2">
        <f>N18*About!$B$37</f>
        <v>0</v>
      </c>
      <c r="G18" s="2">
        <f>O18*About!$B$37</f>
        <v>0</v>
      </c>
      <c r="I18" s="16" t="s">
        <v>111</v>
      </c>
      <c r="J18" s="2">
        <v>95429070691603.063</v>
      </c>
      <c r="K18" s="2"/>
      <c r="L18" s="2"/>
      <c r="M18" s="2"/>
      <c r="N18" s="2"/>
      <c r="O18" s="2"/>
    </row>
    <row r="19" spans="1:15" x14ac:dyDescent="0.3">
      <c r="A19" s="16" t="s">
        <v>11</v>
      </c>
      <c r="B19" s="2">
        <f>J19*About!$B$37</f>
        <v>24431245585434.785</v>
      </c>
      <c r="C19" s="2">
        <f>K19*About!$B$37</f>
        <v>0</v>
      </c>
      <c r="D19" s="2">
        <f>L19*About!$B$37</f>
        <v>0</v>
      </c>
      <c r="E19" s="2">
        <f>M19*About!$B$37</f>
        <v>0</v>
      </c>
      <c r="F19" s="2">
        <f>N19*About!$B$37</f>
        <v>0</v>
      </c>
      <c r="G19" s="2">
        <f>O19*About!$B$37</f>
        <v>0</v>
      </c>
      <c r="I19" s="16" t="s">
        <v>112</v>
      </c>
      <c r="J19" s="2">
        <v>26613557282608.699</v>
      </c>
      <c r="K19" s="2"/>
      <c r="L19" s="2"/>
      <c r="M19" s="2"/>
      <c r="N19" s="2"/>
      <c r="O19" s="2"/>
    </row>
    <row r="20" spans="1:15" x14ac:dyDescent="0.3">
      <c r="A20" s="16" t="s">
        <v>13</v>
      </c>
      <c r="B20" s="2">
        <f>J20*About!$B$37</f>
        <v>0</v>
      </c>
      <c r="C20" s="2">
        <f>K20*About!$B$37</f>
        <v>0</v>
      </c>
      <c r="D20" s="2">
        <f>L20*About!$B$37</f>
        <v>0</v>
      </c>
      <c r="E20" s="2">
        <f>M20*About!$B$37</f>
        <v>0</v>
      </c>
      <c r="F20" s="2">
        <f>N20*About!$B$37</f>
        <v>0</v>
      </c>
      <c r="G20" s="2">
        <f>O20*About!$B$37</f>
        <v>0</v>
      </c>
      <c r="I20" s="16" t="s">
        <v>113</v>
      </c>
      <c r="J20" s="2"/>
      <c r="K20" s="2"/>
      <c r="L20" s="2"/>
      <c r="M20" s="2"/>
      <c r="N20" s="2"/>
      <c r="O20" s="2"/>
    </row>
    <row r="21" spans="1:15" x14ac:dyDescent="0.3">
      <c r="A21" s="16" t="s">
        <v>14</v>
      </c>
      <c r="B21" s="2">
        <f>J21*About!$B$37</f>
        <v>80221284272225.891</v>
      </c>
      <c r="C21" s="2">
        <f>K21*About!$B$37</f>
        <v>0</v>
      </c>
      <c r="D21" s="2">
        <f>L21*About!$B$37</f>
        <v>0</v>
      </c>
      <c r="E21" s="2">
        <f>M21*About!$B$37</f>
        <v>0</v>
      </c>
      <c r="F21" s="2">
        <f>N21*About!$B$37</f>
        <v>0</v>
      </c>
      <c r="G21" s="2">
        <f>O21*About!$B$37</f>
        <v>0</v>
      </c>
      <c r="I21" s="16" t="s">
        <v>114</v>
      </c>
      <c r="J21" s="2">
        <v>87387019904385.5</v>
      </c>
      <c r="K21" s="2"/>
      <c r="L21" s="2"/>
      <c r="M21" s="2"/>
      <c r="N21" s="2"/>
      <c r="O21" s="2"/>
    </row>
    <row r="22" spans="1:15" x14ac:dyDescent="0.3">
      <c r="A22" s="16" t="s">
        <v>15</v>
      </c>
      <c r="B22" s="2">
        <f>J22*About!$B$37</f>
        <v>20164495372080.805</v>
      </c>
      <c r="C22" s="2">
        <f>K22*About!$B$37</f>
        <v>0</v>
      </c>
      <c r="D22" s="2">
        <f>L22*About!$B$37</f>
        <v>0</v>
      </c>
      <c r="E22" s="2">
        <f>M22*About!$B$37</f>
        <v>0</v>
      </c>
      <c r="F22" s="2">
        <f>N22*About!$B$37</f>
        <v>4230005089891.2842</v>
      </c>
      <c r="G22" s="2">
        <f>O22*About!$B$37</f>
        <v>0</v>
      </c>
      <c r="I22" s="16" t="s">
        <v>115</v>
      </c>
      <c r="J22" s="2">
        <v>21965681233203.488</v>
      </c>
      <c r="K22" s="2"/>
      <c r="L22" s="2"/>
      <c r="M22" s="2"/>
      <c r="N22" s="2">
        <v>4607848681798.7842</v>
      </c>
      <c r="O22" s="2"/>
    </row>
    <row r="23" spans="1:15" x14ac:dyDescent="0.3">
      <c r="A23" s="16" t="s">
        <v>16</v>
      </c>
      <c r="B23" s="2">
        <f>J23*About!$B$37</f>
        <v>0</v>
      </c>
      <c r="C23" s="2">
        <f>K23*About!$B$37</f>
        <v>0</v>
      </c>
      <c r="D23" s="2">
        <f>L23*About!$B$37</f>
        <v>0</v>
      </c>
      <c r="E23" s="2">
        <f>M23*About!$B$37</f>
        <v>0</v>
      </c>
      <c r="F23" s="2">
        <f>N23*About!$B$37</f>
        <v>0</v>
      </c>
      <c r="G23" s="2">
        <f>O23*About!$B$37</f>
        <v>0</v>
      </c>
      <c r="I23" s="16" t="s">
        <v>116</v>
      </c>
      <c r="J23" s="2"/>
      <c r="K23" s="2"/>
      <c r="L23" s="2"/>
      <c r="M23" s="2"/>
      <c r="N23" s="2"/>
      <c r="O23" s="2"/>
    </row>
    <row r="24" spans="1:15" x14ac:dyDescent="0.3">
      <c r="I24"/>
    </row>
    <row r="25" spans="1:15" x14ac:dyDescent="0.3">
      <c r="A25" s="1" t="s">
        <v>47</v>
      </c>
      <c r="B25" s="15" t="s">
        <v>37</v>
      </c>
      <c r="C25" s="15" t="s">
        <v>38</v>
      </c>
      <c r="D25" s="15" t="s">
        <v>39</v>
      </c>
      <c r="E25" s="15" t="s">
        <v>40</v>
      </c>
      <c r="F25" s="15" t="s">
        <v>41</v>
      </c>
      <c r="G25" s="15" t="s">
        <v>42</v>
      </c>
      <c r="I25"/>
    </row>
    <row r="26" spans="1:15" x14ac:dyDescent="0.3">
      <c r="A26" s="1" t="s">
        <v>2</v>
      </c>
      <c r="B26" s="2">
        <f>J14*(1-About!$B$37)</f>
        <v>1597543492064.7578</v>
      </c>
      <c r="C26" s="2">
        <f>K14*(1-About!$B$37)</f>
        <v>1961215912396.5713</v>
      </c>
      <c r="D26" s="2">
        <f>L14*(1-About!$B$37)</f>
        <v>0</v>
      </c>
      <c r="E26" s="2">
        <f>M14*(1-About!$B$37)</f>
        <v>1961215912396.5713</v>
      </c>
      <c r="F26" s="2">
        <f>N14*(1-About!$B$37)</f>
        <v>16313730849927.158</v>
      </c>
      <c r="G26" s="2">
        <f>O14*(1-About!$B$37)</f>
        <v>0</v>
      </c>
      <c r="I26"/>
    </row>
    <row r="27" spans="1:15" x14ac:dyDescent="0.3">
      <c r="A27" s="1" t="s">
        <v>3</v>
      </c>
      <c r="B27" s="2">
        <f>J15*(1-About!$B$37)</f>
        <v>644294811599.99976</v>
      </c>
      <c r="C27" s="2">
        <f>K15*(1-About!$B$37)</f>
        <v>0</v>
      </c>
      <c r="D27" s="2">
        <f>L15*(1-About!$B$37)</f>
        <v>0</v>
      </c>
      <c r="E27" s="2">
        <f>M15*(1-About!$B$37)</f>
        <v>0</v>
      </c>
      <c r="F27" s="2">
        <f>N15*(1-About!$B$37)</f>
        <v>0</v>
      </c>
      <c r="G27" s="2">
        <f>O15*(1-About!$B$37)</f>
        <v>0</v>
      </c>
    </row>
    <row r="28" spans="1:15" x14ac:dyDescent="0.3">
      <c r="A28" s="1" t="s">
        <v>4</v>
      </c>
      <c r="B28" s="2">
        <f>J16*(1-About!$B$37)</f>
        <v>29179907626143.063</v>
      </c>
      <c r="C28" s="2">
        <f>K16*(1-About!$B$37)</f>
        <v>0</v>
      </c>
      <c r="D28" s="2">
        <f>L16*(1-About!$B$37)</f>
        <v>0</v>
      </c>
      <c r="E28" s="2">
        <f>M16*(1-About!$B$37)</f>
        <v>0</v>
      </c>
      <c r="F28" s="2">
        <f>N16*(1-About!$B$37)</f>
        <v>6121212334033.5098</v>
      </c>
      <c r="G28" s="2">
        <f>O16*(1-About!$B$37)</f>
        <v>0</v>
      </c>
    </row>
    <row r="29" spans="1:15" x14ac:dyDescent="0.3">
      <c r="A29" s="1" t="s">
        <v>5</v>
      </c>
      <c r="B29" s="2">
        <f>J17*(1-About!$B$37)</f>
        <v>0</v>
      </c>
      <c r="C29" s="2">
        <f>K17*(1-About!$B$37)</f>
        <v>0</v>
      </c>
      <c r="D29" s="2">
        <f>L17*(1-About!$B$37)</f>
        <v>0</v>
      </c>
      <c r="E29" s="2">
        <f>M17*(1-About!$B$37)</f>
        <v>0</v>
      </c>
      <c r="F29" s="2">
        <f>N17*(1-About!$B$37)</f>
        <v>0</v>
      </c>
      <c r="G29" s="2">
        <f>O17*(1-About!$B$37)</f>
        <v>0</v>
      </c>
    </row>
    <row r="30" spans="1:15" x14ac:dyDescent="0.3">
      <c r="A30" s="1" t="s">
        <v>7</v>
      </c>
      <c r="B30" s="2">
        <f>J18*(1-About!$B$37)</f>
        <v>7825183796711.4473</v>
      </c>
      <c r="C30" s="2">
        <f>K18*(1-About!$B$37)</f>
        <v>0</v>
      </c>
      <c r="D30" s="2">
        <f>L18*(1-About!$B$37)</f>
        <v>0</v>
      </c>
      <c r="E30" s="2">
        <f>M18*(1-About!$B$37)</f>
        <v>0</v>
      </c>
      <c r="F30" s="2">
        <f>N18*(1-About!$B$37)</f>
        <v>0</v>
      </c>
      <c r="G30" s="2">
        <f>O18*(1-About!$B$37)</f>
        <v>0</v>
      </c>
    </row>
    <row r="31" spans="1:15" x14ac:dyDescent="0.3">
      <c r="A31" s="1" t="s">
        <v>11</v>
      </c>
      <c r="B31" s="2">
        <f>J19*(1-About!$B$37)</f>
        <v>2182311697173.9124</v>
      </c>
      <c r="C31" s="2">
        <f>K19*(1-About!$B$37)</f>
        <v>0</v>
      </c>
      <c r="D31" s="2">
        <f>L19*(1-About!$B$37)</f>
        <v>0</v>
      </c>
      <c r="E31" s="2">
        <f>M19*(1-About!$B$37)</f>
        <v>0</v>
      </c>
      <c r="F31" s="2">
        <f>N19*(1-About!$B$37)</f>
        <v>0</v>
      </c>
      <c r="G31" s="2">
        <f>O19*(1-About!$B$37)</f>
        <v>0</v>
      </c>
    </row>
    <row r="32" spans="1:15" x14ac:dyDescent="0.3">
      <c r="A32" s="1" t="s">
        <v>13</v>
      </c>
      <c r="B32" s="2">
        <f>J20*(1-About!$B$37)</f>
        <v>0</v>
      </c>
      <c r="C32" s="2">
        <f>K20*(1-About!$B$37)</f>
        <v>0</v>
      </c>
      <c r="D32" s="2">
        <f>L20*(1-About!$B$37)</f>
        <v>0</v>
      </c>
      <c r="E32" s="2">
        <f>M20*(1-About!$B$37)</f>
        <v>0</v>
      </c>
      <c r="F32" s="2">
        <f>N20*(1-About!$B$37)</f>
        <v>0</v>
      </c>
      <c r="G32" s="2">
        <f>O20*(1-About!$B$37)</f>
        <v>0</v>
      </c>
    </row>
    <row r="33" spans="1:7" x14ac:dyDescent="0.3">
      <c r="A33" s="1" t="s">
        <v>14</v>
      </c>
      <c r="B33" s="2">
        <f>J21*(1-About!$B$37)</f>
        <v>7165735632159.6074</v>
      </c>
      <c r="C33" s="2">
        <f>K21*(1-About!$B$37)</f>
        <v>0</v>
      </c>
      <c r="D33" s="2">
        <f>L21*(1-About!$B$37)</f>
        <v>0</v>
      </c>
      <c r="E33" s="2">
        <f>M21*(1-About!$B$37)</f>
        <v>0</v>
      </c>
      <c r="F33" s="2">
        <f>N21*(1-About!$B$37)</f>
        <v>0</v>
      </c>
      <c r="G33" s="2">
        <f>O21*(1-About!$B$37)</f>
        <v>0</v>
      </c>
    </row>
    <row r="34" spans="1:7" x14ac:dyDescent="0.3">
      <c r="A34" s="1" t="s">
        <v>15</v>
      </c>
      <c r="B34" s="2">
        <f>J22*(1-About!$B$37)</f>
        <v>1801185861122.6853</v>
      </c>
      <c r="C34" s="2">
        <f>K22*(1-About!$B$37)</f>
        <v>0</v>
      </c>
      <c r="D34" s="2">
        <f>L22*(1-About!$B$37)</f>
        <v>0</v>
      </c>
      <c r="E34" s="2">
        <f>M22*(1-About!$B$37)</f>
        <v>0</v>
      </c>
      <c r="F34" s="2">
        <f>N22*(1-About!$B$37)</f>
        <v>377843591907.50012</v>
      </c>
      <c r="G34" s="2">
        <f>O22*(1-About!$B$37)</f>
        <v>0</v>
      </c>
    </row>
    <row r="35" spans="1:7" x14ac:dyDescent="0.3">
      <c r="A35" s="1" t="s">
        <v>16</v>
      </c>
      <c r="B35" s="2">
        <f>J23*(1-About!$B$37)</f>
        <v>0</v>
      </c>
      <c r="C35" s="2">
        <f>K23*(1-About!$B$37)</f>
        <v>0</v>
      </c>
      <c r="D35" s="2">
        <f>L23*(1-About!$B$37)</f>
        <v>0</v>
      </c>
      <c r="E35" s="2">
        <f>M23*(1-About!$B$37)</f>
        <v>0</v>
      </c>
      <c r="F35" s="2">
        <f>N23*(1-About!$B$37)</f>
        <v>0</v>
      </c>
      <c r="G35" s="2">
        <f>O23*(1-About!$B$37)</f>
        <v>0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FF0D5-CCA6-41D0-9ADB-4D3C10D15974}">
  <dimension ref="A2:F32"/>
  <sheetViews>
    <sheetView workbookViewId="0">
      <selection activeCell="B20" sqref="B20"/>
    </sheetView>
  </sheetViews>
  <sheetFormatPr defaultRowHeight="16.5" x14ac:dyDescent="0.3"/>
  <cols>
    <col min="1" max="1" width="33" bestFit="1" customWidth="1"/>
    <col min="2" max="2" width="65.875" bestFit="1" customWidth="1"/>
  </cols>
  <sheetData>
    <row r="2" spans="1:2" x14ac:dyDescent="0.3">
      <c r="A2" t="s">
        <v>127</v>
      </c>
      <c r="B2" t="s">
        <v>126</v>
      </c>
    </row>
    <row r="3" spans="1:2" x14ac:dyDescent="0.3">
      <c r="A3" s="16" t="s">
        <v>2</v>
      </c>
      <c r="B3" s="37">
        <v>6.0000000000000001E-3</v>
      </c>
    </row>
    <row r="4" spans="1:2" x14ac:dyDescent="0.3">
      <c r="A4" s="16" t="s">
        <v>3</v>
      </c>
      <c r="B4" s="37">
        <v>-0.126</v>
      </c>
    </row>
    <row r="5" spans="1:2" x14ac:dyDescent="0.3">
      <c r="A5" s="16" t="s">
        <v>4</v>
      </c>
      <c r="B5" s="37">
        <v>-8.0000000000000002E-3</v>
      </c>
    </row>
    <row r="6" spans="1:2" x14ac:dyDescent="0.3">
      <c r="A6" s="16" t="s">
        <v>5</v>
      </c>
      <c r="B6" s="37">
        <v>-4.2000000000000003E-2</v>
      </c>
    </row>
    <row r="7" spans="1:2" x14ac:dyDescent="0.3">
      <c r="A7" s="16" t="s">
        <v>7</v>
      </c>
      <c r="B7" s="37">
        <v>-1E-3</v>
      </c>
    </row>
    <row r="8" spans="1:2" x14ac:dyDescent="0.3">
      <c r="A8" s="16" t="s">
        <v>11</v>
      </c>
      <c r="B8" s="37">
        <v>6.0000000000000001E-3</v>
      </c>
    </row>
    <row r="9" spans="1:2" x14ac:dyDescent="0.3">
      <c r="A9" s="16" t="s">
        <v>13</v>
      </c>
      <c r="B9" s="37">
        <v>-4.2000000000000003E-2</v>
      </c>
    </row>
    <row r="10" spans="1:2" x14ac:dyDescent="0.3">
      <c r="A10" s="16" t="s">
        <v>14</v>
      </c>
      <c r="B10" s="37">
        <v>-4.2000000000000003E-2</v>
      </c>
    </row>
    <row r="11" spans="1:2" x14ac:dyDescent="0.3">
      <c r="A11" s="16" t="s">
        <v>15</v>
      </c>
      <c r="B11" s="37">
        <v>-4.2000000000000003E-2</v>
      </c>
    </row>
    <row r="12" spans="1:2" x14ac:dyDescent="0.3">
      <c r="A12" s="16" t="s">
        <v>16</v>
      </c>
      <c r="B12" s="37">
        <v>6.0000000000000001E-3</v>
      </c>
    </row>
    <row r="14" spans="1:2" x14ac:dyDescent="0.3">
      <c r="A14" t="s">
        <v>127</v>
      </c>
      <c r="B14" s="17" t="s">
        <v>128</v>
      </c>
    </row>
    <row r="15" spans="1:2" x14ac:dyDescent="0.3">
      <c r="A15" s="16" t="s">
        <v>37</v>
      </c>
      <c r="B15" s="37">
        <v>-0.01</v>
      </c>
    </row>
    <row r="16" spans="1:2" x14ac:dyDescent="0.3">
      <c r="A16" s="16" t="s">
        <v>38</v>
      </c>
      <c r="B16" s="37">
        <v>2.5000000000000001E-2</v>
      </c>
    </row>
    <row r="17" spans="1:6" x14ac:dyDescent="0.3">
      <c r="A17" s="16" t="s">
        <v>39</v>
      </c>
      <c r="B17" s="4">
        <v>0</v>
      </c>
    </row>
    <row r="18" spans="1:6" x14ac:dyDescent="0.3">
      <c r="A18" s="16" t="s">
        <v>40</v>
      </c>
      <c r="B18" s="37">
        <v>-6.0000000000000001E-3</v>
      </c>
    </row>
    <row r="19" spans="1:6" x14ac:dyDescent="0.3">
      <c r="A19" s="16" t="s">
        <v>41</v>
      </c>
      <c r="B19" s="37">
        <v>7.0000000000000001E-3</v>
      </c>
    </row>
    <row r="20" spans="1:6" x14ac:dyDescent="0.3">
      <c r="A20" s="16" t="s">
        <v>42</v>
      </c>
      <c r="B20" s="37">
        <v>-1.4E-2</v>
      </c>
    </row>
    <row r="22" spans="1:6" x14ac:dyDescent="0.3">
      <c r="A22" t="s">
        <v>49</v>
      </c>
      <c r="B22" t="s">
        <v>129</v>
      </c>
    </row>
    <row r="23" spans="1:6" x14ac:dyDescent="0.3">
      <c r="A23" s="16" t="s">
        <v>2</v>
      </c>
      <c r="B23" s="37">
        <v>8.0000000000000002E-3</v>
      </c>
    </row>
    <row r="24" spans="1:6" x14ac:dyDescent="0.3">
      <c r="A24" s="16" t="s">
        <v>3</v>
      </c>
      <c r="B24" s="4">
        <v>-8.6999999999999994E-2</v>
      </c>
      <c r="C24" t="s">
        <v>50</v>
      </c>
      <c r="F24" t="s">
        <v>125</v>
      </c>
    </row>
    <row r="25" spans="1:6" x14ac:dyDescent="0.3">
      <c r="A25" s="16" t="s">
        <v>4</v>
      </c>
      <c r="B25" s="37">
        <v>0.02</v>
      </c>
    </row>
    <row r="26" spans="1:6" x14ac:dyDescent="0.3">
      <c r="A26" s="16" t="s">
        <v>5</v>
      </c>
      <c r="B26" s="37">
        <v>-4.8000000000000001E-2</v>
      </c>
    </row>
    <row r="27" spans="1:6" x14ac:dyDescent="0.3">
      <c r="A27" s="16" t="s">
        <v>7</v>
      </c>
      <c r="B27" s="37">
        <v>1.7999999999999999E-2</v>
      </c>
    </row>
    <row r="28" spans="1:6" x14ac:dyDescent="0.3">
      <c r="A28" s="16" t="s">
        <v>11</v>
      </c>
      <c r="B28" s="37">
        <v>4.4999999999999998E-2</v>
      </c>
    </row>
    <row r="29" spans="1:6" x14ac:dyDescent="0.3">
      <c r="A29" s="16" t="s">
        <v>13</v>
      </c>
      <c r="B29" s="37">
        <v>-4.8000000000000001E-2</v>
      </c>
    </row>
    <row r="30" spans="1:6" x14ac:dyDescent="0.3">
      <c r="A30" s="16" t="s">
        <v>14</v>
      </c>
      <c r="B30" s="37">
        <v>-4.8000000000000001E-2</v>
      </c>
    </row>
    <row r="31" spans="1:6" x14ac:dyDescent="0.3">
      <c r="A31" s="16" t="s">
        <v>15</v>
      </c>
      <c r="B31" s="37">
        <v>-4.8000000000000001E-2</v>
      </c>
    </row>
    <row r="32" spans="1:6" x14ac:dyDescent="0.3">
      <c r="A32" s="16" t="s">
        <v>16</v>
      </c>
      <c r="B32" s="37">
        <v>4.4999999999999998E-2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EACEB-8E8C-4A24-B652-74E6055FDD6D}">
  <dimension ref="A1:J42"/>
  <sheetViews>
    <sheetView workbookViewId="0">
      <selection activeCell="B6" sqref="B6"/>
    </sheetView>
  </sheetViews>
  <sheetFormatPr defaultRowHeight="16.5" x14ac:dyDescent="0.3"/>
  <cols>
    <col min="1" max="1" width="30.25" bestFit="1" customWidth="1"/>
    <col min="2" max="2" width="8.75" bestFit="1" customWidth="1"/>
    <col min="3" max="3" width="20.75" bestFit="1" customWidth="1"/>
    <col min="4" max="4" width="9.25" bestFit="1" customWidth="1"/>
    <col min="5" max="5" width="8.75" bestFit="1" customWidth="1"/>
    <col min="6" max="6" width="10.625" bestFit="1" customWidth="1"/>
    <col min="7" max="7" width="8.75" bestFit="1" customWidth="1"/>
  </cols>
  <sheetData>
    <row r="1" spans="1:10" x14ac:dyDescent="0.3">
      <c r="A1" s="16" t="s">
        <v>43</v>
      </c>
      <c r="B1" s="16" t="s">
        <v>37</v>
      </c>
      <c r="C1" s="16" t="s">
        <v>38</v>
      </c>
      <c r="D1" s="16" t="s">
        <v>39</v>
      </c>
      <c r="E1" s="16" t="s">
        <v>40</v>
      </c>
      <c r="F1" s="16" t="s">
        <v>41</v>
      </c>
      <c r="G1" s="16" t="s">
        <v>42</v>
      </c>
      <c r="I1" s="16" t="s">
        <v>51</v>
      </c>
      <c r="J1" s="16" t="s">
        <v>52</v>
      </c>
    </row>
    <row r="2" spans="1:10" x14ac:dyDescent="0.3">
      <c r="A2" s="16" t="s">
        <v>2</v>
      </c>
      <c r="B2" s="2">
        <f>Commercial_calculation!W4</f>
        <v>150344070080643.06</v>
      </c>
      <c r="C2" s="2">
        <f>Commercial_calculation!W16</f>
        <v>210025372363550.44</v>
      </c>
      <c r="D2" s="2">
        <f>Commercial_calculation!W28</f>
        <v>0</v>
      </c>
      <c r="E2" s="2">
        <f>Commercial_calculation!W40</f>
        <v>128942770941346.61</v>
      </c>
      <c r="F2" s="2">
        <f>Commercial_calculation!W52</f>
        <v>92682228690423.094</v>
      </c>
      <c r="G2" s="2">
        <f>Commercial_calculation!W64</f>
        <v>79254060334848.688</v>
      </c>
      <c r="I2" s="2">
        <f t="shared" ref="I2:I11" si="0">SUM(B2:G2)</f>
        <v>661248502410812</v>
      </c>
      <c r="J2" s="18">
        <f>I2/10^6/About!$B$30/10^6</f>
        <v>16.663226975987563</v>
      </c>
    </row>
    <row r="3" spans="1:10" x14ac:dyDescent="0.3">
      <c r="A3" s="16" t="s">
        <v>3</v>
      </c>
      <c r="B3" s="2">
        <f>Commercial_calculation!W5</f>
        <v>0</v>
      </c>
      <c r="C3" s="2">
        <f>Commercial_calculation!W17</f>
        <v>0</v>
      </c>
      <c r="D3" s="2">
        <f>Commercial_calculation!W29</f>
        <v>0</v>
      </c>
      <c r="E3" s="2">
        <f>Commercial_calculation!W41</f>
        <v>0</v>
      </c>
      <c r="F3" s="2">
        <f>Commercial_calculation!W53</f>
        <v>0</v>
      </c>
      <c r="G3" s="2">
        <f>Commercial_calculation!W65</f>
        <v>0</v>
      </c>
      <c r="I3" s="2">
        <f t="shared" si="0"/>
        <v>0</v>
      </c>
      <c r="J3" s="18">
        <f>I3/10^6/About!$B$30/10^6</f>
        <v>0</v>
      </c>
    </row>
    <row r="4" spans="1:10" x14ac:dyDescent="0.3">
      <c r="A4" s="16" t="s">
        <v>4</v>
      </c>
      <c r="B4" s="2">
        <f>Commercial_calculation!W6</f>
        <v>84458485121350.875</v>
      </c>
      <c r="C4" s="2">
        <f>Commercial_calculation!W18</f>
        <v>27618616151377.789</v>
      </c>
      <c r="D4" s="2">
        <f>Commercial_calculation!W30</f>
        <v>0</v>
      </c>
      <c r="E4" s="2">
        <f>Commercial_calculation!W42</f>
        <v>0</v>
      </c>
      <c r="F4" s="2">
        <f>Commercial_calculation!W54</f>
        <v>97891664183305.063</v>
      </c>
      <c r="G4" s="2">
        <f>Commercial_calculation!W66</f>
        <v>0</v>
      </c>
      <c r="I4" s="2">
        <f t="shared" si="0"/>
        <v>209968765456033.72</v>
      </c>
      <c r="J4" s="18">
        <f>I4/10^6/About!$B$30/10^6</f>
        <v>5.291138178620967</v>
      </c>
    </row>
    <row r="5" spans="1:10" x14ac:dyDescent="0.3">
      <c r="A5" s="16" t="s">
        <v>5</v>
      </c>
      <c r="B5" s="2">
        <f>Commercial_calculation!W7</f>
        <v>632051208315.31091</v>
      </c>
      <c r="C5" s="2">
        <f>Commercial_calculation!W19</f>
        <v>0</v>
      </c>
      <c r="D5" s="2">
        <f>Commercial_calculation!W31</f>
        <v>0</v>
      </c>
      <c r="E5" s="2">
        <f>Commercial_calculation!W43</f>
        <v>0</v>
      </c>
      <c r="F5" s="2">
        <f>Commercial_calculation!W55</f>
        <v>199139421797.9747</v>
      </c>
      <c r="G5" s="2">
        <f>Commercial_calculation!W67</f>
        <v>0</v>
      </c>
      <c r="I5" s="2">
        <f t="shared" si="0"/>
        <v>831190630113.28564</v>
      </c>
      <c r="J5" s="18">
        <f>I5/10^6/About!$B$30/10^6</f>
        <v>2.0945708125456066E-2</v>
      </c>
    </row>
    <row r="6" spans="1:10" x14ac:dyDescent="0.3">
      <c r="A6" s="16" t="s">
        <v>7</v>
      </c>
      <c r="B6" s="2">
        <f>Commercial_calculation!W8</f>
        <v>20515572339020.758</v>
      </c>
      <c r="C6" s="2">
        <f>Commercial_calculation!W20</f>
        <v>2430617879376.2261</v>
      </c>
      <c r="D6" s="2">
        <f>Commercial_calculation!W32</f>
        <v>0</v>
      </c>
      <c r="E6" s="2">
        <f>Commercial_calculation!W44</f>
        <v>0</v>
      </c>
      <c r="F6" s="2">
        <f>Commercial_calculation!W56</f>
        <v>0</v>
      </c>
      <c r="G6" s="2">
        <f>Commercial_calculation!W68</f>
        <v>0</v>
      </c>
      <c r="I6" s="2">
        <f t="shared" si="0"/>
        <v>22946190218396.984</v>
      </c>
      <c r="J6" s="18">
        <f>I6/10^6/About!$B$30/10^6</f>
        <v>0.57823582881370106</v>
      </c>
    </row>
    <row r="7" spans="1:10" x14ac:dyDescent="0.3">
      <c r="A7" s="16" t="s">
        <v>11</v>
      </c>
      <c r="B7" s="2">
        <f>Commercial_calculation!W9</f>
        <v>112794212293723.3</v>
      </c>
      <c r="C7" s="2">
        <f>Commercial_calculation!W21</f>
        <v>550215669725.479</v>
      </c>
      <c r="D7" s="2">
        <f>Commercial_calculation!W33</f>
        <v>0</v>
      </c>
      <c r="E7" s="2">
        <f>Commercial_calculation!W45</f>
        <v>9170261162091.3223</v>
      </c>
      <c r="F7" s="2">
        <f>Commercial_calculation!W57</f>
        <v>17606901431215.328</v>
      </c>
      <c r="G7" s="2">
        <f>Commercial_calculation!W69</f>
        <v>366810446483.65283</v>
      </c>
      <c r="I7" s="2">
        <f t="shared" si="0"/>
        <v>140488401003239.09</v>
      </c>
      <c r="J7" s="18">
        <f>I7/10^6/About!$B$30/10^6</f>
        <v>3.540257716842663</v>
      </c>
    </row>
    <row r="8" spans="1:10" x14ac:dyDescent="0.3">
      <c r="A8" s="16" t="s">
        <v>13</v>
      </c>
      <c r="B8" s="2">
        <f>Commercial_calculation!W10</f>
        <v>11449073714095.156</v>
      </c>
      <c r="C8" s="2">
        <f>Commercial_calculation!W22</f>
        <v>0</v>
      </c>
      <c r="D8" s="2">
        <f>Commercial_calculation!W34</f>
        <v>0</v>
      </c>
      <c r="E8" s="2">
        <f>Commercial_calculation!W46</f>
        <v>0</v>
      </c>
      <c r="F8" s="2">
        <f>Commercial_calculation!W58</f>
        <v>1393975952585.8228</v>
      </c>
      <c r="G8" s="2">
        <f>Commercial_calculation!W70</f>
        <v>0</v>
      </c>
      <c r="I8" s="2">
        <f t="shared" si="0"/>
        <v>12843049666680.979</v>
      </c>
      <c r="J8" s="18">
        <f>I8/10^6/About!$B$30/10^6</f>
        <v>0.3236402817995816</v>
      </c>
    </row>
    <row r="9" spans="1:10" x14ac:dyDescent="0.3">
      <c r="A9" s="16" t="s">
        <v>14</v>
      </c>
      <c r="B9" s="2">
        <f>Commercial_calculation!W11</f>
        <v>1414178502623.2981</v>
      </c>
      <c r="C9" s="2">
        <f>Commercial_calculation!W23</f>
        <v>0</v>
      </c>
      <c r="D9" s="2">
        <f>Commercial_calculation!W35</f>
        <v>0</v>
      </c>
      <c r="E9" s="2">
        <f>Commercial_calculation!W47</f>
        <v>0</v>
      </c>
      <c r="F9" s="2">
        <f>Commercial_calculation!W59</f>
        <v>115443143071.28964</v>
      </c>
      <c r="G9" s="2">
        <f>Commercial_calculation!W71</f>
        <v>0</v>
      </c>
      <c r="I9" s="2">
        <f t="shared" si="0"/>
        <v>1529621645694.5876</v>
      </c>
      <c r="J9" s="18">
        <f>I9/10^6/About!$B$30/10^6</f>
        <v>3.8545921203096217E-2</v>
      </c>
    </row>
    <row r="10" spans="1:10" x14ac:dyDescent="0.3">
      <c r="A10" s="16" t="s">
        <v>15</v>
      </c>
      <c r="B10" s="2">
        <f>Commercial_calculation!W12</f>
        <v>6894841719932.7744</v>
      </c>
      <c r="C10" s="2">
        <f>Commercial_calculation!W24</f>
        <v>115443143071.28964</v>
      </c>
      <c r="D10" s="2">
        <f>Commercial_calculation!W36</f>
        <v>0</v>
      </c>
      <c r="E10" s="2">
        <f>Commercial_calculation!W48</f>
        <v>0</v>
      </c>
      <c r="F10" s="2">
        <f>Commercial_calculation!W60</f>
        <v>21766804626091.656</v>
      </c>
      <c r="G10" s="2">
        <f>Commercial_calculation!W72</f>
        <v>0</v>
      </c>
      <c r="I10" s="2">
        <f t="shared" si="0"/>
        <v>28777089489095.719</v>
      </c>
      <c r="J10" s="18">
        <f>I10/10^6/About!$B$30/10^6</f>
        <v>0.72517241569070245</v>
      </c>
    </row>
    <row r="11" spans="1:10" x14ac:dyDescent="0.3">
      <c r="A11" s="16" t="s">
        <v>16</v>
      </c>
      <c r="B11" s="2">
        <f>Commercial_calculation!W13</f>
        <v>0</v>
      </c>
      <c r="C11" s="2">
        <f>Commercial_calculation!W25</f>
        <v>0</v>
      </c>
      <c r="D11" s="2">
        <f>Commercial_calculation!W37</f>
        <v>0</v>
      </c>
      <c r="E11" s="2">
        <f>Commercial_calculation!W49</f>
        <v>0</v>
      </c>
      <c r="F11" s="2">
        <f>Commercial_calculation!W61</f>
        <v>0</v>
      </c>
      <c r="G11" s="2">
        <f>Commercial_calculation!W73</f>
        <v>0</v>
      </c>
      <c r="I11" s="2">
        <f t="shared" si="0"/>
        <v>0</v>
      </c>
      <c r="J11" s="18">
        <f>I11/10^6/About!$B$30/10^6</f>
        <v>0</v>
      </c>
    </row>
    <row r="12" spans="1:10" x14ac:dyDescent="0.3">
      <c r="A12" s="16"/>
      <c r="I12" s="2">
        <f>SUM(I2:I11)</f>
        <v>1078632810520066.5</v>
      </c>
      <c r="J12" s="18">
        <f>I12/10^6/About!$B$30/10^6</f>
        <v>27.181163027083731</v>
      </c>
    </row>
    <row r="13" spans="1:10" x14ac:dyDescent="0.3">
      <c r="A13" s="16"/>
      <c r="I13" s="2"/>
    </row>
    <row r="14" spans="1:10" x14ac:dyDescent="0.3">
      <c r="A14" s="16" t="s">
        <v>44</v>
      </c>
      <c r="B14" s="16" t="s">
        <v>37</v>
      </c>
      <c r="C14" s="16" t="s">
        <v>38</v>
      </c>
      <c r="D14" s="16" t="s">
        <v>39</v>
      </c>
      <c r="E14" s="16" t="s">
        <v>40</v>
      </c>
      <c r="F14" s="16" t="s">
        <v>41</v>
      </c>
      <c r="G14" s="16" t="s">
        <v>42</v>
      </c>
      <c r="I14" s="16" t="s">
        <v>51</v>
      </c>
      <c r="J14" s="16" t="s">
        <v>52</v>
      </c>
    </row>
    <row r="15" spans="1:10" x14ac:dyDescent="0.3">
      <c r="A15" s="16" t="s">
        <v>2</v>
      </c>
      <c r="B15" s="2">
        <f>Urban_res_calculation!W4</f>
        <v>20037482352432.219</v>
      </c>
      <c r="C15" s="2">
        <f>Urban_res_calculation!W16</f>
        <v>24598910407856.719</v>
      </c>
      <c r="D15" s="2">
        <f>Urban_res_calculation!X28</f>
        <v>0</v>
      </c>
      <c r="E15" s="2">
        <f>Urban_res_calculation!W40</f>
        <v>24598910407856.719</v>
      </c>
      <c r="F15" s="2">
        <f>Urban_res_calculation!W52</f>
        <v>204617962284868.94</v>
      </c>
      <c r="G15" s="2">
        <f>Urban_res_calculation!W64</f>
        <v>0</v>
      </c>
      <c r="I15" s="2">
        <f t="shared" ref="I15:I24" si="1">SUM(B15:G15)</f>
        <v>273853265453014.59</v>
      </c>
      <c r="J15" s="18">
        <f>I15/10^6/About!$B$30/10^6</f>
        <v>6.9010048472275249</v>
      </c>
    </row>
    <row r="16" spans="1:10" x14ac:dyDescent="0.3">
      <c r="A16" s="16" t="s">
        <v>3</v>
      </c>
      <c r="B16" s="2">
        <f>Urban_res_calculation!W5</f>
        <v>558252508095.75049</v>
      </c>
      <c r="C16" s="2">
        <f>Urban_res_calculation!W17</f>
        <v>0</v>
      </c>
      <c r="D16" s="2">
        <f>Urban_res_calculation!X29</f>
        <v>0</v>
      </c>
      <c r="E16" s="2">
        <f>Urban_res_calculation!W41</f>
        <v>0</v>
      </c>
      <c r="F16" s="2">
        <f>Urban_res_calculation!W53</f>
        <v>0</v>
      </c>
      <c r="G16" s="2">
        <f>Urban_res_calculation!W65</f>
        <v>0</v>
      </c>
      <c r="I16" s="2">
        <f t="shared" si="1"/>
        <v>558252508095.75049</v>
      </c>
      <c r="J16" s="18">
        <f>I16/10^6/About!$B$30/10^6</f>
        <v>1.4067764567177222E-2</v>
      </c>
    </row>
    <row r="17" spans="1:10" x14ac:dyDescent="0.3">
      <c r="A17" s="16" t="s">
        <v>4</v>
      </c>
      <c r="B17" s="2">
        <f>Urban_res_calculation!W6</f>
        <v>280436483361257.63</v>
      </c>
      <c r="C17" s="2">
        <f>Urban_res_calculation!W18</f>
        <v>0</v>
      </c>
      <c r="D17" s="2">
        <f>Urban_res_calculation!X30</f>
        <v>0</v>
      </c>
      <c r="E17" s="2">
        <f>Urban_res_calculation!W42</f>
        <v>0</v>
      </c>
      <c r="F17" s="2">
        <f>Urban_res_calculation!W54</f>
        <v>58828536500436.188</v>
      </c>
      <c r="G17" s="2">
        <f>Urban_res_calculation!W66</f>
        <v>0</v>
      </c>
      <c r="I17" s="2">
        <f t="shared" si="1"/>
        <v>339265019861693.81</v>
      </c>
      <c r="J17" s="18">
        <f>I17/10^6/About!$B$30/10^6</f>
        <v>8.5493577835827779</v>
      </c>
    </row>
    <row r="18" spans="1:10" x14ac:dyDescent="0.3">
      <c r="A18" s="16" t="s">
        <v>5</v>
      </c>
      <c r="B18" s="2">
        <f>Urban_res_calculation!W7</f>
        <v>0</v>
      </c>
      <c r="C18" s="2">
        <f>Urban_res_calculation!W19</f>
        <v>0</v>
      </c>
      <c r="D18" s="2">
        <f>Urban_res_calculation!X31</f>
        <v>0</v>
      </c>
      <c r="E18" s="2">
        <f>Urban_res_calculation!W43</f>
        <v>0</v>
      </c>
      <c r="F18" s="2">
        <f>Urban_res_calculation!W55</f>
        <v>0</v>
      </c>
      <c r="G18" s="2">
        <f>Urban_res_calculation!W67</f>
        <v>0</v>
      </c>
      <c r="I18" s="2">
        <f t="shared" si="1"/>
        <v>0</v>
      </c>
      <c r="J18" s="18">
        <f>I18/10^6/About!$B$30/10^6</f>
        <v>0</v>
      </c>
    </row>
    <row r="19" spans="1:10" x14ac:dyDescent="0.3">
      <c r="A19" s="16" t="s">
        <v>7</v>
      </c>
      <c r="B19" s="2">
        <f>Urban_res_calculation!W8</f>
        <v>85954308758917.672</v>
      </c>
      <c r="C19" s="2">
        <f>Urban_res_calculation!W20</f>
        <v>0</v>
      </c>
      <c r="D19" s="2">
        <f>Urban_res_calculation!X32</f>
        <v>0</v>
      </c>
      <c r="E19" s="2">
        <f>Urban_res_calculation!W44</f>
        <v>0</v>
      </c>
      <c r="F19" s="2">
        <f>Urban_res_calculation!W56</f>
        <v>0</v>
      </c>
      <c r="G19" s="2">
        <f>Urban_res_calculation!W68</f>
        <v>0</v>
      </c>
      <c r="I19" s="2">
        <f t="shared" si="1"/>
        <v>85954308758917.672</v>
      </c>
      <c r="J19" s="18">
        <f>I19/10^6/About!$B$30/10^6</f>
        <v>2.1660179965506141</v>
      </c>
    </row>
    <row r="20" spans="1:10" x14ac:dyDescent="0.3">
      <c r="A20" s="16" t="s">
        <v>11</v>
      </c>
      <c r="B20" s="2">
        <f>Urban_res_calculation!W9</f>
        <v>27372044853133.879</v>
      </c>
      <c r="C20" s="2">
        <f>Urban_res_calculation!W21</f>
        <v>0</v>
      </c>
      <c r="D20" s="2">
        <f>Urban_res_calculation!X33</f>
        <v>0</v>
      </c>
      <c r="E20" s="2">
        <f>Urban_res_calculation!W45</f>
        <v>0</v>
      </c>
      <c r="F20" s="2">
        <f>Urban_res_calculation!W57</f>
        <v>0</v>
      </c>
      <c r="G20" s="2">
        <f>Urban_res_calculation!W69</f>
        <v>0</v>
      </c>
      <c r="I20" s="2">
        <f t="shared" si="1"/>
        <v>27372044853133.879</v>
      </c>
      <c r="J20" s="18">
        <f>I20/10^6/About!$B$30/10^6</f>
        <v>0.68976579080600753</v>
      </c>
    </row>
    <row r="21" spans="1:10" x14ac:dyDescent="0.3">
      <c r="A21" s="16" t="s">
        <v>13</v>
      </c>
      <c r="B21" s="2">
        <f>Urban_res_calculation!W10</f>
        <v>0</v>
      </c>
      <c r="C21" s="2">
        <f>Urban_res_calculation!W22</f>
        <v>0</v>
      </c>
      <c r="D21" s="2">
        <f>Urban_res_calculation!X34</f>
        <v>0</v>
      </c>
      <c r="E21" s="2">
        <f>Urban_res_calculation!W46</f>
        <v>0</v>
      </c>
      <c r="F21" s="2">
        <f>Urban_res_calculation!W58</f>
        <v>0</v>
      </c>
      <c r="G21" s="2">
        <f>Urban_res_calculation!W70</f>
        <v>0</v>
      </c>
      <c r="I21" s="2">
        <f t="shared" si="1"/>
        <v>0</v>
      </c>
      <c r="J21" s="18">
        <f>I21/10^6/About!$B$30/10^6</f>
        <v>0</v>
      </c>
    </row>
    <row r="22" spans="1:10" x14ac:dyDescent="0.3">
      <c r="A22" s="16" t="s">
        <v>14</v>
      </c>
      <c r="B22" s="2">
        <f>Urban_res_calculation!W11</f>
        <v>35500484716587.672</v>
      </c>
      <c r="C22" s="2">
        <f>Urban_res_calculation!W23</f>
        <v>0</v>
      </c>
      <c r="D22" s="2">
        <f>Urban_res_calculation!X35</f>
        <v>0</v>
      </c>
      <c r="E22" s="2">
        <f>Urban_res_calculation!W47</f>
        <v>0</v>
      </c>
      <c r="F22" s="2">
        <f>Urban_res_calculation!W59</f>
        <v>0</v>
      </c>
      <c r="G22" s="2">
        <f>Urban_res_calculation!W71</f>
        <v>0</v>
      </c>
      <c r="I22" s="2">
        <f t="shared" si="1"/>
        <v>35500484716587.672</v>
      </c>
      <c r="J22" s="18">
        <f>I22/10^6/About!$B$30/10^6</f>
        <v>0.89459958311189569</v>
      </c>
    </row>
    <row r="23" spans="1:10" x14ac:dyDescent="0.3">
      <c r="A23" s="16" t="s">
        <v>15</v>
      </c>
      <c r="B23" s="2">
        <f>Urban_res_calculation!W12</f>
        <v>8923434301364.0586</v>
      </c>
      <c r="C23" s="2">
        <f>Urban_res_calculation!W24</f>
        <v>0</v>
      </c>
      <c r="D23" s="2">
        <f>Urban_res_calculation!X36</f>
        <v>0</v>
      </c>
      <c r="E23" s="2">
        <f>Urban_res_calculation!W48</f>
        <v>0</v>
      </c>
      <c r="F23" s="2">
        <f>Urban_res_calculation!W60</f>
        <v>1871912577903.7708</v>
      </c>
      <c r="G23" s="2">
        <f>Urban_res_calculation!W72</f>
        <v>0</v>
      </c>
      <c r="I23" s="2">
        <f t="shared" si="1"/>
        <v>10795346879267.83</v>
      </c>
      <c r="J23" s="18">
        <f>I23/10^6/About!$B$30/10^6</f>
        <v>0.27203890016827897</v>
      </c>
    </row>
    <row r="24" spans="1:10" x14ac:dyDescent="0.3">
      <c r="A24" s="16" t="s">
        <v>16</v>
      </c>
      <c r="B24" s="2">
        <f>Urban_res_calculation!W13</f>
        <v>0</v>
      </c>
      <c r="C24" s="2">
        <f>Urban_res_calculation!W25</f>
        <v>0</v>
      </c>
      <c r="D24" s="2">
        <f>Urban_res_calculation!X37</f>
        <v>0</v>
      </c>
      <c r="E24" s="2">
        <f>Urban_res_calculation!W49</f>
        <v>0</v>
      </c>
      <c r="F24" s="2">
        <f>Urban_res_calculation!W61</f>
        <v>0</v>
      </c>
      <c r="G24" s="2">
        <f>Urban_res_calculation!W73</f>
        <v>0</v>
      </c>
      <c r="I24" s="2">
        <f t="shared" si="1"/>
        <v>0</v>
      </c>
      <c r="J24" s="18">
        <f>I24/10^6/About!$B$30/10^6</f>
        <v>0</v>
      </c>
    </row>
    <row r="25" spans="1:10" x14ac:dyDescent="0.3">
      <c r="I25" s="2">
        <f>SUM(I15:I24)</f>
        <v>773298723030711.13</v>
      </c>
      <c r="J25" s="18">
        <f>I25/10^6/About!$B$30/10^6</f>
        <v>19.486852666014276</v>
      </c>
    </row>
    <row r="26" spans="1:10" x14ac:dyDescent="0.3">
      <c r="I26" s="2"/>
    </row>
    <row r="27" spans="1:10" x14ac:dyDescent="0.3">
      <c r="A27" s="1" t="s">
        <v>47</v>
      </c>
      <c r="B27" s="15" t="s">
        <v>37</v>
      </c>
      <c r="C27" s="15" t="s">
        <v>38</v>
      </c>
      <c r="D27" s="15" t="s">
        <v>39</v>
      </c>
      <c r="E27" s="15" t="s">
        <v>40</v>
      </c>
      <c r="F27" s="15" t="s">
        <v>41</v>
      </c>
      <c r="G27" s="15" t="s">
        <v>42</v>
      </c>
      <c r="I27" s="16" t="s">
        <v>51</v>
      </c>
      <c r="J27" s="16" t="s">
        <v>52</v>
      </c>
    </row>
    <row r="28" spans="1:10" x14ac:dyDescent="0.3">
      <c r="A28" s="1" t="s">
        <v>2</v>
      </c>
      <c r="B28" s="2">
        <f>Rural_res_calculation!W4</f>
        <v>1789840471568.0173</v>
      </c>
      <c r="C28" s="2">
        <f>Rural_res_calculation!W16</f>
        <v>2197288293512.2551</v>
      </c>
      <c r="D28" s="2">
        <f>Rural_res_calculation!W28</f>
        <v>0</v>
      </c>
      <c r="E28" s="2">
        <f>Rural_res_calculation!W40</f>
        <v>2197288293512.2551</v>
      </c>
      <c r="F28" s="2">
        <f>Rural_res_calculation!W52</f>
        <v>18277421467711.598</v>
      </c>
      <c r="G28" s="2">
        <f>Rural_res_calculation!W64</f>
        <v>0</v>
      </c>
      <c r="I28" s="2">
        <f t="shared" ref="I28:I37" si="2">SUM(B28:G28)</f>
        <v>24461838526304.125</v>
      </c>
      <c r="J28" s="18">
        <f>I28/10^6/About!$B$30/10^6</f>
        <v>0.61642962687653247</v>
      </c>
    </row>
    <row r="29" spans="1:10" x14ac:dyDescent="0.3">
      <c r="A29" s="1" t="s">
        <v>3</v>
      </c>
      <c r="B29" s="2">
        <f>Rural_res_calculation!W5</f>
        <v>49865692444.282715</v>
      </c>
      <c r="C29" s="2">
        <f>Rural_res_calculation!W17</f>
        <v>0</v>
      </c>
      <c r="D29" s="2">
        <f>Rural_res_calculation!W29</f>
        <v>0</v>
      </c>
      <c r="E29" s="2">
        <f>Rural_res_calculation!W41</f>
        <v>0</v>
      </c>
      <c r="F29" s="2">
        <f>Rural_res_calculation!W53</f>
        <v>0</v>
      </c>
      <c r="G29" s="2">
        <f>Rural_res_calculation!W65</f>
        <v>0</v>
      </c>
      <c r="I29" s="2">
        <f t="shared" si="2"/>
        <v>49865692444.282715</v>
      </c>
      <c r="J29" s="18">
        <f>I29/10^6/About!$B$30/10^6</f>
        <v>1.2565977064363093E-3</v>
      </c>
    </row>
    <row r="30" spans="1:10" x14ac:dyDescent="0.3">
      <c r="A30" s="1" t="s">
        <v>4</v>
      </c>
      <c r="B30" s="2">
        <f>Rural_res_calculation!W6</f>
        <v>25049881956016.473</v>
      </c>
      <c r="C30" s="2">
        <f>Rural_res_calculation!W18</f>
        <v>0</v>
      </c>
      <c r="D30" s="2">
        <f>Rural_res_calculation!W30</f>
        <v>0</v>
      </c>
      <c r="E30" s="2">
        <f>Rural_res_calculation!W42</f>
        <v>0</v>
      </c>
      <c r="F30" s="2">
        <f>Rural_res_calculation!W54</f>
        <v>5254836593720.876</v>
      </c>
      <c r="G30" s="2">
        <f>Rural_res_calculation!W66</f>
        <v>0</v>
      </c>
      <c r="I30" s="2">
        <f t="shared" si="2"/>
        <v>30304718549737.348</v>
      </c>
      <c r="J30" s="18">
        <f>I30/10^6/About!$B$30/10^6</f>
        <v>0.76366812445946375</v>
      </c>
    </row>
    <row r="31" spans="1:10" x14ac:dyDescent="0.3">
      <c r="A31" s="1" t="s">
        <v>5</v>
      </c>
      <c r="B31" s="2">
        <f>Rural_res_calculation!W7</f>
        <v>0</v>
      </c>
      <c r="C31" s="2">
        <f>Rural_res_calculation!W19</f>
        <v>0</v>
      </c>
      <c r="D31" s="2">
        <f>Rural_res_calculation!W31</f>
        <v>0</v>
      </c>
      <c r="E31" s="2">
        <f>Rural_res_calculation!W43</f>
        <v>0</v>
      </c>
      <c r="F31" s="2">
        <f>Rural_res_calculation!W55</f>
        <v>0</v>
      </c>
      <c r="G31" s="2">
        <f>Rural_res_calculation!W67</f>
        <v>0</v>
      </c>
      <c r="I31" s="2">
        <f t="shared" si="2"/>
        <v>0</v>
      </c>
      <c r="J31" s="18">
        <f>I31/10^6/About!$B$30/10^6</f>
        <v>0</v>
      </c>
    </row>
    <row r="32" spans="1:10" x14ac:dyDescent="0.3">
      <c r="A32" s="1" t="s">
        <v>7</v>
      </c>
      <c r="B32" s="2">
        <f>Rural_res_calculation!W8</f>
        <v>7677835858639.7002</v>
      </c>
      <c r="C32" s="2">
        <f>Rural_res_calculation!W20</f>
        <v>0</v>
      </c>
      <c r="D32" s="2">
        <f>Rural_res_calculation!W32</f>
        <v>0</v>
      </c>
      <c r="E32" s="2">
        <f>Rural_res_calculation!W44</f>
        <v>0</v>
      </c>
      <c r="F32" s="2">
        <f>Rural_res_calculation!W56</f>
        <v>0</v>
      </c>
      <c r="G32" s="2">
        <f>Rural_res_calculation!W68</f>
        <v>0</v>
      </c>
      <c r="I32" s="2">
        <f t="shared" si="2"/>
        <v>7677835858639.7002</v>
      </c>
      <c r="J32" s="18">
        <f>I32/10^6/About!$B$30/10^6</f>
        <v>0.19347873171802857</v>
      </c>
    </row>
    <row r="33" spans="1:10" x14ac:dyDescent="0.3">
      <c r="A33" s="1" t="s">
        <v>11</v>
      </c>
      <c r="B33" s="2">
        <f>Rural_res_calculation!W9</f>
        <v>2444997470541.3687</v>
      </c>
      <c r="C33" s="2">
        <f>Rural_res_calculation!W21</f>
        <v>0</v>
      </c>
      <c r="D33" s="2">
        <f>Rural_res_calculation!W33</f>
        <v>0</v>
      </c>
      <c r="E33" s="2">
        <f>Rural_res_calculation!W45</f>
        <v>0</v>
      </c>
      <c r="F33" s="2">
        <f>Rural_res_calculation!W57</f>
        <v>0</v>
      </c>
      <c r="G33" s="2">
        <f>Rural_res_calculation!W69</f>
        <v>0</v>
      </c>
      <c r="I33" s="2">
        <f t="shared" si="2"/>
        <v>2444997470541.3687</v>
      </c>
      <c r="J33" s="18">
        <f>I33/10^6/About!$B$30/10^6</f>
        <v>6.1613066281146593E-2</v>
      </c>
    </row>
    <row r="34" spans="1:10" x14ac:dyDescent="0.3">
      <c r="A34" s="1" t="s">
        <v>13</v>
      </c>
      <c r="B34" s="2">
        <f>Rural_res_calculation!W10</f>
        <v>0</v>
      </c>
      <c r="C34" s="2">
        <f>Rural_res_calculation!W22</f>
        <v>0</v>
      </c>
      <c r="D34" s="2">
        <f>Rural_res_calculation!W34</f>
        <v>0</v>
      </c>
      <c r="E34" s="2">
        <f>Rural_res_calculation!W46</f>
        <v>0</v>
      </c>
      <c r="F34" s="2">
        <f>Rural_res_calculation!W58</f>
        <v>0</v>
      </c>
      <c r="G34" s="2">
        <f>Rural_res_calculation!W70</f>
        <v>0</v>
      </c>
      <c r="I34" s="2">
        <f t="shared" si="2"/>
        <v>0</v>
      </c>
      <c r="J34" s="18">
        <f>I34/10^6/About!$B$30/10^6</f>
        <v>0</v>
      </c>
    </row>
    <row r="35" spans="1:10" x14ac:dyDescent="0.3">
      <c r="A35" s="1" t="s">
        <v>14</v>
      </c>
      <c r="B35" s="2">
        <f>Rural_res_calculation!W11</f>
        <v>3171067262265.9995</v>
      </c>
      <c r="C35" s="2">
        <f>Rural_res_calculation!W23</f>
        <v>0</v>
      </c>
      <c r="D35" s="2">
        <f>Rural_res_calculation!W35</f>
        <v>0</v>
      </c>
      <c r="E35" s="2">
        <f>Rural_res_calculation!W47</f>
        <v>0</v>
      </c>
      <c r="F35" s="2">
        <f>Rural_res_calculation!W59</f>
        <v>0</v>
      </c>
      <c r="G35" s="2">
        <f>Rural_res_calculation!W71</f>
        <v>0</v>
      </c>
      <c r="I35" s="2">
        <f t="shared" si="2"/>
        <v>3171067262265.9995</v>
      </c>
      <c r="J35" s="18">
        <f>I35/10^6/About!$B$30/10^6</f>
        <v>7.9909766683197603E-2</v>
      </c>
    </row>
    <row r="36" spans="1:10" x14ac:dyDescent="0.3">
      <c r="A36" s="1" t="s">
        <v>15</v>
      </c>
      <c r="B36" s="2">
        <f>Rural_res_calculation!W12</f>
        <v>797082366788.51025</v>
      </c>
      <c r="C36" s="2">
        <f>Rural_res_calculation!W24</f>
        <v>0</v>
      </c>
      <c r="D36" s="2">
        <f>Rural_res_calculation!W36</f>
        <v>0</v>
      </c>
      <c r="E36" s="2">
        <f>Rural_res_calculation!W48</f>
        <v>0</v>
      </c>
      <c r="F36" s="2">
        <f>Rural_res_calculation!W60</f>
        <v>167207877329.09497</v>
      </c>
      <c r="G36" s="2">
        <f>Rural_res_calculation!W72</f>
        <v>0</v>
      </c>
      <c r="I36" s="2">
        <f t="shared" si="2"/>
        <v>964290244117.60522</v>
      </c>
      <c r="J36" s="18">
        <f>I36/10^6/About!$B$30/10^6</f>
        <v>2.4299771038996578E-2</v>
      </c>
    </row>
    <row r="37" spans="1:10" x14ac:dyDescent="0.3">
      <c r="A37" s="1" t="s">
        <v>16</v>
      </c>
      <c r="B37" s="2">
        <f>Rural_res_calculation!W13</f>
        <v>0</v>
      </c>
      <c r="C37" s="2">
        <f>Rural_res_calculation!W25</f>
        <v>0</v>
      </c>
      <c r="D37" s="2">
        <f>Rural_res_calculation!W37</f>
        <v>0</v>
      </c>
      <c r="E37" s="2">
        <f>Rural_res_calculation!W49</f>
        <v>0</v>
      </c>
      <c r="F37" s="2">
        <f>Rural_res_calculation!W61</f>
        <v>0</v>
      </c>
      <c r="G37" s="2">
        <f>Rural_res_calculation!W73</f>
        <v>0</v>
      </c>
      <c r="I37" s="2">
        <f t="shared" si="2"/>
        <v>0</v>
      </c>
      <c r="J37" s="18">
        <f>I37/10^6/About!$B$30/10^6</f>
        <v>0</v>
      </c>
    </row>
    <row r="38" spans="1:10" x14ac:dyDescent="0.3">
      <c r="I38" s="2">
        <f>SUM(I28:I37)</f>
        <v>69074613604050.422</v>
      </c>
      <c r="J38" s="18">
        <f>I38/10^6/About!$B$30/10^6</f>
        <v>1.7406556847638017</v>
      </c>
    </row>
    <row r="39" spans="1:10" x14ac:dyDescent="0.3">
      <c r="B39" s="2">
        <f t="shared" ref="B39:G39" si="3">SUM(B28:B37,B15:B24)</f>
        <v>499763061930053.25</v>
      </c>
      <c r="C39" s="2">
        <f t="shared" si="3"/>
        <v>26796198701368.973</v>
      </c>
      <c r="D39" s="2">
        <f t="shared" si="3"/>
        <v>0</v>
      </c>
      <c r="E39" s="2">
        <f t="shared" si="3"/>
        <v>26796198701368.973</v>
      </c>
      <c r="F39" s="2">
        <f t="shared" si="3"/>
        <v>289017877301970.44</v>
      </c>
      <c r="G39" s="2">
        <f t="shared" si="3"/>
        <v>0</v>
      </c>
    </row>
    <row r="40" spans="1:10" x14ac:dyDescent="0.3">
      <c r="B40" s="18">
        <f>B39/10^6/About!$B$30/10^6</f>
        <v>12.593851335456483</v>
      </c>
      <c r="C40" s="18">
        <f>C39/10^6/About!$B$30/10^6</f>
        <v>0.67525467267851991</v>
      </c>
      <c r="D40" s="18">
        <f>D39/10^6/About!$B$30/10^6</f>
        <v>0</v>
      </c>
      <c r="E40" s="18">
        <f>E39/10^6/About!$B$30/10^6</f>
        <v>0.67525467267851991</v>
      </c>
      <c r="F40" s="18">
        <f>F39/10^6/About!$B$30/10^6</f>
        <v>7.2831476699645536</v>
      </c>
      <c r="G40" s="18">
        <f>G39/10^6/About!$B$30/10^6</f>
        <v>0</v>
      </c>
    </row>
    <row r="42" spans="1:10" x14ac:dyDescent="0.3">
      <c r="A42" t="s">
        <v>53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448C0-88C1-4222-975C-12A3F8DE86EE}">
  <dimension ref="A1:AL47"/>
  <sheetViews>
    <sheetView workbookViewId="0">
      <selection activeCell="F14" sqref="F14"/>
    </sheetView>
  </sheetViews>
  <sheetFormatPr defaultRowHeight="16.5" x14ac:dyDescent="0.3"/>
  <cols>
    <col min="9" max="9" width="8.25" customWidth="1"/>
    <col min="10" max="10" width="12.375" bestFit="1" customWidth="1"/>
  </cols>
  <sheetData>
    <row r="1" spans="1:38" x14ac:dyDescent="0.3">
      <c r="A1" s="19" t="s">
        <v>55</v>
      </c>
      <c r="B1" s="19" t="s">
        <v>56</v>
      </c>
      <c r="C1" s="20" t="s">
        <v>57</v>
      </c>
      <c r="D1" s="20" t="s">
        <v>58</v>
      </c>
      <c r="E1" s="20" t="s">
        <v>59</v>
      </c>
      <c r="F1" s="20" t="s">
        <v>60</v>
      </c>
      <c r="G1" s="20" t="s">
        <v>61</v>
      </c>
      <c r="H1" s="20" t="s">
        <v>62</v>
      </c>
      <c r="I1" s="20" t="s">
        <v>63</v>
      </c>
      <c r="J1" s="20" t="s">
        <v>64</v>
      </c>
      <c r="K1" s="20" t="s">
        <v>65</v>
      </c>
      <c r="L1" s="20" t="s">
        <v>66</v>
      </c>
      <c r="M1" s="20" t="s">
        <v>67</v>
      </c>
      <c r="N1" s="20" t="s">
        <v>68</v>
      </c>
      <c r="O1" s="20" t="s">
        <v>69</v>
      </c>
      <c r="P1" s="20" t="s">
        <v>70</v>
      </c>
      <c r="Q1" s="20" t="s">
        <v>71</v>
      </c>
      <c r="R1" s="20" t="s">
        <v>72</v>
      </c>
      <c r="S1" s="20" t="s">
        <v>73</v>
      </c>
      <c r="T1" s="20" t="s">
        <v>74</v>
      </c>
      <c r="U1" s="20" t="s">
        <v>75</v>
      </c>
      <c r="V1" s="20" t="s">
        <v>76</v>
      </c>
      <c r="W1" s="20" t="s">
        <v>77</v>
      </c>
      <c r="X1" s="20" t="s">
        <v>78</v>
      </c>
      <c r="Y1" s="20" t="s">
        <v>79</v>
      </c>
      <c r="Z1" s="20" t="s">
        <v>80</v>
      </c>
      <c r="AA1" s="20" t="s">
        <v>94</v>
      </c>
      <c r="AB1" s="20" t="s">
        <v>95</v>
      </c>
      <c r="AC1" s="20" t="s">
        <v>96</v>
      </c>
      <c r="AD1" s="20" t="s">
        <v>97</v>
      </c>
      <c r="AE1" s="20" t="s">
        <v>98</v>
      </c>
      <c r="AF1" s="20" t="s">
        <v>99</v>
      </c>
      <c r="AG1" s="20" t="s">
        <v>100</v>
      </c>
      <c r="AH1" s="20" t="s">
        <v>101</v>
      </c>
      <c r="AI1" s="20" t="s">
        <v>102</v>
      </c>
      <c r="AJ1" s="20" t="s">
        <v>103</v>
      </c>
      <c r="AK1" s="30" t="s">
        <v>104</v>
      </c>
      <c r="AL1" s="30" t="s">
        <v>105</v>
      </c>
    </row>
    <row r="2" spans="1:38" x14ac:dyDescent="0.3">
      <c r="A2" s="22" t="s">
        <v>81</v>
      </c>
      <c r="B2" s="22" t="s">
        <v>82</v>
      </c>
      <c r="C2" s="21">
        <v>3574</v>
      </c>
      <c r="D2" s="21">
        <v>3042</v>
      </c>
      <c r="E2" s="21">
        <v>2374</v>
      </c>
      <c r="F2" s="21">
        <v>1927</v>
      </c>
      <c r="G2" s="21">
        <v>1254</v>
      </c>
      <c r="H2" s="21">
        <v>990</v>
      </c>
      <c r="I2" s="21">
        <v>934</v>
      </c>
      <c r="J2" s="21">
        <v>1122</v>
      </c>
      <c r="K2" s="21">
        <v>1103</v>
      </c>
      <c r="L2" s="21">
        <v>1280</v>
      </c>
      <c r="M2" s="21">
        <v>2020</v>
      </c>
      <c r="N2" s="21">
        <v>2947</v>
      </c>
      <c r="O2" s="21">
        <v>3218</v>
      </c>
      <c r="P2" s="21">
        <v>2952</v>
      </c>
      <c r="Q2" s="21">
        <v>2455</v>
      </c>
      <c r="R2" s="21">
        <v>2005</v>
      </c>
      <c r="S2" s="21">
        <v>1468</v>
      </c>
      <c r="T2" s="21">
        <v>1044</v>
      </c>
      <c r="U2" s="21">
        <v>977</v>
      </c>
      <c r="V2" s="21">
        <v>1090</v>
      </c>
      <c r="W2" s="21">
        <v>1200</v>
      </c>
      <c r="X2" s="21">
        <v>1420</v>
      </c>
      <c r="Y2" s="21">
        <v>2109</v>
      </c>
      <c r="Z2" s="21">
        <v>3264</v>
      </c>
      <c r="AA2" s="21">
        <v>3903</v>
      </c>
      <c r="AB2" s="21">
        <v>3138</v>
      </c>
      <c r="AC2" s="21">
        <v>2374</v>
      </c>
      <c r="AD2" s="21">
        <v>1752</v>
      </c>
      <c r="AE2" s="21">
        <v>1357</v>
      </c>
      <c r="AF2" s="21">
        <v>1101</v>
      </c>
      <c r="AG2" s="21">
        <v>1028</v>
      </c>
      <c r="AH2" s="21">
        <v>1232</v>
      </c>
      <c r="AI2" s="21">
        <v>1133</v>
      </c>
      <c r="AJ2" s="21">
        <v>1425</v>
      </c>
      <c r="AK2" s="31">
        <f>SUM(AK4,AK6,AK8,AK10,AK12,AK14)</f>
        <v>2080.9041934730585</v>
      </c>
      <c r="AL2" s="31">
        <f>SUM(AL4,AL6,AL8,AL10,AL12,AL14)</f>
        <v>3180.5515313473202</v>
      </c>
    </row>
    <row r="3" spans="1:38" x14ac:dyDescent="0.3">
      <c r="A3" s="24" t="s">
        <v>83</v>
      </c>
      <c r="B3" s="22" t="s">
        <v>84</v>
      </c>
      <c r="C3" s="21">
        <v>1976</v>
      </c>
      <c r="D3" s="21">
        <v>1757</v>
      </c>
      <c r="E3" s="21">
        <v>1473</v>
      </c>
      <c r="F3" s="21">
        <v>1383</v>
      </c>
      <c r="G3" s="21">
        <v>1204</v>
      </c>
      <c r="H3" s="21">
        <v>1212</v>
      </c>
      <c r="I3" s="21">
        <v>1348</v>
      </c>
      <c r="J3" s="21">
        <v>1504</v>
      </c>
      <c r="K3" s="21">
        <v>1334</v>
      </c>
      <c r="L3" s="21">
        <v>1226</v>
      </c>
      <c r="M3" s="21">
        <v>1358</v>
      </c>
      <c r="N3" s="21">
        <v>1713</v>
      </c>
      <c r="O3" s="21">
        <v>1823</v>
      </c>
      <c r="P3" s="21">
        <v>1680</v>
      </c>
      <c r="Q3" s="21">
        <v>1416</v>
      </c>
      <c r="R3" s="21">
        <v>1248</v>
      </c>
      <c r="S3" s="21">
        <v>1166</v>
      </c>
      <c r="T3" s="21">
        <v>1223</v>
      </c>
      <c r="U3" s="21">
        <v>1298</v>
      </c>
      <c r="V3" s="21">
        <v>1397</v>
      </c>
      <c r="W3" s="21">
        <v>1298</v>
      </c>
      <c r="X3" s="21">
        <v>1141</v>
      </c>
      <c r="Y3" s="21">
        <v>1342</v>
      </c>
      <c r="Z3" s="21">
        <v>1678</v>
      </c>
      <c r="AA3" s="21">
        <v>1967</v>
      </c>
      <c r="AB3" s="21">
        <v>1741</v>
      </c>
      <c r="AC3" s="21">
        <v>1475</v>
      </c>
      <c r="AD3" s="21">
        <v>1284</v>
      </c>
      <c r="AE3" s="21">
        <v>1208</v>
      </c>
      <c r="AF3" s="21">
        <v>1311</v>
      </c>
      <c r="AG3" s="21">
        <v>1433</v>
      </c>
      <c r="AH3" s="21">
        <v>1514</v>
      </c>
      <c r="AI3" s="21">
        <v>1340</v>
      </c>
      <c r="AJ3" s="21">
        <v>1274</v>
      </c>
      <c r="AK3" s="31">
        <f>SUM(AK5,AK7,AK9,AK11,AK13,AK15)</f>
        <v>1504.6829724434822</v>
      </c>
      <c r="AL3" s="31">
        <f>SUM(AL5,AL7,AL9,AL11,AL13,AL15)</f>
        <v>1885.5083481555948</v>
      </c>
    </row>
    <row r="4" spans="1:38" x14ac:dyDescent="0.3">
      <c r="A4" s="22" t="s">
        <v>85</v>
      </c>
      <c r="B4" s="22" t="s">
        <v>82</v>
      </c>
      <c r="C4" s="21">
        <v>46</v>
      </c>
      <c r="D4" s="21">
        <v>27</v>
      </c>
      <c r="E4" s="21">
        <v>18</v>
      </c>
      <c r="F4" s="21">
        <v>13</v>
      </c>
      <c r="G4" s="21">
        <v>6</v>
      </c>
      <c r="H4" s="21">
        <v>4</v>
      </c>
      <c r="I4" s="21">
        <v>4</v>
      </c>
      <c r="J4" s="21">
        <v>6</v>
      </c>
      <c r="K4" s="21">
        <v>24</v>
      </c>
      <c r="L4" s="21">
        <v>51</v>
      </c>
      <c r="M4" s="21">
        <v>64</v>
      </c>
      <c r="N4" s="21">
        <v>43</v>
      </c>
      <c r="O4" s="21">
        <v>28</v>
      </c>
      <c r="P4" s="21">
        <v>23</v>
      </c>
      <c r="Q4" s="21">
        <v>18</v>
      </c>
      <c r="R4" s="21">
        <v>12</v>
      </c>
      <c r="S4" s="21">
        <v>5</v>
      </c>
      <c r="T4" s="21">
        <v>3</v>
      </c>
      <c r="U4" s="21">
        <v>2</v>
      </c>
      <c r="V4" s="21">
        <v>3</v>
      </c>
      <c r="W4" s="21">
        <v>17</v>
      </c>
      <c r="X4" s="21">
        <v>45</v>
      </c>
      <c r="Y4" s="21">
        <v>40</v>
      </c>
      <c r="Z4" s="21">
        <v>45</v>
      </c>
      <c r="AA4" s="21">
        <v>26</v>
      </c>
      <c r="AB4" s="21">
        <v>18</v>
      </c>
      <c r="AC4" s="21">
        <v>13</v>
      </c>
      <c r="AD4" s="21">
        <v>9</v>
      </c>
      <c r="AE4" s="21">
        <v>3</v>
      </c>
      <c r="AF4" s="21">
        <v>3</v>
      </c>
      <c r="AG4" s="21">
        <v>3</v>
      </c>
      <c r="AH4" s="21">
        <v>4</v>
      </c>
      <c r="AI4" s="21">
        <v>15</v>
      </c>
      <c r="AJ4" s="21">
        <v>36</v>
      </c>
      <c r="AK4" s="31">
        <f t="shared" ref="AK4:AL4" si="0">Y4+Y4*(AJ4-X4)/X4</f>
        <v>32</v>
      </c>
      <c r="AL4" s="31">
        <f t="shared" si="0"/>
        <v>36</v>
      </c>
    </row>
    <row r="5" spans="1:38" x14ac:dyDescent="0.3">
      <c r="A5" s="24" t="s">
        <v>83</v>
      </c>
      <c r="B5" s="22" t="s">
        <v>84</v>
      </c>
      <c r="C5" s="21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</row>
    <row r="6" spans="1:38" x14ac:dyDescent="0.3">
      <c r="A6" s="22" t="s">
        <v>86</v>
      </c>
      <c r="B6" s="22" t="s">
        <v>82</v>
      </c>
      <c r="C6" s="21">
        <v>520</v>
      </c>
      <c r="D6" s="21">
        <v>353</v>
      </c>
      <c r="E6" s="21">
        <v>272</v>
      </c>
      <c r="F6" s="21">
        <v>247</v>
      </c>
      <c r="G6" s="21">
        <v>147</v>
      </c>
      <c r="H6" s="21">
        <v>127</v>
      </c>
      <c r="I6" s="21">
        <v>124</v>
      </c>
      <c r="J6" s="21">
        <v>168</v>
      </c>
      <c r="K6" s="21">
        <v>185</v>
      </c>
      <c r="L6" s="21">
        <v>225</v>
      </c>
      <c r="M6" s="21">
        <v>297</v>
      </c>
      <c r="N6" s="21">
        <v>386</v>
      </c>
      <c r="O6" s="21">
        <v>346</v>
      </c>
      <c r="P6" s="21">
        <v>289</v>
      </c>
      <c r="Q6" s="21">
        <v>247</v>
      </c>
      <c r="R6" s="21">
        <v>243</v>
      </c>
      <c r="S6" s="21">
        <v>250</v>
      </c>
      <c r="T6" s="21">
        <v>118</v>
      </c>
      <c r="U6" s="21">
        <v>96</v>
      </c>
      <c r="V6" s="21">
        <v>101</v>
      </c>
      <c r="W6" s="21">
        <v>149</v>
      </c>
      <c r="X6" s="21">
        <v>196</v>
      </c>
      <c r="Y6" s="21">
        <v>279</v>
      </c>
      <c r="Z6" s="21">
        <v>419</v>
      </c>
      <c r="AA6" s="21">
        <v>447</v>
      </c>
      <c r="AB6" s="21">
        <v>311</v>
      </c>
      <c r="AC6" s="21">
        <v>220</v>
      </c>
      <c r="AD6" s="21">
        <v>176</v>
      </c>
      <c r="AE6" s="21">
        <v>139</v>
      </c>
      <c r="AF6" s="21">
        <v>128</v>
      </c>
      <c r="AG6" s="21">
        <v>100</v>
      </c>
      <c r="AH6" s="21">
        <v>112</v>
      </c>
      <c r="AI6" s="21">
        <v>176</v>
      </c>
      <c r="AJ6" s="21">
        <v>233</v>
      </c>
      <c r="AK6" s="31">
        <f t="shared" ref="AK6:AL6" si="1">Y6+Y6*(AJ6-X6)/X6</f>
        <v>331.66836734693879</v>
      </c>
      <c r="AL6" s="31">
        <f t="shared" si="1"/>
        <v>498.09693877551024</v>
      </c>
    </row>
    <row r="7" spans="1:38" x14ac:dyDescent="0.3">
      <c r="A7" s="24" t="s">
        <v>83</v>
      </c>
      <c r="B7" s="22" t="s">
        <v>84</v>
      </c>
      <c r="C7" s="21">
        <v>230</v>
      </c>
      <c r="D7" s="21">
        <v>175</v>
      </c>
      <c r="E7" s="21">
        <v>155</v>
      </c>
      <c r="F7" s="21">
        <v>155</v>
      </c>
      <c r="G7" s="21">
        <v>118</v>
      </c>
      <c r="H7" s="21">
        <v>100</v>
      </c>
      <c r="I7" s="21">
        <v>116</v>
      </c>
      <c r="J7" s="21">
        <v>115</v>
      </c>
      <c r="K7" s="21">
        <v>107</v>
      </c>
      <c r="L7" s="21">
        <v>141</v>
      </c>
      <c r="M7" s="21">
        <v>162</v>
      </c>
      <c r="N7" s="21">
        <v>201</v>
      </c>
      <c r="O7" s="21">
        <v>192</v>
      </c>
      <c r="P7" s="21">
        <v>154</v>
      </c>
      <c r="Q7" s="21">
        <v>136</v>
      </c>
      <c r="R7" s="21">
        <v>132</v>
      </c>
      <c r="S7" s="21">
        <v>141</v>
      </c>
      <c r="T7" s="21">
        <v>96</v>
      </c>
      <c r="U7" s="21">
        <v>94</v>
      </c>
      <c r="V7" s="21">
        <v>90</v>
      </c>
      <c r="W7" s="21">
        <v>103</v>
      </c>
      <c r="X7" s="21">
        <v>120</v>
      </c>
      <c r="Y7" s="21">
        <v>161</v>
      </c>
      <c r="Z7" s="21">
        <v>202</v>
      </c>
      <c r="AA7" s="21">
        <v>249</v>
      </c>
      <c r="AB7" s="21">
        <v>191</v>
      </c>
      <c r="AC7" s="21">
        <v>166</v>
      </c>
      <c r="AD7" s="21">
        <v>142</v>
      </c>
      <c r="AE7" s="21">
        <v>135</v>
      </c>
      <c r="AF7" s="21">
        <v>145</v>
      </c>
      <c r="AG7" s="21">
        <v>125</v>
      </c>
      <c r="AH7" s="21">
        <v>113</v>
      </c>
      <c r="AI7" s="21">
        <v>130</v>
      </c>
      <c r="AJ7" s="21">
        <v>142</v>
      </c>
      <c r="AK7" s="31">
        <f t="shared" ref="AK7:AL7" si="2">Y7+Y7*(AJ7-X7)/X7</f>
        <v>190.51666666666665</v>
      </c>
      <c r="AL7" s="31">
        <f t="shared" si="2"/>
        <v>239.0333333333333</v>
      </c>
    </row>
    <row r="8" spans="1:38" x14ac:dyDescent="0.3">
      <c r="A8" s="22" t="s">
        <v>87</v>
      </c>
      <c r="B8" s="22" t="s">
        <v>82</v>
      </c>
      <c r="C8" s="21">
        <v>1996</v>
      </c>
      <c r="D8" s="21">
        <v>1738</v>
      </c>
      <c r="E8" s="21">
        <v>1321</v>
      </c>
      <c r="F8" s="21">
        <v>971</v>
      </c>
      <c r="G8" s="21">
        <v>535</v>
      </c>
      <c r="H8" s="21">
        <v>316</v>
      </c>
      <c r="I8" s="21">
        <v>244</v>
      </c>
      <c r="J8" s="21">
        <v>210</v>
      </c>
      <c r="K8" s="21">
        <v>234</v>
      </c>
      <c r="L8" s="21">
        <v>408</v>
      </c>
      <c r="M8" s="21">
        <v>912</v>
      </c>
      <c r="N8" s="21">
        <v>1594</v>
      </c>
      <c r="O8" s="21">
        <v>1852</v>
      </c>
      <c r="P8" s="21">
        <v>1693</v>
      </c>
      <c r="Q8" s="21">
        <v>1360</v>
      </c>
      <c r="R8" s="21">
        <v>999</v>
      </c>
      <c r="S8" s="21">
        <v>592</v>
      </c>
      <c r="T8" s="21">
        <v>326</v>
      </c>
      <c r="U8" s="21">
        <v>264</v>
      </c>
      <c r="V8" s="21">
        <v>261</v>
      </c>
      <c r="W8" s="21">
        <v>258</v>
      </c>
      <c r="X8" s="21">
        <v>521</v>
      </c>
      <c r="Y8" s="21">
        <v>995</v>
      </c>
      <c r="Z8" s="21">
        <v>1779</v>
      </c>
      <c r="AA8" s="21">
        <v>2268</v>
      </c>
      <c r="AB8" s="21">
        <v>1814</v>
      </c>
      <c r="AC8" s="21">
        <v>1334</v>
      </c>
      <c r="AD8" s="21">
        <v>854</v>
      </c>
      <c r="AE8" s="21">
        <v>577</v>
      </c>
      <c r="AF8" s="21">
        <v>355</v>
      </c>
      <c r="AG8" s="21">
        <v>237</v>
      </c>
      <c r="AH8" s="21">
        <v>222</v>
      </c>
      <c r="AI8" s="21">
        <v>234</v>
      </c>
      <c r="AJ8" s="21">
        <v>467</v>
      </c>
      <c r="AK8" s="31">
        <f t="shared" ref="AK8:AL8" si="3">Y8+Y8*(AJ8-X8)/X8</f>
        <v>891.87140115163152</v>
      </c>
      <c r="AL8" s="31">
        <f t="shared" si="3"/>
        <v>1594.612284069098</v>
      </c>
    </row>
    <row r="9" spans="1:38" x14ac:dyDescent="0.3">
      <c r="A9" s="24" t="s">
        <v>83</v>
      </c>
      <c r="B9" s="22" t="s">
        <v>84</v>
      </c>
      <c r="C9" s="21">
        <v>486</v>
      </c>
      <c r="D9" s="21">
        <v>407</v>
      </c>
      <c r="E9" s="21">
        <v>333</v>
      </c>
      <c r="F9" s="21">
        <v>284</v>
      </c>
      <c r="G9" s="21">
        <v>226</v>
      </c>
      <c r="H9" s="21">
        <v>225</v>
      </c>
      <c r="I9" s="21">
        <v>256</v>
      </c>
      <c r="J9" s="21">
        <v>262</v>
      </c>
      <c r="K9" s="21">
        <v>224</v>
      </c>
      <c r="L9" s="21">
        <v>215</v>
      </c>
      <c r="M9" s="21">
        <v>294</v>
      </c>
      <c r="N9" s="21">
        <v>418</v>
      </c>
      <c r="O9" s="21">
        <v>430</v>
      </c>
      <c r="P9" s="21">
        <v>375</v>
      </c>
      <c r="Q9" s="21">
        <v>283</v>
      </c>
      <c r="R9" s="21">
        <v>219</v>
      </c>
      <c r="S9" s="21">
        <v>186</v>
      </c>
      <c r="T9" s="21">
        <v>213</v>
      </c>
      <c r="U9" s="21">
        <v>228</v>
      </c>
      <c r="V9" s="21">
        <v>240</v>
      </c>
      <c r="W9" s="21">
        <v>191</v>
      </c>
      <c r="X9" s="21">
        <v>193</v>
      </c>
      <c r="Y9" s="21">
        <v>271</v>
      </c>
      <c r="Z9" s="21">
        <v>389</v>
      </c>
      <c r="AA9" s="21">
        <v>448</v>
      </c>
      <c r="AB9" s="21">
        <v>372</v>
      </c>
      <c r="AC9" s="21">
        <v>318</v>
      </c>
      <c r="AD9" s="21">
        <v>226</v>
      </c>
      <c r="AE9" s="21">
        <v>211</v>
      </c>
      <c r="AF9" s="21">
        <v>231</v>
      </c>
      <c r="AG9" s="21">
        <v>238</v>
      </c>
      <c r="AH9" s="21">
        <v>228</v>
      </c>
      <c r="AI9" s="21">
        <v>197</v>
      </c>
      <c r="AJ9" s="21">
        <v>227</v>
      </c>
      <c r="AK9" s="31">
        <f t="shared" ref="AK9:AL9" si="4">Y9+Y9*(AJ9-X9)/X9</f>
        <v>318.74093264248705</v>
      </c>
      <c r="AL9" s="31">
        <f t="shared" si="4"/>
        <v>457.52849740932641</v>
      </c>
    </row>
    <row r="10" spans="1:38" x14ac:dyDescent="0.3">
      <c r="A10" s="22" t="s">
        <v>88</v>
      </c>
      <c r="B10" s="22" t="s">
        <v>82</v>
      </c>
      <c r="C10" s="21">
        <v>537</v>
      </c>
      <c r="D10" s="21">
        <v>528</v>
      </c>
      <c r="E10" s="21">
        <v>460</v>
      </c>
      <c r="F10" s="21">
        <v>482</v>
      </c>
      <c r="G10" s="21">
        <v>448</v>
      </c>
      <c r="H10" s="21">
        <v>455</v>
      </c>
      <c r="I10" s="21">
        <v>482</v>
      </c>
      <c r="J10" s="21">
        <v>653</v>
      </c>
      <c r="K10" s="21">
        <v>572</v>
      </c>
      <c r="L10" s="21">
        <v>466</v>
      </c>
      <c r="M10" s="21">
        <v>475</v>
      </c>
      <c r="N10" s="21">
        <v>501</v>
      </c>
      <c r="O10" s="21">
        <v>538</v>
      </c>
      <c r="P10" s="21">
        <v>540</v>
      </c>
      <c r="Q10" s="21">
        <v>505</v>
      </c>
      <c r="R10" s="21">
        <v>510</v>
      </c>
      <c r="S10" s="21">
        <v>479</v>
      </c>
      <c r="T10" s="21">
        <v>495</v>
      </c>
      <c r="U10" s="21">
        <v>515</v>
      </c>
      <c r="V10" s="21">
        <v>617</v>
      </c>
      <c r="W10" s="21">
        <v>657</v>
      </c>
      <c r="X10" s="21">
        <v>482</v>
      </c>
      <c r="Y10" s="21">
        <v>501</v>
      </c>
      <c r="Z10" s="21">
        <v>533</v>
      </c>
      <c r="AA10" s="21">
        <v>597</v>
      </c>
      <c r="AB10" s="21">
        <v>575</v>
      </c>
      <c r="AC10" s="21">
        <v>495</v>
      </c>
      <c r="AD10" s="21">
        <v>508</v>
      </c>
      <c r="AE10" s="21">
        <v>481</v>
      </c>
      <c r="AF10" s="21">
        <v>502</v>
      </c>
      <c r="AG10" s="21">
        <v>582</v>
      </c>
      <c r="AH10" s="21">
        <v>776</v>
      </c>
      <c r="AI10" s="21">
        <v>596</v>
      </c>
      <c r="AJ10" s="21">
        <v>508</v>
      </c>
      <c r="AK10" s="31">
        <f t="shared" ref="AK10:AL10" si="5">Y10+Y10*(AJ10-X10)/X10</f>
        <v>528.02489626556019</v>
      </c>
      <c r="AL10" s="31">
        <f t="shared" si="5"/>
        <v>561.75103734439836</v>
      </c>
    </row>
    <row r="11" spans="1:38" x14ac:dyDescent="0.3">
      <c r="A11" s="24" t="s">
        <v>83</v>
      </c>
      <c r="B11" s="22" t="s">
        <v>84</v>
      </c>
      <c r="C11" s="21">
        <v>1191</v>
      </c>
      <c r="D11" s="21">
        <v>1118</v>
      </c>
      <c r="E11" s="21">
        <v>946</v>
      </c>
      <c r="F11" s="21">
        <v>917</v>
      </c>
      <c r="G11" s="21">
        <v>836</v>
      </c>
      <c r="H11" s="21">
        <v>858</v>
      </c>
      <c r="I11" s="21">
        <v>937</v>
      </c>
      <c r="J11" s="21">
        <v>1081</v>
      </c>
      <c r="K11" s="21">
        <v>973</v>
      </c>
      <c r="L11" s="21">
        <v>848</v>
      </c>
      <c r="M11" s="21">
        <v>867</v>
      </c>
      <c r="N11" s="21">
        <v>1035</v>
      </c>
      <c r="O11" s="21">
        <v>1136</v>
      </c>
      <c r="P11" s="21">
        <v>1093</v>
      </c>
      <c r="Q11" s="21">
        <v>953</v>
      </c>
      <c r="R11" s="21">
        <v>869</v>
      </c>
      <c r="S11" s="21">
        <v>815</v>
      </c>
      <c r="T11" s="21">
        <v>876</v>
      </c>
      <c r="U11" s="21">
        <v>934</v>
      </c>
      <c r="V11" s="21">
        <v>1016</v>
      </c>
      <c r="W11" s="21">
        <v>971</v>
      </c>
      <c r="X11" s="21">
        <v>804</v>
      </c>
      <c r="Y11" s="21">
        <v>872</v>
      </c>
      <c r="Z11" s="21">
        <v>1018</v>
      </c>
      <c r="AA11" s="21">
        <v>1183</v>
      </c>
      <c r="AB11" s="21">
        <v>1113</v>
      </c>
      <c r="AC11" s="21">
        <v>944</v>
      </c>
      <c r="AD11" s="21">
        <v>884</v>
      </c>
      <c r="AE11" s="21">
        <v>831</v>
      </c>
      <c r="AF11" s="21">
        <v>889</v>
      </c>
      <c r="AG11" s="21">
        <v>1003</v>
      </c>
      <c r="AH11" s="21">
        <v>1109</v>
      </c>
      <c r="AI11" s="21">
        <v>967</v>
      </c>
      <c r="AJ11" s="21">
        <v>878</v>
      </c>
      <c r="AK11" s="31">
        <f t="shared" ref="AK11:AL11" si="6">Y11+Y11*(AJ11-X11)/X11</f>
        <v>952.25870646766168</v>
      </c>
      <c r="AL11" s="31">
        <f t="shared" si="6"/>
        <v>1111.6965174129352</v>
      </c>
    </row>
    <row r="12" spans="1:38" x14ac:dyDescent="0.3">
      <c r="A12" s="22" t="s">
        <v>89</v>
      </c>
      <c r="B12" s="22" t="s">
        <v>82</v>
      </c>
      <c r="C12" s="21">
        <v>436</v>
      </c>
      <c r="D12" s="21">
        <v>356</v>
      </c>
      <c r="E12" s="21">
        <v>268</v>
      </c>
      <c r="F12" s="21">
        <v>178</v>
      </c>
      <c r="G12" s="21">
        <v>85</v>
      </c>
      <c r="H12" s="21">
        <v>54</v>
      </c>
      <c r="I12" s="21">
        <v>44</v>
      </c>
      <c r="J12" s="21">
        <v>37</v>
      </c>
      <c r="K12" s="21">
        <v>46</v>
      </c>
      <c r="L12" s="21">
        <v>97</v>
      </c>
      <c r="M12" s="21">
        <v>237</v>
      </c>
      <c r="N12" s="21">
        <v>386</v>
      </c>
      <c r="O12" s="21">
        <v>403</v>
      </c>
      <c r="P12" s="21">
        <v>356</v>
      </c>
      <c r="Q12" s="21">
        <v>277</v>
      </c>
      <c r="R12" s="21">
        <v>193</v>
      </c>
      <c r="S12" s="21">
        <v>96</v>
      </c>
      <c r="T12" s="21">
        <v>54</v>
      </c>
      <c r="U12" s="21">
        <v>51</v>
      </c>
      <c r="V12" s="21">
        <v>50</v>
      </c>
      <c r="W12" s="21">
        <v>56</v>
      </c>
      <c r="X12" s="21">
        <v>131</v>
      </c>
      <c r="Y12" s="21">
        <v>246</v>
      </c>
      <c r="Z12" s="21">
        <v>438</v>
      </c>
      <c r="AA12" s="21">
        <v>506</v>
      </c>
      <c r="AB12" s="21">
        <v>362</v>
      </c>
      <c r="AC12" s="21">
        <v>262</v>
      </c>
      <c r="AD12" s="21">
        <v>154</v>
      </c>
      <c r="AE12" s="21">
        <v>108</v>
      </c>
      <c r="AF12" s="21">
        <v>63</v>
      </c>
      <c r="AG12" s="21">
        <v>48</v>
      </c>
      <c r="AH12" s="21">
        <v>41</v>
      </c>
      <c r="AI12" s="21">
        <v>52</v>
      </c>
      <c r="AJ12" s="21">
        <v>130</v>
      </c>
      <c r="AK12" s="31">
        <f t="shared" ref="AK12:AL12" si="7">Y12+Y12*(AJ12-X12)/X12</f>
        <v>244.12213740458014</v>
      </c>
      <c r="AL12" s="31">
        <f t="shared" si="7"/>
        <v>434.6564885496183</v>
      </c>
    </row>
    <row r="13" spans="1:38" x14ac:dyDescent="0.3">
      <c r="A13" s="24" t="s">
        <v>83</v>
      </c>
      <c r="B13" s="22" t="s">
        <v>84</v>
      </c>
      <c r="C13" s="21">
        <v>55</v>
      </c>
      <c r="D13" s="21">
        <v>44</v>
      </c>
      <c r="E13" s="21">
        <v>28</v>
      </c>
      <c r="F13" s="21">
        <v>17</v>
      </c>
      <c r="G13" s="21">
        <v>15</v>
      </c>
      <c r="H13" s="21">
        <v>19</v>
      </c>
      <c r="I13" s="21">
        <v>30</v>
      </c>
      <c r="J13" s="21">
        <v>35</v>
      </c>
      <c r="K13" s="21">
        <v>20</v>
      </c>
      <c r="L13" s="21">
        <v>12</v>
      </c>
      <c r="M13" s="21">
        <v>26</v>
      </c>
      <c r="N13" s="21">
        <v>48</v>
      </c>
      <c r="O13" s="21">
        <v>49</v>
      </c>
      <c r="P13" s="21">
        <v>43</v>
      </c>
      <c r="Q13" s="21">
        <v>29</v>
      </c>
      <c r="R13" s="21">
        <v>16</v>
      </c>
      <c r="S13" s="21">
        <v>13</v>
      </c>
      <c r="T13" s="21">
        <v>24</v>
      </c>
      <c r="U13" s="21">
        <v>29</v>
      </c>
      <c r="V13" s="21">
        <v>37</v>
      </c>
      <c r="W13" s="21">
        <v>20</v>
      </c>
      <c r="X13" s="21">
        <v>12</v>
      </c>
      <c r="Y13" s="21">
        <v>26</v>
      </c>
      <c r="Z13" s="21">
        <v>54</v>
      </c>
      <c r="AA13" s="21">
        <v>68</v>
      </c>
      <c r="AB13" s="21">
        <v>46</v>
      </c>
      <c r="AC13" s="21">
        <v>30</v>
      </c>
      <c r="AD13" s="21">
        <v>16</v>
      </c>
      <c r="AE13" s="21">
        <v>17</v>
      </c>
      <c r="AF13" s="21">
        <v>31</v>
      </c>
      <c r="AG13" s="21">
        <v>50</v>
      </c>
      <c r="AH13" s="21">
        <v>46</v>
      </c>
      <c r="AI13" s="21">
        <v>30</v>
      </c>
      <c r="AJ13" s="21">
        <v>13</v>
      </c>
      <c r="AK13" s="31">
        <f t="shared" ref="AK13:AL13" si="8">Y13+Y13*(AJ13-X13)/X13</f>
        <v>28.166666666666668</v>
      </c>
      <c r="AL13" s="31">
        <f t="shared" si="8"/>
        <v>58.5</v>
      </c>
    </row>
    <row r="14" spans="1:38" x14ac:dyDescent="0.3">
      <c r="A14" s="22" t="s">
        <v>90</v>
      </c>
      <c r="B14" s="22" t="s">
        <v>82</v>
      </c>
      <c r="C14" s="21">
        <v>40</v>
      </c>
      <c r="D14" s="21">
        <v>39</v>
      </c>
      <c r="E14" s="21">
        <v>34</v>
      </c>
      <c r="F14" s="21">
        <v>36</v>
      </c>
      <c r="G14" s="21">
        <v>33</v>
      </c>
      <c r="H14" s="21">
        <v>34</v>
      </c>
      <c r="I14" s="21">
        <v>36</v>
      </c>
      <c r="J14" s="21">
        <v>48</v>
      </c>
      <c r="K14" s="21">
        <v>42</v>
      </c>
      <c r="L14" s="21">
        <v>34</v>
      </c>
      <c r="M14" s="21">
        <v>35</v>
      </c>
      <c r="N14" s="21">
        <v>37</v>
      </c>
      <c r="O14" s="21">
        <v>51</v>
      </c>
      <c r="P14" s="21">
        <v>51</v>
      </c>
      <c r="Q14" s="21">
        <v>48</v>
      </c>
      <c r="R14" s="21">
        <v>48</v>
      </c>
      <c r="S14" s="21">
        <v>45</v>
      </c>
      <c r="T14" s="21">
        <v>47</v>
      </c>
      <c r="U14" s="21">
        <v>49</v>
      </c>
      <c r="V14" s="21">
        <v>58</v>
      </c>
      <c r="W14" s="21">
        <v>62</v>
      </c>
      <c r="X14" s="21">
        <v>46</v>
      </c>
      <c r="Y14" s="21">
        <v>48</v>
      </c>
      <c r="Z14" s="21">
        <v>50</v>
      </c>
      <c r="AA14" s="21">
        <v>60</v>
      </c>
      <c r="AB14" s="21">
        <v>57</v>
      </c>
      <c r="AC14" s="21">
        <v>49</v>
      </c>
      <c r="AD14" s="21">
        <v>51</v>
      </c>
      <c r="AE14" s="21">
        <v>48</v>
      </c>
      <c r="AF14" s="21">
        <v>50</v>
      </c>
      <c r="AG14" s="21">
        <v>58</v>
      </c>
      <c r="AH14" s="21">
        <v>78</v>
      </c>
      <c r="AI14" s="21">
        <v>60</v>
      </c>
      <c r="AJ14" s="21">
        <v>51</v>
      </c>
      <c r="AK14" s="31">
        <f t="shared" ref="AK14:AL14" si="9">Y14+Y14*(AJ14-X14)/X14</f>
        <v>53.217391304347828</v>
      </c>
      <c r="AL14" s="31">
        <f t="shared" si="9"/>
        <v>55.434782608695656</v>
      </c>
    </row>
    <row r="15" spans="1:38" x14ac:dyDescent="0.3">
      <c r="A15" s="25" t="s">
        <v>83</v>
      </c>
      <c r="B15" s="23" t="s">
        <v>84</v>
      </c>
      <c r="C15" s="21">
        <v>14</v>
      </c>
      <c r="D15" s="21">
        <v>13</v>
      </c>
      <c r="E15" s="21">
        <v>11</v>
      </c>
      <c r="F15" s="21">
        <v>10</v>
      </c>
      <c r="G15" s="21">
        <v>10</v>
      </c>
      <c r="H15" s="21">
        <v>10</v>
      </c>
      <c r="I15" s="21">
        <v>11</v>
      </c>
      <c r="J15" s="21">
        <v>12</v>
      </c>
      <c r="K15" s="21">
        <v>11</v>
      </c>
      <c r="L15" s="21">
        <v>10</v>
      </c>
      <c r="M15" s="21">
        <v>10</v>
      </c>
      <c r="N15" s="21">
        <v>12</v>
      </c>
      <c r="O15" s="21">
        <v>16</v>
      </c>
      <c r="P15" s="21">
        <v>16</v>
      </c>
      <c r="Q15" s="21">
        <v>14</v>
      </c>
      <c r="R15" s="21">
        <v>12</v>
      </c>
      <c r="S15" s="21">
        <v>12</v>
      </c>
      <c r="T15" s="21">
        <v>13</v>
      </c>
      <c r="U15" s="21">
        <v>13</v>
      </c>
      <c r="V15" s="21">
        <v>15</v>
      </c>
      <c r="W15" s="21">
        <v>14</v>
      </c>
      <c r="X15" s="21">
        <v>12</v>
      </c>
      <c r="Y15" s="21">
        <v>12</v>
      </c>
      <c r="Z15" s="21">
        <v>15</v>
      </c>
      <c r="AA15" s="21">
        <v>20</v>
      </c>
      <c r="AB15" s="21">
        <v>19</v>
      </c>
      <c r="AC15" s="21">
        <v>17</v>
      </c>
      <c r="AD15" s="21">
        <v>16</v>
      </c>
      <c r="AE15" s="21">
        <v>15</v>
      </c>
      <c r="AF15" s="21">
        <v>16</v>
      </c>
      <c r="AG15" s="21">
        <v>17</v>
      </c>
      <c r="AH15" s="21">
        <v>19</v>
      </c>
      <c r="AI15" s="21">
        <v>17</v>
      </c>
      <c r="AJ15" s="21">
        <v>15</v>
      </c>
      <c r="AK15" s="31">
        <f t="shared" ref="AK15:AL15" si="10">Y15+Y15*(AJ15-X15)/X15</f>
        <v>15</v>
      </c>
      <c r="AL15" s="31">
        <f t="shared" si="10"/>
        <v>18.75</v>
      </c>
    </row>
    <row r="17" spans="1:12" x14ac:dyDescent="0.3">
      <c r="A17" s="19" t="s">
        <v>55</v>
      </c>
      <c r="B17" s="19" t="s">
        <v>56</v>
      </c>
      <c r="C17" s="26">
        <v>2019</v>
      </c>
      <c r="D17" s="26">
        <v>2020</v>
      </c>
      <c r="E17" s="26">
        <v>2021</v>
      </c>
      <c r="F17" t="s">
        <v>91</v>
      </c>
      <c r="G17" s="19" t="s">
        <v>55</v>
      </c>
      <c r="H17" s="19" t="s">
        <v>56</v>
      </c>
      <c r="I17" s="29">
        <v>2019</v>
      </c>
      <c r="J17" s="29">
        <v>2020</v>
      </c>
      <c r="K17" s="26">
        <v>2021</v>
      </c>
      <c r="L17" t="s">
        <v>92</v>
      </c>
    </row>
    <row r="18" spans="1:12" x14ac:dyDescent="0.3">
      <c r="A18" s="22" t="s">
        <v>81</v>
      </c>
      <c r="B18" s="22" t="s">
        <v>82</v>
      </c>
      <c r="C18" s="18">
        <f>SUM(C2:N2)</f>
        <v>22567</v>
      </c>
      <c r="D18" s="18">
        <f>SUM(D2:O2)</f>
        <v>22211</v>
      </c>
      <c r="E18" s="18">
        <f>SUM(AA2:AL2)</f>
        <v>23704.455724820378</v>
      </c>
      <c r="G18" s="22" t="s">
        <v>81</v>
      </c>
      <c r="H18" s="22" t="s">
        <v>82</v>
      </c>
      <c r="I18" s="32">
        <f>C18*About!$B$30*10^9</f>
        <v>895528517700000.13</v>
      </c>
      <c r="J18" s="32">
        <f>D18*About!$B$30*10^9</f>
        <v>881401334100000.13</v>
      </c>
      <c r="K18" s="32">
        <f>E18*About!$B$30*10^9</f>
        <v>940666286973619.63</v>
      </c>
    </row>
    <row r="19" spans="1:12" x14ac:dyDescent="0.3">
      <c r="A19" s="24" t="s">
        <v>83</v>
      </c>
      <c r="B19" s="22" t="s">
        <v>84</v>
      </c>
      <c r="C19" s="18">
        <f>SUM(C3:N3)+B42</f>
        <v>22888</v>
      </c>
      <c r="D19" s="18">
        <f>SUM(D3:O3)+C42</f>
        <v>22586</v>
      </c>
      <c r="E19" s="18">
        <f>SUM(E3:P3)+D42</f>
        <v>22760.5431348325</v>
      </c>
      <c r="G19" s="24" t="s">
        <v>83</v>
      </c>
      <c r="H19" s="22" t="s">
        <v>84</v>
      </c>
      <c r="I19" s="32">
        <f>C19*About!$B$30*10^9</f>
        <v>908266792800000</v>
      </c>
      <c r="J19" s="32">
        <f>D19*About!$B$30*10^9</f>
        <v>896282496600000.13</v>
      </c>
      <c r="K19" s="32">
        <f>E19*About!$B$30*10^9</f>
        <v>903208909273871.63</v>
      </c>
    </row>
    <row r="20" spans="1:12" x14ac:dyDescent="0.3">
      <c r="A20" s="22" t="s">
        <v>85</v>
      </c>
      <c r="B20" s="22" t="s">
        <v>82</v>
      </c>
      <c r="C20" s="18">
        <f t="shared" ref="C20:D30" si="11">SUM(C4:N4)</f>
        <v>306</v>
      </c>
      <c r="D20" s="18">
        <f t="shared" si="11"/>
        <v>288</v>
      </c>
      <c r="E20" s="18">
        <f>SUM(AA4:AL4)</f>
        <v>198</v>
      </c>
      <c r="G20" s="22" t="s">
        <v>85</v>
      </c>
      <c r="H20" s="22" t="s">
        <v>82</v>
      </c>
      <c r="I20" s="32">
        <f>C20*About!$B$30*10^9</f>
        <v>12143028600000.002</v>
      </c>
      <c r="J20" s="32">
        <f>D20*About!$B$30*10^9</f>
        <v>11428732800000.002</v>
      </c>
      <c r="K20" s="32">
        <f>E20*About!$B$30*10^9</f>
        <v>7857253800000</v>
      </c>
    </row>
    <row r="21" spans="1:12" x14ac:dyDescent="0.3">
      <c r="A21" s="24" t="s">
        <v>83</v>
      </c>
      <c r="B21" s="22" t="s">
        <v>84</v>
      </c>
      <c r="C21" s="18">
        <f t="shared" si="11"/>
        <v>0</v>
      </c>
      <c r="D21" s="18">
        <f t="shared" si="11"/>
        <v>0</v>
      </c>
      <c r="E21" s="18">
        <f>SUM(E5:P5)</f>
        <v>0</v>
      </c>
      <c r="G21" s="24" t="s">
        <v>83</v>
      </c>
      <c r="H21" s="22" t="s">
        <v>84</v>
      </c>
      <c r="I21" s="32">
        <f>C21*About!$B$30*10^9</f>
        <v>0</v>
      </c>
      <c r="J21" s="32">
        <f>D21*About!$B$30*10^9</f>
        <v>0</v>
      </c>
      <c r="K21" s="32">
        <f>E21*About!$B$30*10^9</f>
        <v>0</v>
      </c>
    </row>
    <row r="22" spans="1:12" x14ac:dyDescent="0.3">
      <c r="A22" s="22" t="s">
        <v>86</v>
      </c>
      <c r="B22" s="22" t="s">
        <v>82</v>
      </c>
      <c r="C22" s="18">
        <f t="shared" si="11"/>
        <v>3051</v>
      </c>
      <c r="D22" s="18">
        <f t="shared" si="11"/>
        <v>2877</v>
      </c>
      <c r="E22" s="18">
        <f>SUM(AA6:AL6)</f>
        <v>2871.7653061224491</v>
      </c>
      <c r="G22" s="22" t="s">
        <v>86</v>
      </c>
      <c r="H22" s="22" t="s">
        <v>82</v>
      </c>
      <c r="I22" s="32">
        <f>C22*About!$B$30*10^9</f>
        <v>121073138100000.02</v>
      </c>
      <c r="J22" s="32">
        <f>D22*About!$B$30*10^9</f>
        <v>114168278700000.02</v>
      </c>
      <c r="K22" s="32">
        <f>E22*About!$B$30*10^9</f>
        <v>113960549819387.77</v>
      </c>
    </row>
    <row r="23" spans="1:12" x14ac:dyDescent="0.3">
      <c r="A23" s="24" t="s">
        <v>83</v>
      </c>
      <c r="B23" s="22" t="s">
        <v>84</v>
      </c>
      <c r="C23" s="18">
        <f>SUM(C7:N7)+B43</f>
        <v>3053</v>
      </c>
      <c r="D23" s="18">
        <f>SUM(D7:O7)+C43</f>
        <v>2867</v>
      </c>
      <c r="E23" s="18">
        <f>SUM(E7:P7)+D43</f>
        <v>2821.7816091954023</v>
      </c>
      <c r="G23" s="24" t="s">
        <v>83</v>
      </c>
      <c r="H23" s="22" t="s">
        <v>84</v>
      </c>
      <c r="I23" s="32">
        <f>C23*About!$B$30*10^9</f>
        <v>121152504300000.02</v>
      </c>
      <c r="J23" s="32">
        <f>D23*About!$B$30*10^9</f>
        <v>113771447700000</v>
      </c>
      <c r="K23" s="32">
        <f>E23*About!$B$30*10^9</f>
        <v>111977041775862.08</v>
      </c>
    </row>
    <row r="24" spans="1:12" x14ac:dyDescent="0.3">
      <c r="A24" s="22" t="s">
        <v>87</v>
      </c>
      <c r="B24" s="22" t="s">
        <v>82</v>
      </c>
      <c r="C24" s="18">
        <f t="shared" si="11"/>
        <v>10479</v>
      </c>
      <c r="D24" s="18">
        <f t="shared" si="11"/>
        <v>10335</v>
      </c>
      <c r="E24" s="18">
        <f>SUM(AA8:AL8)</f>
        <v>10848.48368522073</v>
      </c>
      <c r="G24" s="22" t="s">
        <v>87</v>
      </c>
      <c r="H24" s="22" t="s">
        <v>82</v>
      </c>
      <c r="I24" s="32">
        <f>C24*About!$B$30*10^9</f>
        <v>415839204900000</v>
      </c>
      <c r="J24" s="32">
        <f>D24*About!$B$30*10^9</f>
        <v>410124838500000</v>
      </c>
      <c r="K24" s="32">
        <f>E24*About!$B$30*10^9</f>
        <v>430501462928982.81</v>
      </c>
    </row>
    <row r="25" spans="1:12" x14ac:dyDescent="0.3">
      <c r="A25" s="24" t="s">
        <v>83</v>
      </c>
      <c r="B25" s="22" t="s">
        <v>84</v>
      </c>
      <c r="C25" s="18">
        <f>SUM(C9:N9)+B44</f>
        <v>3709</v>
      </c>
      <c r="D25" s="18">
        <f>SUM(D9:O9)+C44</f>
        <v>3643</v>
      </c>
      <c r="E25" s="18">
        <f>SUM(E9:P9)+D44</f>
        <v>3632.3333333333335</v>
      </c>
      <c r="G25" s="24" t="s">
        <v>83</v>
      </c>
      <c r="H25" s="22" t="s">
        <v>84</v>
      </c>
      <c r="I25" s="32">
        <f>C25*About!$B$30*10^9</f>
        <v>147184617900000</v>
      </c>
      <c r="J25" s="32">
        <f>D25*About!$B$30*10^9</f>
        <v>144565533300000</v>
      </c>
      <c r="K25" s="32">
        <f>E25*About!$B$30*10^9</f>
        <v>144142246900000.03</v>
      </c>
    </row>
    <row r="26" spans="1:12" x14ac:dyDescent="0.3">
      <c r="A26" s="22" t="s">
        <v>88</v>
      </c>
      <c r="B26" s="22" t="s">
        <v>82</v>
      </c>
      <c r="C26" s="18">
        <f t="shared" si="11"/>
        <v>6059</v>
      </c>
      <c r="D26" s="18">
        <f t="shared" si="11"/>
        <v>6060</v>
      </c>
      <c r="E26" s="18">
        <f>SUM(AA10:AL10)</f>
        <v>6709.7759336099589</v>
      </c>
      <c r="G26" s="22" t="s">
        <v>88</v>
      </c>
      <c r="H26" s="22" t="s">
        <v>82</v>
      </c>
      <c r="I26" s="32">
        <f>C26*About!$B$30*10^9</f>
        <v>240439902900000</v>
      </c>
      <c r="J26" s="32">
        <f>D26*About!$B$30*10^9</f>
        <v>240479586000000</v>
      </c>
      <c r="K26" s="32">
        <f>E26*About!$B$30*10^9</f>
        <v>266264709351037.41</v>
      </c>
    </row>
    <row r="27" spans="1:12" x14ac:dyDescent="0.3">
      <c r="A27" s="24" t="s">
        <v>83</v>
      </c>
      <c r="B27" s="22" t="s">
        <v>84</v>
      </c>
      <c r="C27" s="18">
        <f>SUM(C11:N11)+B45</f>
        <v>14372</v>
      </c>
      <c r="D27" s="18">
        <f>SUM(D11:O11)+C45</f>
        <v>14243</v>
      </c>
      <c r="E27" s="18">
        <f>SUM(E11:P11)+D45</f>
        <v>14369.366336633662</v>
      </c>
      <c r="G27" s="24" t="s">
        <v>83</v>
      </c>
      <c r="H27" s="22" t="s">
        <v>84</v>
      </c>
      <c r="I27" s="32">
        <f>C27*About!$B$30*10^9</f>
        <v>570325513200000</v>
      </c>
      <c r="J27" s="32">
        <f>D27*About!$B$30*10^9</f>
        <v>565206393300000</v>
      </c>
      <c r="K27" s="32">
        <f>E27*About!$B$30*10^9</f>
        <v>570221001273267.38</v>
      </c>
    </row>
    <row r="28" spans="1:12" x14ac:dyDescent="0.3">
      <c r="A28" s="22" t="s">
        <v>89</v>
      </c>
      <c r="B28" s="22" t="s">
        <v>82</v>
      </c>
      <c r="C28" s="18">
        <f t="shared" si="11"/>
        <v>2224</v>
      </c>
      <c r="D28" s="18">
        <f t="shared" si="11"/>
        <v>2191</v>
      </c>
      <c r="E28" s="18">
        <f>SUM(AA12:AL12)</f>
        <v>2404.7786259541986</v>
      </c>
      <c r="G28" s="22" t="s">
        <v>89</v>
      </c>
      <c r="H28" s="22" t="s">
        <v>82</v>
      </c>
      <c r="I28" s="32">
        <f>C28*About!$B$30*10^9</f>
        <v>88255214400000.016</v>
      </c>
      <c r="J28" s="32">
        <f>D28*About!$B$30*10^9</f>
        <v>86945672100000.016</v>
      </c>
      <c r="K28" s="32">
        <f>E28*About!$B$30*10^9</f>
        <v>95429070691603.063</v>
      </c>
    </row>
    <row r="29" spans="1:12" x14ac:dyDescent="0.3">
      <c r="A29" s="24" t="s">
        <v>83</v>
      </c>
      <c r="B29" s="22" t="s">
        <v>84</v>
      </c>
      <c r="C29" s="18">
        <f>SUM(C13:N13)+B46</f>
        <v>425</v>
      </c>
      <c r="D29" s="18">
        <f>SUM(D13:O13)+C46</f>
        <v>409</v>
      </c>
      <c r="E29" s="18">
        <f>SUM(E13:P13)+D46</f>
        <v>412</v>
      </c>
      <c r="G29" s="24" t="s">
        <v>83</v>
      </c>
      <c r="H29" s="22" t="s">
        <v>84</v>
      </c>
      <c r="I29" s="32">
        <f>C29*About!$B$30*10^9</f>
        <v>16865317500000.002</v>
      </c>
      <c r="J29" s="32">
        <f>D29*About!$B$30*10^9</f>
        <v>16230387900000.002</v>
      </c>
      <c r="K29" s="32">
        <f>E29*About!$B$30*10^9</f>
        <v>16349437200000.002</v>
      </c>
    </row>
    <row r="30" spans="1:12" x14ac:dyDescent="0.3">
      <c r="A30" s="22" t="s">
        <v>90</v>
      </c>
      <c r="B30" s="22" t="s">
        <v>82</v>
      </c>
      <c r="C30" s="18">
        <f t="shared" si="11"/>
        <v>448</v>
      </c>
      <c r="D30" s="18">
        <f t="shared" si="11"/>
        <v>459</v>
      </c>
      <c r="E30" s="18">
        <f>SUM(AA14:AL14)</f>
        <v>670.6521739130435</v>
      </c>
      <c r="G30" s="22" t="s">
        <v>90</v>
      </c>
      <c r="H30" s="22" t="s">
        <v>82</v>
      </c>
      <c r="I30" s="32">
        <f>C30*About!$B$30*10^9</f>
        <v>17778028800000</v>
      </c>
      <c r="J30" s="32">
        <f>D30*About!$B$30*10^9</f>
        <v>18214542900000</v>
      </c>
      <c r="K30" s="32">
        <f>E30*About!$B$30*10^9</f>
        <v>26613557282608.699</v>
      </c>
    </row>
    <row r="31" spans="1:12" x14ac:dyDescent="0.3">
      <c r="A31" s="25" t="s">
        <v>83</v>
      </c>
      <c r="B31" s="23" t="s">
        <v>84</v>
      </c>
      <c r="C31" s="18">
        <f>SUM(C15:N15)+B47</f>
        <v>1340</v>
      </c>
      <c r="D31" s="18">
        <f>SUM(D15:O15)+C47</f>
        <v>1430</v>
      </c>
      <c r="E31" s="18">
        <f>SUM(E15:P15)+D47</f>
        <v>1534.0618556701031</v>
      </c>
      <c r="G31" s="25" t="s">
        <v>83</v>
      </c>
      <c r="H31" s="23" t="s">
        <v>84</v>
      </c>
      <c r="I31" s="32">
        <f>C31*About!$B$30*10^9</f>
        <v>53175354000000.008</v>
      </c>
      <c r="J31" s="32">
        <f>D31*About!$B$30*10^9</f>
        <v>56746833000000.008</v>
      </c>
      <c r="K31" s="32">
        <f>E31*About!$B$30*10^9</f>
        <v>60876330024742.273</v>
      </c>
    </row>
    <row r="33" spans="1:37" x14ac:dyDescent="0.3">
      <c r="A33" s="19" t="s">
        <v>55</v>
      </c>
      <c r="B33" s="20" t="s">
        <v>57</v>
      </c>
      <c r="C33" s="20" t="s">
        <v>58</v>
      </c>
      <c r="D33" s="20" t="s">
        <v>59</v>
      </c>
      <c r="E33" s="20" t="s">
        <v>60</v>
      </c>
      <c r="F33" s="20" t="s">
        <v>61</v>
      </c>
      <c r="G33" s="20" t="s">
        <v>62</v>
      </c>
      <c r="H33" s="20" t="s">
        <v>63</v>
      </c>
      <c r="I33" s="20" t="s">
        <v>64</v>
      </c>
      <c r="J33" s="20" t="s">
        <v>65</v>
      </c>
      <c r="K33" s="20" t="s">
        <v>66</v>
      </c>
      <c r="L33" s="20" t="s">
        <v>67</v>
      </c>
      <c r="M33" s="20" t="s">
        <v>68</v>
      </c>
      <c r="N33" s="20" t="s">
        <v>69</v>
      </c>
      <c r="O33" s="20" t="s">
        <v>70</v>
      </c>
      <c r="P33" s="20" t="s">
        <v>71</v>
      </c>
      <c r="Q33" s="20" t="s">
        <v>72</v>
      </c>
      <c r="R33" s="20" t="s">
        <v>73</v>
      </c>
      <c r="S33" s="20" t="s">
        <v>74</v>
      </c>
      <c r="T33" s="20" t="s">
        <v>75</v>
      </c>
      <c r="U33" s="20" t="s">
        <v>76</v>
      </c>
      <c r="V33" s="20" t="s">
        <v>77</v>
      </c>
      <c r="W33" s="20" t="s">
        <v>78</v>
      </c>
      <c r="X33" s="20" t="s">
        <v>79</v>
      </c>
      <c r="Y33" s="20" t="s">
        <v>80</v>
      </c>
      <c r="Z33" s="20" t="s">
        <v>94</v>
      </c>
      <c r="AA33" s="20" t="s">
        <v>95</v>
      </c>
      <c r="AB33" s="20" t="s">
        <v>96</v>
      </c>
      <c r="AC33" s="20" t="s">
        <v>97</v>
      </c>
      <c r="AD33" s="20" t="s">
        <v>98</v>
      </c>
      <c r="AE33" s="20" t="s">
        <v>99</v>
      </c>
      <c r="AF33" s="20" t="s">
        <v>100</v>
      </c>
      <c r="AG33" s="20" t="s">
        <v>101</v>
      </c>
      <c r="AH33" s="20" t="s">
        <v>102</v>
      </c>
      <c r="AI33" s="20" t="s">
        <v>103</v>
      </c>
      <c r="AJ33" s="30" t="s">
        <v>104</v>
      </c>
      <c r="AK33" s="30" t="s">
        <v>105</v>
      </c>
    </row>
    <row r="34" spans="1:37" x14ac:dyDescent="0.3">
      <c r="A34" s="22" t="s">
        <v>81</v>
      </c>
      <c r="B34" s="21">
        <v>579</v>
      </c>
      <c r="C34" s="21">
        <v>485</v>
      </c>
      <c r="D34" s="21">
        <v>457</v>
      </c>
      <c r="E34" s="21">
        <v>436</v>
      </c>
      <c r="F34" s="21">
        <v>390</v>
      </c>
      <c r="G34" s="21">
        <v>400</v>
      </c>
      <c r="H34" s="21">
        <v>429</v>
      </c>
      <c r="I34" s="21">
        <v>457</v>
      </c>
      <c r="J34" s="21">
        <v>420</v>
      </c>
      <c r="K34" s="21">
        <v>402</v>
      </c>
      <c r="L34" s="21">
        <v>432</v>
      </c>
      <c r="M34" s="21">
        <v>513</v>
      </c>
      <c r="N34" s="21">
        <v>526</v>
      </c>
      <c r="O34" s="21">
        <v>482</v>
      </c>
      <c r="P34" s="21">
        <v>435</v>
      </c>
      <c r="Q34" s="21">
        <v>394</v>
      </c>
      <c r="R34" s="21">
        <v>377</v>
      </c>
      <c r="S34" s="21">
        <v>404</v>
      </c>
      <c r="T34" s="21">
        <v>420</v>
      </c>
      <c r="U34" s="21">
        <v>432</v>
      </c>
      <c r="V34" s="21">
        <v>448</v>
      </c>
      <c r="W34" s="21">
        <v>391</v>
      </c>
      <c r="X34" s="21">
        <v>430</v>
      </c>
      <c r="Y34" s="21">
        <v>512</v>
      </c>
      <c r="Z34" s="21">
        <v>562</v>
      </c>
      <c r="AA34" s="21">
        <v>492</v>
      </c>
      <c r="AB34" s="21">
        <v>470</v>
      </c>
      <c r="AC34" s="21">
        <v>415</v>
      </c>
      <c r="AD34" s="21">
        <v>394</v>
      </c>
      <c r="AE34" s="21">
        <v>418</v>
      </c>
      <c r="AF34" s="21">
        <v>452</v>
      </c>
      <c r="AG34" s="21">
        <v>458</v>
      </c>
      <c r="AH34" s="21">
        <v>432</v>
      </c>
      <c r="AI34" s="21">
        <v>414</v>
      </c>
      <c r="AJ34">
        <f>SUM(AJ35:AJ39)</f>
        <v>453.26209407289821</v>
      </c>
      <c r="AK34">
        <f>SUM(AK35:AK39)</f>
        <v>542.28104075960391</v>
      </c>
    </row>
    <row r="35" spans="1:37" x14ac:dyDescent="0.3">
      <c r="A35" s="22" t="s">
        <v>86</v>
      </c>
      <c r="B35" s="21">
        <v>163</v>
      </c>
      <c r="C35" s="21">
        <v>115</v>
      </c>
      <c r="D35" s="21">
        <v>108</v>
      </c>
      <c r="E35" s="21">
        <v>103</v>
      </c>
      <c r="F35" s="21">
        <v>96</v>
      </c>
      <c r="G35" s="21">
        <v>97</v>
      </c>
      <c r="H35" s="21">
        <v>90</v>
      </c>
      <c r="I35" s="21">
        <v>96</v>
      </c>
      <c r="J35" s="21">
        <v>78</v>
      </c>
      <c r="K35" s="21">
        <v>98</v>
      </c>
      <c r="L35" s="21">
        <v>112</v>
      </c>
      <c r="M35" s="21">
        <v>122</v>
      </c>
      <c r="N35" s="21">
        <v>116</v>
      </c>
      <c r="O35" s="21">
        <v>104</v>
      </c>
      <c r="P35" s="21">
        <v>99</v>
      </c>
      <c r="Q35" s="21">
        <v>90</v>
      </c>
      <c r="R35" s="21">
        <v>90</v>
      </c>
      <c r="S35" s="21">
        <v>93</v>
      </c>
      <c r="T35" s="21">
        <v>82</v>
      </c>
      <c r="U35" s="21">
        <v>68</v>
      </c>
      <c r="V35" s="21">
        <v>93</v>
      </c>
      <c r="W35" s="21">
        <v>87</v>
      </c>
      <c r="X35" s="21">
        <v>98</v>
      </c>
      <c r="Y35" s="21">
        <v>110</v>
      </c>
      <c r="Z35" s="21">
        <v>121</v>
      </c>
      <c r="AA35" s="21">
        <v>97</v>
      </c>
      <c r="AB35" s="21">
        <v>106</v>
      </c>
      <c r="AC35" s="21">
        <v>80</v>
      </c>
      <c r="AD35" s="21">
        <v>86</v>
      </c>
      <c r="AE35" s="21">
        <v>80</v>
      </c>
      <c r="AF35" s="21">
        <v>79</v>
      </c>
      <c r="AG35" s="21">
        <v>80</v>
      </c>
      <c r="AH35" s="21">
        <v>75</v>
      </c>
      <c r="AI35" s="21">
        <v>89</v>
      </c>
      <c r="AJ35">
        <f t="shared" ref="AJ35:AJ39" si="12">X35+X35*(AI35-W35)/W35</f>
        <v>100.25287356321839</v>
      </c>
      <c r="AK35">
        <f t="shared" ref="AK35:AK39" si="13">Y35+Y35*(AJ35-X35)/X35</f>
        <v>112.52873563218391</v>
      </c>
    </row>
    <row r="36" spans="1:37" x14ac:dyDescent="0.3">
      <c r="A36" s="22" t="s">
        <v>87</v>
      </c>
      <c r="B36" s="21">
        <v>14</v>
      </c>
      <c r="C36" s="21">
        <v>12</v>
      </c>
      <c r="D36" s="21">
        <v>8</v>
      </c>
      <c r="E36" s="21">
        <v>5</v>
      </c>
      <c r="F36" s="21">
        <v>3</v>
      </c>
      <c r="G36" s="21">
        <v>3</v>
      </c>
      <c r="H36" s="21">
        <v>4</v>
      </c>
      <c r="I36" s="21">
        <v>5</v>
      </c>
      <c r="J36" s="21">
        <v>4</v>
      </c>
      <c r="K36" s="21">
        <v>3</v>
      </c>
      <c r="L36" s="21">
        <v>6</v>
      </c>
      <c r="M36" s="21">
        <v>12</v>
      </c>
      <c r="N36" s="21">
        <v>12</v>
      </c>
      <c r="O36" s="21">
        <v>10</v>
      </c>
      <c r="P36" s="21">
        <v>7</v>
      </c>
      <c r="Q36" s="21">
        <v>4</v>
      </c>
      <c r="R36" s="21">
        <v>2</v>
      </c>
      <c r="S36" s="21">
        <v>3</v>
      </c>
      <c r="T36" s="21">
        <v>4</v>
      </c>
      <c r="U36" s="21">
        <v>4</v>
      </c>
      <c r="V36" s="21">
        <v>4</v>
      </c>
      <c r="W36" s="21">
        <v>3</v>
      </c>
      <c r="X36" s="21">
        <v>5</v>
      </c>
      <c r="Y36" s="21">
        <v>11</v>
      </c>
      <c r="Z36" s="21">
        <v>14</v>
      </c>
      <c r="AA36" s="21">
        <v>11</v>
      </c>
      <c r="AB36" s="21">
        <v>8</v>
      </c>
      <c r="AC36" s="21">
        <v>5</v>
      </c>
      <c r="AD36" s="21">
        <v>3</v>
      </c>
      <c r="AE36" s="21">
        <v>5</v>
      </c>
      <c r="AF36" s="21">
        <v>7</v>
      </c>
      <c r="AG36" s="21">
        <v>7</v>
      </c>
      <c r="AH36" s="21">
        <v>5</v>
      </c>
      <c r="AI36" s="21">
        <v>4</v>
      </c>
      <c r="AJ36">
        <f t="shared" si="12"/>
        <v>6.666666666666667</v>
      </c>
      <c r="AK36">
        <f t="shared" si="13"/>
        <v>14.666666666666668</v>
      </c>
    </row>
    <row r="37" spans="1:37" x14ac:dyDescent="0.3">
      <c r="A37" s="22" t="s">
        <v>88</v>
      </c>
      <c r="B37" s="21">
        <v>271</v>
      </c>
      <c r="C37" s="21">
        <v>243</v>
      </c>
      <c r="D37" s="21">
        <v>233</v>
      </c>
      <c r="E37" s="21">
        <v>225</v>
      </c>
      <c r="F37" s="21">
        <v>200</v>
      </c>
      <c r="G37" s="21">
        <v>207</v>
      </c>
      <c r="H37" s="21">
        <v>230</v>
      </c>
      <c r="I37" s="21">
        <v>244</v>
      </c>
      <c r="J37" s="21">
        <v>233</v>
      </c>
      <c r="K37" s="21">
        <v>208</v>
      </c>
      <c r="L37" s="21">
        <v>215</v>
      </c>
      <c r="M37" s="21">
        <v>256</v>
      </c>
      <c r="N37" s="21">
        <v>262</v>
      </c>
      <c r="O37" s="21">
        <v>242</v>
      </c>
      <c r="P37" s="21">
        <v>218</v>
      </c>
      <c r="Q37" s="21">
        <v>199</v>
      </c>
      <c r="R37" s="21">
        <v>191</v>
      </c>
      <c r="S37" s="21">
        <v>206</v>
      </c>
      <c r="T37" s="21">
        <v>224</v>
      </c>
      <c r="U37" s="21">
        <v>240</v>
      </c>
      <c r="V37" s="21">
        <v>235</v>
      </c>
      <c r="W37" s="21">
        <v>202</v>
      </c>
      <c r="X37" s="21">
        <v>216</v>
      </c>
      <c r="Y37" s="21">
        <v>256</v>
      </c>
      <c r="Z37" s="21">
        <v>284</v>
      </c>
      <c r="AA37" s="21">
        <v>254</v>
      </c>
      <c r="AB37" s="21">
        <v>234</v>
      </c>
      <c r="AC37" s="21">
        <v>220</v>
      </c>
      <c r="AD37" s="21">
        <v>204</v>
      </c>
      <c r="AE37" s="21">
        <v>222</v>
      </c>
      <c r="AF37" s="21">
        <v>243</v>
      </c>
      <c r="AG37" s="21">
        <v>244</v>
      </c>
      <c r="AH37" s="21">
        <v>230</v>
      </c>
      <c r="AI37" s="21">
        <v>212</v>
      </c>
      <c r="AJ37">
        <f t="shared" si="12"/>
        <v>226.69306930693068</v>
      </c>
      <c r="AK37">
        <f t="shared" si="13"/>
        <v>268.67326732673268</v>
      </c>
    </row>
    <row r="38" spans="1:37" x14ac:dyDescent="0.3">
      <c r="A38" s="22" t="s">
        <v>89</v>
      </c>
      <c r="B38" s="21">
        <v>13</v>
      </c>
      <c r="C38" s="21">
        <v>10</v>
      </c>
      <c r="D38" s="21">
        <v>7</v>
      </c>
      <c r="E38" s="21">
        <v>5</v>
      </c>
      <c r="F38" s="21">
        <v>3</v>
      </c>
      <c r="G38" s="21">
        <v>3</v>
      </c>
      <c r="H38" s="21">
        <v>5</v>
      </c>
      <c r="I38" s="21">
        <v>5</v>
      </c>
      <c r="J38" s="21">
        <v>3</v>
      </c>
      <c r="K38" s="21">
        <v>3</v>
      </c>
      <c r="L38" s="21">
        <v>7</v>
      </c>
      <c r="M38" s="21">
        <v>12</v>
      </c>
      <c r="N38" s="21">
        <v>11</v>
      </c>
      <c r="O38" s="21">
        <v>9</v>
      </c>
      <c r="P38" s="21">
        <v>6</v>
      </c>
      <c r="Q38" s="21">
        <v>4</v>
      </c>
      <c r="R38" s="21">
        <v>2</v>
      </c>
      <c r="S38" s="21">
        <v>3</v>
      </c>
      <c r="T38" s="21">
        <v>4</v>
      </c>
      <c r="U38" s="21">
        <v>4</v>
      </c>
      <c r="V38" s="21">
        <v>3</v>
      </c>
      <c r="W38" s="21">
        <v>2</v>
      </c>
      <c r="X38" s="21">
        <v>6</v>
      </c>
      <c r="Y38" s="21">
        <v>12</v>
      </c>
      <c r="Z38" s="21">
        <v>14</v>
      </c>
      <c r="AA38" s="21">
        <v>9</v>
      </c>
      <c r="AB38" s="21">
        <v>7</v>
      </c>
      <c r="AC38" s="21">
        <v>3</v>
      </c>
      <c r="AD38" s="21">
        <v>2</v>
      </c>
      <c r="AE38" s="21">
        <v>3</v>
      </c>
      <c r="AF38" s="21">
        <v>5</v>
      </c>
      <c r="AG38" s="21">
        <v>4</v>
      </c>
      <c r="AH38" s="21">
        <v>3</v>
      </c>
      <c r="AI38" s="21">
        <v>2</v>
      </c>
      <c r="AJ38">
        <f t="shared" si="12"/>
        <v>6</v>
      </c>
      <c r="AK38">
        <f t="shared" si="13"/>
        <v>12</v>
      </c>
    </row>
    <row r="39" spans="1:37" x14ac:dyDescent="0.3">
      <c r="A39" s="23" t="s">
        <v>90</v>
      </c>
      <c r="B39" s="21">
        <v>118</v>
      </c>
      <c r="C39" s="21">
        <v>106</v>
      </c>
      <c r="D39" s="21">
        <v>102</v>
      </c>
      <c r="E39" s="21">
        <v>98</v>
      </c>
      <c r="F39" s="21">
        <v>87</v>
      </c>
      <c r="G39" s="21">
        <v>90</v>
      </c>
      <c r="H39" s="21">
        <v>100</v>
      </c>
      <c r="I39" s="21">
        <v>106</v>
      </c>
      <c r="J39" s="21">
        <v>102</v>
      </c>
      <c r="K39" s="21">
        <v>91</v>
      </c>
      <c r="L39" s="21">
        <v>94</v>
      </c>
      <c r="M39" s="21">
        <v>112</v>
      </c>
      <c r="N39" s="21">
        <v>126</v>
      </c>
      <c r="O39" s="21">
        <v>116</v>
      </c>
      <c r="P39" s="21">
        <v>105</v>
      </c>
      <c r="Q39" s="21">
        <v>96</v>
      </c>
      <c r="R39" s="21">
        <v>92</v>
      </c>
      <c r="S39" s="21">
        <v>99</v>
      </c>
      <c r="T39" s="21">
        <v>108</v>
      </c>
      <c r="U39" s="21">
        <v>115</v>
      </c>
      <c r="V39" s="21">
        <v>113</v>
      </c>
      <c r="W39" s="21">
        <v>97</v>
      </c>
      <c r="X39" s="21">
        <v>104</v>
      </c>
      <c r="Y39" s="21">
        <v>123</v>
      </c>
      <c r="Z39" s="21">
        <v>130</v>
      </c>
      <c r="AA39" s="21">
        <v>121</v>
      </c>
      <c r="AB39" s="21">
        <v>116</v>
      </c>
      <c r="AC39" s="21">
        <v>107</v>
      </c>
      <c r="AD39" s="21">
        <v>100</v>
      </c>
      <c r="AE39" s="21">
        <v>108</v>
      </c>
      <c r="AF39" s="21">
        <v>117</v>
      </c>
      <c r="AG39" s="21">
        <v>123</v>
      </c>
      <c r="AH39" s="21">
        <v>119</v>
      </c>
      <c r="AI39" s="21">
        <v>106</v>
      </c>
      <c r="AJ39">
        <f t="shared" si="12"/>
        <v>113.64948453608247</v>
      </c>
      <c r="AK39">
        <f t="shared" si="13"/>
        <v>134.41237113402062</v>
      </c>
    </row>
    <row r="41" spans="1:37" x14ac:dyDescent="0.3">
      <c r="A41" s="19" t="s">
        <v>55</v>
      </c>
      <c r="B41" s="26">
        <v>2019</v>
      </c>
      <c r="C41" s="26">
        <v>2020</v>
      </c>
      <c r="D41">
        <v>2021</v>
      </c>
      <c r="E41" t="s">
        <v>93</v>
      </c>
      <c r="G41" s="19" t="s">
        <v>55</v>
      </c>
      <c r="H41" s="26">
        <v>2019</v>
      </c>
      <c r="I41" s="26">
        <v>2020</v>
      </c>
      <c r="J41">
        <v>2021</v>
      </c>
      <c r="K41" t="s">
        <v>92</v>
      </c>
    </row>
    <row r="42" spans="1:37" x14ac:dyDescent="0.3">
      <c r="A42" s="22" t="s">
        <v>81</v>
      </c>
      <c r="B42" s="27">
        <f t="shared" ref="B42:B47" si="14">SUM(B34:M34)</f>
        <v>5400</v>
      </c>
      <c r="C42" s="27">
        <f t="shared" ref="C42:C47" si="15">SUM(N34:Y34)</f>
        <v>5251</v>
      </c>
      <c r="D42" s="27">
        <f>SUM(Z34:AK34)</f>
        <v>5502.5431348325019</v>
      </c>
      <c r="G42" s="22" t="s">
        <v>81</v>
      </c>
      <c r="H42" s="28">
        <f>B42*About!$B$30*10^9</f>
        <v>214288740000000.03</v>
      </c>
      <c r="I42" s="28">
        <f>C42*About!$B$30*10^9</f>
        <v>208375958100000.03</v>
      </c>
      <c r="J42" s="28">
        <f>D42*About!$B$30*10^9</f>
        <v>218357969473871.66</v>
      </c>
    </row>
    <row r="43" spans="1:37" x14ac:dyDescent="0.3">
      <c r="A43" s="22" t="s">
        <v>86</v>
      </c>
      <c r="B43" s="27">
        <f t="shared" si="14"/>
        <v>1278</v>
      </c>
      <c r="C43" s="27">
        <f t="shared" si="15"/>
        <v>1130</v>
      </c>
      <c r="D43" s="27">
        <f t="shared" ref="D43:D47" si="16">SUM(Z35:AK35)</f>
        <v>1105.7816091954023</v>
      </c>
      <c r="G43" s="22" t="s">
        <v>86</v>
      </c>
      <c r="H43" s="28">
        <f>B43*About!$B$30*10^9</f>
        <v>50715001800000.008</v>
      </c>
      <c r="I43" s="28">
        <f>C43*About!$B$30*10^9</f>
        <v>44841903000000.008</v>
      </c>
      <c r="J43" s="28">
        <f>D43*About!$B$30*10^9</f>
        <v>43880842175862.078</v>
      </c>
    </row>
    <row r="44" spans="1:37" x14ac:dyDescent="0.3">
      <c r="A44" s="22" t="s">
        <v>87</v>
      </c>
      <c r="B44" s="27">
        <f t="shared" si="14"/>
        <v>79</v>
      </c>
      <c r="C44" s="27">
        <f t="shared" si="15"/>
        <v>69</v>
      </c>
      <c r="D44" s="27">
        <f t="shared" si="16"/>
        <v>90.333333333333343</v>
      </c>
      <c r="G44" s="22" t="s">
        <v>87</v>
      </c>
      <c r="H44" s="28">
        <f>B44*About!$B$30*10^9</f>
        <v>3134964900000.0005</v>
      </c>
      <c r="I44" s="28">
        <f>C44*About!$B$30*10^9</f>
        <v>2738133900000.0005</v>
      </c>
      <c r="J44" s="28">
        <f>D44*About!$B$30*10^9</f>
        <v>3584706700000.0005</v>
      </c>
    </row>
    <row r="45" spans="1:37" x14ac:dyDescent="0.3">
      <c r="A45" s="22" t="s">
        <v>88</v>
      </c>
      <c r="B45" s="27">
        <f t="shared" si="14"/>
        <v>2765</v>
      </c>
      <c r="C45" s="27">
        <f t="shared" si="15"/>
        <v>2691</v>
      </c>
      <c r="D45" s="27">
        <f t="shared" si="16"/>
        <v>2842.3663366336632</v>
      </c>
      <c r="G45" s="22" t="s">
        <v>88</v>
      </c>
      <c r="H45" s="28">
        <f>B45*About!$B$30*10^9</f>
        <v>109723771500000</v>
      </c>
      <c r="I45" s="28">
        <f>C45*About!$B$30*10^9</f>
        <v>106787222100000.02</v>
      </c>
      <c r="J45" s="28">
        <f>D45*About!$B$30*10^9</f>
        <v>112793907573267.33</v>
      </c>
    </row>
    <row r="46" spans="1:37" x14ac:dyDescent="0.3">
      <c r="A46" s="22" t="s">
        <v>89</v>
      </c>
      <c r="B46" s="27">
        <f t="shared" si="14"/>
        <v>76</v>
      </c>
      <c r="C46" s="27">
        <f t="shared" si="15"/>
        <v>66</v>
      </c>
      <c r="D46" s="27">
        <f t="shared" si="16"/>
        <v>70</v>
      </c>
      <c r="G46" s="22" t="s">
        <v>89</v>
      </c>
      <c r="H46" s="28">
        <f>B46*About!$B$30*10^9</f>
        <v>3015915600000.0005</v>
      </c>
      <c r="I46" s="28">
        <f>C46*About!$B$30*10^9</f>
        <v>2619084600000</v>
      </c>
      <c r="J46" s="28">
        <f>D46*About!$B$30*10^9</f>
        <v>2777817000000</v>
      </c>
    </row>
    <row r="47" spans="1:37" x14ac:dyDescent="0.3">
      <c r="A47" s="23" t="s">
        <v>90</v>
      </c>
      <c r="B47" s="27">
        <f t="shared" si="14"/>
        <v>1206</v>
      </c>
      <c r="C47" s="27">
        <f t="shared" si="15"/>
        <v>1294</v>
      </c>
      <c r="D47" s="27">
        <f t="shared" si="16"/>
        <v>1395.0618556701031</v>
      </c>
      <c r="G47" s="23" t="s">
        <v>90</v>
      </c>
      <c r="H47" s="28">
        <f>B47*About!$B$30*10^9</f>
        <v>47857818600000.008</v>
      </c>
      <c r="I47" s="28">
        <f>C47*About!$B$30*10^9</f>
        <v>51349931400000</v>
      </c>
      <c r="J47" s="28">
        <f>D47*About!$B$30*10^9</f>
        <v>55360379124742.273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21F69-219E-4ABD-864E-501FE2C1AAFB}">
  <dimension ref="A2:AG73"/>
  <sheetViews>
    <sheetView zoomScale="85" zoomScaleNormal="85" workbookViewId="0">
      <selection activeCell="B4" sqref="B4"/>
    </sheetView>
  </sheetViews>
  <sheetFormatPr defaultRowHeight="16.5" x14ac:dyDescent="0.3"/>
  <cols>
    <col min="1" max="1" width="30.25" bestFit="1" customWidth="1"/>
    <col min="3" max="33" width="14.25" bestFit="1" customWidth="1"/>
  </cols>
  <sheetData>
    <row r="2" spans="1:33" x14ac:dyDescent="0.3">
      <c r="A2" s="16" t="s">
        <v>43</v>
      </c>
    </row>
    <row r="3" spans="1:33" x14ac:dyDescent="0.3">
      <c r="A3" s="16" t="s">
        <v>37</v>
      </c>
      <c r="B3" s="1">
        <v>2019</v>
      </c>
      <c r="C3" s="1">
        <v>2020</v>
      </c>
      <c r="D3" s="1">
        <v>2021</v>
      </c>
      <c r="E3" s="1">
        <v>2022</v>
      </c>
      <c r="F3" s="1">
        <v>2023</v>
      </c>
      <c r="G3" s="1">
        <v>2024</v>
      </c>
      <c r="H3" s="1">
        <v>2025</v>
      </c>
      <c r="I3" s="1">
        <v>2026</v>
      </c>
      <c r="J3" s="1">
        <v>2027</v>
      </c>
      <c r="K3" s="1">
        <v>2028</v>
      </c>
      <c r="L3" s="1">
        <v>2029</v>
      </c>
      <c r="M3" s="1">
        <v>2030</v>
      </c>
      <c r="N3" s="1">
        <v>2031</v>
      </c>
      <c r="O3" s="1">
        <v>2032</v>
      </c>
      <c r="P3" s="1">
        <v>2033</v>
      </c>
      <c r="Q3" s="1">
        <v>2034</v>
      </c>
      <c r="R3" s="1">
        <v>2035</v>
      </c>
      <c r="S3" s="1">
        <v>2036</v>
      </c>
      <c r="T3" s="1">
        <v>2037</v>
      </c>
      <c r="U3" s="1">
        <v>2038</v>
      </c>
      <c r="V3" s="1">
        <v>2039</v>
      </c>
      <c r="W3" s="1">
        <v>2040</v>
      </c>
      <c r="X3" s="1">
        <v>2041</v>
      </c>
      <c r="Y3" s="1">
        <v>2042</v>
      </c>
      <c r="Z3" s="1">
        <v>2043</v>
      </c>
      <c r="AA3" s="1">
        <v>2044</v>
      </c>
      <c r="AB3" s="1">
        <v>2045</v>
      </c>
      <c r="AC3" s="1">
        <v>2046</v>
      </c>
      <c r="AD3" s="1">
        <v>2047</v>
      </c>
      <c r="AE3" s="1">
        <v>2048</v>
      </c>
      <c r="AF3" s="1">
        <v>2049</v>
      </c>
      <c r="AG3" s="1">
        <v>2050</v>
      </c>
    </row>
    <row r="4" spans="1:33" x14ac:dyDescent="0.3">
      <c r="A4" s="16" t="s">
        <v>2</v>
      </c>
      <c r="B4" s="2">
        <f>INDEX(SYCEU!$B$2:$G$11, MATCH($A4, SYCEU!$A$2:$A$11, 0), MATCH(Commercial_calculation!$A$3, SYCEU!$B$1:$G$1, 0))</f>
        <v>129000000000000</v>
      </c>
      <c r="C4" s="2">
        <f>INDEX('2020'!$B$2:$G$11, MATCH($A4, '2020'!$A$2:$A$11, 0), MATCH(Commercial_calculation!$A$3, '2020'!$B$1:$G$1, 0))</f>
        <v>128085531122407</v>
      </c>
      <c r="D4" s="2">
        <f>INDEX('2021'!$B$2:$G$11, MATCH($A4, '2021'!$A$2:$A$11, 0), MATCH(Commercial_calculation!$A$3, '2021'!$B$1:$G$1, 0))</f>
        <v>129221921053730.27</v>
      </c>
      <c r="E4" s="2">
        <f>MAX(0,D4*(1+Forecast!$B23))</f>
        <v>130255696422160.11</v>
      </c>
      <c r="F4" s="2">
        <f>MAX(0,E4*(1+Forecast!$B23))</f>
        <v>131297741993537.39</v>
      </c>
      <c r="G4" s="2">
        <f>MAX(0,F4*(1+Forecast!$B23))</f>
        <v>132348123929485.69</v>
      </c>
      <c r="H4" s="2">
        <f>MAX(0,G4*(1+Forecast!$B23))</f>
        <v>133406908920921.58</v>
      </c>
      <c r="I4" s="2">
        <f>MAX(0,H4*(1+Forecast!$B23))</f>
        <v>134474164192288.95</v>
      </c>
      <c r="J4" s="2">
        <f>MAX(0,I4*(1+Forecast!$B23))</f>
        <v>135549957505827.27</v>
      </c>
      <c r="K4" s="2">
        <f>MAX(0,J4*(1+Forecast!$B23))</f>
        <v>136634357165873.89</v>
      </c>
      <c r="L4" s="2">
        <f>MAX(0,K4*(1+Forecast!$B23))</f>
        <v>137727432023200.88</v>
      </c>
      <c r="M4" s="2">
        <f>MAX(0,L4*(1+Forecast!$B23))</f>
        <v>138829251479386.48</v>
      </c>
      <c r="N4" s="2">
        <f>MAX(0,M4*(1+Forecast!$B23))</f>
        <v>139939885491221.58</v>
      </c>
      <c r="O4" s="2">
        <f>MAX(0,N4*(1+Forecast!$B23))</f>
        <v>141059404575151.34</v>
      </c>
      <c r="P4" s="2">
        <f>MAX(0,O4*(1+Forecast!$B23))</f>
        <v>142187879811752.56</v>
      </c>
      <c r="Q4" s="2">
        <f>MAX(0,P4*(1+Forecast!$B23))</f>
        <v>143325382850246.59</v>
      </c>
      <c r="R4" s="2">
        <f>MAX(0,Q4*(1+Forecast!$B23))</f>
        <v>144471985913048.56</v>
      </c>
      <c r="S4" s="2">
        <f>MAX(0,R4*(1+Forecast!$B23))</f>
        <v>145627761800352.94</v>
      </c>
      <c r="T4" s="2">
        <f>MAX(0,S4*(1+Forecast!$B23))</f>
        <v>146792783894755.75</v>
      </c>
      <c r="U4" s="2">
        <f>MAX(0,T4*(1+Forecast!$B23))</f>
        <v>147967126165913.81</v>
      </c>
      <c r="V4" s="2">
        <f>MAX(0,U4*(1+Forecast!$B23))</f>
        <v>149150863175241.13</v>
      </c>
      <c r="W4" s="2">
        <f>MAX(0,V4*(1+Forecast!$B23))</f>
        <v>150344070080643.06</v>
      </c>
      <c r="X4" s="2">
        <f>MAX(0,W4*(1+Forecast!$B23))</f>
        <v>151546822641288.22</v>
      </c>
      <c r="Y4" s="2">
        <f>MAX(0,X4*(1+Forecast!$B23))</f>
        <v>152759197222418.53</v>
      </c>
      <c r="Z4" s="2">
        <f>MAX(0,Y4*(1+Forecast!$B23))</f>
        <v>153981270800197.88</v>
      </c>
      <c r="AA4" s="2">
        <f>MAX(0,Z4*(1+Forecast!$B23))</f>
        <v>155213120966599.47</v>
      </c>
      <c r="AB4" s="2">
        <f>MAX(0,AA4*(1+Forecast!$B23))</f>
        <v>156454825934332.25</v>
      </c>
      <c r="AC4" s="2">
        <f>MAX(0,AB4*(1+Forecast!$B23))</f>
        <v>157706464541806.91</v>
      </c>
      <c r="AD4" s="2">
        <f>MAX(0,AC4*(1+Forecast!$B23))</f>
        <v>158968116258141.38</v>
      </c>
      <c r="AE4" s="2">
        <f>MAX(0,AD4*(1+Forecast!$B23))</f>
        <v>160239861188206.5</v>
      </c>
      <c r="AF4" s="2">
        <f>MAX(0,AE4*(1+Forecast!$B23))</f>
        <v>161521780077712.16</v>
      </c>
      <c r="AG4" s="2">
        <f>MAX(0,AF4*(1+Forecast!$B23))</f>
        <v>162813954318333.84</v>
      </c>
    </row>
    <row r="5" spans="1:33" x14ac:dyDescent="0.3">
      <c r="A5" s="16" t="s">
        <v>3</v>
      </c>
      <c r="B5" s="2">
        <f>INDEX(SYCEU!$B$2:$G$11, MATCH($A5, SYCEU!$A$2:$A$11, 0), MATCH(Commercial_calculation!$A$3, SYCEU!$B$1:$G$1, 0))</f>
        <v>0</v>
      </c>
      <c r="C5" s="2">
        <f>INDEX('2020'!$B$2:$G$11, MATCH($A5, '2020'!$A$2:$A$11, 0), MATCH(Commercial_calculation!$A$3, '2020'!$B$1:$G$1, 0))</f>
        <v>0</v>
      </c>
      <c r="D5" s="2">
        <f>INDEX('2021'!$B$2:$G$11, MATCH($A5, '2021'!$A$2:$A$11, 0), MATCH(Commercial_calculation!$A$3, '2021'!$B$1:$G$1, 0))</f>
        <v>0</v>
      </c>
      <c r="E5" s="2">
        <f>MAX(0,D5*(1+Forecast!$B24))</f>
        <v>0</v>
      </c>
      <c r="F5" s="2">
        <f>MAX(0,E5*(1+Forecast!$B24))</f>
        <v>0</v>
      </c>
      <c r="G5" s="2">
        <f>MAX(0,F5*(1+Forecast!$B24))</f>
        <v>0</v>
      </c>
      <c r="H5" s="2">
        <f>MAX(0,G5*(1+Forecast!$B24))</f>
        <v>0</v>
      </c>
      <c r="I5" s="2">
        <f>MAX(0,H5*(1+Forecast!$B24))</f>
        <v>0</v>
      </c>
      <c r="J5" s="2">
        <f>MAX(0,I5*(1+Forecast!$B24))</f>
        <v>0</v>
      </c>
      <c r="K5" s="2">
        <f>MAX(0,J5*(1+Forecast!$B24))</f>
        <v>0</v>
      </c>
      <c r="L5" s="2">
        <f>MAX(0,K5*(1+Forecast!$B24))</f>
        <v>0</v>
      </c>
      <c r="M5" s="2">
        <f>MAX(0,L5*(1+Forecast!$B24))</f>
        <v>0</v>
      </c>
      <c r="N5" s="2">
        <f>MAX(0,M5*(1+Forecast!$B24))</f>
        <v>0</v>
      </c>
      <c r="O5" s="2">
        <f>MAX(0,N5*(1+Forecast!$B24))</f>
        <v>0</v>
      </c>
      <c r="P5" s="2">
        <f>MAX(0,O5*(1+Forecast!$B24))</f>
        <v>0</v>
      </c>
      <c r="Q5" s="2">
        <f>MAX(0,P5*(1+Forecast!$B24))</f>
        <v>0</v>
      </c>
      <c r="R5" s="2">
        <f>MAX(0,Q5*(1+Forecast!$B24))</f>
        <v>0</v>
      </c>
      <c r="S5" s="2">
        <f>MAX(0,R5*(1+Forecast!$B24))</f>
        <v>0</v>
      </c>
      <c r="T5" s="2">
        <f>MAX(0,S5*(1+Forecast!$B24))</f>
        <v>0</v>
      </c>
      <c r="U5" s="2">
        <f>MAX(0,T5*(1+Forecast!$B24))</f>
        <v>0</v>
      </c>
      <c r="V5" s="2">
        <f>MAX(0,U5*(1+Forecast!$B24))</f>
        <v>0</v>
      </c>
      <c r="W5" s="2">
        <f>MAX(0,V5*(1+Forecast!$B24))</f>
        <v>0</v>
      </c>
      <c r="X5" s="2">
        <f>MAX(0,W5*(1+Forecast!$B24))</f>
        <v>0</v>
      </c>
      <c r="Y5" s="2">
        <f>MAX(0,X5*(1+Forecast!$B24))</f>
        <v>0</v>
      </c>
      <c r="Z5" s="2">
        <f>MAX(0,Y5*(1+Forecast!$B24))</f>
        <v>0</v>
      </c>
      <c r="AA5" s="2">
        <f>MAX(0,Z5*(1+Forecast!$B24))</f>
        <v>0</v>
      </c>
      <c r="AB5" s="2">
        <f>MAX(0,AA5*(1+Forecast!$B24))</f>
        <v>0</v>
      </c>
      <c r="AC5" s="2">
        <f>MAX(0,AB5*(1+Forecast!$B24))</f>
        <v>0</v>
      </c>
      <c r="AD5" s="2">
        <f>MAX(0,AC5*(1+Forecast!$B24))</f>
        <v>0</v>
      </c>
      <c r="AE5" s="2">
        <f>MAX(0,AD5*(1+Forecast!$B24))</f>
        <v>0</v>
      </c>
      <c r="AF5" s="2">
        <f>MAX(0,AE5*(1+Forecast!$B24))</f>
        <v>0</v>
      </c>
      <c r="AG5" s="2">
        <f>MAX(0,AF5*(1+Forecast!$B24))</f>
        <v>0</v>
      </c>
    </row>
    <row r="6" spans="1:33" x14ac:dyDescent="0.3">
      <c r="A6" s="16" t="s">
        <v>4</v>
      </c>
      <c r="B6" s="2">
        <f>INDEX(SYCEU!$B$2:$G$11, MATCH($A6, SYCEU!$A$2:$A$11, 0), MATCH(Commercial_calculation!$A$3, SYCEU!$B$1:$G$1, 0))</f>
        <v>59200000000000</v>
      </c>
      <c r="C6" s="2">
        <f>INDEX('2020'!$B$2:$G$11, MATCH($A6, '2020'!$A$2:$A$11, 0), MATCH(Commercial_calculation!$A$3, '2020'!$B$1:$G$1, 0))</f>
        <v>58150486891512.766</v>
      </c>
      <c r="D6" s="2">
        <f>INDEX('2021'!$B$2:$G$11, MATCH($A6, '2021'!$A$2:$A$11, 0), MATCH(Commercial_calculation!$A$3, '2021'!$B$1:$G$1, 0))</f>
        <v>57974902110890.578</v>
      </c>
      <c r="E6" s="2">
        <f>MAX(0,D6*(1+Forecast!$B25))</f>
        <v>59134400153108.391</v>
      </c>
      <c r="F6" s="2">
        <f>MAX(0,E6*(1+Forecast!$B25))</f>
        <v>60317088156170.563</v>
      </c>
      <c r="G6" s="2">
        <f>MAX(0,F6*(1+Forecast!$B25))</f>
        <v>61523429919293.977</v>
      </c>
      <c r="H6" s="2">
        <f>MAX(0,G6*(1+Forecast!$B25))</f>
        <v>62753898517679.859</v>
      </c>
      <c r="I6" s="2">
        <f>MAX(0,H6*(1+Forecast!$B25))</f>
        <v>64008976488033.461</v>
      </c>
      <c r="J6" s="2">
        <f>MAX(0,I6*(1+Forecast!$B25))</f>
        <v>65289156017794.133</v>
      </c>
      <c r="K6" s="2">
        <f>MAX(0,J6*(1+Forecast!$B25))</f>
        <v>66594939138150.016</v>
      </c>
      <c r="L6" s="2">
        <f>MAX(0,K6*(1+Forecast!$B25))</f>
        <v>67926837920913.016</v>
      </c>
      <c r="M6" s="2">
        <f>MAX(0,L6*(1+Forecast!$B25))</f>
        <v>69285374679331.273</v>
      </c>
      <c r="N6" s="2">
        <f>MAX(0,M6*(1+Forecast!$B25))</f>
        <v>70671082172917.906</v>
      </c>
      <c r="O6" s="2">
        <f>MAX(0,N6*(1+Forecast!$B25))</f>
        <v>72084503816376.266</v>
      </c>
      <c r="P6" s="2">
        <f>MAX(0,O6*(1+Forecast!$B25))</f>
        <v>73526193892703.797</v>
      </c>
      <c r="Q6" s="2">
        <f>MAX(0,P6*(1+Forecast!$B25))</f>
        <v>74996717770557.875</v>
      </c>
      <c r="R6" s="2">
        <f>MAX(0,Q6*(1+Forecast!$B25))</f>
        <v>76496652125969.031</v>
      </c>
      <c r="S6" s="2">
        <f>MAX(0,R6*(1+Forecast!$B25))</f>
        <v>78026585168488.406</v>
      </c>
      <c r="T6" s="2">
        <f>MAX(0,S6*(1+Forecast!$B25))</f>
        <v>79587116871858.172</v>
      </c>
      <c r="U6" s="2">
        <f>MAX(0,T6*(1+Forecast!$B25))</f>
        <v>81178859209295.344</v>
      </c>
      <c r="V6" s="2">
        <f>MAX(0,U6*(1+Forecast!$B25))</f>
        <v>82802436393481.25</v>
      </c>
      <c r="W6" s="2">
        <f>MAX(0,V6*(1+Forecast!$B25))</f>
        <v>84458485121350.875</v>
      </c>
      <c r="X6" s="2">
        <f>MAX(0,W6*(1+Forecast!$B25))</f>
        <v>86147654823777.891</v>
      </c>
      <c r="Y6" s="2">
        <f>MAX(0,X6*(1+Forecast!$B25))</f>
        <v>87870607920253.453</v>
      </c>
      <c r="Z6" s="2">
        <f>MAX(0,Y6*(1+Forecast!$B25))</f>
        <v>89628020078658.531</v>
      </c>
      <c r="AA6" s="2">
        <f>MAX(0,Z6*(1+Forecast!$B25))</f>
        <v>91420580480231.703</v>
      </c>
      <c r="AB6" s="2">
        <f>MAX(0,AA6*(1+Forecast!$B25))</f>
        <v>93248992089836.344</v>
      </c>
      <c r="AC6" s="2">
        <f>MAX(0,AB6*(1+Forecast!$B25))</f>
        <v>95113971931633.078</v>
      </c>
      <c r="AD6" s="2">
        <f>MAX(0,AC6*(1+Forecast!$B25))</f>
        <v>97016251370265.734</v>
      </c>
      <c r="AE6" s="2">
        <f>MAX(0,AD6*(1+Forecast!$B25))</f>
        <v>98956576397671.047</v>
      </c>
      <c r="AF6" s="2">
        <f>MAX(0,AE6*(1+Forecast!$B25))</f>
        <v>100935707925624.47</v>
      </c>
      <c r="AG6" s="2">
        <f>MAX(0,AF6*(1+Forecast!$B25))</f>
        <v>102954422084136.95</v>
      </c>
    </row>
    <row r="7" spans="1:33" x14ac:dyDescent="0.3">
      <c r="A7" s="16" t="s">
        <v>5</v>
      </c>
      <c r="B7" s="2">
        <f>INDEX(SYCEU!$B$2:$G$11, MATCH($A7, SYCEU!$A$2:$A$11, 0), MATCH(Commercial_calculation!$A$3, SYCEU!$B$1:$G$1, 0))</f>
        <v>1740000000000</v>
      </c>
      <c r="C7" s="2">
        <f>INDEX('2020'!$B$2:$G$11, MATCH($A7, '2020'!$A$2:$A$11, 0), MATCH(Commercial_calculation!$A$3, '2020'!$B$1:$G$1, 0))</f>
        <v>1635011946079.1394</v>
      </c>
      <c r="D7" s="2">
        <f>INDEX('2021'!$B$2:$G$11, MATCH($A7, '2021'!$A$2:$A$11, 0), MATCH(Commercial_calculation!$A$3, '2021'!$B$1:$G$1, 0))</f>
        <v>1609349044937.332</v>
      </c>
      <c r="E7" s="2">
        <f>MAX(0,D7*(1+Forecast!$B26))</f>
        <v>1532100290780.3401</v>
      </c>
      <c r="F7" s="2">
        <f>MAX(0,E7*(1+Forecast!$B26))</f>
        <v>1458559476822.8838</v>
      </c>
      <c r="G7" s="2">
        <f>MAX(0,F7*(1+Forecast!$B26))</f>
        <v>1388548621935.3853</v>
      </c>
      <c r="H7" s="2">
        <f>MAX(0,G7*(1+Forecast!$B26))</f>
        <v>1321898288082.4868</v>
      </c>
      <c r="I7" s="2">
        <f>MAX(0,H7*(1+Forecast!$B26))</f>
        <v>1258447170254.5273</v>
      </c>
      <c r="J7" s="2">
        <f>MAX(0,I7*(1+Forecast!$B26))</f>
        <v>1198041706082.3101</v>
      </c>
      <c r="K7" s="2">
        <f>MAX(0,J7*(1+Forecast!$B26))</f>
        <v>1140535704190.3591</v>
      </c>
      <c r="L7" s="2">
        <f>MAX(0,K7*(1+Forecast!$B26))</f>
        <v>1085789990389.2218</v>
      </c>
      <c r="M7" s="2">
        <f>MAX(0,L7*(1+Forecast!$B26))</f>
        <v>1033672070850.5391</v>
      </c>
      <c r="N7" s="2">
        <f>MAX(0,M7*(1+Forecast!$B26))</f>
        <v>984055811449.71313</v>
      </c>
      <c r="O7" s="2">
        <f>MAX(0,N7*(1+Forecast!$B26))</f>
        <v>936821132500.12683</v>
      </c>
      <c r="P7" s="2">
        <f>MAX(0,O7*(1+Forecast!$B26))</f>
        <v>891853718140.12073</v>
      </c>
      <c r="Q7" s="2">
        <f>MAX(0,P7*(1+Forecast!$B26))</f>
        <v>849044739669.3949</v>
      </c>
      <c r="R7" s="2">
        <f>MAX(0,Q7*(1+Forecast!$B26))</f>
        <v>808290592165.26392</v>
      </c>
      <c r="S7" s="2">
        <f>MAX(0,R7*(1+Forecast!$B26))</f>
        <v>769492643741.33118</v>
      </c>
      <c r="T7" s="2">
        <f>MAX(0,S7*(1+Forecast!$B26))</f>
        <v>732556996841.74719</v>
      </c>
      <c r="U7" s="2">
        <f>MAX(0,T7*(1+Forecast!$B26))</f>
        <v>697394260993.34326</v>
      </c>
      <c r="V7" s="2">
        <f>MAX(0,U7*(1+Forecast!$B26))</f>
        <v>663919336465.66272</v>
      </c>
      <c r="W7" s="2">
        <f>MAX(0,V7*(1+Forecast!$B26))</f>
        <v>632051208315.31091</v>
      </c>
      <c r="X7" s="2">
        <f>MAX(0,W7*(1+Forecast!$B26))</f>
        <v>601712750316.1759</v>
      </c>
      <c r="Y7" s="2">
        <f>MAX(0,X7*(1+Forecast!$B26))</f>
        <v>572830538300.99939</v>
      </c>
      <c r="Z7" s="2">
        <f>MAX(0,Y7*(1+Forecast!$B26))</f>
        <v>545334672462.55139</v>
      </c>
      <c r="AA7" s="2">
        <f>MAX(0,Z7*(1+Forecast!$B26))</f>
        <v>519158608184.34888</v>
      </c>
      <c r="AB7" s="2">
        <f>MAX(0,AA7*(1+Forecast!$B26))</f>
        <v>494238994991.50012</v>
      </c>
      <c r="AC7" s="2">
        <f>MAX(0,AB7*(1+Forecast!$B26))</f>
        <v>470515523231.90808</v>
      </c>
      <c r="AD7" s="2">
        <f>MAX(0,AC7*(1+Forecast!$B26))</f>
        <v>447930778116.77649</v>
      </c>
      <c r="AE7" s="2">
        <f>MAX(0,AD7*(1+Forecast!$B26))</f>
        <v>426430100767.1712</v>
      </c>
      <c r="AF7" s="2">
        <f>MAX(0,AE7*(1+Forecast!$B26))</f>
        <v>405961455930.34698</v>
      </c>
      <c r="AG7" s="2">
        <f>MAX(0,AF7*(1+Forecast!$B26))</f>
        <v>386475306045.69031</v>
      </c>
    </row>
    <row r="8" spans="1:33" x14ac:dyDescent="0.3">
      <c r="A8" s="16" t="s">
        <v>7</v>
      </c>
      <c r="B8" s="2">
        <f>INDEX(SYCEU!$B$2:$G$11, MATCH($A8, SYCEU!$A$2:$A$11, 0), MATCH(Commercial_calculation!$A$3, SYCEU!$B$1:$G$1, 0))</f>
        <v>15100000000000</v>
      </c>
      <c r="C8" s="2">
        <f>INDEX('2020'!$B$2:$G$11, MATCH($A8, '2020'!$A$2:$A$11, 0), MATCH(Commercial_calculation!$A$3, '2020'!$B$1:$G$1, 0))</f>
        <v>14511153872761.668</v>
      </c>
      <c r="D8" s="2">
        <f>INDEX('2021'!$B$2:$G$11, MATCH($A8, '2021'!$A$2:$A$11, 0), MATCH(Commercial_calculation!$A$3, '2021'!$B$1:$G$1, 0))</f>
        <v>14617592654224.467</v>
      </c>
      <c r="E8" s="2">
        <f>MAX(0,D8*(1+Forecast!$B27))</f>
        <v>14880709322000.508</v>
      </c>
      <c r="F8" s="2">
        <f>MAX(0,E8*(1+Forecast!$B27))</f>
        <v>15148562089796.518</v>
      </c>
      <c r="G8" s="2">
        <f>MAX(0,F8*(1+Forecast!$B27))</f>
        <v>15421236207412.855</v>
      </c>
      <c r="H8" s="2">
        <f>MAX(0,G8*(1+Forecast!$B27))</f>
        <v>15698818459146.287</v>
      </c>
      <c r="I8" s="2">
        <f>MAX(0,H8*(1+Forecast!$B27))</f>
        <v>15981397191410.92</v>
      </c>
      <c r="J8" s="2">
        <f>MAX(0,I8*(1+Forecast!$B27))</f>
        <v>16269062340856.316</v>
      </c>
      <c r="K8" s="2">
        <f>MAX(0,J8*(1+Forecast!$B27))</f>
        <v>16561905462991.73</v>
      </c>
      <c r="L8" s="2">
        <f>MAX(0,K8*(1+Forecast!$B27))</f>
        <v>16860019761325.582</v>
      </c>
      <c r="M8" s="2">
        <f>MAX(0,L8*(1+Forecast!$B27))</f>
        <v>17163500117029.443</v>
      </c>
      <c r="N8" s="2">
        <f>MAX(0,M8*(1+Forecast!$B27))</f>
        <v>17472443119135.973</v>
      </c>
      <c r="O8" s="2">
        <f>MAX(0,N8*(1+Forecast!$B27))</f>
        <v>17786947095280.422</v>
      </c>
      <c r="P8" s="2">
        <f>MAX(0,O8*(1+Forecast!$B27))</f>
        <v>18107112142995.469</v>
      </c>
      <c r="Q8" s="2">
        <f>MAX(0,P8*(1+Forecast!$B27))</f>
        <v>18433040161569.387</v>
      </c>
      <c r="R8" s="2">
        <f>MAX(0,Q8*(1+Forecast!$B27))</f>
        <v>18764834884477.637</v>
      </c>
      <c r="S8" s="2">
        <f>MAX(0,R8*(1+Forecast!$B27))</f>
        <v>19102601912398.234</v>
      </c>
      <c r="T8" s="2">
        <f>MAX(0,S8*(1+Forecast!$B27))</f>
        <v>19446448746821.402</v>
      </c>
      <c r="U8" s="2">
        <f>MAX(0,T8*(1+Forecast!$B27))</f>
        <v>19796484824264.188</v>
      </c>
      <c r="V8" s="2">
        <f>MAX(0,U8*(1+Forecast!$B27))</f>
        <v>20152821551100.941</v>
      </c>
      <c r="W8" s="2">
        <f>MAX(0,V8*(1+Forecast!$B27))</f>
        <v>20515572339020.758</v>
      </c>
      <c r="X8" s="2">
        <f>MAX(0,W8*(1+Forecast!$B27))</f>
        <v>20884852641123.133</v>
      </c>
      <c r="Y8" s="2">
        <f>MAX(0,X8*(1+Forecast!$B27))</f>
        <v>21260779988663.348</v>
      </c>
      <c r="Z8" s="2">
        <f>MAX(0,Y8*(1+Forecast!$B27))</f>
        <v>21643474028459.289</v>
      </c>
      <c r="AA8" s="2">
        <f>MAX(0,Z8*(1+Forecast!$B27))</f>
        <v>22033056560971.555</v>
      </c>
      <c r="AB8" s="2">
        <f>MAX(0,AA8*(1+Forecast!$B27))</f>
        <v>22429651579069.043</v>
      </c>
      <c r="AC8" s="2">
        <f>MAX(0,AB8*(1+Forecast!$B27))</f>
        <v>22833385307492.285</v>
      </c>
      <c r="AD8" s="2">
        <f>MAX(0,AC8*(1+Forecast!$B27))</f>
        <v>23244386243027.148</v>
      </c>
      <c r="AE8" s="2">
        <f>MAX(0,AD8*(1+Forecast!$B27))</f>
        <v>23662785195401.637</v>
      </c>
      <c r="AF8" s="2">
        <f>MAX(0,AE8*(1+Forecast!$B27))</f>
        <v>24088715328918.867</v>
      </c>
      <c r="AG8" s="2">
        <f>MAX(0,AF8*(1+Forecast!$B27))</f>
        <v>24522312204839.406</v>
      </c>
    </row>
    <row r="9" spans="1:33" x14ac:dyDescent="0.3">
      <c r="A9" s="16" t="s">
        <v>11</v>
      </c>
      <c r="B9" s="2">
        <f>INDEX(SYCEU!$B$2:$G$11, MATCH($A9, SYCEU!$A$2:$A$11, 0), MATCH(Commercial_calculation!$A$3, SYCEU!$B$1:$G$1, 0))</f>
        <v>42700000000000</v>
      </c>
      <c r="C9" s="2">
        <f>INDEX('2020'!$B$2:$G$11, MATCH($A9, '2020'!$A$2:$A$11, 0), MATCH(Commercial_calculation!$A$3, '2020'!$B$1:$G$1, 0))</f>
        <v>45560446860313.336</v>
      </c>
      <c r="D9" s="2">
        <f>INDEX('2021'!$B$2:$G$11, MATCH($A9, '2021'!$A$2:$A$11, 0), MATCH(Commercial_calculation!$A$3, '2021'!$B$1:$G$1, 0))</f>
        <v>48873933904699.766</v>
      </c>
      <c r="E9" s="2">
        <f>MAX(0,D9*(1+Forecast!$B28))</f>
        <v>51073260930411.25</v>
      </c>
      <c r="F9" s="2">
        <f>MAX(0,E9*(1+Forecast!$B28))</f>
        <v>53371557672279.75</v>
      </c>
      <c r="G9" s="2">
        <f>MAX(0,F9*(1+Forecast!$B28))</f>
        <v>55773277767532.336</v>
      </c>
      <c r="H9" s="2">
        <f>MAX(0,G9*(1+Forecast!$B28))</f>
        <v>58283075267071.289</v>
      </c>
      <c r="I9" s="2">
        <f>MAX(0,H9*(1+Forecast!$B28))</f>
        <v>60905813654089.492</v>
      </c>
      <c r="J9" s="2">
        <f>MAX(0,I9*(1+Forecast!$B28))</f>
        <v>63646575268523.516</v>
      </c>
      <c r="K9" s="2">
        <f>MAX(0,J9*(1+Forecast!$B28))</f>
        <v>66510671155607.07</v>
      </c>
      <c r="L9" s="2">
        <f>MAX(0,K9*(1+Forecast!$B28))</f>
        <v>69503651357609.383</v>
      </c>
      <c r="M9" s="2">
        <f>MAX(0,L9*(1+Forecast!$B28))</f>
        <v>72631315668701.797</v>
      </c>
      <c r="N9" s="2">
        <f>MAX(0,M9*(1+Forecast!$B28))</f>
        <v>75899724873793.375</v>
      </c>
      <c r="O9" s="2">
        <f>MAX(0,N9*(1+Forecast!$B28))</f>
        <v>79315212493114.078</v>
      </c>
      <c r="P9" s="2">
        <f>MAX(0,O9*(1+Forecast!$B28))</f>
        <v>82884397055304.203</v>
      </c>
      <c r="Q9" s="2">
        <f>MAX(0,P9*(1+Forecast!$B28))</f>
        <v>86614194922792.891</v>
      </c>
      <c r="R9" s="2">
        <f>MAX(0,Q9*(1+Forecast!$B28))</f>
        <v>90511833694318.563</v>
      </c>
      <c r="S9" s="2">
        <f>MAX(0,R9*(1+Forecast!$B28))</f>
        <v>94584866210562.891</v>
      </c>
      <c r="T9" s="2">
        <f>MAX(0,S9*(1+Forecast!$B28))</f>
        <v>98841185190038.219</v>
      </c>
      <c r="U9" s="2">
        <f>MAX(0,T9*(1+Forecast!$B28))</f>
        <v>103289038523589.94</v>
      </c>
      <c r="V9" s="2">
        <f>MAX(0,U9*(1+Forecast!$B28))</f>
        <v>107937045257151.48</v>
      </c>
      <c r="W9" s="2">
        <f>MAX(0,V9*(1+Forecast!$B28))</f>
        <v>112794212293723.3</v>
      </c>
      <c r="X9" s="2">
        <f>MAX(0,W9*(1+Forecast!$B28))</f>
        <v>117869951846940.84</v>
      </c>
      <c r="Y9" s="2">
        <f>MAX(0,X9*(1+Forecast!$B28))</f>
        <v>123174099680053.17</v>
      </c>
      <c r="Z9" s="2">
        <f>MAX(0,Y9*(1+Forecast!$B28))</f>
        <v>128716934165655.56</v>
      </c>
      <c r="AA9" s="2">
        <f>MAX(0,Z9*(1+Forecast!$B28))</f>
        <v>134509196203110.05</v>
      </c>
      <c r="AB9" s="2">
        <f>MAX(0,AA9*(1+Forecast!$B28))</f>
        <v>140562110032249.98</v>
      </c>
      <c r="AC9" s="2">
        <f>MAX(0,AB9*(1+Forecast!$B28))</f>
        <v>146887404983701.22</v>
      </c>
      <c r="AD9" s="2">
        <f>MAX(0,AC9*(1+Forecast!$B28))</f>
        <v>153497338207967.75</v>
      </c>
      <c r="AE9" s="2">
        <f>MAX(0,AD9*(1+Forecast!$B28))</f>
        <v>160404718427326.28</v>
      </c>
      <c r="AF9" s="2">
        <f>MAX(0,AE9*(1+Forecast!$B28))</f>
        <v>167622930756555.94</v>
      </c>
      <c r="AG9" s="2">
        <f>MAX(0,AF9*(1+Forecast!$B28))</f>
        <v>175165962640600.94</v>
      </c>
    </row>
    <row r="10" spans="1:33" x14ac:dyDescent="0.3">
      <c r="A10" s="16" t="s">
        <v>13</v>
      </c>
      <c r="B10" s="2">
        <f>INDEX(SYCEU!$B$2:$G$11, MATCH($A10, SYCEU!$A$2:$A$11, 0), MATCH(Commercial_calculation!$A$3, SYCEU!$B$1:$G$1, 0))</f>
        <v>31500000000000</v>
      </c>
      <c r="C10" s="2">
        <f>INDEX('2020'!$B$2:$G$11, MATCH($A10, '2020'!$A$2:$A$11, 0), MATCH(Commercial_calculation!$A$3, '2020'!$B$1:$G$1, 0))</f>
        <v>29616860228748.609</v>
      </c>
      <c r="D10" s="2">
        <f>INDEX('2021'!$B$2:$G$11, MATCH($A10, '2021'!$A$2:$A$11, 0), MATCH(Commercial_calculation!$A$3, '2021'!$B$1:$G$1, 0))</f>
        <v>29151998453271.219</v>
      </c>
      <c r="E10" s="2">
        <f>MAX(0,D10*(1+Forecast!$B29))</f>
        <v>27752702527514.199</v>
      </c>
      <c r="F10" s="2">
        <f>MAX(0,E10*(1+Forecast!$B29))</f>
        <v>26420572806193.516</v>
      </c>
      <c r="G10" s="2">
        <f>MAX(0,F10*(1+Forecast!$B29))</f>
        <v>25152385311496.227</v>
      </c>
      <c r="H10" s="2">
        <f>MAX(0,G10*(1+Forecast!$B29))</f>
        <v>23945070816544.406</v>
      </c>
      <c r="I10" s="2">
        <f>MAX(0,H10*(1+Forecast!$B29))</f>
        <v>22795707417350.273</v>
      </c>
      <c r="J10" s="2">
        <f>MAX(0,I10*(1+Forecast!$B29))</f>
        <v>21701513461317.461</v>
      </c>
      <c r="K10" s="2">
        <f>MAX(0,J10*(1+Forecast!$B29))</f>
        <v>20659840815174.223</v>
      </c>
      <c r="L10" s="2">
        <f>MAX(0,K10*(1+Forecast!$B29))</f>
        <v>19668168456045.859</v>
      </c>
      <c r="M10" s="2">
        <f>MAX(0,L10*(1+Forecast!$B29))</f>
        <v>18724096370155.656</v>
      </c>
      <c r="N10" s="2">
        <f>MAX(0,M10*(1+Forecast!$B29))</f>
        <v>17825339744388.184</v>
      </c>
      <c r="O10" s="2">
        <f>MAX(0,N10*(1+Forecast!$B29))</f>
        <v>16969723436657.551</v>
      </c>
      <c r="P10" s="2">
        <f>MAX(0,O10*(1+Forecast!$B29))</f>
        <v>16155176711697.988</v>
      </c>
      <c r="Q10" s="2">
        <f>MAX(0,P10*(1+Forecast!$B29))</f>
        <v>15379728229536.484</v>
      </c>
      <c r="R10" s="2">
        <f>MAX(0,Q10*(1+Forecast!$B29))</f>
        <v>14641501274518.732</v>
      </c>
      <c r="S10" s="2">
        <f>MAX(0,R10*(1+Forecast!$B29))</f>
        <v>13938709213341.832</v>
      </c>
      <c r="T10" s="2">
        <f>MAX(0,S10*(1+Forecast!$B29))</f>
        <v>13269651171101.424</v>
      </c>
      <c r="U10" s="2">
        <f>MAX(0,T10*(1+Forecast!$B29))</f>
        <v>12632707914888.555</v>
      </c>
      <c r="V10" s="2">
        <f>MAX(0,U10*(1+Forecast!$B29))</f>
        <v>12026337934973.904</v>
      </c>
      <c r="W10" s="2">
        <f>MAX(0,V10*(1+Forecast!$B29))</f>
        <v>11449073714095.156</v>
      </c>
      <c r="X10" s="2">
        <f>MAX(0,W10*(1+Forecast!$B29))</f>
        <v>10899518175818.588</v>
      </c>
      <c r="Y10" s="2">
        <f>MAX(0,X10*(1+Forecast!$B29))</f>
        <v>10376341303379.295</v>
      </c>
      <c r="Z10" s="2">
        <f>MAX(0,Y10*(1+Forecast!$B29))</f>
        <v>9878276920817.0879</v>
      </c>
      <c r="AA10" s="2">
        <f>MAX(0,Z10*(1+Forecast!$B29))</f>
        <v>9404119628617.8672</v>
      </c>
      <c r="AB10" s="2">
        <f>MAX(0,AA10*(1+Forecast!$B29))</f>
        <v>8952721886444.209</v>
      </c>
      <c r="AC10" s="2">
        <f>MAX(0,AB10*(1+Forecast!$B29))</f>
        <v>8522991235894.8867</v>
      </c>
      <c r="AD10" s="2">
        <f>MAX(0,AC10*(1+Forecast!$B29))</f>
        <v>8113887656571.9316</v>
      </c>
      <c r="AE10" s="2">
        <f>MAX(0,AD10*(1+Forecast!$B29))</f>
        <v>7724421049056.4785</v>
      </c>
      <c r="AF10" s="2">
        <f>MAX(0,AE10*(1+Forecast!$B29))</f>
        <v>7353648838701.7676</v>
      </c>
      <c r="AG10" s="2">
        <f>MAX(0,AF10*(1+Forecast!$B29))</f>
        <v>7000673694444.082</v>
      </c>
    </row>
    <row r="11" spans="1:33" x14ac:dyDescent="0.3">
      <c r="A11" s="16" t="s">
        <v>14</v>
      </c>
      <c r="B11" s="2">
        <f>INDEX(SYCEU!$B$2:$G$11, MATCH($A11, SYCEU!$A$2:$A$11, 0), MATCH(Commercial_calculation!$A$3, SYCEU!$B$1:$G$1, 0))</f>
        <v>3900000000000</v>
      </c>
      <c r="C11" s="2">
        <f>INDEX('2020'!$B$2:$G$11, MATCH($A11, '2020'!$A$2:$A$11, 0), MATCH(Commercial_calculation!$A$3, '2020'!$B$1:$G$1, 0))</f>
        <v>3658245906752.4121</v>
      </c>
      <c r="D11" s="2">
        <f>INDEX('2021'!$B$2:$G$11, MATCH($A11, '2021'!$A$2:$A$11, 0), MATCH(Commercial_calculation!$A$3, '2021'!$B$1:$G$1, 0))</f>
        <v>3600826630225.0806</v>
      </c>
      <c r="E11" s="2">
        <f>MAX(0,D11*(1+Forecast!$B30))</f>
        <v>3427986951974.2764</v>
      </c>
      <c r="F11" s="2">
        <f>MAX(0,E11*(1+Forecast!$B30))</f>
        <v>3263443578279.5107</v>
      </c>
      <c r="G11" s="2">
        <f>MAX(0,F11*(1+Forecast!$B30))</f>
        <v>3106798286522.0942</v>
      </c>
      <c r="H11" s="2">
        <f>MAX(0,G11*(1+Forecast!$B30))</f>
        <v>2957671968769.0337</v>
      </c>
      <c r="I11" s="2">
        <f>MAX(0,H11*(1+Forecast!$B30))</f>
        <v>2815703714268.1201</v>
      </c>
      <c r="J11" s="2">
        <f>MAX(0,I11*(1+Forecast!$B30))</f>
        <v>2680549935983.25</v>
      </c>
      <c r="K11" s="2">
        <f>MAX(0,J11*(1+Forecast!$B30))</f>
        <v>2551883539056.0537</v>
      </c>
      <c r="L11" s="2">
        <f>MAX(0,K11*(1+Forecast!$B30))</f>
        <v>2429393129181.3628</v>
      </c>
      <c r="M11" s="2">
        <f>MAX(0,L11*(1+Forecast!$B30))</f>
        <v>2312782258980.6572</v>
      </c>
      <c r="N11" s="2">
        <f>MAX(0,M11*(1+Forecast!$B30))</f>
        <v>2201768710549.5854</v>
      </c>
      <c r="O11" s="2">
        <f>MAX(0,N11*(1+Forecast!$B30))</f>
        <v>2096083812443.2053</v>
      </c>
      <c r="P11" s="2">
        <f>MAX(0,O11*(1+Forecast!$B30))</f>
        <v>1995471789445.9314</v>
      </c>
      <c r="Q11" s="2">
        <f>MAX(0,P11*(1+Forecast!$B30))</f>
        <v>1899689143552.5266</v>
      </c>
      <c r="R11" s="2">
        <f>MAX(0,Q11*(1+Forecast!$B30))</f>
        <v>1808504064662.0054</v>
      </c>
      <c r="S11" s="2">
        <f>MAX(0,R11*(1+Forecast!$B30))</f>
        <v>1721695869558.229</v>
      </c>
      <c r="T11" s="2">
        <f>MAX(0,S11*(1+Forecast!$B30))</f>
        <v>1639054467819.4338</v>
      </c>
      <c r="U11" s="2">
        <f>MAX(0,T11*(1+Forecast!$B30))</f>
        <v>1560379853364.1008</v>
      </c>
      <c r="V11" s="2">
        <f>MAX(0,U11*(1+Forecast!$B30))</f>
        <v>1485481620402.624</v>
      </c>
      <c r="W11" s="2">
        <f>MAX(0,V11*(1+Forecast!$B30))</f>
        <v>1414178502623.2981</v>
      </c>
      <c r="X11" s="2">
        <f>MAX(0,W11*(1+Forecast!$B30))</f>
        <v>1346297934497.3796</v>
      </c>
      <c r="Y11" s="2">
        <f>MAX(0,X11*(1+Forecast!$B30))</f>
        <v>1281675633641.5054</v>
      </c>
      <c r="Z11" s="2">
        <f>MAX(0,Y11*(1+Forecast!$B30))</f>
        <v>1220155203226.7131</v>
      </c>
      <c r="AA11" s="2">
        <f>MAX(0,Z11*(1+Forecast!$B30))</f>
        <v>1161587753471.8308</v>
      </c>
      <c r="AB11" s="2">
        <f>MAX(0,AA11*(1+Forecast!$B30))</f>
        <v>1105831541305.1829</v>
      </c>
      <c r="AC11" s="2">
        <f>MAX(0,AB11*(1+Forecast!$B30))</f>
        <v>1052751627322.5341</v>
      </c>
      <c r="AD11" s="2">
        <f>MAX(0,AC11*(1+Forecast!$B30))</f>
        <v>1002219549211.0524</v>
      </c>
      <c r="AE11" s="2">
        <f>MAX(0,AD11*(1+Forecast!$B30))</f>
        <v>954113010848.92175</v>
      </c>
      <c r="AF11" s="2">
        <f>MAX(0,AE11*(1+Forecast!$B30))</f>
        <v>908315586328.17346</v>
      </c>
      <c r="AG11" s="2">
        <f>MAX(0,AF11*(1+Forecast!$B30))</f>
        <v>864716438184.42114</v>
      </c>
    </row>
    <row r="12" spans="1:33" x14ac:dyDescent="0.3">
      <c r="A12" s="16" t="s">
        <v>15</v>
      </c>
      <c r="B12" s="2">
        <f>INDEX(SYCEU!$B$2:$G$11, MATCH($A12, SYCEU!$A$2:$A$11, 0), MATCH(Commercial_calculation!$A$3, SYCEU!$B$1:$G$1, 0))</f>
        <v>19000000000000</v>
      </c>
      <c r="C12" s="2">
        <f>INDEX('2020'!$B$2:$G$11, MATCH($A12, '2020'!$A$2:$A$11, 0), MATCH(Commercial_calculation!$A$3, '2020'!$B$1:$G$1, 0))</f>
        <v>17835815247411.25</v>
      </c>
      <c r="D12" s="2">
        <f>INDEX('2021'!$B$2:$G$11, MATCH($A12, '2021'!$A$2:$A$11, 0), MATCH(Commercial_calculation!$A$3, '2021'!$B$1:$G$1, 0))</f>
        <v>17555866978791.26</v>
      </c>
      <c r="E12" s="2">
        <f>MAX(0,D12*(1+Forecast!$B31))</f>
        <v>16713185363809.279</v>
      </c>
      <c r="F12" s="2">
        <f>MAX(0,E12*(1+Forecast!$B31))</f>
        <v>15910952466346.434</v>
      </c>
      <c r="G12" s="2">
        <f>MAX(0,F12*(1+Forecast!$B31))</f>
        <v>15147226747961.805</v>
      </c>
      <c r="H12" s="2">
        <f>MAX(0,G12*(1+Forecast!$B31))</f>
        <v>14420159864059.637</v>
      </c>
      <c r="I12" s="2">
        <f>MAX(0,H12*(1+Forecast!$B31))</f>
        <v>13727992190584.773</v>
      </c>
      <c r="J12" s="2">
        <f>MAX(0,I12*(1+Forecast!$B31))</f>
        <v>13069048565436.703</v>
      </c>
      <c r="K12" s="2">
        <f>MAX(0,J12*(1+Forecast!$B31))</f>
        <v>12441734234295.74</v>
      </c>
      <c r="L12" s="2">
        <f>MAX(0,K12*(1+Forecast!$B31))</f>
        <v>11844530991049.545</v>
      </c>
      <c r="M12" s="2">
        <f>MAX(0,L12*(1+Forecast!$B31))</f>
        <v>11275993503479.166</v>
      </c>
      <c r="N12" s="2">
        <f>MAX(0,M12*(1+Forecast!$B31))</f>
        <v>10734745815312.166</v>
      </c>
      <c r="O12" s="2">
        <f>MAX(0,N12*(1+Forecast!$B31))</f>
        <v>10219478016177.182</v>
      </c>
      <c r="P12" s="2">
        <f>MAX(0,O12*(1+Forecast!$B31))</f>
        <v>9728943071400.6758</v>
      </c>
      <c r="Q12" s="2">
        <f>MAX(0,P12*(1+Forecast!$B31))</f>
        <v>9261953803973.4434</v>
      </c>
      <c r="R12" s="2">
        <f>MAX(0,Q12*(1+Forecast!$B31))</f>
        <v>8817380021382.7168</v>
      </c>
      <c r="S12" s="2">
        <f>MAX(0,R12*(1+Forecast!$B31))</f>
        <v>8394145780356.3457</v>
      </c>
      <c r="T12" s="2">
        <f>MAX(0,S12*(1+Forecast!$B31))</f>
        <v>7991226782899.2412</v>
      </c>
      <c r="U12" s="2">
        <f>MAX(0,T12*(1+Forecast!$B31))</f>
        <v>7607647897320.0771</v>
      </c>
      <c r="V12" s="2">
        <f>MAX(0,U12*(1+Forecast!$B31))</f>
        <v>7242480798248.7129</v>
      </c>
      <c r="W12" s="2">
        <f>MAX(0,V12*(1+Forecast!$B31))</f>
        <v>6894841719932.7744</v>
      </c>
      <c r="X12" s="2">
        <f>MAX(0,W12*(1+Forecast!$B31))</f>
        <v>6563889317376.001</v>
      </c>
      <c r="Y12" s="2">
        <f>MAX(0,X12*(1+Forecast!$B31))</f>
        <v>6248822630141.9531</v>
      </c>
      <c r="Z12" s="2">
        <f>MAX(0,Y12*(1+Forecast!$B31))</f>
        <v>5948879143895.1387</v>
      </c>
      <c r="AA12" s="2">
        <f>MAX(0,Z12*(1+Forecast!$B31))</f>
        <v>5663332944988.1719</v>
      </c>
      <c r="AB12" s="2">
        <f>MAX(0,AA12*(1+Forecast!$B31))</f>
        <v>5391492963628.7393</v>
      </c>
      <c r="AC12" s="2">
        <f>MAX(0,AB12*(1+Forecast!$B31))</f>
        <v>5132701301374.5596</v>
      </c>
      <c r="AD12" s="2">
        <f>MAX(0,AC12*(1+Forecast!$B31))</f>
        <v>4886331638908.5801</v>
      </c>
      <c r="AE12" s="2">
        <f>MAX(0,AD12*(1+Forecast!$B31))</f>
        <v>4651787720240.9678</v>
      </c>
      <c r="AF12" s="2">
        <f>MAX(0,AE12*(1+Forecast!$B31))</f>
        <v>4428501909669.4014</v>
      </c>
      <c r="AG12" s="2">
        <f>MAX(0,AF12*(1+Forecast!$B31))</f>
        <v>4215933818005.27</v>
      </c>
    </row>
    <row r="13" spans="1:33" x14ac:dyDescent="0.3">
      <c r="A13" s="16" t="s">
        <v>16</v>
      </c>
      <c r="B13" s="2">
        <f>INDEX(SYCEU!$B$2:$G$11, MATCH($A13, SYCEU!$A$2:$A$11, 0), MATCH(Commercial_calculation!$A$3, SYCEU!$B$1:$G$1, 0))</f>
        <v>0</v>
      </c>
      <c r="C13" s="2">
        <f>INDEX('2020'!$B$2:$G$11, MATCH($A13, '2020'!$A$2:$A$11, 0), MATCH(Commercial_calculation!$A$3, '2020'!$B$1:$G$1, 0))</f>
        <v>0</v>
      </c>
      <c r="D13" s="2">
        <f>INDEX('2021'!$B$2:$G$11, MATCH($A13, '2021'!$A$2:$A$11, 0), MATCH(Commercial_calculation!$A$3, '2021'!$B$1:$G$1, 0))</f>
        <v>0</v>
      </c>
      <c r="E13" s="2">
        <f>MAX(0,D13*(1+Forecast!$B32))</f>
        <v>0</v>
      </c>
      <c r="F13" s="2">
        <f>MAX(0,E13*(1+Forecast!$B32))</f>
        <v>0</v>
      </c>
      <c r="G13" s="2">
        <f>MAX(0,F13*(1+Forecast!$B32))</f>
        <v>0</v>
      </c>
      <c r="H13" s="2">
        <f>MAX(0,G13*(1+Forecast!$B32))</f>
        <v>0</v>
      </c>
      <c r="I13" s="2">
        <f>MAX(0,H13*(1+Forecast!$B32))</f>
        <v>0</v>
      </c>
      <c r="J13" s="2">
        <f>MAX(0,I13*(1+Forecast!$B32))</f>
        <v>0</v>
      </c>
      <c r="K13" s="2">
        <f>MAX(0,J13*(1+Forecast!$B32))</f>
        <v>0</v>
      </c>
      <c r="L13" s="2">
        <f>MAX(0,K13*(1+Forecast!$B32))</f>
        <v>0</v>
      </c>
      <c r="M13" s="2">
        <f>MAX(0,L13*(1+Forecast!$B32))</f>
        <v>0</v>
      </c>
      <c r="N13" s="2">
        <f>MAX(0,M13*(1+Forecast!$B32))</f>
        <v>0</v>
      </c>
      <c r="O13" s="2">
        <f>MAX(0,N13*(1+Forecast!$B32))</f>
        <v>0</v>
      </c>
      <c r="P13" s="2">
        <f>MAX(0,O13*(1+Forecast!$B32))</f>
        <v>0</v>
      </c>
      <c r="Q13" s="2">
        <f>MAX(0,P13*(1+Forecast!$B32))</f>
        <v>0</v>
      </c>
      <c r="R13" s="2">
        <f>MAX(0,Q13*(1+Forecast!$B32))</f>
        <v>0</v>
      </c>
      <c r="S13" s="2">
        <f>MAX(0,R13*(1+Forecast!$B32))</f>
        <v>0</v>
      </c>
      <c r="T13" s="2">
        <f>MAX(0,S13*(1+Forecast!$B32))</f>
        <v>0</v>
      </c>
      <c r="U13" s="2">
        <f>MAX(0,T13*(1+Forecast!$B32))</f>
        <v>0</v>
      </c>
      <c r="V13" s="2">
        <f>MAX(0,U13*(1+Forecast!$B32))</f>
        <v>0</v>
      </c>
      <c r="W13" s="2">
        <f>MAX(0,V13*(1+Forecast!$B32))</f>
        <v>0</v>
      </c>
      <c r="X13" s="2">
        <f>MAX(0,W13*(1+Forecast!$B32))</f>
        <v>0</v>
      </c>
      <c r="Y13" s="2">
        <f>MAX(0,X13*(1+Forecast!$B32))</f>
        <v>0</v>
      </c>
      <c r="Z13" s="2">
        <f>MAX(0,Y13*(1+Forecast!$B32))</f>
        <v>0</v>
      </c>
      <c r="AA13" s="2">
        <f>MAX(0,Z13*(1+Forecast!$B32))</f>
        <v>0</v>
      </c>
      <c r="AB13" s="2">
        <f>MAX(0,AA13*(1+Forecast!$B32))</f>
        <v>0</v>
      </c>
      <c r="AC13" s="2">
        <f>MAX(0,AB13*(1+Forecast!$B32))</f>
        <v>0</v>
      </c>
      <c r="AD13" s="2">
        <f>MAX(0,AC13*(1+Forecast!$B32))</f>
        <v>0</v>
      </c>
      <c r="AE13" s="2">
        <f>MAX(0,AD13*(1+Forecast!$B32))</f>
        <v>0</v>
      </c>
      <c r="AF13" s="2">
        <f>MAX(0,AE13*(1+Forecast!$B32))</f>
        <v>0</v>
      </c>
      <c r="AG13" s="2">
        <f>MAX(0,AF13*(1+Forecast!$B32))</f>
        <v>0</v>
      </c>
    </row>
    <row r="15" spans="1:33" x14ac:dyDescent="0.3">
      <c r="A15" s="16" t="s">
        <v>38</v>
      </c>
      <c r="B15" s="1">
        <v>2019</v>
      </c>
      <c r="C15" s="1">
        <v>2020</v>
      </c>
      <c r="D15" s="1">
        <v>2021</v>
      </c>
      <c r="E15" s="1">
        <v>2022</v>
      </c>
      <c r="F15" s="1">
        <v>2023</v>
      </c>
      <c r="G15" s="1">
        <v>2024</v>
      </c>
      <c r="H15" s="1">
        <v>2025</v>
      </c>
      <c r="I15" s="1">
        <v>2026</v>
      </c>
      <c r="J15" s="1">
        <v>2027</v>
      </c>
      <c r="K15" s="1">
        <v>2028</v>
      </c>
      <c r="L15" s="1">
        <v>2029</v>
      </c>
      <c r="M15" s="1">
        <v>2030</v>
      </c>
      <c r="N15" s="1">
        <v>2031</v>
      </c>
      <c r="O15" s="1">
        <v>2032</v>
      </c>
      <c r="P15" s="1">
        <v>2033</v>
      </c>
      <c r="Q15" s="1">
        <v>2034</v>
      </c>
      <c r="R15" s="1">
        <v>2035</v>
      </c>
      <c r="S15" s="1">
        <v>2036</v>
      </c>
      <c r="T15" s="1">
        <v>2037</v>
      </c>
      <c r="U15" s="1">
        <v>2038</v>
      </c>
      <c r="V15" s="1">
        <v>2039</v>
      </c>
      <c r="W15" s="1">
        <v>2040</v>
      </c>
      <c r="X15" s="1">
        <v>2041</v>
      </c>
      <c r="Y15" s="1">
        <v>2042</v>
      </c>
      <c r="Z15" s="1">
        <v>2043</v>
      </c>
      <c r="AA15" s="1">
        <v>2044</v>
      </c>
      <c r="AB15" s="1">
        <v>2045</v>
      </c>
      <c r="AC15" s="1">
        <v>2046</v>
      </c>
      <c r="AD15" s="1">
        <v>2047</v>
      </c>
      <c r="AE15" s="1">
        <v>2048</v>
      </c>
      <c r="AF15" s="1">
        <v>2049</v>
      </c>
      <c r="AG15" s="1">
        <v>2050</v>
      </c>
    </row>
    <row r="16" spans="1:33" x14ac:dyDescent="0.3">
      <c r="A16" s="16" t="s">
        <v>2</v>
      </c>
      <c r="B16" s="2">
        <f>INDEX(SYCEU!$B$2:$G$11, MATCH($A16, SYCEU!$A$2:$A$11, 0), MATCH(Commercial_calculation!$A$15, SYCEU!$B$1:$G$1, 0))</f>
        <v>181000000000000</v>
      </c>
      <c r="C16" s="2">
        <f>INDEX('2020'!$B$2:$G$11, MATCH($A16, '2020'!$A$2:$A$11, 0), MATCH(Commercial_calculation!$A$15, '2020'!$B$1:$G$1, 0))</f>
        <v>178932270756877.25</v>
      </c>
      <c r="D16" s="2">
        <f>INDEX('2021'!$B$2:$G$11, MATCH($A16, '2021'!$A$2:$A$11, 0), MATCH(Commercial_calculation!$A$15, '2021'!$B$1:$G$1, 0))</f>
        <v>180518473873199.38</v>
      </c>
      <c r="E16" s="2">
        <f>MAX(0,D16*(1+Forecast!$B23))</f>
        <v>181962621664184.97</v>
      </c>
      <c r="F16" s="2">
        <f>MAX(0,E16*(1+Forecast!$B23))</f>
        <v>183418322637498.44</v>
      </c>
      <c r="G16" s="2">
        <f>MAX(0,F16*(1+Forecast!$B23))</f>
        <v>184885669218598.44</v>
      </c>
      <c r="H16" s="2">
        <f>MAX(0,G16*(1+Forecast!$B23))</f>
        <v>186364754572347.22</v>
      </c>
      <c r="I16" s="2">
        <f>MAX(0,H16*(1+Forecast!$B23))</f>
        <v>187855672608926</v>
      </c>
      <c r="J16" s="2">
        <f>MAX(0,I16*(1+Forecast!$B23))</f>
        <v>189358517989797.41</v>
      </c>
      <c r="K16" s="2">
        <f>MAX(0,J16*(1+Forecast!$B23))</f>
        <v>190873386133715.78</v>
      </c>
      <c r="L16" s="2">
        <f>MAX(0,K16*(1+Forecast!$B23))</f>
        <v>192400373222785.5</v>
      </c>
      <c r="M16" s="2">
        <f>MAX(0,L16*(1+Forecast!$B23))</f>
        <v>193939576208567.78</v>
      </c>
      <c r="N16" s="2">
        <f>MAX(0,M16*(1+Forecast!$B23))</f>
        <v>195491092818236.31</v>
      </c>
      <c r="O16" s="2">
        <f>MAX(0,N16*(1+Forecast!$B23))</f>
        <v>197055021560782.22</v>
      </c>
      <c r="P16" s="2">
        <f>MAX(0,O16*(1+Forecast!$B23))</f>
        <v>198631461733268.47</v>
      </c>
      <c r="Q16" s="2">
        <f>MAX(0,P16*(1+Forecast!$B23))</f>
        <v>200220513427134.63</v>
      </c>
      <c r="R16" s="2">
        <f>MAX(0,Q16*(1+Forecast!$B23))</f>
        <v>201822277534551.72</v>
      </c>
      <c r="S16" s="2">
        <f>MAX(0,R16*(1+Forecast!$B23))</f>
        <v>203436855754828.13</v>
      </c>
      <c r="T16" s="2">
        <f>MAX(0,S16*(1+Forecast!$B23))</f>
        <v>205064350600866.75</v>
      </c>
      <c r="U16" s="2">
        <f>MAX(0,T16*(1+Forecast!$B23))</f>
        <v>206704865405673.69</v>
      </c>
      <c r="V16" s="2">
        <f>MAX(0,U16*(1+Forecast!$B23))</f>
        <v>208358504328919.09</v>
      </c>
      <c r="W16" s="2">
        <f>MAX(0,V16*(1+Forecast!$B23))</f>
        <v>210025372363550.44</v>
      </c>
      <c r="X16" s="2">
        <f>MAX(0,W16*(1+Forecast!$B23))</f>
        <v>211705575342458.84</v>
      </c>
      <c r="Y16" s="2">
        <f>MAX(0,X16*(1+Forecast!$B23))</f>
        <v>213399219945198.53</v>
      </c>
      <c r="Z16" s="2">
        <f>MAX(0,Y16*(1+Forecast!$B23))</f>
        <v>215106413704760.13</v>
      </c>
      <c r="AA16" s="2">
        <f>MAX(0,Z16*(1+Forecast!$B23))</f>
        <v>216827265014398.22</v>
      </c>
      <c r="AB16" s="2">
        <f>MAX(0,AA16*(1+Forecast!$B23))</f>
        <v>218561883134513.41</v>
      </c>
      <c r="AC16" s="2">
        <f>MAX(0,AB16*(1+Forecast!$B23))</f>
        <v>220310378199589.5</v>
      </c>
      <c r="AD16" s="2">
        <f>MAX(0,AC16*(1+Forecast!$B23))</f>
        <v>222072861225186.22</v>
      </c>
      <c r="AE16" s="2">
        <f>MAX(0,AD16*(1+Forecast!$B23))</f>
        <v>223849444114987.72</v>
      </c>
      <c r="AF16" s="2">
        <f>MAX(0,AE16*(1+Forecast!$B23))</f>
        <v>225640239667907.63</v>
      </c>
      <c r="AG16" s="2">
        <f>MAX(0,AF16*(1+Forecast!$B23))</f>
        <v>227445361585250.88</v>
      </c>
    </row>
    <row r="17" spans="1:33" x14ac:dyDescent="0.3">
      <c r="A17" s="16" t="s">
        <v>3</v>
      </c>
      <c r="B17" s="2">
        <f>INDEX(SYCEU!$B$2:$G$11, MATCH($A17, SYCEU!$A$2:$A$11, 0), MATCH(Commercial_calculation!$A$15, SYCEU!$B$1:$G$1, 0))</f>
        <v>0</v>
      </c>
      <c r="C17" s="2">
        <f>INDEX('2020'!$B$2:$G$11, MATCH($A17, '2020'!$A$2:$A$11, 0), MATCH(Commercial_calculation!$A$15, '2020'!$B$1:$G$1, 0))</f>
        <v>0</v>
      </c>
      <c r="D17" s="2">
        <f>INDEX('2021'!$B$2:$G$11, MATCH($A17, '2021'!$A$2:$A$11, 0), MATCH(Commercial_calculation!$A$15, '2021'!$B$1:$G$1, 0))</f>
        <v>0</v>
      </c>
      <c r="E17" s="2">
        <f>MAX(0,D17*(1+Forecast!$B24))</f>
        <v>0</v>
      </c>
      <c r="F17" s="2">
        <f>MAX(0,E17*(1+Forecast!$B24))</f>
        <v>0</v>
      </c>
      <c r="G17" s="2">
        <f>MAX(0,F17*(1+Forecast!$B24))</f>
        <v>0</v>
      </c>
      <c r="H17" s="2">
        <f>MAX(0,G17*(1+Forecast!$B24))</f>
        <v>0</v>
      </c>
      <c r="I17" s="2">
        <f>MAX(0,H17*(1+Forecast!$B24))</f>
        <v>0</v>
      </c>
      <c r="J17" s="2">
        <f>MAX(0,I17*(1+Forecast!$B24))</f>
        <v>0</v>
      </c>
      <c r="K17" s="2">
        <f>MAX(0,J17*(1+Forecast!$B24))</f>
        <v>0</v>
      </c>
      <c r="L17" s="2">
        <f>MAX(0,K17*(1+Forecast!$B24))</f>
        <v>0</v>
      </c>
      <c r="M17" s="2">
        <f>MAX(0,L17*(1+Forecast!$B24))</f>
        <v>0</v>
      </c>
      <c r="N17" s="2">
        <f>MAX(0,M17*(1+Forecast!$B24))</f>
        <v>0</v>
      </c>
      <c r="O17" s="2">
        <f>MAX(0,N17*(1+Forecast!$B24))</f>
        <v>0</v>
      </c>
      <c r="P17" s="2">
        <f>MAX(0,O17*(1+Forecast!$B24))</f>
        <v>0</v>
      </c>
      <c r="Q17" s="2">
        <f>MAX(0,P17*(1+Forecast!$B24))</f>
        <v>0</v>
      </c>
      <c r="R17" s="2">
        <f>MAX(0,Q17*(1+Forecast!$B24))</f>
        <v>0</v>
      </c>
      <c r="S17" s="2">
        <f>MAX(0,R17*(1+Forecast!$B24))</f>
        <v>0</v>
      </c>
      <c r="T17" s="2">
        <f>MAX(0,S17*(1+Forecast!$B24))</f>
        <v>0</v>
      </c>
      <c r="U17" s="2">
        <f>MAX(0,T17*(1+Forecast!$B24))</f>
        <v>0</v>
      </c>
      <c r="V17" s="2">
        <f>MAX(0,U17*(1+Forecast!$B24))</f>
        <v>0</v>
      </c>
      <c r="W17" s="2">
        <f>MAX(0,V17*(1+Forecast!$B24))</f>
        <v>0</v>
      </c>
      <c r="X17" s="2">
        <f>MAX(0,W17*(1+Forecast!$B24))</f>
        <v>0</v>
      </c>
      <c r="Y17" s="2">
        <f>MAX(0,X17*(1+Forecast!$B24))</f>
        <v>0</v>
      </c>
      <c r="Z17" s="2">
        <f>MAX(0,Y17*(1+Forecast!$B24))</f>
        <v>0</v>
      </c>
      <c r="AA17" s="2">
        <f>MAX(0,Z17*(1+Forecast!$B24))</f>
        <v>0</v>
      </c>
      <c r="AB17" s="2">
        <f>MAX(0,AA17*(1+Forecast!$B24))</f>
        <v>0</v>
      </c>
      <c r="AC17" s="2">
        <f>MAX(0,AB17*(1+Forecast!$B24))</f>
        <v>0</v>
      </c>
      <c r="AD17" s="2">
        <f>MAX(0,AC17*(1+Forecast!$B24))</f>
        <v>0</v>
      </c>
      <c r="AE17" s="2">
        <f>MAX(0,AD17*(1+Forecast!$B24))</f>
        <v>0</v>
      </c>
      <c r="AF17" s="2">
        <f>MAX(0,AE17*(1+Forecast!$B24))</f>
        <v>0</v>
      </c>
      <c r="AG17" s="2">
        <f>MAX(0,AF17*(1+Forecast!$B24))</f>
        <v>0</v>
      </c>
    </row>
    <row r="18" spans="1:33" x14ac:dyDescent="0.3">
      <c r="A18" s="16" t="s">
        <v>4</v>
      </c>
      <c r="B18" s="2">
        <f>INDEX(SYCEU!$B$2:$G$11, MATCH($A18, SYCEU!$A$2:$A$11, 0), MATCH(Commercial_calculation!$A$15, SYCEU!$B$1:$G$1, 0))</f>
        <v>19400000000000</v>
      </c>
      <c r="C18" s="2">
        <f>INDEX('2020'!$B$2:$G$11, MATCH($A18, '2020'!$A$2:$A$11, 0), MATCH(Commercial_calculation!$A$15, '2020'!$B$1:$G$1, 0))</f>
        <v>19015685329482.852</v>
      </c>
      <c r="D18" s="2">
        <f>INDEX('2021'!$B$2:$G$11, MATCH($A18, '2021'!$A$2:$A$11, 0), MATCH(Commercial_calculation!$A$15, '2021'!$B$1:$G$1, 0))</f>
        <v>18958267668592.289</v>
      </c>
      <c r="E18" s="2">
        <f>MAX(0,D18*(1+Forecast!$B25))</f>
        <v>19337433021964.137</v>
      </c>
      <c r="F18" s="2">
        <f>MAX(0,E18*(1+Forecast!$B25))</f>
        <v>19724181682403.418</v>
      </c>
      <c r="G18" s="2">
        <f>MAX(0,F18*(1+Forecast!$B25))</f>
        <v>20118665316051.488</v>
      </c>
      <c r="H18" s="2">
        <f>MAX(0,G18*(1+Forecast!$B25))</f>
        <v>20521038622372.52</v>
      </c>
      <c r="I18" s="2">
        <f>MAX(0,H18*(1+Forecast!$B25))</f>
        <v>20931459394819.969</v>
      </c>
      <c r="J18" s="2">
        <f>MAX(0,I18*(1+Forecast!$B25))</f>
        <v>21350088582716.367</v>
      </c>
      <c r="K18" s="2">
        <f>MAX(0,J18*(1+Forecast!$B25))</f>
        <v>21777090354370.695</v>
      </c>
      <c r="L18" s="2">
        <f>MAX(0,K18*(1+Forecast!$B25))</f>
        <v>22212632161458.109</v>
      </c>
      <c r="M18" s="2">
        <f>MAX(0,L18*(1+Forecast!$B25))</f>
        <v>22656884804687.273</v>
      </c>
      <c r="N18" s="2">
        <f>MAX(0,M18*(1+Forecast!$B25))</f>
        <v>23110022500781.02</v>
      </c>
      <c r="O18" s="2">
        <f>MAX(0,N18*(1+Forecast!$B25))</f>
        <v>23572222950796.641</v>
      </c>
      <c r="P18" s="2">
        <f>MAX(0,O18*(1+Forecast!$B25))</f>
        <v>24043667409812.574</v>
      </c>
      <c r="Q18" s="2">
        <f>MAX(0,P18*(1+Forecast!$B25))</f>
        <v>24524540758008.824</v>
      </c>
      <c r="R18" s="2">
        <f>MAX(0,Q18*(1+Forecast!$B25))</f>
        <v>25015031573169</v>
      </c>
      <c r="S18" s="2">
        <f>MAX(0,R18*(1+Forecast!$B25))</f>
        <v>25515332204632.379</v>
      </c>
      <c r="T18" s="2">
        <f>MAX(0,S18*(1+Forecast!$B25))</f>
        <v>26025638848725.027</v>
      </c>
      <c r="U18" s="2">
        <f>MAX(0,T18*(1+Forecast!$B25))</f>
        <v>26546151625699.527</v>
      </c>
      <c r="V18" s="2">
        <f>MAX(0,U18*(1+Forecast!$B25))</f>
        <v>27077074658213.52</v>
      </c>
      <c r="W18" s="2">
        <f>MAX(0,V18*(1+Forecast!$B25))</f>
        <v>27618616151377.789</v>
      </c>
      <c r="X18" s="2">
        <f>MAX(0,W18*(1+Forecast!$B25))</f>
        <v>28170988474405.344</v>
      </c>
      <c r="Y18" s="2">
        <f>MAX(0,X18*(1+Forecast!$B25))</f>
        <v>28734408243893.449</v>
      </c>
      <c r="Z18" s="2">
        <f>MAX(0,Y18*(1+Forecast!$B25))</f>
        <v>29309096408771.32</v>
      </c>
      <c r="AA18" s="2">
        <f>MAX(0,Z18*(1+Forecast!$B25))</f>
        <v>29895278336946.746</v>
      </c>
      <c r="AB18" s="2">
        <f>MAX(0,AA18*(1+Forecast!$B25))</f>
        <v>30493183903685.68</v>
      </c>
      <c r="AC18" s="2">
        <f>MAX(0,AB18*(1+Forecast!$B25))</f>
        <v>31103047581759.395</v>
      </c>
      <c r="AD18" s="2">
        <f>MAX(0,AC18*(1+Forecast!$B25))</f>
        <v>31725108533394.582</v>
      </c>
      <c r="AE18" s="2">
        <f>MAX(0,AD18*(1+Forecast!$B25))</f>
        <v>32359610704062.473</v>
      </c>
      <c r="AF18" s="2">
        <f>MAX(0,AE18*(1+Forecast!$B25))</f>
        <v>33006802918143.723</v>
      </c>
      <c r="AG18" s="2">
        <f>MAX(0,AF18*(1+Forecast!$B25))</f>
        <v>33666938976506.598</v>
      </c>
    </row>
    <row r="19" spans="1:33" x14ac:dyDescent="0.3">
      <c r="A19" s="16" t="s">
        <v>5</v>
      </c>
      <c r="B19" s="2">
        <f>INDEX(SYCEU!$B$2:$G$11, MATCH($A19, SYCEU!$A$2:$A$11, 0), MATCH(Commercial_calculation!$A$15, SYCEU!$B$1:$G$1, 0))</f>
        <v>0</v>
      </c>
      <c r="C19" s="2">
        <f>INDEX('2020'!$B$2:$G$11, MATCH($A19, '2020'!$A$2:$A$11, 0), MATCH(Commercial_calculation!$A$15, '2020'!$B$1:$G$1, 0))</f>
        <v>0</v>
      </c>
      <c r="D19" s="2">
        <f>INDEX('2021'!$B$2:$G$11, MATCH($A19, '2021'!$A$2:$A$11, 0), MATCH(Commercial_calculation!$A$15, '2021'!$B$1:$G$1, 0))</f>
        <v>0</v>
      </c>
      <c r="E19" s="2">
        <f>MAX(0,D19*(1+Forecast!$B26))</f>
        <v>0</v>
      </c>
      <c r="F19" s="2">
        <f>MAX(0,E19*(1+Forecast!$B26))</f>
        <v>0</v>
      </c>
      <c r="G19" s="2">
        <f>MAX(0,F19*(1+Forecast!$B26))</f>
        <v>0</v>
      </c>
      <c r="H19" s="2">
        <f>MAX(0,G19*(1+Forecast!$B26))</f>
        <v>0</v>
      </c>
      <c r="I19" s="2">
        <f>MAX(0,H19*(1+Forecast!$B26))</f>
        <v>0</v>
      </c>
      <c r="J19" s="2">
        <f>MAX(0,I19*(1+Forecast!$B26))</f>
        <v>0</v>
      </c>
      <c r="K19" s="2">
        <f>MAX(0,J19*(1+Forecast!$B26))</f>
        <v>0</v>
      </c>
      <c r="L19" s="2">
        <f>MAX(0,K19*(1+Forecast!$B26))</f>
        <v>0</v>
      </c>
      <c r="M19" s="2">
        <f>MAX(0,L19*(1+Forecast!$B26))</f>
        <v>0</v>
      </c>
      <c r="N19" s="2">
        <f>MAX(0,M19*(1+Forecast!$B26))</f>
        <v>0</v>
      </c>
      <c r="O19" s="2">
        <f>MAX(0,N19*(1+Forecast!$B26))</f>
        <v>0</v>
      </c>
      <c r="P19" s="2">
        <f>MAX(0,O19*(1+Forecast!$B26))</f>
        <v>0</v>
      </c>
      <c r="Q19" s="2">
        <f>MAX(0,P19*(1+Forecast!$B26))</f>
        <v>0</v>
      </c>
      <c r="R19" s="2">
        <f>MAX(0,Q19*(1+Forecast!$B26))</f>
        <v>0</v>
      </c>
      <c r="S19" s="2">
        <f>MAX(0,R19*(1+Forecast!$B26))</f>
        <v>0</v>
      </c>
      <c r="T19" s="2">
        <f>MAX(0,S19*(1+Forecast!$B26))</f>
        <v>0</v>
      </c>
      <c r="U19" s="2">
        <f>MAX(0,T19*(1+Forecast!$B26))</f>
        <v>0</v>
      </c>
      <c r="V19" s="2">
        <f>MAX(0,U19*(1+Forecast!$B26))</f>
        <v>0</v>
      </c>
      <c r="W19" s="2">
        <f>MAX(0,V19*(1+Forecast!$B26))</f>
        <v>0</v>
      </c>
      <c r="X19" s="2">
        <f>MAX(0,W19*(1+Forecast!$B26))</f>
        <v>0</v>
      </c>
      <c r="Y19" s="2">
        <f>MAX(0,X19*(1+Forecast!$B26))</f>
        <v>0</v>
      </c>
      <c r="Z19" s="2">
        <f>MAX(0,Y19*(1+Forecast!$B26))</f>
        <v>0</v>
      </c>
      <c r="AA19" s="2">
        <f>MAX(0,Z19*(1+Forecast!$B26))</f>
        <v>0</v>
      </c>
      <c r="AB19" s="2">
        <f>MAX(0,AA19*(1+Forecast!$B26))</f>
        <v>0</v>
      </c>
      <c r="AC19" s="2">
        <f>MAX(0,AB19*(1+Forecast!$B26))</f>
        <v>0</v>
      </c>
      <c r="AD19" s="2">
        <f>MAX(0,AC19*(1+Forecast!$B26))</f>
        <v>0</v>
      </c>
      <c r="AE19" s="2">
        <f>MAX(0,AD19*(1+Forecast!$B26))</f>
        <v>0</v>
      </c>
      <c r="AF19" s="2">
        <f>MAX(0,AE19*(1+Forecast!$B26))</f>
        <v>0</v>
      </c>
      <c r="AG19" s="2">
        <f>MAX(0,AF19*(1+Forecast!$B26))</f>
        <v>0</v>
      </c>
    </row>
    <row r="20" spans="1:33" x14ac:dyDescent="0.3">
      <c r="A20" s="16" t="s">
        <v>7</v>
      </c>
      <c r="B20" s="2">
        <f>INDEX(SYCEU!$B$2:$G$11, MATCH($A20, SYCEU!$A$2:$A$11, 0), MATCH(Commercial_calculation!$A$15, SYCEU!$B$1:$G$1, 0))</f>
        <v>1790000000000</v>
      </c>
      <c r="C20" s="2">
        <f>INDEX('2020'!$B$2:$G$11, MATCH($A20, '2020'!$A$2:$A$11, 0), MATCH(Commercial_calculation!$A$15, '2020'!$B$1:$G$1, 0))</f>
        <v>1719234027238.3359</v>
      </c>
      <c r="D20" s="2">
        <f>INDEX('2021'!$B$2:$G$11, MATCH($A20, '2021'!$A$2:$A$11, 0), MATCH(Commercial_calculation!$A$15, '2021'!$B$1:$G$1, 0))</f>
        <v>1731844545775.5361</v>
      </c>
      <c r="E20" s="2">
        <f>MAX(0,D20*(1+Forecast!$B27))</f>
        <v>1763017747599.4958</v>
      </c>
      <c r="F20" s="2">
        <f>MAX(0,E20*(1+Forecast!$B27))</f>
        <v>1794752067056.2869</v>
      </c>
      <c r="G20" s="2">
        <f>MAX(0,F20*(1+Forecast!$B27))</f>
        <v>1827057604263.3</v>
      </c>
      <c r="H20" s="2">
        <f>MAX(0,G20*(1+Forecast!$B27))</f>
        <v>1859944641140.0396</v>
      </c>
      <c r="I20" s="2">
        <f>MAX(0,H20*(1+Forecast!$B27))</f>
        <v>1893423644680.5603</v>
      </c>
      <c r="J20" s="2">
        <f>MAX(0,I20*(1+Forecast!$B27))</f>
        <v>1927505270284.8103</v>
      </c>
      <c r="K20" s="2">
        <f>MAX(0,J20*(1+Forecast!$B27))</f>
        <v>1962200365149.937</v>
      </c>
      <c r="L20" s="2">
        <f>MAX(0,K20*(1+Forecast!$B27))</f>
        <v>1997519971722.636</v>
      </c>
      <c r="M20" s="2">
        <f>MAX(0,L20*(1+Forecast!$B27))</f>
        <v>2033475331213.6436</v>
      </c>
      <c r="N20" s="2">
        <f>MAX(0,M20*(1+Forecast!$B27))</f>
        <v>2070077887175.4893</v>
      </c>
      <c r="O20" s="2">
        <f>MAX(0,N20*(1+Forecast!$B27))</f>
        <v>2107339289144.6482</v>
      </c>
      <c r="P20" s="2">
        <f>MAX(0,O20*(1+Forecast!$B27))</f>
        <v>2145271396349.252</v>
      </c>
      <c r="Q20" s="2">
        <f>MAX(0,P20*(1+Forecast!$B27))</f>
        <v>2183886281483.5386</v>
      </c>
      <c r="R20" s="2">
        <f>MAX(0,Q20*(1+Forecast!$B27))</f>
        <v>2223196234550.2422</v>
      </c>
      <c r="S20" s="2">
        <f>MAX(0,R20*(1+Forecast!$B27))</f>
        <v>2263213766772.1465</v>
      </c>
      <c r="T20" s="2">
        <f>MAX(0,S20*(1+Forecast!$B27))</f>
        <v>2303951614574.0449</v>
      </c>
      <c r="U20" s="2">
        <f>MAX(0,T20*(1+Forecast!$B27))</f>
        <v>2345422743636.3779</v>
      </c>
      <c r="V20" s="2">
        <f>MAX(0,U20*(1+Forecast!$B27))</f>
        <v>2387640353021.833</v>
      </c>
      <c r="W20" s="2">
        <f>MAX(0,V20*(1+Forecast!$B27))</f>
        <v>2430617879376.2261</v>
      </c>
      <c r="X20" s="2">
        <f>MAX(0,W20*(1+Forecast!$B27))</f>
        <v>2474369001204.998</v>
      </c>
      <c r="Y20" s="2">
        <f>MAX(0,X20*(1+Forecast!$B27))</f>
        <v>2518907643226.688</v>
      </c>
      <c r="Z20" s="2">
        <f>MAX(0,Y20*(1+Forecast!$B27))</f>
        <v>2564247980804.7686</v>
      </c>
      <c r="AA20" s="2">
        <f>MAX(0,Z20*(1+Forecast!$B27))</f>
        <v>2610404444459.2544</v>
      </c>
      <c r="AB20" s="2">
        <f>MAX(0,AA20*(1+Forecast!$B27))</f>
        <v>2657391724459.521</v>
      </c>
      <c r="AC20" s="2">
        <f>MAX(0,AB20*(1+Forecast!$B27))</f>
        <v>2705224775499.7925</v>
      </c>
      <c r="AD20" s="2">
        <f>MAX(0,AC20*(1+Forecast!$B27))</f>
        <v>2753918821458.7886</v>
      </c>
      <c r="AE20" s="2">
        <f>MAX(0,AD20*(1+Forecast!$B27))</f>
        <v>2803489360245.0469</v>
      </c>
      <c r="AF20" s="2">
        <f>MAX(0,AE20*(1+Forecast!$B27))</f>
        <v>2853952168729.458</v>
      </c>
      <c r="AG20" s="2">
        <f>MAX(0,AF20*(1+Forecast!$B27))</f>
        <v>2905323307766.5884</v>
      </c>
    </row>
    <row r="21" spans="1:33" x14ac:dyDescent="0.3">
      <c r="A21" s="16" t="s">
        <v>11</v>
      </c>
      <c r="B21" s="2">
        <f>INDEX(SYCEU!$B$2:$G$11, MATCH($A21, SYCEU!$A$2:$A$11, 0), MATCH(Commercial_calculation!$A$15, SYCEU!$B$1:$G$1, 0))</f>
        <v>208000000000</v>
      </c>
      <c r="C21" s="2">
        <f>INDEX('2020'!$B$2:$G$11, MATCH($A21, '2020'!$A$2:$A$11, 0), MATCH(Commercial_calculation!$A$15, '2020'!$B$1:$G$1, 0))</f>
        <v>222246082245.43088</v>
      </c>
      <c r="D21" s="2">
        <f>INDEX('2021'!$B$2:$G$11, MATCH($A21, '2021'!$A$2:$A$11, 0), MATCH(Commercial_calculation!$A$15, '2021'!$B$1:$G$1, 0))</f>
        <v>238409433681.46222</v>
      </c>
      <c r="E21" s="2">
        <f>MAX(0,D21*(1+Forecast!$B28))</f>
        <v>249137858197.12799</v>
      </c>
      <c r="F21" s="2">
        <f>MAX(0,E21*(1+Forecast!$B28))</f>
        <v>260349061815.99872</v>
      </c>
      <c r="G21" s="2">
        <f>MAX(0,F21*(1+Forecast!$B28))</f>
        <v>272064769597.71863</v>
      </c>
      <c r="H21" s="2">
        <f>MAX(0,G21*(1+Forecast!$B28))</f>
        <v>284307684229.61597</v>
      </c>
      <c r="I21" s="2">
        <f>MAX(0,H21*(1+Forecast!$B28))</f>
        <v>297101530019.94867</v>
      </c>
      <c r="J21" s="2">
        <f>MAX(0,I21*(1+Forecast!$B28))</f>
        <v>310471098870.84631</v>
      </c>
      <c r="K21" s="2">
        <f>MAX(0,J21*(1+Forecast!$B28))</f>
        <v>324442298320.03436</v>
      </c>
      <c r="L21" s="2">
        <f>MAX(0,K21*(1+Forecast!$B28))</f>
        <v>339042201744.43591</v>
      </c>
      <c r="M21" s="2">
        <f>MAX(0,L21*(1+Forecast!$B28))</f>
        <v>354299100822.93549</v>
      </c>
      <c r="N21" s="2">
        <f>MAX(0,M21*(1+Forecast!$B28))</f>
        <v>370242560359.96753</v>
      </c>
      <c r="O21" s="2">
        <f>MAX(0,N21*(1+Forecast!$B28))</f>
        <v>386903475576.16602</v>
      </c>
      <c r="P21" s="2">
        <f>MAX(0,O21*(1+Forecast!$B28))</f>
        <v>404314131977.09344</v>
      </c>
      <c r="Q21" s="2">
        <f>MAX(0,P21*(1+Forecast!$B28))</f>
        <v>422508267916.06262</v>
      </c>
      <c r="R21" s="2">
        <f>MAX(0,Q21*(1+Forecast!$B28))</f>
        <v>441521139972.2854</v>
      </c>
      <c r="S21" s="2">
        <f>MAX(0,R21*(1+Forecast!$B28))</f>
        <v>461389591271.03821</v>
      </c>
      <c r="T21" s="2">
        <f>MAX(0,S21*(1+Forecast!$B28))</f>
        <v>482152122878.23492</v>
      </c>
      <c r="U21" s="2">
        <f>MAX(0,T21*(1+Forecast!$B28))</f>
        <v>503848968407.75543</v>
      </c>
      <c r="V21" s="2">
        <f>MAX(0,U21*(1+Forecast!$B28))</f>
        <v>526522171986.10437</v>
      </c>
      <c r="W21" s="2">
        <f>MAX(0,V21*(1+Forecast!$B28))</f>
        <v>550215669725.479</v>
      </c>
      <c r="X21" s="2">
        <f>MAX(0,W21*(1+Forecast!$B28))</f>
        <v>574975374863.12549</v>
      </c>
      <c r="Y21" s="2">
        <f>MAX(0,X21*(1+Forecast!$B28))</f>
        <v>600849266731.96606</v>
      </c>
      <c r="Z21" s="2">
        <f>MAX(0,Y21*(1+Forecast!$B28))</f>
        <v>627887483734.90454</v>
      </c>
      <c r="AA21" s="2">
        <f>MAX(0,Z21*(1+Forecast!$B28))</f>
        <v>656142420502.97522</v>
      </c>
      <c r="AB21" s="2">
        <f>MAX(0,AA21*(1+Forecast!$B28))</f>
        <v>685668829425.60901</v>
      </c>
      <c r="AC21" s="2">
        <f>MAX(0,AB21*(1+Forecast!$B28))</f>
        <v>716523926749.76135</v>
      </c>
      <c r="AD21" s="2">
        <f>MAX(0,AC21*(1+Forecast!$B28))</f>
        <v>748767503453.50061</v>
      </c>
      <c r="AE21" s="2">
        <f>MAX(0,AD21*(1+Forecast!$B28))</f>
        <v>782462041108.90808</v>
      </c>
      <c r="AF21" s="2">
        <f>MAX(0,AE21*(1+Forecast!$B28))</f>
        <v>817672832958.80884</v>
      </c>
      <c r="AG21" s="2">
        <f>MAX(0,AF21*(1+Forecast!$B28))</f>
        <v>854468110441.9552</v>
      </c>
    </row>
    <row r="22" spans="1:33" x14ac:dyDescent="0.3">
      <c r="A22" s="16" t="s">
        <v>13</v>
      </c>
      <c r="B22" s="2">
        <f>INDEX(SYCEU!$B$2:$G$11, MATCH($A22, SYCEU!$A$2:$A$11, 0), MATCH(Commercial_calculation!$A$15, SYCEU!$B$1:$G$1, 0))</f>
        <v>0</v>
      </c>
      <c r="C22" s="2">
        <f>INDEX('2020'!$B$2:$G$11, MATCH($A22, '2020'!$A$2:$A$11, 0), MATCH(Commercial_calculation!$A$15, '2020'!$B$1:$G$1, 0))</f>
        <v>0</v>
      </c>
      <c r="D22" s="2">
        <f>INDEX('2021'!$B$2:$G$11, MATCH($A22, '2021'!$A$2:$A$11, 0), MATCH(Commercial_calculation!$A$15, '2021'!$B$1:$G$1, 0))</f>
        <v>0</v>
      </c>
      <c r="E22" s="2">
        <f>MAX(0,D22*(1+Forecast!$B29))</f>
        <v>0</v>
      </c>
      <c r="F22" s="2">
        <f>MAX(0,E22*(1+Forecast!$B29))</f>
        <v>0</v>
      </c>
      <c r="G22" s="2">
        <f>MAX(0,F22*(1+Forecast!$B29))</f>
        <v>0</v>
      </c>
      <c r="H22" s="2">
        <f>MAX(0,G22*(1+Forecast!$B29))</f>
        <v>0</v>
      </c>
      <c r="I22" s="2">
        <f>MAX(0,H22*(1+Forecast!$B29))</f>
        <v>0</v>
      </c>
      <c r="J22" s="2">
        <f>MAX(0,I22*(1+Forecast!$B29))</f>
        <v>0</v>
      </c>
      <c r="K22" s="2">
        <f>MAX(0,J22*(1+Forecast!$B29))</f>
        <v>0</v>
      </c>
      <c r="L22" s="2">
        <f>MAX(0,K22*(1+Forecast!$B29))</f>
        <v>0</v>
      </c>
      <c r="M22" s="2">
        <f>MAX(0,L22*(1+Forecast!$B29))</f>
        <v>0</v>
      </c>
      <c r="N22" s="2">
        <f>MAX(0,M22*(1+Forecast!$B29))</f>
        <v>0</v>
      </c>
      <c r="O22" s="2">
        <f>MAX(0,N22*(1+Forecast!$B29))</f>
        <v>0</v>
      </c>
      <c r="P22" s="2">
        <f>MAX(0,O22*(1+Forecast!$B29))</f>
        <v>0</v>
      </c>
      <c r="Q22" s="2">
        <f>MAX(0,P22*(1+Forecast!$B29))</f>
        <v>0</v>
      </c>
      <c r="R22" s="2">
        <f>MAX(0,Q22*(1+Forecast!$B29))</f>
        <v>0</v>
      </c>
      <c r="S22" s="2">
        <f>MAX(0,R22*(1+Forecast!$B29))</f>
        <v>0</v>
      </c>
      <c r="T22" s="2">
        <f>MAX(0,S22*(1+Forecast!$B29))</f>
        <v>0</v>
      </c>
      <c r="U22" s="2">
        <f>MAX(0,T22*(1+Forecast!$B29))</f>
        <v>0</v>
      </c>
      <c r="V22" s="2">
        <f>MAX(0,U22*(1+Forecast!$B29))</f>
        <v>0</v>
      </c>
      <c r="W22" s="2">
        <f>MAX(0,V22*(1+Forecast!$B29))</f>
        <v>0</v>
      </c>
      <c r="X22" s="2">
        <f>MAX(0,W22*(1+Forecast!$B29))</f>
        <v>0</v>
      </c>
      <c r="Y22" s="2">
        <f>MAX(0,X22*(1+Forecast!$B29))</f>
        <v>0</v>
      </c>
      <c r="Z22" s="2">
        <f>MAX(0,Y22*(1+Forecast!$B29))</f>
        <v>0</v>
      </c>
      <c r="AA22" s="2">
        <f>MAX(0,Z22*(1+Forecast!$B29))</f>
        <v>0</v>
      </c>
      <c r="AB22" s="2">
        <f>MAX(0,AA22*(1+Forecast!$B29))</f>
        <v>0</v>
      </c>
      <c r="AC22" s="2">
        <f>MAX(0,AB22*(1+Forecast!$B29))</f>
        <v>0</v>
      </c>
      <c r="AD22" s="2">
        <f>MAX(0,AC22*(1+Forecast!$B29))</f>
        <v>0</v>
      </c>
      <c r="AE22" s="2">
        <f>MAX(0,AD22*(1+Forecast!$B29))</f>
        <v>0</v>
      </c>
      <c r="AF22" s="2">
        <f>MAX(0,AE22*(1+Forecast!$B29))</f>
        <v>0</v>
      </c>
      <c r="AG22" s="2">
        <f>MAX(0,AF22*(1+Forecast!$B29))</f>
        <v>0</v>
      </c>
    </row>
    <row r="23" spans="1:33" x14ac:dyDescent="0.3">
      <c r="A23" s="16" t="s">
        <v>14</v>
      </c>
      <c r="B23" s="2">
        <f>INDEX(SYCEU!$B$2:$G$11, MATCH($A23, SYCEU!$A$2:$A$11, 0), MATCH(Commercial_calculation!$A$15, SYCEU!$B$1:$G$1, 0))</f>
        <v>0</v>
      </c>
      <c r="C23" s="2">
        <f>INDEX('2020'!$B$2:$G$11, MATCH($A23, '2020'!$A$2:$A$11, 0), MATCH(Commercial_calculation!$A$15, '2020'!$B$1:$G$1, 0))</f>
        <v>0</v>
      </c>
      <c r="D23" s="2">
        <f>INDEX('2021'!$B$2:$G$11, MATCH($A23, '2021'!$A$2:$A$11, 0), MATCH(Commercial_calculation!$A$15, '2021'!$B$1:$G$1, 0))</f>
        <v>0</v>
      </c>
      <c r="E23" s="2">
        <f>MAX(0,D23*(1+Forecast!$B30))</f>
        <v>0</v>
      </c>
      <c r="F23" s="2">
        <f>MAX(0,E23*(1+Forecast!$B30))</f>
        <v>0</v>
      </c>
      <c r="G23" s="2">
        <f>MAX(0,F23*(1+Forecast!$B30))</f>
        <v>0</v>
      </c>
      <c r="H23" s="2">
        <f>MAX(0,G23*(1+Forecast!$B30))</f>
        <v>0</v>
      </c>
      <c r="I23" s="2">
        <f>MAX(0,H23*(1+Forecast!$B30))</f>
        <v>0</v>
      </c>
      <c r="J23" s="2">
        <f>MAX(0,I23*(1+Forecast!$B30))</f>
        <v>0</v>
      </c>
      <c r="K23" s="2">
        <f>MAX(0,J23*(1+Forecast!$B30))</f>
        <v>0</v>
      </c>
      <c r="L23" s="2">
        <f>MAX(0,K23*(1+Forecast!$B30))</f>
        <v>0</v>
      </c>
      <c r="M23" s="2">
        <f>MAX(0,L23*(1+Forecast!$B30))</f>
        <v>0</v>
      </c>
      <c r="N23" s="2">
        <f>MAX(0,M23*(1+Forecast!$B30))</f>
        <v>0</v>
      </c>
      <c r="O23" s="2">
        <f>MAX(0,N23*(1+Forecast!$B30))</f>
        <v>0</v>
      </c>
      <c r="P23" s="2">
        <f>MAX(0,O23*(1+Forecast!$B30))</f>
        <v>0</v>
      </c>
      <c r="Q23" s="2">
        <f>MAX(0,P23*(1+Forecast!$B30))</f>
        <v>0</v>
      </c>
      <c r="R23" s="2">
        <f>MAX(0,Q23*(1+Forecast!$B30))</f>
        <v>0</v>
      </c>
      <c r="S23" s="2">
        <f>MAX(0,R23*(1+Forecast!$B30))</f>
        <v>0</v>
      </c>
      <c r="T23" s="2">
        <f>MAX(0,S23*(1+Forecast!$B30))</f>
        <v>0</v>
      </c>
      <c r="U23" s="2">
        <f>MAX(0,T23*(1+Forecast!$B30))</f>
        <v>0</v>
      </c>
      <c r="V23" s="2">
        <f>MAX(0,U23*(1+Forecast!$B30))</f>
        <v>0</v>
      </c>
      <c r="W23" s="2">
        <f>MAX(0,V23*(1+Forecast!$B30))</f>
        <v>0</v>
      </c>
      <c r="X23" s="2">
        <f>MAX(0,W23*(1+Forecast!$B30))</f>
        <v>0</v>
      </c>
      <c r="Y23" s="2">
        <f>MAX(0,X23*(1+Forecast!$B30))</f>
        <v>0</v>
      </c>
      <c r="Z23" s="2">
        <f>MAX(0,Y23*(1+Forecast!$B30))</f>
        <v>0</v>
      </c>
      <c r="AA23" s="2">
        <f>MAX(0,Z23*(1+Forecast!$B30))</f>
        <v>0</v>
      </c>
      <c r="AB23" s="2">
        <f>MAX(0,AA23*(1+Forecast!$B30))</f>
        <v>0</v>
      </c>
      <c r="AC23" s="2">
        <f>MAX(0,AB23*(1+Forecast!$B30))</f>
        <v>0</v>
      </c>
      <c r="AD23" s="2">
        <f>MAX(0,AC23*(1+Forecast!$B30))</f>
        <v>0</v>
      </c>
      <c r="AE23" s="2">
        <f>MAX(0,AD23*(1+Forecast!$B30))</f>
        <v>0</v>
      </c>
      <c r="AF23" s="2">
        <f>MAX(0,AE23*(1+Forecast!$B30))</f>
        <v>0</v>
      </c>
      <c r="AG23" s="2">
        <f>MAX(0,AF23*(1+Forecast!$B30))</f>
        <v>0</v>
      </c>
    </row>
    <row r="24" spans="1:33" x14ac:dyDescent="0.3">
      <c r="A24" s="16" t="s">
        <v>15</v>
      </c>
      <c r="B24" s="2">
        <f>INDEX(SYCEU!$B$2:$G$11, MATCH($A24, SYCEU!$A$2:$A$11, 0), MATCH(Commercial_calculation!$A$15, SYCEU!$B$1:$G$1, 0))</f>
        <v>318000000000</v>
      </c>
      <c r="C24" s="2">
        <f>INDEX('2020'!$B$2:$G$11, MATCH($A24, '2020'!$A$2:$A$11, 0), MATCH(Commercial_calculation!$A$15, '2020'!$B$1:$G$1, 0))</f>
        <v>298632318918.56421</v>
      </c>
      <c r="D24" s="2">
        <f>INDEX('2021'!$B$2:$G$11, MATCH($A24, '2021'!$A$2:$A$11, 0), MATCH(Commercial_calculation!$A$15, '2021'!$B$1:$G$1, 0))</f>
        <v>293945031038.7821</v>
      </c>
      <c r="E24" s="2">
        <f>MAX(0,D24*(1+Forecast!$B31))</f>
        <v>279835669548.92053</v>
      </c>
      <c r="F24" s="2">
        <f>MAX(0,E24*(1+Forecast!$B31))</f>
        <v>266403557410.57233</v>
      </c>
      <c r="G24" s="2">
        <f>MAX(0,F24*(1+Forecast!$B31))</f>
        <v>253616186654.86484</v>
      </c>
      <c r="H24" s="2">
        <f>MAX(0,G24*(1+Forecast!$B31))</f>
        <v>241442609695.4313</v>
      </c>
      <c r="I24" s="2">
        <f>MAX(0,H24*(1+Forecast!$B31))</f>
        <v>229853364430.0506</v>
      </c>
      <c r="J24" s="2">
        <f>MAX(0,I24*(1+Forecast!$B31))</f>
        <v>218820402937.40817</v>
      </c>
      <c r="K24" s="2">
        <f>MAX(0,J24*(1+Forecast!$B31))</f>
        <v>208317023596.41257</v>
      </c>
      <c r="L24" s="2">
        <f>MAX(0,K24*(1+Forecast!$B31))</f>
        <v>198317806463.78476</v>
      </c>
      <c r="M24" s="2">
        <f>MAX(0,L24*(1+Forecast!$B31))</f>
        <v>188798551753.52307</v>
      </c>
      <c r="N24" s="2">
        <f>MAX(0,M24*(1+Forecast!$B31))</f>
        <v>179736221269.35394</v>
      </c>
      <c r="O24" s="2">
        <f>MAX(0,N24*(1+Forecast!$B31))</f>
        <v>171108882648.42496</v>
      </c>
      <c r="P24" s="2">
        <f>MAX(0,O24*(1+Forecast!$B31))</f>
        <v>162895656281.30054</v>
      </c>
      <c r="Q24" s="2">
        <f>MAX(0,P24*(1+Forecast!$B31))</f>
        <v>155076664779.7981</v>
      </c>
      <c r="R24" s="2">
        <f>MAX(0,Q24*(1+Forecast!$B31))</f>
        <v>147632984870.36777</v>
      </c>
      <c r="S24" s="2">
        <f>MAX(0,R24*(1+Forecast!$B31))</f>
        <v>140546601596.59012</v>
      </c>
      <c r="T24" s="2">
        <f>MAX(0,S24*(1+Forecast!$B31))</f>
        <v>133800364719.95378</v>
      </c>
      <c r="U24" s="2">
        <f>MAX(0,T24*(1+Forecast!$B31))</f>
        <v>127377947213.396</v>
      </c>
      <c r="V24" s="2">
        <f>MAX(0,U24*(1+Forecast!$B31))</f>
        <v>121263805747.15298</v>
      </c>
      <c r="W24" s="2">
        <f>MAX(0,V24*(1+Forecast!$B31))</f>
        <v>115443143071.28964</v>
      </c>
      <c r="X24" s="2">
        <f>MAX(0,W24*(1+Forecast!$B31))</f>
        <v>109901872203.86774</v>
      </c>
      <c r="Y24" s="2">
        <f>MAX(0,X24*(1+Forecast!$B31))</f>
        <v>104626582338.08208</v>
      </c>
      <c r="Z24" s="2">
        <f>MAX(0,Y24*(1+Forecast!$B31))</f>
        <v>99604506385.854126</v>
      </c>
      <c r="AA24" s="2">
        <f>MAX(0,Z24*(1+Forecast!$B31))</f>
        <v>94823490079.33313</v>
      </c>
      <c r="AB24" s="2">
        <f>MAX(0,AA24*(1+Forecast!$B31))</f>
        <v>90271962555.525131</v>
      </c>
      <c r="AC24" s="2">
        <f>MAX(0,AB24*(1+Forecast!$B31))</f>
        <v>85938908352.859924</v>
      </c>
      <c r="AD24" s="2">
        <f>MAX(0,AC24*(1+Forecast!$B31))</f>
        <v>81813840751.922638</v>
      </c>
      <c r="AE24" s="2">
        <f>MAX(0,AD24*(1+Forecast!$B31))</f>
        <v>77886776395.830353</v>
      </c>
      <c r="AF24" s="2">
        <f>MAX(0,AE24*(1+Forecast!$B31))</f>
        <v>74148211128.83049</v>
      </c>
      <c r="AG24" s="2">
        <f>MAX(0,AF24*(1+Forecast!$B31))</f>
        <v>70589096994.646622</v>
      </c>
    </row>
    <row r="25" spans="1:33" x14ac:dyDescent="0.3">
      <c r="A25" s="16" t="s">
        <v>16</v>
      </c>
      <c r="B25" s="2">
        <f>INDEX(SYCEU!$B$2:$G$11, MATCH($A25, SYCEU!$A$2:$A$11, 0), MATCH(Commercial_calculation!$A$15, SYCEU!$B$1:$G$1, 0))</f>
        <v>0</v>
      </c>
      <c r="C25" s="2">
        <f>INDEX('2020'!$B$2:$G$11, MATCH($A25, '2020'!$A$2:$A$11, 0), MATCH(Commercial_calculation!$A$15, '2020'!$B$1:$G$1, 0))</f>
        <v>0</v>
      </c>
      <c r="D25" s="2">
        <f>INDEX('2021'!$B$2:$G$11, MATCH($A25, '2021'!$A$2:$A$11, 0), MATCH(Commercial_calculation!$A$15, '2021'!$B$1:$G$1, 0))</f>
        <v>0</v>
      </c>
      <c r="E25" s="2">
        <f>MAX(0,D25*(1+Forecast!$B32))</f>
        <v>0</v>
      </c>
      <c r="F25" s="2">
        <f>MAX(0,E25*(1+Forecast!$B32))</f>
        <v>0</v>
      </c>
      <c r="G25" s="2">
        <f>MAX(0,F25*(1+Forecast!$B32))</f>
        <v>0</v>
      </c>
      <c r="H25" s="2">
        <f>MAX(0,G25*(1+Forecast!$B32))</f>
        <v>0</v>
      </c>
      <c r="I25" s="2">
        <f>MAX(0,H25*(1+Forecast!$B32))</f>
        <v>0</v>
      </c>
      <c r="J25" s="2">
        <f>MAX(0,I25*(1+Forecast!$B32))</f>
        <v>0</v>
      </c>
      <c r="K25" s="2">
        <f>MAX(0,J25*(1+Forecast!$B32))</f>
        <v>0</v>
      </c>
      <c r="L25" s="2">
        <f>MAX(0,K25*(1+Forecast!$B32))</f>
        <v>0</v>
      </c>
      <c r="M25" s="2">
        <f>MAX(0,L25*(1+Forecast!$B32))</f>
        <v>0</v>
      </c>
      <c r="N25" s="2">
        <f>MAX(0,M25*(1+Forecast!$B32))</f>
        <v>0</v>
      </c>
      <c r="O25" s="2">
        <f>MAX(0,N25*(1+Forecast!$B32))</f>
        <v>0</v>
      </c>
      <c r="P25" s="2">
        <f>MAX(0,O25*(1+Forecast!$B32))</f>
        <v>0</v>
      </c>
      <c r="Q25" s="2">
        <f>MAX(0,P25*(1+Forecast!$B32))</f>
        <v>0</v>
      </c>
      <c r="R25" s="2">
        <f>MAX(0,Q25*(1+Forecast!$B32))</f>
        <v>0</v>
      </c>
      <c r="S25" s="2">
        <f>MAX(0,R25*(1+Forecast!$B32))</f>
        <v>0</v>
      </c>
      <c r="T25" s="2">
        <f>MAX(0,S25*(1+Forecast!$B32))</f>
        <v>0</v>
      </c>
      <c r="U25" s="2">
        <f>MAX(0,T25*(1+Forecast!$B32))</f>
        <v>0</v>
      </c>
      <c r="V25" s="2">
        <f>MAX(0,U25*(1+Forecast!$B32))</f>
        <v>0</v>
      </c>
      <c r="W25" s="2">
        <f>MAX(0,V25*(1+Forecast!$B32))</f>
        <v>0</v>
      </c>
      <c r="X25" s="2">
        <f>MAX(0,W25*(1+Forecast!$B32))</f>
        <v>0</v>
      </c>
      <c r="Y25" s="2">
        <f>MAX(0,X25*(1+Forecast!$B32))</f>
        <v>0</v>
      </c>
      <c r="Z25" s="2">
        <f>MAX(0,Y25*(1+Forecast!$B32))</f>
        <v>0</v>
      </c>
      <c r="AA25" s="2">
        <f>MAX(0,Z25*(1+Forecast!$B32))</f>
        <v>0</v>
      </c>
      <c r="AB25" s="2">
        <f>MAX(0,AA25*(1+Forecast!$B32))</f>
        <v>0</v>
      </c>
      <c r="AC25" s="2">
        <f>MAX(0,AB25*(1+Forecast!$B32))</f>
        <v>0</v>
      </c>
      <c r="AD25" s="2">
        <f>MAX(0,AC25*(1+Forecast!$B32))</f>
        <v>0</v>
      </c>
      <c r="AE25" s="2">
        <f>MAX(0,AD25*(1+Forecast!$B32))</f>
        <v>0</v>
      </c>
      <c r="AF25" s="2">
        <f>MAX(0,AE25*(1+Forecast!$B32))</f>
        <v>0</v>
      </c>
      <c r="AG25" s="2">
        <f>MAX(0,AF25*(1+Forecast!$B32))</f>
        <v>0</v>
      </c>
    </row>
    <row r="27" spans="1:33" x14ac:dyDescent="0.3">
      <c r="A27" s="16" t="s">
        <v>39</v>
      </c>
      <c r="B27" s="1">
        <v>2019</v>
      </c>
      <c r="C27" s="1">
        <v>2020</v>
      </c>
      <c r="D27" s="1">
        <v>2021</v>
      </c>
      <c r="E27" s="1">
        <v>2022</v>
      </c>
      <c r="F27" s="1">
        <v>2023</v>
      </c>
      <c r="G27" s="1">
        <v>2024</v>
      </c>
      <c r="H27" s="1">
        <v>2025</v>
      </c>
      <c r="I27" s="1">
        <v>2026</v>
      </c>
      <c r="J27" s="1">
        <v>2027</v>
      </c>
      <c r="K27" s="1">
        <v>2028</v>
      </c>
      <c r="L27" s="1">
        <v>2029</v>
      </c>
      <c r="M27" s="1">
        <v>2030</v>
      </c>
      <c r="N27" s="1">
        <v>2031</v>
      </c>
      <c r="O27" s="1">
        <v>2032</v>
      </c>
      <c r="P27" s="1">
        <v>2033</v>
      </c>
      <c r="Q27" s="1">
        <v>2034</v>
      </c>
      <c r="R27" s="1">
        <v>2035</v>
      </c>
      <c r="S27" s="1">
        <v>2036</v>
      </c>
      <c r="T27" s="1">
        <v>2037</v>
      </c>
      <c r="U27" s="1">
        <v>2038</v>
      </c>
      <c r="V27" s="1">
        <v>2039</v>
      </c>
      <c r="W27" s="1">
        <v>2040</v>
      </c>
      <c r="X27" s="1">
        <v>2041</v>
      </c>
      <c r="Y27" s="1">
        <v>2042</v>
      </c>
      <c r="Z27" s="1">
        <v>2043</v>
      </c>
      <c r="AA27" s="1">
        <v>2044</v>
      </c>
      <c r="AB27" s="1">
        <v>2045</v>
      </c>
      <c r="AC27" s="1">
        <v>2046</v>
      </c>
      <c r="AD27" s="1">
        <v>2047</v>
      </c>
      <c r="AE27" s="1">
        <v>2048</v>
      </c>
      <c r="AF27" s="1">
        <v>2049</v>
      </c>
      <c r="AG27" s="1">
        <v>2050</v>
      </c>
    </row>
    <row r="28" spans="1:33" x14ac:dyDescent="0.3">
      <c r="A28" s="16" t="s">
        <v>2</v>
      </c>
      <c r="B28" s="2">
        <f>INDEX(SYCEU!$B$2:$G$11, MATCH($A28, SYCEU!$A$2:$A$11, 0), MATCH(Commercial_calculation!$A$27, SYCEU!$B$1:$G$1, 0))</f>
        <v>0</v>
      </c>
      <c r="C28" s="2">
        <f>INDEX('2020'!$B$2:$G$11, MATCH($A28, '2020'!$A$2:$A$11, 0), MATCH(Commercial_calculation!$A$27, '2020'!$B$1:$G$1, 0))</f>
        <v>0</v>
      </c>
      <c r="D28" s="2">
        <f>INDEX('2021'!$B$2:$G$11, MATCH($A28, '2021'!$A$2:$A$11, 0), MATCH(Commercial_calculation!$A$27, '2021'!$B$1:$G$1, 0))</f>
        <v>0</v>
      </c>
      <c r="E28" s="2">
        <f>MAX(0,D28*(1+Forecast!$B23))</f>
        <v>0</v>
      </c>
      <c r="F28" s="2">
        <f>MAX(0,E28*(1+Forecast!$B23))</f>
        <v>0</v>
      </c>
      <c r="G28" s="2">
        <f>MAX(0,F28*(1+Forecast!$B23))</f>
        <v>0</v>
      </c>
      <c r="H28" s="2">
        <f>MAX(0,G28*(1+Forecast!$B23))</f>
        <v>0</v>
      </c>
      <c r="I28" s="2">
        <f>MAX(0,H28*(1+Forecast!$B23))</f>
        <v>0</v>
      </c>
      <c r="J28" s="2">
        <f>MAX(0,I28*(1+Forecast!$B23))</f>
        <v>0</v>
      </c>
      <c r="K28" s="2">
        <f>MAX(0,J28*(1+Forecast!$B23))</f>
        <v>0</v>
      </c>
      <c r="L28" s="2">
        <f>MAX(0,K28*(1+Forecast!$B23))</f>
        <v>0</v>
      </c>
      <c r="M28" s="2">
        <f>MAX(0,L28*(1+Forecast!$B23))</f>
        <v>0</v>
      </c>
      <c r="N28" s="2">
        <f>MAX(0,M28*(1+Forecast!$B23))</f>
        <v>0</v>
      </c>
      <c r="O28" s="2">
        <f>MAX(0,N28*(1+Forecast!$B23))</f>
        <v>0</v>
      </c>
      <c r="P28" s="2">
        <f>MAX(0,O28*(1+Forecast!$B23))</f>
        <v>0</v>
      </c>
      <c r="Q28" s="2">
        <f>MAX(0,P28*(1+Forecast!$B23))</f>
        <v>0</v>
      </c>
      <c r="R28" s="2">
        <f>MAX(0,Q28*(1+Forecast!$B23))</f>
        <v>0</v>
      </c>
      <c r="S28" s="2">
        <f>MAX(0,R28*(1+Forecast!$B23))</f>
        <v>0</v>
      </c>
      <c r="T28" s="2">
        <f>MAX(0,S28*(1+Forecast!$B23))</f>
        <v>0</v>
      </c>
      <c r="U28" s="2">
        <f>MAX(0,T28*(1+Forecast!$B23))</f>
        <v>0</v>
      </c>
      <c r="V28" s="2">
        <f>MAX(0,U28*(1+Forecast!$B23))</f>
        <v>0</v>
      </c>
      <c r="W28" s="2">
        <f>MAX(0,V28*(1+Forecast!$B23))</f>
        <v>0</v>
      </c>
      <c r="X28" s="2">
        <f>MAX(0,W28*(1+Forecast!$B23))</f>
        <v>0</v>
      </c>
      <c r="Y28" s="2">
        <f>MAX(0,X28*(1+Forecast!$B23))</f>
        <v>0</v>
      </c>
      <c r="Z28" s="2">
        <f>MAX(0,Y28*(1+Forecast!$B23))</f>
        <v>0</v>
      </c>
      <c r="AA28" s="2">
        <f>MAX(0,Z28*(1+Forecast!$B23))</f>
        <v>0</v>
      </c>
      <c r="AB28" s="2">
        <f>MAX(0,AA28*(1+Forecast!$B23))</f>
        <v>0</v>
      </c>
      <c r="AC28" s="2">
        <f>MAX(0,AB28*(1+Forecast!$B23))</f>
        <v>0</v>
      </c>
      <c r="AD28" s="2">
        <f>MAX(0,AC28*(1+Forecast!$B23))</f>
        <v>0</v>
      </c>
      <c r="AE28" s="2">
        <f>MAX(0,AD28*(1+Forecast!$B23))</f>
        <v>0</v>
      </c>
      <c r="AF28" s="2">
        <f>MAX(0,AE28*(1+Forecast!$B23))</f>
        <v>0</v>
      </c>
      <c r="AG28" s="2">
        <f>MAX(0,AF28*(1+Forecast!$B23))</f>
        <v>0</v>
      </c>
    </row>
    <row r="29" spans="1:33" x14ac:dyDescent="0.3">
      <c r="A29" s="16" t="s">
        <v>3</v>
      </c>
      <c r="B29" s="2">
        <f>INDEX(SYCEU!$B$2:$G$11, MATCH($A29, SYCEU!$A$2:$A$11, 0), MATCH(Commercial_calculation!$A$27, SYCEU!$B$1:$G$1, 0))</f>
        <v>0</v>
      </c>
      <c r="C29" s="2">
        <f>INDEX('2020'!$B$2:$G$11, MATCH($A29, '2020'!$A$2:$A$11, 0), MATCH(Commercial_calculation!$A$27, '2020'!$B$1:$G$1, 0))</f>
        <v>0</v>
      </c>
      <c r="D29" s="2">
        <f>INDEX('2021'!$B$2:$G$11, MATCH($A29, '2021'!$A$2:$A$11, 0), MATCH(Commercial_calculation!$A$27, '2021'!$B$1:$G$1, 0))</f>
        <v>0</v>
      </c>
      <c r="E29" s="2">
        <f>MAX(0,D29*(1+Forecast!$B24))</f>
        <v>0</v>
      </c>
      <c r="F29" s="2">
        <f>MAX(0,E29*(1+Forecast!$B24))</f>
        <v>0</v>
      </c>
      <c r="G29" s="2">
        <f>MAX(0,F29*(1+Forecast!$B24))</f>
        <v>0</v>
      </c>
      <c r="H29" s="2">
        <f>MAX(0,G29*(1+Forecast!$B24))</f>
        <v>0</v>
      </c>
      <c r="I29" s="2">
        <f>MAX(0,H29*(1+Forecast!$B24))</f>
        <v>0</v>
      </c>
      <c r="J29" s="2">
        <f>MAX(0,I29*(1+Forecast!$B24))</f>
        <v>0</v>
      </c>
      <c r="K29" s="2">
        <f>MAX(0,J29*(1+Forecast!$B24))</f>
        <v>0</v>
      </c>
      <c r="L29" s="2">
        <f>MAX(0,K29*(1+Forecast!$B24))</f>
        <v>0</v>
      </c>
      <c r="M29" s="2">
        <f>MAX(0,L29*(1+Forecast!$B24))</f>
        <v>0</v>
      </c>
      <c r="N29" s="2">
        <f>MAX(0,M29*(1+Forecast!$B24))</f>
        <v>0</v>
      </c>
      <c r="O29" s="2">
        <f>MAX(0,N29*(1+Forecast!$B24))</f>
        <v>0</v>
      </c>
      <c r="P29" s="2">
        <f>MAX(0,O29*(1+Forecast!$B24))</f>
        <v>0</v>
      </c>
      <c r="Q29" s="2">
        <f>MAX(0,P29*(1+Forecast!$B24))</f>
        <v>0</v>
      </c>
      <c r="R29" s="2">
        <f>MAX(0,Q29*(1+Forecast!$B24))</f>
        <v>0</v>
      </c>
      <c r="S29" s="2">
        <f>MAX(0,R29*(1+Forecast!$B24))</f>
        <v>0</v>
      </c>
      <c r="T29" s="2">
        <f>MAX(0,S29*(1+Forecast!$B24))</f>
        <v>0</v>
      </c>
      <c r="U29" s="2">
        <f>MAX(0,T29*(1+Forecast!$B24))</f>
        <v>0</v>
      </c>
      <c r="V29" s="2">
        <f>MAX(0,U29*(1+Forecast!$B24))</f>
        <v>0</v>
      </c>
      <c r="W29" s="2">
        <f>MAX(0,V29*(1+Forecast!$B24))</f>
        <v>0</v>
      </c>
      <c r="X29" s="2">
        <f>MAX(0,W29*(1+Forecast!$B24))</f>
        <v>0</v>
      </c>
      <c r="Y29" s="2">
        <f>MAX(0,X29*(1+Forecast!$B24))</f>
        <v>0</v>
      </c>
      <c r="Z29" s="2">
        <f>MAX(0,Y29*(1+Forecast!$B24))</f>
        <v>0</v>
      </c>
      <c r="AA29" s="2">
        <f>MAX(0,Z29*(1+Forecast!$B24))</f>
        <v>0</v>
      </c>
      <c r="AB29" s="2">
        <f>MAX(0,AA29*(1+Forecast!$B24))</f>
        <v>0</v>
      </c>
      <c r="AC29" s="2">
        <f>MAX(0,AB29*(1+Forecast!$B24))</f>
        <v>0</v>
      </c>
      <c r="AD29" s="2">
        <f>MAX(0,AC29*(1+Forecast!$B24))</f>
        <v>0</v>
      </c>
      <c r="AE29" s="2">
        <f>MAX(0,AD29*(1+Forecast!$B24))</f>
        <v>0</v>
      </c>
      <c r="AF29" s="2">
        <f>MAX(0,AE29*(1+Forecast!$B24))</f>
        <v>0</v>
      </c>
      <c r="AG29" s="2">
        <f>MAX(0,AF29*(1+Forecast!$B24))</f>
        <v>0</v>
      </c>
    </row>
    <row r="30" spans="1:33" x14ac:dyDescent="0.3">
      <c r="A30" s="16" t="s">
        <v>4</v>
      </c>
      <c r="B30" s="2">
        <f>INDEX(SYCEU!$B$2:$G$11, MATCH($A30, SYCEU!$A$2:$A$11, 0), MATCH(Commercial_calculation!$A$27, SYCEU!$B$1:$G$1, 0))</f>
        <v>0</v>
      </c>
      <c r="C30" s="2">
        <f>INDEX('2020'!$B$2:$G$11, MATCH($A30, '2020'!$A$2:$A$11, 0), MATCH(Commercial_calculation!$A$27, '2020'!$B$1:$G$1, 0))</f>
        <v>0</v>
      </c>
      <c r="D30" s="2">
        <f>INDEX('2021'!$B$2:$G$11, MATCH($A30, '2021'!$A$2:$A$11, 0), MATCH(Commercial_calculation!$A$27, '2021'!$B$1:$G$1, 0))</f>
        <v>0</v>
      </c>
      <c r="E30" s="2">
        <f>MAX(0,D30*(1+Forecast!$B25))</f>
        <v>0</v>
      </c>
      <c r="F30" s="2">
        <f>MAX(0,E30*(1+Forecast!$B25))</f>
        <v>0</v>
      </c>
      <c r="G30" s="2">
        <f>MAX(0,F30*(1+Forecast!$B25))</f>
        <v>0</v>
      </c>
      <c r="H30" s="2">
        <f>MAX(0,G30*(1+Forecast!$B25))</f>
        <v>0</v>
      </c>
      <c r="I30" s="2">
        <f>MAX(0,H30*(1+Forecast!$B25))</f>
        <v>0</v>
      </c>
      <c r="J30" s="2">
        <f>MAX(0,I30*(1+Forecast!$B25))</f>
        <v>0</v>
      </c>
      <c r="K30" s="2">
        <f>MAX(0,J30*(1+Forecast!$B25))</f>
        <v>0</v>
      </c>
      <c r="L30" s="2">
        <f>MAX(0,K30*(1+Forecast!$B25))</f>
        <v>0</v>
      </c>
      <c r="M30" s="2">
        <f>MAX(0,L30*(1+Forecast!$B25))</f>
        <v>0</v>
      </c>
      <c r="N30" s="2">
        <f>MAX(0,M30*(1+Forecast!$B25))</f>
        <v>0</v>
      </c>
      <c r="O30" s="2">
        <f>MAX(0,N30*(1+Forecast!$B25))</f>
        <v>0</v>
      </c>
      <c r="P30" s="2">
        <f>MAX(0,O30*(1+Forecast!$B25))</f>
        <v>0</v>
      </c>
      <c r="Q30" s="2">
        <f>MAX(0,P30*(1+Forecast!$B25))</f>
        <v>0</v>
      </c>
      <c r="R30" s="2">
        <f>MAX(0,Q30*(1+Forecast!$B25))</f>
        <v>0</v>
      </c>
      <c r="S30" s="2">
        <f>MAX(0,R30*(1+Forecast!$B25))</f>
        <v>0</v>
      </c>
      <c r="T30" s="2">
        <f>MAX(0,S30*(1+Forecast!$B25))</f>
        <v>0</v>
      </c>
      <c r="U30" s="2">
        <f>MAX(0,T30*(1+Forecast!$B25))</f>
        <v>0</v>
      </c>
      <c r="V30" s="2">
        <f>MAX(0,U30*(1+Forecast!$B25))</f>
        <v>0</v>
      </c>
      <c r="W30" s="2">
        <f>MAX(0,V30*(1+Forecast!$B25))</f>
        <v>0</v>
      </c>
      <c r="X30" s="2">
        <f>MAX(0,W30*(1+Forecast!$B25))</f>
        <v>0</v>
      </c>
      <c r="Y30" s="2">
        <f>MAX(0,X30*(1+Forecast!$B25))</f>
        <v>0</v>
      </c>
      <c r="Z30" s="2">
        <f>MAX(0,Y30*(1+Forecast!$B25))</f>
        <v>0</v>
      </c>
      <c r="AA30" s="2">
        <f>MAX(0,Z30*(1+Forecast!$B25))</f>
        <v>0</v>
      </c>
      <c r="AB30" s="2">
        <f>MAX(0,AA30*(1+Forecast!$B25))</f>
        <v>0</v>
      </c>
      <c r="AC30" s="2">
        <f>MAX(0,AB30*(1+Forecast!$B25))</f>
        <v>0</v>
      </c>
      <c r="AD30" s="2">
        <f>MAX(0,AC30*(1+Forecast!$B25))</f>
        <v>0</v>
      </c>
      <c r="AE30" s="2">
        <f>MAX(0,AD30*(1+Forecast!$B25))</f>
        <v>0</v>
      </c>
      <c r="AF30" s="2">
        <f>MAX(0,AE30*(1+Forecast!$B25))</f>
        <v>0</v>
      </c>
      <c r="AG30" s="2">
        <f>MAX(0,AF30*(1+Forecast!$B25))</f>
        <v>0</v>
      </c>
    </row>
    <row r="31" spans="1:33" x14ac:dyDescent="0.3">
      <c r="A31" s="16" t="s">
        <v>5</v>
      </c>
      <c r="B31" s="2">
        <f>INDEX(SYCEU!$B$2:$G$11, MATCH($A31, SYCEU!$A$2:$A$11, 0), MATCH(Commercial_calculation!$A$27, SYCEU!$B$1:$G$1, 0))</f>
        <v>0</v>
      </c>
      <c r="C31" s="2">
        <f>INDEX('2020'!$B$2:$G$11, MATCH($A31, '2020'!$A$2:$A$11, 0), MATCH(Commercial_calculation!$A$27, '2020'!$B$1:$G$1, 0))</f>
        <v>0</v>
      </c>
      <c r="D31" s="2">
        <f>INDEX('2021'!$B$2:$G$11, MATCH($A31, '2021'!$A$2:$A$11, 0), MATCH(Commercial_calculation!$A$27, '2021'!$B$1:$G$1, 0))</f>
        <v>0</v>
      </c>
      <c r="E31" s="2">
        <f>MAX(0,D31*(1+Forecast!$B26))</f>
        <v>0</v>
      </c>
      <c r="F31" s="2">
        <f>MAX(0,E31*(1+Forecast!$B26))</f>
        <v>0</v>
      </c>
      <c r="G31" s="2">
        <f>MAX(0,F31*(1+Forecast!$B26))</f>
        <v>0</v>
      </c>
      <c r="H31" s="2">
        <f>MAX(0,G31*(1+Forecast!$B26))</f>
        <v>0</v>
      </c>
      <c r="I31" s="2">
        <f>MAX(0,H31*(1+Forecast!$B26))</f>
        <v>0</v>
      </c>
      <c r="J31" s="2">
        <f>MAX(0,I31*(1+Forecast!$B26))</f>
        <v>0</v>
      </c>
      <c r="K31" s="2">
        <f>MAX(0,J31*(1+Forecast!$B26))</f>
        <v>0</v>
      </c>
      <c r="L31" s="2">
        <f>MAX(0,K31*(1+Forecast!$B26))</f>
        <v>0</v>
      </c>
      <c r="M31" s="2">
        <f>MAX(0,L31*(1+Forecast!$B26))</f>
        <v>0</v>
      </c>
      <c r="N31" s="2">
        <f>MAX(0,M31*(1+Forecast!$B26))</f>
        <v>0</v>
      </c>
      <c r="O31" s="2">
        <f>MAX(0,N31*(1+Forecast!$B26))</f>
        <v>0</v>
      </c>
      <c r="P31" s="2">
        <f>MAX(0,O31*(1+Forecast!$B26))</f>
        <v>0</v>
      </c>
      <c r="Q31" s="2">
        <f>MAX(0,P31*(1+Forecast!$B26))</f>
        <v>0</v>
      </c>
      <c r="R31" s="2">
        <f>MAX(0,Q31*(1+Forecast!$B26))</f>
        <v>0</v>
      </c>
      <c r="S31" s="2">
        <f>MAX(0,R31*(1+Forecast!$B26))</f>
        <v>0</v>
      </c>
      <c r="T31" s="2">
        <f>MAX(0,S31*(1+Forecast!$B26))</f>
        <v>0</v>
      </c>
      <c r="U31" s="2">
        <f>MAX(0,T31*(1+Forecast!$B26))</f>
        <v>0</v>
      </c>
      <c r="V31" s="2">
        <f>MAX(0,U31*(1+Forecast!$B26))</f>
        <v>0</v>
      </c>
      <c r="W31" s="2">
        <f>MAX(0,V31*(1+Forecast!$B26))</f>
        <v>0</v>
      </c>
      <c r="X31" s="2">
        <f>MAX(0,W31*(1+Forecast!$B26))</f>
        <v>0</v>
      </c>
      <c r="Y31" s="2">
        <f>MAX(0,X31*(1+Forecast!$B26))</f>
        <v>0</v>
      </c>
      <c r="Z31" s="2">
        <f>MAX(0,Y31*(1+Forecast!$B26))</f>
        <v>0</v>
      </c>
      <c r="AA31" s="2">
        <f>MAX(0,Z31*(1+Forecast!$B26))</f>
        <v>0</v>
      </c>
      <c r="AB31" s="2">
        <f>MAX(0,AA31*(1+Forecast!$B26))</f>
        <v>0</v>
      </c>
      <c r="AC31" s="2">
        <f>MAX(0,AB31*(1+Forecast!$B26))</f>
        <v>0</v>
      </c>
      <c r="AD31" s="2">
        <f>MAX(0,AC31*(1+Forecast!$B26))</f>
        <v>0</v>
      </c>
      <c r="AE31" s="2">
        <f>MAX(0,AD31*(1+Forecast!$B26))</f>
        <v>0</v>
      </c>
      <c r="AF31" s="2">
        <f>MAX(0,AE31*(1+Forecast!$B26))</f>
        <v>0</v>
      </c>
      <c r="AG31" s="2">
        <f>MAX(0,AF31*(1+Forecast!$B26))</f>
        <v>0</v>
      </c>
    </row>
    <row r="32" spans="1:33" x14ac:dyDescent="0.3">
      <c r="A32" s="16" t="s">
        <v>7</v>
      </c>
      <c r="B32" s="2">
        <f>INDEX(SYCEU!$B$2:$G$11, MATCH($A32, SYCEU!$A$2:$A$11, 0), MATCH(Commercial_calculation!$A$27, SYCEU!$B$1:$G$1, 0))</f>
        <v>0</v>
      </c>
      <c r="C32" s="2">
        <f>INDEX('2020'!$B$2:$G$11, MATCH($A32, '2020'!$A$2:$A$11, 0), MATCH(Commercial_calculation!$A$27, '2020'!$B$1:$G$1, 0))</f>
        <v>0</v>
      </c>
      <c r="D32" s="2">
        <f>INDEX('2021'!$B$2:$G$11, MATCH($A32, '2021'!$A$2:$A$11, 0), MATCH(Commercial_calculation!$A$27, '2021'!$B$1:$G$1, 0))</f>
        <v>0</v>
      </c>
      <c r="E32" s="2">
        <f>MAX(0,D32*(1+Forecast!$B27))</f>
        <v>0</v>
      </c>
      <c r="F32" s="2">
        <f>MAX(0,E32*(1+Forecast!$B27))</f>
        <v>0</v>
      </c>
      <c r="G32" s="2">
        <f>MAX(0,F32*(1+Forecast!$B27))</f>
        <v>0</v>
      </c>
      <c r="H32" s="2">
        <f>MAX(0,G32*(1+Forecast!$B27))</f>
        <v>0</v>
      </c>
      <c r="I32" s="2">
        <f>MAX(0,H32*(1+Forecast!$B27))</f>
        <v>0</v>
      </c>
      <c r="J32" s="2">
        <f>MAX(0,I32*(1+Forecast!$B27))</f>
        <v>0</v>
      </c>
      <c r="K32" s="2">
        <f>MAX(0,J32*(1+Forecast!$B27))</f>
        <v>0</v>
      </c>
      <c r="L32" s="2">
        <f>MAX(0,K32*(1+Forecast!$B27))</f>
        <v>0</v>
      </c>
      <c r="M32" s="2">
        <f>MAX(0,L32*(1+Forecast!$B27))</f>
        <v>0</v>
      </c>
      <c r="N32" s="2">
        <f>MAX(0,M32*(1+Forecast!$B27))</f>
        <v>0</v>
      </c>
      <c r="O32" s="2">
        <f>MAX(0,N32*(1+Forecast!$B27))</f>
        <v>0</v>
      </c>
      <c r="P32" s="2">
        <f>MAX(0,O32*(1+Forecast!$B27))</f>
        <v>0</v>
      </c>
      <c r="Q32" s="2">
        <f>MAX(0,P32*(1+Forecast!$B27))</f>
        <v>0</v>
      </c>
      <c r="R32" s="2">
        <f>MAX(0,Q32*(1+Forecast!$B27))</f>
        <v>0</v>
      </c>
      <c r="S32" s="2">
        <f>MAX(0,R32*(1+Forecast!$B27))</f>
        <v>0</v>
      </c>
      <c r="T32" s="2">
        <f>MAX(0,S32*(1+Forecast!$B27))</f>
        <v>0</v>
      </c>
      <c r="U32" s="2">
        <f>MAX(0,T32*(1+Forecast!$B27))</f>
        <v>0</v>
      </c>
      <c r="V32" s="2">
        <f>MAX(0,U32*(1+Forecast!$B27))</f>
        <v>0</v>
      </c>
      <c r="W32" s="2">
        <f>MAX(0,V32*(1+Forecast!$B27))</f>
        <v>0</v>
      </c>
      <c r="X32" s="2">
        <f>MAX(0,W32*(1+Forecast!$B27))</f>
        <v>0</v>
      </c>
      <c r="Y32" s="2">
        <f>MAX(0,X32*(1+Forecast!$B27))</f>
        <v>0</v>
      </c>
      <c r="Z32" s="2">
        <f>MAX(0,Y32*(1+Forecast!$B27))</f>
        <v>0</v>
      </c>
      <c r="AA32" s="2">
        <f>MAX(0,Z32*(1+Forecast!$B27))</f>
        <v>0</v>
      </c>
      <c r="AB32" s="2">
        <f>MAX(0,AA32*(1+Forecast!$B27))</f>
        <v>0</v>
      </c>
      <c r="AC32" s="2">
        <f>MAX(0,AB32*(1+Forecast!$B27))</f>
        <v>0</v>
      </c>
      <c r="AD32" s="2">
        <f>MAX(0,AC32*(1+Forecast!$B27))</f>
        <v>0</v>
      </c>
      <c r="AE32" s="2">
        <f>MAX(0,AD32*(1+Forecast!$B27))</f>
        <v>0</v>
      </c>
      <c r="AF32" s="2">
        <f>MAX(0,AE32*(1+Forecast!$B27))</f>
        <v>0</v>
      </c>
      <c r="AG32" s="2">
        <f>MAX(0,AF32*(1+Forecast!$B27))</f>
        <v>0</v>
      </c>
    </row>
    <row r="33" spans="1:33" x14ac:dyDescent="0.3">
      <c r="A33" s="16" t="s">
        <v>11</v>
      </c>
      <c r="B33" s="2">
        <f>INDEX(SYCEU!$B$2:$G$11, MATCH($A33, SYCEU!$A$2:$A$11, 0), MATCH(Commercial_calculation!$A$27, SYCEU!$B$1:$G$1, 0))</f>
        <v>0</v>
      </c>
      <c r="C33" s="2">
        <f>INDEX('2020'!$B$2:$G$11, MATCH($A33, '2020'!$A$2:$A$11, 0), MATCH(Commercial_calculation!$A$27, '2020'!$B$1:$G$1, 0))</f>
        <v>0</v>
      </c>
      <c r="D33" s="2">
        <f>INDEX('2021'!$B$2:$G$11, MATCH($A33, '2021'!$A$2:$A$11, 0), MATCH(Commercial_calculation!$A$27, '2021'!$B$1:$G$1, 0))</f>
        <v>0</v>
      </c>
      <c r="E33" s="2">
        <f>MAX(0,D33*(1+Forecast!$B28))</f>
        <v>0</v>
      </c>
      <c r="F33" s="2">
        <f>MAX(0,E33*(1+Forecast!$B28))</f>
        <v>0</v>
      </c>
      <c r="G33" s="2">
        <f>MAX(0,F33*(1+Forecast!$B28))</f>
        <v>0</v>
      </c>
      <c r="H33" s="2">
        <f>MAX(0,G33*(1+Forecast!$B28))</f>
        <v>0</v>
      </c>
      <c r="I33" s="2">
        <f>MAX(0,H33*(1+Forecast!$B28))</f>
        <v>0</v>
      </c>
      <c r="J33" s="2">
        <f>MAX(0,I33*(1+Forecast!$B28))</f>
        <v>0</v>
      </c>
      <c r="K33" s="2">
        <f>MAX(0,J33*(1+Forecast!$B28))</f>
        <v>0</v>
      </c>
      <c r="L33" s="2">
        <f>MAX(0,K33*(1+Forecast!$B28))</f>
        <v>0</v>
      </c>
      <c r="M33" s="2">
        <f>MAX(0,L33*(1+Forecast!$B28))</f>
        <v>0</v>
      </c>
      <c r="N33" s="2">
        <f>MAX(0,M33*(1+Forecast!$B28))</f>
        <v>0</v>
      </c>
      <c r="O33" s="2">
        <f>MAX(0,N33*(1+Forecast!$B28))</f>
        <v>0</v>
      </c>
      <c r="P33" s="2">
        <f>MAX(0,O33*(1+Forecast!$B28))</f>
        <v>0</v>
      </c>
      <c r="Q33" s="2">
        <f>MAX(0,P33*(1+Forecast!$B28))</f>
        <v>0</v>
      </c>
      <c r="R33" s="2">
        <f>MAX(0,Q33*(1+Forecast!$B28))</f>
        <v>0</v>
      </c>
      <c r="S33" s="2">
        <f>MAX(0,R33*(1+Forecast!$B28))</f>
        <v>0</v>
      </c>
      <c r="T33" s="2">
        <f>MAX(0,S33*(1+Forecast!$B28))</f>
        <v>0</v>
      </c>
      <c r="U33" s="2">
        <f>MAX(0,T33*(1+Forecast!$B28))</f>
        <v>0</v>
      </c>
      <c r="V33" s="2">
        <f>MAX(0,U33*(1+Forecast!$B28))</f>
        <v>0</v>
      </c>
      <c r="W33" s="2">
        <f>MAX(0,V33*(1+Forecast!$B28))</f>
        <v>0</v>
      </c>
      <c r="X33" s="2">
        <f>MAX(0,W33*(1+Forecast!$B28))</f>
        <v>0</v>
      </c>
      <c r="Y33" s="2">
        <f>MAX(0,X33*(1+Forecast!$B28))</f>
        <v>0</v>
      </c>
      <c r="Z33" s="2">
        <f>MAX(0,Y33*(1+Forecast!$B28))</f>
        <v>0</v>
      </c>
      <c r="AA33" s="2">
        <f>MAX(0,Z33*(1+Forecast!$B28))</f>
        <v>0</v>
      </c>
      <c r="AB33" s="2">
        <f>MAX(0,AA33*(1+Forecast!$B28))</f>
        <v>0</v>
      </c>
      <c r="AC33" s="2">
        <f>MAX(0,AB33*(1+Forecast!$B28))</f>
        <v>0</v>
      </c>
      <c r="AD33" s="2">
        <f>MAX(0,AC33*(1+Forecast!$B28))</f>
        <v>0</v>
      </c>
      <c r="AE33" s="2">
        <f>MAX(0,AD33*(1+Forecast!$B28))</f>
        <v>0</v>
      </c>
      <c r="AF33" s="2">
        <f>MAX(0,AE33*(1+Forecast!$B28))</f>
        <v>0</v>
      </c>
      <c r="AG33" s="2">
        <f>MAX(0,AF33*(1+Forecast!$B28))</f>
        <v>0</v>
      </c>
    </row>
    <row r="34" spans="1:33" x14ac:dyDescent="0.3">
      <c r="A34" s="16" t="s">
        <v>13</v>
      </c>
      <c r="B34" s="2">
        <f>INDEX(SYCEU!$B$2:$G$11, MATCH($A34, SYCEU!$A$2:$A$11, 0), MATCH(Commercial_calculation!$A$27, SYCEU!$B$1:$G$1, 0))</f>
        <v>0</v>
      </c>
      <c r="C34" s="2">
        <f>INDEX('2020'!$B$2:$G$11, MATCH($A34, '2020'!$A$2:$A$11, 0), MATCH(Commercial_calculation!$A$27, '2020'!$B$1:$G$1, 0))</f>
        <v>0</v>
      </c>
      <c r="D34" s="2">
        <f>INDEX('2021'!$B$2:$G$11, MATCH($A34, '2021'!$A$2:$A$11, 0), MATCH(Commercial_calculation!$A$27, '2021'!$B$1:$G$1, 0))</f>
        <v>0</v>
      </c>
      <c r="E34" s="2">
        <f>MAX(0,D34*(1+Forecast!$B29))</f>
        <v>0</v>
      </c>
      <c r="F34" s="2">
        <f>MAX(0,E34*(1+Forecast!$B29))</f>
        <v>0</v>
      </c>
      <c r="G34" s="2">
        <f>MAX(0,F34*(1+Forecast!$B29))</f>
        <v>0</v>
      </c>
      <c r="H34" s="2">
        <f>MAX(0,G34*(1+Forecast!$B29))</f>
        <v>0</v>
      </c>
      <c r="I34" s="2">
        <f>MAX(0,H34*(1+Forecast!$B29))</f>
        <v>0</v>
      </c>
      <c r="J34" s="2">
        <f>MAX(0,I34*(1+Forecast!$B29))</f>
        <v>0</v>
      </c>
      <c r="K34" s="2">
        <f>MAX(0,J34*(1+Forecast!$B29))</f>
        <v>0</v>
      </c>
      <c r="L34" s="2">
        <f>MAX(0,K34*(1+Forecast!$B29))</f>
        <v>0</v>
      </c>
      <c r="M34" s="2">
        <f>MAX(0,L34*(1+Forecast!$B29))</f>
        <v>0</v>
      </c>
      <c r="N34" s="2">
        <f>MAX(0,M34*(1+Forecast!$B29))</f>
        <v>0</v>
      </c>
      <c r="O34" s="2">
        <f>MAX(0,N34*(1+Forecast!$B29))</f>
        <v>0</v>
      </c>
      <c r="P34" s="2">
        <f>MAX(0,O34*(1+Forecast!$B29))</f>
        <v>0</v>
      </c>
      <c r="Q34" s="2">
        <f>MAX(0,P34*(1+Forecast!$B29))</f>
        <v>0</v>
      </c>
      <c r="R34" s="2">
        <f>MAX(0,Q34*(1+Forecast!$B29))</f>
        <v>0</v>
      </c>
      <c r="S34" s="2">
        <f>MAX(0,R34*(1+Forecast!$B29))</f>
        <v>0</v>
      </c>
      <c r="T34" s="2">
        <f>MAX(0,S34*(1+Forecast!$B29))</f>
        <v>0</v>
      </c>
      <c r="U34" s="2">
        <f>MAX(0,T34*(1+Forecast!$B29))</f>
        <v>0</v>
      </c>
      <c r="V34" s="2">
        <f>MAX(0,U34*(1+Forecast!$B29))</f>
        <v>0</v>
      </c>
      <c r="W34" s="2">
        <f>MAX(0,V34*(1+Forecast!$B29))</f>
        <v>0</v>
      </c>
      <c r="X34" s="2">
        <f>MAX(0,W34*(1+Forecast!$B29))</f>
        <v>0</v>
      </c>
      <c r="Y34" s="2">
        <f>MAX(0,X34*(1+Forecast!$B29))</f>
        <v>0</v>
      </c>
      <c r="Z34" s="2">
        <f>MAX(0,Y34*(1+Forecast!$B29))</f>
        <v>0</v>
      </c>
      <c r="AA34" s="2">
        <f>MAX(0,Z34*(1+Forecast!$B29))</f>
        <v>0</v>
      </c>
      <c r="AB34" s="2">
        <f>MAX(0,AA34*(1+Forecast!$B29))</f>
        <v>0</v>
      </c>
      <c r="AC34" s="2">
        <f>MAX(0,AB34*(1+Forecast!$B29))</f>
        <v>0</v>
      </c>
      <c r="AD34" s="2">
        <f>MAX(0,AC34*(1+Forecast!$B29))</f>
        <v>0</v>
      </c>
      <c r="AE34" s="2">
        <f>MAX(0,AD34*(1+Forecast!$B29))</f>
        <v>0</v>
      </c>
      <c r="AF34" s="2">
        <f>MAX(0,AE34*(1+Forecast!$B29))</f>
        <v>0</v>
      </c>
      <c r="AG34" s="2">
        <f>MAX(0,AF34*(1+Forecast!$B29))</f>
        <v>0</v>
      </c>
    </row>
    <row r="35" spans="1:33" x14ac:dyDescent="0.3">
      <c r="A35" s="16" t="s">
        <v>14</v>
      </c>
      <c r="B35" s="2">
        <f>INDEX(SYCEU!$B$2:$G$11, MATCH($A35, SYCEU!$A$2:$A$11, 0), MATCH(Commercial_calculation!$A$27, SYCEU!$B$1:$G$1, 0))</f>
        <v>0</v>
      </c>
      <c r="C35" s="2">
        <f>INDEX('2020'!$B$2:$G$11, MATCH($A35, '2020'!$A$2:$A$11, 0), MATCH(Commercial_calculation!$A$27, '2020'!$B$1:$G$1, 0))</f>
        <v>0</v>
      </c>
      <c r="D35" s="2">
        <f>INDEX('2021'!$B$2:$G$11, MATCH($A35, '2021'!$A$2:$A$11, 0), MATCH(Commercial_calculation!$A$27, '2021'!$B$1:$G$1, 0))</f>
        <v>0</v>
      </c>
      <c r="E35" s="2">
        <f>MAX(0,D35*(1+Forecast!$B30))</f>
        <v>0</v>
      </c>
      <c r="F35" s="2">
        <f>MAX(0,E35*(1+Forecast!$B30))</f>
        <v>0</v>
      </c>
      <c r="G35" s="2">
        <f>MAX(0,F35*(1+Forecast!$B30))</f>
        <v>0</v>
      </c>
      <c r="H35" s="2">
        <f>MAX(0,G35*(1+Forecast!$B30))</f>
        <v>0</v>
      </c>
      <c r="I35" s="2">
        <f>MAX(0,H35*(1+Forecast!$B30))</f>
        <v>0</v>
      </c>
      <c r="J35" s="2">
        <f>MAX(0,I35*(1+Forecast!$B30))</f>
        <v>0</v>
      </c>
      <c r="K35" s="2">
        <f>MAX(0,J35*(1+Forecast!$B30))</f>
        <v>0</v>
      </c>
      <c r="L35" s="2">
        <f>MAX(0,K35*(1+Forecast!$B30))</f>
        <v>0</v>
      </c>
      <c r="M35" s="2">
        <f>MAX(0,L35*(1+Forecast!$B30))</f>
        <v>0</v>
      </c>
      <c r="N35" s="2">
        <f>MAX(0,M35*(1+Forecast!$B30))</f>
        <v>0</v>
      </c>
      <c r="O35" s="2">
        <f>MAX(0,N35*(1+Forecast!$B30))</f>
        <v>0</v>
      </c>
      <c r="P35" s="2">
        <f>MAX(0,O35*(1+Forecast!$B30))</f>
        <v>0</v>
      </c>
      <c r="Q35" s="2">
        <f>MAX(0,P35*(1+Forecast!$B30))</f>
        <v>0</v>
      </c>
      <c r="R35" s="2">
        <f>MAX(0,Q35*(1+Forecast!$B30))</f>
        <v>0</v>
      </c>
      <c r="S35" s="2">
        <f>MAX(0,R35*(1+Forecast!$B30))</f>
        <v>0</v>
      </c>
      <c r="T35" s="2">
        <f>MAX(0,S35*(1+Forecast!$B30))</f>
        <v>0</v>
      </c>
      <c r="U35" s="2">
        <f>MAX(0,T35*(1+Forecast!$B30))</f>
        <v>0</v>
      </c>
      <c r="V35" s="2">
        <f>MAX(0,U35*(1+Forecast!$B30))</f>
        <v>0</v>
      </c>
      <c r="W35" s="2">
        <f>MAX(0,V35*(1+Forecast!$B30))</f>
        <v>0</v>
      </c>
      <c r="X35" s="2">
        <f>MAX(0,W35*(1+Forecast!$B30))</f>
        <v>0</v>
      </c>
      <c r="Y35" s="2">
        <f>MAX(0,X35*(1+Forecast!$B30))</f>
        <v>0</v>
      </c>
      <c r="Z35" s="2">
        <f>MAX(0,Y35*(1+Forecast!$B30))</f>
        <v>0</v>
      </c>
      <c r="AA35" s="2">
        <f>MAX(0,Z35*(1+Forecast!$B30))</f>
        <v>0</v>
      </c>
      <c r="AB35" s="2">
        <f>MAX(0,AA35*(1+Forecast!$B30))</f>
        <v>0</v>
      </c>
      <c r="AC35" s="2">
        <f>MAX(0,AB35*(1+Forecast!$B30))</f>
        <v>0</v>
      </c>
      <c r="AD35" s="2">
        <f>MAX(0,AC35*(1+Forecast!$B30))</f>
        <v>0</v>
      </c>
      <c r="AE35" s="2">
        <f>MAX(0,AD35*(1+Forecast!$B30))</f>
        <v>0</v>
      </c>
      <c r="AF35" s="2">
        <f>MAX(0,AE35*(1+Forecast!$B30))</f>
        <v>0</v>
      </c>
      <c r="AG35" s="2">
        <f>MAX(0,AF35*(1+Forecast!$B30))</f>
        <v>0</v>
      </c>
    </row>
    <row r="36" spans="1:33" x14ac:dyDescent="0.3">
      <c r="A36" s="16" t="s">
        <v>15</v>
      </c>
      <c r="B36" s="2">
        <f>INDEX(SYCEU!$B$2:$G$11, MATCH($A36, SYCEU!$A$2:$A$11, 0), MATCH(Commercial_calculation!$A$27, SYCEU!$B$1:$G$1, 0))</f>
        <v>0</v>
      </c>
      <c r="C36" s="2">
        <f>INDEX('2020'!$B$2:$G$11, MATCH($A36, '2020'!$A$2:$A$11, 0), MATCH(Commercial_calculation!$A$27, '2020'!$B$1:$G$1, 0))</f>
        <v>0</v>
      </c>
      <c r="D36" s="2">
        <f>INDEX('2021'!$B$2:$G$11, MATCH($A36, '2021'!$A$2:$A$11, 0), MATCH(Commercial_calculation!$A$27, '2021'!$B$1:$G$1, 0))</f>
        <v>0</v>
      </c>
      <c r="E36" s="2">
        <f>MAX(0,D36*(1+Forecast!$B31))</f>
        <v>0</v>
      </c>
      <c r="F36" s="2">
        <f>MAX(0,E36*(1+Forecast!$B31))</f>
        <v>0</v>
      </c>
      <c r="G36" s="2">
        <f>MAX(0,F36*(1+Forecast!$B31))</f>
        <v>0</v>
      </c>
      <c r="H36" s="2">
        <f>MAX(0,G36*(1+Forecast!$B31))</f>
        <v>0</v>
      </c>
      <c r="I36" s="2">
        <f>MAX(0,H36*(1+Forecast!$B31))</f>
        <v>0</v>
      </c>
      <c r="J36" s="2">
        <f>MAX(0,I36*(1+Forecast!$B31))</f>
        <v>0</v>
      </c>
      <c r="K36" s="2">
        <f>MAX(0,J36*(1+Forecast!$B31))</f>
        <v>0</v>
      </c>
      <c r="L36" s="2">
        <f>MAX(0,K36*(1+Forecast!$B31))</f>
        <v>0</v>
      </c>
      <c r="M36" s="2">
        <f>MAX(0,L36*(1+Forecast!$B31))</f>
        <v>0</v>
      </c>
      <c r="N36" s="2">
        <f>MAX(0,M36*(1+Forecast!$B31))</f>
        <v>0</v>
      </c>
      <c r="O36" s="2">
        <f>MAX(0,N36*(1+Forecast!$B31))</f>
        <v>0</v>
      </c>
      <c r="P36" s="2">
        <f>MAX(0,O36*(1+Forecast!$B31))</f>
        <v>0</v>
      </c>
      <c r="Q36" s="2">
        <f>MAX(0,P36*(1+Forecast!$B31))</f>
        <v>0</v>
      </c>
      <c r="R36" s="2">
        <f>MAX(0,Q36*(1+Forecast!$B31))</f>
        <v>0</v>
      </c>
      <c r="S36" s="2">
        <f>MAX(0,R36*(1+Forecast!$B31))</f>
        <v>0</v>
      </c>
      <c r="T36" s="2">
        <f>MAX(0,S36*(1+Forecast!$B31))</f>
        <v>0</v>
      </c>
      <c r="U36" s="2">
        <f>MAX(0,T36*(1+Forecast!$B31))</f>
        <v>0</v>
      </c>
      <c r="V36" s="2">
        <f>MAX(0,U36*(1+Forecast!$B31))</f>
        <v>0</v>
      </c>
      <c r="W36" s="2">
        <f>MAX(0,V36*(1+Forecast!$B31))</f>
        <v>0</v>
      </c>
      <c r="X36" s="2">
        <f>MAX(0,W36*(1+Forecast!$B31))</f>
        <v>0</v>
      </c>
      <c r="Y36" s="2">
        <f>MAX(0,X36*(1+Forecast!$B31))</f>
        <v>0</v>
      </c>
      <c r="Z36" s="2">
        <f>MAX(0,Y36*(1+Forecast!$B31))</f>
        <v>0</v>
      </c>
      <c r="AA36" s="2">
        <f>MAX(0,Z36*(1+Forecast!$B31))</f>
        <v>0</v>
      </c>
      <c r="AB36" s="2">
        <f>MAX(0,AA36*(1+Forecast!$B31))</f>
        <v>0</v>
      </c>
      <c r="AC36" s="2">
        <f>MAX(0,AB36*(1+Forecast!$B31))</f>
        <v>0</v>
      </c>
      <c r="AD36" s="2">
        <f>MAX(0,AC36*(1+Forecast!$B31))</f>
        <v>0</v>
      </c>
      <c r="AE36" s="2">
        <f>MAX(0,AD36*(1+Forecast!$B31))</f>
        <v>0</v>
      </c>
      <c r="AF36" s="2">
        <f>MAX(0,AE36*(1+Forecast!$B31))</f>
        <v>0</v>
      </c>
      <c r="AG36" s="2">
        <f>MAX(0,AF36*(1+Forecast!$B31))</f>
        <v>0</v>
      </c>
    </row>
    <row r="37" spans="1:33" x14ac:dyDescent="0.3">
      <c r="A37" s="16" t="s">
        <v>16</v>
      </c>
      <c r="B37" s="2">
        <f>INDEX(SYCEU!$B$2:$G$11, MATCH($A37, SYCEU!$A$2:$A$11, 0), MATCH(Commercial_calculation!$A$27, SYCEU!$B$1:$G$1, 0))</f>
        <v>0</v>
      </c>
      <c r="C37" s="2">
        <f>INDEX('2020'!$B$2:$G$11, MATCH($A37, '2020'!$A$2:$A$11, 0), MATCH(Commercial_calculation!$A$27, '2020'!$B$1:$G$1, 0))</f>
        <v>0</v>
      </c>
      <c r="D37" s="2">
        <f>INDEX('2021'!$B$2:$G$11, MATCH($A37, '2021'!$A$2:$A$11, 0), MATCH(Commercial_calculation!$A$27, '2021'!$B$1:$G$1, 0))</f>
        <v>0</v>
      </c>
      <c r="E37" s="2">
        <f>MAX(0,D37*(1+Forecast!$B32))</f>
        <v>0</v>
      </c>
      <c r="F37" s="2">
        <f>MAX(0,E37*(1+Forecast!$B32))</f>
        <v>0</v>
      </c>
      <c r="G37" s="2">
        <f>MAX(0,F37*(1+Forecast!$B32))</f>
        <v>0</v>
      </c>
      <c r="H37" s="2">
        <f>MAX(0,G37*(1+Forecast!$B32))</f>
        <v>0</v>
      </c>
      <c r="I37" s="2">
        <f>MAX(0,H37*(1+Forecast!$B32))</f>
        <v>0</v>
      </c>
      <c r="J37" s="2">
        <f>MAX(0,I37*(1+Forecast!$B32))</f>
        <v>0</v>
      </c>
      <c r="K37" s="2">
        <f>MAX(0,J37*(1+Forecast!$B32))</f>
        <v>0</v>
      </c>
      <c r="L37" s="2">
        <f>MAX(0,K37*(1+Forecast!$B32))</f>
        <v>0</v>
      </c>
      <c r="M37" s="2">
        <f>MAX(0,L37*(1+Forecast!$B32))</f>
        <v>0</v>
      </c>
      <c r="N37" s="2">
        <f>MAX(0,M37*(1+Forecast!$B32))</f>
        <v>0</v>
      </c>
      <c r="O37" s="2">
        <f>MAX(0,N37*(1+Forecast!$B32))</f>
        <v>0</v>
      </c>
      <c r="P37" s="2">
        <f>MAX(0,O37*(1+Forecast!$B32))</f>
        <v>0</v>
      </c>
      <c r="Q37" s="2">
        <f>MAX(0,P37*(1+Forecast!$B32))</f>
        <v>0</v>
      </c>
      <c r="R37" s="2">
        <f>MAX(0,Q37*(1+Forecast!$B32))</f>
        <v>0</v>
      </c>
      <c r="S37" s="2">
        <f>MAX(0,R37*(1+Forecast!$B32))</f>
        <v>0</v>
      </c>
      <c r="T37" s="2">
        <f>MAX(0,S37*(1+Forecast!$B32))</f>
        <v>0</v>
      </c>
      <c r="U37" s="2">
        <f>MAX(0,T37*(1+Forecast!$B32))</f>
        <v>0</v>
      </c>
      <c r="V37" s="2">
        <f>MAX(0,U37*(1+Forecast!$B32))</f>
        <v>0</v>
      </c>
      <c r="W37" s="2">
        <f>MAX(0,V37*(1+Forecast!$B32))</f>
        <v>0</v>
      </c>
      <c r="X37" s="2">
        <f>MAX(0,W37*(1+Forecast!$B32))</f>
        <v>0</v>
      </c>
      <c r="Y37" s="2">
        <f>MAX(0,X37*(1+Forecast!$B32))</f>
        <v>0</v>
      </c>
      <c r="Z37" s="2">
        <f>MAX(0,Y37*(1+Forecast!$B32))</f>
        <v>0</v>
      </c>
      <c r="AA37" s="2">
        <f>MAX(0,Z37*(1+Forecast!$B32))</f>
        <v>0</v>
      </c>
      <c r="AB37" s="2">
        <f>MAX(0,AA37*(1+Forecast!$B32))</f>
        <v>0</v>
      </c>
      <c r="AC37" s="2">
        <f>MAX(0,AB37*(1+Forecast!$B32))</f>
        <v>0</v>
      </c>
      <c r="AD37" s="2">
        <f>MAX(0,AC37*(1+Forecast!$B32))</f>
        <v>0</v>
      </c>
      <c r="AE37" s="2">
        <f>MAX(0,AD37*(1+Forecast!$B32))</f>
        <v>0</v>
      </c>
      <c r="AF37" s="2">
        <f>MAX(0,AE37*(1+Forecast!$B32))</f>
        <v>0</v>
      </c>
      <c r="AG37" s="2">
        <f>MAX(0,AF37*(1+Forecast!$B32))</f>
        <v>0</v>
      </c>
    </row>
    <row r="39" spans="1:33" x14ac:dyDescent="0.3">
      <c r="A39" s="16" t="s">
        <v>40</v>
      </c>
      <c r="B39" s="1">
        <v>2019</v>
      </c>
      <c r="C39" s="1">
        <v>2020</v>
      </c>
      <c r="D39" s="1">
        <v>2021</v>
      </c>
      <c r="E39" s="1">
        <v>2022</v>
      </c>
      <c r="F39" s="1">
        <v>2023</v>
      </c>
      <c r="G39" s="1">
        <v>2024</v>
      </c>
      <c r="H39" s="1">
        <v>2025</v>
      </c>
      <c r="I39" s="1">
        <v>2026</v>
      </c>
      <c r="J39" s="1">
        <v>2027</v>
      </c>
      <c r="K39" s="1">
        <v>2028</v>
      </c>
      <c r="L39" s="1">
        <v>2029</v>
      </c>
      <c r="M39" s="1">
        <v>2030</v>
      </c>
      <c r="N39" s="1">
        <v>2031</v>
      </c>
      <c r="O39" s="1">
        <v>2032</v>
      </c>
      <c r="P39" s="1">
        <v>2033</v>
      </c>
      <c r="Q39" s="1">
        <v>2034</v>
      </c>
      <c r="R39" s="1">
        <v>2035</v>
      </c>
      <c r="S39" s="1">
        <v>2036</v>
      </c>
      <c r="T39" s="1">
        <v>2037</v>
      </c>
      <c r="U39" s="1">
        <v>2038</v>
      </c>
      <c r="V39" s="1">
        <v>2039</v>
      </c>
      <c r="W39" s="1">
        <v>2040</v>
      </c>
      <c r="X39" s="1">
        <v>2041</v>
      </c>
      <c r="Y39" s="1">
        <v>2042</v>
      </c>
      <c r="Z39" s="1">
        <v>2043</v>
      </c>
      <c r="AA39" s="1">
        <v>2044</v>
      </c>
      <c r="AB39" s="1">
        <v>2045</v>
      </c>
      <c r="AC39" s="1">
        <v>2046</v>
      </c>
      <c r="AD39" s="1">
        <v>2047</v>
      </c>
      <c r="AE39" s="1">
        <v>2048</v>
      </c>
      <c r="AF39" s="1">
        <v>2049</v>
      </c>
      <c r="AG39" s="1">
        <v>2050</v>
      </c>
    </row>
    <row r="40" spans="1:33" x14ac:dyDescent="0.3">
      <c r="A40" s="16" t="s">
        <v>2</v>
      </c>
      <c r="B40" s="2">
        <f>INDEX(SYCEU!$B$2:$G$11, MATCH($A40, SYCEU!$A$2:$A$11, 0), MATCH(Commercial_calculation!$A$39, SYCEU!$B$1:$G$1, 0))</f>
        <v>111000000000000</v>
      </c>
      <c r="C40" s="2">
        <f>INDEX('2020'!$B$2:$G$11, MATCH($A40, '2020'!$A$2:$A$11, 0), MATCH(Commercial_calculation!$A$39, '2020'!$B$1:$G$1, 0))</f>
        <v>109852244589602.05</v>
      </c>
      <c r="D40" s="2">
        <f>INDEX('2021'!$B$2:$G$11, MATCH($A40, '2021'!$A$2:$A$11, 0), MATCH(Commercial_calculation!$A$39, '2021'!$B$1:$G$1, 0))</f>
        <v>110827334647082.92</v>
      </c>
      <c r="E40" s="2">
        <f>MAX(0,D40*(1+Forecast!$B23))</f>
        <v>111713953324259.59</v>
      </c>
      <c r="F40" s="2">
        <f>MAX(0,E40*(1+Forecast!$B23))</f>
        <v>112607664950853.67</v>
      </c>
      <c r="G40" s="2">
        <f>MAX(0,F40*(1+Forecast!$B23))</f>
        <v>113508526270460.5</v>
      </c>
      <c r="H40" s="2">
        <f>MAX(0,G40*(1+Forecast!$B23))</f>
        <v>114416594480624.19</v>
      </c>
      <c r="I40" s="2">
        <f>MAX(0,H40*(1+Forecast!$B23))</f>
        <v>115331927236469.19</v>
      </c>
      <c r="J40" s="2">
        <f>MAX(0,I40*(1+Forecast!$B23))</f>
        <v>116254582654360.94</v>
      </c>
      <c r="K40" s="2">
        <f>MAX(0,J40*(1+Forecast!$B23))</f>
        <v>117184619315595.83</v>
      </c>
      <c r="L40" s="2">
        <f>MAX(0,K40*(1+Forecast!$B23))</f>
        <v>118122096270120.59</v>
      </c>
      <c r="M40" s="2">
        <f>MAX(0,L40*(1+Forecast!$B23))</f>
        <v>119067073040281.56</v>
      </c>
      <c r="N40" s="2">
        <f>MAX(0,M40*(1+Forecast!$B23))</f>
        <v>120019609624603.81</v>
      </c>
      <c r="O40" s="2">
        <f>MAX(0,N40*(1+Forecast!$B23))</f>
        <v>120979766501600.64</v>
      </c>
      <c r="P40" s="2">
        <f>MAX(0,O40*(1+Forecast!$B23))</f>
        <v>121947604633613.45</v>
      </c>
      <c r="Q40" s="2">
        <f>MAX(0,P40*(1+Forecast!$B23))</f>
        <v>122923185470682.36</v>
      </c>
      <c r="R40" s="2">
        <f>MAX(0,Q40*(1+Forecast!$B23))</f>
        <v>123906570954447.81</v>
      </c>
      <c r="S40" s="2">
        <f>MAX(0,R40*(1+Forecast!$B23))</f>
        <v>124897823522083.39</v>
      </c>
      <c r="T40" s="2">
        <f>MAX(0,S40*(1+Forecast!$B23))</f>
        <v>125897006110260.06</v>
      </c>
      <c r="U40" s="2">
        <f>MAX(0,T40*(1+Forecast!$B23))</f>
        <v>126904182159142.14</v>
      </c>
      <c r="V40" s="2">
        <f>MAX(0,U40*(1+Forecast!$B23))</f>
        <v>127919415616415.28</v>
      </c>
      <c r="W40" s="2">
        <f>MAX(0,V40*(1+Forecast!$B23))</f>
        <v>128942770941346.61</v>
      </c>
      <c r="X40" s="2">
        <f>MAX(0,W40*(1+Forecast!$B23))</f>
        <v>129974313108877.39</v>
      </c>
      <c r="Y40" s="2">
        <f>MAX(0,X40*(1+Forecast!$B23))</f>
        <v>131014107613748.41</v>
      </c>
      <c r="Z40" s="2">
        <f>MAX(0,Y40*(1+Forecast!$B23))</f>
        <v>132062220474658.39</v>
      </c>
      <c r="AA40" s="2">
        <f>MAX(0,Z40*(1+Forecast!$B23))</f>
        <v>133118718238455.66</v>
      </c>
      <c r="AB40" s="2">
        <f>MAX(0,AA40*(1+Forecast!$B23))</f>
        <v>134183667984363.3</v>
      </c>
      <c r="AC40" s="2">
        <f>MAX(0,AB40*(1+Forecast!$B23))</f>
        <v>135257137328238.2</v>
      </c>
      <c r="AD40" s="2">
        <f>MAX(0,AC40*(1+Forecast!$B23))</f>
        <v>136339194426864.11</v>
      </c>
      <c r="AE40" s="2">
        <f>MAX(0,AD40*(1+Forecast!$B23))</f>
        <v>137429907982279.02</v>
      </c>
      <c r="AF40" s="2">
        <f>MAX(0,AE40*(1+Forecast!$B23))</f>
        <v>138529347246137.25</v>
      </c>
      <c r="AG40" s="2">
        <f>MAX(0,AF40*(1+Forecast!$B23))</f>
        <v>139637582024106.34</v>
      </c>
    </row>
    <row r="41" spans="1:33" x14ac:dyDescent="0.3">
      <c r="A41" s="16" t="s">
        <v>3</v>
      </c>
      <c r="B41" s="2">
        <f>INDEX(SYCEU!$B$2:$G$11, MATCH($A41, SYCEU!$A$2:$A$11, 0), MATCH(Commercial_calculation!$A$39, SYCEU!$B$1:$G$1, 0))</f>
        <v>0</v>
      </c>
      <c r="C41" s="2">
        <f>INDEX('2020'!$B$2:$G$11, MATCH($A41, '2020'!$A$2:$A$11, 0), MATCH(Commercial_calculation!$A$39, '2020'!$B$1:$G$1, 0))</f>
        <v>0</v>
      </c>
      <c r="D41" s="2">
        <f>INDEX('2021'!$B$2:$G$11, MATCH($A41, '2021'!$A$2:$A$11, 0), MATCH(Commercial_calculation!$A$39, '2021'!$B$1:$G$1, 0))</f>
        <v>0</v>
      </c>
      <c r="E41" s="2">
        <f>MAX(0,D41*(1+Forecast!$B24))</f>
        <v>0</v>
      </c>
      <c r="F41" s="2">
        <f>MAX(0,E41*(1+Forecast!$B24))</f>
        <v>0</v>
      </c>
      <c r="G41" s="2">
        <f>MAX(0,F41*(1+Forecast!$B24))</f>
        <v>0</v>
      </c>
      <c r="H41" s="2">
        <f>MAX(0,G41*(1+Forecast!$B24))</f>
        <v>0</v>
      </c>
      <c r="I41" s="2">
        <f>MAX(0,H41*(1+Forecast!$B24))</f>
        <v>0</v>
      </c>
      <c r="J41" s="2">
        <f>MAX(0,I41*(1+Forecast!$B24))</f>
        <v>0</v>
      </c>
      <c r="K41" s="2">
        <f>MAX(0,J41*(1+Forecast!$B24))</f>
        <v>0</v>
      </c>
      <c r="L41" s="2">
        <f>MAX(0,K41*(1+Forecast!$B24))</f>
        <v>0</v>
      </c>
      <c r="M41" s="2">
        <f>MAX(0,L41*(1+Forecast!$B24))</f>
        <v>0</v>
      </c>
      <c r="N41" s="2">
        <f>MAX(0,M41*(1+Forecast!$B24))</f>
        <v>0</v>
      </c>
      <c r="O41" s="2">
        <f>MAX(0,N41*(1+Forecast!$B24))</f>
        <v>0</v>
      </c>
      <c r="P41" s="2">
        <f>MAX(0,O41*(1+Forecast!$B24))</f>
        <v>0</v>
      </c>
      <c r="Q41" s="2">
        <f>MAX(0,P41*(1+Forecast!$B24))</f>
        <v>0</v>
      </c>
      <c r="R41" s="2">
        <f>MAX(0,Q41*(1+Forecast!$B24))</f>
        <v>0</v>
      </c>
      <c r="S41" s="2">
        <f>MAX(0,R41*(1+Forecast!$B24))</f>
        <v>0</v>
      </c>
      <c r="T41" s="2">
        <f>MAX(0,S41*(1+Forecast!$B24))</f>
        <v>0</v>
      </c>
      <c r="U41" s="2">
        <f>MAX(0,T41*(1+Forecast!$B24))</f>
        <v>0</v>
      </c>
      <c r="V41" s="2">
        <f>MAX(0,U41*(1+Forecast!$B24))</f>
        <v>0</v>
      </c>
      <c r="W41" s="2">
        <f>MAX(0,V41*(1+Forecast!$B24))</f>
        <v>0</v>
      </c>
      <c r="X41" s="2">
        <f>MAX(0,W41*(1+Forecast!$B24))</f>
        <v>0</v>
      </c>
      <c r="Y41" s="2">
        <f>MAX(0,X41*(1+Forecast!$B24))</f>
        <v>0</v>
      </c>
      <c r="Z41" s="2">
        <f>MAX(0,Y41*(1+Forecast!$B24))</f>
        <v>0</v>
      </c>
      <c r="AA41" s="2">
        <f>MAX(0,Z41*(1+Forecast!$B24))</f>
        <v>0</v>
      </c>
      <c r="AB41" s="2">
        <f>MAX(0,AA41*(1+Forecast!$B24))</f>
        <v>0</v>
      </c>
      <c r="AC41" s="2">
        <f>MAX(0,AB41*(1+Forecast!$B24))</f>
        <v>0</v>
      </c>
      <c r="AD41" s="2">
        <f>MAX(0,AC41*(1+Forecast!$B24))</f>
        <v>0</v>
      </c>
      <c r="AE41" s="2">
        <f>MAX(0,AD41*(1+Forecast!$B24))</f>
        <v>0</v>
      </c>
      <c r="AF41" s="2">
        <f>MAX(0,AE41*(1+Forecast!$B24))</f>
        <v>0</v>
      </c>
      <c r="AG41" s="2">
        <f>MAX(0,AF41*(1+Forecast!$B24))</f>
        <v>0</v>
      </c>
    </row>
    <row r="42" spans="1:33" x14ac:dyDescent="0.3">
      <c r="A42" s="16" t="s">
        <v>4</v>
      </c>
      <c r="B42" s="2">
        <f>INDEX(SYCEU!$B$2:$G$11, MATCH($A42, SYCEU!$A$2:$A$11, 0), MATCH(Commercial_calculation!$A$39, SYCEU!$B$1:$G$1, 0))</f>
        <v>0</v>
      </c>
      <c r="C42" s="2">
        <f>INDEX('2020'!$B$2:$G$11, MATCH($A42, '2020'!$A$2:$A$11, 0), MATCH(Commercial_calculation!$A$39, '2020'!$B$1:$G$1, 0))</f>
        <v>0</v>
      </c>
      <c r="D42" s="2">
        <f>INDEX('2021'!$B$2:$G$11, MATCH($A42, '2021'!$A$2:$A$11, 0), MATCH(Commercial_calculation!$A$39, '2021'!$B$1:$G$1, 0))</f>
        <v>0</v>
      </c>
      <c r="E42" s="2">
        <f>MAX(0,D42*(1+Forecast!$B25))</f>
        <v>0</v>
      </c>
      <c r="F42" s="2">
        <f>MAX(0,E42*(1+Forecast!$B25))</f>
        <v>0</v>
      </c>
      <c r="G42" s="2">
        <f>MAX(0,F42*(1+Forecast!$B25))</f>
        <v>0</v>
      </c>
      <c r="H42" s="2">
        <f>MAX(0,G42*(1+Forecast!$B25))</f>
        <v>0</v>
      </c>
      <c r="I42" s="2">
        <f>MAX(0,H42*(1+Forecast!$B25))</f>
        <v>0</v>
      </c>
      <c r="J42" s="2">
        <f>MAX(0,I42*(1+Forecast!$B25))</f>
        <v>0</v>
      </c>
      <c r="K42" s="2">
        <f>MAX(0,J42*(1+Forecast!$B25))</f>
        <v>0</v>
      </c>
      <c r="L42" s="2">
        <f>MAX(0,K42*(1+Forecast!$B25))</f>
        <v>0</v>
      </c>
      <c r="M42" s="2">
        <f>MAX(0,L42*(1+Forecast!$B25))</f>
        <v>0</v>
      </c>
      <c r="N42" s="2">
        <f>MAX(0,M42*(1+Forecast!$B25))</f>
        <v>0</v>
      </c>
      <c r="O42" s="2">
        <f>MAX(0,N42*(1+Forecast!$B25))</f>
        <v>0</v>
      </c>
      <c r="P42" s="2">
        <f>MAX(0,O42*(1+Forecast!$B25))</f>
        <v>0</v>
      </c>
      <c r="Q42" s="2">
        <f>MAX(0,P42*(1+Forecast!$B25))</f>
        <v>0</v>
      </c>
      <c r="R42" s="2">
        <f>MAX(0,Q42*(1+Forecast!$B25))</f>
        <v>0</v>
      </c>
      <c r="S42" s="2">
        <f>MAX(0,R42*(1+Forecast!$B25))</f>
        <v>0</v>
      </c>
      <c r="T42" s="2">
        <f>MAX(0,S42*(1+Forecast!$B25))</f>
        <v>0</v>
      </c>
      <c r="U42" s="2">
        <f>MAX(0,T42*(1+Forecast!$B25))</f>
        <v>0</v>
      </c>
      <c r="V42" s="2">
        <f>MAX(0,U42*(1+Forecast!$B25))</f>
        <v>0</v>
      </c>
      <c r="W42" s="2">
        <f>MAX(0,V42*(1+Forecast!$B25))</f>
        <v>0</v>
      </c>
      <c r="X42" s="2">
        <f>MAX(0,W42*(1+Forecast!$B25))</f>
        <v>0</v>
      </c>
      <c r="Y42" s="2">
        <f>MAX(0,X42*(1+Forecast!$B25))</f>
        <v>0</v>
      </c>
      <c r="Z42" s="2">
        <f>MAX(0,Y42*(1+Forecast!$B25))</f>
        <v>0</v>
      </c>
      <c r="AA42" s="2">
        <f>MAX(0,Z42*(1+Forecast!$B25))</f>
        <v>0</v>
      </c>
      <c r="AB42" s="2">
        <f>MAX(0,AA42*(1+Forecast!$B25))</f>
        <v>0</v>
      </c>
      <c r="AC42" s="2">
        <f>MAX(0,AB42*(1+Forecast!$B25))</f>
        <v>0</v>
      </c>
      <c r="AD42" s="2">
        <f>MAX(0,AC42*(1+Forecast!$B25))</f>
        <v>0</v>
      </c>
      <c r="AE42" s="2">
        <f>MAX(0,AD42*(1+Forecast!$B25))</f>
        <v>0</v>
      </c>
      <c r="AF42" s="2">
        <f>MAX(0,AE42*(1+Forecast!$B25))</f>
        <v>0</v>
      </c>
      <c r="AG42" s="2">
        <f>MAX(0,AF42*(1+Forecast!$B25))</f>
        <v>0</v>
      </c>
    </row>
    <row r="43" spans="1:33" x14ac:dyDescent="0.3">
      <c r="A43" s="16" t="s">
        <v>5</v>
      </c>
      <c r="B43" s="2">
        <f>INDEX(SYCEU!$B$2:$G$11, MATCH($A43, SYCEU!$A$2:$A$11, 0), MATCH(Commercial_calculation!$A$39, SYCEU!$B$1:$G$1, 0))</f>
        <v>0</v>
      </c>
      <c r="C43" s="2">
        <f>INDEX('2020'!$B$2:$G$11, MATCH($A43, '2020'!$A$2:$A$11, 0), MATCH(Commercial_calculation!$A$39, '2020'!$B$1:$G$1, 0))</f>
        <v>0</v>
      </c>
      <c r="D43" s="2">
        <f>INDEX('2021'!$B$2:$G$11, MATCH($A43, '2021'!$A$2:$A$11, 0), MATCH(Commercial_calculation!$A$39, '2021'!$B$1:$G$1, 0))</f>
        <v>0</v>
      </c>
      <c r="E43" s="2">
        <f>MAX(0,D43*(1+Forecast!$B26))</f>
        <v>0</v>
      </c>
      <c r="F43" s="2">
        <f>MAX(0,E43*(1+Forecast!$B26))</f>
        <v>0</v>
      </c>
      <c r="G43" s="2">
        <f>MAX(0,F43*(1+Forecast!$B26))</f>
        <v>0</v>
      </c>
      <c r="H43" s="2">
        <f>MAX(0,G43*(1+Forecast!$B26))</f>
        <v>0</v>
      </c>
      <c r="I43" s="2">
        <f>MAX(0,H43*(1+Forecast!$B26))</f>
        <v>0</v>
      </c>
      <c r="J43" s="2">
        <f>MAX(0,I43*(1+Forecast!$B26))</f>
        <v>0</v>
      </c>
      <c r="K43" s="2">
        <f>MAX(0,J43*(1+Forecast!$B26))</f>
        <v>0</v>
      </c>
      <c r="L43" s="2">
        <f>MAX(0,K43*(1+Forecast!$B26))</f>
        <v>0</v>
      </c>
      <c r="M43" s="2">
        <f>MAX(0,L43*(1+Forecast!$B26))</f>
        <v>0</v>
      </c>
      <c r="N43" s="2">
        <f>MAX(0,M43*(1+Forecast!$B26))</f>
        <v>0</v>
      </c>
      <c r="O43" s="2">
        <f>MAX(0,N43*(1+Forecast!$B26))</f>
        <v>0</v>
      </c>
      <c r="P43" s="2">
        <f>MAX(0,O43*(1+Forecast!$B26))</f>
        <v>0</v>
      </c>
      <c r="Q43" s="2">
        <f>MAX(0,P43*(1+Forecast!$B26))</f>
        <v>0</v>
      </c>
      <c r="R43" s="2">
        <f>MAX(0,Q43*(1+Forecast!$B26))</f>
        <v>0</v>
      </c>
      <c r="S43" s="2">
        <f>MAX(0,R43*(1+Forecast!$B26))</f>
        <v>0</v>
      </c>
      <c r="T43" s="2">
        <f>MAX(0,S43*(1+Forecast!$B26))</f>
        <v>0</v>
      </c>
      <c r="U43" s="2">
        <f>MAX(0,T43*(1+Forecast!$B26))</f>
        <v>0</v>
      </c>
      <c r="V43" s="2">
        <f>MAX(0,U43*(1+Forecast!$B26))</f>
        <v>0</v>
      </c>
      <c r="W43" s="2">
        <f>MAX(0,V43*(1+Forecast!$B26))</f>
        <v>0</v>
      </c>
      <c r="X43" s="2">
        <f>MAX(0,W43*(1+Forecast!$B26))</f>
        <v>0</v>
      </c>
      <c r="Y43" s="2">
        <f>MAX(0,X43*(1+Forecast!$B26))</f>
        <v>0</v>
      </c>
      <c r="Z43" s="2">
        <f>MAX(0,Y43*(1+Forecast!$B26))</f>
        <v>0</v>
      </c>
      <c r="AA43" s="2">
        <f>MAX(0,Z43*(1+Forecast!$B26))</f>
        <v>0</v>
      </c>
      <c r="AB43" s="2">
        <f>MAX(0,AA43*(1+Forecast!$B26))</f>
        <v>0</v>
      </c>
      <c r="AC43" s="2">
        <f>MAX(0,AB43*(1+Forecast!$B26))</f>
        <v>0</v>
      </c>
      <c r="AD43" s="2">
        <f>MAX(0,AC43*(1+Forecast!$B26))</f>
        <v>0</v>
      </c>
      <c r="AE43" s="2">
        <f>MAX(0,AD43*(1+Forecast!$B26))</f>
        <v>0</v>
      </c>
      <c r="AF43" s="2">
        <f>MAX(0,AE43*(1+Forecast!$B26))</f>
        <v>0</v>
      </c>
      <c r="AG43" s="2">
        <f>MAX(0,AF43*(1+Forecast!$B26))</f>
        <v>0</v>
      </c>
    </row>
    <row r="44" spans="1:33" x14ac:dyDescent="0.3">
      <c r="A44" s="16" t="s">
        <v>7</v>
      </c>
      <c r="B44" s="2">
        <f>INDEX(SYCEU!$B$2:$G$11, MATCH($A44, SYCEU!$A$2:$A$11, 0), MATCH(Commercial_calculation!$A$39, SYCEU!$B$1:$G$1, 0))</f>
        <v>0</v>
      </c>
      <c r="C44" s="2">
        <f>INDEX('2020'!$B$2:$G$11, MATCH($A44, '2020'!$A$2:$A$11, 0), MATCH(Commercial_calculation!$A$39, '2020'!$B$1:$G$1, 0))</f>
        <v>0</v>
      </c>
      <c r="D44" s="2">
        <f>INDEX('2021'!$B$2:$G$11, MATCH($A44, '2021'!$A$2:$A$11, 0), MATCH(Commercial_calculation!$A$39, '2021'!$B$1:$G$1, 0))</f>
        <v>0</v>
      </c>
      <c r="E44" s="2">
        <f>MAX(0,D44*(1+Forecast!$B27))</f>
        <v>0</v>
      </c>
      <c r="F44" s="2">
        <f>MAX(0,E44*(1+Forecast!$B27))</f>
        <v>0</v>
      </c>
      <c r="G44" s="2">
        <f>MAX(0,F44*(1+Forecast!$B27))</f>
        <v>0</v>
      </c>
      <c r="H44" s="2">
        <f>MAX(0,G44*(1+Forecast!$B27))</f>
        <v>0</v>
      </c>
      <c r="I44" s="2">
        <f>MAX(0,H44*(1+Forecast!$B27))</f>
        <v>0</v>
      </c>
      <c r="J44" s="2">
        <f>MAX(0,I44*(1+Forecast!$B27))</f>
        <v>0</v>
      </c>
      <c r="K44" s="2">
        <f>MAX(0,J44*(1+Forecast!$B27))</f>
        <v>0</v>
      </c>
      <c r="L44" s="2">
        <f>MAX(0,K44*(1+Forecast!$B27))</f>
        <v>0</v>
      </c>
      <c r="M44" s="2">
        <f>MAX(0,L44*(1+Forecast!$B27))</f>
        <v>0</v>
      </c>
      <c r="N44" s="2">
        <f>MAX(0,M44*(1+Forecast!$B27))</f>
        <v>0</v>
      </c>
      <c r="O44" s="2">
        <f>MAX(0,N44*(1+Forecast!$B27))</f>
        <v>0</v>
      </c>
      <c r="P44" s="2">
        <f>MAX(0,O44*(1+Forecast!$B27))</f>
        <v>0</v>
      </c>
      <c r="Q44" s="2">
        <f>MAX(0,P44*(1+Forecast!$B27))</f>
        <v>0</v>
      </c>
      <c r="R44" s="2">
        <f>MAX(0,Q44*(1+Forecast!$B27))</f>
        <v>0</v>
      </c>
      <c r="S44" s="2">
        <f>MAX(0,R44*(1+Forecast!$B27))</f>
        <v>0</v>
      </c>
      <c r="T44" s="2">
        <f>MAX(0,S44*(1+Forecast!$B27))</f>
        <v>0</v>
      </c>
      <c r="U44" s="2">
        <f>MAX(0,T44*(1+Forecast!$B27))</f>
        <v>0</v>
      </c>
      <c r="V44" s="2">
        <f>MAX(0,U44*(1+Forecast!$B27))</f>
        <v>0</v>
      </c>
      <c r="W44" s="2">
        <f>MAX(0,V44*(1+Forecast!$B27))</f>
        <v>0</v>
      </c>
      <c r="X44" s="2">
        <f>MAX(0,W44*(1+Forecast!$B27))</f>
        <v>0</v>
      </c>
      <c r="Y44" s="2">
        <f>MAX(0,X44*(1+Forecast!$B27))</f>
        <v>0</v>
      </c>
      <c r="Z44" s="2">
        <f>MAX(0,Y44*(1+Forecast!$B27))</f>
        <v>0</v>
      </c>
      <c r="AA44" s="2">
        <f>MAX(0,Z44*(1+Forecast!$B27))</f>
        <v>0</v>
      </c>
      <c r="AB44" s="2">
        <f>MAX(0,AA44*(1+Forecast!$B27))</f>
        <v>0</v>
      </c>
      <c r="AC44" s="2">
        <f>MAX(0,AB44*(1+Forecast!$B27))</f>
        <v>0</v>
      </c>
      <c r="AD44" s="2">
        <f>MAX(0,AC44*(1+Forecast!$B27))</f>
        <v>0</v>
      </c>
      <c r="AE44" s="2">
        <f>MAX(0,AD44*(1+Forecast!$B27))</f>
        <v>0</v>
      </c>
      <c r="AF44" s="2">
        <f>MAX(0,AE44*(1+Forecast!$B27))</f>
        <v>0</v>
      </c>
      <c r="AG44" s="2">
        <f>MAX(0,AF44*(1+Forecast!$B27))</f>
        <v>0</v>
      </c>
    </row>
    <row r="45" spans="1:33" x14ac:dyDescent="0.3">
      <c r="A45" s="16" t="s">
        <v>11</v>
      </c>
      <c r="B45" s="2">
        <f>INDEX(SYCEU!$B$2:$G$11, MATCH($A45, SYCEU!$A$2:$A$11, 0), MATCH(Commercial_calculation!$A$39, SYCEU!$B$1:$G$1, 0))</f>
        <v>3470000000000</v>
      </c>
      <c r="C45" s="2">
        <f>INDEX('2020'!$B$2:$G$11, MATCH($A45, '2020'!$A$2:$A$11, 0), MATCH(Commercial_calculation!$A$39, '2020'!$B$1:$G$1, 0))</f>
        <v>3704101370757.1816</v>
      </c>
      <c r="D45" s="2">
        <f>INDEX('2021'!$B$2:$G$11, MATCH($A45, '2021'!$A$2:$A$11, 0), MATCH(Commercial_calculation!$A$39, '2021'!$B$1:$G$1, 0))</f>
        <v>3973490561357.7036</v>
      </c>
      <c r="E45" s="2">
        <f>MAX(0,D45*(1+Forecast!$B28))</f>
        <v>4152297636618.7998</v>
      </c>
      <c r="F45" s="2">
        <f>MAX(0,E45*(1+Forecast!$B28))</f>
        <v>4339151030266.6455</v>
      </c>
      <c r="G45" s="2">
        <f>MAX(0,F45*(1+Forecast!$B28))</f>
        <v>4534412826628.6445</v>
      </c>
      <c r="H45" s="2">
        <f>MAX(0,G45*(1+Forecast!$B28))</f>
        <v>4738461403826.9336</v>
      </c>
      <c r="I45" s="2">
        <f>MAX(0,H45*(1+Forecast!$B28))</f>
        <v>4951692166999.1455</v>
      </c>
      <c r="J45" s="2">
        <f>MAX(0,I45*(1+Forecast!$B28))</f>
        <v>5174518314514.1064</v>
      </c>
      <c r="K45" s="2">
        <f>MAX(0,J45*(1+Forecast!$B28))</f>
        <v>5407371638667.2412</v>
      </c>
      <c r="L45" s="2">
        <f>MAX(0,K45*(1+Forecast!$B28))</f>
        <v>5650703362407.2666</v>
      </c>
      <c r="M45" s="2">
        <f>MAX(0,L45*(1+Forecast!$B28))</f>
        <v>5904985013715.5928</v>
      </c>
      <c r="N45" s="2">
        <f>MAX(0,M45*(1+Forecast!$B28))</f>
        <v>6170709339332.7939</v>
      </c>
      <c r="O45" s="2">
        <f>MAX(0,N45*(1+Forecast!$B28))</f>
        <v>6448391259602.7695</v>
      </c>
      <c r="P45" s="2">
        <f>MAX(0,O45*(1+Forecast!$B28))</f>
        <v>6738568866284.8936</v>
      </c>
      <c r="Q45" s="2">
        <f>MAX(0,P45*(1+Forecast!$B28))</f>
        <v>7041804465267.7129</v>
      </c>
      <c r="R45" s="2">
        <f>MAX(0,Q45*(1+Forecast!$B28))</f>
        <v>7358685666204.7598</v>
      </c>
      <c r="S45" s="2">
        <f>MAX(0,R45*(1+Forecast!$B28))</f>
        <v>7689826521183.9736</v>
      </c>
      <c r="T45" s="2">
        <f>MAX(0,S45*(1+Forecast!$B28))</f>
        <v>8035868714637.252</v>
      </c>
      <c r="U45" s="2">
        <f>MAX(0,T45*(1+Forecast!$B28))</f>
        <v>8397482806795.9277</v>
      </c>
      <c r="V45" s="2">
        <f>MAX(0,U45*(1+Forecast!$B28))</f>
        <v>8775369533101.7441</v>
      </c>
      <c r="W45" s="2">
        <f>MAX(0,V45*(1+Forecast!$B28))</f>
        <v>9170261162091.3223</v>
      </c>
      <c r="X45" s="2">
        <f>MAX(0,W45*(1+Forecast!$B28))</f>
        <v>9582922914385.4316</v>
      </c>
      <c r="Y45" s="2">
        <f>MAX(0,X45*(1+Forecast!$B28))</f>
        <v>10014154445532.775</v>
      </c>
      <c r="Z45" s="2">
        <f>MAX(0,Y45*(1+Forecast!$B28))</f>
        <v>10464791395581.75</v>
      </c>
      <c r="AA45" s="2">
        <f>MAX(0,Z45*(1+Forecast!$B28))</f>
        <v>10935707008382.928</v>
      </c>
      <c r="AB45" s="2">
        <f>MAX(0,AA45*(1+Forecast!$B28))</f>
        <v>11427813823760.158</v>
      </c>
      <c r="AC45" s="2">
        <f>MAX(0,AB45*(1+Forecast!$B28))</f>
        <v>11942065445829.365</v>
      </c>
      <c r="AD45" s="2">
        <f>MAX(0,AC45*(1+Forecast!$B28))</f>
        <v>12479458390891.686</v>
      </c>
      <c r="AE45" s="2">
        <f>MAX(0,AD45*(1+Forecast!$B28))</f>
        <v>13041034018481.811</v>
      </c>
      <c r="AF45" s="2">
        <f>MAX(0,AE45*(1+Forecast!$B28))</f>
        <v>13627880549313.49</v>
      </c>
      <c r="AG45" s="2">
        <f>MAX(0,AF45*(1+Forecast!$B28))</f>
        <v>14241135174032.596</v>
      </c>
    </row>
    <row r="46" spans="1:33" x14ac:dyDescent="0.3">
      <c r="A46" s="16" t="s">
        <v>13</v>
      </c>
      <c r="B46" s="2">
        <f>INDEX(SYCEU!$B$2:$G$11, MATCH($A46, SYCEU!$A$2:$A$11, 0), MATCH(Commercial_calculation!$A$39, SYCEU!$B$1:$G$1, 0))</f>
        <v>0</v>
      </c>
      <c r="C46" s="2">
        <f>INDEX('2020'!$B$2:$G$11, MATCH($A46, '2020'!$A$2:$A$11, 0), MATCH(Commercial_calculation!$A$39, '2020'!$B$1:$G$1, 0))</f>
        <v>0</v>
      </c>
      <c r="D46" s="2">
        <f>INDEX('2021'!$B$2:$G$11, MATCH($A46, '2021'!$A$2:$A$11, 0), MATCH(Commercial_calculation!$A$39, '2021'!$B$1:$G$1, 0))</f>
        <v>0</v>
      </c>
      <c r="E46" s="2">
        <f>MAX(0,D46*(1+Forecast!$B29))</f>
        <v>0</v>
      </c>
      <c r="F46" s="2">
        <f>MAX(0,E46*(1+Forecast!$B29))</f>
        <v>0</v>
      </c>
      <c r="G46" s="2">
        <f>MAX(0,F46*(1+Forecast!$B29))</f>
        <v>0</v>
      </c>
      <c r="H46" s="2">
        <f>MAX(0,G46*(1+Forecast!$B29))</f>
        <v>0</v>
      </c>
      <c r="I46" s="2">
        <f>MAX(0,H46*(1+Forecast!$B29))</f>
        <v>0</v>
      </c>
      <c r="J46" s="2">
        <f>MAX(0,I46*(1+Forecast!$B29))</f>
        <v>0</v>
      </c>
      <c r="K46" s="2">
        <f>MAX(0,J46*(1+Forecast!$B29))</f>
        <v>0</v>
      </c>
      <c r="L46" s="2">
        <f>MAX(0,K46*(1+Forecast!$B29))</f>
        <v>0</v>
      </c>
      <c r="M46" s="2">
        <f>MAX(0,L46*(1+Forecast!$B29))</f>
        <v>0</v>
      </c>
      <c r="N46" s="2">
        <f>MAX(0,M46*(1+Forecast!$B29))</f>
        <v>0</v>
      </c>
      <c r="O46" s="2">
        <f>MAX(0,N46*(1+Forecast!$B29))</f>
        <v>0</v>
      </c>
      <c r="P46" s="2">
        <f>MAX(0,O46*(1+Forecast!$B29))</f>
        <v>0</v>
      </c>
      <c r="Q46" s="2">
        <f>MAX(0,P46*(1+Forecast!$B29))</f>
        <v>0</v>
      </c>
      <c r="R46" s="2">
        <f>MAX(0,Q46*(1+Forecast!$B29))</f>
        <v>0</v>
      </c>
      <c r="S46" s="2">
        <f>MAX(0,R46*(1+Forecast!$B29))</f>
        <v>0</v>
      </c>
      <c r="T46" s="2">
        <f>MAX(0,S46*(1+Forecast!$B29))</f>
        <v>0</v>
      </c>
      <c r="U46" s="2">
        <f>MAX(0,T46*(1+Forecast!$B29))</f>
        <v>0</v>
      </c>
      <c r="V46" s="2">
        <f>MAX(0,U46*(1+Forecast!$B29))</f>
        <v>0</v>
      </c>
      <c r="W46" s="2">
        <f>MAX(0,V46*(1+Forecast!$B29))</f>
        <v>0</v>
      </c>
      <c r="X46" s="2">
        <f>MAX(0,W46*(1+Forecast!$B29))</f>
        <v>0</v>
      </c>
      <c r="Y46" s="2">
        <f>MAX(0,X46*(1+Forecast!$B29))</f>
        <v>0</v>
      </c>
      <c r="Z46" s="2">
        <f>MAX(0,Y46*(1+Forecast!$B29))</f>
        <v>0</v>
      </c>
      <c r="AA46" s="2">
        <f>MAX(0,Z46*(1+Forecast!$B29))</f>
        <v>0</v>
      </c>
      <c r="AB46" s="2">
        <f>MAX(0,AA46*(1+Forecast!$B29))</f>
        <v>0</v>
      </c>
      <c r="AC46" s="2">
        <f>MAX(0,AB46*(1+Forecast!$B29))</f>
        <v>0</v>
      </c>
      <c r="AD46" s="2">
        <f>MAX(0,AC46*(1+Forecast!$B29))</f>
        <v>0</v>
      </c>
      <c r="AE46" s="2">
        <f>MAX(0,AD46*(1+Forecast!$B29))</f>
        <v>0</v>
      </c>
      <c r="AF46" s="2">
        <f>MAX(0,AE46*(1+Forecast!$B29))</f>
        <v>0</v>
      </c>
      <c r="AG46" s="2">
        <f>MAX(0,AF46*(1+Forecast!$B29))</f>
        <v>0</v>
      </c>
    </row>
    <row r="47" spans="1:33" x14ac:dyDescent="0.3">
      <c r="A47" s="16" t="s">
        <v>14</v>
      </c>
      <c r="B47" s="2">
        <f>INDEX(SYCEU!$B$2:$G$11, MATCH($A47, SYCEU!$A$2:$A$11, 0), MATCH(Commercial_calculation!$A$39, SYCEU!$B$1:$G$1, 0))</f>
        <v>0</v>
      </c>
      <c r="C47" s="2">
        <f>INDEX('2020'!$B$2:$G$11, MATCH($A47, '2020'!$A$2:$A$11, 0), MATCH(Commercial_calculation!$A$39, '2020'!$B$1:$G$1, 0))</f>
        <v>0</v>
      </c>
      <c r="D47" s="2">
        <f>INDEX('2021'!$B$2:$G$11, MATCH($A47, '2021'!$A$2:$A$11, 0), MATCH(Commercial_calculation!$A$39, '2021'!$B$1:$G$1, 0))</f>
        <v>0</v>
      </c>
      <c r="E47" s="2">
        <f>MAX(0,D47*(1+Forecast!$B30))</f>
        <v>0</v>
      </c>
      <c r="F47" s="2">
        <f>MAX(0,E47*(1+Forecast!$B30))</f>
        <v>0</v>
      </c>
      <c r="G47" s="2">
        <f>MAX(0,F47*(1+Forecast!$B30))</f>
        <v>0</v>
      </c>
      <c r="H47" s="2">
        <f>MAX(0,G47*(1+Forecast!$B30))</f>
        <v>0</v>
      </c>
      <c r="I47" s="2">
        <f>MAX(0,H47*(1+Forecast!$B30))</f>
        <v>0</v>
      </c>
      <c r="J47" s="2">
        <f>MAX(0,I47*(1+Forecast!$B30))</f>
        <v>0</v>
      </c>
      <c r="K47" s="2">
        <f>MAX(0,J47*(1+Forecast!$B30))</f>
        <v>0</v>
      </c>
      <c r="L47" s="2">
        <f>MAX(0,K47*(1+Forecast!$B30))</f>
        <v>0</v>
      </c>
      <c r="M47" s="2">
        <f>MAX(0,L47*(1+Forecast!$B30))</f>
        <v>0</v>
      </c>
      <c r="N47" s="2">
        <f>MAX(0,M47*(1+Forecast!$B30))</f>
        <v>0</v>
      </c>
      <c r="O47" s="2">
        <f>MAX(0,N47*(1+Forecast!$B30))</f>
        <v>0</v>
      </c>
      <c r="P47" s="2">
        <f>MAX(0,O47*(1+Forecast!$B30))</f>
        <v>0</v>
      </c>
      <c r="Q47" s="2">
        <f>MAX(0,P47*(1+Forecast!$B30))</f>
        <v>0</v>
      </c>
      <c r="R47" s="2">
        <f>MAX(0,Q47*(1+Forecast!$B30))</f>
        <v>0</v>
      </c>
      <c r="S47" s="2">
        <f>MAX(0,R47*(1+Forecast!$B30))</f>
        <v>0</v>
      </c>
      <c r="T47" s="2">
        <f>MAX(0,S47*(1+Forecast!$B30))</f>
        <v>0</v>
      </c>
      <c r="U47" s="2">
        <f>MAX(0,T47*(1+Forecast!$B30))</f>
        <v>0</v>
      </c>
      <c r="V47" s="2">
        <f>MAX(0,U47*(1+Forecast!$B30))</f>
        <v>0</v>
      </c>
      <c r="W47" s="2">
        <f>MAX(0,V47*(1+Forecast!$B30))</f>
        <v>0</v>
      </c>
      <c r="X47" s="2">
        <f>MAX(0,W47*(1+Forecast!$B30))</f>
        <v>0</v>
      </c>
      <c r="Y47" s="2">
        <f>MAX(0,X47*(1+Forecast!$B30))</f>
        <v>0</v>
      </c>
      <c r="Z47" s="2">
        <f>MAX(0,Y47*(1+Forecast!$B30))</f>
        <v>0</v>
      </c>
      <c r="AA47" s="2">
        <f>MAX(0,Z47*(1+Forecast!$B30))</f>
        <v>0</v>
      </c>
      <c r="AB47" s="2">
        <f>MAX(0,AA47*(1+Forecast!$B30))</f>
        <v>0</v>
      </c>
      <c r="AC47" s="2">
        <f>MAX(0,AB47*(1+Forecast!$B30))</f>
        <v>0</v>
      </c>
      <c r="AD47" s="2">
        <f>MAX(0,AC47*(1+Forecast!$B30))</f>
        <v>0</v>
      </c>
      <c r="AE47" s="2">
        <f>MAX(0,AD47*(1+Forecast!$B30))</f>
        <v>0</v>
      </c>
      <c r="AF47" s="2">
        <f>MAX(0,AE47*(1+Forecast!$B30))</f>
        <v>0</v>
      </c>
      <c r="AG47" s="2">
        <f>MAX(0,AF47*(1+Forecast!$B30))</f>
        <v>0</v>
      </c>
    </row>
    <row r="48" spans="1:33" x14ac:dyDescent="0.3">
      <c r="A48" s="16" t="s">
        <v>15</v>
      </c>
      <c r="B48" s="2">
        <f>INDEX(SYCEU!$B$2:$G$11, MATCH($A48, SYCEU!$A$2:$A$11, 0), MATCH(Commercial_calculation!$A$39, SYCEU!$B$1:$G$1, 0))</f>
        <v>0</v>
      </c>
      <c r="C48" s="2">
        <f>INDEX('2020'!$B$2:$G$11, MATCH($A48, '2020'!$A$2:$A$11, 0), MATCH(Commercial_calculation!$A$39, '2020'!$B$1:$G$1, 0))</f>
        <v>0</v>
      </c>
      <c r="D48" s="2">
        <f>INDEX('2021'!$B$2:$G$11, MATCH($A48, '2021'!$A$2:$A$11, 0), MATCH(Commercial_calculation!$A$39, '2021'!$B$1:$G$1, 0))</f>
        <v>0</v>
      </c>
      <c r="E48" s="2">
        <f>MAX(0,D48*(1+Forecast!$B31))</f>
        <v>0</v>
      </c>
      <c r="F48" s="2">
        <f>MAX(0,E48*(1+Forecast!$B31))</f>
        <v>0</v>
      </c>
      <c r="G48" s="2">
        <f>MAX(0,F48*(1+Forecast!$B31))</f>
        <v>0</v>
      </c>
      <c r="H48" s="2">
        <f>MAX(0,G48*(1+Forecast!$B31))</f>
        <v>0</v>
      </c>
      <c r="I48" s="2">
        <f>MAX(0,H48*(1+Forecast!$B31))</f>
        <v>0</v>
      </c>
      <c r="J48" s="2">
        <f>MAX(0,I48*(1+Forecast!$B31))</f>
        <v>0</v>
      </c>
      <c r="K48" s="2">
        <f>MAX(0,J48*(1+Forecast!$B31))</f>
        <v>0</v>
      </c>
      <c r="L48" s="2">
        <f>MAX(0,K48*(1+Forecast!$B31))</f>
        <v>0</v>
      </c>
      <c r="M48" s="2">
        <f>MAX(0,L48*(1+Forecast!$B31))</f>
        <v>0</v>
      </c>
      <c r="N48" s="2">
        <f>MAX(0,M48*(1+Forecast!$B31))</f>
        <v>0</v>
      </c>
      <c r="O48" s="2">
        <f>MAX(0,N48*(1+Forecast!$B31))</f>
        <v>0</v>
      </c>
      <c r="P48" s="2">
        <f>MAX(0,O48*(1+Forecast!$B31))</f>
        <v>0</v>
      </c>
      <c r="Q48" s="2">
        <f>MAX(0,P48*(1+Forecast!$B31))</f>
        <v>0</v>
      </c>
      <c r="R48" s="2">
        <f>MAX(0,Q48*(1+Forecast!$B31))</f>
        <v>0</v>
      </c>
      <c r="S48" s="2">
        <f>MAX(0,R48*(1+Forecast!$B31))</f>
        <v>0</v>
      </c>
      <c r="T48" s="2">
        <f>MAX(0,S48*(1+Forecast!$B31))</f>
        <v>0</v>
      </c>
      <c r="U48" s="2">
        <f>MAX(0,T48*(1+Forecast!$B31))</f>
        <v>0</v>
      </c>
      <c r="V48" s="2">
        <f>MAX(0,U48*(1+Forecast!$B31))</f>
        <v>0</v>
      </c>
      <c r="W48" s="2">
        <f>MAX(0,V48*(1+Forecast!$B31))</f>
        <v>0</v>
      </c>
      <c r="X48" s="2">
        <f>MAX(0,W48*(1+Forecast!$B31))</f>
        <v>0</v>
      </c>
      <c r="Y48" s="2">
        <f>MAX(0,X48*(1+Forecast!$B31))</f>
        <v>0</v>
      </c>
      <c r="Z48" s="2">
        <f>MAX(0,Y48*(1+Forecast!$B31))</f>
        <v>0</v>
      </c>
      <c r="AA48" s="2">
        <f>MAX(0,Z48*(1+Forecast!$B31))</f>
        <v>0</v>
      </c>
      <c r="AB48" s="2">
        <f>MAX(0,AA48*(1+Forecast!$B31))</f>
        <v>0</v>
      </c>
      <c r="AC48" s="2">
        <f>MAX(0,AB48*(1+Forecast!$B31))</f>
        <v>0</v>
      </c>
      <c r="AD48" s="2">
        <f>MAX(0,AC48*(1+Forecast!$B31))</f>
        <v>0</v>
      </c>
      <c r="AE48" s="2">
        <f>MAX(0,AD48*(1+Forecast!$B31))</f>
        <v>0</v>
      </c>
      <c r="AF48" s="2">
        <f>MAX(0,AE48*(1+Forecast!$B31))</f>
        <v>0</v>
      </c>
      <c r="AG48" s="2">
        <f>MAX(0,AF48*(1+Forecast!$B31))</f>
        <v>0</v>
      </c>
    </row>
    <row r="49" spans="1:33" x14ac:dyDescent="0.3">
      <c r="A49" s="16" t="s">
        <v>16</v>
      </c>
      <c r="B49" s="2">
        <f>INDEX(SYCEU!$B$2:$G$11, MATCH($A49, SYCEU!$A$2:$A$11, 0), MATCH(Commercial_calculation!$A$39, SYCEU!$B$1:$G$1, 0))</f>
        <v>0</v>
      </c>
      <c r="C49" s="2">
        <f>INDEX('2020'!$B$2:$G$11, MATCH($A49, '2020'!$A$2:$A$11, 0), MATCH(Commercial_calculation!$A$39, '2020'!$B$1:$G$1, 0))</f>
        <v>0</v>
      </c>
      <c r="D49" s="2">
        <f>INDEX('2021'!$B$2:$G$11, MATCH($A49, '2021'!$A$2:$A$11, 0), MATCH(Commercial_calculation!$A$39, '2021'!$B$1:$G$1, 0))</f>
        <v>0</v>
      </c>
      <c r="E49" s="2">
        <f>MAX(0,D49*(1+Forecast!$B32))</f>
        <v>0</v>
      </c>
      <c r="F49" s="2">
        <f>MAX(0,E49*(1+Forecast!$B32))</f>
        <v>0</v>
      </c>
      <c r="G49" s="2">
        <f>MAX(0,F49*(1+Forecast!$B32))</f>
        <v>0</v>
      </c>
      <c r="H49" s="2">
        <f>MAX(0,G49*(1+Forecast!$B32))</f>
        <v>0</v>
      </c>
      <c r="I49" s="2">
        <f>MAX(0,H49*(1+Forecast!$B32))</f>
        <v>0</v>
      </c>
      <c r="J49" s="2">
        <f>MAX(0,I49*(1+Forecast!$B32))</f>
        <v>0</v>
      </c>
      <c r="K49" s="2">
        <f>MAX(0,J49*(1+Forecast!$B32))</f>
        <v>0</v>
      </c>
      <c r="L49" s="2">
        <f>MAX(0,K49*(1+Forecast!$B32))</f>
        <v>0</v>
      </c>
      <c r="M49" s="2">
        <f>MAX(0,L49*(1+Forecast!$B32))</f>
        <v>0</v>
      </c>
      <c r="N49" s="2">
        <f>MAX(0,M49*(1+Forecast!$B32))</f>
        <v>0</v>
      </c>
      <c r="O49" s="2">
        <f>MAX(0,N49*(1+Forecast!$B32))</f>
        <v>0</v>
      </c>
      <c r="P49" s="2">
        <f>MAX(0,O49*(1+Forecast!$B32))</f>
        <v>0</v>
      </c>
      <c r="Q49" s="2">
        <f>MAX(0,P49*(1+Forecast!$B32))</f>
        <v>0</v>
      </c>
      <c r="R49" s="2">
        <f>MAX(0,Q49*(1+Forecast!$B32))</f>
        <v>0</v>
      </c>
      <c r="S49" s="2">
        <f>MAX(0,R49*(1+Forecast!$B32))</f>
        <v>0</v>
      </c>
      <c r="T49" s="2">
        <f>MAX(0,S49*(1+Forecast!$B32))</f>
        <v>0</v>
      </c>
      <c r="U49" s="2">
        <f>MAX(0,T49*(1+Forecast!$B32))</f>
        <v>0</v>
      </c>
      <c r="V49" s="2">
        <f>MAX(0,U49*(1+Forecast!$B32))</f>
        <v>0</v>
      </c>
      <c r="W49" s="2">
        <f>MAX(0,V49*(1+Forecast!$B32))</f>
        <v>0</v>
      </c>
      <c r="X49" s="2">
        <f>MAX(0,W49*(1+Forecast!$B32))</f>
        <v>0</v>
      </c>
      <c r="Y49" s="2">
        <f>MAX(0,X49*(1+Forecast!$B32))</f>
        <v>0</v>
      </c>
      <c r="Z49" s="2">
        <f>MAX(0,Y49*(1+Forecast!$B32))</f>
        <v>0</v>
      </c>
      <c r="AA49" s="2">
        <f>MAX(0,Z49*(1+Forecast!$B32))</f>
        <v>0</v>
      </c>
      <c r="AB49" s="2">
        <f>MAX(0,AA49*(1+Forecast!$B32))</f>
        <v>0</v>
      </c>
      <c r="AC49" s="2">
        <f>MAX(0,AB49*(1+Forecast!$B32))</f>
        <v>0</v>
      </c>
      <c r="AD49" s="2">
        <f>MAX(0,AC49*(1+Forecast!$B32))</f>
        <v>0</v>
      </c>
      <c r="AE49" s="2">
        <f>MAX(0,AD49*(1+Forecast!$B32))</f>
        <v>0</v>
      </c>
      <c r="AF49" s="2">
        <f>MAX(0,AE49*(1+Forecast!$B32))</f>
        <v>0</v>
      </c>
      <c r="AG49" s="2">
        <f>MAX(0,AF49*(1+Forecast!$B32))</f>
        <v>0</v>
      </c>
    </row>
    <row r="51" spans="1:33" x14ac:dyDescent="0.3">
      <c r="A51" s="16" t="s">
        <v>46</v>
      </c>
      <c r="B51" s="1">
        <v>2019</v>
      </c>
      <c r="C51" s="1">
        <v>2020</v>
      </c>
      <c r="D51" s="1">
        <v>2021</v>
      </c>
      <c r="E51" s="1">
        <v>2022</v>
      </c>
      <c r="F51" s="1">
        <v>2023</v>
      </c>
      <c r="G51" s="1">
        <v>2024</v>
      </c>
      <c r="H51" s="1">
        <v>2025</v>
      </c>
      <c r="I51" s="1">
        <v>2026</v>
      </c>
      <c r="J51" s="1">
        <v>2027</v>
      </c>
      <c r="K51" s="1">
        <v>2028</v>
      </c>
      <c r="L51" s="1">
        <v>2029</v>
      </c>
      <c r="M51" s="1">
        <v>2030</v>
      </c>
      <c r="N51" s="1">
        <v>2031</v>
      </c>
      <c r="O51" s="1">
        <v>2032</v>
      </c>
      <c r="P51" s="1">
        <v>2033</v>
      </c>
      <c r="Q51" s="1">
        <v>2034</v>
      </c>
      <c r="R51" s="1">
        <v>2035</v>
      </c>
      <c r="S51" s="1">
        <v>2036</v>
      </c>
      <c r="T51" s="1">
        <v>2037</v>
      </c>
      <c r="U51" s="1">
        <v>2038</v>
      </c>
      <c r="V51" s="1">
        <v>2039</v>
      </c>
      <c r="W51" s="1">
        <v>2040</v>
      </c>
      <c r="X51" s="1">
        <v>2041</v>
      </c>
      <c r="Y51" s="1">
        <v>2042</v>
      </c>
      <c r="Z51" s="1">
        <v>2043</v>
      </c>
      <c r="AA51" s="1">
        <v>2044</v>
      </c>
      <c r="AB51" s="1">
        <v>2045</v>
      </c>
      <c r="AC51" s="1">
        <v>2046</v>
      </c>
      <c r="AD51" s="1">
        <v>2047</v>
      </c>
      <c r="AE51" s="1">
        <v>2048</v>
      </c>
      <c r="AF51" s="1">
        <v>2049</v>
      </c>
      <c r="AG51" s="1">
        <v>2050</v>
      </c>
    </row>
    <row r="52" spans="1:33" x14ac:dyDescent="0.3">
      <c r="A52" s="16" t="s">
        <v>2</v>
      </c>
      <c r="B52" s="2">
        <f>INDEX(SYCEU!$B$2:$G$11, MATCH($A52, SYCEU!$A$2:$A$11, 0), MATCH(Commercial_calculation!$A$51, SYCEU!$B$1:$G$1, 0))</f>
        <v>79700000000000</v>
      </c>
      <c r="C52" s="2">
        <f>INDEX('2020'!$B$2:$G$11, MATCH($A52, '2020'!$A$2:$A$11, 0), MATCH(Commercial_calculation!$A$51, '2020'!$B$1:$G$1, 0))</f>
        <v>78959313632808.156</v>
      </c>
      <c r="D52" s="2">
        <f>INDEX('2021'!$B$2:$G$11, MATCH($A52, '2021'!$A$2:$A$11, 0), MATCH(Commercial_calculation!$A$51, '2021'!$B$1:$G$1, 0))</f>
        <v>79661110893788.578</v>
      </c>
      <c r="E52" s="2">
        <f>MAX(0,D52*(1+Forecast!$B23))</f>
        <v>80298399780938.891</v>
      </c>
      <c r="F52" s="2">
        <f>MAX(0,E52*(1+Forecast!$B23))</f>
        <v>80940786979186.406</v>
      </c>
      <c r="G52" s="2">
        <f>MAX(0,F52*(1+Forecast!$B23))</f>
        <v>81588313275019.891</v>
      </c>
      <c r="H52" s="2">
        <f>MAX(0,G52*(1+Forecast!$B23))</f>
        <v>82241019781220.047</v>
      </c>
      <c r="I52" s="2">
        <f>MAX(0,H52*(1+Forecast!$B23))</f>
        <v>82898947939469.813</v>
      </c>
      <c r="J52" s="2">
        <f>MAX(0,I52*(1+Forecast!$B23))</f>
        <v>83562139522985.578</v>
      </c>
      <c r="K52" s="2">
        <f>MAX(0,J52*(1+Forecast!$B23))</f>
        <v>84230636639169.469</v>
      </c>
      <c r="L52" s="2">
        <f>MAX(0,K52*(1+Forecast!$B23))</f>
        <v>84904481732282.828</v>
      </c>
      <c r="M52" s="2">
        <f>MAX(0,L52*(1+Forecast!$B23))</f>
        <v>85583717586141.094</v>
      </c>
      <c r="N52" s="2">
        <f>MAX(0,M52*(1+Forecast!$B23))</f>
        <v>86268387326830.219</v>
      </c>
      <c r="O52" s="2">
        <f>MAX(0,N52*(1+Forecast!$B23))</f>
        <v>86958534425444.859</v>
      </c>
      <c r="P52" s="2">
        <f>MAX(0,O52*(1+Forecast!$B23))</f>
        <v>87654202700848.422</v>
      </c>
      <c r="Q52" s="2">
        <f>MAX(0,P52*(1+Forecast!$B23))</f>
        <v>88355436322455.203</v>
      </c>
      <c r="R52" s="2">
        <f>MAX(0,Q52*(1+Forecast!$B23))</f>
        <v>89062279813034.844</v>
      </c>
      <c r="S52" s="2">
        <f>MAX(0,R52*(1+Forecast!$B23))</f>
        <v>89774778051539.125</v>
      </c>
      <c r="T52" s="2">
        <f>MAX(0,S52*(1+Forecast!$B23))</f>
        <v>90492976275951.438</v>
      </c>
      <c r="U52" s="2">
        <f>MAX(0,T52*(1+Forecast!$B23))</f>
        <v>91216920086159.047</v>
      </c>
      <c r="V52" s="2">
        <f>MAX(0,U52*(1+Forecast!$B23))</f>
        <v>91946655446848.313</v>
      </c>
      <c r="W52" s="2">
        <f>MAX(0,V52*(1+Forecast!$B23))</f>
        <v>92682228690423.094</v>
      </c>
      <c r="X52" s="2">
        <f>MAX(0,W52*(1+Forecast!$B23))</f>
        <v>93423686519946.484</v>
      </c>
      <c r="Y52" s="2">
        <f>MAX(0,X52*(1+Forecast!$B23))</f>
        <v>94171076012106.063</v>
      </c>
      <c r="Z52" s="2">
        <f>MAX(0,Y52*(1+Forecast!$B23))</f>
        <v>94924444620202.906</v>
      </c>
      <c r="AA52" s="2">
        <f>MAX(0,Z52*(1+Forecast!$B23))</f>
        <v>95683840177164.531</v>
      </c>
      <c r="AB52" s="2">
        <f>MAX(0,AA52*(1+Forecast!$B23))</f>
        <v>96449310898581.844</v>
      </c>
      <c r="AC52" s="2">
        <f>MAX(0,AB52*(1+Forecast!$B23))</f>
        <v>97220905385770.5</v>
      </c>
      <c r="AD52" s="2">
        <f>MAX(0,AC52*(1+Forecast!$B23))</f>
        <v>97998672628856.672</v>
      </c>
      <c r="AE52" s="2">
        <f>MAX(0,AD52*(1+Forecast!$B23))</f>
        <v>98782662009887.531</v>
      </c>
      <c r="AF52" s="2">
        <f>MAX(0,AE52*(1+Forecast!$B23))</f>
        <v>99572923305966.625</v>
      </c>
      <c r="AG52" s="2">
        <f>MAX(0,AF52*(1+Forecast!$B23))</f>
        <v>100369506692414.36</v>
      </c>
    </row>
    <row r="53" spans="1:33" x14ac:dyDescent="0.3">
      <c r="A53" s="16" t="s">
        <v>3</v>
      </c>
      <c r="B53" s="2">
        <f>INDEX(SYCEU!$B$2:$G$11, MATCH($A53, SYCEU!$A$2:$A$11, 0), MATCH(Commercial_calculation!$A$51, SYCEU!$B$1:$G$1, 0))</f>
        <v>0</v>
      </c>
      <c r="C53" s="2">
        <f>INDEX('2020'!$B$2:$G$11, MATCH($A53, '2020'!$A$2:$A$11, 0), MATCH(Commercial_calculation!$A$51, '2020'!$B$1:$G$1, 0))</f>
        <v>0</v>
      </c>
      <c r="D53" s="2">
        <f>INDEX('2021'!$B$2:$G$11, MATCH($A53, '2021'!$A$2:$A$11, 0), MATCH(Commercial_calculation!$A$51, '2021'!$B$1:$G$1, 0))</f>
        <v>0</v>
      </c>
      <c r="E53" s="2">
        <f>MAX(0,D53*(1+Forecast!$B24))</f>
        <v>0</v>
      </c>
      <c r="F53" s="2">
        <f>MAX(0,E53*(1+Forecast!$B24))</f>
        <v>0</v>
      </c>
      <c r="G53" s="2">
        <f>MAX(0,F53*(1+Forecast!$B24))</f>
        <v>0</v>
      </c>
      <c r="H53" s="2">
        <f>MAX(0,G53*(1+Forecast!$B24))</f>
        <v>0</v>
      </c>
      <c r="I53" s="2">
        <f>MAX(0,H53*(1+Forecast!$B24))</f>
        <v>0</v>
      </c>
      <c r="J53" s="2">
        <f>MAX(0,I53*(1+Forecast!$B24))</f>
        <v>0</v>
      </c>
      <c r="K53" s="2">
        <f>MAX(0,J53*(1+Forecast!$B24))</f>
        <v>0</v>
      </c>
      <c r="L53" s="2">
        <f>MAX(0,K53*(1+Forecast!$B24))</f>
        <v>0</v>
      </c>
      <c r="M53" s="2">
        <f>MAX(0,L53*(1+Forecast!$B24))</f>
        <v>0</v>
      </c>
      <c r="N53" s="2">
        <f>MAX(0,M53*(1+Forecast!$B24))</f>
        <v>0</v>
      </c>
      <c r="O53" s="2">
        <f>MAX(0,N53*(1+Forecast!$B24))</f>
        <v>0</v>
      </c>
      <c r="P53" s="2">
        <f>MAX(0,O53*(1+Forecast!$B24))</f>
        <v>0</v>
      </c>
      <c r="Q53" s="2">
        <f>MAX(0,P53*(1+Forecast!$B24))</f>
        <v>0</v>
      </c>
      <c r="R53" s="2">
        <f>MAX(0,Q53*(1+Forecast!$B24))</f>
        <v>0</v>
      </c>
      <c r="S53" s="2">
        <f>MAX(0,R53*(1+Forecast!$B24))</f>
        <v>0</v>
      </c>
      <c r="T53" s="2">
        <f>MAX(0,S53*(1+Forecast!$B24))</f>
        <v>0</v>
      </c>
      <c r="U53" s="2">
        <f>MAX(0,T53*(1+Forecast!$B24))</f>
        <v>0</v>
      </c>
      <c r="V53" s="2">
        <f>MAX(0,U53*(1+Forecast!$B24))</f>
        <v>0</v>
      </c>
      <c r="W53" s="2">
        <f>MAX(0,V53*(1+Forecast!$B24))</f>
        <v>0</v>
      </c>
      <c r="X53" s="2">
        <f>MAX(0,W53*(1+Forecast!$B24))</f>
        <v>0</v>
      </c>
      <c r="Y53" s="2">
        <f>MAX(0,X53*(1+Forecast!$B24))</f>
        <v>0</v>
      </c>
      <c r="Z53" s="2">
        <f>MAX(0,Y53*(1+Forecast!$B24))</f>
        <v>0</v>
      </c>
      <c r="AA53" s="2">
        <f>MAX(0,Z53*(1+Forecast!$B24))</f>
        <v>0</v>
      </c>
      <c r="AB53" s="2">
        <f>MAX(0,AA53*(1+Forecast!$B24))</f>
        <v>0</v>
      </c>
      <c r="AC53" s="2">
        <f>MAX(0,AB53*(1+Forecast!$B24))</f>
        <v>0</v>
      </c>
      <c r="AD53" s="2">
        <f>MAX(0,AC53*(1+Forecast!$B24))</f>
        <v>0</v>
      </c>
      <c r="AE53" s="2">
        <f>MAX(0,AD53*(1+Forecast!$B24))</f>
        <v>0</v>
      </c>
      <c r="AF53" s="2">
        <f>MAX(0,AE53*(1+Forecast!$B24))</f>
        <v>0</v>
      </c>
      <c r="AG53" s="2">
        <f>MAX(0,AF53*(1+Forecast!$B24))</f>
        <v>0</v>
      </c>
    </row>
    <row r="54" spans="1:33" x14ac:dyDescent="0.3">
      <c r="A54" s="16" t="s">
        <v>4</v>
      </c>
      <c r="B54" s="2">
        <f>INDEX(SYCEU!$B$2:$G$11, MATCH($A54, SYCEU!$A$2:$A$11, 0), MATCH(Commercial_calculation!$A$51, SYCEU!$B$1:$G$1, 0))</f>
        <v>68600000000000</v>
      </c>
      <c r="C54" s="2">
        <f>INDEX('2020'!$B$2:$G$11, MATCH($A54, '2020'!$A$2:$A$11, 0), MATCH(Commercial_calculation!$A$51, '2020'!$B$1:$G$1, 0))</f>
        <v>67399361079004.43</v>
      </c>
      <c r="D54" s="2">
        <f>INDEX('2021'!$B$2:$G$11, MATCH($A54, '2021'!$A$2:$A$11, 0), MATCH(Commercial_calculation!$A$51, '2021'!$B$1:$G$1, 0))</f>
        <v>67195849420517.18</v>
      </c>
      <c r="E54" s="2">
        <f>MAX(0,D54*(1+Forecast!$B25))</f>
        <v>68539766408927.523</v>
      </c>
      <c r="F54" s="2">
        <f>MAX(0,E54*(1+Forecast!$B25))</f>
        <v>69910561737106.078</v>
      </c>
      <c r="G54" s="2">
        <f>MAX(0,F54*(1+Forecast!$B25))</f>
        <v>71308772971848.203</v>
      </c>
      <c r="H54" s="2">
        <f>MAX(0,G54*(1+Forecast!$B25))</f>
        <v>72734948431285.172</v>
      </c>
      <c r="I54" s="2">
        <f>MAX(0,H54*(1+Forecast!$B25))</f>
        <v>74189647399910.875</v>
      </c>
      <c r="J54" s="2">
        <f>MAX(0,I54*(1+Forecast!$B25))</f>
        <v>75673440347909.094</v>
      </c>
      <c r="K54" s="2">
        <f>MAX(0,J54*(1+Forecast!$B25))</f>
        <v>77186909154867.281</v>
      </c>
      <c r="L54" s="2">
        <f>MAX(0,K54*(1+Forecast!$B25))</f>
        <v>78730647337964.625</v>
      </c>
      <c r="M54" s="2">
        <f>MAX(0,L54*(1+Forecast!$B25))</f>
        <v>80305260284723.922</v>
      </c>
      <c r="N54" s="2">
        <f>MAX(0,M54*(1+Forecast!$B25))</f>
        <v>81911365490418.406</v>
      </c>
      <c r="O54" s="2">
        <f>MAX(0,N54*(1+Forecast!$B25))</f>
        <v>83549592800226.781</v>
      </c>
      <c r="P54" s="2">
        <f>MAX(0,O54*(1+Forecast!$B25))</f>
        <v>85220584656231.313</v>
      </c>
      <c r="Q54" s="2">
        <f>MAX(0,P54*(1+Forecast!$B25))</f>
        <v>86924996349355.938</v>
      </c>
      <c r="R54" s="2">
        <f>MAX(0,Q54*(1+Forecast!$B25))</f>
        <v>88663496276343.063</v>
      </c>
      <c r="S54" s="2">
        <f>MAX(0,R54*(1+Forecast!$B25))</f>
        <v>90436766201869.922</v>
      </c>
      <c r="T54" s="2">
        <f>MAX(0,S54*(1+Forecast!$B25))</f>
        <v>92245501525907.328</v>
      </c>
      <c r="U54" s="2">
        <f>MAX(0,T54*(1+Forecast!$B25))</f>
        <v>94090411556425.469</v>
      </c>
      <c r="V54" s="2">
        <f>MAX(0,U54*(1+Forecast!$B25))</f>
        <v>95972219787553.984</v>
      </c>
      <c r="W54" s="2">
        <f>MAX(0,V54*(1+Forecast!$B25))</f>
        <v>97891664183305.063</v>
      </c>
      <c r="X54" s="2">
        <f>MAX(0,W54*(1+Forecast!$B25))</f>
        <v>99849497466971.172</v>
      </c>
      <c r="Y54" s="2">
        <f>MAX(0,X54*(1+Forecast!$B25))</f>
        <v>101846487416310.59</v>
      </c>
      <c r="Z54" s="2">
        <f>MAX(0,Y54*(1+Forecast!$B25))</f>
        <v>103883417164636.81</v>
      </c>
      <c r="AA54" s="2">
        <f>MAX(0,Z54*(1+Forecast!$B25))</f>
        <v>105961085507929.55</v>
      </c>
      <c r="AB54" s="2">
        <f>MAX(0,AA54*(1+Forecast!$B25))</f>
        <v>108080307218088.14</v>
      </c>
      <c r="AC54" s="2">
        <f>MAX(0,AB54*(1+Forecast!$B25))</f>
        <v>110241913362449.91</v>
      </c>
      <c r="AD54" s="2">
        <f>MAX(0,AC54*(1+Forecast!$B25))</f>
        <v>112446751629698.91</v>
      </c>
      <c r="AE54" s="2">
        <f>MAX(0,AD54*(1+Forecast!$B25))</f>
        <v>114695686662292.89</v>
      </c>
      <c r="AF54" s="2">
        <f>MAX(0,AE54*(1+Forecast!$B25))</f>
        <v>116989600395538.75</v>
      </c>
      <c r="AG54" s="2">
        <f>MAX(0,AF54*(1+Forecast!$B25))</f>
        <v>119329392403449.53</v>
      </c>
    </row>
    <row r="55" spans="1:33" x14ac:dyDescent="0.3">
      <c r="A55" s="16" t="s">
        <v>5</v>
      </c>
      <c r="B55" s="2">
        <f>INDEX(SYCEU!$B$2:$G$11, MATCH($A55, SYCEU!$A$2:$A$11, 0), MATCH(Commercial_calculation!$A$51, SYCEU!$B$1:$G$1, 0))</f>
        <v>549000000000</v>
      </c>
      <c r="C55" s="2">
        <f>INDEX('2020'!$B$2:$G$11, MATCH($A55, '2020'!$A$2:$A$11, 0), MATCH(Commercial_calculation!$A$51, '2020'!$B$1:$G$1, 0))</f>
        <v>515140750134.52344</v>
      </c>
      <c r="D55" s="2">
        <f>INDEX('2021'!$B$2:$G$11, MATCH($A55, '2021'!$A$2:$A$11, 0), MATCH(Commercial_calculation!$A$51, '2021'!$B$1:$G$1, 0))</f>
        <v>507055178541.89917</v>
      </c>
      <c r="E55" s="2">
        <f>MAX(0,D55*(1+Forecast!$B26))</f>
        <v>482716529971.888</v>
      </c>
      <c r="F55" s="2">
        <f>MAX(0,E55*(1+Forecast!$B26))</f>
        <v>459546136533.23737</v>
      </c>
      <c r="G55" s="2">
        <f>MAX(0,F55*(1+Forecast!$B26))</f>
        <v>437487921979.64197</v>
      </c>
      <c r="H55" s="2">
        <f>MAX(0,G55*(1+Forecast!$B26))</f>
        <v>416488501724.61914</v>
      </c>
      <c r="I55" s="2">
        <f>MAX(0,H55*(1+Forecast!$B26))</f>
        <v>396497053641.8374</v>
      </c>
      <c r="J55" s="2">
        <f>MAX(0,I55*(1+Forecast!$B26))</f>
        <v>377465195067.02917</v>
      </c>
      <c r="K55" s="2">
        <f>MAX(0,J55*(1+Forecast!$B26))</f>
        <v>359346865703.81177</v>
      </c>
      <c r="L55" s="2">
        <f>MAX(0,K55*(1+Forecast!$B26))</f>
        <v>342098216150.02881</v>
      </c>
      <c r="M55" s="2">
        <f>MAX(0,L55*(1+Forecast!$B26))</f>
        <v>325677501774.82739</v>
      </c>
      <c r="N55" s="2">
        <f>MAX(0,M55*(1+Forecast!$B26))</f>
        <v>310044981689.63568</v>
      </c>
      <c r="O55" s="2">
        <f>MAX(0,N55*(1+Forecast!$B26))</f>
        <v>295162822568.53314</v>
      </c>
      <c r="P55" s="2">
        <f>MAX(0,O55*(1+Forecast!$B26))</f>
        <v>280995007085.24353</v>
      </c>
      <c r="Q55" s="2">
        <f>MAX(0,P55*(1+Forecast!$B26))</f>
        <v>267507246745.15182</v>
      </c>
      <c r="R55" s="2">
        <f>MAX(0,Q55*(1+Forecast!$B26))</f>
        <v>254666898901.38452</v>
      </c>
      <c r="S55" s="2">
        <f>MAX(0,R55*(1+Forecast!$B26))</f>
        <v>242442887754.11804</v>
      </c>
      <c r="T55" s="2">
        <f>MAX(0,S55*(1+Forecast!$B26))</f>
        <v>230805629141.92038</v>
      </c>
      <c r="U55" s="2">
        <f>MAX(0,T55*(1+Forecast!$B26))</f>
        <v>219726958943.10818</v>
      </c>
      <c r="V55" s="2">
        <f>MAX(0,U55*(1+Forecast!$B26))</f>
        <v>209180064913.83899</v>
      </c>
      <c r="W55" s="2">
        <f>MAX(0,V55*(1+Forecast!$B26))</f>
        <v>199139421797.9747</v>
      </c>
      <c r="X55" s="2">
        <f>MAX(0,W55*(1+Forecast!$B26))</f>
        <v>189580729551.67191</v>
      </c>
      <c r="Y55" s="2">
        <f>MAX(0,X55*(1+Forecast!$B26))</f>
        <v>180480854533.19165</v>
      </c>
      <c r="Z55" s="2">
        <f>MAX(0,Y55*(1+Forecast!$B26))</f>
        <v>171817773515.59845</v>
      </c>
      <c r="AA55" s="2">
        <f>MAX(0,Z55*(1+Forecast!$B26))</f>
        <v>163570520386.84973</v>
      </c>
      <c r="AB55" s="2">
        <f>MAX(0,AA55*(1+Forecast!$B26))</f>
        <v>155719135408.28094</v>
      </c>
      <c r="AC55" s="2">
        <f>MAX(0,AB55*(1+Forecast!$B26))</f>
        <v>148244616908.68344</v>
      </c>
      <c r="AD55" s="2">
        <f>MAX(0,AC55*(1+Forecast!$B26))</f>
        <v>141128875297.06662</v>
      </c>
      <c r="AE55" s="2">
        <f>MAX(0,AD55*(1+Forecast!$B26))</f>
        <v>134354689282.80742</v>
      </c>
      <c r="AF55" s="2">
        <f>MAX(0,AE55*(1+Forecast!$B26))</f>
        <v>127905664197.23265</v>
      </c>
      <c r="AG55" s="2">
        <f>MAX(0,AF55*(1+Forecast!$B26))</f>
        <v>121766192315.76547</v>
      </c>
    </row>
    <row r="56" spans="1:33" x14ac:dyDescent="0.3">
      <c r="A56" s="16" t="s">
        <v>7</v>
      </c>
      <c r="B56" s="2">
        <f>INDEX(SYCEU!$B$2:$G$11, MATCH($A56, SYCEU!$A$2:$A$11, 0), MATCH(Commercial_calculation!$A$51, SYCEU!$B$1:$G$1, 0))</f>
        <v>0</v>
      </c>
      <c r="C56" s="2">
        <f>INDEX('2020'!$B$2:$G$11, MATCH($A56, '2020'!$A$2:$A$11, 0), MATCH(Commercial_calculation!$A$51, '2020'!$B$1:$G$1, 0))</f>
        <v>0</v>
      </c>
      <c r="D56" s="2">
        <f>INDEX('2021'!$B$2:$G$11, MATCH($A56, '2021'!$A$2:$A$11, 0), MATCH(Commercial_calculation!$A$51, '2021'!$B$1:$G$1, 0))</f>
        <v>0</v>
      </c>
      <c r="E56" s="2">
        <f>MAX(0,D56*(1+Forecast!$B27))</f>
        <v>0</v>
      </c>
      <c r="F56" s="2">
        <f>MAX(0,E56*(1+Forecast!$B27))</f>
        <v>0</v>
      </c>
      <c r="G56" s="2">
        <f>MAX(0,F56*(1+Forecast!$B27))</f>
        <v>0</v>
      </c>
      <c r="H56" s="2">
        <f>MAX(0,G56*(1+Forecast!$B27))</f>
        <v>0</v>
      </c>
      <c r="I56" s="2">
        <f>MAX(0,H56*(1+Forecast!$B27))</f>
        <v>0</v>
      </c>
      <c r="J56" s="2">
        <f>MAX(0,I56*(1+Forecast!$B27))</f>
        <v>0</v>
      </c>
      <c r="K56" s="2">
        <f>MAX(0,J56*(1+Forecast!$B27))</f>
        <v>0</v>
      </c>
      <c r="L56" s="2">
        <f>MAX(0,K56*(1+Forecast!$B27))</f>
        <v>0</v>
      </c>
      <c r="M56" s="2">
        <f>MAX(0,L56*(1+Forecast!$B27))</f>
        <v>0</v>
      </c>
      <c r="N56" s="2">
        <f>MAX(0,M56*(1+Forecast!$B27))</f>
        <v>0</v>
      </c>
      <c r="O56" s="2">
        <f>MAX(0,N56*(1+Forecast!$B27))</f>
        <v>0</v>
      </c>
      <c r="P56" s="2">
        <f>MAX(0,O56*(1+Forecast!$B27))</f>
        <v>0</v>
      </c>
      <c r="Q56" s="2">
        <f>MAX(0,P56*(1+Forecast!$B27))</f>
        <v>0</v>
      </c>
      <c r="R56" s="2">
        <f>MAX(0,Q56*(1+Forecast!$B27))</f>
        <v>0</v>
      </c>
      <c r="S56" s="2">
        <f>MAX(0,R56*(1+Forecast!$B27))</f>
        <v>0</v>
      </c>
      <c r="T56" s="2">
        <f>MAX(0,S56*(1+Forecast!$B27))</f>
        <v>0</v>
      </c>
      <c r="U56" s="2">
        <f>MAX(0,T56*(1+Forecast!$B27))</f>
        <v>0</v>
      </c>
      <c r="V56" s="2">
        <f>MAX(0,U56*(1+Forecast!$B27))</f>
        <v>0</v>
      </c>
      <c r="W56" s="2">
        <f>MAX(0,V56*(1+Forecast!$B27))</f>
        <v>0</v>
      </c>
      <c r="X56" s="2">
        <f>MAX(0,W56*(1+Forecast!$B27))</f>
        <v>0</v>
      </c>
      <c r="Y56" s="2">
        <f>MAX(0,X56*(1+Forecast!$B27))</f>
        <v>0</v>
      </c>
      <c r="Z56" s="2">
        <f>MAX(0,Y56*(1+Forecast!$B27))</f>
        <v>0</v>
      </c>
      <c r="AA56" s="2">
        <f>MAX(0,Z56*(1+Forecast!$B27))</f>
        <v>0</v>
      </c>
      <c r="AB56" s="2">
        <f>MAX(0,AA56*(1+Forecast!$B27))</f>
        <v>0</v>
      </c>
      <c r="AC56" s="2">
        <f>MAX(0,AB56*(1+Forecast!$B27))</f>
        <v>0</v>
      </c>
      <c r="AD56" s="2">
        <f>MAX(0,AC56*(1+Forecast!$B27))</f>
        <v>0</v>
      </c>
      <c r="AE56" s="2">
        <f>MAX(0,AD56*(1+Forecast!$B27))</f>
        <v>0</v>
      </c>
      <c r="AF56" s="2">
        <f>MAX(0,AE56*(1+Forecast!$B27))</f>
        <v>0</v>
      </c>
      <c r="AG56" s="2">
        <f>MAX(0,AF56*(1+Forecast!$B27))</f>
        <v>0</v>
      </c>
    </row>
    <row r="57" spans="1:33" x14ac:dyDescent="0.3">
      <c r="A57" s="16" t="s">
        <v>11</v>
      </c>
      <c r="B57" s="2">
        <f>INDEX(SYCEU!$B$2:$G$11, MATCH($A57, SYCEU!$A$2:$A$11, 0), MATCH(Commercial_calculation!$A$51, SYCEU!$B$1:$G$1, 0))</f>
        <v>6660000000000</v>
      </c>
      <c r="C57" s="2">
        <f>INDEX('2020'!$B$2:$G$11, MATCH($A57, '2020'!$A$2:$A$11, 0), MATCH(Commercial_calculation!$A$51, '2020'!$B$1:$G$1, 0))</f>
        <v>7111874631853.7881</v>
      </c>
      <c r="D57" s="2">
        <f>INDEX('2021'!$B$2:$G$11, MATCH($A57, '2021'!$A$2:$A$11, 0), MATCH(Commercial_calculation!$A$51, '2021'!$B$1:$G$1, 0))</f>
        <v>7629101877806.791</v>
      </c>
      <c r="E57" s="2">
        <f>MAX(0,D57*(1+Forecast!$B28))</f>
        <v>7972411462308.0957</v>
      </c>
      <c r="F57" s="2">
        <f>MAX(0,E57*(1+Forecast!$B28))</f>
        <v>8331169978111.959</v>
      </c>
      <c r="G57" s="2">
        <f>MAX(0,F57*(1+Forecast!$B28))</f>
        <v>8706072627126.9961</v>
      </c>
      <c r="H57" s="2">
        <f>MAX(0,G57*(1+Forecast!$B28))</f>
        <v>9097845895347.7109</v>
      </c>
      <c r="I57" s="2">
        <f>MAX(0,H57*(1+Forecast!$B28))</f>
        <v>9507248960638.3574</v>
      </c>
      <c r="J57" s="2">
        <f>MAX(0,I57*(1+Forecast!$B28))</f>
        <v>9935075163867.082</v>
      </c>
      <c r="K57" s="2">
        <f>MAX(0,J57*(1+Forecast!$B28))</f>
        <v>10382153546241.1</v>
      </c>
      <c r="L57" s="2">
        <f>MAX(0,K57*(1+Forecast!$B28))</f>
        <v>10849350455821.949</v>
      </c>
      <c r="M57" s="2">
        <f>MAX(0,L57*(1+Forecast!$B28))</f>
        <v>11337571226333.936</v>
      </c>
      <c r="N57" s="2">
        <f>MAX(0,M57*(1+Forecast!$B28))</f>
        <v>11847761931518.961</v>
      </c>
      <c r="O57" s="2">
        <f>MAX(0,N57*(1+Forecast!$B28))</f>
        <v>12380911218437.313</v>
      </c>
      <c r="P57" s="2">
        <f>MAX(0,O57*(1+Forecast!$B28))</f>
        <v>12938052223266.99</v>
      </c>
      <c r="Q57" s="2">
        <f>MAX(0,P57*(1+Forecast!$B28))</f>
        <v>13520264573314.004</v>
      </c>
      <c r="R57" s="2">
        <f>MAX(0,Q57*(1+Forecast!$B28))</f>
        <v>14128676479113.133</v>
      </c>
      <c r="S57" s="2">
        <f>MAX(0,R57*(1+Forecast!$B28))</f>
        <v>14764466920673.223</v>
      </c>
      <c r="T57" s="2">
        <f>MAX(0,S57*(1+Forecast!$B28))</f>
        <v>15428867932103.518</v>
      </c>
      <c r="U57" s="2">
        <f>MAX(0,T57*(1+Forecast!$B28))</f>
        <v>16123166989048.174</v>
      </c>
      <c r="V57" s="2">
        <f>MAX(0,U57*(1+Forecast!$B28))</f>
        <v>16848709503555.34</v>
      </c>
      <c r="W57" s="2">
        <f>MAX(0,V57*(1+Forecast!$B28))</f>
        <v>17606901431215.328</v>
      </c>
      <c r="X57" s="2">
        <f>MAX(0,W57*(1+Forecast!$B28))</f>
        <v>18399211995620.016</v>
      </c>
      <c r="Y57" s="2">
        <f>MAX(0,X57*(1+Forecast!$B28))</f>
        <v>19227176535422.914</v>
      </c>
      <c r="Z57" s="2">
        <f>MAX(0,Y57*(1+Forecast!$B28))</f>
        <v>20092399479516.945</v>
      </c>
      <c r="AA57" s="2">
        <f>MAX(0,Z57*(1+Forecast!$B28))</f>
        <v>20996557456095.207</v>
      </c>
      <c r="AB57" s="2">
        <f>MAX(0,AA57*(1+Forecast!$B28))</f>
        <v>21941402541619.488</v>
      </c>
      <c r="AC57" s="2">
        <f>MAX(0,AB57*(1+Forecast!$B28))</f>
        <v>22928765655992.363</v>
      </c>
      <c r="AD57" s="2">
        <f>MAX(0,AC57*(1+Forecast!$B28))</f>
        <v>23960560110512.02</v>
      </c>
      <c r="AE57" s="2">
        <f>MAX(0,AD57*(1+Forecast!$B28))</f>
        <v>25038785315485.059</v>
      </c>
      <c r="AF57" s="2">
        <f>MAX(0,AE57*(1+Forecast!$B28))</f>
        <v>26165530654681.883</v>
      </c>
      <c r="AG57" s="2">
        <f>MAX(0,AF57*(1+Forecast!$B28))</f>
        <v>27342979534142.566</v>
      </c>
    </row>
    <row r="58" spans="1:33" x14ac:dyDescent="0.3">
      <c r="A58" s="16" t="s">
        <v>13</v>
      </c>
      <c r="B58" s="2">
        <f>INDEX(SYCEU!$B$2:$G$11, MATCH($A58, SYCEU!$A$2:$A$11, 0), MATCH(Commercial_calculation!$A$51, SYCEU!$B$1:$G$1, 0))</f>
        <v>3840000000000</v>
      </c>
      <c r="C58" s="2">
        <f>INDEX('2020'!$B$2:$G$11, MATCH($A58, '2020'!$A$2:$A$11, 0), MATCH(Commercial_calculation!$A$51, '2020'!$B$1:$G$1, 0))</f>
        <v>3605985250941.6631</v>
      </c>
      <c r="D58" s="2">
        <f>INDEX('2021'!$B$2:$G$11, MATCH($A58, '2021'!$A$2:$A$11, 0), MATCH(Commercial_calculation!$A$51, '2021'!$B$1:$G$1, 0))</f>
        <v>3549386249793.2939</v>
      </c>
      <c r="E58" s="2">
        <f>MAX(0,D58*(1+Forecast!$B29))</f>
        <v>3379015709803.2158</v>
      </c>
      <c r="F58" s="2">
        <f>MAX(0,E58*(1+Forecast!$B29))</f>
        <v>3216822955732.6611</v>
      </c>
      <c r="G58" s="2">
        <f>MAX(0,F58*(1+Forecast!$B29))</f>
        <v>3062415453857.4932</v>
      </c>
      <c r="H58" s="2">
        <f>MAX(0,G58*(1+Forecast!$B29))</f>
        <v>2915419512072.3335</v>
      </c>
      <c r="I58" s="2">
        <f>MAX(0,H58*(1+Forecast!$B29))</f>
        <v>2775479375492.8613</v>
      </c>
      <c r="J58" s="2">
        <f>MAX(0,I58*(1+Forecast!$B29))</f>
        <v>2642256365469.2041</v>
      </c>
      <c r="K58" s="2">
        <f>MAX(0,J58*(1+Forecast!$B29))</f>
        <v>2515428059926.6821</v>
      </c>
      <c r="L58" s="2">
        <f>MAX(0,K58*(1+Forecast!$B29))</f>
        <v>2394687513050.2012</v>
      </c>
      <c r="M58" s="2">
        <f>MAX(0,L58*(1+Forecast!$B29))</f>
        <v>2279742512423.7915</v>
      </c>
      <c r="N58" s="2">
        <f>MAX(0,M58*(1+Forecast!$B29))</f>
        <v>2170314871827.4495</v>
      </c>
      <c r="O58" s="2">
        <f>MAX(0,N58*(1+Forecast!$B29))</f>
        <v>2066139757979.7317</v>
      </c>
      <c r="P58" s="2">
        <f>MAX(0,O58*(1+Forecast!$B29))</f>
        <v>1966965049596.7046</v>
      </c>
      <c r="Q58" s="2">
        <f>MAX(0,P58*(1+Forecast!$B29))</f>
        <v>1872550727216.0627</v>
      </c>
      <c r="R58" s="2">
        <f>MAX(0,Q58*(1+Forecast!$B29))</f>
        <v>1782668292309.6917</v>
      </c>
      <c r="S58" s="2">
        <f>MAX(0,R58*(1+Forecast!$B29))</f>
        <v>1697100214278.8264</v>
      </c>
      <c r="T58" s="2">
        <f>MAX(0,S58*(1+Forecast!$B29))</f>
        <v>1615639403993.4426</v>
      </c>
      <c r="U58" s="2">
        <f>MAX(0,T58*(1+Forecast!$B29))</f>
        <v>1538088712601.7573</v>
      </c>
      <c r="V58" s="2">
        <f>MAX(0,U58*(1+Forecast!$B29))</f>
        <v>1464260454396.8728</v>
      </c>
      <c r="W58" s="2">
        <f>MAX(0,V58*(1+Forecast!$B29))</f>
        <v>1393975952585.8228</v>
      </c>
      <c r="X58" s="2">
        <f>MAX(0,W58*(1+Forecast!$B29))</f>
        <v>1327065106861.7031</v>
      </c>
      <c r="Y58" s="2">
        <f>MAX(0,X58*(1+Forecast!$B29))</f>
        <v>1263365981732.3413</v>
      </c>
      <c r="Z58" s="2">
        <f>MAX(0,Y58*(1+Forecast!$B29))</f>
        <v>1202724414609.189</v>
      </c>
      <c r="AA58" s="2">
        <f>MAX(0,Z58*(1+Forecast!$B29))</f>
        <v>1144993642707.9478</v>
      </c>
      <c r="AB58" s="2">
        <f>MAX(0,AA58*(1+Forecast!$B29))</f>
        <v>1090033947857.9662</v>
      </c>
      <c r="AC58" s="2">
        <f>MAX(0,AB58*(1+Forecast!$B29))</f>
        <v>1037712318360.7838</v>
      </c>
      <c r="AD58" s="2">
        <f>MAX(0,AC58*(1+Forecast!$B29))</f>
        <v>987902127079.46619</v>
      </c>
      <c r="AE58" s="2">
        <f>MAX(0,AD58*(1+Forecast!$B29))</f>
        <v>940482824979.65173</v>
      </c>
      <c r="AF58" s="2">
        <f>MAX(0,AE58*(1+Forecast!$B29))</f>
        <v>895339649380.62842</v>
      </c>
      <c r="AG58" s="2">
        <f>MAX(0,AF58*(1+Forecast!$B29))</f>
        <v>852363346210.35828</v>
      </c>
    </row>
    <row r="59" spans="1:33" x14ac:dyDescent="0.3">
      <c r="A59" s="16" t="s">
        <v>14</v>
      </c>
      <c r="B59" s="2">
        <f>INDEX(SYCEU!$B$2:$G$11, MATCH($A59, SYCEU!$A$2:$A$11, 0), MATCH(Commercial_calculation!$A$51, SYCEU!$B$1:$G$1, 0))</f>
        <v>318000000000</v>
      </c>
      <c r="C59" s="2">
        <f>INDEX('2020'!$B$2:$G$11, MATCH($A59, '2020'!$A$2:$A$11, 0), MATCH(Commercial_calculation!$A$51, '2020'!$B$1:$G$1, 0))</f>
        <v>298632318918.56433</v>
      </c>
      <c r="D59" s="2">
        <f>INDEX('2021'!$B$2:$G$11, MATCH($A59, '2021'!$A$2:$A$11, 0), MATCH(Commercial_calculation!$A$51, '2021'!$B$1:$G$1, 0))</f>
        <v>293945031038.7821</v>
      </c>
      <c r="E59" s="2">
        <f>MAX(0,D59*(1+Forecast!$B30))</f>
        <v>279835669548.92053</v>
      </c>
      <c r="F59" s="2">
        <f>MAX(0,E59*(1+Forecast!$B30))</f>
        <v>266403557410.57233</v>
      </c>
      <c r="G59" s="2">
        <f>MAX(0,F59*(1+Forecast!$B30))</f>
        <v>253616186654.86484</v>
      </c>
      <c r="H59" s="2">
        <f>MAX(0,G59*(1+Forecast!$B30))</f>
        <v>241442609695.4313</v>
      </c>
      <c r="I59" s="2">
        <f>MAX(0,H59*(1+Forecast!$B30))</f>
        <v>229853364430.0506</v>
      </c>
      <c r="J59" s="2">
        <f>MAX(0,I59*(1+Forecast!$B30))</f>
        <v>218820402937.40817</v>
      </c>
      <c r="K59" s="2">
        <f>MAX(0,J59*(1+Forecast!$B30))</f>
        <v>208317023596.41257</v>
      </c>
      <c r="L59" s="2">
        <f>MAX(0,K59*(1+Forecast!$B30))</f>
        <v>198317806463.78476</v>
      </c>
      <c r="M59" s="2">
        <f>MAX(0,L59*(1+Forecast!$B30))</f>
        <v>188798551753.52307</v>
      </c>
      <c r="N59" s="2">
        <f>MAX(0,M59*(1+Forecast!$B30))</f>
        <v>179736221269.35394</v>
      </c>
      <c r="O59" s="2">
        <f>MAX(0,N59*(1+Forecast!$B30))</f>
        <v>171108882648.42496</v>
      </c>
      <c r="P59" s="2">
        <f>MAX(0,O59*(1+Forecast!$B30))</f>
        <v>162895656281.30054</v>
      </c>
      <c r="Q59" s="2">
        <f>MAX(0,P59*(1+Forecast!$B30))</f>
        <v>155076664779.7981</v>
      </c>
      <c r="R59" s="2">
        <f>MAX(0,Q59*(1+Forecast!$B30))</f>
        <v>147632984870.36777</v>
      </c>
      <c r="S59" s="2">
        <f>MAX(0,R59*(1+Forecast!$B30))</f>
        <v>140546601596.59012</v>
      </c>
      <c r="T59" s="2">
        <f>MAX(0,S59*(1+Forecast!$B30))</f>
        <v>133800364719.95378</v>
      </c>
      <c r="U59" s="2">
        <f>MAX(0,T59*(1+Forecast!$B30))</f>
        <v>127377947213.396</v>
      </c>
      <c r="V59" s="2">
        <f>MAX(0,U59*(1+Forecast!$B30))</f>
        <v>121263805747.15298</v>
      </c>
      <c r="W59" s="2">
        <f>MAX(0,V59*(1+Forecast!$B30))</f>
        <v>115443143071.28964</v>
      </c>
      <c r="X59" s="2">
        <f>MAX(0,W59*(1+Forecast!$B30))</f>
        <v>109901872203.86774</v>
      </c>
      <c r="Y59" s="2">
        <f>MAX(0,X59*(1+Forecast!$B30))</f>
        <v>104626582338.08208</v>
      </c>
      <c r="Z59" s="2">
        <f>MAX(0,Y59*(1+Forecast!$B30))</f>
        <v>99604506385.854126</v>
      </c>
      <c r="AA59" s="2">
        <f>MAX(0,Z59*(1+Forecast!$B30))</f>
        <v>94823490079.33313</v>
      </c>
      <c r="AB59" s="2">
        <f>MAX(0,AA59*(1+Forecast!$B30))</f>
        <v>90271962555.525131</v>
      </c>
      <c r="AC59" s="2">
        <f>MAX(0,AB59*(1+Forecast!$B30))</f>
        <v>85938908352.859924</v>
      </c>
      <c r="AD59" s="2">
        <f>MAX(0,AC59*(1+Forecast!$B30))</f>
        <v>81813840751.922638</v>
      </c>
      <c r="AE59" s="2">
        <f>MAX(0,AD59*(1+Forecast!$B30))</f>
        <v>77886776395.830353</v>
      </c>
      <c r="AF59" s="2">
        <f>MAX(0,AE59*(1+Forecast!$B30))</f>
        <v>74148211128.83049</v>
      </c>
      <c r="AG59" s="2">
        <f>MAX(0,AF59*(1+Forecast!$B30))</f>
        <v>70589096994.646622</v>
      </c>
    </row>
    <row r="60" spans="1:33" x14ac:dyDescent="0.3">
      <c r="A60" s="16" t="s">
        <v>15</v>
      </c>
      <c r="B60" s="2">
        <f>INDEX(SYCEU!$B$2:$G$11, MATCH($A60, SYCEU!$A$2:$A$11, 0), MATCH(Commercial_calculation!$A$51, SYCEU!$B$1:$G$1, 0))</f>
        <v>60000000000000</v>
      </c>
      <c r="C60" s="2">
        <f>INDEX('2020'!$B$2:$G$11, MATCH($A60, '2020'!$A$2:$A$11, 0), MATCH(Commercial_calculation!$A$51, '2020'!$B$1:$G$1, 0))</f>
        <v>56307123732095.281</v>
      </c>
      <c r="D60" s="2">
        <f>INDEX('2021'!$B$2:$G$11, MATCH($A60, '2021'!$A$2:$A$11, 0), MATCH(Commercial_calculation!$A$51, '2021'!$B$1:$G$1, 0))</f>
        <v>55423335602362.352</v>
      </c>
      <c r="E60" s="2">
        <f>MAX(0,D60*(1+Forecast!$B31))</f>
        <v>52763015493448.953</v>
      </c>
      <c r="F60" s="2">
        <f>MAX(0,E60*(1+Forecast!$B31))</f>
        <v>50230390749763.398</v>
      </c>
      <c r="G60" s="2">
        <f>MAX(0,F60*(1+Forecast!$B31))</f>
        <v>47819331993774.75</v>
      </c>
      <c r="H60" s="2">
        <f>MAX(0,G60*(1+Forecast!$B31))</f>
        <v>45524004058073.563</v>
      </c>
      <c r="I60" s="2">
        <f>MAX(0,H60*(1+Forecast!$B31))</f>
        <v>43338851863286.031</v>
      </c>
      <c r="J60" s="2">
        <f>MAX(0,I60*(1+Forecast!$B31))</f>
        <v>41258586973848.297</v>
      </c>
      <c r="K60" s="2">
        <f>MAX(0,J60*(1+Forecast!$B31))</f>
        <v>39278174799103.578</v>
      </c>
      <c r="L60" s="2">
        <f>MAX(0,K60*(1+Forecast!$B31))</f>
        <v>37392822408746.602</v>
      </c>
      <c r="M60" s="2">
        <f>MAX(0,L60*(1+Forecast!$B31))</f>
        <v>35597966933126.766</v>
      </c>
      <c r="N60" s="2">
        <f>MAX(0,M60*(1+Forecast!$B31))</f>
        <v>33889264520336.68</v>
      </c>
      <c r="O60" s="2">
        <f>MAX(0,N60*(1+Forecast!$B31))</f>
        <v>32262579823360.52</v>
      </c>
      <c r="P60" s="2">
        <f>MAX(0,O60*(1+Forecast!$B31))</f>
        <v>30713975991839.215</v>
      </c>
      <c r="Q60" s="2">
        <f>MAX(0,P60*(1+Forecast!$B31))</f>
        <v>29239705144230.93</v>
      </c>
      <c r="R60" s="2">
        <f>MAX(0,Q60*(1+Forecast!$B31))</f>
        <v>27836199297307.844</v>
      </c>
      <c r="S60" s="2">
        <f>MAX(0,R60*(1+Forecast!$B31))</f>
        <v>26500061731037.066</v>
      </c>
      <c r="T60" s="2">
        <f>MAX(0,S60*(1+Forecast!$B31))</f>
        <v>25228058767947.285</v>
      </c>
      <c r="U60" s="2">
        <f>MAX(0,T60*(1+Forecast!$B31))</f>
        <v>24017111947085.813</v>
      </c>
      <c r="V60" s="2">
        <f>MAX(0,U60*(1+Forecast!$B31))</f>
        <v>22864290573625.691</v>
      </c>
      <c r="W60" s="2">
        <f>MAX(0,V60*(1+Forecast!$B31))</f>
        <v>21766804626091.656</v>
      </c>
      <c r="X60" s="2">
        <f>MAX(0,W60*(1+Forecast!$B31))</f>
        <v>20721998004039.254</v>
      </c>
      <c r="Y60" s="2">
        <f>MAX(0,X60*(1+Forecast!$B31))</f>
        <v>19727342099845.367</v>
      </c>
      <c r="Z60" s="2">
        <f>MAX(0,Y60*(1+Forecast!$B31))</f>
        <v>18780429679052.789</v>
      </c>
      <c r="AA60" s="2">
        <f>MAX(0,Z60*(1+Forecast!$B31))</f>
        <v>17878969054458.254</v>
      </c>
      <c r="AB60" s="2">
        <f>MAX(0,AA60*(1+Forecast!$B31))</f>
        <v>17020778539844.258</v>
      </c>
      <c r="AC60" s="2">
        <f>MAX(0,AB60*(1+Forecast!$B31))</f>
        <v>16203781169931.732</v>
      </c>
      <c r="AD60" s="2">
        <f>MAX(0,AC60*(1+Forecast!$B31))</f>
        <v>15425999673775.008</v>
      </c>
      <c r="AE60" s="2">
        <f>MAX(0,AD60*(1+Forecast!$B31))</f>
        <v>14685551689433.807</v>
      </c>
      <c r="AF60" s="2">
        <f>MAX(0,AE60*(1+Forecast!$B31))</f>
        <v>13980645208340.982</v>
      </c>
      <c r="AG60" s="2">
        <f>MAX(0,AF60*(1+Forecast!$B31))</f>
        <v>13309574238340.615</v>
      </c>
    </row>
    <row r="61" spans="1:33" x14ac:dyDescent="0.3">
      <c r="A61" s="16" t="s">
        <v>16</v>
      </c>
      <c r="B61" s="2">
        <f>INDEX(SYCEU!$B$2:$G$11, MATCH($A61, SYCEU!$A$2:$A$11, 0), MATCH(Commercial_calculation!$A$51, SYCEU!$B$1:$G$1, 0))</f>
        <v>0</v>
      </c>
      <c r="C61" s="2">
        <f>INDEX('2020'!$B$2:$G$11, MATCH($A61, '2020'!$A$2:$A$11, 0), MATCH(Commercial_calculation!$A$51, '2020'!$B$1:$G$1, 0))</f>
        <v>0</v>
      </c>
      <c r="D61" s="2">
        <f>INDEX('2021'!$B$2:$G$11, MATCH($A61, '2021'!$A$2:$A$11, 0), MATCH(Commercial_calculation!$A$51, '2021'!$B$1:$G$1, 0))</f>
        <v>0</v>
      </c>
      <c r="E61" s="2">
        <f>MAX(0,D61*(1+Forecast!$B32))</f>
        <v>0</v>
      </c>
      <c r="F61" s="2">
        <f>MAX(0,E61*(1+Forecast!$B32))</f>
        <v>0</v>
      </c>
      <c r="G61" s="2">
        <f>MAX(0,F61*(1+Forecast!$B32))</f>
        <v>0</v>
      </c>
      <c r="H61" s="2">
        <f>MAX(0,G61*(1+Forecast!$B32))</f>
        <v>0</v>
      </c>
      <c r="I61" s="2">
        <f>MAX(0,H61*(1+Forecast!$B32))</f>
        <v>0</v>
      </c>
      <c r="J61" s="2">
        <f>MAX(0,I61*(1+Forecast!$B32))</f>
        <v>0</v>
      </c>
      <c r="K61" s="2">
        <f>MAX(0,J61*(1+Forecast!$B32))</f>
        <v>0</v>
      </c>
      <c r="L61" s="2">
        <f>MAX(0,K61*(1+Forecast!$B32))</f>
        <v>0</v>
      </c>
      <c r="M61" s="2">
        <f>MAX(0,L61*(1+Forecast!$B32))</f>
        <v>0</v>
      </c>
      <c r="N61" s="2">
        <f>MAX(0,M61*(1+Forecast!$B32))</f>
        <v>0</v>
      </c>
      <c r="O61" s="2">
        <f>MAX(0,N61*(1+Forecast!$B32))</f>
        <v>0</v>
      </c>
      <c r="P61" s="2">
        <f>MAX(0,O61*(1+Forecast!$B32))</f>
        <v>0</v>
      </c>
      <c r="Q61" s="2">
        <f>MAX(0,P61*(1+Forecast!$B32))</f>
        <v>0</v>
      </c>
      <c r="R61" s="2">
        <f>MAX(0,Q61*(1+Forecast!$B32))</f>
        <v>0</v>
      </c>
      <c r="S61" s="2">
        <f>MAX(0,R61*(1+Forecast!$B32))</f>
        <v>0</v>
      </c>
      <c r="T61" s="2">
        <f>MAX(0,S61*(1+Forecast!$B32))</f>
        <v>0</v>
      </c>
      <c r="U61" s="2">
        <f>MAX(0,T61*(1+Forecast!$B32))</f>
        <v>0</v>
      </c>
      <c r="V61" s="2">
        <f>MAX(0,U61*(1+Forecast!$B32))</f>
        <v>0</v>
      </c>
      <c r="W61" s="2">
        <f>MAX(0,V61*(1+Forecast!$B32))</f>
        <v>0</v>
      </c>
      <c r="X61" s="2">
        <f>MAX(0,W61*(1+Forecast!$B32))</f>
        <v>0</v>
      </c>
      <c r="Y61" s="2">
        <f>MAX(0,X61*(1+Forecast!$B32))</f>
        <v>0</v>
      </c>
      <c r="Z61" s="2">
        <f>MAX(0,Y61*(1+Forecast!$B32))</f>
        <v>0</v>
      </c>
      <c r="AA61" s="2">
        <f>MAX(0,Z61*(1+Forecast!$B32))</f>
        <v>0</v>
      </c>
      <c r="AB61" s="2">
        <f>MAX(0,AA61*(1+Forecast!$B32))</f>
        <v>0</v>
      </c>
      <c r="AC61" s="2">
        <f>MAX(0,AB61*(1+Forecast!$B32))</f>
        <v>0</v>
      </c>
      <c r="AD61" s="2">
        <f>MAX(0,AC61*(1+Forecast!$B32))</f>
        <v>0</v>
      </c>
      <c r="AE61" s="2">
        <f>MAX(0,AD61*(1+Forecast!$B32))</f>
        <v>0</v>
      </c>
      <c r="AF61" s="2">
        <f>MAX(0,AE61*(1+Forecast!$B32))</f>
        <v>0</v>
      </c>
      <c r="AG61" s="2">
        <f>MAX(0,AF61*(1+Forecast!$B32))</f>
        <v>0</v>
      </c>
    </row>
    <row r="63" spans="1:33" x14ac:dyDescent="0.3">
      <c r="A63" s="16" t="s">
        <v>42</v>
      </c>
      <c r="B63" s="1">
        <v>2019</v>
      </c>
      <c r="C63" s="1">
        <v>2020</v>
      </c>
      <c r="D63" s="1">
        <v>2021</v>
      </c>
      <c r="E63" s="1">
        <v>2022</v>
      </c>
      <c r="F63" s="1">
        <v>2023</v>
      </c>
      <c r="G63" s="1">
        <v>2024</v>
      </c>
      <c r="H63" s="1">
        <v>2025</v>
      </c>
      <c r="I63" s="1">
        <v>2026</v>
      </c>
      <c r="J63" s="1">
        <v>2027</v>
      </c>
      <c r="K63" s="1">
        <v>2028</v>
      </c>
      <c r="L63" s="1">
        <v>2029</v>
      </c>
      <c r="M63" s="1">
        <v>2030</v>
      </c>
      <c r="N63" s="1">
        <v>2031</v>
      </c>
      <c r="O63" s="1">
        <v>2032</v>
      </c>
      <c r="P63" s="1">
        <v>2033</v>
      </c>
      <c r="Q63" s="1">
        <v>2034</v>
      </c>
      <c r="R63" s="1">
        <v>2035</v>
      </c>
      <c r="S63" s="1">
        <v>2036</v>
      </c>
      <c r="T63" s="1">
        <v>2037</v>
      </c>
      <c r="U63" s="1">
        <v>2038</v>
      </c>
      <c r="V63" s="1">
        <v>2039</v>
      </c>
      <c r="W63" s="1">
        <v>2040</v>
      </c>
      <c r="X63" s="1">
        <v>2041</v>
      </c>
      <c r="Y63" s="1">
        <v>2042</v>
      </c>
      <c r="Z63" s="1">
        <v>2043</v>
      </c>
      <c r="AA63" s="1">
        <v>2044</v>
      </c>
      <c r="AB63" s="1">
        <v>2045</v>
      </c>
      <c r="AC63" s="1">
        <v>2046</v>
      </c>
      <c r="AD63" s="1">
        <v>2047</v>
      </c>
      <c r="AE63" s="1">
        <v>2048</v>
      </c>
      <c r="AF63" s="1">
        <v>2049</v>
      </c>
      <c r="AG63" s="1">
        <v>2050</v>
      </c>
    </row>
    <row r="64" spans="1:33" x14ac:dyDescent="0.3">
      <c r="A64" s="16" t="s">
        <v>2</v>
      </c>
      <c r="B64" s="2">
        <f>INDEX(SYCEU!$B$2:$G$11, MATCH($A64, SYCEU!$A$2:$A$11, 0), MATCH(Commercial_calculation!$A$63, SYCEU!$B$1:$G$1, 0))</f>
        <v>68100000000000</v>
      </c>
      <c r="C64" s="2">
        <f>INDEX('2020'!$B$2:$G$11, MATCH($A64, '2020'!$A$2:$A$11, 0), MATCH(Commercial_calculation!$A$63, '2020'!$B$1:$G$1, 0))</f>
        <v>67518903420123.07</v>
      </c>
      <c r="D64" s="2">
        <f>INDEX('2021'!$B$2:$G$11, MATCH($A64, '2021'!$A$2:$A$11, 0), MATCH(Commercial_calculation!$A$63, '2021'!$B$1:$G$1, 0))</f>
        <v>68119493654016.609</v>
      </c>
      <c r="E64" s="2">
        <f>MAX(0,D64*(1+Forecast!$B23))</f>
        <v>68664449603248.742</v>
      </c>
      <c r="F64" s="2">
        <f>MAX(0,E64*(1+Forecast!$B23))</f>
        <v>69213765200074.734</v>
      </c>
      <c r="G64" s="2">
        <f>MAX(0,F64*(1+Forecast!$B23))</f>
        <v>69767475321675.336</v>
      </c>
      <c r="H64" s="2">
        <f>MAX(0,G64*(1+Forecast!$B23))</f>
        <v>70325615124248.742</v>
      </c>
      <c r="I64" s="2">
        <f>MAX(0,H64*(1+Forecast!$B23))</f>
        <v>70888220045242.734</v>
      </c>
      <c r="J64" s="2">
        <f>MAX(0,I64*(1+Forecast!$B23))</f>
        <v>71455325805604.672</v>
      </c>
      <c r="K64" s="2">
        <f>MAX(0,J64*(1+Forecast!$B23))</f>
        <v>72026968412049.516</v>
      </c>
      <c r="L64" s="2">
        <f>MAX(0,K64*(1+Forecast!$B23))</f>
        <v>72603184159345.906</v>
      </c>
      <c r="M64" s="2">
        <f>MAX(0,L64*(1+Forecast!$B23))</f>
        <v>73184009632620.672</v>
      </c>
      <c r="N64" s="2">
        <f>MAX(0,M64*(1+Forecast!$B23))</f>
        <v>73769481709681.641</v>
      </c>
      <c r="O64" s="2">
        <f>MAX(0,N64*(1+Forecast!$B23))</f>
        <v>74359637563359.094</v>
      </c>
      <c r="P64" s="2">
        <f>MAX(0,O64*(1+Forecast!$B23))</f>
        <v>74954514663865.969</v>
      </c>
      <c r="Q64" s="2">
        <f>MAX(0,P64*(1+Forecast!$B23))</f>
        <v>75554150781176.891</v>
      </c>
      <c r="R64" s="2">
        <f>MAX(0,Q64*(1+Forecast!$B23))</f>
        <v>76158583987426.313</v>
      </c>
      <c r="S64" s="2">
        <f>MAX(0,R64*(1+Forecast!$B23))</f>
        <v>76767852659325.719</v>
      </c>
      <c r="T64" s="2">
        <f>MAX(0,S64*(1+Forecast!$B23))</f>
        <v>77381995480600.328</v>
      </c>
      <c r="U64" s="2">
        <f>MAX(0,T64*(1+Forecast!$B23))</f>
        <v>78001051444445.125</v>
      </c>
      <c r="V64" s="2">
        <f>MAX(0,U64*(1+Forecast!$B23))</f>
        <v>78625059856000.688</v>
      </c>
      <c r="W64" s="2">
        <f>MAX(0,V64*(1+Forecast!$B23))</f>
        <v>79254060334848.688</v>
      </c>
      <c r="X64" s="2">
        <f>MAX(0,W64*(1+Forecast!$B23))</f>
        <v>79888092817527.484</v>
      </c>
      <c r="Y64" s="2">
        <f>MAX(0,X64*(1+Forecast!$B23))</f>
        <v>80527197560067.703</v>
      </c>
      <c r="Z64" s="2">
        <f>MAX(0,Y64*(1+Forecast!$B23))</f>
        <v>81171415140548.25</v>
      </c>
      <c r="AA64" s="2">
        <f>MAX(0,Z64*(1+Forecast!$B23))</f>
        <v>81820786461672.641</v>
      </c>
      <c r="AB64" s="2">
        <f>MAX(0,AA64*(1+Forecast!$B23))</f>
        <v>82475352753366.016</v>
      </c>
      <c r="AC64" s="2">
        <f>MAX(0,AB64*(1+Forecast!$B23))</f>
        <v>83135155575392.938</v>
      </c>
      <c r="AD64" s="2">
        <f>MAX(0,AC64*(1+Forecast!$B23))</f>
        <v>83800236819996.078</v>
      </c>
      <c r="AE64" s="2">
        <f>MAX(0,AD64*(1+Forecast!$B23))</f>
        <v>84470638714556.047</v>
      </c>
      <c r="AF64" s="2">
        <f>MAX(0,AE64*(1+Forecast!$B23))</f>
        <v>85146403824272.5</v>
      </c>
      <c r="AG64" s="2">
        <f>MAX(0,AF64*(1+Forecast!$B23))</f>
        <v>85827575054866.688</v>
      </c>
    </row>
    <row r="65" spans="1:33" x14ac:dyDescent="0.3">
      <c r="A65" s="16" t="s">
        <v>3</v>
      </c>
      <c r="B65" s="2">
        <f>INDEX(SYCEU!$B$2:$G$11, MATCH($A65, SYCEU!$A$2:$A$11, 0), MATCH(Commercial_calculation!$A$63, SYCEU!$B$1:$G$1, 0))</f>
        <v>0</v>
      </c>
      <c r="C65" s="2">
        <f>INDEX('2020'!$B$2:$G$11, MATCH($A65, '2020'!$A$2:$A$11, 0), MATCH(Commercial_calculation!$A$63, '2020'!$B$1:$G$1, 0))</f>
        <v>0</v>
      </c>
      <c r="D65" s="2">
        <f>INDEX('2021'!$B$2:$G$11, MATCH($A65, '2021'!$A$2:$A$11, 0), MATCH(Commercial_calculation!$A$63, '2021'!$B$1:$G$1, 0))</f>
        <v>0</v>
      </c>
      <c r="E65" s="2">
        <f>MAX(0,D65*(1+Forecast!$B24))</f>
        <v>0</v>
      </c>
      <c r="F65" s="2">
        <f>MAX(0,E65*(1+Forecast!$B24))</f>
        <v>0</v>
      </c>
      <c r="G65" s="2">
        <f>MAX(0,F65*(1+Forecast!$B24))</f>
        <v>0</v>
      </c>
      <c r="H65" s="2">
        <f>MAX(0,G65*(1+Forecast!$B24))</f>
        <v>0</v>
      </c>
      <c r="I65" s="2">
        <f>MAX(0,H65*(1+Forecast!$B24))</f>
        <v>0</v>
      </c>
      <c r="J65" s="2">
        <f>MAX(0,I65*(1+Forecast!$B24))</f>
        <v>0</v>
      </c>
      <c r="K65" s="2">
        <f>MAX(0,J65*(1+Forecast!$B24))</f>
        <v>0</v>
      </c>
      <c r="L65" s="2">
        <f>MAX(0,K65*(1+Forecast!$B24))</f>
        <v>0</v>
      </c>
      <c r="M65" s="2">
        <f>MAX(0,L65*(1+Forecast!$B24))</f>
        <v>0</v>
      </c>
      <c r="N65" s="2">
        <f>MAX(0,M65*(1+Forecast!$B24))</f>
        <v>0</v>
      </c>
      <c r="O65" s="2">
        <f>MAX(0,N65*(1+Forecast!$B24))</f>
        <v>0</v>
      </c>
      <c r="P65" s="2">
        <f>MAX(0,O65*(1+Forecast!$B24))</f>
        <v>0</v>
      </c>
      <c r="Q65" s="2">
        <f>MAX(0,P65*(1+Forecast!$B24))</f>
        <v>0</v>
      </c>
      <c r="R65" s="2">
        <f>MAX(0,Q65*(1+Forecast!$B24))</f>
        <v>0</v>
      </c>
      <c r="S65" s="2">
        <f>MAX(0,R65*(1+Forecast!$B24))</f>
        <v>0</v>
      </c>
      <c r="T65" s="2">
        <f>MAX(0,S65*(1+Forecast!$B24))</f>
        <v>0</v>
      </c>
      <c r="U65" s="2">
        <f>MAX(0,T65*(1+Forecast!$B24))</f>
        <v>0</v>
      </c>
      <c r="V65" s="2">
        <f>MAX(0,U65*(1+Forecast!$B24))</f>
        <v>0</v>
      </c>
      <c r="W65" s="2">
        <f>MAX(0,V65*(1+Forecast!$B24))</f>
        <v>0</v>
      </c>
      <c r="X65" s="2">
        <f>MAX(0,W65*(1+Forecast!$B24))</f>
        <v>0</v>
      </c>
      <c r="Y65" s="2">
        <f>MAX(0,X65*(1+Forecast!$B24))</f>
        <v>0</v>
      </c>
      <c r="Z65" s="2">
        <f>MAX(0,Y65*(1+Forecast!$B24))</f>
        <v>0</v>
      </c>
      <c r="AA65" s="2">
        <f>MAX(0,Z65*(1+Forecast!$B24))</f>
        <v>0</v>
      </c>
      <c r="AB65" s="2">
        <f>MAX(0,AA65*(1+Forecast!$B24))</f>
        <v>0</v>
      </c>
      <c r="AC65" s="2">
        <f>MAX(0,AB65*(1+Forecast!$B24))</f>
        <v>0</v>
      </c>
      <c r="AD65" s="2">
        <f>MAX(0,AC65*(1+Forecast!$B24))</f>
        <v>0</v>
      </c>
      <c r="AE65" s="2">
        <f>MAX(0,AD65*(1+Forecast!$B24))</f>
        <v>0</v>
      </c>
      <c r="AF65" s="2">
        <f>MAX(0,AE65*(1+Forecast!$B24))</f>
        <v>0</v>
      </c>
      <c r="AG65" s="2">
        <f>MAX(0,AF65*(1+Forecast!$B24))</f>
        <v>0</v>
      </c>
    </row>
    <row r="66" spans="1:33" x14ac:dyDescent="0.3">
      <c r="A66" s="16" t="s">
        <v>4</v>
      </c>
      <c r="B66" s="2">
        <f>INDEX(SYCEU!$B$2:$G$11, MATCH($A66, SYCEU!$A$2:$A$11, 0), MATCH(Commercial_calculation!$A$63, SYCEU!$B$1:$G$1, 0))</f>
        <v>0</v>
      </c>
      <c r="C66" s="2">
        <f>INDEX('2020'!$B$2:$G$11, MATCH($A66, '2020'!$A$2:$A$11, 0), MATCH(Commercial_calculation!$A$63, '2020'!$B$1:$G$1, 0))</f>
        <v>0</v>
      </c>
      <c r="D66" s="2">
        <f>INDEX('2021'!$B$2:$G$11, MATCH($A66, '2021'!$A$2:$A$11, 0), MATCH(Commercial_calculation!$A$63, '2021'!$B$1:$G$1, 0))</f>
        <v>0</v>
      </c>
      <c r="E66" s="2">
        <f>MAX(0,D66*(1+Forecast!$B25))</f>
        <v>0</v>
      </c>
      <c r="F66" s="2">
        <f>MAX(0,E66*(1+Forecast!$B25))</f>
        <v>0</v>
      </c>
      <c r="G66" s="2">
        <f>MAX(0,F66*(1+Forecast!$B25))</f>
        <v>0</v>
      </c>
      <c r="H66" s="2">
        <f>MAX(0,G66*(1+Forecast!$B25))</f>
        <v>0</v>
      </c>
      <c r="I66" s="2">
        <f>MAX(0,H66*(1+Forecast!$B25))</f>
        <v>0</v>
      </c>
      <c r="J66" s="2">
        <f>MAX(0,I66*(1+Forecast!$B25))</f>
        <v>0</v>
      </c>
      <c r="K66" s="2">
        <f>MAX(0,J66*(1+Forecast!$B25))</f>
        <v>0</v>
      </c>
      <c r="L66" s="2">
        <f>MAX(0,K66*(1+Forecast!$B25))</f>
        <v>0</v>
      </c>
      <c r="M66" s="2">
        <f>MAX(0,L66*(1+Forecast!$B25))</f>
        <v>0</v>
      </c>
      <c r="N66" s="2">
        <f>MAX(0,M66*(1+Forecast!$B25))</f>
        <v>0</v>
      </c>
      <c r="O66" s="2">
        <f>MAX(0,N66*(1+Forecast!$B25))</f>
        <v>0</v>
      </c>
      <c r="P66" s="2">
        <f>MAX(0,O66*(1+Forecast!$B25))</f>
        <v>0</v>
      </c>
      <c r="Q66" s="2">
        <f>MAX(0,P66*(1+Forecast!$B25))</f>
        <v>0</v>
      </c>
      <c r="R66" s="2">
        <f>MAX(0,Q66*(1+Forecast!$B25))</f>
        <v>0</v>
      </c>
      <c r="S66" s="2">
        <f>MAX(0,R66*(1+Forecast!$B25))</f>
        <v>0</v>
      </c>
      <c r="T66" s="2">
        <f>MAX(0,S66*(1+Forecast!$B25))</f>
        <v>0</v>
      </c>
      <c r="U66" s="2">
        <f>MAX(0,T66*(1+Forecast!$B25))</f>
        <v>0</v>
      </c>
      <c r="V66" s="2">
        <f>MAX(0,U66*(1+Forecast!$B25))</f>
        <v>0</v>
      </c>
      <c r="W66" s="2">
        <f>MAX(0,V66*(1+Forecast!$B25))</f>
        <v>0</v>
      </c>
      <c r="X66" s="2">
        <f>MAX(0,W66*(1+Forecast!$B25))</f>
        <v>0</v>
      </c>
      <c r="Y66" s="2">
        <f>MAX(0,X66*(1+Forecast!$B25))</f>
        <v>0</v>
      </c>
      <c r="Z66" s="2">
        <f>MAX(0,Y66*(1+Forecast!$B25))</f>
        <v>0</v>
      </c>
      <c r="AA66" s="2">
        <f>MAX(0,Z66*(1+Forecast!$B25))</f>
        <v>0</v>
      </c>
      <c r="AB66" s="2">
        <f>MAX(0,AA66*(1+Forecast!$B25))</f>
        <v>0</v>
      </c>
      <c r="AC66" s="2">
        <f>MAX(0,AB66*(1+Forecast!$B25))</f>
        <v>0</v>
      </c>
      <c r="AD66" s="2">
        <f>MAX(0,AC66*(1+Forecast!$B25))</f>
        <v>0</v>
      </c>
      <c r="AE66" s="2">
        <f>MAX(0,AD66*(1+Forecast!$B25))</f>
        <v>0</v>
      </c>
      <c r="AF66" s="2">
        <f>MAX(0,AE66*(1+Forecast!$B25))</f>
        <v>0</v>
      </c>
      <c r="AG66" s="2">
        <f>MAX(0,AF66*(1+Forecast!$B25))</f>
        <v>0</v>
      </c>
    </row>
    <row r="67" spans="1:33" x14ac:dyDescent="0.3">
      <c r="A67" s="16" t="s">
        <v>5</v>
      </c>
      <c r="B67" s="2">
        <f>INDEX(SYCEU!$B$2:$G$11, MATCH($A67, SYCEU!$A$2:$A$11, 0), MATCH(Commercial_calculation!$A$63, SYCEU!$B$1:$G$1, 0))</f>
        <v>0</v>
      </c>
      <c r="C67" s="2">
        <f>INDEX('2020'!$B$2:$G$11, MATCH($A67, '2020'!$A$2:$A$11, 0), MATCH(Commercial_calculation!$A$63, '2020'!$B$1:$G$1, 0))</f>
        <v>0</v>
      </c>
      <c r="D67" s="2">
        <f>INDEX('2021'!$B$2:$G$11, MATCH($A67, '2021'!$A$2:$A$11, 0), MATCH(Commercial_calculation!$A$63, '2021'!$B$1:$G$1, 0))</f>
        <v>0</v>
      </c>
      <c r="E67" s="2">
        <f>MAX(0,D67*(1+Forecast!$B26))</f>
        <v>0</v>
      </c>
      <c r="F67" s="2">
        <f>MAX(0,E67*(1+Forecast!$B26))</f>
        <v>0</v>
      </c>
      <c r="G67" s="2">
        <f>MAX(0,F67*(1+Forecast!$B26))</f>
        <v>0</v>
      </c>
      <c r="H67" s="2">
        <f>MAX(0,G67*(1+Forecast!$B26))</f>
        <v>0</v>
      </c>
      <c r="I67" s="2">
        <f>MAX(0,H67*(1+Forecast!$B26))</f>
        <v>0</v>
      </c>
      <c r="J67" s="2">
        <f>MAX(0,I67*(1+Forecast!$B26))</f>
        <v>0</v>
      </c>
      <c r="K67" s="2">
        <f>MAX(0,J67*(1+Forecast!$B26))</f>
        <v>0</v>
      </c>
      <c r="L67" s="2">
        <f>MAX(0,K67*(1+Forecast!$B26))</f>
        <v>0</v>
      </c>
      <c r="M67" s="2">
        <f>MAX(0,L67*(1+Forecast!$B26))</f>
        <v>0</v>
      </c>
      <c r="N67" s="2">
        <f>MAX(0,M67*(1+Forecast!$B26))</f>
        <v>0</v>
      </c>
      <c r="O67" s="2">
        <f>MAX(0,N67*(1+Forecast!$B26))</f>
        <v>0</v>
      </c>
      <c r="P67" s="2">
        <f>MAX(0,O67*(1+Forecast!$B26))</f>
        <v>0</v>
      </c>
      <c r="Q67" s="2">
        <f>MAX(0,P67*(1+Forecast!$B26))</f>
        <v>0</v>
      </c>
      <c r="R67" s="2">
        <f>MAX(0,Q67*(1+Forecast!$B26))</f>
        <v>0</v>
      </c>
      <c r="S67" s="2">
        <f>MAX(0,R67*(1+Forecast!$B26))</f>
        <v>0</v>
      </c>
      <c r="T67" s="2">
        <f>MAX(0,S67*(1+Forecast!$B26))</f>
        <v>0</v>
      </c>
      <c r="U67" s="2">
        <f>MAX(0,T67*(1+Forecast!$B26))</f>
        <v>0</v>
      </c>
      <c r="V67" s="2">
        <f>MAX(0,U67*(1+Forecast!$B26))</f>
        <v>0</v>
      </c>
      <c r="W67" s="2">
        <f>MAX(0,V67*(1+Forecast!$B26))</f>
        <v>0</v>
      </c>
      <c r="X67" s="2">
        <f>MAX(0,W67*(1+Forecast!$B26))</f>
        <v>0</v>
      </c>
      <c r="Y67" s="2">
        <f>MAX(0,X67*(1+Forecast!$B26))</f>
        <v>0</v>
      </c>
      <c r="Z67" s="2">
        <f>MAX(0,Y67*(1+Forecast!$B26))</f>
        <v>0</v>
      </c>
      <c r="AA67" s="2">
        <f>MAX(0,Z67*(1+Forecast!$B26))</f>
        <v>0</v>
      </c>
      <c r="AB67" s="2">
        <f>MAX(0,AA67*(1+Forecast!$B26))</f>
        <v>0</v>
      </c>
      <c r="AC67" s="2">
        <f>MAX(0,AB67*(1+Forecast!$B26))</f>
        <v>0</v>
      </c>
      <c r="AD67" s="2">
        <f>MAX(0,AC67*(1+Forecast!$B26))</f>
        <v>0</v>
      </c>
      <c r="AE67" s="2">
        <f>MAX(0,AD67*(1+Forecast!$B26))</f>
        <v>0</v>
      </c>
      <c r="AF67" s="2">
        <f>MAX(0,AE67*(1+Forecast!$B26))</f>
        <v>0</v>
      </c>
      <c r="AG67" s="2">
        <f>MAX(0,AF67*(1+Forecast!$B26))</f>
        <v>0</v>
      </c>
    </row>
    <row r="68" spans="1:33" x14ac:dyDescent="0.3">
      <c r="A68" s="16" t="s">
        <v>7</v>
      </c>
      <c r="B68" s="2">
        <f>INDEX(SYCEU!$B$2:$G$11, MATCH($A68, SYCEU!$A$2:$A$11, 0), MATCH(Commercial_calculation!$A$63, SYCEU!$B$1:$G$1, 0))</f>
        <v>0</v>
      </c>
      <c r="C68" s="2">
        <f>INDEX('2020'!$B$2:$G$11, MATCH($A68, '2020'!$A$2:$A$11, 0), MATCH(Commercial_calculation!$A$63, '2020'!$B$1:$G$1, 0))</f>
        <v>0</v>
      </c>
      <c r="D68" s="2">
        <f>INDEX('2021'!$B$2:$G$11, MATCH($A68, '2021'!$A$2:$A$11, 0), MATCH(Commercial_calculation!$A$63, '2021'!$B$1:$G$1, 0))</f>
        <v>0</v>
      </c>
      <c r="E68" s="2">
        <f>MAX(0,D68*(1+Forecast!$B27))</f>
        <v>0</v>
      </c>
      <c r="F68" s="2">
        <f>MAX(0,E68*(1+Forecast!$B27))</f>
        <v>0</v>
      </c>
      <c r="G68" s="2">
        <f>MAX(0,F68*(1+Forecast!$B27))</f>
        <v>0</v>
      </c>
      <c r="H68" s="2">
        <f>MAX(0,G68*(1+Forecast!$B27))</f>
        <v>0</v>
      </c>
      <c r="I68" s="2">
        <f>MAX(0,H68*(1+Forecast!$B27))</f>
        <v>0</v>
      </c>
      <c r="J68" s="2">
        <f>MAX(0,I68*(1+Forecast!$B27))</f>
        <v>0</v>
      </c>
      <c r="K68" s="2">
        <f>MAX(0,J68*(1+Forecast!$B27))</f>
        <v>0</v>
      </c>
      <c r="L68" s="2">
        <f>MAX(0,K68*(1+Forecast!$B27))</f>
        <v>0</v>
      </c>
      <c r="M68" s="2">
        <f>MAX(0,L68*(1+Forecast!$B27))</f>
        <v>0</v>
      </c>
      <c r="N68" s="2">
        <f>MAX(0,M68*(1+Forecast!$B27))</f>
        <v>0</v>
      </c>
      <c r="O68" s="2">
        <f>MAX(0,N68*(1+Forecast!$B27))</f>
        <v>0</v>
      </c>
      <c r="P68" s="2">
        <f>MAX(0,O68*(1+Forecast!$B27))</f>
        <v>0</v>
      </c>
      <c r="Q68" s="2">
        <f>MAX(0,P68*(1+Forecast!$B27))</f>
        <v>0</v>
      </c>
      <c r="R68" s="2">
        <f>MAX(0,Q68*(1+Forecast!$B27))</f>
        <v>0</v>
      </c>
      <c r="S68" s="2">
        <f>MAX(0,R68*(1+Forecast!$B27))</f>
        <v>0</v>
      </c>
      <c r="T68" s="2">
        <f>MAX(0,S68*(1+Forecast!$B27))</f>
        <v>0</v>
      </c>
      <c r="U68" s="2">
        <f>MAX(0,T68*(1+Forecast!$B27))</f>
        <v>0</v>
      </c>
      <c r="V68" s="2">
        <f>MAX(0,U68*(1+Forecast!$B27))</f>
        <v>0</v>
      </c>
      <c r="W68" s="2">
        <f>MAX(0,V68*(1+Forecast!$B27))</f>
        <v>0</v>
      </c>
      <c r="X68" s="2">
        <f>MAX(0,W68*(1+Forecast!$B27))</f>
        <v>0</v>
      </c>
      <c r="Y68" s="2">
        <f>MAX(0,X68*(1+Forecast!$B27))</f>
        <v>0</v>
      </c>
      <c r="Z68" s="2">
        <f>MAX(0,Y68*(1+Forecast!$B27))</f>
        <v>0</v>
      </c>
      <c r="AA68" s="2">
        <f>MAX(0,Z68*(1+Forecast!$B27))</f>
        <v>0</v>
      </c>
      <c r="AB68" s="2">
        <f>MAX(0,AA68*(1+Forecast!$B27))</f>
        <v>0</v>
      </c>
      <c r="AC68" s="2">
        <f>MAX(0,AB68*(1+Forecast!$B27))</f>
        <v>0</v>
      </c>
      <c r="AD68" s="2">
        <f>MAX(0,AC68*(1+Forecast!$B27))</f>
        <v>0</v>
      </c>
      <c r="AE68" s="2">
        <f>MAX(0,AD68*(1+Forecast!$B27))</f>
        <v>0</v>
      </c>
      <c r="AF68" s="2">
        <f>MAX(0,AE68*(1+Forecast!$B27))</f>
        <v>0</v>
      </c>
      <c r="AG68" s="2">
        <f>MAX(0,AF68*(1+Forecast!$B27))</f>
        <v>0</v>
      </c>
    </row>
    <row r="69" spans="1:33" x14ac:dyDescent="0.3">
      <c r="A69" s="16" t="s">
        <v>11</v>
      </c>
      <c r="B69" s="2">
        <f>INDEX(SYCEU!$B$2:$G$11, MATCH($A69, SYCEU!$A$2:$A$11, 0), MATCH(Commercial_calculation!$A$63, SYCEU!$B$1:$G$1, 0))</f>
        <v>139000000000</v>
      </c>
      <c r="C69" s="2">
        <f>INDEX('2020'!$B$2:$G$11, MATCH($A69, '2020'!$A$2:$A$11, 0), MATCH(Commercial_calculation!$A$63, '2020'!$B$1:$G$1, 0))</f>
        <v>148164054830.28726</v>
      </c>
      <c r="D69" s="2">
        <f>INDEX('2021'!$B$2:$G$11, MATCH($A69, '2021'!$A$2:$A$11, 0), MATCH(Commercial_calculation!$A$63, '2021'!$B$1:$G$1, 0))</f>
        <v>158939622454.30817</v>
      </c>
      <c r="E69" s="2">
        <f>MAX(0,D69*(1+Forecast!$B28))</f>
        <v>166091905464.75201</v>
      </c>
      <c r="F69" s="2">
        <f>MAX(0,E69*(1+Forecast!$B28))</f>
        <v>173566041210.66583</v>
      </c>
      <c r="G69" s="2">
        <f>MAX(0,F69*(1+Forecast!$B28))</f>
        <v>181376513065.14578</v>
      </c>
      <c r="H69" s="2">
        <f>MAX(0,G69*(1+Forecast!$B28))</f>
        <v>189538456153.07733</v>
      </c>
      <c r="I69" s="2">
        <f>MAX(0,H69*(1+Forecast!$B28))</f>
        <v>198067686679.96579</v>
      </c>
      <c r="J69" s="2">
        <f>MAX(0,I69*(1+Forecast!$B28))</f>
        <v>206980732580.56424</v>
      </c>
      <c r="K69" s="2">
        <f>MAX(0,J69*(1+Forecast!$B28))</f>
        <v>216294865546.68961</v>
      </c>
      <c r="L69" s="2">
        <f>MAX(0,K69*(1+Forecast!$B28))</f>
        <v>226028134496.29062</v>
      </c>
      <c r="M69" s="2">
        <f>MAX(0,L69*(1+Forecast!$B28))</f>
        <v>236199400548.62369</v>
      </c>
      <c r="N69" s="2">
        <f>MAX(0,M69*(1+Forecast!$B28))</f>
        <v>246828373573.31174</v>
      </c>
      <c r="O69" s="2">
        <f>MAX(0,N69*(1+Forecast!$B28))</f>
        <v>257935650384.11075</v>
      </c>
      <c r="P69" s="2">
        <f>MAX(0,O69*(1+Forecast!$B28))</f>
        <v>269542754651.39572</v>
      </c>
      <c r="Q69" s="2">
        <f>MAX(0,P69*(1+Forecast!$B28))</f>
        <v>281672178610.7085</v>
      </c>
      <c r="R69" s="2">
        <f>MAX(0,Q69*(1+Forecast!$B28))</f>
        <v>294347426648.19037</v>
      </c>
      <c r="S69" s="2">
        <f>MAX(0,R69*(1+Forecast!$B28))</f>
        <v>307593060847.35889</v>
      </c>
      <c r="T69" s="2">
        <f>MAX(0,S69*(1+Forecast!$B28))</f>
        <v>321434748585.48999</v>
      </c>
      <c r="U69" s="2">
        <f>MAX(0,T69*(1+Forecast!$B28))</f>
        <v>335899312271.83704</v>
      </c>
      <c r="V69" s="2">
        <f>MAX(0,U69*(1+Forecast!$B28))</f>
        <v>351014781324.0697</v>
      </c>
      <c r="W69" s="2">
        <f>MAX(0,V69*(1+Forecast!$B28))</f>
        <v>366810446483.65283</v>
      </c>
      <c r="X69" s="2">
        <f>MAX(0,W69*(1+Forecast!$B28))</f>
        <v>383316916575.41718</v>
      </c>
      <c r="Y69" s="2">
        <f>MAX(0,X69*(1+Forecast!$B28))</f>
        <v>400566177821.31091</v>
      </c>
      <c r="Z69" s="2">
        <f>MAX(0,Y69*(1+Forecast!$B28))</f>
        <v>418591655823.2699</v>
      </c>
      <c r="AA69" s="2">
        <f>MAX(0,Z69*(1+Forecast!$B28))</f>
        <v>437428280335.31702</v>
      </c>
      <c r="AB69" s="2">
        <f>MAX(0,AA69*(1+Forecast!$B28))</f>
        <v>457112552950.40625</v>
      </c>
      <c r="AC69" s="2">
        <f>MAX(0,AB69*(1+Forecast!$B28))</f>
        <v>477682617833.1745</v>
      </c>
      <c r="AD69" s="2">
        <f>MAX(0,AC69*(1+Forecast!$B28))</f>
        <v>499178335635.6673</v>
      </c>
      <c r="AE69" s="2">
        <f>MAX(0,AD69*(1+Forecast!$B28))</f>
        <v>521641360739.27228</v>
      </c>
      <c r="AF69" s="2">
        <f>MAX(0,AE69*(1+Forecast!$B28))</f>
        <v>545115221972.53949</v>
      </c>
      <c r="AG69" s="2">
        <f>MAX(0,AF69*(1+Forecast!$B28))</f>
        <v>569645406961.30371</v>
      </c>
    </row>
    <row r="70" spans="1:33" x14ac:dyDescent="0.3">
      <c r="A70" s="16" t="s">
        <v>13</v>
      </c>
      <c r="B70" s="2">
        <f>INDEX(SYCEU!$B$2:$G$11, MATCH($A70, SYCEU!$A$2:$A$11, 0), MATCH(Commercial_calculation!$A$63, SYCEU!$B$1:$G$1, 0))</f>
        <v>0</v>
      </c>
      <c r="C70" s="2">
        <f>INDEX('2020'!$B$2:$G$11, MATCH($A70, '2020'!$A$2:$A$11, 0), MATCH(Commercial_calculation!$A$63, '2020'!$B$1:$G$1, 0))</f>
        <v>0</v>
      </c>
      <c r="D70" s="2">
        <f>INDEX('2021'!$B$2:$G$11, MATCH($A70, '2021'!$A$2:$A$11, 0), MATCH(Commercial_calculation!$A$63, '2021'!$B$1:$G$1, 0))</f>
        <v>0</v>
      </c>
      <c r="E70" s="2">
        <f>MAX(0,D70*(1+Forecast!$B29))</f>
        <v>0</v>
      </c>
      <c r="F70" s="2">
        <f>MAX(0,E70*(1+Forecast!$B29))</f>
        <v>0</v>
      </c>
      <c r="G70" s="2">
        <f>MAX(0,F70*(1+Forecast!$B29))</f>
        <v>0</v>
      </c>
      <c r="H70" s="2">
        <f>MAX(0,G70*(1+Forecast!$B29))</f>
        <v>0</v>
      </c>
      <c r="I70" s="2">
        <f>MAX(0,H70*(1+Forecast!$B29))</f>
        <v>0</v>
      </c>
      <c r="J70" s="2">
        <f>MAX(0,I70*(1+Forecast!$B29))</f>
        <v>0</v>
      </c>
      <c r="K70" s="2">
        <f>MAX(0,J70*(1+Forecast!$B29))</f>
        <v>0</v>
      </c>
      <c r="L70" s="2">
        <f>MAX(0,K70*(1+Forecast!$B29))</f>
        <v>0</v>
      </c>
      <c r="M70" s="2">
        <f>MAX(0,L70*(1+Forecast!$B29))</f>
        <v>0</v>
      </c>
      <c r="N70" s="2">
        <f>MAX(0,M70*(1+Forecast!$B29))</f>
        <v>0</v>
      </c>
      <c r="O70" s="2">
        <f>MAX(0,N70*(1+Forecast!$B29))</f>
        <v>0</v>
      </c>
      <c r="P70" s="2">
        <f>MAX(0,O70*(1+Forecast!$B29))</f>
        <v>0</v>
      </c>
      <c r="Q70" s="2">
        <f>MAX(0,P70*(1+Forecast!$B29))</f>
        <v>0</v>
      </c>
      <c r="R70" s="2">
        <f>MAX(0,Q70*(1+Forecast!$B29))</f>
        <v>0</v>
      </c>
      <c r="S70" s="2">
        <f>MAX(0,R70*(1+Forecast!$B29))</f>
        <v>0</v>
      </c>
      <c r="T70" s="2">
        <f>MAX(0,S70*(1+Forecast!$B29))</f>
        <v>0</v>
      </c>
      <c r="U70" s="2">
        <f>MAX(0,T70*(1+Forecast!$B29))</f>
        <v>0</v>
      </c>
      <c r="V70" s="2">
        <f>MAX(0,U70*(1+Forecast!$B29))</f>
        <v>0</v>
      </c>
      <c r="W70" s="2">
        <f>MAX(0,V70*(1+Forecast!$B29))</f>
        <v>0</v>
      </c>
      <c r="X70" s="2">
        <f>MAX(0,W70*(1+Forecast!$B29))</f>
        <v>0</v>
      </c>
      <c r="Y70" s="2">
        <f>MAX(0,X70*(1+Forecast!$B29))</f>
        <v>0</v>
      </c>
      <c r="Z70" s="2">
        <f>MAX(0,Y70*(1+Forecast!$B29))</f>
        <v>0</v>
      </c>
      <c r="AA70" s="2">
        <f>MAX(0,Z70*(1+Forecast!$B29))</f>
        <v>0</v>
      </c>
      <c r="AB70" s="2">
        <f>MAX(0,AA70*(1+Forecast!$B29))</f>
        <v>0</v>
      </c>
      <c r="AC70" s="2">
        <f>MAX(0,AB70*(1+Forecast!$B29))</f>
        <v>0</v>
      </c>
      <c r="AD70" s="2">
        <f>MAX(0,AC70*(1+Forecast!$B29))</f>
        <v>0</v>
      </c>
      <c r="AE70" s="2">
        <f>MAX(0,AD70*(1+Forecast!$B29))</f>
        <v>0</v>
      </c>
      <c r="AF70" s="2">
        <f>MAX(0,AE70*(1+Forecast!$B29))</f>
        <v>0</v>
      </c>
      <c r="AG70" s="2">
        <f>MAX(0,AF70*(1+Forecast!$B29))</f>
        <v>0</v>
      </c>
    </row>
    <row r="71" spans="1:33" x14ac:dyDescent="0.3">
      <c r="A71" s="16" t="s">
        <v>14</v>
      </c>
      <c r="B71" s="2">
        <f>INDEX(SYCEU!$B$2:$G$11, MATCH($A71, SYCEU!$A$2:$A$11, 0), MATCH(Commercial_calculation!$A$63, SYCEU!$B$1:$G$1, 0))</f>
        <v>0</v>
      </c>
      <c r="C71" s="2">
        <f>INDEX('2020'!$B$2:$G$11, MATCH($A71, '2020'!$A$2:$A$11, 0), MATCH(Commercial_calculation!$A$63, '2020'!$B$1:$G$1, 0))</f>
        <v>0</v>
      </c>
      <c r="D71" s="2">
        <f>INDEX('2021'!$B$2:$G$11, MATCH($A71, '2021'!$A$2:$A$11, 0), MATCH(Commercial_calculation!$A$63, '2021'!$B$1:$G$1, 0))</f>
        <v>0</v>
      </c>
      <c r="E71" s="2">
        <f>MAX(0,D71*(1+Forecast!$B30))</f>
        <v>0</v>
      </c>
      <c r="F71" s="2">
        <f>MAX(0,E71*(1+Forecast!$B30))</f>
        <v>0</v>
      </c>
      <c r="G71" s="2">
        <f>MAX(0,F71*(1+Forecast!$B30))</f>
        <v>0</v>
      </c>
      <c r="H71" s="2">
        <f>MAX(0,G71*(1+Forecast!$B30))</f>
        <v>0</v>
      </c>
      <c r="I71" s="2">
        <f>MAX(0,H71*(1+Forecast!$B30))</f>
        <v>0</v>
      </c>
      <c r="J71" s="2">
        <f>MAX(0,I71*(1+Forecast!$B30))</f>
        <v>0</v>
      </c>
      <c r="K71" s="2">
        <f>MAX(0,J71*(1+Forecast!$B30))</f>
        <v>0</v>
      </c>
      <c r="L71" s="2">
        <f>MAX(0,K71*(1+Forecast!$B30))</f>
        <v>0</v>
      </c>
      <c r="M71" s="2">
        <f>MAX(0,L71*(1+Forecast!$B30))</f>
        <v>0</v>
      </c>
      <c r="N71" s="2">
        <f>MAX(0,M71*(1+Forecast!$B30))</f>
        <v>0</v>
      </c>
      <c r="O71" s="2">
        <f>MAX(0,N71*(1+Forecast!$B30))</f>
        <v>0</v>
      </c>
      <c r="P71" s="2">
        <f>MAX(0,O71*(1+Forecast!$B30))</f>
        <v>0</v>
      </c>
      <c r="Q71" s="2">
        <f>MAX(0,P71*(1+Forecast!$B30))</f>
        <v>0</v>
      </c>
      <c r="R71" s="2">
        <f>MAX(0,Q71*(1+Forecast!$B30))</f>
        <v>0</v>
      </c>
      <c r="S71" s="2">
        <f>MAX(0,R71*(1+Forecast!$B30))</f>
        <v>0</v>
      </c>
      <c r="T71" s="2">
        <f>MAX(0,S71*(1+Forecast!$B30))</f>
        <v>0</v>
      </c>
      <c r="U71" s="2">
        <f>MAX(0,T71*(1+Forecast!$B30))</f>
        <v>0</v>
      </c>
      <c r="V71" s="2">
        <f>MAX(0,U71*(1+Forecast!$B30))</f>
        <v>0</v>
      </c>
      <c r="W71" s="2">
        <f>MAX(0,V71*(1+Forecast!$B30))</f>
        <v>0</v>
      </c>
      <c r="X71" s="2">
        <f>MAX(0,W71*(1+Forecast!$B30))</f>
        <v>0</v>
      </c>
      <c r="Y71" s="2">
        <f>MAX(0,X71*(1+Forecast!$B30))</f>
        <v>0</v>
      </c>
      <c r="Z71" s="2">
        <f>MAX(0,Y71*(1+Forecast!$B30))</f>
        <v>0</v>
      </c>
      <c r="AA71" s="2">
        <f>MAX(0,Z71*(1+Forecast!$B30))</f>
        <v>0</v>
      </c>
      <c r="AB71" s="2">
        <f>MAX(0,AA71*(1+Forecast!$B30))</f>
        <v>0</v>
      </c>
      <c r="AC71" s="2">
        <f>MAX(0,AB71*(1+Forecast!$B30))</f>
        <v>0</v>
      </c>
      <c r="AD71" s="2">
        <f>MAX(0,AC71*(1+Forecast!$B30))</f>
        <v>0</v>
      </c>
      <c r="AE71" s="2">
        <f>MAX(0,AD71*(1+Forecast!$B30))</f>
        <v>0</v>
      </c>
      <c r="AF71" s="2">
        <f>MAX(0,AE71*(1+Forecast!$B30))</f>
        <v>0</v>
      </c>
      <c r="AG71" s="2">
        <f>MAX(0,AF71*(1+Forecast!$B30))</f>
        <v>0</v>
      </c>
    </row>
    <row r="72" spans="1:33" x14ac:dyDescent="0.3">
      <c r="A72" s="16" t="s">
        <v>15</v>
      </c>
      <c r="B72" s="2">
        <f>INDEX(SYCEU!$B$2:$G$11, MATCH($A72, SYCEU!$A$2:$A$11, 0), MATCH(Commercial_calculation!$A$63, SYCEU!$B$1:$G$1, 0))</f>
        <v>0</v>
      </c>
      <c r="C72" s="2">
        <f>INDEX('2020'!$B$2:$G$11, MATCH($A72, '2020'!$A$2:$A$11, 0), MATCH(Commercial_calculation!$A$63, '2020'!$B$1:$G$1, 0))</f>
        <v>0</v>
      </c>
      <c r="D72" s="2">
        <f>INDEX('2021'!$B$2:$G$11, MATCH($A72, '2021'!$A$2:$A$11, 0), MATCH(Commercial_calculation!$A$63, '2021'!$B$1:$G$1, 0))</f>
        <v>0</v>
      </c>
      <c r="E72" s="2">
        <f>MAX(0,D72*(1+Forecast!$B31))</f>
        <v>0</v>
      </c>
      <c r="F72" s="2">
        <f>MAX(0,E72*(1+Forecast!$B31))</f>
        <v>0</v>
      </c>
      <c r="G72" s="2">
        <f>MAX(0,F72*(1+Forecast!$B31))</f>
        <v>0</v>
      </c>
      <c r="H72" s="2">
        <f>MAX(0,G72*(1+Forecast!$B31))</f>
        <v>0</v>
      </c>
      <c r="I72" s="2">
        <f>MAX(0,H72*(1+Forecast!$B31))</f>
        <v>0</v>
      </c>
      <c r="J72" s="2">
        <f>MAX(0,I72*(1+Forecast!$B31))</f>
        <v>0</v>
      </c>
      <c r="K72" s="2">
        <f>MAX(0,J72*(1+Forecast!$B31))</f>
        <v>0</v>
      </c>
      <c r="L72" s="2">
        <f>MAX(0,K72*(1+Forecast!$B31))</f>
        <v>0</v>
      </c>
      <c r="M72" s="2">
        <f>MAX(0,L72*(1+Forecast!$B31))</f>
        <v>0</v>
      </c>
      <c r="N72" s="2">
        <f>MAX(0,M72*(1+Forecast!$B31))</f>
        <v>0</v>
      </c>
      <c r="O72" s="2">
        <f>MAX(0,N72*(1+Forecast!$B31))</f>
        <v>0</v>
      </c>
      <c r="P72" s="2">
        <f>MAX(0,O72*(1+Forecast!$B31))</f>
        <v>0</v>
      </c>
      <c r="Q72" s="2">
        <f>MAX(0,P72*(1+Forecast!$B31))</f>
        <v>0</v>
      </c>
      <c r="R72" s="2">
        <f>MAX(0,Q72*(1+Forecast!$B31))</f>
        <v>0</v>
      </c>
      <c r="S72" s="2">
        <f>MAX(0,R72*(1+Forecast!$B31))</f>
        <v>0</v>
      </c>
      <c r="T72" s="2">
        <f>MAX(0,S72*(1+Forecast!$B31))</f>
        <v>0</v>
      </c>
      <c r="U72" s="2">
        <f>MAX(0,T72*(1+Forecast!$B31))</f>
        <v>0</v>
      </c>
      <c r="V72" s="2">
        <f>MAX(0,U72*(1+Forecast!$B31))</f>
        <v>0</v>
      </c>
      <c r="W72" s="2">
        <f>MAX(0,V72*(1+Forecast!$B31))</f>
        <v>0</v>
      </c>
      <c r="X72" s="2">
        <f>MAX(0,W72*(1+Forecast!$B31))</f>
        <v>0</v>
      </c>
      <c r="Y72" s="2">
        <f>MAX(0,X72*(1+Forecast!$B31))</f>
        <v>0</v>
      </c>
      <c r="Z72" s="2">
        <f>MAX(0,Y72*(1+Forecast!$B31))</f>
        <v>0</v>
      </c>
      <c r="AA72" s="2">
        <f>MAX(0,Z72*(1+Forecast!$B31))</f>
        <v>0</v>
      </c>
      <c r="AB72" s="2">
        <f>MAX(0,AA72*(1+Forecast!$B31))</f>
        <v>0</v>
      </c>
      <c r="AC72" s="2">
        <f>MAX(0,AB72*(1+Forecast!$B31))</f>
        <v>0</v>
      </c>
      <c r="AD72" s="2">
        <f>MAX(0,AC72*(1+Forecast!$B31))</f>
        <v>0</v>
      </c>
      <c r="AE72" s="2">
        <f>MAX(0,AD72*(1+Forecast!$B31))</f>
        <v>0</v>
      </c>
      <c r="AF72" s="2">
        <f>MAX(0,AE72*(1+Forecast!$B31))</f>
        <v>0</v>
      </c>
      <c r="AG72" s="2">
        <f>MAX(0,AF72*(1+Forecast!$B31))</f>
        <v>0</v>
      </c>
    </row>
    <row r="73" spans="1:33" x14ac:dyDescent="0.3">
      <c r="A73" s="16" t="s">
        <v>16</v>
      </c>
      <c r="B73" s="2">
        <f>INDEX(SYCEU!$B$2:$G$11, MATCH($A73, SYCEU!$A$2:$A$11, 0), MATCH(Commercial_calculation!$A$63, SYCEU!$B$1:$G$1, 0))</f>
        <v>0</v>
      </c>
      <c r="C73" s="2">
        <f>INDEX('2020'!$B$2:$G$11, MATCH($A73, '2020'!$A$2:$A$11, 0), MATCH(Commercial_calculation!$A$63, '2020'!$B$1:$G$1, 0))</f>
        <v>0</v>
      </c>
      <c r="D73" s="2">
        <f>INDEX('2021'!$B$2:$G$11, MATCH($A73, '2021'!$A$2:$A$11, 0), MATCH(Commercial_calculation!$A$63, '2021'!$B$1:$G$1, 0))</f>
        <v>0</v>
      </c>
      <c r="E73" s="2">
        <f>MAX(0,D73*(1+Forecast!$B32))</f>
        <v>0</v>
      </c>
      <c r="F73" s="2">
        <f>MAX(0,E73*(1+Forecast!$B32))</f>
        <v>0</v>
      </c>
      <c r="G73" s="2">
        <f>MAX(0,F73*(1+Forecast!$B32))</f>
        <v>0</v>
      </c>
      <c r="H73" s="2">
        <f>MAX(0,G73*(1+Forecast!$B32))</f>
        <v>0</v>
      </c>
      <c r="I73" s="2">
        <f>MAX(0,H73*(1+Forecast!$B32))</f>
        <v>0</v>
      </c>
      <c r="J73" s="2">
        <f>MAX(0,I73*(1+Forecast!$B32))</f>
        <v>0</v>
      </c>
      <c r="K73" s="2">
        <f>MAX(0,J73*(1+Forecast!$B32))</f>
        <v>0</v>
      </c>
      <c r="L73" s="2">
        <f>MAX(0,K73*(1+Forecast!$B32))</f>
        <v>0</v>
      </c>
      <c r="M73" s="2">
        <f>MAX(0,L73*(1+Forecast!$B32))</f>
        <v>0</v>
      </c>
      <c r="N73" s="2">
        <f>MAX(0,M73*(1+Forecast!$B32))</f>
        <v>0</v>
      </c>
      <c r="O73" s="2">
        <f>MAX(0,N73*(1+Forecast!$B32))</f>
        <v>0</v>
      </c>
      <c r="P73" s="2">
        <f>MAX(0,O73*(1+Forecast!$B32))</f>
        <v>0</v>
      </c>
      <c r="Q73" s="2">
        <f>MAX(0,P73*(1+Forecast!$B32))</f>
        <v>0</v>
      </c>
      <c r="R73" s="2">
        <f>MAX(0,Q73*(1+Forecast!$B32))</f>
        <v>0</v>
      </c>
      <c r="S73" s="2">
        <f>MAX(0,R73*(1+Forecast!$B32))</f>
        <v>0</v>
      </c>
      <c r="T73" s="2">
        <f>MAX(0,S73*(1+Forecast!$B32))</f>
        <v>0</v>
      </c>
      <c r="U73" s="2">
        <f>MAX(0,T73*(1+Forecast!$B32))</f>
        <v>0</v>
      </c>
      <c r="V73" s="2">
        <f>MAX(0,U73*(1+Forecast!$B32))</f>
        <v>0</v>
      </c>
      <c r="W73" s="2">
        <f>MAX(0,V73*(1+Forecast!$B32))</f>
        <v>0</v>
      </c>
      <c r="X73" s="2">
        <f>MAX(0,W73*(1+Forecast!$B32))</f>
        <v>0</v>
      </c>
      <c r="Y73" s="2">
        <f>MAX(0,X73*(1+Forecast!$B32))</f>
        <v>0</v>
      </c>
      <c r="Z73" s="2">
        <f>MAX(0,Y73*(1+Forecast!$B32))</f>
        <v>0</v>
      </c>
      <c r="AA73" s="2">
        <f>MAX(0,Z73*(1+Forecast!$B32))</f>
        <v>0</v>
      </c>
      <c r="AB73" s="2">
        <f>MAX(0,AA73*(1+Forecast!$B32))</f>
        <v>0</v>
      </c>
      <c r="AC73" s="2">
        <f>MAX(0,AB73*(1+Forecast!$B32))</f>
        <v>0</v>
      </c>
      <c r="AD73" s="2">
        <f>MAX(0,AC73*(1+Forecast!$B32))</f>
        <v>0</v>
      </c>
      <c r="AE73" s="2">
        <f>MAX(0,AD73*(1+Forecast!$B32))</f>
        <v>0</v>
      </c>
      <c r="AF73" s="2">
        <f>MAX(0,AE73*(1+Forecast!$B32))</f>
        <v>0</v>
      </c>
      <c r="AG73" s="2">
        <f>MAX(0,AF73*(1+Forecast!$B32))</f>
        <v>0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3D3D-1C43-4AD5-8A34-3CB6E2718E2E}">
  <dimension ref="A2:AG73"/>
  <sheetViews>
    <sheetView zoomScale="70" zoomScaleNormal="70" workbookViewId="0">
      <selection activeCell="G25" sqref="G25"/>
    </sheetView>
  </sheetViews>
  <sheetFormatPr defaultColWidth="8.75" defaultRowHeight="16.5" x14ac:dyDescent="0.3"/>
  <cols>
    <col min="1" max="1" width="30.25" bestFit="1" customWidth="1"/>
    <col min="5" max="33" width="14.25" bestFit="1" customWidth="1"/>
  </cols>
  <sheetData>
    <row r="2" spans="1:33" x14ac:dyDescent="0.3">
      <c r="A2" s="16" t="s">
        <v>44</v>
      </c>
    </row>
    <row r="3" spans="1:33" x14ac:dyDescent="0.3">
      <c r="A3" s="16" t="s">
        <v>37</v>
      </c>
      <c r="B3" s="1">
        <v>2019</v>
      </c>
      <c r="C3" s="1">
        <v>2020</v>
      </c>
      <c r="D3" s="1">
        <v>2021</v>
      </c>
      <c r="E3" s="1">
        <v>2022</v>
      </c>
      <c r="F3" s="1">
        <v>2023</v>
      </c>
      <c r="G3" s="1">
        <v>2024</v>
      </c>
      <c r="H3" s="1">
        <v>2025</v>
      </c>
      <c r="I3" s="1">
        <v>2026</v>
      </c>
      <c r="J3" s="1">
        <v>2027</v>
      </c>
      <c r="K3" s="1">
        <v>2028</v>
      </c>
      <c r="L3" s="1">
        <v>2029</v>
      </c>
      <c r="M3" s="1">
        <v>2030</v>
      </c>
      <c r="N3" s="1">
        <v>2031</v>
      </c>
      <c r="O3" s="1">
        <v>2032</v>
      </c>
      <c r="P3" s="1">
        <v>2033</v>
      </c>
      <c r="Q3" s="1">
        <v>2034</v>
      </c>
      <c r="R3" s="1">
        <v>2035</v>
      </c>
      <c r="S3" s="1">
        <v>2036</v>
      </c>
      <c r="T3" s="1">
        <v>2037</v>
      </c>
      <c r="U3" s="1">
        <v>2038</v>
      </c>
      <c r="V3" s="1">
        <v>2039</v>
      </c>
      <c r="W3" s="1">
        <v>2040</v>
      </c>
      <c r="X3" s="1">
        <v>2041</v>
      </c>
      <c r="Y3" s="1">
        <v>2042</v>
      </c>
      <c r="Z3" s="1">
        <v>2043</v>
      </c>
      <c r="AA3" s="1">
        <v>2044</v>
      </c>
      <c r="AB3" s="1">
        <v>2045</v>
      </c>
      <c r="AC3" s="1">
        <v>2046</v>
      </c>
      <c r="AD3" s="1">
        <v>2047</v>
      </c>
      <c r="AE3" s="1">
        <v>2048</v>
      </c>
      <c r="AF3" s="1">
        <v>2049</v>
      </c>
      <c r="AG3" s="1">
        <v>2050</v>
      </c>
    </row>
    <row r="4" spans="1:33" x14ac:dyDescent="0.3">
      <c r="A4" s="16" t="s">
        <v>2</v>
      </c>
      <c r="B4" s="2">
        <f>INDEX(SYCEU!$B$14:$G$23, MATCH($A4, SYCEU!$A$2:$A$11, 0), MATCH(Urban_res_calculation!$A$3, SYCEU!$B$1:$G$1, 0))</f>
        <v>16100000000000</v>
      </c>
      <c r="C4" s="2">
        <f>INDEX('2020'!$B$14:$G$23, MATCH($A4, '2020'!$A$2:$A$11, 0), MATCH(Urban_res_calculation!$A$3, '2020'!$B$1:$G$1, 0))</f>
        <v>16152737143772.865</v>
      </c>
      <c r="D4" s="2">
        <f>INDEX('2021'!$B$14:$G$23, MATCH($A4, '2021'!$A$2:$A$11, 0), MATCH(Urban_res_calculation!$A$3, '2021'!$B$1:$G$1, 0))</f>
        <v>17884694216042.055</v>
      </c>
      <c r="E4" s="2">
        <f>MAX(0, D4*(1+Forecast!$B3))</f>
        <v>17992002381338.309</v>
      </c>
      <c r="F4" s="2">
        <f>MAX(0, E4*(1+Forecast!$B3))</f>
        <v>18099954395626.34</v>
      </c>
      <c r="G4" s="2">
        <f>MAX(0, F4*(1+Forecast!$B3))</f>
        <v>18208554122000.098</v>
      </c>
      <c r="H4" s="2">
        <f>MAX(0, G4*(1+Forecast!$B3))</f>
        <v>18317805446732.098</v>
      </c>
      <c r="I4" s="2">
        <f>MAX(0, H4*(1+Forecast!$B3))</f>
        <v>18427712279412.492</v>
      </c>
      <c r="J4" s="2">
        <f>MAX(0, I4*(1+Forecast!$B3))</f>
        <v>18538278553088.969</v>
      </c>
      <c r="K4" s="2">
        <f>MAX(0, J4*(1+Forecast!$B3))</f>
        <v>18649508224407.504</v>
      </c>
      <c r="L4" s="2">
        <f>MAX(0, K4*(1+Forecast!$B3))</f>
        <v>18761405273753.949</v>
      </c>
      <c r="M4" s="2">
        <f>MAX(0, L4*(1+Forecast!$B3))</f>
        <v>18873973705396.473</v>
      </c>
      <c r="N4" s="2">
        <f>MAX(0, M4*(1+Forecast!$B3))</f>
        <v>18987217547628.852</v>
      </c>
      <c r="O4" s="2">
        <f>MAX(0, N4*(1+Forecast!$B3))</f>
        <v>19101140852914.625</v>
      </c>
      <c r="P4" s="2">
        <f>MAX(0, O4*(1+Forecast!$B3))</f>
        <v>19215747698032.113</v>
      </c>
      <c r="Q4" s="2">
        <f>MAX(0, P4*(1+Forecast!$B3))</f>
        <v>19331042184220.305</v>
      </c>
      <c r="R4" s="2">
        <f>MAX(0, Q4*(1+Forecast!$B3))</f>
        <v>19447028437325.625</v>
      </c>
      <c r="S4" s="2">
        <f>MAX(0, R4*(1+Forecast!$B3))</f>
        <v>19563710607949.578</v>
      </c>
      <c r="T4" s="2">
        <f>MAX(0, S4*(1+Forecast!$B3))</f>
        <v>19681092871597.277</v>
      </c>
      <c r="U4" s="2">
        <f>MAX(0, T4*(1+Forecast!$B3))</f>
        <v>19799179428826.859</v>
      </c>
      <c r="V4" s="2">
        <f>MAX(0, U4*(1+Forecast!$B3))</f>
        <v>19917974505399.82</v>
      </c>
      <c r="W4" s="2">
        <f>MAX(0, V4*(1+Forecast!$B3))</f>
        <v>20037482352432.219</v>
      </c>
      <c r="X4" s="2">
        <f>MAX(0, W4*(1+Forecast!$B3))</f>
        <v>20157707246546.813</v>
      </c>
      <c r="Y4" s="2">
        <f>MAX(0, X4*(1+Forecast!$B3))</f>
        <v>20278653490026.094</v>
      </c>
      <c r="Z4" s="2">
        <f>MAX(0, Y4*(1+Forecast!$B3))</f>
        <v>20400325410966.25</v>
      </c>
      <c r="AA4" s="2">
        <f>MAX(0, Z4*(1+Forecast!$B3))</f>
        <v>20522727363432.047</v>
      </c>
      <c r="AB4" s="2">
        <f>MAX(0, AA4*(1+Forecast!$B3))</f>
        <v>20645863727612.641</v>
      </c>
      <c r="AC4" s="2">
        <f>MAX(0, AB4*(1+Forecast!$B3))</f>
        <v>20769738909978.316</v>
      </c>
      <c r="AD4" s="2">
        <f>MAX(0, AC4*(1+Forecast!$B3))</f>
        <v>20894357343438.188</v>
      </c>
      <c r="AE4" s="2">
        <f>MAX(0, AD4*(1+Forecast!$B3))</f>
        <v>21019723487498.816</v>
      </c>
      <c r="AF4" s="2">
        <f>MAX(0, AE4*(1+Forecast!$B3))</f>
        <v>21145841828423.809</v>
      </c>
      <c r="AG4" s="2">
        <f>MAX(0, AF4*(1+Forecast!$B3))</f>
        <v>21272716879394.352</v>
      </c>
    </row>
    <row r="5" spans="1:33" x14ac:dyDescent="0.3">
      <c r="A5" s="16" t="s">
        <v>3</v>
      </c>
      <c r="B5" s="2">
        <f>INDEX(SYCEU!$B$14:$G$23, MATCH($A5, SYCEU!$A$2:$A$11, 0), MATCH(Urban_res_calculation!$A$3, SYCEU!$B$1:$G$1, 0))</f>
        <v>10800000000000</v>
      </c>
      <c r="C5" s="2">
        <f>INDEX('2020'!$B$14:$G$23, MATCH($A5, '2020'!$A$2:$A$11, 0), MATCH(Urban_res_calculation!$A$3, '2020'!$B$1:$G$1, 0))</f>
        <v>10491576710400.002</v>
      </c>
      <c r="D5" s="2">
        <f>INDEX('2021'!$B$14:$G$23, MATCH($A5, '2021'!$A$2:$A$11, 0), MATCH(Urban_res_calculation!$A$3, '2021'!$B$1:$G$1, 0))</f>
        <v>7212958988400</v>
      </c>
      <c r="E5" s="2">
        <f>MAX(0, D5*(1+Forecast!$B4))</f>
        <v>6304126155861.5996</v>
      </c>
      <c r="F5" s="2">
        <f>MAX(0, E5*(1+Forecast!$B4))</f>
        <v>5509806260223.0381</v>
      </c>
      <c r="G5" s="2">
        <f>MAX(0, F5*(1+Forecast!$B4))</f>
        <v>4815570671434.9355</v>
      </c>
      <c r="H5" s="2">
        <f>MAX(0, G5*(1+Forecast!$B4))</f>
        <v>4208808766834.1338</v>
      </c>
      <c r="I5" s="2">
        <f>MAX(0, H5*(1+Forecast!$B4))</f>
        <v>3678498862213.0327</v>
      </c>
      <c r="J5" s="2">
        <f>MAX(0, I5*(1+Forecast!$B4))</f>
        <v>3215008005574.1904</v>
      </c>
      <c r="K5" s="2">
        <f>MAX(0, J5*(1+Forecast!$B4))</f>
        <v>2809916996871.8423</v>
      </c>
      <c r="L5" s="2">
        <f>MAX(0, K5*(1+Forecast!$B4))</f>
        <v>2455867455265.9902</v>
      </c>
      <c r="M5" s="2">
        <f>MAX(0, L5*(1+Forecast!$B4))</f>
        <v>2146428155902.4753</v>
      </c>
      <c r="N5" s="2">
        <f>MAX(0, M5*(1+Forecast!$B4))</f>
        <v>1875978208258.7634</v>
      </c>
      <c r="O5" s="2">
        <f>MAX(0, N5*(1+Forecast!$B4))</f>
        <v>1639604954018.1592</v>
      </c>
      <c r="P5" s="2">
        <f>MAX(0, O5*(1+Forecast!$B4))</f>
        <v>1433014729811.8711</v>
      </c>
      <c r="Q5" s="2">
        <f>MAX(0, P5*(1+Forecast!$B4))</f>
        <v>1252454873855.5754</v>
      </c>
      <c r="R5" s="2">
        <f>MAX(0, Q5*(1+Forecast!$B4))</f>
        <v>1094645559749.7729</v>
      </c>
      <c r="S5" s="2">
        <f>MAX(0, R5*(1+Forecast!$B4))</f>
        <v>956720219221.30151</v>
      </c>
      <c r="T5" s="2">
        <f>MAX(0, S5*(1+Forecast!$B4))</f>
        <v>836173471599.41748</v>
      </c>
      <c r="U5" s="2">
        <f>MAX(0, T5*(1+Forecast!$B4))</f>
        <v>730815614177.89087</v>
      </c>
      <c r="V5" s="2">
        <f>MAX(0, U5*(1+Forecast!$B4))</f>
        <v>638732846791.47656</v>
      </c>
      <c r="W5" s="2">
        <f>MAX(0, V5*(1+Forecast!$B4))</f>
        <v>558252508095.75049</v>
      </c>
      <c r="X5" s="2">
        <f>MAX(0, W5*(1+Forecast!$B4))</f>
        <v>487912692075.68591</v>
      </c>
      <c r="Y5" s="2">
        <f>MAX(0, X5*(1+Forecast!$B4))</f>
        <v>426435692874.14948</v>
      </c>
      <c r="Z5" s="2">
        <f>MAX(0, Y5*(1+Forecast!$B4))</f>
        <v>372704795572.00665</v>
      </c>
      <c r="AA5" s="2">
        <f>MAX(0, Z5*(1+Forecast!$B4))</f>
        <v>325743991329.93384</v>
      </c>
      <c r="AB5" s="2">
        <f>MAX(0, AA5*(1+Forecast!$B4))</f>
        <v>284700248422.36218</v>
      </c>
      <c r="AC5" s="2">
        <f>MAX(0, AB5*(1+Forecast!$B4))</f>
        <v>248828017121.14456</v>
      </c>
      <c r="AD5" s="2">
        <f>MAX(0, AC5*(1+Forecast!$B4))</f>
        <v>217475686963.88034</v>
      </c>
      <c r="AE5" s="2">
        <f>MAX(0, AD5*(1+Forecast!$B4))</f>
        <v>190073750406.43143</v>
      </c>
      <c r="AF5" s="2">
        <f>MAX(0, AE5*(1+Forecast!$B4))</f>
        <v>166124457855.22107</v>
      </c>
      <c r="AG5" s="2">
        <f>MAX(0, AF5*(1+Forecast!$B4))</f>
        <v>145192776165.46323</v>
      </c>
    </row>
    <row r="6" spans="1:33" x14ac:dyDescent="0.3">
      <c r="A6" s="16" t="s">
        <v>4</v>
      </c>
      <c r="B6" s="2">
        <f>INDEX(SYCEU!$B$14:$G$23, MATCH($A6, SYCEU!$A$2:$A$11, 0), MATCH(Urban_res_calculation!$A$3, SYCEU!$B$1:$G$1, 0))</f>
        <v>322000000000000</v>
      </c>
      <c r="C6" s="2">
        <f>INDEX('2020'!$B$14:$G$23, MATCH($A6, '2020'!$A$2:$A$11, 0), MATCH(Urban_res_calculation!$A$3, '2020'!$B$1:$G$1, 0))</f>
        <v>311210457713401.94</v>
      </c>
      <c r="D6" s="2">
        <f>INDEX('2021'!$B$14:$G$23, MATCH($A6, '2021'!$A$2:$A$11, 0), MATCH(Urban_res_calculation!$A$3, '2021'!$B$1:$G$1, 0))</f>
        <v>326672624399992</v>
      </c>
      <c r="E6" s="2">
        <f>MAX(0, D6*(1+Forecast!$B5))</f>
        <v>324059243404792.06</v>
      </c>
      <c r="F6" s="2">
        <f>MAX(0, E6*(1+Forecast!$B5))</f>
        <v>321466769457553.75</v>
      </c>
      <c r="G6" s="2">
        <f>MAX(0, F6*(1+Forecast!$B5))</f>
        <v>318895035301893.31</v>
      </c>
      <c r="H6" s="2">
        <f>MAX(0, G6*(1+Forecast!$B5))</f>
        <v>316343875019478.19</v>
      </c>
      <c r="I6" s="2">
        <f>MAX(0, H6*(1+Forecast!$B5))</f>
        <v>313813124019322.38</v>
      </c>
      <c r="J6" s="2">
        <f>MAX(0, I6*(1+Forecast!$B5))</f>
        <v>311302619027167.81</v>
      </c>
      <c r="K6" s="2">
        <f>MAX(0, J6*(1+Forecast!$B5))</f>
        <v>308812198074950.44</v>
      </c>
      <c r="L6" s="2">
        <f>MAX(0, K6*(1+Forecast!$B5))</f>
        <v>306341700490350.81</v>
      </c>
      <c r="M6" s="2">
        <f>MAX(0, L6*(1+Forecast!$B5))</f>
        <v>303890966886428</v>
      </c>
      <c r="N6" s="2">
        <f>MAX(0, M6*(1+Forecast!$B5))</f>
        <v>301459839151336.56</v>
      </c>
      <c r="O6" s="2">
        <f>MAX(0, N6*(1+Forecast!$B5))</f>
        <v>299048160438125.88</v>
      </c>
      <c r="P6" s="2">
        <f>MAX(0, O6*(1+Forecast!$B5))</f>
        <v>296655775154620.88</v>
      </c>
      <c r="Q6" s="2">
        <f>MAX(0, P6*(1+Forecast!$B5))</f>
        <v>294282528953383.88</v>
      </c>
      <c r="R6" s="2">
        <f>MAX(0, Q6*(1+Forecast!$B5))</f>
        <v>291928268721756.81</v>
      </c>
      <c r="S6" s="2">
        <f>MAX(0, R6*(1+Forecast!$B5))</f>
        <v>289592842571982.75</v>
      </c>
      <c r="T6" s="2">
        <f>MAX(0, S6*(1+Forecast!$B5))</f>
        <v>287276099831406.88</v>
      </c>
      <c r="U6" s="2">
        <f>MAX(0, T6*(1+Forecast!$B5))</f>
        <v>284977891032755.63</v>
      </c>
      <c r="V6" s="2">
        <f>MAX(0, U6*(1+Forecast!$B5))</f>
        <v>282698067904493.56</v>
      </c>
      <c r="W6" s="2">
        <f>MAX(0, V6*(1+Forecast!$B5))</f>
        <v>280436483361257.63</v>
      </c>
      <c r="X6" s="2">
        <f>MAX(0, W6*(1+Forecast!$B5))</f>
        <v>278192991494367.56</v>
      </c>
      <c r="Y6" s="2">
        <f>MAX(0, X6*(1+Forecast!$B5))</f>
        <v>275967447562412.63</v>
      </c>
      <c r="Z6" s="2">
        <f>MAX(0, Y6*(1+Forecast!$B5))</f>
        <v>273759707981913.31</v>
      </c>
      <c r="AA6" s="2">
        <f>MAX(0, Z6*(1+Forecast!$B5))</f>
        <v>271569630318058</v>
      </c>
      <c r="AB6" s="2">
        <f>MAX(0, AA6*(1+Forecast!$B5))</f>
        <v>269397073275513.53</v>
      </c>
      <c r="AC6" s="2">
        <f>MAX(0, AB6*(1+Forecast!$B5))</f>
        <v>267241896689309.41</v>
      </c>
      <c r="AD6" s="2">
        <f>MAX(0, AC6*(1+Forecast!$B5))</f>
        <v>265103961515794.94</v>
      </c>
      <c r="AE6" s="2">
        <f>MAX(0, AD6*(1+Forecast!$B5))</f>
        <v>262983129823668.56</v>
      </c>
      <c r="AF6" s="2">
        <f>MAX(0, AE6*(1+Forecast!$B5))</f>
        <v>260879264785079.22</v>
      </c>
      <c r="AG6" s="2">
        <f>MAX(0, AF6*(1+Forecast!$B5))</f>
        <v>258792230666798.59</v>
      </c>
    </row>
    <row r="7" spans="1:33" x14ac:dyDescent="0.3">
      <c r="A7" s="16" t="s">
        <v>5</v>
      </c>
      <c r="B7" s="2">
        <f>INDEX(SYCEU!$B$14:$G$23, MATCH($A7, SYCEU!$A$2:$A$11, 0), MATCH(Urban_res_calculation!$A$3, SYCEU!$B$1:$G$1, 0))</f>
        <v>0</v>
      </c>
      <c r="C7" s="2">
        <f>INDEX('2020'!$B$14:$G$23, MATCH($A7, '2020'!$A$2:$A$11, 0), MATCH(Urban_res_calculation!$A$3, '2020'!$B$1:$G$1, 0))</f>
        <v>0</v>
      </c>
      <c r="D7" s="2">
        <f>INDEX('2021'!$B$14:$G$23, MATCH($A7, '2021'!$A$2:$A$11, 0), MATCH(Urban_res_calculation!$A$3, '2021'!$B$1:$G$1, 0))</f>
        <v>0</v>
      </c>
      <c r="E7" s="2">
        <f>MAX(0, D7*(1+Forecast!$B6))</f>
        <v>0</v>
      </c>
      <c r="F7" s="2">
        <f>MAX(0, E7*(1+Forecast!$B6))</f>
        <v>0</v>
      </c>
      <c r="G7" s="2">
        <f>MAX(0, F7*(1+Forecast!$B6))</f>
        <v>0</v>
      </c>
      <c r="H7" s="2">
        <f>MAX(0, G7*(1+Forecast!$B6))</f>
        <v>0</v>
      </c>
      <c r="I7" s="2">
        <f>MAX(0, H7*(1+Forecast!$B6))</f>
        <v>0</v>
      </c>
      <c r="J7" s="2">
        <f>MAX(0, I7*(1+Forecast!$B6))</f>
        <v>0</v>
      </c>
      <c r="K7" s="2">
        <f>MAX(0, J7*(1+Forecast!$B6))</f>
        <v>0</v>
      </c>
      <c r="L7" s="2">
        <f>MAX(0, K7*(1+Forecast!$B6))</f>
        <v>0</v>
      </c>
      <c r="M7" s="2">
        <f>MAX(0, L7*(1+Forecast!$B6))</f>
        <v>0</v>
      </c>
      <c r="N7" s="2">
        <f>MAX(0, M7*(1+Forecast!$B6))</f>
        <v>0</v>
      </c>
      <c r="O7" s="2">
        <f>MAX(0, N7*(1+Forecast!$B6))</f>
        <v>0</v>
      </c>
      <c r="P7" s="2">
        <f>MAX(0, O7*(1+Forecast!$B6))</f>
        <v>0</v>
      </c>
      <c r="Q7" s="2">
        <f>MAX(0, P7*(1+Forecast!$B6))</f>
        <v>0</v>
      </c>
      <c r="R7" s="2">
        <f>MAX(0, Q7*(1+Forecast!$B6))</f>
        <v>0</v>
      </c>
      <c r="S7" s="2">
        <f>MAX(0, R7*(1+Forecast!$B6))</f>
        <v>0</v>
      </c>
      <c r="T7" s="2">
        <f>MAX(0, S7*(1+Forecast!$B6))</f>
        <v>0</v>
      </c>
      <c r="U7" s="2">
        <f>MAX(0, T7*(1+Forecast!$B6))</f>
        <v>0</v>
      </c>
      <c r="V7" s="2">
        <f>MAX(0, U7*(1+Forecast!$B6))</f>
        <v>0</v>
      </c>
      <c r="W7" s="2">
        <f>MAX(0, V7*(1+Forecast!$B6))</f>
        <v>0</v>
      </c>
      <c r="X7" s="2">
        <f>MAX(0, W7*(1+Forecast!$B6))</f>
        <v>0</v>
      </c>
      <c r="Y7" s="2">
        <f>MAX(0, X7*(1+Forecast!$B6))</f>
        <v>0</v>
      </c>
      <c r="Z7" s="2">
        <f>MAX(0, Y7*(1+Forecast!$B6))</f>
        <v>0</v>
      </c>
      <c r="AA7" s="2">
        <f>MAX(0, Z7*(1+Forecast!$B6))</f>
        <v>0</v>
      </c>
      <c r="AB7" s="2">
        <f>MAX(0, AA7*(1+Forecast!$B6))</f>
        <v>0</v>
      </c>
      <c r="AC7" s="2">
        <f>MAX(0, AB7*(1+Forecast!$B6))</f>
        <v>0</v>
      </c>
      <c r="AD7" s="2">
        <f>MAX(0, AC7*(1+Forecast!$B6))</f>
        <v>0</v>
      </c>
      <c r="AE7" s="2">
        <f>MAX(0, AD7*(1+Forecast!$B6))</f>
        <v>0</v>
      </c>
      <c r="AF7" s="2">
        <f>MAX(0, AE7*(1+Forecast!$B6))</f>
        <v>0</v>
      </c>
      <c r="AG7" s="2">
        <f>MAX(0, AF7*(1+Forecast!$B6))</f>
        <v>0</v>
      </c>
    </row>
    <row r="8" spans="1:33" x14ac:dyDescent="0.3">
      <c r="A8" s="16" t="s">
        <v>7</v>
      </c>
      <c r="B8" s="2">
        <f>INDEX(SYCEU!$B$14:$G$23, MATCH($A8, SYCEU!$A$2:$A$11, 0), MATCH(Urban_res_calculation!$A$3, SYCEU!$B$1:$G$1, 0))</f>
        <v>82900000000000</v>
      </c>
      <c r="C8" s="2">
        <f>INDEX('2020'!$B$14:$G$23, MATCH($A8, '2020'!$A$2:$A$11, 0), MATCH(Urban_res_calculation!$A$3, '2020'!$B$1:$G$1, 0))</f>
        <v>79816126987800.016</v>
      </c>
      <c r="D8" s="2">
        <f>INDEX('2021'!$B$14:$G$23, MATCH($A8, '2021'!$A$2:$A$11, 0), MATCH(Urban_res_calculation!$A$3, '2021'!$B$1:$G$1, 0))</f>
        <v>87603886894891.609</v>
      </c>
      <c r="E8" s="2">
        <f>MAX(0, D8*(1+Forecast!$B7))</f>
        <v>87516283007996.719</v>
      </c>
      <c r="F8" s="2">
        <f>MAX(0, E8*(1+Forecast!$B7))</f>
        <v>87428766724988.719</v>
      </c>
      <c r="G8" s="2">
        <f>MAX(0, F8*(1+Forecast!$B7))</f>
        <v>87341337958263.734</v>
      </c>
      <c r="H8" s="2">
        <f>MAX(0, G8*(1+Forecast!$B7))</f>
        <v>87253996620305.469</v>
      </c>
      <c r="I8" s="2">
        <f>MAX(0, H8*(1+Forecast!$B7))</f>
        <v>87166742623685.156</v>
      </c>
      <c r="J8" s="2">
        <f>MAX(0, I8*(1+Forecast!$B7))</f>
        <v>87079575881061.469</v>
      </c>
      <c r="K8" s="2">
        <f>MAX(0, J8*(1+Forecast!$B7))</f>
        <v>86992496305180.406</v>
      </c>
      <c r="L8" s="2">
        <f>MAX(0, K8*(1+Forecast!$B7))</f>
        <v>86905503808875.219</v>
      </c>
      <c r="M8" s="2">
        <f>MAX(0, L8*(1+Forecast!$B7))</f>
        <v>86818598305066.344</v>
      </c>
      <c r="N8" s="2">
        <f>MAX(0, M8*(1+Forecast!$B7))</f>
        <v>86731779706761.281</v>
      </c>
      <c r="O8" s="2">
        <f>MAX(0, N8*(1+Forecast!$B7))</f>
        <v>86645047927054.516</v>
      </c>
      <c r="P8" s="2">
        <f>MAX(0, O8*(1+Forecast!$B7))</f>
        <v>86558402879127.469</v>
      </c>
      <c r="Q8" s="2">
        <f>MAX(0, P8*(1+Forecast!$B7))</f>
        <v>86471844476248.344</v>
      </c>
      <c r="R8" s="2">
        <f>MAX(0, Q8*(1+Forecast!$B7))</f>
        <v>86385372631772.094</v>
      </c>
      <c r="S8" s="2">
        <f>MAX(0, R8*(1+Forecast!$B7))</f>
        <v>86298987259140.328</v>
      </c>
      <c r="T8" s="2">
        <f>MAX(0, S8*(1+Forecast!$B7))</f>
        <v>86212688271881.188</v>
      </c>
      <c r="U8" s="2">
        <f>MAX(0, T8*(1+Forecast!$B7))</f>
        <v>86126475583609.313</v>
      </c>
      <c r="V8" s="2">
        <f>MAX(0, U8*(1+Forecast!$B7))</f>
        <v>86040349108025.703</v>
      </c>
      <c r="W8" s="2">
        <f>MAX(0, V8*(1+Forecast!$B7))</f>
        <v>85954308758917.672</v>
      </c>
      <c r="X8" s="2">
        <f>MAX(0, W8*(1+Forecast!$B7))</f>
        <v>85868354450158.75</v>
      </c>
      <c r="Y8" s="2">
        <f>MAX(0, X8*(1+Forecast!$B7))</f>
        <v>85782486095708.594</v>
      </c>
      <c r="Z8" s="2">
        <f>MAX(0, Y8*(1+Forecast!$B7))</f>
        <v>85696703609612.891</v>
      </c>
      <c r="AA8" s="2">
        <f>MAX(0, Z8*(1+Forecast!$B7))</f>
        <v>85611006906003.281</v>
      </c>
      <c r="AB8" s="2">
        <f>MAX(0, AA8*(1+Forecast!$B7))</f>
        <v>85525395899097.281</v>
      </c>
      <c r="AC8" s="2">
        <f>MAX(0, AB8*(1+Forecast!$B7))</f>
        <v>85439870503198.188</v>
      </c>
      <c r="AD8" s="2">
        <f>MAX(0, AC8*(1+Forecast!$B7))</f>
        <v>85354430632694.984</v>
      </c>
      <c r="AE8" s="2">
        <f>MAX(0, AD8*(1+Forecast!$B7))</f>
        <v>85269076202062.297</v>
      </c>
      <c r="AF8" s="2">
        <f>MAX(0, AE8*(1+Forecast!$B7))</f>
        <v>85183807125860.234</v>
      </c>
      <c r="AG8" s="2">
        <f>MAX(0, AF8*(1+Forecast!$B7))</f>
        <v>85098623318734.375</v>
      </c>
    </row>
    <row r="9" spans="1:33" x14ac:dyDescent="0.3">
      <c r="A9" s="16" t="s">
        <v>11</v>
      </c>
      <c r="B9" s="2">
        <f>INDEX(SYCEU!$B$14:$G$23, MATCH($A9, SYCEU!$A$2:$A$11, 0), MATCH(Urban_res_calculation!$A$3, SYCEU!$B$1:$G$1, 0))</f>
        <v>16300000000000</v>
      </c>
      <c r="C9" s="2">
        <f>INDEX('2020'!$B$14:$G$23, MATCH($A9, '2020'!$A$2:$A$11, 0), MATCH(Urban_res_calculation!$A$3, '2020'!$B$1:$G$1, 0))</f>
        <v>16720950382200</v>
      </c>
      <c r="D9" s="2">
        <f>INDEX('2021'!$B$14:$G$23, MATCH($A9, '2021'!$A$2:$A$11, 0), MATCH(Urban_res_calculation!$A$3, '2021'!$B$1:$G$1, 0))</f>
        <v>24431245585434.785</v>
      </c>
      <c r="E9" s="2">
        <f>MAX(0, D9*(1+Forecast!$B8))</f>
        <v>24577833058947.395</v>
      </c>
      <c r="F9" s="2">
        <f>MAX(0, E9*(1+Forecast!$B8))</f>
        <v>24725300057301.078</v>
      </c>
      <c r="G9" s="2">
        <f>MAX(0, F9*(1+Forecast!$B8))</f>
        <v>24873651857644.883</v>
      </c>
      <c r="H9" s="2">
        <f>MAX(0, G9*(1+Forecast!$B8))</f>
        <v>25022893768790.754</v>
      </c>
      <c r="I9" s="2">
        <f>MAX(0, H9*(1+Forecast!$B8))</f>
        <v>25173031131403.5</v>
      </c>
      <c r="J9" s="2">
        <f>MAX(0, I9*(1+Forecast!$B8))</f>
        <v>25324069318191.922</v>
      </c>
      <c r="K9" s="2">
        <f>MAX(0, J9*(1+Forecast!$B8))</f>
        <v>25476013734101.074</v>
      </c>
      <c r="L9" s="2">
        <f>MAX(0, K9*(1+Forecast!$B8))</f>
        <v>25628869816505.68</v>
      </c>
      <c r="M9" s="2">
        <f>MAX(0, L9*(1+Forecast!$B8))</f>
        <v>25782643035404.715</v>
      </c>
      <c r="N9" s="2">
        <f>MAX(0, M9*(1+Forecast!$B8))</f>
        <v>25937338893617.145</v>
      </c>
      <c r="O9" s="2">
        <f>MAX(0, N9*(1+Forecast!$B8))</f>
        <v>26092962926978.848</v>
      </c>
      <c r="P9" s="2">
        <f>MAX(0, O9*(1+Forecast!$B8))</f>
        <v>26249520704540.723</v>
      </c>
      <c r="Q9" s="2">
        <f>MAX(0, P9*(1+Forecast!$B8))</f>
        <v>26407017828767.969</v>
      </c>
      <c r="R9" s="2">
        <f>MAX(0, Q9*(1+Forecast!$B8))</f>
        <v>26565459935740.578</v>
      </c>
      <c r="S9" s="2">
        <f>MAX(0, R9*(1+Forecast!$B8))</f>
        <v>26724852695355.023</v>
      </c>
      <c r="T9" s="2">
        <f>MAX(0, S9*(1+Forecast!$B8))</f>
        <v>26885201811527.152</v>
      </c>
      <c r="U9" s="2">
        <f>MAX(0, T9*(1+Forecast!$B8))</f>
        <v>27046513022396.316</v>
      </c>
      <c r="V9" s="2">
        <f>MAX(0, U9*(1+Forecast!$B8))</f>
        <v>27208792100530.695</v>
      </c>
      <c r="W9" s="2">
        <f>MAX(0, V9*(1+Forecast!$B8))</f>
        <v>27372044853133.879</v>
      </c>
      <c r="X9" s="2">
        <f>MAX(0, W9*(1+Forecast!$B8))</f>
        <v>27536277122252.684</v>
      </c>
      <c r="Y9" s="2">
        <f>MAX(0, X9*(1+Forecast!$B8))</f>
        <v>27701494784986.199</v>
      </c>
      <c r="Z9" s="2">
        <f>MAX(0, Y9*(1+Forecast!$B8))</f>
        <v>27867703753696.117</v>
      </c>
      <c r="AA9" s="2">
        <f>MAX(0, Z9*(1+Forecast!$B8))</f>
        <v>28034909976218.293</v>
      </c>
      <c r="AB9" s="2">
        <f>MAX(0, AA9*(1+Forecast!$B8))</f>
        <v>28203119436075.602</v>
      </c>
      <c r="AC9" s="2">
        <f>MAX(0, AB9*(1+Forecast!$B8))</f>
        <v>28372338152692.055</v>
      </c>
      <c r="AD9" s="2">
        <f>MAX(0, AC9*(1+Forecast!$B8))</f>
        <v>28542572181608.207</v>
      </c>
      <c r="AE9" s="2">
        <f>MAX(0, AD9*(1+Forecast!$B8))</f>
        <v>28713827614697.855</v>
      </c>
      <c r="AF9" s="2">
        <f>MAX(0, AE9*(1+Forecast!$B8))</f>
        <v>28886110580386.043</v>
      </c>
      <c r="AG9" s="2">
        <f>MAX(0, AF9*(1+Forecast!$B8))</f>
        <v>29059427243868.359</v>
      </c>
    </row>
    <row r="10" spans="1:33" x14ac:dyDescent="0.3">
      <c r="A10" s="16" t="s">
        <v>13</v>
      </c>
      <c r="B10" s="2">
        <f>INDEX(SYCEU!$B$14:$G$23, MATCH($A10, SYCEU!$A$2:$A$11, 0), MATCH(Urban_res_calculation!$A$3, SYCEU!$B$1:$G$1, 0))</f>
        <v>0</v>
      </c>
      <c r="C10" s="2">
        <f>INDEX('2020'!$B$14:$G$23, MATCH($A10, '2020'!$A$2:$A$11, 0), MATCH(Urban_res_calculation!$A$3, '2020'!$B$1:$G$1, 0))</f>
        <v>0</v>
      </c>
      <c r="D10" s="2">
        <f>INDEX('2021'!$B$14:$G$23, MATCH($A10, '2021'!$A$2:$A$11, 0), MATCH(Urban_res_calculation!$A$3, '2021'!$B$1:$G$1, 0))</f>
        <v>0</v>
      </c>
      <c r="E10" s="2">
        <f>MAX(0, D10*(1+Forecast!$B9))</f>
        <v>0</v>
      </c>
      <c r="F10" s="2">
        <f>MAX(0, E10*(1+Forecast!$B9))</f>
        <v>0</v>
      </c>
      <c r="G10" s="2">
        <f>MAX(0, F10*(1+Forecast!$B9))</f>
        <v>0</v>
      </c>
      <c r="H10" s="2">
        <f>MAX(0, G10*(1+Forecast!$B9))</f>
        <v>0</v>
      </c>
      <c r="I10" s="2">
        <f>MAX(0, H10*(1+Forecast!$B9))</f>
        <v>0</v>
      </c>
      <c r="J10" s="2">
        <f>MAX(0, I10*(1+Forecast!$B9))</f>
        <v>0</v>
      </c>
      <c r="K10" s="2">
        <f>MAX(0, J10*(1+Forecast!$B9))</f>
        <v>0</v>
      </c>
      <c r="L10" s="2">
        <f>MAX(0, K10*(1+Forecast!$B9))</f>
        <v>0</v>
      </c>
      <c r="M10" s="2">
        <f>MAX(0, L10*(1+Forecast!$B9))</f>
        <v>0</v>
      </c>
      <c r="N10" s="2">
        <f>MAX(0, M10*(1+Forecast!$B9))</f>
        <v>0</v>
      </c>
      <c r="O10" s="2">
        <f>MAX(0, N10*(1+Forecast!$B9))</f>
        <v>0</v>
      </c>
      <c r="P10" s="2">
        <f>MAX(0, O10*(1+Forecast!$B9))</f>
        <v>0</v>
      </c>
      <c r="Q10" s="2">
        <f>MAX(0, P10*(1+Forecast!$B9))</f>
        <v>0</v>
      </c>
      <c r="R10" s="2">
        <f>MAX(0, Q10*(1+Forecast!$B9))</f>
        <v>0</v>
      </c>
      <c r="S10" s="2">
        <f>MAX(0, R10*(1+Forecast!$B9))</f>
        <v>0</v>
      </c>
      <c r="T10" s="2">
        <f>MAX(0, S10*(1+Forecast!$B9))</f>
        <v>0</v>
      </c>
      <c r="U10" s="2">
        <f>MAX(0, T10*(1+Forecast!$B9))</f>
        <v>0</v>
      </c>
      <c r="V10" s="2">
        <f>MAX(0, U10*(1+Forecast!$B9))</f>
        <v>0</v>
      </c>
      <c r="W10" s="2">
        <f>MAX(0, V10*(1+Forecast!$B9))</f>
        <v>0</v>
      </c>
      <c r="X10" s="2">
        <f>MAX(0, W10*(1+Forecast!$B9))</f>
        <v>0</v>
      </c>
      <c r="Y10" s="2">
        <f>MAX(0, X10*(1+Forecast!$B9))</f>
        <v>0</v>
      </c>
      <c r="Z10" s="2">
        <f>MAX(0, Y10*(1+Forecast!$B9))</f>
        <v>0</v>
      </c>
      <c r="AA10" s="2">
        <f>MAX(0, Z10*(1+Forecast!$B9))</f>
        <v>0</v>
      </c>
      <c r="AB10" s="2">
        <f>MAX(0, AA10*(1+Forecast!$B9))</f>
        <v>0</v>
      </c>
      <c r="AC10" s="2">
        <f>MAX(0, AB10*(1+Forecast!$B9))</f>
        <v>0</v>
      </c>
      <c r="AD10" s="2">
        <f>MAX(0, AC10*(1+Forecast!$B9))</f>
        <v>0</v>
      </c>
      <c r="AE10" s="2">
        <f>MAX(0, AD10*(1+Forecast!$B9))</f>
        <v>0</v>
      </c>
      <c r="AF10" s="2">
        <f>MAX(0, AE10*(1+Forecast!$B9))</f>
        <v>0</v>
      </c>
      <c r="AG10" s="2">
        <f>MAX(0, AF10*(1+Forecast!$B9))</f>
        <v>0</v>
      </c>
    </row>
    <row r="11" spans="1:33" x14ac:dyDescent="0.3">
      <c r="A11" s="16" t="s">
        <v>14</v>
      </c>
      <c r="B11" s="2">
        <f>INDEX(SYCEU!$B$14:$G$23, MATCH($A11, SYCEU!$A$2:$A$11, 0), MATCH(Urban_res_calculation!$A$3, SYCEU!$B$1:$G$1, 0))</f>
        <v>85200000000000</v>
      </c>
      <c r="C11" s="2">
        <f>INDEX('2020'!$B$14:$G$23, MATCH($A11, '2020'!$A$2:$A$11, 0), MATCH(Urban_res_calculation!$A$3, '2020'!$B$1:$G$1, 0))</f>
        <v>80367512748743.031</v>
      </c>
      <c r="D11" s="2">
        <f>INDEX('2021'!$B$14:$G$23, MATCH($A11, '2021'!$A$2:$A$11, 0), MATCH(Urban_res_calculation!$A$3, '2021'!$B$1:$G$1, 0))</f>
        <v>80221284272225.891</v>
      </c>
      <c r="E11" s="2">
        <f>MAX(0, D11*(1+Forecast!$B10))</f>
        <v>76851990332792.406</v>
      </c>
      <c r="F11" s="2">
        <f>MAX(0, E11*(1+Forecast!$B10))</f>
        <v>73624206738815.125</v>
      </c>
      <c r="G11" s="2">
        <f>MAX(0, F11*(1+Forecast!$B10))</f>
        <v>70531990055784.891</v>
      </c>
      <c r="H11" s="2">
        <f>MAX(0, G11*(1+Forecast!$B10))</f>
        <v>67569646473441.922</v>
      </c>
      <c r="I11" s="2">
        <f>MAX(0, H11*(1+Forecast!$B10))</f>
        <v>64731721321557.359</v>
      </c>
      <c r="J11" s="2">
        <f>MAX(0, I11*(1+Forecast!$B10))</f>
        <v>62012989026051.945</v>
      </c>
      <c r="K11" s="2">
        <f>MAX(0, J11*(1+Forecast!$B10))</f>
        <v>59408443486957.758</v>
      </c>
      <c r="L11" s="2">
        <f>MAX(0, K11*(1+Forecast!$B10))</f>
        <v>56913288860505.531</v>
      </c>
      <c r="M11" s="2">
        <f>MAX(0, L11*(1+Forecast!$B10))</f>
        <v>54522930728364.297</v>
      </c>
      <c r="N11" s="2">
        <f>MAX(0, M11*(1+Forecast!$B10))</f>
        <v>52232967637772.992</v>
      </c>
      <c r="O11" s="2">
        <f>MAX(0, N11*(1+Forecast!$B10))</f>
        <v>50039182996986.523</v>
      </c>
      <c r="P11" s="2">
        <f>MAX(0, O11*(1+Forecast!$B10))</f>
        <v>47937537311113.086</v>
      </c>
      <c r="Q11" s="2">
        <f>MAX(0, P11*(1+Forecast!$B10))</f>
        <v>45924160744046.336</v>
      </c>
      <c r="R11" s="2">
        <f>MAX(0, Q11*(1+Forecast!$B10))</f>
        <v>43995345992796.391</v>
      </c>
      <c r="S11" s="2">
        <f>MAX(0, R11*(1+Forecast!$B10))</f>
        <v>42147541461098.938</v>
      </c>
      <c r="T11" s="2">
        <f>MAX(0, S11*(1+Forecast!$B10))</f>
        <v>40377344719732.781</v>
      </c>
      <c r="U11" s="2">
        <f>MAX(0, T11*(1+Forecast!$B10))</f>
        <v>38681496241504</v>
      </c>
      <c r="V11" s="2">
        <f>MAX(0, U11*(1+Forecast!$B10))</f>
        <v>37056873399360.828</v>
      </c>
      <c r="W11" s="2">
        <f>MAX(0, V11*(1+Forecast!$B10))</f>
        <v>35500484716587.672</v>
      </c>
      <c r="X11" s="2">
        <f>MAX(0, W11*(1+Forecast!$B10))</f>
        <v>34009464358490.988</v>
      </c>
      <c r="Y11" s="2">
        <f>MAX(0, X11*(1+Forecast!$B10))</f>
        <v>32581066855434.367</v>
      </c>
      <c r="Z11" s="2">
        <f>MAX(0, Y11*(1+Forecast!$B10))</f>
        <v>31212662047506.121</v>
      </c>
      <c r="AA11" s="2">
        <f>MAX(0, Z11*(1+Forecast!$B10))</f>
        <v>29901730241510.863</v>
      </c>
      <c r="AB11" s="2">
        <f>MAX(0, AA11*(1+Forecast!$B10))</f>
        <v>28645857571367.406</v>
      </c>
      <c r="AC11" s="2">
        <f>MAX(0, AB11*(1+Forecast!$B10))</f>
        <v>27442731553369.973</v>
      </c>
      <c r="AD11" s="2">
        <f>MAX(0, AC11*(1+Forecast!$B10))</f>
        <v>26290136828128.434</v>
      </c>
      <c r="AE11" s="2">
        <f>MAX(0, AD11*(1+Forecast!$B10))</f>
        <v>25185951081347.039</v>
      </c>
      <c r="AF11" s="2">
        <f>MAX(0, AE11*(1+Forecast!$B10))</f>
        <v>24128141135930.461</v>
      </c>
      <c r="AG11" s="2">
        <f>MAX(0, AF11*(1+Forecast!$B10))</f>
        <v>23114759208221.379</v>
      </c>
    </row>
    <row r="12" spans="1:33" x14ac:dyDescent="0.3">
      <c r="A12" s="16" t="s">
        <v>15</v>
      </c>
      <c r="B12" s="2">
        <f>INDEX(SYCEU!$B$14:$G$23, MATCH($A12, SYCEU!$A$2:$A$11, 0), MATCH(Urban_res_calculation!$A$3, SYCEU!$B$1:$G$1, 0))</f>
        <v>21400000000000</v>
      </c>
      <c r="C12" s="2">
        <f>INDEX('2020'!$B$14:$G$23, MATCH($A12, '2020'!$A$2:$A$11, 0), MATCH(Urban_res_calculation!$A$3, '2020'!$B$1:$G$1, 0))</f>
        <v>20201251495655.078</v>
      </c>
      <c r="D12" s="2">
        <f>INDEX('2021'!$B$14:$G$23, MATCH($A12, '2021'!$A$2:$A$11, 0), MATCH(Urban_res_calculation!$A$3, '2021'!$B$1:$G$1, 0))</f>
        <v>20164495372080.805</v>
      </c>
      <c r="E12" s="2">
        <f>MAX(0, D12*(1+Forecast!$B11))</f>
        <v>19317586566453.41</v>
      </c>
      <c r="F12" s="2">
        <f>MAX(0, E12*(1+Forecast!$B11))</f>
        <v>18506247930662.367</v>
      </c>
      <c r="G12" s="2">
        <f>MAX(0, F12*(1+Forecast!$B11))</f>
        <v>17728985517574.547</v>
      </c>
      <c r="H12" s="2">
        <f>MAX(0, G12*(1+Forecast!$B11))</f>
        <v>16984368125836.416</v>
      </c>
      <c r="I12" s="2">
        <f>MAX(0, H12*(1+Forecast!$B11))</f>
        <v>16271024664551.285</v>
      </c>
      <c r="J12" s="2">
        <f>MAX(0, I12*(1+Forecast!$B11))</f>
        <v>15587641628640.131</v>
      </c>
      <c r="K12" s="2">
        <f>MAX(0, J12*(1+Forecast!$B11))</f>
        <v>14932960680237.244</v>
      </c>
      <c r="L12" s="2">
        <f>MAX(0, K12*(1+Forecast!$B11))</f>
        <v>14305776331667.279</v>
      </c>
      <c r="M12" s="2">
        <f>MAX(0, L12*(1+Forecast!$B11))</f>
        <v>13704933725737.254</v>
      </c>
      <c r="N12" s="2">
        <f>MAX(0, M12*(1+Forecast!$B11))</f>
        <v>13129326509256.289</v>
      </c>
      <c r="O12" s="2">
        <f>MAX(0, N12*(1+Forecast!$B11))</f>
        <v>12577894795867.525</v>
      </c>
      <c r="P12" s="2">
        <f>MAX(0, O12*(1+Forecast!$B11))</f>
        <v>12049623214441.088</v>
      </c>
      <c r="Q12" s="2">
        <f>MAX(0, P12*(1+Forecast!$B11))</f>
        <v>11543539039434.563</v>
      </c>
      <c r="R12" s="2">
        <f>MAX(0, Q12*(1+Forecast!$B11))</f>
        <v>11058710399778.311</v>
      </c>
      <c r="S12" s="2">
        <f>MAX(0, R12*(1+Forecast!$B11))</f>
        <v>10594244562987.621</v>
      </c>
      <c r="T12" s="2">
        <f>MAX(0, S12*(1+Forecast!$B11))</f>
        <v>10149286291342.141</v>
      </c>
      <c r="U12" s="2">
        <f>MAX(0, T12*(1+Forecast!$B11))</f>
        <v>9723016267105.7695</v>
      </c>
      <c r="V12" s="2">
        <f>MAX(0, U12*(1+Forecast!$B11))</f>
        <v>9314649583887.3262</v>
      </c>
      <c r="W12" s="2">
        <f>MAX(0, V12*(1+Forecast!$B11))</f>
        <v>8923434301364.0586</v>
      </c>
      <c r="X12" s="2">
        <f>MAX(0, W12*(1+Forecast!$B11))</f>
        <v>8548650060706.7676</v>
      </c>
      <c r="Y12" s="2">
        <f>MAX(0, X12*(1+Forecast!$B11))</f>
        <v>8189606758157.083</v>
      </c>
      <c r="Z12" s="2">
        <f>MAX(0, Y12*(1+Forecast!$B11))</f>
        <v>7845643274314.4854</v>
      </c>
      <c r="AA12" s="2">
        <f>MAX(0, Z12*(1+Forecast!$B11))</f>
        <v>7516126256793.2764</v>
      </c>
      <c r="AB12" s="2">
        <f>MAX(0, AA12*(1+Forecast!$B11))</f>
        <v>7200448954007.958</v>
      </c>
      <c r="AC12" s="2">
        <f>MAX(0, AB12*(1+Forecast!$B11))</f>
        <v>6898030097939.623</v>
      </c>
      <c r="AD12" s="2">
        <f>MAX(0, AC12*(1+Forecast!$B11))</f>
        <v>6608312833826.1582</v>
      </c>
      <c r="AE12" s="2">
        <f>MAX(0, AD12*(1+Forecast!$B11))</f>
        <v>6330763694805.459</v>
      </c>
      <c r="AF12" s="2">
        <f>MAX(0, AE12*(1+Forecast!$B11))</f>
        <v>6064871619623.6299</v>
      </c>
      <c r="AG12" s="2">
        <f>MAX(0, AF12*(1+Forecast!$B11))</f>
        <v>5810147011599.4375</v>
      </c>
    </row>
    <row r="13" spans="1:33" x14ac:dyDescent="0.3">
      <c r="A13" s="16" t="s">
        <v>16</v>
      </c>
      <c r="B13" s="2">
        <f>INDEX(SYCEU!$B$14:$G$23, MATCH($A13, SYCEU!$A$2:$A$11, 0), MATCH(Urban_res_calculation!$A$3, SYCEU!$B$1:$G$1, 0))</f>
        <v>0</v>
      </c>
      <c r="C13" s="2">
        <f>INDEX('2020'!$B$14:$G$23, MATCH($A13, '2020'!$A$2:$A$11, 0), MATCH(Urban_res_calculation!$A$3, '2020'!$B$1:$G$1, 0))</f>
        <v>0</v>
      </c>
      <c r="D13" s="2">
        <f>INDEX('2021'!$B$14:$G$23, MATCH($A13, '2021'!$A$2:$A$11, 0), MATCH(Urban_res_calculation!$A$3, '2021'!$B$1:$G$1, 0))</f>
        <v>0</v>
      </c>
      <c r="E13" s="2">
        <f>MAX(0, D13*(1+Forecast!$B12))</f>
        <v>0</v>
      </c>
      <c r="F13" s="2">
        <f>MAX(0, E13*(1+Forecast!$B12))</f>
        <v>0</v>
      </c>
      <c r="G13" s="2">
        <f>MAX(0, F13*(1+Forecast!$B12))</f>
        <v>0</v>
      </c>
      <c r="H13" s="2">
        <f>MAX(0, G13*(1+Forecast!$B12))</f>
        <v>0</v>
      </c>
      <c r="I13" s="2">
        <f>MAX(0, H13*(1+Forecast!$B12))</f>
        <v>0</v>
      </c>
      <c r="J13" s="2">
        <f>MAX(0, I13*(1+Forecast!$B12))</f>
        <v>0</v>
      </c>
      <c r="K13" s="2">
        <f>MAX(0, J13*(1+Forecast!$B12))</f>
        <v>0</v>
      </c>
      <c r="L13" s="2">
        <f>MAX(0, K13*(1+Forecast!$B12))</f>
        <v>0</v>
      </c>
      <c r="M13" s="2">
        <f>MAX(0, L13*(1+Forecast!$B12))</f>
        <v>0</v>
      </c>
      <c r="N13" s="2">
        <f>MAX(0, M13*(1+Forecast!$B12))</f>
        <v>0</v>
      </c>
      <c r="O13" s="2">
        <f>MAX(0, N13*(1+Forecast!$B12))</f>
        <v>0</v>
      </c>
      <c r="P13" s="2">
        <f>MAX(0, O13*(1+Forecast!$B12))</f>
        <v>0</v>
      </c>
      <c r="Q13" s="2">
        <f>MAX(0, P13*(1+Forecast!$B12))</f>
        <v>0</v>
      </c>
      <c r="R13" s="2">
        <f>MAX(0, Q13*(1+Forecast!$B12))</f>
        <v>0</v>
      </c>
      <c r="S13" s="2">
        <f>MAX(0, R13*(1+Forecast!$B12))</f>
        <v>0</v>
      </c>
      <c r="T13" s="2">
        <f>MAX(0, S13*(1+Forecast!$B12))</f>
        <v>0</v>
      </c>
      <c r="U13" s="2">
        <f>MAX(0, T13*(1+Forecast!$B12))</f>
        <v>0</v>
      </c>
      <c r="V13" s="2">
        <f>MAX(0, U13*(1+Forecast!$B12))</f>
        <v>0</v>
      </c>
      <c r="W13" s="2">
        <f>MAX(0, V13*(1+Forecast!$B12))</f>
        <v>0</v>
      </c>
      <c r="X13" s="2">
        <f>MAX(0, W13*(1+Forecast!$B12))</f>
        <v>0</v>
      </c>
      <c r="Y13" s="2">
        <f>MAX(0, X13*(1+Forecast!$B12))</f>
        <v>0</v>
      </c>
      <c r="Z13" s="2">
        <f>MAX(0, Y13*(1+Forecast!$B12))</f>
        <v>0</v>
      </c>
      <c r="AA13" s="2">
        <f>MAX(0, Z13*(1+Forecast!$B12))</f>
        <v>0</v>
      </c>
      <c r="AB13" s="2">
        <f>MAX(0, AA13*(1+Forecast!$B12))</f>
        <v>0</v>
      </c>
      <c r="AC13" s="2">
        <f>MAX(0, AB13*(1+Forecast!$B12))</f>
        <v>0</v>
      </c>
      <c r="AD13" s="2">
        <f>MAX(0, AC13*(1+Forecast!$B12))</f>
        <v>0</v>
      </c>
      <c r="AE13" s="2">
        <f>MAX(0, AD13*(1+Forecast!$B12))</f>
        <v>0</v>
      </c>
      <c r="AF13" s="2">
        <f>MAX(0, AE13*(1+Forecast!$B12))</f>
        <v>0</v>
      </c>
      <c r="AG13" s="2">
        <f>MAX(0, AF13*(1+Forecast!$B12))</f>
        <v>0</v>
      </c>
    </row>
    <row r="15" spans="1:33" x14ac:dyDescent="0.3">
      <c r="A15" s="16" t="s">
        <v>38</v>
      </c>
      <c r="B15" s="1">
        <v>2019</v>
      </c>
      <c r="C15" s="1">
        <v>2020</v>
      </c>
      <c r="D15" s="1">
        <v>2021</v>
      </c>
      <c r="E15" s="1">
        <v>2022</v>
      </c>
      <c r="F15" s="1">
        <v>2023</v>
      </c>
      <c r="G15" s="1">
        <v>2024</v>
      </c>
      <c r="H15" s="1">
        <v>2025</v>
      </c>
      <c r="I15" s="1">
        <v>2026</v>
      </c>
      <c r="J15" s="1">
        <v>2027</v>
      </c>
      <c r="K15" s="1">
        <v>2028</v>
      </c>
      <c r="L15" s="1">
        <v>2029</v>
      </c>
      <c r="M15" s="1">
        <v>2030</v>
      </c>
      <c r="N15" s="1">
        <v>2031</v>
      </c>
      <c r="O15" s="1">
        <v>2032</v>
      </c>
      <c r="P15" s="1">
        <v>2033</v>
      </c>
      <c r="Q15" s="1">
        <v>2034</v>
      </c>
      <c r="R15" s="1">
        <v>2035</v>
      </c>
      <c r="S15" s="1">
        <v>2036</v>
      </c>
      <c r="T15" s="1">
        <v>2037</v>
      </c>
      <c r="U15" s="1">
        <v>2038</v>
      </c>
      <c r="V15" s="1">
        <v>2039</v>
      </c>
      <c r="W15" s="1">
        <v>2040</v>
      </c>
      <c r="X15" s="1">
        <v>2041</v>
      </c>
      <c r="Y15" s="1">
        <v>2042</v>
      </c>
      <c r="Z15" s="1">
        <v>2043</v>
      </c>
      <c r="AA15" s="1">
        <v>2044</v>
      </c>
      <c r="AB15" s="1">
        <v>2045</v>
      </c>
      <c r="AC15" s="1">
        <v>2046</v>
      </c>
      <c r="AD15" s="1">
        <v>2047</v>
      </c>
      <c r="AE15" s="1">
        <v>2048</v>
      </c>
      <c r="AF15" s="1">
        <v>2049</v>
      </c>
      <c r="AG15" s="1">
        <v>2050</v>
      </c>
    </row>
    <row r="16" spans="1:33" x14ac:dyDescent="0.3">
      <c r="A16" s="16" t="s">
        <v>2</v>
      </c>
      <c r="B16" s="2">
        <f>INDEX(SYCEU!$B$14:$G$23, MATCH($A16, SYCEU!$A$2:$A$11, 0), MATCH(Urban_res_calculation!$A$15, SYCEU!$B$1:$G$1, 0))</f>
        <v>19800000000000</v>
      </c>
      <c r="C16" s="2">
        <f>INDEX('2020'!$B$14:$G$23, MATCH($A16, '2020'!$A$2:$A$11, 0), MATCH(Urban_res_calculation!$A$15, '2020'!$B$1:$G$1, 0))</f>
        <v>19829823270841.098</v>
      </c>
      <c r="D16" s="2">
        <f>INDEX('2021'!$B$14:$G$23, MATCH($A16, '2021'!$A$2:$A$11, 0), MATCH(Urban_res_calculation!$A$15, '2021'!$B$1:$G$1, 0))</f>
        <v>21956051311951.871</v>
      </c>
      <c r="E16" s="2">
        <f>MAX(0, D16*(1+Forecast!$B3))</f>
        <v>22087787619823.582</v>
      </c>
      <c r="F16" s="2">
        <f>MAX(0, E16*(1+Forecast!$B3))</f>
        <v>22220314345542.523</v>
      </c>
      <c r="G16" s="2">
        <f>MAX(0, F16*(1+Forecast!$B3))</f>
        <v>22353636231615.777</v>
      </c>
      <c r="H16" s="2">
        <f>MAX(0, G16*(1+Forecast!$B3))</f>
        <v>22487758049005.473</v>
      </c>
      <c r="I16" s="2">
        <f>MAX(0, H16*(1+Forecast!$B3))</f>
        <v>22622684597299.504</v>
      </c>
      <c r="J16" s="2">
        <f>MAX(0, I16*(1+Forecast!$B3))</f>
        <v>22758420704883.301</v>
      </c>
      <c r="K16" s="2">
        <f>MAX(0, J16*(1+Forecast!$B3))</f>
        <v>22894971229112.602</v>
      </c>
      <c r="L16" s="2">
        <f>MAX(0, K16*(1+Forecast!$B3))</f>
        <v>23032341056487.277</v>
      </c>
      <c r="M16" s="2">
        <f>MAX(0, L16*(1+Forecast!$B3))</f>
        <v>23170535102826.199</v>
      </c>
      <c r="N16" s="2">
        <f>MAX(0, M16*(1+Forecast!$B3))</f>
        <v>23309558313443.156</v>
      </c>
      <c r="O16" s="2">
        <f>MAX(0, N16*(1+Forecast!$B3))</f>
        <v>23449415663323.816</v>
      </c>
      <c r="P16" s="2">
        <f>MAX(0, O16*(1+Forecast!$B3))</f>
        <v>23590112157303.758</v>
      </c>
      <c r="Q16" s="2">
        <f>MAX(0, P16*(1+Forecast!$B3))</f>
        <v>23731652830247.582</v>
      </c>
      <c r="R16" s="2">
        <f>MAX(0, Q16*(1+Forecast!$B3))</f>
        <v>23874042747229.066</v>
      </c>
      <c r="S16" s="2">
        <f>MAX(0, R16*(1+Forecast!$B3))</f>
        <v>24017287003712.441</v>
      </c>
      <c r="T16" s="2">
        <f>MAX(0, S16*(1+Forecast!$B3))</f>
        <v>24161390725734.715</v>
      </c>
      <c r="U16" s="2">
        <f>MAX(0, T16*(1+Forecast!$B3))</f>
        <v>24306359070089.125</v>
      </c>
      <c r="V16" s="2">
        <f>MAX(0, U16*(1+Forecast!$B3))</f>
        <v>24452197224509.66</v>
      </c>
      <c r="W16" s="2">
        <f>MAX(0, V16*(1+Forecast!$B3))</f>
        <v>24598910407856.719</v>
      </c>
      <c r="X16" s="2">
        <f>MAX(0, W16*(1+Forecast!$B3))</f>
        <v>24746503870303.859</v>
      </c>
      <c r="Y16" s="2">
        <f>MAX(0, X16*(1+Forecast!$B3))</f>
        <v>24894982893525.684</v>
      </c>
      <c r="Z16" s="2">
        <f>MAX(0, Y16*(1+Forecast!$B3))</f>
        <v>25044352790886.836</v>
      </c>
      <c r="AA16" s="2">
        <f>MAX(0, Z16*(1+Forecast!$B3))</f>
        <v>25194618907632.156</v>
      </c>
      <c r="AB16" s="2">
        <f>MAX(0, AA16*(1+Forecast!$B3))</f>
        <v>25345786621077.949</v>
      </c>
      <c r="AC16" s="2">
        <f>MAX(0, AB16*(1+Forecast!$B3))</f>
        <v>25497861340804.418</v>
      </c>
      <c r="AD16" s="2">
        <f>MAX(0, AC16*(1+Forecast!$B3))</f>
        <v>25650848508849.246</v>
      </c>
      <c r="AE16" s="2">
        <f>MAX(0, AD16*(1+Forecast!$B3))</f>
        <v>25804753599902.34</v>
      </c>
      <c r="AF16" s="2">
        <f>MAX(0, AE16*(1+Forecast!$B3))</f>
        <v>25959582121501.754</v>
      </c>
      <c r="AG16" s="2">
        <f>MAX(0, AF16*(1+Forecast!$B3))</f>
        <v>26115339614230.766</v>
      </c>
    </row>
    <row r="17" spans="1:33" x14ac:dyDescent="0.3">
      <c r="A17" s="16" t="s">
        <v>3</v>
      </c>
      <c r="B17" s="2">
        <f>INDEX(SYCEU!$B$14:$G$23, MATCH($A17, SYCEU!$A$2:$A$11, 0), MATCH(Urban_res_calculation!$A$15, SYCEU!$B$1:$G$1, 0))</f>
        <v>0</v>
      </c>
      <c r="C17" s="2">
        <f>INDEX('2020'!$B$14:$G$23, MATCH($A17, '2020'!$A$2:$A$11, 0), MATCH(Urban_res_calculation!$A$15, '2020'!$B$1:$G$1, 0))</f>
        <v>0</v>
      </c>
      <c r="D17" s="2">
        <f>INDEX('2021'!$B$14:$G$23, MATCH($A17, '2021'!$A$2:$A$11, 0), MATCH(Urban_res_calculation!$A$15, '2021'!$B$1:$G$1, 0))</f>
        <v>0</v>
      </c>
      <c r="E17" s="2">
        <f>MAX(0, D17*(1+Forecast!$B4))</f>
        <v>0</v>
      </c>
      <c r="F17" s="2">
        <f>MAX(0, E17*(1+Forecast!$B4))</f>
        <v>0</v>
      </c>
      <c r="G17" s="2">
        <f>MAX(0, F17*(1+Forecast!$B4))</f>
        <v>0</v>
      </c>
      <c r="H17" s="2">
        <f>MAX(0, G17*(1+Forecast!$B4))</f>
        <v>0</v>
      </c>
      <c r="I17" s="2">
        <f>MAX(0, H17*(1+Forecast!$B4))</f>
        <v>0</v>
      </c>
      <c r="J17" s="2">
        <f>MAX(0, I17*(1+Forecast!$B4))</f>
        <v>0</v>
      </c>
      <c r="K17" s="2">
        <f>MAX(0, J17*(1+Forecast!$B4))</f>
        <v>0</v>
      </c>
      <c r="L17" s="2">
        <f>MAX(0, K17*(1+Forecast!$B4))</f>
        <v>0</v>
      </c>
      <c r="M17" s="2">
        <f>MAX(0, L17*(1+Forecast!$B4))</f>
        <v>0</v>
      </c>
      <c r="N17" s="2">
        <f>MAX(0, M17*(1+Forecast!$B4))</f>
        <v>0</v>
      </c>
      <c r="O17" s="2">
        <f>MAX(0, N17*(1+Forecast!$B4))</f>
        <v>0</v>
      </c>
      <c r="P17" s="2">
        <f>MAX(0, O17*(1+Forecast!$B4))</f>
        <v>0</v>
      </c>
      <c r="Q17" s="2">
        <f>MAX(0, P17*(1+Forecast!$B4))</f>
        <v>0</v>
      </c>
      <c r="R17" s="2">
        <f>MAX(0, Q17*(1+Forecast!$B4))</f>
        <v>0</v>
      </c>
      <c r="S17" s="2">
        <f>MAX(0, R17*(1+Forecast!$B4))</f>
        <v>0</v>
      </c>
      <c r="T17" s="2">
        <f>MAX(0, S17*(1+Forecast!$B4))</f>
        <v>0</v>
      </c>
      <c r="U17" s="2">
        <f>MAX(0, T17*(1+Forecast!$B4))</f>
        <v>0</v>
      </c>
      <c r="V17" s="2">
        <f>MAX(0, U17*(1+Forecast!$B4))</f>
        <v>0</v>
      </c>
      <c r="W17" s="2">
        <f>MAX(0, V17*(1+Forecast!$B4))</f>
        <v>0</v>
      </c>
      <c r="X17" s="2">
        <f>MAX(0, W17*(1+Forecast!$B4))</f>
        <v>0</v>
      </c>
      <c r="Y17" s="2">
        <f>MAX(0, X17*(1+Forecast!$B4))</f>
        <v>0</v>
      </c>
      <c r="Z17" s="2">
        <f>MAX(0, Y17*(1+Forecast!$B4))</f>
        <v>0</v>
      </c>
      <c r="AA17" s="2">
        <f>MAX(0, Z17*(1+Forecast!$B4))</f>
        <v>0</v>
      </c>
      <c r="AB17" s="2">
        <f>MAX(0, AA17*(1+Forecast!$B4))</f>
        <v>0</v>
      </c>
      <c r="AC17" s="2">
        <f>MAX(0, AB17*(1+Forecast!$B4))</f>
        <v>0</v>
      </c>
      <c r="AD17" s="2">
        <f>MAX(0, AC17*(1+Forecast!$B4))</f>
        <v>0</v>
      </c>
      <c r="AE17" s="2">
        <f>MAX(0, AD17*(1+Forecast!$B4))</f>
        <v>0</v>
      </c>
      <c r="AF17" s="2">
        <f>MAX(0, AE17*(1+Forecast!$B4))</f>
        <v>0</v>
      </c>
      <c r="AG17" s="2">
        <f>MAX(0, AF17*(1+Forecast!$B4))</f>
        <v>0</v>
      </c>
    </row>
    <row r="18" spans="1:33" x14ac:dyDescent="0.3">
      <c r="A18" s="16" t="s">
        <v>4</v>
      </c>
      <c r="B18" s="2">
        <f>INDEX(SYCEU!$B$14:$G$23, MATCH($A18, SYCEU!$A$2:$A$11, 0), MATCH(Urban_res_calculation!$A$15, SYCEU!$B$1:$G$1, 0))</f>
        <v>0</v>
      </c>
      <c r="C18" s="2">
        <f>INDEX('2020'!$B$14:$G$23, MATCH($A18, '2020'!$A$2:$A$11, 0), MATCH(Urban_res_calculation!$A$15, '2020'!$B$1:$G$1, 0))</f>
        <v>0</v>
      </c>
      <c r="D18" s="2">
        <f>INDEX('2021'!$B$14:$G$23, MATCH($A18, '2021'!$A$2:$A$11, 0), MATCH(Urban_res_calculation!$A$15, '2021'!$B$1:$G$1, 0))</f>
        <v>0</v>
      </c>
      <c r="E18" s="2">
        <f>MAX(0, D18*(1+Forecast!$B5))</f>
        <v>0</v>
      </c>
      <c r="F18" s="2">
        <f>MAX(0, E18*(1+Forecast!$B5))</f>
        <v>0</v>
      </c>
      <c r="G18" s="2">
        <f>MAX(0, F18*(1+Forecast!$B5))</f>
        <v>0</v>
      </c>
      <c r="H18" s="2">
        <f>MAX(0, G18*(1+Forecast!$B5))</f>
        <v>0</v>
      </c>
      <c r="I18" s="2">
        <f>MAX(0, H18*(1+Forecast!$B5))</f>
        <v>0</v>
      </c>
      <c r="J18" s="2">
        <f>MAX(0, I18*(1+Forecast!$B5))</f>
        <v>0</v>
      </c>
      <c r="K18" s="2">
        <f>MAX(0, J18*(1+Forecast!$B5))</f>
        <v>0</v>
      </c>
      <c r="L18" s="2">
        <f>MAX(0, K18*(1+Forecast!$B5))</f>
        <v>0</v>
      </c>
      <c r="M18" s="2">
        <f>MAX(0, L18*(1+Forecast!$B5))</f>
        <v>0</v>
      </c>
      <c r="N18" s="2">
        <f>MAX(0, M18*(1+Forecast!$B5))</f>
        <v>0</v>
      </c>
      <c r="O18" s="2">
        <f>MAX(0, N18*(1+Forecast!$B5))</f>
        <v>0</v>
      </c>
      <c r="P18" s="2">
        <f>MAX(0, O18*(1+Forecast!$B5))</f>
        <v>0</v>
      </c>
      <c r="Q18" s="2">
        <f>MAX(0, P18*(1+Forecast!$B5))</f>
        <v>0</v>
      </c>
      <c r="R18" s="2">
        <f>MAX(0, Q18*(1+Forecast!$B5))</f>
        <v>0</v>
      </c>
      <c r="S18" s="2">
        <f>MAX(0, R18*(1+Forecast!$B5))</f>
        <v>0</v>
      </c>
      <c r="T18" s="2">
        <f>MAX(0, S18*(1+Forecast!$B5))</f>
        <v>0</v>
      </c>
      <c r="U18" s="2">
        <f>MAX(0, T18*(1+Forecast!$B5))</f>
        <v>0</v>
      </c>
      <c r="V18" s="2">
        <f>MAX(0, U18*(1+Forecast!$B5))</f>
        <v>0</v>
      </c>
      <c r="W18" s="2">
        <f>MAX(0, V18*(1+Forecast!$B5))</f>
        <v>0</v>
      </c>
      <c r="X18" s="2">
        <f>MAX(0, W18*(1+Forecast!$B5))</f>
        <v>0</v>
      </c>
      <c r="Y18" s="2">
        <f>MAX(0, X18*(1+Forecast!$B5))</f>
        <v>0</v>
      </c>
      <c r="Z18" s="2">
        <f>MAX(0, Y18*(1+Forecast!$B5))</f>
        <v>0</v>
      </c>
      <c r="AA18" s="2">
        <f>MAX(0, Z18*(1+Forecast!$B5))</f>
        <v>0</v>
      </c>
      <c r="AB18" s="2">
        <f>MAX(0, AA18*(1+Forecast!$B5))</f>
        <v>0</v>
      </c>
      <c r="AC18" s="2">
        <f>MAX(0, AB18*(1+Forecast!$B5))</f>
        <v>0</v>
      </c>
      <c r="AD18" s="2">
        <f>MAX(0, AC18*(1+Forecast!$B5))</f>
        <v>0</v>
      </c>
      <c r="AE18" s="2">
        <f>MAX(0, AD18*(1+Forecast!$B5))</f>
        <v>0</v>
      </c>
      <c r="AF18" s="2">
        <f>MAX(0, AE18*(1+Forecast!$B5))</f>
        <v>0</v>
      </c>
      <c r="AG18" s="2">
        <f>MAX(0, AF18*(1+Forecast!$B5))</f>
        <v>0</v>
      </c>
    </row>
    <row r="19" spans="1:33" x14ac:dyDescent="0.3">
      <c r="A19" s="16" t="s">
        <v>5</v>
      </c>
      <c r="B19" s="2">
        <f>INDEX(SYCEU!$B$14:$G$23, MATCH($A19, SYCEU!$A$2:$A$11, 0), MATCH(Urban_res_calculation!$A$15, SYCEU!$B$1:$G$1, 0))</f>
        <v>0</v>
      </c>
      <c r="C19" s="2">
        <f>INDEX('2020'!$B$14:$G$23, MATCH($A19, '2020'!$A$2:$A$11, 0), MATCH(Urban_res_calculation!$A$15, '2020'!$B$1:$G$1, 0))</f>
        <v>0</v>
      </c>
      <c r="D19" s="2">
        <f>INDEX('2021'!$B$14:$G$23, MATCH($A19, '2021'!$A$2:$A$11, 0), MATCH(Urban_res_calculation!$A$15, '2021'!$B$1:$G$1, 0))</f>
        <v>0</v>
      </c>
      <c r="E19" s="2">
        <f>MAX(0, D19*(1+Forecast!$B6))</f>
        <v>0</v>
      </c>
      <c r="F19" s="2">
        <f>MAX(0, E19*(1+Forecast!$B6))</f>
        <v>0</v>
      </c>
      <c r="G19" s="2">
        <f>MAX(0, F19*(1+Forecast!$B6))</f>
        <v>0</v>
      </c>
      <c r="H19" s="2">
        <f>MAX(0, G19*(1+Forecast!$B6))</f>
        <v>0</v>
      </c>
      <c r="I19" s="2">
        <f>MAX(0, H19*(1+Forecast!$B6))</f>
        <v>0</v>
      </c>
      <c r="J19" s="2">
        <f>MAX(0, I19*(1+Forecast!$B6))</f>
        <v>0</v>
      </c>
      <c r="K19" s="2">
        <f>MAX(0, J19*(1+Forecast!$B6))</f>
        <v>0</v>
      </c>
      <c r="L19" s="2">
        <f>MAX(0, K19*(1+Forecast!$B6))</f>
        <v>0</v>
      </c>
      <c r="M19" s="2">
        <f>MAX(0, L19*(1+Forecast!$B6))</f>
        <v>0</v>
      </c>
      <c r="N19" s="2">
        <f>MAX(0, M19*(1+Forecast!$B6))</f>
        <v>0</v>
      </c>
      <c r="O19" s="2">
        <f>MAX(0, N19*(1+Forecast!$B6))</f>
        <v>0</v>
      </c>
      <c r="P19" s="2">
        <f>MAX(0, O19*(1+Forecast!$B6))</f>
        <v>0</v>
      </c>
      <c r="Q19" s="2">
        <f>MAX(0, P19*(1+Forecast!$B6))</f>
        <v>0</v>
      </c>
      <c r="R19" s="2">
        <f>MAX(0, Q19*(1+Forecast!$B6))</f>
        <v>0</v>
      </c>
      <c r="S19" s="2">
        <f>MAX(0, R19*(1+Forecast!$B6))</f>
        <v>0</v>
      </c>
      <c r="T19" s="2">
        <f>MAX(0, S19*(1+Forecast!$B6))</f>
        <v>0</v>
      </c>
      <c r="U19" s="2">
        <f>MAX(0, T19*(1+Forecast!$B6))</f>
        <v>0</v>
      </c>
      <c r="V19" s="2">
        <f>MAX(0, U19*(1+Forecast!$B6))</f>
        <v>0</v>
      </c>
      <c r="W19" s="2">
        <f>MAX(0, V19*(1+Forecast!$B6))</f>
        <v>0</v>
      </c>
      <c r="X19" s="2">
        <f>MAX(0, W19*(1+Forecast!$B6))</f>
        <v>0</v>
      </c>
      <c r="Y19" s="2">
        <f>MAX(0, X19*(1+Forecast!$B6))</f>
        <v>0</v>
      </c>
      <c r="Z19" s="2">
        <f>MAX(0, Y19*(1+Forecast!$B6))</f>
        <v>0</v>
      </c>
      <c r="AA19" s="2">
        <f>MAX(0, Z19*(1+Forecast!$B6))</f>
        <v>0</v>
      </c>
      <c r="AB19" s="2">
        <f>MAX(0, AA19*(1+Forecast!$B6))</f>
        <v>0</v>
      </c>
      <c r="AC19" s="2">
        <f>MAX(0, AB19*(1+Forecast!$B6))</f>
        <v>0</v>
      </c>
      <c r="AD19" s="2">
        <f>MAX(0, AC19*(1+Forecast!$B6))</f>
        <v>0</v>
      </c>
      <c r="AE19" s="2">
        <f>MAX(0, AD19*(1+Forecast!$B6))</f>
        <v>0</v>
      </c>
      <c r="AF19" s="2">
        <f>MAX(0, AE19*(1+Forecast!$B6))</f>
        <v>0</v>
      </c>
      <c r="AG19" s="2">
        <f>MAX(0, AF19*(1+Forecast!$B6))</f>
        <v>0</v>
      </c>
    </row>
    <row r="20" spans="1:33" x14ac:dyDescent="0.3">
      <c r="A20" s="16" t="s">
        <v>7</v>
      </c>
      <c r="B20" s="2">
        <f>INDEX(SYCEU!$B$14:$G$23, MATCH($A20, SYCEU!$A$2:$A$11, 0), MATCH(Urban_res_calculation!$A$15, SYCEU!$B$1:$G$1, 0))</f>
        <v>0</v>
      </c>
      <c r="C20" s="2">
        <f>INDEX('2020'!$B$14:$G$23, MATCH($A20, '2020'!$A$2:$A$11, 0), MATCH(Urban_res_calculation!$A$15, '2020'!$B$1:$G$1, 0))</f>
        <v>0</v>
      </c>
      <c r="D20" s="2">
        <f>INDEX('2021'!$B$14:$G$23, MATCH($A20, '2021'!$A$2:$A$11, 0), MATCH(Urban_res_calculation!$A$15, '2021'!$B$1:$G$1, 0))</f>
        <v>0</v>
      </c>
      <c r="E20" s="2">
        <f>MAX(0, D20*(1+Forecast!$B7))</f>
        <v>0</v>
      </c>
      <c r="F20" s="2">
        <f>MAX(0, E20*(1+Forecast!$B7))</f>
        <v>0</v>
      </c>
      <c r="G20" s="2">
        <f>MAX(0, F20*(1+Forecast!$B7))</f>
        <v>0</v>
      </c>
      <c r="H20" s="2">
        <f>MAX(0, G20*(1+Forecast!$B7))</f>
        <v>0</v>
      </c>
      <c r="I20" s="2">
        <f>MAX(0, H20*(1+Forecast!$B7))</f>
        <v>0</v>
      </c>
      <c r="J20" s="2">
        <f>MAX(0, I20*(1+Forecast!$B7))</f>
        <v>0</v>
      </c>
      <c r="K20" s="2">
        <f>MAX(0, J20*(1+Forecast!$B7))</f>
        <v>0</v>
      </c>
      <c r="L20" s="2">
        <f>MAX(0, K20*(1+Forecast!$B7))</f>
        <v>0</v>
      </c>
      <c r="M20" s="2">
        <f>MAX(0, L20*(1+Forecast!$B7))</f>
        <v>0</v>
      </c>
      <c r="N20" s="2">
        <f>MAX(0, M20*(1+Forecast!$B7))</f>
        <v>0</v>
      </c>
      <c r="O20" s="2">
        <f>MAX(0, N20*(1+Forecast!$B7))</f>
        <v>0</v>
      </c>
      <c r="P20" s="2">
        <f>MAX(0, O20*(1+Forecast!$B7))</f>
        <v>0</v>
      </c>
      <c r="Q20" s="2">
        <f>MAX(0, P20*(1+Forecast!$B7))</f>
        <v>0</v>
      </c>
      <c r="R20" s="2">
        <f>MAX(0, Q20*(1+Forecast!$B7))</f>
        <v>0</v>
      </c>
      <c r="S20" s="2">
        <f>MAX(0, R20*(1+Forecast!$B7))</f>
        <v>0</v>
      </c>
      <c r="T20" s="2">
        <f>MAX(0, S20*(1+Forecast!$B7))</f>
        <v>0</v>
      </c>
      <c r="U20" s="2">
        <f>MAX(0, T20*(1+Forecast!$B7))</f>
        <v>0</v>
      </c>
      <c r="V20" s="2">
        <f>MAX(0, U20*(1+Forecast!$B7))</f>
        <v>0</v>
      </c>
      <c r="W20" s="2">
        <f>MAX(0, V20*(1+Forecast!$B7))</f>
        <v>0</v>
      </c>
      <c r="X20" s="2">
        <f>MAX(0, W20*(1+Forecast!$B7))</f>
        <v>0</v>
      </c>
      <c r="Y20" s="2">
        <f>MAX(0, X20*(1+Forecast!$B7))</f>
        <v>0</v>
      </c>
      <c r="Z20" s="2">
        <f>MAX(0, Y20*(1+Forecast!$B7))</f>
        <v>0</v>
      </c>
      <c r="AA20" s="2">
        <f>MAX(0, Z20*(1+Forecast!$B7))</f>
        <v>0</v>
      </c>
      <c r="AB20" s="2">
        <f>MAX(0, AA20*(1+Forecast!$B7))</f>
        <v>0</v>
      </c>
      <c r="AC20" s="2">
        <f>MAX(0, AB20*(1+Forecast!$B7))</f>
        <v>0</v>
      </c>
      <c r="AD20" s="2">
        <f>MAX(0, AC20*(1+Forecast!$B7))</f>
        <v>0</v>
      </c>
      <c r="AE20" s="2">
        <f>MAX(0, AD20*(1+Forecast!$B7))</f>
        <v>0</v>
      </c>
      <c r="AF20" s="2">
        <f>MAX(0, AE20*(1+Forecast!$B7))</f>
        <v>0</v>
      </c>
      <c r="AG20" s="2">
        <f>MAX(0, AF20*(1+Forecast!$B7))</f>
        <v>0</v>
      </c>
    </row>
    <row r="21" spans="1:33" x14ac:dyDescent="0.3">
      <c r="A21" s="16" t="s">
        <v>11</v>
      </c>
      <c r="B21" s="2">
        <f>INDEX(SYCEU!$B$14:$G$23, MATCH($A21, SYCEU!$A$2:$A$11, 0), MATCH(Urban_res_calculation!$A$15, SYCEU!$B$1:$G$1, 0))</f>
        <v>0</v>
      </c>
      <c r="C21" s="2">
        <f>INDEX('2020'!$B$14:$G$23, MATCH($A21, '2020'!$A$2:$A$11, 0), MATCH(Urban_res_calculation!$A$15, '2020'!$B$1:$G$1, 0))</f>
        <v>0</v>
      </c>
      <c r="D21" s="2">
        <f>INDEX('2021'!$B$14:$G$23, MATCH($A21, '2021'!$A$2:$A$11, 0), MATCH(Urban_res_calculation!$A$15, '2021'!$B$1:$G$1, 0))</f>
        <v>0</v>
      </c>
      <c r="E21" s="2">
        <f>MAX(0, D21*(1+Forecast!$B8))</f>
        <v>0</v>
      </c>
      <c r="F21" s="2">
        <f>MAX(0, E21*(1+Forecast!$B8))</f>
        <v>0</v>
      </c>
      <c r="G21" s="2">
        <f>MAX(0, F21*(1+Forecast!$B8))</f>
        <v>0</v>
      </c>
      <c r="H21" s="2">
        <f>MAX(0, G21*(1+Forecast!$B8))</f>
        <v>0</v>
      </c>
      <c r="I21" s="2">
        <f>MAX(0, H21*(1+Forecast!$B8))</f>
        <v>0</v>
      </c>
      <c r="J21" s="2">
        <f>MAX(0, I21*(1+Forecast!$B8))</f>
        <v>0</v>
      </c>
      <c r="K21" s="2">
        <f>MAX(0, J21*(1+Forecast!$B8))</f>
        <v>0</v>
      </c>
      <c r="L21" s="2">
        <f>MAX(0, K21*(1+Forecast!$B8))</f>
        <v>0</v>
      </c>
      <c r="M21" s="2">
        <f>MAX(0, L21*(1+Forecast!$B8))</f>
        <v>0</v>
      </c>
      <c r="N21" s="2">
        <f>MAX(0, M21*(1+Forecast!$B8))</f>
        <v>0</v>
      </c>
      <c r="O21" s="2">
        <f>MAX(0, N21*(1+Forecast!$B8))</f>
        <v>0</v>
      </c>
      <c r="P21" s="2">
        <f>MAX(0, O21*(1+Forecast!$B8))</f>
        <v>0</v>
      </c>
      <c r="Q21" s="2">
        <f>MAX(0, P21*(1+Forecast!$B8))</f>
        <v>0</v>
      </c>
      <c r="R21" s="2">
        <f>MAX(0, Q21*(1+Forecast!$B8))</f>
        <v>0</v>
      </c>
      <c r="S21" s="2">
        <f>MAX(0, R21*(1+Forecast!$B8))</f>
        <v>0</v>
      </c>
      <c r="T21" s="2">
        <f>MAX(0, S21*(1+Forecast!$B8))</f>
        <v>0</v>
      </c>
      <c r="U21" s="2">
        <f>MAX(0, T21*(1+Forecast!$B8))</f>
        <v>0</v>
      </c>
      <c r="V21" s="2">
        <f>MAX(0, U21*(1+Forecast!$B8))</f>
        <v>0</v>
      </c>
      <c r="W21" s="2">
        <f>MAX(0, V21*(1+Forecast!$B8))</f>
        <v>0</v>
      </c>
      <c r="X21" s="2">
        <f>MAX(0, W21*(1+Forecast!$B8))</f>
        <v>0</v>
      </c>
      <c r="Y21" s="2">
        <f>MAX(0, X21*(1+Forecast!$B8))</f>
        <v>0</v>
      </c>
      <c r="Z21" s="2">
        <f>MAX(0, Y21*(1+Forecast!$B8))</f>
        <v>0</v>
      </c>
      <c r="AA21" s="2">
        <f>MAX(0, Z21*(1+Forecast!$B8))</f>
        <v>0</v>
      </c>
      <c r="AB21" s="2">
        <f>MAX(0, AA21*(1+Forecast!$B8))</f>
        <v>0</v>
      </c>
      <c r="AC21" s="2">
        <f>MAX(0, AB21*(1+Forecast!$B8))</f>
        <v>0</v>
      </c>
      <c r="AD21" s="2">
        <f>MAX(0, AC21*(1+Forecast!$B8))</f>
        <v>0</v>
      </c>
      <c r="AE21" s="2">
        <f>MAX(0, AD21*(1+Forecast!$B8))</f>
        <v>0</v>
      </c>
      <c r="AF21" s="2">
        <f>MAX(0, AE21*(1+Forecast!$B8))</f>
        <v>0</v>
      </c>
      <c r="AG21" s="2">
        <f>MAX(0, AF21*(1+Forecast!$B8))</f>
        <v>0</v>
      </c>
    </row>
    <row r="22" spans="1:33" x14ac:dyDescent="0.3">
      <c r="A22" s="16" t="s">
        <v>13</v>
      </c>
      <c r="B22" s="2">
        <f>INDEX(SYCEU!$B$14:$G$23, MATCH($A22, SYCEU!$A$2:$A$11, 0), MATCH(Urban_res_calculation!$A$15, SYCEU!$B$1:$G$1, 0))</f>
        <v>0</v>
      </c>
      <c r="C22" s="2">
        <f>INDEX('2020'!$B$14:$G$23, MATCH($A22, '2020'!$A$2:$A$11, 0), MATCH(Urban_res_calculation!$A$15, '2020'!$B$1:$G$1, 0))</f>
        <v>0</v>
      </c>
      <c r="D22" s="2">
        <f>INDEX('2021'!$B$14:$G$23, MATCH($A22, '2021'!$A$2:$A$11, 0), MATCH(Urban_res_calculation!$A$15, '2021'!$B$1:$G$1, 0))</f>
        <v>0</v>
      </c>
      <c r="E22" s="2">
        <f>MAX(0, D22*(1+Forecast!$B9))</f>
        <v>0</v>
      </c>
      <c r="F22" s="2">
        <f>MAX(0, E22*(1+Forecast!$B9))</f>
        <v>0</v>
      </c>
      <c r="G22" s="2">
        <f>MAX(0, F22*(1+Forecast!$B9))</f>
        <v>0</v>
      </c>
      <c r="H22" s="2">
        <f>MAX(0, G22*(1+Forecast!$B9))</f>
        <v>0</v>
      </c>
      <c r="I22" s="2">
        <f>MAX(0, H22*(1+Forecast!$B9))</f>
        <v>0</v>
      </c>
      <c r="J22" s="2">
        <f>MAX(0, I22*(1+Forecast!$B9))</f>
        <v>0</v>
      </c>
      <c r="K22" s="2">
        <f>MAX(0, J22*(1+Forecast!$B9))</f>
        <v>0</v>
      </c>
      <c r="L22" s="2">
        <f>MAX(0, K22*(1+Forecast!$B9))</f>
        <v>0</v>
      </c>
      <c r="M22" s="2">
        <f>MAX(0, L22*(1+Forecast!$B9))</f>
        <v>0</v>
      </c>
      <c r="N22" s="2">
        <f>MAX(0, M22*(1+Forecast!$B9))</f>
        <v>0</v>
      </c>
      <c r="O22" s="2">
        <f>MAX(0, N22*(1+Forecast!$B9))</f>
        <v>0</v>
      </c>
      <c r="P22" s="2">
        <f>MAX(0, O22*(1+Forecast!$B9))</f>
        <v>0</v>
      </c>
      <c r="Q22" s="2">
        <f>MAX(0, P22*(1+Forecast!$B9))</f>
        <v>0</v>
      </c>
      <c r="R22" s="2">
        <f>MAX(0, Q22*(1+Forecast!$B9))</f>
        <v>0</v>
      </c>
      <c r="S22" s="2">
        <f>MAX(0, R22*(1+Forecast!$B9))</f>
        <v>0</v>
      </c>
      <c r="T22" s="2">
        <f>MAX(0, S22*(1+Forecast!$B9))</f>
        <v>0</v>
      </c>
      <c r="U22" s="2">
        <f>MAX(0, T22*(1+Forecast!$B9))</f>
        <v>0</v>
      </c>
      <c r="V22" s="2">
        <f>MAX(0, U22*(1+Forecast!$B9))</f>
        <v>0</v>
      </c>
      <c r="W22" s="2">
        <f>MAX(0, V22*(1+Forecast!$B9))</f>
        <v>0</v>
      </c>
      <c r="X22" s="2">
        <f>MAX(0, W22*(1+Forecast!$B9))</f>
        <v>0</v>
      </c>
      <c r="Y22" s="2">
        <f>MAX(0, X22*(1+Forecast!$B9))</f>
        <v>0</v>
      </c>
      <c r="Z22" s="2">
        <f>MAX(0, Y22*(1+Forecast!$B9))</f>
        <v>0</v>
      </c>
      <c r="AA22" s="2">
        <f>MAX(0, Z22*(1+Forecast!$B9))</f>
        <v>0</v>
      </c>
      <c r="AB22" s="2">
        <f>MAX(0, AA22*(1+Forecast!$B9))</f>
        <v>0</v>
      </c>
      <c r="AC22" s="2">
        <f>MAX(0, AB22*(1+Forecast!$B9))</f>
        <v>0</v>
      </c>
      <c r="AD22" s="2">
        <f>MAX(0, AC22*(1+Forecast!$B9))</f>
        <v>0</v>
      </c>
      <c r="AE22" s="2">
        <f>MAX(0, AD22*(1+Forecast!$B9))</f>
        <v>0</v>
      </c>
      <c r="AF22" s="2">
        <f>MAX(0, AE22*(1+Forecast!$B9))</f>
        <v>0</v>
      </c>
      <c r="AG22" s="2">
        <f>MAX(0, AF22*(1+Forecast!$B9))</f>
        <v>0</v>
      </c>
    </row>
    <row r="23" spans="1:33" x14ac:dyDescent="0.3">
      <c r="A23" s="16" t="s">
        <v>14</v>
      </c>
      <c r="B23" s="2">
        <f>INDEX(SYCEU!$B$14:$G$23, MATCH($A23, SYCEU!$A$2:$A$11, 0), MATCH(Urban_res_calculation!$A$15, SYCEU!$B$1:$G$1, 0))</f>
        <v>0</v>
      </c>
      <c r="C23" s="2">
        <f>INDEX('2020'!$B$14:$G$23, MATCH($A23, '2020'!$A$2:$A$11, 0), MATCH(Urban_res_calculation!$A$15, '2020'!$B$1:$G$1, 0))</f>
        <v>0</v>
      </c>
      <c r="D23" s="2">
        <f>INDEX('2021'!$B$14:$G$23, MATCH($A23, '2021'!$A$2:$A$11, 0), MATCH(Urban_res_calculation!$A$15, '2021'!$B$1:$G$1, 0))</f>
        <v>0</v>
      </c>
      <c r="E23" s="2">
        <f>MAX(0, D23*(1+Forecast!$B10))</f>
        <v>0</v>
      </c>
      <c r="F23" s="2">
        <f>MAX(0, E23*(1+Forecast!$B10))</f>
        <v>0</v>
      </c>
      <c r="G23" s="2">
        <f>MAX(0, F23*(1+Forecast!$B10))</f>
        <v>0</v>
      </c>
      <c r="H23" s="2">
        <f>MAX(0, G23*(1+Forecast!$B10))</f>
        <v>0</v>
      </c>
      <c r="I23" s="2">
        <f>MAX(0, H23*(1+Forecast!$B10))</f>
        <v>0</v>
      </c>
      <c r="J23" s="2">
        <f>MAX(0, I23*(1+Forecast!$B10))</f>
        <v>0</v>
      </c>
      <c r="K23" s="2">
        <f>MAX(0, J23*(1+Forecast!$B10))</f>
        <v>0</v>
      </c>
      <c r="L23" s="2">
        <f>MAX(0, K23*(1+Forecast!$B10))</f>
        <v>0</v>
      </c>
      <c r="M23" s="2">
        <f>MAX(0, L23*(1+Forecast!$B10))</f>
        <v>0</v>
      </c>
      <c r="N23" s="2">
        <f>MAX(0, M23*(1+Forecast!$B10))</f>
        <v>0</v>
      </c>
      <c r="O23" s="2">
        <f>MAX(0, N23*(1+Forecast!$B10))</f>
        <v>0</v>
      </c>
      <c r="P23" s="2">
        <f>MAX(0, O23*(1+Forecast!$B10))</f>
        <v>0</v>
      </c>
      <c r="Q23" s="2">
        <f>MAX(0, P23*(1+Forecast!$B10))</f>
        <v>0</v>
      </c>
      <c r="R23" s="2">
        <f>MAX(0, Q23*(1+Forecast!$B10))</f>
        <v>0</v>
      </c>
      <c r="S23" s="2">
        <f>MAX(0, R23*(1+Forecast!$B10))</f>
        <v>0</v>
      </c>
      <c r="T23" s="2">
        <f>MAX(0, S23*(1+Forecast!$B10))</f>
        <v>0</v>
      </c>
      <c r="U23" s="2">
        <f>MAX(0, T23*(1+Forecast!$B10))</f>
        <v>0</v>
      </c>
      <c r="V23" s="2">
        <f>MAX(0, U23*(1+Forecast!$B10))</f>
        <v>0</v>
      </c>
      <c r="W23" s="2">
        <f>MAX(0, V23*(1+Forecast!$B10))</f>
        <v>0</v>
      </c>
      <c r="X23" s="2">
        <f>MAX(0, W23*(1+Forecast!$B10))</f>
        <v>0</v>
      </c>
      <c r="Y23" s="2">
        <f>MAX(0, X23*(1+Forecast!$B10))</f>
        <v>0</v>
      </c>
      <c r="Z23" s="2">
        <f>MAX(0, Y23*(1+Forecast!$B10))</f>
        <v>0</v>
      </c>
      <c r="AA23" s="2">
        <f>MAX(0, Z23*(1+Forecast!$B10))</f>
        <v>0</v>
      </c>
      <c r="AB23" s="2">
        <f>MAX(0, AA23*(1+Forecast!$B10))</f>
        <v>0</v>
      </c>
      <c r="AC23" s="2">
        <f>MAX(0, AB23*(1+Forecast!$B10))</f>
        <v>0</v>
      </c>
      <c r="AD23" s="2">
        <f>MAX(0, AC23*(1+Forecast!$B10))</f>
        <v>0</v>
      </c>
      <c r="AE23" s="2">
        <f>MAX(0, AD23*(1+Forecast!$B10))</f>
        <v>0</v>
      </c>
      <c r="AF23" s="2">
        <f>MAX(0, AE23*(1+Forecast!$B10))</f>
        <v>0</v>
      </c>
      <c r="AG23" s="2">
        <f>MAX(0, AF23*(1+Forecast!$B10))</f>
        <v>0</v>
      </c>
    </row>
    <row r="24" spans="1:33" x14ac:dyDescent="0.3">
      <c r="A24" s="16" t="s">
        <v>15</v>
      </c>
      <c r="B24" s="2">
        <f>INDEX(SYCEU!$B$14:$G$23, MATCH($A24, SYCEU!$A$2:$A$11, 0), MATCH(Urban_res_calculation!$A$15, SYCEU!$B$1:$G$1, 0))</f>
        <v>0</v>
      </c>
      <c r="C24" s="2">
        <f>INDEX('2020'!$B$14:$G$23, MATCH($A24, '2020'!$A$2:$A$11, 0), MATCH(Urban_res_calculation!$A$15, '2020'!$B$1:$G$1, 0))</f>
        <v>0</v>
      </c>
      <c r="D24" s="2">
        <f>INDEX('2021'!$B$14:$G$23, MATCH($A24, '2021'!$A$2:$A$11, 0), MATCH(Urban_res_calculation!$A$15, '2021'!$B$1:$G$1, 0))</f>
        <v>0</v>
      </c>
      <c r="E24" s="2">
        <f>MAX(0, D24*(1+Forecast!$B11))</f>
        <v>0</v>
      </c>
      <c r="F24" s="2">
        <f>MAX(0, E24*(1+Forecast!$B11))</f>
        <v>0</v>
      </c>
      <c r="G24" s="2">
        <f>MAX(0, F24*(1+Forecast!$B11))</f>
        <v>0</v>
      </c>
      <c r="H24" s="2">
        <f>MAX(0, G24*(1+Forecast!$B11))</f>
        <v>0</v>
      </c>
      <c r="I24" s="2">
        <f>MAX(0, H24*(1+Forecast!$B11))</f>
        <v>0</v>
      </c>
      <c r="J24" s="2">
        <f>MAX(0, I24*(1+Forecast!$B11))</f>
        <v>0</v>
      </c>
      <c r="K24" s="2">
        <f>MAX(0, J24*(1+Forecast!$B11))</f>
        <v>0</v>
      </c>
      <c r="L24" s="2">
        <f>MAX(0, K24*(1+Forecast!$B11))</f>
        <v>0</v>
      </c>
      <c r="M24" s="2">
        <f>MAX(0, L24*(1+Forecast!$B11))</f>
        <v>0</v>
      </c>
      <c r="N24" s="2">
        <f>MAX(0, M24*(1+Forecast!$B11))</f>
        <v>0</v>
      </c>
      <c r="O24" s="2">
        <f>MAX(0, N24*(1+Forecast!$B11))</f>
        <v>0</v>
      </c>
      <c r="P24" s="2">
        <f>MAX(0, O24*(1+Forecast!$B11))</f>
        <v>0</v>
      </c>
      <c r="Q24" s="2">
        <f>MAX(0, P24*(1+Forecast!$B11))</f>
        <v>0</v>
      </c>
      <c r="R24" s="2">
        <f>MAX(0, Q24*(1+Forecast!$B11))</f>
        <v>0</v>
      </c>
      <c r="S24" s="2">
        <f>MAX(0, R24*(1+Forecast!$B11))</f>
        <v>0</v>
      </c>
      <c r="T24" s="2">
        <f>MAX(0, S24*(1+Forecast!$B11))</f>
        <v>0</v>
      </c>
      <c r="U24" s="2">
        <f>MAX(0, T24*(1+Forecast!$B11))</f>
        <v>0</v>
      </c>
      <c r="V24" s="2">
        <f>MAX(0, U24*(1+Forecast!$B11))</f>
        <v>0</v>
      </c>
      <c r="W24" s="2">
        <f>MAX(0, V24*(1+Forecast!$B11))</f>
        <v>0</v>
      </c>
      <c r="X24" s="2">
        <f>MAX(0, W24*(1+Forecast!$B11))</f>
        <v>0</v>
      </c>
      <c r="Y24" s="2">
        <f>MAX(0, X24*(1+Forecast!$B11))</f>
        <v>0</v>
      </c>
      <c r="Z24" s="2">
        <f>MAX(0, Y24*(1+Forecast!$B11))</f>
        <v>0</v>
      </c>
      <c r="AA24" s="2">
        <f>MAX(0, Z24*(1+Forecast!$B11))</f>
        <v>0</v>
      </c>
      <c r="AB24" s="2">
        <f>MAX(0, AA24*(1+Forecast!$B11))</f>
        <v>0</v>
      </c>
      <c r="AC24" s="2">
        <f>MAX(0, AB24*(1+Forecast!$B11))</f>
        <v>0</v>
      </c>
      <c r="AD24" s="2">
        <f>MAX(0, AC24*(1+Forecast!$B11))</f>
        <v>0</v>
      </c>
      <c r="AE24" s="2">
        <f>MAX(0, AD24*(1+Forecast!$B11))</f>
        <v>0</v>
      </c>
      <c r="AF24" s="2">
        <f>MAX(0, AE24*(1+Forecast!$B11))</f>
        <v>0</v>
      </c>
      <c r="AG24" s="2">
        <f>MAX(0, AF24*(1+Forecast!$B11))</f>
        <v>0</v>
      </c>
    </row>
    <row r="25" spans="1:33" x14ac:dyDescent="0.3">
      <c r="A25" s="16" t="s">
        <v>16</v>
      </c>
      <c r="B25" s="2">
        <f>INDEX(SYCEU!$B$14:$G$23, MATCH($A25, SYCEU!$A$2:$A$11, 0), MATCH(Urban_res_calculation!$A$15, SYCEU!$B$1:$G$1, 0))</f>
        <v>0</v>
      </c>
      <c r="C25" s="2">
        <f>INDEX('2020'!$B$14:$G$23, MATCH($A25, '2020'!$A$2:$A$11, 0), MATCH(Urban_res_calculation!$A$15, '2020'!$B$1:$G$1, 0))</f>
        <v>0</v>
      </c>
      <c r="D25" s="2">
        <f>INDEX('2021'!$B$14:$G$23, MATCH($A25, '2021'!$A$2:$A$11, 0), MATCH(Urban_res_calculation!$A$15, '2021'!$B$1:$G$1, 0))</f>
        <v>0</v>
      </c>
      <c r="E25" s="2">
        <f>MAX(0, D25*(1+Forecast!$B12))</f>
        <v>0</v>
      </c>
      <c r="F25" s="2">
        <f>MAX(0, E25*(1+Forecast!$B12))</f>
        <v>0</v>
      </c>
      <c r="G25" s="2">
        <f>MAX(0, F25*(1+Forecast!$B12))</f>
        <v>0</v>
      </c>
      <c r="H25" s="2">
        <f>MAX(0, G25*(1+Forecast!$B12))</f>
        <v>0</v>
      </c>
      <c r="I25" s="2">
        <f>MAX(0, H25*(1+Forecast!$B12))</f>
        <v>0</v>
      </c>
      <c r="J25" s="2">
        <f>MAX(0, I25*(1+Forecast!$B12))</f>
        <v>0</v>
      </c>
      <c r="K25" s="2">
        <f>MAX(0, J25*(1+Forecast!$B12))</f>
        <v>0</v>
      </c>
      <c r="L25" s="2">
        <f>MAX(0, K25*(1+Forecast!$B12))</f>
        <v>0</v>
      </c>
      <c r="M25" s="2">
        <f>MAX(0, L25*(1+Forecast!$B12))</f>
        <v>0</v>
      </c>
      <c r="N25" s="2">
        <f>MAX(0, M25*(1+Forecast!$B12))</f>
        <v>0</v>
      </c>
      <c r="O25" s="2">
        <f>MAX(0, N25*(1+Forecast!$B12))</f>
        <v>0</v>
      </c>
      <c r="P25" s="2">
        <f>MAX(0, O25*(1+Forecast!$B12))</f>
        <v>0</v>
      </c>
      <c r="Q25" s="2">
        <f>MAX(0, P25*(1+Forecast!$B12))</f>
        <v>0</v>
      </c>
      <c r="R25" s="2">
        <f>MAX(0, Q25*(1+Forecast!$B12))</f>
        <v>0</v>
      </c>
      <c r="S25" s="2">
        <f>MAX(0, R25*(1+Forecast!$B12))</f>
        <v>0</v>
      </c>
      <c r="T25" s="2">
        <f>MAX(0, S25*(1+Forecast!$B12))</f>
        <v>0</v>
      </c>
      <c r="U25" s="2">
        <f>MAX(0, T25*(1+Forecast!$B12))</f>
        <v>0</v>
      </c>
      <c r="V25" s="2">
        <f>MAX(0, U25*(1+Forecast!$B12))</f>
        <v>0</v>
      </c>
      <c r="W25" s="2">
        <f>MAX(0, V25*(1+Forecast!$B12))</f>
        <v>0</v>
      </c>
      <c r="X25" s="2">
        <f>MAX(0, W25*(1+Forecast!$B12))</f>
        <v>0</v>
      </c>
      <c r="Y25" s="2">
        <f>MAX(0, X25*(1+Forecast!$B12))</f>
        <v>0</v>
      </c>
      <c r="Z25" s="2">
        <f>MAX(0, Y25*(1+Forecast!$B12))</f>
        <v>0</v>
      </c>
      <c r="AA25" s="2">
        <f>MAX(0, Z25*(1+Forecast!$B12))</f>
        <v>0</v>
      </c>
      <c r="AB25" s="2">
        <f>MAX(0, AA25*(1+Forecast!$B12))</f>
        <v>0</v>
      </c>
      <c r="AC25" s="2">
        <f>MAX(0, AB25*(1+Forecast!$B12))</f>
        <v>0</v>
      </c>
      <c r="AD25" s="2">
        <f>MAX(0, AC25*(1+Forecast!$B12))</f>
        <v>0</v>
      </c>
      <c r="AE25" s="2">
        <f>MAX(0, AD25*(1+Forecast!$B12))</f>
        <v>0</v>
      </c>
      <c r="AF25" s="2">
        <f>MAX(0, AE25*(1+Forecast!$B12))</f>
        <v>0</v>
      </c>
      <c r="AG25" s="2">
        <f>MAX(0, AF25*(1+Forecast!$B12))</f>
        <v>0</v>
      </c>
    </row>
    <row r="27" spans="1:33" x14ac:dyDescent="0.3">
      <c r="A27" s="16" t="s">
        <v>39</v>
      </c>
      <c r="B27" s="1">
        <v>2019</v>
      </c>
      <c r="C27" s="1">
        <v>2020</v>
      </c>
      <c r="D27" s="1">
        <v>2021</v>
      </c>
      <c r="E27" s="1">
        <v>2022</v>
      </c>
      <c r="F27" s="1">
        <v>2023</v>
      </c>
      <c r="G27" s="1">
        <v>2024</v>
      </c>
      <c r="H27" s="1">
        <v>2025</v>
      </c>
      <c r="I27" s="1">
        <v>2026</v>
      </c>
      <c r="J27" s="1">
        <v>2027</v>
      </c>
      <c r="K27" s="1">
        <v>2028</v>
      </c>
      <c r="L27" s="1">
        <v>2029</v>
      </c>
      <c r="M27" s="1">
        <v>2030</v>
      </c>
      <c r="N27" s="1">
        <v>2031</v>
      </c>
      <c r="O27" s="1">
        <v>2032</v>
      </c>
      <c r="P27" s="1">
        <v>2033</v>
      </c>
      <c r="Q27" s="1">
        <v>2034</v>
      </c>
      <c r="R27" s="1">
        <v>2035</v>
      </c>
      <c r="S27" s="1">
        <v>2036</v>
      </c>
      <c r="T27" s="1">
        <v>2037</v>
      </c>
      <c r="U27" s="1">
        <v>2038</v>
      </c>
      <c r="V27" s="1">
        <v>2039</v>
      </c>
      <c r="W27" s="1">
        <v>2040</v>
      </c>
      <c r="X27" s="1">
        <v>2041</v>
      </c>
      <c r="Y27" s="1">
        <v>2042</v>
      </c>
      <c r="Z27" s="1">
        <v>2043</v>
      </c>
      <c r="AA27" s="1">
        <v>2044</v>
      </c>
      <c r="AB27" s="1">
        <v>2045</v>
      </c>
      <c r="AC27" s="1">
        <v>2046</v>
      </c>
      <c r="AD27" s="1">
        <v>2047</v>
      </c>
      <c r="AE27" s="1">
        <v>2048</v>
      </c>
      <c r="AF27" s="1">
        <v>2049</v>
      </c>
      <c r="AG27" s="1">
        <v>2050</v>
      </c>
    </row>
    <row r="28" spans="1:33" x14ac:dyDescent="0.3">
      <c r="A28" s="16" t="s">
        <v>2</v>
      </c>
      <c r="B28" s="2">
        <f>INDEX(SYCEU!$B$14:$G$23, MATCH($A28, SYCEU!$A$2:$A$11, 0), MATCH(Urban_res_calculation!$A$27, SYCEU!$B$1:$G$1, 0))</f>
        <v>0</v>
      </c>
      <c r="C28" s="2">
        <f>INDEX('2020'!$B$14:$G$23, MATCH($A28, '2020'!$A$2:$A$11, 0), MATCH(Urban_res_calculation!$A$27, '2020'!$B$1:$G$1, 0))</f>
        <v>0</v>
      </c>
      <c r="D28" s="2">
        <f>INDEX('2021'!$B$14:$G$23, MATCH($A28, '2021'!$A$2:$A$11, 0), MATCH(Urban_res_calculation!$A$27, '2021'!$B$1:$G$1, 0))</f>
        <v>0</v>
      </c>
      <c r="E28" s="2">
        <f>MAX(0, D28*(1+Forecast!$B3))</f>
        <v>0</v>
      </c>
      <c r="F28" s="2">
        <f>MAX(0, E28*(1+Forecast!$B3))</f>
        <v>0</v>
      </c>
      <c r="G28" s="2">
        <f>MAX(0, F28*(1+Forecast!$B3))</f>
        <v>0</v>
      </c>
      <c r="H28" s="2">
        <f>MAX(0, G28*(1+Forecast!$B3))</f>
        <v>0</v>
      </c>
      <c r="I28" s="2">
        <f>MAX(0, H28*(1+Forecast!$B3))</f>
        <v>0</v>
      </c>
      <c r="J28" s="2">
        <f>MAX(0, I28*(1+Forecast!$B3))</f>
        <v>0</v>
      </c>
      <c r="K28" s="2">
        <f>MAX(0, J28*(1+Forecast!$B3))</f>
        <v>0</v>
      </c>
      <c r="L28" s="2">
        <f>MAX(0, K28*(1+Forecast!$B3))</f>
        <v>0</v>
      </c>
      <c r="M28" s="2">
        <f>MAX(0, L28*(1+Forecast!$B3))</f>
        <v>0</v>
      </c>
      <c r="N28" s="2">
        <f>MAX(0, M28*(1+Forecast!$B3))</f>
        <v>0</v>
      </c>
      <c r="O28" s="2">
        <f>MAX(0, N28*(1+Forecast!$B3))</f>
        <v>0</v>
      </c>
      <c r="P28" s="2">
        <f>MAX(0, O28*(1+Forecast!$B3))</f>
        <v>0</v>
      </c>
      <c r="Q28" s="2">
        <f>MAX(0, P28*(1+Forecast!$B3))</f>
        <v>0</v>
      </c>
      <c r="R28" s="2">
        <f>MAX(0, Q28*(1+Forecast!$B3))</f>
        <v>0</v>
      </c>
      <c r="S28" s="2">
        <f>MAX(0, R28*(1+Forecast!$B3))</f>
        <v>0</v>
      </c>
      <c r="T28" s="2">
        <f>MAX(0, S28*(1+Forecast!$B3))</f>
        <v>0</v>
      </c>
      <c r="U28" s="2">
        <f>MAX(0, T28*(1+Forecast!$B3))</f>
        <v>0</v>
      </c>
      <c r="V28" s="2">
        <f>MAX(0, U28*(1+Forecast!$B3))</f>
        <v>0</v>
      </c>
      <c r="W28" s="2">
        <f>MAX(0, V28*(1+Forecast!$B3))</f>
        <v>0</v>
      </c>
      <c r="X28" s="2">
        <f>MAX(0, W28*(1+Forecast!$B3))</f>
        <v>0</v>
      </c>
      <c r="Y28" s="2">
        <f>MAX(0, X28*(1+Forecast!$B3))</f>
        <v>0</v>
      </c>
      <c r="Z28" s="2">
        <f>MAX(0, Y28*(1+Forecast!$B3))</f>
        <v>0</v>
      </c>
      <c r="AA28" s="2">
        <f>MAX(0, Z28*(1+Forecast!$B3))</f>
        <v>0</v>
      </c>
      <c r="AB28" s="2">
        <f>MAX(0, AA28*(1+Forecast!$B3))</f>
        <v>0</v>
      </c>
      <c r="AC28" s="2">
        <f>MAX(0, AB28*(1+Forecast!$B3))</f>
        <v>0</v>
      </c>
      <c r="AD28" s="2">
        <f>MAX(0, AC28*(1+Forecast!$B3))</f>
        <v>0</v>
      </c>
      <c r="AE28" s="2">
        <f>MAX(0, AD28*(1+Forecast!$B3))</f>
        <v>0</v>
      </c>
      <c r="AF28" s="2">
        <f>MAX(0, AE28*(1+Forecast!$B3))</f>
        <v>0</v>
      </c>
      <c r="AG28" s="2">
        <f>MAX(0, AF28*(1+Forecast!$B3))</f>
        <v>0</v>
      </c>
    </row>
    <row r="29" spans="1:33" x14ac:dyDescent="0.3">
      <c r="A29" s="16" t="s">
        <v>3</v>
      </c>
      <c r="B29" s="2">
        <f>INDEX(SYCEU!$B$14:$G$23, MATCH($A29, SYCEU!$A$2:$A$11, 0), MATCH(Urban_res_calculation!$A$27, SYCEU!$B$1:$G$1, 0))</f>
        <v>0</v>
      </c>
      <c r="C29" s="2">
        <f>INDEX('2020'!$B$14:$G$23, MATCH($A29, '2020'!$A$2:$A$11, 0), MATCH(Urban_res_calculation!$A$27, '2020'!$B$1:$G$1, 0))</f>
        <v>0</v>
      </c>
      <c r="D29" s="2">
        <f>INDEX('2021'!$B$14:$G$23, MATCH($A29, '2021'!$A$2:$A$11, 0), MATCH(Urban_res_calculation!$A$27, '2021'!$B$1:$G$1, 0))</f>
        <v>0</v>
      </c>
      <c r="E29" s="2">
        <f>MAX(0, D29*(1+Forecast!$B4))</f>
        <v>0</v>
      </c>
      <c r="F29" s="2">
        <f>MAX(0, E29*(1+Forecast!$B4))</f>
        <v>0</v>
      </c>
      <c r="G29" s="2">
        <f>MAX(0, F29*(1+Forecast!$B4))</f>
        <v>0</v>
      </c>
      <c r="H29" s="2">
        <f>MAX(0, G29*(1+Forecast!$B4))</f>
        <v>0</v>
      </c>
      <c r="I29" s="2">
        <f>MAX(0, H29*(1+Forecast!$B4))</f>
        <v>0</v>
      </c>
      <c r="J29" s="2">
        <f>MAX(0, I29*(1+Forecast!$B4))</f>
        <v>0</v>
      </c>
      <c r="K29" s="2">
        <f>MAX(0, J29*(1+Forecast!$B4))</f>
        <v>0</v>
      </c>
      <c r="L29" s="2">
        <f>MAX(0, K29*(1+Forecast!$B4))</f>
        <v>0</v>
      </c>
      <c r="M29" s="2">
        <f>MAX(0, L29*(1+Forecast!$B4))</f>
        <v>0</v>
      </c>
      <c r="N29" s="2">
        <f>MAX(0, M29*(1+Forecast!$B4))</f>
        <v>0</v>
      </c>
      <c r="O29" s="2">
        <f>MAX(0, N29*(1+Forecast!$B4))</f>
        <v>0</v>
      </c>
      <c r="P29" s="2">
        <f>MAX(0, O29*(1+Forecast!$B4))</f>
        <v>0</v>
      </c>
      <c r="Q29" s="2">
        <f>MAX(0, P29*(1+Forecast!$B4))</f>
        <v>0</v>
      </c>
      <c r="R29" s="2">
        <f>MAX(0, Q29*(1+Forecast!$B4))</f>
        <v>0</v>
      </c>
      <c r="S29" s="2">
        <f>MAX(0, R29*(1+Forecast!$B4))</f>
        <v>0</v>
      </c>
      <c r="T29" s="2">
        <f>MAX(0, S29*(1+Forecast!$B4))</f>
        <v>0</v>
      </c>
      <c r="U29" s="2">
        <f>MAX(0, T29*(1+Forecast!$B4))</f>
        <v>0</v>
      </c>
      <c r="V29" s="2">
        <f>MAX(0, U29*(1+Forecast!$B4))</f>
        <v>0</v>
      </c>
      <c r="W29" s="2">
        <f>MAX(0, V29*(1+Forecast!$B4))</f>
        <v>0</v>
      </c>
      <c r="X29" s="2">
        <f>MAX(0, W29*(1+Forecast!$B4))</f>
        <v>0</v>
      </c>
      <c r="Y29" s="2">
        <f>MAX(0, X29*(1+Forecast!$B4))</f>
        <v>0</v>
      </c>
      <c r="Z29" s="2">
        <f>MAX(0, Y29*(1+Forecast!$B4))</f>
        <v>0</v>
      </c>
      <c r="AA29" s="2">
        <f>MAX(0, Z29*(1+Forecast!$B4))</f>
        <v>0</v>
      </c>
      <c r="AB29" s="2">
        <f>MAX(0, AA29*(1+Forecast!$B4))</f>
        <v>0</v>
      </c>
      <c r="AC29" s="2">
        <f>MAX(0, AB29*(1+Forecast!$B4))</f>
        <v>0</v>
      </c>
      <c r="AD29" s="2">
        <f>MAX(0, AC29*(1+Forecast!$B4))</f>
        <v>0</v>
      </c>
      <c r="AE29" s="2">
        <f>MAX(0, AD29*(1+Forecast!$B4))</f>
        <v>0</v>
      </c>
      <c r="AF29" s="2">
        <f>MAX(0, AE29*(1+Forecast!$B4))</f>
        <v>0</v>
      </c>
      <c r="AG29" s="2">
        <f>MAX(0, AF29*(1+Forecast!$B4))</f>
        <v>0</v>
      </c>
    </row>
    <row r="30" spans="1:33" x14ac:dyDescent="0.3">
      <c r="A30" s="16" t="s">
        <v>4</v>
      </c>
      <c r="B30" s="2">
        <f>INDEX(SYCEU!$B$14:$G$23, MATCH($A30, SYCEU!$A$2:$A$11, 0), MATCH(Urban_res_calculation!$A$27, SYCEU!$B$1:$G$1, 0))</f>
        <v>0</v>
      </c>
      <c r="C30" s="2">
        <f>INDEX('2020'!$B$14:$G$23, MATCH($A30, '2020'!$A$2:$A$11, 0), MATCH(Urban_res_calculation!$A$27, '2020'!$B$1:$G$1, 0))</f>
        <v>0</v>
      </c>
      <c r="D30" s="2">
        <f>INDEX('2021'!$B$14:$G$23, MATCH($A30, '2021'!$A$2:$A$11, 0), MATCH(Urban_res_calculation!$A$27, '2021'!$B$1:$G$1, 0))</f>
        <v>0</v>
      </c>
      <c r="E30" s="2">
        <f>MAX(0, D30*(1+Forecast!$B5))</f>
        <v>0</v>
      </c>
      <c r="F30" s="2">
        <f>MAX(0, E30*(1+Forecast!$B5))</f>
        <v>0</v>
      </c>
      <c r="G30" s="2">
        <f>MAX(0, F30*(1+Forecast!$B5))</f>
        <v>0</v>
      </c>
      <c r="H30" s="2">
        <f>MAX(0, G30*(1+Forecast!$B5))</f>
        <v>0</v>
      </c>
      <c r="I30" s="2">
        <f>MAX(0, H30*(1+Forecast!$B5))</f>
        <v>0</v>
      </c>
      <c r="J30" s="2">
        <f>MAX(0, I30*(1+Forecast!$B5))</f>
        <v>0</v>
      </c>
      <c r="K30" s="2">
        <f>MAX(0, J30*(1+Forecast!$B5))</f>
        <v>0</v>
      </c>
      <c r="L30" s="2">
        <f>MAX(0, K30*(1+Forecast!$B5))</f>
        <v>0</v>
      </c>
      <c r="M30" s="2">
        <f>MAX(0, L30*(1+Forecast!$B5))</f>
        <v>0</v>
      </c>
      <c r="N30" s="2">
        <f>MAX(0, M30*(1+Forecast!$B5))</f>
        <v>0</v>
      </c>
      <c r="O30" s="2">
        <f>MAX(0, N30*(1+Forecast!$B5))</f>
        <v>0</v>
      </c>
      <c r="P30" s="2">
        <f>MAX(0, O30*(1+Forecast!$B5))</f>
        <v>0</v>
      </c>
      <c r="Q30" s="2">
        <f>MAX(0, P30*(1+Forecast!$B5))</f>
        <v>0</v>
      </c>
      <c r="R30" s="2">
        <f>MAX(0, Q30*(1+Forecast!$B5))</f>
        <v>0</v>
      </c>
      <c r="S30" s="2">
        <f>MAX(0, R30*(1+Forecast!$B5))</f>
        <v>0</v>
      </c>
      <c r="T30" s="2">
        <f>MAX(0, S30*(1+Forecast!$B5))</f>
        <v>0</v>
      </c>
      <c r="U30" s="2">
        <f>MAX(0, T30*(1+Forecast!$B5))</f>
        <v>0</v>
      </c>
      <c r="V30" s="2">
        <f>MAX(0, U30*(1+Forecast!$B5))</f>
        <v>0</v>
      </c>
      <c r="W30" s="2">
        <f>MAX(0, V30*(1+Forecast!$B5))</f>
        <v>0</v>
      </c>
      <c r="X30" s="2">
        <f>MAX(0, W30*(1+Forecast!$B5))</f>
        <v>0</v>
      </c>
      <c r="Y30" s="2">
        <f>MAX(0, X30*(1+Forecast!$B5))</f>
        <v>0</v>
      </c>
      <c r="Z30" s="2">
        <f>MAX(0, Y30*(1+Forecast!$B5))</f>
        <v>0</v>
      </c>
      <c r="AA30" s="2">
        <f>MAX(0, Z30*(1+Forecast!$B5))</f>
        <v>0</v>
      </c>
      <c r="AB30" s="2">
        <f>MAX(0, AA30*(1+Forecast!$B5))</f>
        <v>0</v>
      </c>
      <c r="AC30" s="2">
        <f>MAX(0, AB30*(1+Forecast!$B5))</f>
        <v>0</v>
      </c>
      <c r="AD30" s="2">
        <f>MAX(0, AC30*(1+Forecast!$B5))</f>
        <v>0</v>
      </c>
      <c r="AE30" s="2">
        <f>MAX(0, AD30*(1+Forecast!$B5))</f>
        <v>0</v>
      </c>
      <c r="AF30" s="2">
        <f>MAX(0, AE30*(1+Forecast!$B5))</f>
        <v>0</v>
      </c>
      <c r="AG30" s="2">
        <f>MAX(0, AF30*(1+Forecast!$B5))</f>
        <v>0</v>
      </c>
    </row>
    <row r="31" spans="1:33" x14ac:dyDescent="0.3">
      <c r="A31" s="16" t="s">
        <v>5</v>
      </c>
      <c r="B31" s="2">
        <f>INDEX(SYCEU!$B$14:$G$23, MATCH($A31, SYCEU!$A$2:$A$11, 0), MATCH(Urban_res_calculation!$A$27, SYCEU!$B$1:$G$1, 0))</f>
        <v>0</v>
      </c>
      <c r="C31" s="2">
        <f>INDEX('2020'!$B$14:$G$23, MATCH($A31, '2020'!$A$2:$A$11, 0), MATCH(Urban_res_calculation!$A$27, '2020'!$B$1:$G$1, 0))</f>
        <v>0</v>
      </c>
      <c r="D31" s="2">
        <f>INDEX('2021'!$B$14:$G$23, MATCH($A31, '2021'!$A$2:$A$11, 0), MATCH(Urban_res_calculation!$A$27, '2021'!$B$1:$G$1, 0))</f>
        <v>0</v>
      </c>
      <c r="E31" s="2">
        <f>MAX(0, D31*(1+Forecast!$B6))</f>
        <v>0</v>
      </c>
      <c r="F31" s="2">
        <f>MAX(0, E31*(1+Forecast!$B6))</f>
        <v>0</v>
      </c>
      <c r="G31" s="2">
        <f>MAX(0, F31*(1+Forecast!$B6))</f>
        <v>0</v>
      </c>
      <c r="H31" s="2">
        <f>MAX(0, G31*(1+Forecast!$B6))</f>
        <v>0</v>
      </c>
      <c r="I31" s="2">
        <f>MAX(0, H31*(1+Forecast!$B6))</f>
        <v>0</v>
      </c>
      <c r="J31" s="2">
        <f>MAX(0, I31*(1+Forecast!$B6))</f>
        <v>0</v>
      </c>
      <c r="K31" s="2">
        <f>MAX(0, J31*(1+Forecast!$B6))</f>
        <v>0</v>
      </c>
      <c r="L31" s="2">
        <f>MAX(0, K31*(1+Forecast!$B6))</f>
        <v>0</v>
      </c>
      <c r="M31" s="2">
        <f>MAX(0, L31*(1+Forecast!$B6))</f>
        <v>0</v>
      </c>
      <c r="N31" s="2">
        <f>MAX(0, M31*(1+Forecast!$B6))</f>
        <v>0</v>
      </c>
      <c r="O31" s="2">
        <f>MAX(0, N31*(1+Forecast!$B6))</f>
        <v>0</v>
      </c>
      <c r="P31" s="2">
        <f>MAX(0, O31*(1+Forecast!$B6))</f>
        <v>0</v>
      </c>
      <c r="Q31" s="2">
        <f>MAX(0, P31*(1+Forecast!$B6))</f>
        <v>0</v>
      </c>
      <c r="R31" s="2">
        <f>MAX(0, Q31*(1+Forecast!$B6))</f>
        <v>0</v>
      </c>
      <c r="S31" s="2">
        <f>MAX(0, R31*(1+Forecast!$B6))</f>
        <v>0</v>
      </c>
      <c r="T31" s="2">
        <f>MAX(0, S31*(1+Forecast!$B6))</f>
        <v>0</v>
      </c>
      <c r="U31" s="2">
        <f>MAX(0, T31*(1+Forecast!$B6))</f>
        <v>0</v>
      </c>
      <c r="V31" s="2">
        <f>MAX(0, U31*(1+Forecast!$B6))</f>
        <v>0</v>
      </c>
      <c r="W31" s="2">
        <f>MAX(0, V31*(1+Forecast!$B6))</f>
        <v>0</v>
      </c>
      <c r="X31" s="2">
        <f>MAX(0, W31*(1+Forecast!$B6))</f>
        <v>0</v>
      </c>
      <c r="Y31" s="2">
        <f>MAX(0, X31*(1+Forecast!$B6))</f>
        <v>0</v>
      </c>
      <c r="Z31" s="2">
        <f>MAX(0, Y31*(1+Forecast!$B6))</f>
        <v>0</v>
      </c>
      <c r="AA31" s="2">
        <f>MAX(0, Z31*(1+Forecast!$B6))</f>
        <v>0</v>
      </c>
      <c r="AB31" s="2">
        <f>MAX(0, AA31*(1+Forecast!$B6))</f>
        <v>0</v>
      </c>
      <c r="AC31" s="2">
        <f>MAX(0, AB31*(1+Forecast!$B6))</f>
        <v>0</v>
      </c>
      <c r="AD31" s="2">
        <f>MAX(0, AC31*(1+Forecast!$B6))</f>
        <v>0</v>
      </c>
      <c r="AE31" s="2">
        <f>MAX(0, AD31*(1+Forecast!$B6))</f>
        <v>0</v>
      </c>
      <c r="AF31" s="2">
        <f>MAX(0, AE31*(1+Forecast!$B6))</f>
        <v>0</v>
      </c>
      <c r="AG31" s="2">
        <f>MAX(0, AF31*(1+Forecast!$B6))</f>
        <v>0</v>
      </c>
    </row>
    <row r="32" spans="1:33" x14ac:dyDescent="0.3">
      <c r="A32" s="16" t="s">
        <v>7</v>
      </c>
      <c r="B32" s="2">
        <f>INDEX(SYCEU!$B$14:$G$23, MATCH($A32, SYCEU!$A$2:$A$11, 0), MATCH(Urban_res_calculation!$A$27, SYCEU!$B$1:$G$1, 0))</f>
        <v>0</v>
      </c>
      <c r="C32" s="2">
        <f>INDEX('2020'!$B$14:$G$23, MATCH($A32, '2020'!$A$2:$A$11, 0), MATCH(Urban_res_calculation!$A$27, '2020'!$B$1:$G$1, 0))</f>
        <v>0</v>
      </c>
      <c r="D32" s="2">
        <f>INDEX('2021'!$B$14:$G$23, MATCH($A32, '2021'!$A$2:$A$11, 0), MATCH(Urban_res_calculation!$A$27, '2021'!$B$1:$G$1, 0))</f>
        <v>0</v>
      </c>
      <c r="E32" s="2">
        <f>MAX(0, D32*(1+Forecast!$B7))</f>
        <v>0</v>
      </c>
      <c r="F32" s="2">
        <f>MAX(0, E32*(1+Forecast!$B7))</f>
        <v>0</v>
      </c>
      <c r="G32" s="2">
        <f>MAX(0, F32*(1+Forecast!$B7))</f>
        <v>0</v>
      </c>
      <c r="H32" s="2">
        <f>MAX(0, G32*(1+Forecast!$B7))</f>
        <v>0</v>
      </c>
      <c r="I32" s="2">
        <f>MAX(0, H32*(1+Forecast!$B7))</f>
        <v>0</v>
      </c>
      <c r="J32" s="2">
        <f>MAX(0, I32*(1+Forecast!$B7))</f>
        <v>0</v>
      </c>
      <c r="K32" s="2">
        <f>MAX(0, J32*(1+Forecast!$B7))</f>
        <v>0</v>
      </c>
      <c r="L32" s="2">
        <f>MAX(0, K32*(1+Forecast!$B7))</f>
        <v>0</v>
      </c>
      <c r="M32" s="2">
        <f>MAX(0, L32*(1+Forecast!$B7))</f>
        <v>0</v>
      </c>
      <c r="N32" s="2">
        <f>MAX(0, M32*(1+Forecast!$B7))</f>
        <v>0</v>
      </c>
      <c r="O32" s="2">
        <f>MAX(0, N32*(1+Forecast!$B7))</f>
        <v>0</v>
      </c>
      <c r="P32" s="2">
        <f>MAX(0, O32*(1+Forecast!$B7))</f>
        <v>0</v>
      </c>
      <c r="Q32" s="2">
        <f>MAX(0, P32*(1+Forecast!$B7))</f>
        <v>0</v>
      </c>
      <c r="R32" s="2">
        <f>MAX(0, Q32*(1+Forecast!$B7))</f>
        <v>0</v>
      </c>
      <c r="S32" s="2">
        <f>MAX(0, R32*(1+Forecast!$B7))</f>
        <v>0</v>
      </c>
      <c r="T32" s="2">
        <f>MAX(0, S32*(1+Forecast!$B7))</f>
        <v>0</v>
      </c>
      <c r="U32" s="2">
        <f>MAX(0, T32*(1+Forecast!$B7))</f>
        <v>0</v>
      </c>
      <c r="V32" s="2">
        <f>MAX(0, U32*(1+Forecast!$B7))</f>
        <v>0</v>
      </c>
      <c r="W32" s="2">
        <f>MAX(0, V32*(1+Forecast!$B7))</f>
        <v>0</v>
      </c>
      <c r="X32" s="2">
        <f>MAX(0, W32*(1+Forecast!$B7))</f>
        <v>0</v>
      </c>
      <c r="Y32" s="2">
        <f>MAX(0, X32*(1+Forecast!$B7))</f>
        <v>0</v>
      </c>
      <c r="Z32" s="2">
        <f>MAX(0, Y32*(1+Forecast!$B7))</f>
        <v>0</v>
      </c>
      <c r="AA32" s="2">
        <f>MAX(0, Z32*(1+Forecast!$B7))</f>
        <v>0</v>
      </c>
      <c r="AB32" s="2">
        <f>MAX(0, AA32*(1+Forecast!$B7))</f>
        <v>0</v>
      </c>
      <c r="AC32" s="2">
        <f>MAX(0, AB32*(1+Forecast!$B7))</f>
        <v>0</v>
      </c>
      <c r="AD32" s="2">
        <f>MAX(0, AC32*(1+Forecast!$B7))</f>
        <v>0</v>
      </c>
      <c r="AE32" s="2">
        <f>MAX(0, AD32*(1+Forecast!$B7))</f>
        <v>0</v>
      </c>
      <c r="AF32" s="2">
        <f>MAX(0, AE32*(1+Forecast!$B7))</f>
        <v>0</v>
      </c>
      <c r="AG32" s="2">
        <f>MAX(0, AF32*(1+Forecast!$B7))</f>
        <v>0</v>
      </c>
    </row>
    <row r="33" spans="1:33" x14ac:dyDescent="0.3">
      <c r="A33" s="16" t="s">
        <v>11</v>
      </c>
      <c r="B33" s="2">
        <f>INDEX(SYCEU!$B$14:$G$23, MATCH($A33, SYCEU!$A$2:$A$11, 0), MATCH(Urban_res_calculation!$A$27, SYCEU!$B$1:$G$1, 0))</f>
        <v>0</v>
      </c>
      <c r="C33" s="2">
        <f>INDEX('2020'!$B$14:$G$23, MATCH($A33, '2020'!$A$2:$A$11, 0), MATCH(Urban_res_calculation!$A$27, '2020'!$B$1:$G$1, 0))</f>
        <v>0</v>
      </c>
      <c r="D33" s="2">
        <f>INDEX('2021'!$B$14:$G$23, MATCH($A33, '2021'!$A$2:$A$11, 0), MATCH(Urban_res_calculation!$A$27, '2021'!$B$1:$G$1, 0))</f>
        <v>0</v>
      </c>
      <c r="E33" s="2">
        <f>MAX(0, D33*(1+Forecast!$B8))</f>
        <v>0</v>
      </c>
      <c r="F33" s="2">
        <f>MAX(0, E33*(1+Forecast!$B8))</f>
        <v>0</v>
      </c>
      <c r="G33" s="2">
        <f>MAX(0, F33*(1+Forecast!$B8))</f>
        <v>0</v>
      </c>
      <c r="H33" s="2">
        <f>MAX(0, G33*(1+Forecast!$B8))</f>
        <v>0</v>
      </c>
      <c r="I33" s="2">
        <f>MAX(0, H33*(1+Forecast!$B8))</f>
        <v>0</v>
      </c>
      <c r="J33" s="2">
        <f>MAX(0, I33*(1+Forecast!$B8))</f>
        <v>0</v>
      </c>
      <c r="K33" s="2">
        <f>MAX(0, J33*(1+Forecast!$B8))</f>
        <v>0</v>
      </c>
      <c r="L33" s="2">
        <f>MAX(0, K33*(1+Forecast!$B8))</f>
        <v>0</v>
      </c>
      <c r="M33" s="2">
        <f>MAX(0, L33*(1+Forecast!$B8))</f>
        <v>0</v>
      </c>
      <c r="N33" s="2">
        <f>MAX(0, M33*(1+Forecast!$B8))</f>
        <v>0</v>
      </c>
      <c r="O33" s="2">
        <f>MAX(0, N33*(1+Forecast!$B8))</f>
        <v>0</v>
      </c>
      <c r="P33" s="2">
        <f>MAX(0, O33*(1+Forecast!$B8))</f>
        <v>0</v>
      </c>
      <c r="Q33" s="2">
        <f>MAX(0, P33*(1+Forecast!$B8))</f>
        <v>0</v>
      </c>
      <c r="R33" s="2">
        <f>MAX(0, Q33*(1+Forecast!$B8))</f>
        <v>0</v>
      </c>
      <c r="S33" s="2">
        <f>MAX(0, R33*(1+Forecast!$B8))</f>
        <v>0</v>
      </c>
      <c r="T33" s="2">
        <f>MAX(0, S33*(1+Forecast!$B8))</f>
        <v>0</v>
      </c>
      <c r="U33" s="2">
        <f>MAX(0, T33*(1+Forecast!$B8))</f>
        <v>0</v>
      </c>
      <c r="V33" s="2">
        <f>MAX(0, U33*(1+Forecast!$B8))</f>
        <v>0</v>
      </c>
      <c r="W33" s="2">
        <f>MAX(0, V33*(1+Forecast!$B8))</f>
        <v>0</v>
      </c>
      <c r="X33" s="2">
        <f>MAX(0, W33*(1+Forecast!$B8))</f>
        <v>0</v>
      </c>
      <c r="Y33" s="2">
        <f>MAX(0, X33*(1+Forecast!$B8))</f>
        <v>0</v>
      </c>
      <c r="Z33" s="2">
        <f>MAX(0, Y33*(1+Forecast!$B8))</f>
        <v>0</v>
      </c>
      <c r="AA33" s="2">
        <f>MAX(0, Z33*(1+Forecast!$B8))</f>
        <v>0</v>
      </c>
      <c r="AB33" s="2">
        <f>MAX(0, AA33*(1+Forecast!$B8))</f>
        <v>0</v>
      </c>
      <c r="AC33" s="2">
        <f>MAX(0, AB33*(1+Forecast!$B8))</f>
        <v>0</v>
      </c>
      <c r="AD33" s="2">
        <f>MAX(0, AC33*(1+Forecast!$B8))</f>
        <v>0</v>
      </c>
      <c r="AE33" s="2">
        <f>MAX(0, AD33*(1+Forecast!$B8))</f>
        <v>0</v>
      </c>
      <c r="AF33" s="2">
        <f>MAX(0, AE33*(1+Forecast!$B8))</f>
        <v>0</v>
      </c>
      <c r="AG33" s="2">
        <f>MAX(0, AF33*(1+Forecast!$B8))</f>
        <v>0</v>
      </c>
    </row>
    <row r="34" spans="1:33" x14ac:dyDescent="0.3">
      <c r="A34" s="16" t="s">
        <v>13</v>
      </c>
      <c r="B34" s="2">
        <f>INDEX(SYCEU!$B$14:$G$23, MATCH($A34, SYCEU!$A$2:$A$11, 0), MATCH(Urban_res_calculation!$A$27, SYCEU!$B$1:$G$1, 0))</f>
        <v>0</v>
      </c>
      <c r="C34" s="2">
        <f>INDEX('2020'!$B$14:$G$23, MATCH($A34, '2020'!$A$2:$A$11, 0), MATCH(Urban_res_calculation!$A$27, '2020'!$B$1:$G$1, 0))</f>
        <v>0</v>
      </c>
      <c r="D34" s="2">
        <f>INDEX('2021'!$B$14:$G$23, MATCH($A34, '2021'!$A$2:$A$11, 0), MATCH(Urban_res_calculation!$A$27, '2021'!$B$1:$G$1, 0))</f>
        <v>0</v>
      </c>
      <c r="E34" s="2">
        <f>MAX(0, D34*(1+Forecast!$B9))</f>
        <v>0</v>
      </c>
      <c r="F34" s="2">
        <f>MAX(0, E34*(1+Forecast!$B9))</f>
        <v>0</v>
      </c>
      <c r="G34" s="2">
        <f>MAX(0, F34*(1+Forecast!$B9))</f>
        <v>0</v>
      </c>
      <c r="H34" s="2">
        <f>MAX(0, G34*(1+Forecast!$B9))</f>
        <v>0</v>
      </c>
      <c r="I34" s="2">
        <f>MAX(0, H34*(1+Forecast!$B9))</f>
        <v>0</v>
      </c>
      <c r="J34" s="2">
        <f>MAX(0, I34*(1+Forecast!$B9))</f>
        <v>0</v>
      </c>
      <c r="K34" s="2">
        <f>MAX(0, J34*(1+Forecast!$B9))</f>
        <v>0</v>
      </c>
      <c r="L34" s="2">
        <f>MAX(0, K34*(1+Forecast!$B9))</f>
        <v>0</v>
      </c>
      <c r="M34" s="2">
        <f>MAX(0, L34*(1+Forecast!$B9))</f>
        <v>0</v>
      </c>
      <c r="N34" s="2">
        <f>MAX(0, M34*(1+Forecast!$B9))</f>
        <v>0</v>
      </c>
      <c r="O34" s="2">
        <f>MAX(0, N34*(1+Forecast!$B9))</f>
        <v>0</v>
      </c>
      <c r="P34" s="2">
        <f>MAX(0, O34*(1+Forecast!$B9))</f>
        <v>0</v>
      </c>
      <c r="Q34" s="2">
        <f>MAX(0, P34*(1+Forecast!$B9))</f>
        <v>0</v>
      </c>
      <c r="R34" s="2">
        <f>MAX(0, Q34*(1+Forecast!$B9))</f>
        <v>0</v>
      </c>
      <c r="S34" s="2">
        <f>MAX(0, R34*(1+Forecast!$B9))</f>
        <v>0</v>
      </c>
      <c r="T34" s="2">
        <f>MAX(0, S34*(1+Forecast!$B9))</f>
        <v>0</v>
      </c>
      <c r="U34" s="2">
        <f>MAX(0, T34*(1+Forecast!$B9))</f>
        <v>0</v>
      </c>
      <c r="V34" s="2">
        <f>MAX(0, U34*(1+Forecast!$B9))</f>
        <v>0</v>
      </c>
      <c r="W34" s="2">
        <f>MAX(0, V34*(1+Forecast!$B9))</f>
        <v>0</v>
      </c>
      <c r="X34" s="2">
        <f>MAX(0, W34*(1+Forecast!$B9))</f>
        <v>0</v>
      </c>
      <c r="Y34" s="2">
        <f>MAX(0, X34*(1+Forecast!$B9))</f>
        <v>0</v>
      </c>
      <c r="Z34" s="2">
        <f>MAX(0, Y34*(1+Forecast!$B9))</f>
        <v>0</v>
      </c>
      <c r="AA34" s="2">
        <f>MAX(0, Z34*(1+Forecast!$B9))</f>
        <v>0</v>
      </c>
      <c r="AB34" s="2">
        <f>MAX(0, AA34*(1+Forecast!$B9))</f>
        <v>0</v>
      </c>
      <c r="AC34" s="2">
        <f>MAX(0, AB34*(1+Forecast!$B9))</f>
        <v>0</v>
      </c>
      <c r="AD34" s="2">
        <f>MAX(0, AC34*(1+Forecast!$B9))</f>
        <v>0</v>
      </c>
      <c r="AE34" s="2">
        <f>MAX(0, AD34*(1+Forecast!$B9))</f>
        <v>0</v>
      </c>
      <c r="AF34" s="2">
        <f>MAX(0, AE34*(1+Forecast!$B9))</f>
        <v>0</v>
      </c>
      <c r="AG34" s="2">
        <f>MAX(0, AF34*(1+Forecast!$B9))</f>
        <v>0</v>
      </c>
    </row>
    <row r="35" spans="1:33" x14ac:dyDescent="0.3">
      <c r="A35" s="16" t="s">
        <v>14</v>
      </c>
      <c r="B35" s="2">
        <f>INDEX(SYCEU!$B$14:$G$23, MATCH($A35, SYCEU!$A$2:$A$11, 0), MATCH(Urban_res_calculation!$A$27, SYCEU!$B$1:$G$1, 0))</f>
        <v>0</v>
      </c>
      <c r="C35" s="2">
        <f>INDEX('2020'!$B$14:$G$23, MATCH($A35, '2020'!$A$2:$A$11, 0), MATCH(Urban_res_calculation!$A$27, '2020'!$B$1:$G$1, 0))</f>
        <v>0</v>
      </c>
      <c r="D35" s="2">
        <f>INDEX('2021'!$B$14:$G$23, MATCH($A35, '2021'!$A$2:$A$11, 0), MATCH(Urban_res_calculation!$A$27, '2021'!$B$1:$G$1, 0))</f>
        <v>0</v>
      </c>
      <c r="E35" s="2">
        <f>MAX(0, D35*(1+Forecast!$B10))</f>
        <v>0</v>
      </c>
      <c r="F35" s="2">
        <f>MAX(0, E35*(1+Forecast!$B10))</f>
        <v>0</v>
      </c>
      <c r="G35" s="2">
        <f>MAX(0, F35*(1+Forecast!$B10))</f>
        <v>0</v>
      </c>
      <c r="H35" s="2">
        <f>MAX(0, G35*(1+Forecast!$B10))</f>
        <v>0</v>
      </c>
      <c r="I35" s="2">
        <f>MAX(0, H35*(1+Forecast!$B10))</f>
        <v>0</v>
      </c>
      <c r="J35" s="2">
        <f>MAX(0, I35*(1+Forecast!$B10))</f>
        <v>0</v>
      </c>
      <c r="K35" s="2">
        <f>MAX(0, J35*(1+Forecast!$B10))</f>
        <v>0</v>
      </c>
      <c r="L35" s="2">
        <f>MAX(0, K35*(1+Forecast!$B10))</f>
        <v>0</v>
      </c>
      <c r="M35" s="2">
        <f>MAX(0, L35*(1+Forecast!$B10))</f>
        <v>0</v>
      </c>
      <c r="N35" s="2">
        <f>MAX(0, M35*(1+Forecast!$B10))</f>
        <v>0</v>
      </c>
      <c r="O35" s="2">
        <f>MAX(0, N35*(1+Forecast!$B10))</f>
        <v>0</v>
      </c>
      <c r="P35" s="2">
        <f>MAX(0, O35*(1+Forecast!$B10))</f>
        <v>0</v>
      </c>
      <c r="Q35" s="2">
        <f>MAX(0, P35*(1+Forecast!$B10))</f>
        <v>0</v>
      </c>
      <c r="R35" s="2">
        <f>MAX(0, Q35*(1+Forecast!$B10))</f>
        <v>0</v>
      </c>
      <c r="S35" s="2">
        <f>MAX(0, R35*(1+Forecast!$B10))</f>
        <v>0</v>
      </c>
      <c r="T35" s="2">
        <f>MAX(0, S35*(1+Forecast!$B10))</f>
        <v>0</v>
      </c>
      <c r="U35" s="2">
        <f>MAX(0, T35*(1+Forecast!$B10))</f>
        <v>0</v>
      </c>
      <c r="V35" s="2">
        <f>MAX(0, U35*(1+Forecast!$B10))</f>
        <v>0</v>
      </c>
      <c r="W35" s="2">
        <f>MAX(0, V35*(1+Forecast!$B10))</f>
        <v>0</v>
      </c>
      <c r="X35" s="2">
        <f>MAX(0, W35*(1+Forecast!$B10))</f>
        <v>0</v>
      </c>
      <c r="Y35" s="2">
        <f>MAX(0, X35*(1+Forecast!$B10))</f>
        <v>0</v>
      </c>
      <c r="Z35" s="2">
        <f>MAX(0, Y35*(1+Forecast!$B10))</f>
        <v>0</v>
      </c>
      <c r="AA35" s="2">
        <f>MAX(0, Z35*(1+Forecast!$B10))</f>
        <v>0</v>
      </c>
      <c r="AB35" s="2">
        <f>MAX(0, AA35*(1+Forecast!$B10))</f>
        <v>0</v>
      </c>
      <c r="AC35" s="2">
        <f>MAX(0, AB35*(1+Forecast!$B10))</f>
        <v>0</v>
      </c>
      <c r="AD35" s="2">
        <f>MAX(0, AC35*(1+Forecast!$B10))</f>
        <v>0</v>
      </c>
      <c r="AE35" s="2">
        <f>MAX(0, AD35*(1+Forecast!$B10))</f>
        <v>0</v>
      </c>
      <c r="AF35" s="2">
        <f>MAX(0, AE35*(1+Forecast!$B10))</f>
        <v>0</v>
      </c>
      <c r="AG35" s="2">
        <f>MAX(0, AF35*(1+Forecast!$B10))</f>
        <v>0</v>
      </c>
    </row>
    <row r="36" spans="1:33" x14ac:dyDescent="0.3">
      <c r="A36" s="16" t="s">
        <v>15</v>
      </c>
      <c r="B36" s="2">
        <f>INDEX(SYCEU!$B$14:$G$23, MATCH($A36, SYCEU!$A$2:$A$11, 0), MATCH(Urban_res_calculation!$A$27, SYCEU!$B$1:$G$1, 0))</f>
        <v>0</v>
      </c>
      <c r="C36" s="2">
        <f>INDEX('2020'!$B$14:$G$23, MATCH($A36, '2020'!$A$2:$A$11, 0), MATCH(Urban_res_calculation!$A$27, '2020'!$B$1:$G$1, 0))</f>
        <v>0</v>
      </c>
      <c r="D36" s="2">
        <f>INDEX('2021'!$B$14:$G$23, MATCH($A36, '2021'!$A$2:$A$11, 0), MATCH(Urban_res_calculation!$A$27, '2021'!$B$1:$G$1, 0))</f>
        <v>0</v>
      </c>
      <c r="E36" s="2">
        <f>MAX(0, D36*(1+Forecast!$B11))</f>
        <v>0</v>
      </c>
      <c r="F36" s="2">
        <f>MAX(0, E36*(1+Forecast!$B11))</f>
        <v>0</v>
      </c>
      <c r="G36" s="2">
        <f>MAX(0, F36*(1+Forecast!$B11))</f>
        <v>0</v>
      </c>
      <c r="H36" s="2">
        <f>MAX(0, G36*(1+Forecast!$B11))</f>
        <v>0</v>
      </c>
      <c r="I36" s="2">
        <f>MAX(0, H36*(1+Forecast!$B11))</f>
        <v>0</v>
      </c>
      <c r="J36" s="2">
        <f>MAX(0, I36*(1+Forecast!$B11))</f>
        <v>0</v>
      </c>
      <c r="K36" s="2">
        <f>MAX(0, J36*(1+Forecast!$B11))</f>
        <v>0</v>
      </c>
      <c r="L36" s="2">
        <f>MAX(0, K36*(1+Forecast!$B11))</f>
        <v>0</v>
      </c>
      <c r="M36" s="2">
        <f>MAX(0, L36*(1+Forecast!$B11))</f>
        <v>0</v>
      </c>
      <c r="N36" s="2">
        <f>MAX(0, M36*(1+Forecast!$B11))</f>
        <v>0</v>
      </c>
      <c r="O36" s="2">
        <f>MAX(0, N36*(1+Forecast!$B11))</f>
        <v>0</v>
      </c>
      <c r="P36" s="2">
        <f>MAX(0, O36*(1+Forecast!$B11))</f>
        <v>0</v>
      </c>
      <c r="Q36" s="2">
        <f>MAX(0, P36*(1+Forecast!$B11))</f>
        <v>0</v>
      </c>
      <c r="R36" s="2">
        <f>MAX(0, Q36*(1+Forecast!$B11))</f>
        <v>0</v>
      </c>
      <c r="S36" s="2">
        <f>MAX(0, R36*(1+Forecast!$B11))</f>
        <v>0</v>
      </c>
      <c r="T36" s="2">
        <f>MAX(0, S36*(1+Forecast!$B11))</f>
        <v>0</v>
      </c>
      <c r="U36" s="2">
        <f>MAX(0, T36*(1+Forecast!$B11))</f>
        <v>0</v>
      </c>
      <c r="V36" s="2">
        <f>MAX(0, U36*(1+Forecast!$B11))</f>
        <v>0</v>
      </c>
      <c r="W36" s="2">
        <f>MAX(0, V36*(1+Forecast!$B11))</f>
        <v>0</v>
      </c>
      <c r="X36" s="2">
        <f>MAX(0, W36*(1+Forecast!$B11))</f>
        <v>0</v>
      </c>
      <c r="Y36" s="2">
        <f>MAX(0, X36*(1+Forecast!$B11))</f>
        <v>0</v>
      </c>
      <c r="Z36" s="2">
        <f>MAX(0, Y36*(1+Forecast!$B11))</f>
        <v>0</v>
      </c>
      <c r="AA36" s="2">
        <f>MAX(0, Z36*(1+Forecast!$B11))</f>
        <v>0</v>
      </c>
      <c r="AB36" s="2">
        <f>MAX(0, AA36*(1+Forecast!$B11))</f>
        <v>0</v>
      </c>
      <c r="AC36" s="2">
        <f>MAX(0, AB36*(1+Forecast!$B11))</f>
        <v>0</v>
      </c>
      <c r="AD36" s="2">
        <f>MAX(0, AC36*(1+Forecast!$B11))</f>
        <v>0</v>
      </c>
      <c r="AE36" s="2">
        <f>MAX(0, AD36*(1+Forecast!$B11))</f>
        <v>0</v>
      </c>
      <c r="AF36" s="2">
        <f>MAX(0, AE36*(1+Forecast!$B11))</f>
        <v>0</v>
      </c>
      <c r="AG36" s="2">
        <f>MAX(0, AF36*(1+Forecast!$B11))</f>
        <v>0</v>
      </c>
    </row>
    <row r="37" spans="1:33" x14ac:dyDescent="0.3">
      <c r="A37" s="16" t="s">
        <v>16</v>
      </c>
      <c r="B37" s="2">
        <f>INDEX(SYCEU!$B$14:$G$23, MATCH($A37, SYCEU!$A$2:$A$11, 0), MATCH(Urban_res_calculation!$A$27, SYCEU!$B$1:$G$1, 0))</f>
        <v>0</v>
      </c>
      <c r="C37" s="2">
        <f>INDEX('2020'!$B$14:$G$23, MATCH($A37, '2020'!$A$2:$A$11, 0), MATCH(Urban_res_calculation!$A$27, '2020'!$B$1:$G$1, 0))</f>
        <v>0</v>
      </c>
      <c r="D37" s="2">
        <f>INDEX('2021'!$B$14:$G$23, MATCH($A37, '2021'!$A$2:$A$11, 0), MATCH(Urban_res_calculation!$A$27, '2021'!$B$1:$G$1, 0))</f>
        <v>0</v>
      </c>
      <c r="E37" s="2">
        <f>MAX(0, D37*(1+Forecast!$B12))</f>
        <v>0</v>
      </c>
      <c r="F37" s="2">
        <f>MAX(0, E37*(1+Forecast!$B12))</f>
        <v>0</v>
      </c>
      <c r="G37" s="2">
        <f>MAX(0, F37*(1+Forecast!$B12))</f>
        <v>0</v>
      </c>
      <c r="H37" s="2">
        <f>MAX(0, G37*(1+Forecast!$B12))</f>
        <v>0</v>
      </c>
      <c r="I37" s="2">
        <f>MAX(0, H37*(1+Forecast!$B12))</f>
        <v>0</v>
      </c>
      <c r="J37" s="2">
        <f>MAX(0, I37*(1+Forecast!$B12))</f>
        <v>0</v>
      </c>
      <c r="K37" s="2">
        <f>MAX(0, J37*(1+Forecast!$B12))</f>
        <v>0</v>
      </c>
      <c r="L37" s="2">
        <f>MAX(0, K37*(1+Forecast!$B12))</f>
        <v>0</v>
      </c>
      <c r="M37" s="2">
        <f>MAX(0, L37*(1+Forecast!$B12))</f>
        <v>0</v>
      </c>
      <c r="N37" s="2">
        <f>MAX(0, M37*(1+Forecast!$B12))</f>
        <v>0</v>
      </c>
      <c r="O37" s="2">
        <f>MAX(0, N37*(1+Forecast!$B12))</f>
        <v>0</v>
      </c>
      <c r="P37" s="2">
        <f>MAX(0, O37*(1+Forecast!$B12))</f>
        <v>0</v>
      </c>
      <c r="Q37" s="2">
        <f>MAX(0, P37*(1+Forecast!$B12))</f>
        <v>0</v>
      </c>
      <c r="R37" s="2">
        <f>MAX(0, Q37*(1+Forecast!$B12))</f>
        <v>0</v>
      </c>
      <c r="S37" s="2">
        <f>MAX(0, R37*(1+Forecast!$B12))</f>
        <v>0</v>
      </c>
      <c r="T37" s="2">
        <f>MAX(0, S37*(1+Forecast!$B12))</f>
        <v>0</v>
      </c>
      <c r="U37" s="2">
        <f>MAX(0, T37*(1+Forecast!$B12))</f>
        <v>0</v>
      </c>
      <c r="V37" s="2">
        <f>MAX(0, U37*(1+Forecast!$B12))</f>
        <v>0</v>
      </c>
      <c r="W37" s="2">
        <f>MAX(0, V37*(1+Forecast!$B12))</f>
        <v>0</v>
      </c>
      <c r="X37" s="2">
        <f>MAX(0, W37*(1+Forecast!$B12))</f>
        <v>0</v>
      </c>
      <c r="Y37" s="2">
        <f>MAX(0, X37*(1+Forecast!$B12))</f>
        <v>0</v>
      </c>
      <c r="Z37" s="2">
        <f>MAX(0, Y37*(1+Forecast!$B12))</f>
        <v>0</v>
      </c>
      <c r="AA37" s="2">
        <f>MAX(0, Z37*(1+Forecast!$B12))</f>
        <v>0</v>
      </c>
      <c r="AB37" s="2">
        <f>MAX(0, AA37*(1+Forecast!$B12))</f>
        <v>0</v>
      </c>
      <c r="AC37" s="2">
        <f>MAX(0, AB37*(1+Forecast!$B12))</f>
        <v>0</v>
      </c>
      <c r="AD37" s="2">
        <f>MAX(0, AC37*(1+Forecast!$B12))</f>
        <v>0</v>
      </c>
      <c r="AE37" s="2">
        <f>MAX(0, AD37*(1+Forecast!$B12))</f>
        <v>0</v>
      </c>
      <c r="AF37" s="2">
        <f>MAX(0, AE37*(1+Forecast!$B12))</f>
        <v>0</v>
      </c>
      <c r="AG37" s="2">
        <f>MAX(0, AF37*(1+Forecast!$B12))</f>
        <v>0</v>
      </c>
    </row>
    <row r="39" spans="1:33" x14ac:dyDescent="0.3">
      <c r="A39" s="16" t="s">
        <v>40</v>
      </c>
      <c r="B39" s="1">
        <v>2019</v>
      </c>
      <c r="C39" s="1">
        <v>2020</v>
      </c>
      <c r="D39" s="1">
        <v>2021</v>
      </c>
      <c r="E39" s="1">
        <v>2022</v>
      </c>
      <c r="F39" s="1">
        <v>2023</v>
      </c>
      <c r="G39" s="1">
        <v>2024</v>
      </c>
      <c r="H39" s="1">
        <v>2025</v>
      </c>
      <c r="I39" s="1">
        <v>2026</v>
      </c>
      <c r="J39" s="1">
        <v>2027</v>
      </c>
      <c r="K39" s="1">
        <v>2028</v>
      </c>
      <c r="L39" s="1">
        <v>2029</v>
      </c>
      <c r="M39" s="1">
        <v>2030</v>
      </c>
      <c r="N39" s="1">
        <v>2031</v>
      </c>
      <c r="O39" s="1">
        <v>2032</v>
      </c>
      <c r="P39" s="1">
        <v>2033</v>
      </c>
      <c r="Q39" s="1">
        <v>2034</v>
      </c>
      <c r="R39" s="1">
        <v>2035</v>
      </c>
      <c r="S39" s="1">
        <v>2036</v>
      </c>
      <c r="T39" s="1">
        <v>2037</v>
      </c>
      <c r="U39" s="1">
        <v>2038</v>
      </c>
      <c r="V39" s="1">
        <v>2039</v>
      </c>
      <c r="W39" s="1">
        <v>2040</v>
      </c>
      <c r="X39" s="1">
        <v>2041</v>
      </c>
      <c r="Y39" s="1">
        <v>2042</v>
      </c>
      <c r="Z39" s="1">
        <v>2043</v>
      </c>
      <c r="AA39" s="1">
        <v>2044</v>
      </c>
      <c r="AB39" s="1">
        <v>2045</v>
      </c>
      <c r="AC39" s="1">
        <v>2046</v>
      </c>
      <c r="AD39" s="1">
        <v>2047</v>
      </c>
      <c r="AE39" s="1">
        <v>2048</v>
      </c>
      <c r="AF39" s="1">
        <v>2049</v>
      </c>
      <c r="AG39" s="1">
        <v>2050</v>
      </c>
    </row>
    <row r="40" spans="1:33" x14ac:dyDescent="0.3">
      <c r="A40" s="16" t="s">
        <v>2</v>
      </c>
      <c r="B40" s="2">
        <f>INDEX(SYCEU!$B$14:$G$23, MATCH($A40, SYCEU!$A$2:$A$11, 0), MATCH(Urban_res_calculation!$A$39, SYCEU!$B$1:$G$1, 0))</f>
        <v>19800000000000</v>
      </c>
      <c r="C40" s="2">
        <f>INDEX('2020'!$B$14:$G$23, MATCH($A40, '2020'!$A$2:$A$11, 0), MATCH(Urban_res_calculation!$A$39, '2020'!$B$1:$G$1, 0))</f>
        <v>19829823270841.098</v>
      </c>
      <c r="D40" s="2">
        <f>INDEX('2021'!$B$14:$G$23, MATCH($A40, '2021'!$A$2:$A$11, 0), MATCH(Urban_res_calculation!$A$39, '2021'!$B$1:$G$1, 0))</f>
        <v>21956051311951.871</v>
      </c>
      <c r="E40" s="2">
        <f>MAX(0, D40*(1+Forecast!$B3))</f>
        <v>22087787619823.582</v>
      </c>
      <c r="F40" s="2">
        <f>MAX(0, E40*(1+Forecast!$B3))</f>
        <v>22220314345542.523</v>
      </c>
      <c r="G40" s="2">
        <f>MAX(0, F40*(1+Forecast!$B3))</f>
        <v>22353636231615.777</v>
      </c>
      <c r="H40" s="2">
        <f>MAX(0, G40*(1+Forecast!$B3))</f>
        <v>22487758049005.473</v>
      </c>
      <c r="I40" s="2">
        <f>MAX(0, H40*(1+Forecast!$B3))</f>
        <v>22622684597299.504</v>
      </c>
      <c r="J40" s="2">
        <f>MAX(0, I40*(1+Forecast!$B3))</f>
        <v>22758420704883.301</v>
      </c>
      <c r="K40" s="2">
        <f>MAX(0, J40*(1+Forecast!$B3))</f>
        <v>22894971229112.602</v>
      </c>
      <c r="L40" s="2">
        <f>MAX(0, K40*(1+Forecast!$B3))</f>
        <v>23032341056487.277</v>
      </c>
      <c r="M40" s="2">
        <f>MAX(0, L40*(1+Forecast!$B3))</f>
        <v>23170535102826.199</v>
      </c>
      <c r="N40" s="2">
        <f>MAX(0, M40*(1+Forecast!$B3))</f>
        <v>23309558313443.156</v>
      </c>
      <c r="O40" s="2">
        <f>MAX(0, N40*(1+Forecast!$B3))</f>
        <v>23449415663323.816</v>
      </c>
      <c r="P40" s="2">
        <f>MAX(0, O40*(1+Forecast!$B3))</f>
        <v>23590112157303.758</v>
      </c>
      <c r="Q40" s="2">
        <f>MAX(0, P40*(1+Forecast!$B3))</f>
        <v>23731652830247.582</v>
      </c>
      <c r="R40" s="2">
        <f>MAX(0, Q40*(1+Forecast!$B3))</f>
        <v>23874042747229.066</v>
      </c>
      <c r="S40" s="2">
        <f>MAX(0, R40*(1+Forecast!$B3))</f>
        <v>24017287003712.441</v>
      </c>
      <c r="T40" s="2">
        <f>MAX(0, S40*(1+Forecast!$B3))</f>
        <v>24161390725734.715</v>
      </c>
      <c r="U40" s="2">
        <f>MAX(0, T40*(1+Forecast!$B3))</f>
        <v>24306359070089.125</v>
      </c>
      <c r="V40" s="2">
        <f>MAX(0, U40*(1+Forecast!$B3))</f>
        <v>24452197224509.66</v>
      </c>
      <c r="W40" s="2">
        <f>MAX(0, V40*(1+Forecast!$B3))</f>
        <v>24598910407856.719</v>
      </c>
      <c r="X40" s="2">
        <f>MAX(0, W40*(1+Forecast!$B3))</f>
        <v>24746503870303.859</v>
      </c>
      <c r="Y40" s="2">
        <f>MAX(0, X40*(1+Forecast!$B3))</f>
        <v>24894982893525.684</v>
      </c>
      <c r="Z40" s="2">
        <f>MAX(0, Y40*(1+Forecast!$B3))</f>
        <v>25044352790886.836</v>
      </c>
      <c r="AA40" s="2">
        <f>MAX(0, Z40*(1+Forecast!$B3))</f>
        <v>25194618907632.156</v>
      </c>
      <c r="AB40" s="2">
        <f>MAX(0, AA40*(1+Forecast!$B3))</f>
        <v>25345786621077.949</v>
      </c>
      <c r="AC40" s="2">
        <f>MAX(0, AB40*(1+Forecast!$B3))</f>
        <v>25497861340804.418</v>
      </c>
      <c r="AD40" s="2">
        <f>MAX(0, AC40*(1+Forecast!$B3))</f>
        <v>25650848508849.246</v>
      </c>
      <c r="AE40" s="2">
        <f>MAX(0, AD40*(1+Forecast!$B3))</f>
        <v>25804753599902.34</v>
      </c>
      <c r="AF40" s="2">
        <f>MAX(0, AE40*(1+Forecast!$B3))</f>
        <v>25959582121501.754</v>
      </c>
      <c r="AG40" s="2">
        <f>MAX(0, AF40*(1+Forecast!$B3))</f>
        <v>26115339614230.766</v>
      </c>
    </row>
    <row r="41" spans="1:33" x14ac:dyDescent="0.3">
      <c r="A41" s="16" t="s">
        <v>3</v>
      </c>
      <c r="B41" s="2">
        <f>INDEX(SYCEU!$B$14:$G$23, MATCH($A41, SYCEU!$A$2:$A$11, 0), MATCH(Urban_res_calculation!$A$39, SYCEU!$B$1:$G$1, 0))</f>
        <v>0</v>
      </c>
      <c r="C41" s="2">
        <f>INDEX('2020'!$B$14:$G$23, MATCH($A41, '2020'!$A$2:$A$11, 0), MATCH(Urban_res_calculation!$A$39, '2020'!$B$1:$G$1, 0))</f>
        <v>0</v>
      </c>
      <c r="D41" s="2">
        <f>INDEX('2021'!$B$14:$G$23, MATCH($A41, '2021'!$A$2:$A$11, 0), MATCH(Urban_res_calculation!$A$39, '2021'!$B$1:$G$1, 0))</f>
        <v>0</v>
      </c>
      <c r="E41" s="2">
        <f>MAX(0, D41*(1+Forecast!$B4))</f>
        <v>0</v>
      </c>
      <c r="F41" s="2">
        <f>MAX(0, E41*(1+Forecast!$B4))</f>
        <v>0</v>
      </c>
      <c r="G41" s="2">
        <f>MAX(0, F41*(1+Forecast!$B4))</f>
        <v>0</v>
      </c>
      <c r="H41" s="2">
        <f>MAX(0, G41*(1+Forecast!$B4))</f>
        <v>0</v>
      </c>
      <c r="I41" s="2">
        <f>MAX(0, H41*(1+Forecast!$B4))</f>
        <v>0</v>
      </c>
      <c r="J41" s="2">
        <f>MAX(0, I41*(1+Forecast!$B4))</f>
        <v>0</v>
      </c>
      <c r="K41" s="2">
        <f>MAX(0, J41*(1+Forecast!$B4))</f>
        <v>0</v>
      </c>
      <c r="L41" s="2">
        <f>MAX(0, K41*(1+Forecast!$B4))</f>
        <v>0</v>
      </c>
      <c r="M41" s="2">
        <f>MAX(0, L41*(1+Forecast!$B4))</f>
        <v>0</v>
      </c>
      <c r="N41" s="2">
        <f>MAX(0, M41*(1+Forecast!$B4))</f>
        <v>0</v>
      </c>
      <c r="O41" s="2">
        <f>MAX(0, N41*(1+Forecast!$B4))</f>
        <v>0</v>
      </c>
      <c r="P41" s="2">
        <f>MAX(0, O41*(1+Forecast!$B4))</f>
        <v>0</v>
      </c>
      <c r="Q41" s="2">
        <f>MAX(0, P41*(1+Forecast!$B4))</f>
        <v>0</v>
      </c>
      <c r="R41" s="2">
        <f>MAX(0, Q41*(1+Forecast!$B4))</f>
        <v>0</v>
      </c>
      <c r="S41" s="2">
        <f>MAX(0, R41*(1+Forecast!$B4))</f>
        <v>0</v>
      </c>
      <c r="T41" s="2">
        <f>MAX(0, S41*(1+Forecast!$B4))</f>
        <v>0</v>
      </c>
      <c r="U41" s="2">
        <f>MAX(0, T41*(1+Forecast!$B4))</f>
        <v>0</v>
      </c>
      <c r="V41" s="2">
        <f>MAX(0, U41*(1+Forecast!$B4))</f>
        <v>0</v>
      </c>
      <c r="W41" s="2">
        <f>MAX(0, V41*(1+Forecast!$B4))</f>
        <v>0</v>
      </c>
      <c r="X41" s="2">
        <f>MAX(0, W41*(1+Forecast!$B4))</f>
        <v>0</v>
      </c>
      <c r="Y41" s="2">
        <f>MAX(0, X41*(1+Forecast!$B4))</f>
        <v>0</v>
      </c>
      <c r="Z41" s="2">
        <f>MAX(0, Y41*(1+Forecast!$B4))</f>
        <v>0</v>
      </c>
      <c r="AA41" s="2">
        <f>MAX(0, Z41*(1+Forecast!$B4))</f>
        <v>0</v>
      </c>
      <c r="AB41" s="2">
        <f>MAX(0, AA41*(1+Forecast!$B4))</f>
        <v>0</v>
      </c>
      <c r="AC41" s="2">
        <f>MAX(0, AB41*(1+Forecast!$B4))</f>
        <v>0</v>
      </c>
      <c r="AD41" s="2">
        <f>MAX(0, AC41*(1+Forecast!$B4))</f>
        <v>0</v>
      </c>
      <c r="AE41" s="2">
        <f>MAX(0, AD41*(1+Forecast!$B4))</f>
        <v>0</v>
      </c>
      <c r="AF41" s="2">
        <f>MAX(0, AE41*(1+Forecast!$B4))</f>
        <v>0</v>
      </c>
      <c r="AG41" s="2">
        <f>MAX(0, AF41*(1+Forecast!$B4))</f>
        <v>0</v>
      </c>
    </row>
    <row r="42" spans="1:33" x14ac:dyDescent="0.3">
      <c r="A42" s="16" t="s">
        <v>4</v>
      </c>
      <c r="B42" s="2">
        <f>INDEX(SYCEU!$B$14:$G$23, MATCH($A42, SYCEU!$A$2:$A$11, 0), MATCH(Urban_res_calculation!$A$39, SYCEU!$B$1:$G$1, 0))</f>
        <v>0</v>
      </c>
      <c r="C42" s="2">
        <f>INDEX('2020'!$B$14:$G$23, MATCH($A42, '2020'!$A$2:$A$11, 0), MATCH(Urban_res_calculation!$A$39, '2020'!$B$1:$G$1, 0))</f>
        <v>0</v>
      </c>
      <c r="D42" s="2">
        <f>INDEX('2021'!$B$14:$G$23, MATCH($A42, '2021'!$A$2:$A$11, 0), MATCH(Urban_res_calculation!$A$39, '2021'!$B$1:$G$1, 0))</f>
        <v>0</v>
      </c>
      <c r="E42" s="2">
        <f>MAX(0, D42*(1+Forecast!$B5))</f>
        <v>0</v>
      </c>
      <c r="F42" s="2">
        <f>MAX(0, E42*(1+Forecast!$B5))</f>
        <v>0</v>
      </c>
      <c r="G42" s="2">
        <f>MAX(0, F42*(1+Forecast!$B5))</f>
        <v>0</v>
      </c>
      <c r="H42" s="2">
        <f>MAX(0, G42*(1+Forecast!$B5))</f>
        <v>0</v>
      </c>
      <c r="I42" s="2">
        <f>MAX(0, H42*(1+Forecast!$B5))</f>
        <v>0</v>
      </c>
      <c r="J42" s="2">
        <f>MAX(0, I42*(1+Forecast!$B5))</f>
        <v>0</v>
      </c>
      <c r="K42" s="2">
        <f>MAX(0, J42*(1+Forecast!$B5))</f>
        <v>0</v>
      </c>
      <c r="L42" s="2">
        <f>MAX(0, K42*(1+Forecast!$B5))</f>
        <v>0</v>
      </c>
      <c r="M42" s="2">
        <f>MAX(0, L42*(1+Forecast!$B5))</f>
        <v>0</v>
      </c>
      <c r="N42" s="2">
        <f>MAX(0, M42*(1+Forecast!$B5))</f>
        <v>0</v>
      </c>
      <c r="O42" s="2">
        <f>MAX(0, N42*(1+Forecast!$B5))</f>
        <v>0</v>
      </c>
      <c r="P42" s="2">
        <f>MAX(0, O42*(1+Forecast!$B5))</f>
        <v>0</v>
      </c>
      <c r="Q42" s="2">
        <f>MAX(0, P42*(1+Forecast!$B5))</f>
        <v>0</v>
      </c>
      <c r="R42" s="2">
        <f>MAX(0, Q42*(1+Forecast!$B5))</f>
        <v>0</v>
      </c>
      <c r="S42" s="2">
        <f>MAX(0, R42*(1+Forecast!$B5))</f>
        <v>0</v>
      </c>
      <c r="T42" s="2">
        <f>MAX(0, S42*(1+Forecast!$B5))</f>
        <v>0</v>
      </c>
      <c r="U42" s="2">
        <f>MAX(0, T42*(1+Forecast!$B5))</f>
        <v>0</v>
      </c>
      <c r="V42" s="2">
        <f>MAX(0, U42*(1+Forecast!$B5))</f>
        <v>0</v>
      </c>
      <c r="W42" s="2">
        <f>MAX(0, V42*(1+Forecast!$B5))</f>
        <v>0</v>
      </c>
      <c r="X42" s="2">
        <f>MAX(0, W42*(1+Forecast!$B5))</f>
        <v>0</v>
      </c>
      <c r="Y42" s="2">
        <f>MAX(0, X42*(1+Forecast!$B5))</f>
        <v>0</v>
      </c>
      <c r="Z42" s="2">
        <f>MAX(0, Y42*(1+Forecast!$B5))</f>
        <v>0</v>
      </c>
      <c r="AA42" s="2">
        <f>MAX(0, Z42*(1+Forecast!$B5))</f>
        <v>0</v>
      </c>
      <c r="AB42" s="2">
        <f>MAX(0, AA42*(1+Forecast!$B5))</f>
        <v>0</v>
      </c>
      <c r="AC42" s="2">
        <f>MAX(0, AB42*(1+Forecast!$B5))</f>
        <v>0</v>
      </c>
      <c r="AD42" s="2">
        <f>MAX(0, AC42*(1+Forecast!$B5))</f>
        <v>0</v>
      </c>
      <c r="AE42" s="2">
        <f>MAX(0, AD42*(1+Forecast!$B5))</f>
        <v>0</v>
      </c>
      <c r="AF42" s="2">
        <f>MAX(0, AE42*(1+Forecast!$B5))</f>
        <v>0</v>
      </c>
      <c r="AG42" s="2">
        <f>MAX(0, AF42*(1+Forecast!$B5))</f>
        <v>0</v>
      </c>
    </row>
    <row r="43" spans="1:33" x14ac:dyDescent="0.3">
      <c r="A43" s="16" t="s">
        <v>5</v>
      </c>
      <c r="B43" s="2">
        <f>INDEX(SYCEU!$B$14:$G$23, MATCH($A43, SYCEU!$A$2:$A$11, 0), MATCH(Urban_res_calculation!$A$39, SYCEU!$B$1:$G$1, 0))</f>
        <v>0</v>
      </c>
      <c r="C43" s="2">
        <f>INDEX('2020'!$B$14:$G$23, MATCH($A43, '2020'!$A$2:$A$11, 0), MATCH(Urban_res_calculation!$A$39, '2020'!$B$1:$G$1, 0))</f>
        <v>0</v>
      </c>
      <c r="D43" s="2">
        <f>INDEX('2021'!$B$14:$G$23, MATCH($A43, '2021'!$A$2:$A$11, 0), MATCH(Urban_res_calculation!$A$39, '2021'!$B$1:$G$1, 0))</f>
        <v>0</v>
      </c>
      <c r="E43" s="2">
        <f>MAX(0, D43*(1+Forecast!$B6))</f>
        <v>0</v>
      </c>
      <c r="F43" s="2">
        <f>MAX(0, E43*(1+Forecast!$B6))</f>
        <v>0</v>
      </c>
      <c r="G43" s="2">
        <f>MAX(0, F43*(1+Forecast!$B6))</f>
        <v>0</v>
      </c>
      <c r="H43" s="2">
        <f>MAX(0, G43*(1+Forecast!$B6))</f>
        <v>0</v>
      </c>
      <c r="I43" s="2">
        <f>MAX(0, H43*(1+Forecast!$B6))</f>
        <v>0</v>
      </c>
      <c r="J43" s="2">
        <f>MAX(0, I43*(1+Forecast!$B6))</f>
        <v>0</v>
      </c>
      <c r="K43" s="2">
        <f>MAX(0, J43*(1+Forecast!$B6))</f>
        <v>0</v>
      </c>
      <c r="L43" s="2">
        <f>MAX(0, K43*(1+Forecast!$B6))</f>
        <v>0</v>
      </c>
      <c r="M43" s="2">
        <f>MAX(0, L43*(1+Forecast!$B6))</f>
        <v>0</v>
      </c>
      <c r="N43" s="2">
        <f>MAX(0, M43*(1+Forecast!$B6))</f>
        <v>0</v>
      </c>
      <c r="O43" s="2">
        <f>MAX(0, N43*(1+Forecast!$B6))</f>
        <v>0</v>
      </c>
      <c r="P43" s="2">
        <f>MAX(0, O43*(1+Forecast!$B6))</f>
        <v>0</v>
      </c>
      <c r="Q43" s="2">
        <f>MAX(0, P43*(1+Forecast!$B6))</f>
        <v>0</v>
      </c>
      <c r="R43" s="2">
        <f>MAX(0, Q43*(1+Forecast!$B6))</f>
        <v>0</v>
      </c>
      <c r="S43" s="2">
        <f>MAX(0, R43*(1+Forecast!$B6))</f>
        <v>0</v>
      </c>
      <c r="T43" s="2">
        <f>MAX(0, S43*(1+Forecast!$B6))</f>
        <v>0</v>
      </c>
      <c r="U43" s="2">
        <f>MAX(0, T43*(1+Forecast!$B6))</f>
        <v>0</v>
      </c>
      <c r="V43" s="2">
        <f>MAX(0, U43*(1+Forecast!$B6))</f>
        <v>0</v>
      </c>
      <c r="W43" s="2">
        <f>MAX(0, V43*(1+Forecast!$B6))</f>
        <v>0</v>
      </c>
      <c r="X43" s="2">
        <f>MAX(0, W43*(1+Forecast!$B6))</f>
        <v>0</v>
      </c>
      <c r="Y43" s="2">
        <f>MAX(0, X43*(1+Forecast!$B6))</f>
        <v>0</v>
      </c>
      <c r="Z43" s="2">
        <f>MAX(0, Y43*(1+Forecast!$B6))</f>
        <v>0</v>
      </c>
      <c r="AA43" s="2">
        <f>MAX(0, Z43*(1+Forecast!$B6))</f>
        <v>0</v>
      </c>
      <c r="AB43" s="2">
        <f>MAX(0, AA43*(1+Forecast!$B6))</f>
        <v>0</v>
      </c>
      <c r="AC43" s="2">
        <f>MAX(0, AB43*(1+Forecast!$B6))</f>
        <v>0</v>
      </c>
      <c r="AD43" s="2">
        <f>MAX(0, AC43*(1+Forecast!$B6))</f>
        <v>0</v>
      </c>
      <c r="AE43" s="2">
        <f>MAX(0, AD43*(1+Forecast!$B6))</f>
        <v>0</v>
      </c>
      <c r="AF43" s="2">
        <f>MAX(0, AE43*(1+Forecast!$B6))</f>
        <v>0</v>
      </c>
      <c r="AG43" s="2">
        <f>MAX(0, AF43*(1+Forecast!$B6))</f>
        <v>0</v>
      </c>
    </row>
    <row r="44" spans="1:33" x14ac:dyDescent="0.3">
      <c r="A44" s="16" t="s">
        <v>7</v>
      </c>
      <c r="B44" s="2">
        <f>INDEX(SYCEU!$B$14:$G$23, MATCH($A44, SYCEU!$A$2:$A$11, 0), MATCH(Urban_res_calculation!$A$39, SYCEU!$B$1:$G$1, 0))</f>
        <v>0</v>
      </c>
      <c r="C44" s="2">
        <f>INDEX('2020'!$B$14:$G$23, MATCH($A44, '2020'!$A$2:$A$11, 0), MATCH(Urban_res_calculation!$A$39, '2020'!$B$1:$G$1, 0))</f>
        <v>0</v>
      </c>
      <c r="D44" s="2">
        <f>INDEX('2021'!$B$14:$G$23, MATCH($A44, '2021'!$A$2:$A$11, 0), MATCH(Urban_res_calculation!$A$39, '2021'!$B$1:$G$1, 0))</f>
        <v>0</v>
      </c>
      <c r="E44" s="2">
        <f>MAX(0, D44*(1+Forecast!$B7))</f>
        <v>0</v>
      </c>
      <c r="F44" s="2">
        <f>MAX(0, E44*(1+Forecast!$B7))</f>
        <v>0</v>
      </c>
      <c r="G44" s="2">
        <f>MAX(0, F44*(1+Forecast!$B7))</f>
        <v>0</v>
      </c>
      <c r="H44" s="2">
        <f>MAX(0, G44*(1+Forecast!$B7))</f>
        <v>0</v>
      </c>
      <c r="I44" s="2">
        <f>MAX(0, H44*(1+Forecast!$B7))</f>
        <v>0</v>
      </c>
      <c r="J44" s="2">
        <f>MAX(0, I44*(1+Forecast!$B7))</f>
        <v>0</v>
      </c>
      <c r="K44" s="2">
        <f>MAX(0, J44*(1+Forecast!$B7))</f>
        <v>0</v>
      </c>
      <c r="L44" s="2">
        <f>MAX(0, K44*(1+Forecast!$B7))</f>
        <v>0</v>
      </c>
      <c r="M44" s="2">
        <f>MAX(0, L44*(1+Forecast!$B7))</f>
        <v>0</v>
      </c>
      <c r="N44" s="2">
        <f>MAX(0, M44*(1+Forecast!$B7))</f>
        <v>0</v>
      </c>
      <c r="O44" s="2">
        <f>MAX(0, N44*(1+Forecast!$B7))</f>
        <v>0</v>
      </c>
      <c r="P44" s="2">
        <f>MAX(0, O44*(1+Forecast!$B7))</f>
        <v>0</v>
      </c>
      <c r="Q44" s="2">
        <f>MAX(0, P44*(1+Forecast!$B7))</f>
        <v>0</v>
      </c>
      <c r="R44" s="2">
        <f>MAX(0, Q44*(1+Forecast!$B7))</f>
        <v>0</v>
      </c>
      <c r="S44" s="2">
        <f>MAX(0, R44*(1+Forecast!$B7))</f>
        <v>0</v>
      </c>
      <c r="T44" s="2">
        <f>MAX(0, S44*(1+Forecast!$B7))</f>
        <v>0</v>
      </c>
      <c r="U44" s="2">
        <f>MAX(0, T44*(1+Forecast!$B7))</f>
        <v>0</v>
      </c>
      <c r="V44" s="2">
        <f>MAX(0, U44*(1+Forecast!$B7))</f>
        <v>0</v>
      </c>
      <c r="W44" s="2">
        <f>MAX(0, V44*(1+Forecast!$B7))</f>
        <v>0</v>
      </c>
      <c r="X44" s="2">
        <f>MAX(0, W44*(1+Forecast!$B7))</f>
        <v>0</v>
      </c>
      <c r="Y44" s="2">
        <f>MAX(0, X44*(1+Forecast!$B7))</f>
        <v>0</v>
      </c>
      <c r="Z44" s="2">
        <f>MAX(0, Y44*(1+Forecast!$B7))</f>
        <v>0</v>
      </c>
      <c r="AA44" s="2">
        <f>MAX(0, Z44*(1+Forecast!$B7))</f>
        <v>0</v>
      </c>
      <c r="AB44" s="2">
        <f>MAX(0, AA44*(1+Forecast!$B7))</f>
        <v>0</v>
      </c>
      <c r="AC44" s="2">
        <f>MAX(0, AB44*(1+Forecast!$B7))</f>
        <v>0</v>
      </c>
      <c r="AD44" s="2">
        <f>MAX(0, AC44*(1+Forecast!$B7))</f>
        <v>0</v>
      </c>
      <c r="AE44" s="2">
        <f>MAX(0, AD44*(1+Forecast!$B7))</f>
        <v>0</v>
      </c>
      <c r="AF44" s="2">
        <f>MAX(0, AE44*(1+Forecast!$B7))</f>
        <v>0</v>
      </c>
      <c r="AG44" s="2">
        <f>MAX(0, AF44*(1+Forecast!$B7))</f>
        <v>0</v>
      </c>
    </row>
    <row r="45" spans="1:33" x14ac:dyDescent="0.3">
      <c r="A45" s="16" t="s">
        <v>11</v>
      </c>
      <c r="B45" s="2">
        <f>INDEX(SYCEU!$B$14:$G$23, MATCH($A45, SYCEU!$A$2:$A$11, 0), MATCH(Urban_res_calculation!$A$39, SYCEU!$B$1:$G$1, 0))</f>
        <v>0</v>
      </c>
      <c r="C45" s="2">
        <f>INDEX('2020'!$B$14:$G$23, MATCH($A45, '2020'!$A$2:$A$11, 0), MATCH(Urban_res_calculation!$A$39, '2020'!$B$1:$G$1, 0))</f>
        <v>0</v>
      </c>
      <c r="D45" s="2">
        <f>INDEX('2021'!$B$14:$G$23, MATCH($A45, '2021'!$A$2:$A$11, 0), MATCH(Urban_res_calculation!$A$39, '2021'!$B$1:$G$1, 0))</f>
        <v>0</v>
      </c>
      <c r="E45" s="2">
        <f>MAX(0, D45*(1+Forecast!$B8))</f>
        <v>0</v>
      </c>
      <c r="F45" s="2">
        <f>MAX(0, E45*(1+Forecast!$B8))</f>
        <v>0</v>
      </c>
      <c r="G45" s="2">
        <f>MAX(0, F45*(1+Forecast!$B8))</f>
        <v>0</v>
      </c>
      <c r="H45" s="2">
        <f>MAX(0, G45*(1+Forecast!$B8))</f>
        <v>0</v>
      </c>
      <c r="I45" s="2">
        <f>MAX(0, H45*(1+Forecast!$B8))</f>
        <v>0</v>
      </c>
      <c r="J45" s="2">
        <f>MAX(0, I45*(1+Forecast!$B8))</f>
        <v>0</v>
      </c>
      <c r="K45" s="2">
        <f>MAX(0, J45*(1+Forecast!$B8))</f>
        <v>0</v>
      </c>
      <c r="L45" s="2">
        <f>MAX(0, K45*(1+Forecast!$B8))</f>
        <v>0</v>
      </c>
      <c r="M45" s="2">
        <f>MAX(0, L45*(1+Forecast!$B8))</f>
        <v>0</v>
      </c>
      <c r="N45" s="2">
        <f>MAX(0, M45*(1+Forecast!$B8))</f>
        <v>0</v>
      </c>
      <c r="O45" s="2">
        <f>MAX(0, N45*(1+Forecast!$B8))</f>
        <v>0</v>
      </c>
      <c r="P45" s="2">
        <f>MAX(0, O45*(1+Forecast!$B8))</f>
        <v>0</v>
      </c>
      <c r="Q45" s="2">
        <f>MAX(0, P45*(1+Forecast!$B8))</f>
        <v>0</v>
      </c>
      <c r="R45" s="2">
        <f>MAX(0, Q45*(1+Forecast!$B8))</f>
        <v>0</v>
      </c>
      <c r="S45" s="2">
        <f>MAX(0, R45*(1+Forecast!$B8))</f>
        <v>0</v>
      </c>
      <c r="T45" s="2">
        <f>MAX(0, S45*(1+Forecast!$B8))</f>
        <v>0</v>
      </c>
      <c r="U45" s="2">
        <f>MAX(0, T45*(1+Forecast!$B8))</f>
        <v>0</v>
      </c>
      <c r="V45" s="2">
        <f>MAX(0, U45*(1+Forecast!$B8))</f>
        <v>0</v>
      </c>
      <c r="W45" s="2">
        <f>MAX(0, V45*(1+Forecast!$B8))</f>
        <v>0</v>
      </c>
      <c r="X45" s="2">
        <f>MAX(0, W45*(1+Forecast!$B8))</f>
        <v>0</v>
      </c>
      <c r="Y45" s="2">
        <f>MAX(0, X45*(1+Forecast!$B8))</f>
        <v>0</v>
      </c>
      <c r="Z45" s="2">
        <f>MAX(0, Y45*(1+Forecast!$B8))</f>
        <v>0</v>
      </c>
      <c r="AA45" s="2">
        <f>MAX(0, Z45*(1+Forecast!$B8))</f>
        <v>0</v>
      </c>
      <c r="AB45" s="2">
        <f>MAX(0, AA45*(1+Forecast!$B8))</f>
        <v>0</v>
      </c>
      <c r="AC45" s="2">
        <f>MAX(0, AB45*(1+Forecast!$B8))</f>
        <v>0</v>
      </c>
      <c r="AD45" s="2">
        <f>MAX(0, AC45*(1+Forecast!$B8))</f>
        <v>0</v>
      </c>
      <c r="AE45" s="2">
        <f>MAX(0, AD45*(1+Forecast!$B8))</f>
        <v>0</v>
      </c>
      <c r="AF45" s="2">
        <f>MAX(0, AE45*(1+Forecast!$B8))</f>
        <v>0</v>
      </c>
      <c r="AG45" s="2">
        <f>MAX(0, AF45*(1+Forecast!$B8))</f>
        <v>0</v>
      </c>
    </row>
    <row r="46" spans="1:33" x14ac:dyDescent="0.3">
      <c r="A46" s="16" t="s">
        <v>13</v>
      </c>
      <c r="B46" s="2">
        <f>INDEX(SYCEU!$B$14:$G$23, MATCH($A46, SYCEU!$A$2:$A$11, 0), MATCH(Urban_res_calculation!$A$39, SYCEU!$B$1:$G$1, 0))</f>
        <v>0</v>
      </c>
      <c r="C46" s="2">
        <f>INDEX('2020'!$B$14:$G$23, MATCH($A46, '2020'!$A$2:$A$11, 0), MATCH(Urban_res_calculation!$A$39, '2020'!$B$1:$G$1, 0))</f>
        <v>0</v>
      </c>
      <c r="D46" s="2">
        <f>INDEX('2021'!$B$14:$G$23, MATCH($A46, '2021'!$A$2:$A$11, 0), MATCH(Urban_res_calculation!$A$39, '2021'!$B$1:$G$1, 0))</f>
        <v>0</v>
      </c>
      <c r="E46" s="2">
        <f>MAX(0, D46*(1+Forecast!$B9))</f>
        <v>0</v>
      </c>
      <c r="F46" s="2">
        <f>MAX(0, E46*(1+Forecast!$B9))</f>
        <v>0</v>
      </c>
      <c r="G46" s="2">
        <f>MAX(0, F46*(1+Forecast!$B9))</f>
        <v>0</v>
      </c>
      <c r="H46" s="2">
        <f>MAX(0, G46*(1+Forecast!$B9))</f>
        <v>0</v>
      </c>
      <c r="I46" s="2">
        <f>MAX(0, H46*(1+Forecast!$B9))</f>
        <v>0</v>
      </c>
      <c r="J46" s="2">
        <f>MAX(0, I46*(1+Forecast!$B9))</f>
        <v>0</v>
      </c>
      <c r="K46" s="2">
        <f>MAX(0, J46*(1+Forecast!$B9))</f>
        <v>0</v>
      </c>
      <c r="L46" s="2">
        <f>MAX(0, K46*(1+Forecast!$B9))</f>
        <v>0</v>
      </c>
      <c r="M46" s="2">
        <f>MAX(0, L46*(1+Forecast!$B9))</f>
        <v>0</v>
      </c>
      <c r="N46" s="2">
        <f>MAX(0, M46*(1+Forecast!$B9))</f>
        <v>0</v>
      </c>
      <c r="O46" s="2">
        <f>MAX(0, N46*(1+Forecast!$B9))</f>
        <v>0</v>
      </c>
      <c r="P46" s="2">
        <f>MAX(0, O46*(1+Forecast!$B9))</f>
        <v>0</v>
      </c>
      <c r="Q46" s="2">
        <f>MAX(0, P46*(1+Forecast!$B9))</f>
        <v>0</v>
      </c>
      <c r="R46" s="2">
        <f>MAX(0, Q46*(1+Forecast!$B9))</f>
        <v>0</v>
      </c>
      <c r="S46" s="2">
        <f>MAX(0, R46*(1+Forecast!$B9))</f>
        <v>0</v>
      </c>
      <c r="T46" s="2">
        <f>MAX(0, S46*(1+Forecast!$B9))</f>
        <v>0</v>
      </c>
      <c r="U46" s="2">
        <f>MAX(0, T46*(1+Forecast!$B9))</f>
        <v>0</v>
      </c>
      <c r="V46" s="2">
        <f>MAX(0, U46*(1+Forecast!$B9))</f>
        <v>0</v>
      </c>
      <c r="W46" s="2">
        <f>MAX(0, V46*(1+Forecast!$B9))</f>
        <v>0</v>
      </c>
      <c r="X46" s="2">
        <f>MAX(0, W46*(1+Forecast!$B9))</f>
        <v>0</v>
      </c>
      <c r="Y46" s="2">
        <f>MAX(0, X46*(1+Forecast!$B9))</f>
        <v>0</v>
      </c>
      <c r="Z46" s="2">
        <f>MAX(0, Y46*(1+Forecast!$B9))</f>
        <v>0</v>
      </c>
      <c r="AA46" s="2">
        <f>MAX(0, Z46*(1+Forecast!$B9))</f>
        <v>0</v>
      </c>
      <c r="AB46" s="2">
        <f>MAX(0, AA46*(1+Forecast!$B9))</f>
        <v>0</v>
      </c>
      <c r="AC46" s="2">
        <f>MAX(0, AB46*(1+Forecast!$B9))</f>
        <v>0</v>
      </c>
      <c r="AD46" s="2">
        <f>MAX(0, AC46*(1+Forecast!$B9))</f>
        <v>0</v>
      </c>
      <c r="AE46" s="2">
        <f>MAX(0, AD46*(1+Forecast!$B9))</f>
        <v>0</v>
      </c>
      <c r="AF46" s="2">
        <f>MAX(0, AE46*(1+Forecast!$B9))</f>
        <v>0</v>
      </c>
      <c r="AG46" s="2">
        <f>MAX(0, AF46*(1+Forecast!$B9))</f>
        <v>0</v>
      </c>
    </row>
    <row r="47" spans="1:33" x14ac:dyDescent="0.3">
      <c r="A47" s="16" t="s">
        <v>14</v>
      </c>
      <c r="B47" s="2">
        <f>INDEX(SYCEU!$B$14:$G$23, MATCH($A47, SYCEU!$A$2:$A$11, 0), MATCH(Urban_res_calculation!$A$39, SYCEU!$B$1:$G$1, 0))</f>
        <v>0</v>
      </c>
      <c r="C47" s="2">
        <f>INDEX('2020'!$B$14:$G$23, MATCH($A47, '2020'!$A$2:$A$11, 0), MATCH(Urban_res_calculation!$A$39, '2020'!$B$1:$G$1, 0))</f>
        <v>0</v>
      </c>
      <c r="D47" s="2">
        <f>INDEX('2021'!$B$14:$G$23, MATCH($A47, '2021'!$A$2:$A$11, 0), MATCH(Urban_res_calculation!$A$39, '2021'!$B$1:$G$1, 0))</f>
        <v>0</v>
      </c>
      <c r="E47" s="2">
        <f>MAX(0, D47*(1+Forecast!$B10))</f>
        <v>0</v>
      </c>
      <c r="F47" s="2">
        <f>MAX(0, E47*(1+Forecast!$B10))</f>
        <v>0</v>
      </c>
      <c r="G47" s="2">
        <f>MAX(0, F47*(1+Forecast!$B10))</f>
        <v>0</v>
      </c>
      <c r="H47" s="2">
        <f>MAX(0, G47*(1+Forecast!$B10))</f>
        <v>0</v>
      </c>
      <c r="I47" s="2">
        <f>MAX(0, H47*(1+Forecast!$B10))</f>
        <v>0</v>
      </c>
      <c r="J47" s="2">
        <f>MAX(0, I47*(1+Forecast!$B10))</f>
        <v>0</v>
      </c>
      <c r="K47" s="2">
        <f>MAX(0, J47*(1+Forecast!$B10))</f>
        <v>0</v>
      </c>
      <c r="L47" s="2">
        <f>MAX(0, K47*(1+Forecast!$B10))</f>
        <v>0</v>
      </c>
      <c r="M47" s="2">
        <f>MAX(0, L47*(1+Forecast!$B10))</f>
        <v>0</v>
      </c>
      <c r="N47" s="2">
        <f>MAX(0, M47*(1+Forecast!$B10))</f>
        <v>0</v>
      </c>
      <c r="O47" s="2">
        <f>MAX(0, N47*(1+Forecast!$B10))</f>
        <v>0</v>
      </c>
      <c r="P47" s="2">
        <f>MAX(0, O47*(1+Forecast!$B10))</f>
        <v>0</v>
      </c>
      <c r="Q47" s="2">
        <f>MAX(0, P47*(1+Forecast!$B10))</f>
        <v>0</v>
      </c>
      <c r="R47" s="2">
        <f>MAX(0, Q47*(1+Forecast!$B10))</f>
        <v>0</v>
      </c>
      <c r="S47" s="2">
        <f>MAX(0, R47*(1+Forecast!$B10))</f>
        <v>0</v>
      </c>
      <c r="T47" s="2">
        <f>MAX(0, S47*(1+Forecast!$B10))</f>
        <v>0</v>
      </c>
      <c r="U47" s="2">
        <f>MAX(0, T47*(1+Forecast!$B10))</f>
        <v>0</v>
      </c>
      <c r="V47" s="2">
        <f>MAX(0, U47*(1+Forecast!$B10))</f>
        <v>0</v>
      </c>
      <c r="W47" s="2">
        <f>MAX(0, V47*(1+Forecast!$B10))</f>
        <v>0</v>
      </c>
      <c r="X47" s="2">
        <f>MAX(0, W47*(1+Forecast!$B10))</f>
        <v>0</v>
      </c>
      <c r="Y47" s="2">
        <f>MAX(0, X47*(1+Forecast!$B10))</f>
        <v>0</v>
      </c>
      <c r="Z47" s="2">
        <f>MAX(0, Y47*(1+Forecast!$B10))</f>
        <v>0</v>
      </c>
      <c r="AA47" s="2">
        <f>MAX(0, Z47*(1+Forecast!$B10))</f>
        <v>0</v>
      </c>
      <c r="AB47" s="2">
        <f>MAX(0, AA47*(1+Forecast!$B10))</f>
        <v>0</v>
      </c>
      <c r="AC47" s="2">
        <f>MAX(0, AB47*(1+Forecast!$B10))</f>
        <v>0</v>
      </c>
      <c r="AD47" s="2">
        <f>MAX(0, AC47*(1+Forecast!$B10))</f>
        <v>0</v>
      </c>
      <c r="AE47" s="2">
        <f>MAX(0, AD47*(1+Forecast!$B10))</f>
        <v>0</v>
      </c>
      <c r="AF47" s="2">
        <f>MAX(0, AE47*(1+Forecast!$B10))</f>
        <v>0</v>
      </c>
      <c r="AG47" s="2">
        <f>MAX(0, AF47*(1+Forecast!$B10))</f>
        <v>0</v>
      </c>
    </row>
    <row r="48" spans="1:33" x14ac:dyDescent="0.3">
      <c r="A48" s="16" t="s">
        <v>15</v>
      </c>
      <c r="B48" s="2">
        <f>INDEX(SYCEU!$B$14:$G$23, MATCH($A48, SYCEU!$A$2:$A$11, 0), MATCH(Urban_res_calculation!$A$39, SYCEU!$B$1:$G$1, 0))</f>
        <v>0</v>
      </c>
      <c r="C48" s="2">
        <f>INDEX('2020'!$B$14:$G$23, MATCH($A48, '2020'!$A$2:$A$11, 0), MATCH(Urban_res_calculation!$A$39, '2020'!$B$1:$G$1, 0))</f>
        <v>0</v>
      </c>
      <c r="D48" s="2">
        <f>INDEX('2021'!$B$14:$G$23, MATCH($A48, '2021'!$A$2:$A$11, 0), MATCH(Urban_res_calculation!$A$39, '2021'!$B$1:$G$1, 0))</f>
        <v>0</v>
      </c>
      <c r="E48" s="2">
        <f>MAX(0, D48*(1+Forecast!$B11))</f>
        <v>0</v>
      </c>
      <c r="F48" s="2">
        <f>MAX(0, E48*(1+Forecast!$B11))</f>
        <v>0</v>
      </c>
      <c r="G48" s="2">
        <f>MAX(0, F48*(1+Forecast!$B11))</f>
        <v>0</v>
      </c>
      <c r="H48" s="2">
        <f>MAX(0, G48*(1+Forecast!$B11))</f>
        <v>0</v>
      </c>
      <c r="I48" s="2">
        <f>MAX(0, H48*(1+Forecast!$B11))</f>
        <v>0</v>
      </c>
      <c r="J48" s="2">
        <f>MAX(0, I48*(1+Forecast!$B11))</f>
        <v>0</v>
      </c>
      <c r="K48" s="2">
        <f>MAX(0, J48*(1+Forecast!$B11))</f>
        <v>0</v>
      </c>
      <c r="L48" s="2">
        <f>MAX(0, K48*(1+Forecast!$B11))</f>
        <v>0</v>
      </c>
      <c r="M48" s="2">
        <f>MAX(0, L48*(1+Forecast!$B11))</f>
        <v>0</v>
      </c>
      <c r="N48" s="2">
        <f>MAX(0, M48*(1+Forecast!$B11))</f>
        <v>0</v>
      </c>
      <c r="O48" s="2">
        <f>MAX(0, N48*(1+Forecast!$B11))</f>
        <v>0</v>
      </c>
      <c r="P48" s="2">
        <f>MAX(0, O48*(1+Forecast!$B11))</f>
        <v>0</v>
      </c>
      <c r="Q48" s="2">
        <f>MAX(0, P48*(1+Forecast!$B11))</f>
        <v>0</v>
      </c>
      <c r="R48" s="2">
        <f>MAX(0, Q48*(1+Forecast!$B11))</f>
        <v>0</v>
      </c>
      <c r="S48" s="2">
        <f>MAX(0, R48*(1+Forecast!$B11))</f>
        <v>0</v>
      </c>
      <c r="T48" s="2">
        <f>MAX(0, S48*(1+Forecast!$B11))</f>
        <v>0</v>
      </c>
      <c r="U48" s="2">
        <f>MAX(0, T48*(1+Forecast!$B11))</f>
        <v>0</v>
      </c>
      <c r="V48" s="2">
        <f>MAX(0, U48*(1+Forecast!$B11))</f>
        <v>0</v>
      </c>
      <c r="W48" s="2">
        <f>MAX(0, V48*(1+Forecast!$B11))</f>
        <v>0</v>
      </c>
      <c r="X48" s="2">
        <f>MAX(0, W48*(1+Forecast!$B11))</f>
        <v>0</v>
      </c>
      <c r="Y48" s="2">
        <f>MAX(0, X48*(1+Forecast!$B11))</f>
        <v>0</v>
      </c>
      <c r="Z48" s="2">
        <f>MAX(0, Y48*(1+Forecast!$B11))</f>
        <v>0</v>
      </c>
      <c r="AA48" s="2">
        <f>MAX(0, Z48*(1+Forecast!$B11))</f>
        <v>0</v>
      </c>
      <c r="AB48" s="2">
        <f>MAX(0, AA48*(1+Forecast!$B11))</f>
        <v>0</v>
      </c>
      <c r="AC48" s="2">
        <f>MAX(0, AB48*(1+Forecast!$B11))</f>
        <v>0</v>
      </c>
      <c r="AD48" s="2">
        <f>MAX(0, AC48*(1+Forecast!$B11))</f>
        <v>0</v>
      </c>
      <c r="AE48" s="2">
        <f>MAX(0, AD48*(1+Forecast!$B11))</f>
        <v>0</v>
      </c>
      <c r="AF48" s="2">
        <f>MAX(0, AE48*(1+Forecast!$B11))</f>
        <v>0</v>
      </c>
      <c r="AG48" s="2">
        <f>MAX(0, AF48*(1+Forecast!$B11))</f>
        <v>0</v>
      </c>
    </row>
    <row r="49" spans="1:33" x14ac:dyDescent="0.3">
      <c r="A49" s="16" t="s">
        <v>16</v>
      </c>
      <c r="B49" s="2">
        <f>INDEX(SYCEU!$B$14:$G$23, MATCH($A49, SYCEU!$A$2:$A$11, 0), MATCH(Urban_res_calculation!$A$39, SYCEU!$B$1:$G$1, 0))</f>
        <v>0</v>
      </c>
      <c r="C49" s="2">
        <f>INDEX('2020'!$B$14:$G$23, MATCH($A49, '2020'!$A$2:$A$11, 0), MATCH(Urban_res_calculation!$A$39, '2020'!$B$1:$G$1, 0))</f>
        <v>0</v>
      </c>
      <c r="D49" s="2">
        <f>INDEX('2021'!$B$14:$G$23, MATCH($A49, '2021'!$A$2:$A$11, 0), MATCH(Urban_res_calculation!$A$39, '2021'!$B$1:$G$1, 0))</f>
        <v>0</v>
      </c>
      <c r="E49" s="2">
        <f>MAX(0, D49*(1+Forecast!$B12))</f>
        <v>0</v>
      </c>
      <c r="F49" s="2">
        <f>MAX(0, E49*(1+Forecast!$B12))</f>
        <v>0</v>
      </c>
      <c r="G49" s="2">
        <f>MAX(0, F49*(1+Forecast!$B12))</f>
        <v>0</v>
      </c>
      <c r="H49" s="2">
        <f>MAX(0, G49*(1+Forecast!$B12))</f>
        <v>0</v>
      </c>
      <c r="I49" s="2">
        <f>MAX(0, H49*(1+Forecast!$B12))</f>
        <v>0</v>
      </c>
      <c r="J49" s="2">
        <f>MAX(0, I49*(1+Forecast!$B12))</f>
        <v>0</v>
      </c>
      <c r="K49" s="2">
        <f>MAX(0, J49*(1+Forecast!$B12))</f>
        <v>0</v>
      </c>
      <c r="L49" s="2">
        <f>MAX(0, K49*(1+Forecast!$B12))</f>
        <v>0</v>
      </c>
      <c r="M49" s="2">
        <f>MAX(0, L49*(1+Forecast!$B12))</f>
        <v>0</v>
      </c>
      <c r="N49" s="2">
        <f>MAX(0, M49*(1+Forecast!$B12))</f>
        <v>0</v>
      </c>
      <c r="O49" s="2">
        <f>MAX(0, N49*(1+Forecast!$B12))</f>
        <v>0</v>
      </c>
      <c r="P49" s="2">
        <f>MAX(0, O49*(1+Forecast!$B12))</f>
        <v>0</v>
      </c>
      <c r="Q49" s="2">
        <f>MAX(0, P49*(1+Forecast!$B12))</f>
        <v>0</v>
      </c>
      <c r="R49" s="2">
        <f>MAX(0, Q49*(1+Forecast!$B12))</f>
        <v>0</v>
      </c>
      <c r="S49" s="2">
        <f>MAX(0, R49*(1+Forecast!$B12))</f>
        <v>0</v>
      </c>
      <c r="T49" s="2">
        <f>MAX(0, S49*(1+Forecast!$B12))</f>
        <v>0</v>
      </c>
      <c r="U49" s="2">
        <f>MAX(0, T49*(1+Forecast!$B12))</f>
        <v>0</v>
      </c>
      <c r="V49" s="2">
        <f>MAX(0, U49*(1+Forecast!$B12))</f>
        <v>0</v>
      </c>
      <c r="W49" s="2">
        <f>MAX(0, V49*(1+Forecast!$B12))</f>
        <v>0</v>
      </c>
      <c r="X49" s="2">
        <f>MAX(0, W49*(1+Forecast!$B12))</f>
        <v>0</v>
      </c>
      <c r="Y49" s="2">
        <f>MAX(0, X49*(1+Forecast!$B12))</f>
        <v>0</v>
      </c>
      <c r="Z49" s="2">
        <f>MAX(0, Y49*(1+Forecast!$B12))</f>
        <v>0</v>
      </c>
      <c r="AA49" s="2">
        <f>MAX(0, Z49*(1+Forecast!$B12))</f>
        <v>0</v>
      </c>
      <c r="AB49" s="2">
        <f>MAX(0, AA49*(1+Forecast!$B12))</f>
        <v>0</v>
      </c>
      <c r="AC49" s="2">
        <f>MAX(0, AB49*(1+Forecast!$B12))</f>
        <v>0</v>
      </c>
      <c r="AD49" s="2">
        <f>MAX(0, AC49*(1+Forecast!$B12))</f>
        <v>0</v>
      </c>
      <c r="AE49" s="2">
        <f>MAX(0, AD49*(1+Forecast!$B12))</f>
        <v>0</v>
      </c>
      <c r="AF49" s="2">
        <f>MAX(0, AE49*(1+Forecast!$B12))</f>
        <v>0</v>
      </c>
      <c r="AG49" s="2">
        <f>MAX(0, AF49*(1+Forecast!$B12))</f>
        <v>0</v>
      </c>
    </row>
    <row r="51" spans="1:33" x14ac:dyDescent="0.3">
      <c r="A51" s="16" t="s">
        <v>46</v>
      </c>
      <c r="B51" s="1">
        <v>2019</v>
      </c>
      <c r="C51" s="1">
        <v>2020</v>
      </c>
      <c r="D51" s="1">
        <v>2021</v>
      </c>
      <c r="E51" s="1">
        <v>2022</v>
      </c>
      <c r="F51" s="1">
        <v>2023</v>
      </c>
      <c r="G51" s="1">
        <v>2024</v>
      </c>
      <c r="H51" s="1">
        <v>2025</v>
      </c>
      <c r="I51" s="1">
        <v>2026</v>
      </c>
      <c r="J51" s="1">
        <v>2027</v>
      </c>
      <c r="K51" s="1">
        <v>2028</v>
      </c>
      <c r="L51" s="1">
        <v>2029</v>
      </c>
      <c r="M51" s="1">
        <v>2030</v>
      </c>
      <c r="N51" s="1">
        <v>2031</v>
      </c>
      <c r="O51" s="1">
        <v>2032</v>
      </c>
      <c r="P51" s="1">
        <v>2033</v>
      </c>
      <c r="Q51" s="1">
        <v>2034</v>
      </c>
      <c r="R51" s="1">
        <v>2035</v>
      </c>
      <c r="S51" s="1">
        <v>2036</v>
      </c>
      <c r="T51" s="1">
        <v>2037</v>
      </c>
      <c r="U51" s="1">
        <v>2038</v>
      </c>
      <c r="V51" s="1">
        <v>2039</v>
      </c>
      <c r="W51" s="1">
        <v>2040</v>
      </c>
      <c r="X51" s="1">
        <v>2041</v>
      </c>
      <c r="Y51" s="1">
        <v>2042</v>
      </c>
      <c r="Z51" s="1">
        <v>2043</v>
      </c>
      <c r="AA51" s="1">
        <v>2044</v>
      </c>
      <c r="AB51" s="1">
        <v>2045</v>
      </c>
      <c r="AC51" s="1">
        <v>2046</v>
      </c>
      <c r="AD51" s="1">
        <v>2047</v>
      </c>
      <c r="AE51" s="1">
        <v>2048</v>
      </c>
      <c r="AF51" s="1">
        <v>2049</v>
      </c>
      <c r="AG51" s="1">
        <v>2050</v>
      </c>
    </row>
    <row r="52" spans="1:33" x14ac:dyDescent="0.3">
      <c r="A52" s="16" t="s">
        <v>2</v>
      </c>
      <c r="B52" s="2">
        <f>INDEX(SYCEU!$B$14:$G$23, MATCH($A52, SYCEU!$A$2:$A$11, 0), MATCH(Urban_res_calculation!$A$51, SYCEU!$B$1:$G$1, 0))</f>
        <v>165000000000000</v>
      </c>
      <c r="C52" s="2">
        <f>INDEX('2020'!$B$14:$G$23, MATCH($A52, '2020'!$A$2:$A$11, 0), MATCH(Urban_res_calculation!$A$51, '2020'!$B$1:$G$1, 0))</f>
        <v>164947876262544.94</v>
      </c>
      <c r="D52" s="2">
        <f>INDEX('2021'!$B$14:$G$23, MATCH($A52, '2021'!$A$2:$A$11, 0), MATCH(Urban_res_calculation!$A$51, '2021'!$B$1:$G$1, 0))</f>
        <v>182634206344306.56</v>
      </c>
      <c r="E52" s="2">
        <f>MAX(0, D52*(1+Forecast!$B3))</f>
        <v>183730011582372.41</v>
      </c>
      <c r="F52" s="2">
        <f>MAX(0, E52*(1+Forecast!$B3))</f>
        <v>184832391651866.66</v>
      </c>
      <c r="G52" s="2">
        <f>MAX(0, F52*(1+Forecast!$B3))</f>
        <v>185941386001777.84</v>
      </c>
      <c r="H52" s="2">
        <f>MAX(0, G52*(1+Forecast!$B3))</f>
        <v>187057034317788.5</v>
      </c>
      <c r="I52" s="2">
        <f>MAX(0, H52*(1+Forecast!$B3))</f>
        <v>188179376523695.22</v>
      </c>
      <c r="J52" s="2">
        <f>MAX(0, I52*(1+Forecast!$B3))</f>
        <v>189308452782837.41</v>
      </c>
      <c r="K52" s="2">
        <f>MAX(0, J52*(1+Forecast!$B3))</f>
        <v>190444303499534.44</v>
      </c>
      <c r="L52" s="2">
        <f>MAX(0, K52*(1+Forecast!$B3))</f>
        <v>191586969320531.66</v>
      </c>
      <c r="M52" s="2">
        <f>MAX(0, L52*(1+Forecast!$B3))</f>
        <v>192736491136454.84</v>
      </c>
      <c r="N52" s="2">
        <f>MAX(0, M52*(1+Forecast!$B3))</f>
        <v>193892910083273.56</v>
      </c>
      <c r="O52" s="2">
        <f>MAX(0, N52*(1+Forecast!$B3))</f>
        <v>195056267543773.22</v>
      </c>
      <c r="P52" s="2">
        <f>MAX(0, O52*(1+Forecast!$B3))</f>
        <v>196226605149035.84</v>
      </c>
      <c r="Q52" s="2">
        <f>MAX(0, P52*(1+Forecast!$B3))</f>
        <v>197403964779930.06</v>
      </c>
      <c r="R52" s="2">
        <f>MAX(0, Q52*(1+Forecast!$B3))</f>
        <v>198588388568609.66</v>
      </c>
      <c r="S52" s="2">
        <f>MAX(0, R52*(1+Forecast!$B3))</f>
        <v>199779918900021.31</v>
      </c>
      <c r="T52" s="2">
        <f>MAX(0, S52*(1+Forecast!$B3))</f>
        <v>200978598413421.44</v>
      </c>
      <c r="U52" s="2">
        <f>MAX(0, T52*(1+Forecast!$B3))</f>
        <v>202184470003901.97</v>
      </c>
      <c r="V52" s="2">
        <f>MAX(0, U52*(1+Forecast!$B3))</f>
        <v>203397576823925.38</v>
      </c>
      <c r="W52" s="2">
        <f>MAX(0, V52*(1+Forecast!$B3))</f>
        <v>204617962284868.94</v>
      </c>
      <c r="X52" s="2">
        <f>MAX(0, W52*(1+Forecast!$B3))</f>
        <v>205845670058578.16</v>
      </c>
      <c r="Y52" s="2">
        <f>MAX(0, X52*(1+Forecast!$B3))</f>
        <v>207080744078929.63</v>
      </c>
      <c r="Z52" s="2">
        <f>MAX(0, Y52*(1+Forecast!$B3))</f>
        <v>208323228543403.22</v>
      </c>
      <c r="AA52" s="2">
        <f>MAX(0, Z52*(1+Forecast!$B3))</f>
        <v>209573167914663.63</v>
      </c>
      <c r="AB52" s="2">
        <f>MAX(0, AA52*(1+Forecast!$B3))</f>
        <v>210830606922151.59</v>
      </c>
      <c r="AC52" s="2">
        <f>MAX(0, AB52*(1+Forecast!$B3))</f>
        <v>212095590563684.5</v>
      </c>
      <c r="AD52" s="2">
        <f>MAX(0, AC52*(1+Forecast!$B3))</f>
        <v>213368164107066.59</v>
      </c>
      <c r="AE52" s="2">
        <f>MAX(0, AD52*(1+Forecast!$B3))</f>
        <v>214648373091709</v>
      </c>
      <c r="AF52" s="2">
        <f>MAX(0, AE52*(1+Forecast!$B3))</f>
        <v>215936263330259.25</v>
      </c>
      <c r="AG52" s="2">
        <f>MAX(0, AF52*(1+Forecast!$B3))</f>
        <v>217231880910240.81</v>
      </c>
    </row>
    <row r="53" spans="1:33" x14ac:dyDescent="0.3">
      <c r="A53" s="16" t="s">
        <v>3</v>
      </c>
      <c r="B53" s="2">
        <f>INDEX(SYCEU!$B$14:$G$23, MATCH($A53, SYCEU!$A$2:$A$11, 0), MATCH(Urban_res_calculation!$A$51, SYCEU!$B$1:$G$1, 0))</f>
        <v>0</v>
      </c>
      <c r="C53" s="2">
        <f>INDEX('2020'!$B$14:$G$23, MATCH($A53, '2020'!$A$2:$A$11, 0), MATCH(Urban_res_calculation!$A$51, '2020'!$B$1:$G$1, 0))</f>
        <v>0</v>
      </c>
      <c r="D53" s="2">
        <f>INDEX('2021'!$B$14:$G$23, MATCH($A53, '2021'!$A$2:$A$11, 0), MATCH(Urban_res_calculation!$A$51, '2021'!$B$1:$G$1, 0))</f>
        <v>0</v>
      </c>
      <c r="E53" s="2">
        <f>MAX(0, D53*(1+Forecast!$B4))</f>
        <v>0</v>
      </c>
      <c r="F53" s="2">
        <f>MAX(0, E53*(1+Forecast!$B4))</f>
        <v>0</v>
      </c>
      <c r="G53" s="2">
        <f>MAX(0, F53*(1+Forecast!$B4))</f>
        <v>0</v>
      </c>
      <c r="H53" s="2">
        <f>MAX(0, G53*(1+Forecast!$B4))</f>
        <v>0</v>
      </c>
      <c r="I53" s="2">
        <f>MAX(0, H53*(1+Forecast!$B4))</f>
        <v>0</v>
      </c>
      <c r="J53" s="2">
        <f>MAX(0, I53*(1+Forecast!$B4))</f>
        <v>0</v>
      </c>
      <c r="K53" s="2">
        <f>MAX(0, J53*(1+Forecast!$B4))</f>
        <v>0</v>
      </c>
      <c r="L53" s="2">
        <f>MAX(0, K53*(1+Forecast!$B4))</f>
        <v>0</v>
      </c>
      <c r="M53" s="2">
        <f>MAX(0, L53*(1+Forecast!$B4))</f>
        <v>0</v>
      </c>
      <c r="N53" s="2">
        <f>MAX(0, M53*(1+Forecast!$B4))</f>
        <v>0</v>
      </c>
      <c r="O53" s="2">
        <f>MAX(0, N53*(1+Forecast!$B4))</f>
        <v>0</v>
      </c>
      <c r="P53" s="2">
        <f>MAX(0, O53*(1+Forecast!$B4))</f>
        <v>0</v>
      </c>
      <c r="Q53" s="2">
        <f>MAX(0, P53*(1+Forecast!$B4))</f>
        <v>0</v>
      </c>
      <c r="R53" s="2">
        <f>MAX(0, Q53*(1+Forecast!$B4))</f>
        <v>0</v>
      </c>
      <c r="S53" s="2">
        <f>MAX(0, R53*(1+Forecast!$B4))</f>
        <v>0</v>
      </c>
      <c r="T53" s="2">
        <f>MAX(0, S53*(1+Forecast!$B4))</f>
        <v>0</v>
      </c>
      <c r="U53" s="2">
        <f>MAX(0, T53*(1+Forecast!$B4))</f>
        <v>0</v>
      </c>
      <c r="V53" s="2">
        <f>MAX(0, U53*(1+Forecast!$B4))</f>
        <v>0</v>
      </c>
      <c r="W53" s="2">
        <f>MAX(0, V53*(1+Forecast!$B4))</f>
        <v>0</v>
      </c>
      <c r="X53" s="2">
        <f>MAX(0, W53*(1+Forecast!$B4))</f>
        <v>0</v>
      </c>
      <c r="Y53" s="2">
        <f>MAX(0, X53*(1+Forecast!$B4))</f>
        <v>0</v>
      </c>
      <c r="Z53" s="2">
        <f>MAX(0, Y53*(1+Forecast!$B4))</f>
        <v>0</v>
      </c>
      <c r="AA53" s="2">
        <f>MAX(0, Z53*(1+Forecast!$B4))</f>
        <v>0</v>
      </c>
      <c r="AB53" s="2">
        <f>MAX(0, AA53*(1+Forecast!$B4))</f>
        <v>0</v>
      </c>
      <c r="AC53" s="2">
        <f>MAX(0, AB53*(1+Forecast!$B4))</f>
        <v>0</v>
      </c>
      <c r="AD53" s="2">
        <f>MAX(0, AC53*(1+Forecast!$B4))</f>
        <v>0</v>
      </c>
      <c r="AE53" s="2">
        <f>MAX(0, AD53*(1+Forecast!$B4))</f>
        <v>0</v>
      </c>
      <c r="AF53" s="2">
        <f>MAX(0, AE53*(1+Forecast!$B4))</f>
        <v>0</v>
      </c>
      <c r="AG53" s="2">
        <f>MAX(0, AF53*(1+Forecast!$B4))</f>
        <v>0</v>
      </c>
    </row>
    <row r="54" spans="1:33" x14ac:dyDescent="0.3">
      <c r="A54" s="16" t="s">
        <v>4</v>
      </c>
      <c r="B54" s="2">
        <f>INDEX(SYCEU!$B$14:$G$23, MATCH($A54, SYCEU!$A$2:$A$11, 0), MATCH(Urban_res_calculation!$A$51, SYCEU!$B$1:$G$1, 0))</f>
        <v>67600000000000</v>
      </c>
      <c r="C54" s="2">
        <f>INDEX('2020'!$B$14:$G$23, MATCH($A54, '2020'!$A$2:$A$11, 0), MATCH(Urban_res_calculation!$A$51, '2020'!$B$1:$G$1, 0))</f>
        <v>65284144029598.063</v>
      </c>
      <c r="D54" s="2">
        <f>INDEX('2021'!$B$14:$G$23, MATCH($A54, '2021'!$A$2:$A$11, 0), MATCH(Urban_res_calculation!$A$51, '2021'!$B$1:$G$1, 0))</f>
        <v>68527718568814.211</v>
      </c>
      <c r="E54" s="2">
        <f>MAX(0, D54*(1+Forecast!$B5))</f>
        <v>67979496820263.695</v>
      </c>
      <c r="F54" s="2">
        <f>MAX(0, E54*(1+Forecast!$B5))</f>
        <v>67435660845701.586</v>
      </c>
      <c r="G54" s="2">
        <f>MAX(0, F54*(1+Forecast!$B5))</f>
        <v>66896175558935.977</v>
      </c>
      <c r="H54" s="2">
        <f>MAX(0, G54*(1+Forecast!$B5))</f>
        <v>66361006154464.484</v>
      </c>
      <c r="I54" s="2">
        <f>MAX(0, H54*(1+Forecast!$B5))</f>
        <v>65830118105228.766</v>
      </c>
      <c r="J54" s="2">
        <f>MAX(0, I54*(1+Forecast!$B5))</f>
        <v>65303477160386.938</v>
      </c>
      <c r="K54" s="2">
        <f>MAX(0, J54*(1+Forecast!$B5))</f>
        <v>64781049343103.844</v>
      </c>
      <c r="L54" s="2">
        <f>MAX(0, K54*(1+Forecast!$B5))</f>
        <v>64262800948359.016</v>
      </c>
      <c r="M54" s="2">
        <f>MAX(0, L54*(1+Forecast!$B5))</f>
        <v>63748698540772.141</v>
      </c>
      <c r="N54" s="2">
        <f>MAX(0, M54*(1+Forecast!$B5))</f>
        <v>63238708952445.961</v>
      </c>
      <c r="O54" s="2">
        <f>MAX(0, N54*(1+Forecast!$B5))</f>
        <v>62732799280826.391</v>
      </c>
      <c r="P54" s="2">
        <f>MAX(0, O54*(1+Forecast!$B5))</f>
        <v>62230936886579.781</v>
      </c>
      <c r="Q54" s="2">
        <f>MAX(0, P54*(1+Forecast!$B5))</f>
        <v>61733089391487.141</v>
      </c>
      <c r="R54" s="2">
        <f>MAX(0, Q54*(1+Forecast!$B5))</f>
        <v>61239224676355.242</v>
      </c>
      <c r="S54" s="2">
        <f>MAX(0, R54*(1+Forecast!$B5))</f>
        <v>60749310878944.398</v>
      </c>
      <c r="T54" s="2">
        <f>MAX(0, S54*(1+Forecast!$B5))</f>
        <v>60263316391912.844</v>
      </c>
      <c r="U54" s="2">
        <f>MAX(0, T54*(1+Forecast!$B5))</f>
        <v>59781209860777.539</v>
      </c>
      <c r="V54" s="2">
        <f>MAX(0, U54*(1+Forecast!$B5))</f>
        <v>59302960181891.32</v>
      </c>
      <c r="W54" s="2">
        <f>MAX(0, V54*(1+Forecast!$B5))</f>
        <v>58828536500436.188</v>
      </c>
      <c r="X54" s="2">
        <f>MAX(0, W54*(1+Forecast!$B5))</f>
        <v>58357908208432.695</v>
      </c>
      <c r="Y54" s="2">
        <f>MAX(0, X54*(1+Forecast!$B5))</f>
        <v>57891044942765.234</v>
      </c>
      <c r="Z54" s="2">
        <f>MAX(0, Y54*(1+Forecast!$B5))</f>
        <v>57427916583223.109</v>
      </c>
      <c r="AA54" s="2">
        <f>MAX(0, Z54*(1+Forecast!$B5))</f>
        <v>56968493250557.32</v>
      </c>
      <c r="AB54" s="2">
        <f>MAX(0, AA54*(1+Forecast!$B5))</f>
        <v>56512745304552.859</v>
      </c>
      <c r="AC54" s="2">
        <f>MAX(0, AB54*(1+Forecast!$B5))</f>
        <v>56060643342116.438</v>
      </c>
      <c r="AD54" s="2">
        <f>MAX(0, AC54*(1+Forecast!$B5))</f>
        <v>55612158195379.508</v>
      </c>
      <c r="AE54" s="2">
        <f>MAX(0, AD54*(1+Forecast!$B5))</f>
        <v>55167260929816.469</v>
      </c>
      <c r="AF54" s="2">
        <f>MAX(0, AE54*(1+Forecast!$B5))</f>
        <v>54725922842377.938</v>
      </c>
      <c r="AG54" s="2">
        <f>MAX(0, AF54*(1+Forecast!$B5))</f>
        <v>54288115459638.914</v>
      </c>
    </row>
    <row r="55" spans="1:33" x14ac:dyDescent="0.3">
      <c r="A55" s="16" t="s">
        <v>5</v>
      </c>
      <c r="B55" s="2">
        <f>INDEX(SYCEU!$B$14:$G$23, MATCH($A55, SYCEU!$A$2:$A$11, 0), MATCH(Urban_res_calculation!$A$51, SYCEU!$B$1:$G$1, 0))</f>
        <v>0</v>
      </c>
      <c r="C55" s="2">
        <f>INDEX('2020'!$B$14:$G$23, MATCH($A55, '2020'!$A$2:$A$11, 0), MATCH(Urban_res_calculation!$A$51, '2020'!$B$1:$G$1, 0))</f>
        <v>0</v>
      </c>
      <c r="D55" s="2">
        <f>INDEX('2021'!$B$14:$G$23, MATCH($A55, '2021'!$A$2:$A$11, 0), MATCH(Urban_res_calculation!$A$51, '2021'!$B$1:$G$1, 0))</f>
        <v>0</v>
      </c>
      <c r="E55" s="2">
        <f>MAX(0, D55*(1+Forecast!$B6))</f>
        <v>0</v>
      </c>
      <c r="F55" s="2">
        <f>MAX(0, E55*(1+Forecast!$B6))</f>
        <v>0</v>
      </c>
      <c r="G55" s="2">
        <f>MAX(0, F55*(1+Forecast!$B6))</f>
        <v>0</v>
      </c>
      <c r="H55" s="2">
        <f>MAX(0, G55*(1+Forecast!$B6))</f>
        <v>0</v>
      </c>
      <c r="I55" s="2">
        <f>MAX(0, H55*(1+Forecast!$B6))</f>
        <v>0</v>
      </c>
      <c r="J55" s="2">
        <f>MAX(0, I55*(1+Forecast!$B6))</f>
        <v>0</v>
      </c>
      <c r="K55" s="2">
        <f>MAX(0, J55*(1+Forecast!$B6))</f>
        <v>0</v>
      </c>
      <c r="L55" s="2">
        <f>MAX(0, K55*(1+Forecast!$B6))</f>
        <v>0</v>
      </c>
      <c r="M55" s="2">
        <f>MAX(0, L55*(1+Forecast!$B6))</f>
        <v>0</v>
      </c>
      <c r="N55" s="2">
        <f>MAX(0, M55*(1+Forecast!$B6))</f>
        <v>0</v>
      </c>
      <c r="O55" s="2">
        <f>MAX(0, N55*(1+Forecast!$B6))</f>
        <v>0</v>
      </c>
      <c r="P55" s="2">
        <f>MAX(0, O55*(1+Forecast!$B6))</f>
        <v>0</v>
      </c>
      <c r="Q55" s="2">
        <f>MAX(0, P55*(1+Forecast!$B6))</f>
        <v>0</v>
      </c>
      <c r="R55" s="2">
        <f>MAX(0, Q55*(1+Forecast!$B6))</f>
        <v>0</v>
      </c>
      <c r="S55" s="2">
        <f>MAX(0, R55*(1+Forecast!$B6))</f>
        <v>0</v>
      </c>
      <c r="T55" s="2">
        <f>MAX(0, S55*(1+Forecast!$B6))</f>
        <v>0</v>
      </c>
      <c r="U55" s="2">
        <f>MAX(0, T55*(1+Forecast!$B6))</f>
        <v>0</v>
      </c>
      <c r="V55" s="2">
        <f>MAX(0, U55*(1+Forecast!$B6))</f>
        <v>0</v>
      </c>
      <c r="W55" s="2">
        <f>MAX(0, V55*(1+Forecast!$B6))</f>
        <v>0</v>
      </c>
      <c r="X55" s="2">
        <f>MAX(0, W55*(1+Forecast!$B6))</f>
        <v>0</v>
      </c>
      <c r="Y55" s="2">
        <f>MAX(0, X55*(1+Forecast!$B6))</f>
        <v>0</v>
      </c>
      <c r="Z55" s="2">
        <f>MAX(0, Y55*(1+Forecast!$B6))</f>
        <v>0</v>
      </c>
      <c r="AA55" s="2">
        <f>MAX(0, Z55*(1+Forecast!$B6))</f>
        <v>0</v>
      </c>
      <c r="AB55" s="2">
        <f>MAX(0, AA55*(1+Forecast!$B6))</f>
        <v>0</v>
      </c>
      <c r="AC55" s="2">
        <f>MAX(0, AB55*(1+Forecast!$B6))</f>
        <v>0</v>
      </c>
      <c r="AD55" s="2">
        <f>MAX(0, AC55*(1+Forecast!$B6))</f>
        <v>0</v>
      </c>
      <c r="AE55" s="2">
        <f>MAX(0, AD55*(1+Forecast!$B6))</f>
        <v>0</v>
      </c>
      <c r="AF55" s="2">
        <f>MAX(0, AE55*(1+Forecast!$B6))</f>
        <v>0</v>
      </c>
      <c r="AG55" s="2">
        <f>MAX(0, AF55*(1+Forecast!$B6))</f>
        <v>0</v>
      </c>
    </row>
    <row r="56" spans="1:33" x14ac:dyDescent="0.3">
      <c r="A56" s="16" t="s">
        <v>7</v>
      </c>
      <c r="B56" s="2">
        <f>INDEX(SYCEU!$B$14:$G$23, MATCH($A56, SYCEU!$A$2:$A$11, 0), MATCH(Urban_res_calculation!$A$51, SYCEU!$B$1:$G$1, 0))</f>
        <v>0</v>
      </c>
      <c r="C56" s="2">
        <f>INDEX('2020'!$B$14:$G$23, MATCH($A56, '2020'!$A$2:$A$11, 0), MATCH(Urban_res_calculation!$A$51, '2020'!$B$1:$G$1, 0))</f>
        <v>0</v>
      </c>
      <c r="D56" s="2">
        <f>INDEX('2021'!$B$14:$G$23, MATCH($A56, '2021'!$A$2:$A$11, 0), MATCH(Urban_res_calculation!$A$51, '2021'!$B$1:$G$1, 0))</f>
        <v>0</v>
      </c>
      <c r="E56" s="2">
        <f>MAX(0, D56*(1+Forecast!$B7))</f>
        <v>0</v>
      </c>
      <c r="F56" s="2">
        <f>MAX(0, E56*(1+Forecast!$B7))</f>
        <v>0</v>
      </c>
      <c r="G56" s="2">
        <f>MAX(0, F56*(1+Forecast!$B7))</f>
        <v>0</v>
      </c>
      <c r="H56" s="2">
        <f>MAX(0, G56*(1+Forecast!$B7))</f>
        <v>0</v>
      </c>
      <c r="I56" s="2">
        <f>MAX(0, H56*(1+Forecast!$B7))</f>
        <v>0</v>
      </c>
      <c r="J56" s="2">
        <f>MAX(0, I56*(1+Forecast!$B7))</f>
        <v>0</v>
      </c>
      <c r="K56" s="2">
        <f>MAX(0, J56*(1+Forecast!$B7))</f>
        <v>0</v>
      </c>
      <c r="L56" s="2">
        <f>MAX(0, K56*(1+Forecast!$B7))</f>
        <v>0</v>
      </c>
      <c r="M56" s="2">
        <f>MAX(0, L56*(1+Forecast!$B7))</f>
        <v>0</v>
      </c>
      <c r="N56" s="2">
        <f>MAX(0, M56*(1+Forecast!$B7))</f>
        <v>0</v>
      </c>
      <c r="O56" s="2">
        <f>MAX(0, N56*(1+Forecast!$B7))</f>
        <v>0</v>
      </c>
      <c r="P56" s="2">
        <f>MAX(0, O56*(1+Forecast!$B7))</f>
        <v>0</v>
      </c>
      <c r="Q56" s="2">
        <f>MAX(0, P56*(1+Forecast!$B7))</f>
        <v>0</v>
      </c>
      <c r="R56" s="2">
        <f>MAX(0, Q56*(1+Forecast!$B7))</f>
        <v>0</v>
      </c>
      <c r="S56" s="2">
        <f>MAX(0, R56*(1+Forecast!$B7))</f>
        <v>0</v>
      </c>
      <c r="T56" s="2">
        <f>MAX(0, S56*(1+Forecast!$B7))</f>
        <v>0</v>
      </c>
      <c r="U56" s="2">
        <f>MAX(0, T56*(1+Forecast!$B7))</f>
        <v>0</v>
      </c>
      <c r="V56" s="2">
        <f>MAX(0, U56*(1+Forecast!$B7))</f>
        <v>0</v>
      </c>
      <c r="W56" s="2">
        <f>MAX(0, V56*(1+Forecast!$B7))</f>
        <v>0</v>
      </c>
      <c r="X56" s="2">
        <f>MAX(0, W56*(1+Forecast!$B7))</f>
        <v>0</v>
      </c>
      <c r="Y56" s="2">
        <f>MAX(0, X56*(1+Forecast!$B7))</f>
        <v>0</v>
      </c>
      <c r="Z56" s="2">
        <f>MAX(0, Y56*(1+Forecast!$B7))</f>
        <v>0</v>
      </c>
      <c r="AA56" s="2">
        <f>MAX(0, Z56*(1+Forecast!$B7))</f>
        <v>0</v>
      </c>
      <c r="AB56" s="2">
        <f>MAX(0, AA56*(1+Forecast!$B7))</f>
        <v>0</v>
      </c>
      <c r="AC56" s="2">
        <f>MAX(0, AB56*(1+Forecast!$B7))</f>
        <v>0</v>
      </c>
      <c r="AD56" s="2">
        <f>MAX(0, AC56*(1+Forecast!$B7))</f>
        <v>0</v>
      </c>
      <c r="AE56" s="2">
        <f>MAX(0, AD56*(1+Forecast!$B7))</f>
        <v>0</v>
      </c>
      <c r="AF56" s="2">
        <f>MAX(0, AE56*(1+Forecast!$B7))</f>
        <v>0</v>
      </c>
      <c r="AG56" s="2">
        <f>MAX(0, AF56*(1+Forecast!$B7))</f>
        <v>0</v>
      </c>
    </row>
    <row r="57" spans="1:33" x14ac:dyDescent="0.3">
      <c r="A57" s="16" t="s">
        <v>11</v>
      </c>
      <c r="B57" s="2">
        <f>INDEX(SYCEU!$B$14:$G$23, MATCH($A57, SYCEU!$A$2:$A$11, 0), MATCH(Urban_res_calculation!$A$51, SYCEU!$B$1:$G$1, 0))</f>
        <v>0</v>
      </c>
      <c r="C57" s="2">
        <f>INDEX('2020'!$B$14:$G$23, MATCH($A57, '2020'!$A$2:$A$11, 0), MATCH(Urban_res_calculation!$A$51, '2020'!$B$1:$G$1, 0))</f>
        <v>0</v>
      </c>
      <c r="D57" s="2">
        <f>INDEX('2021'!$B$14:$G$23, MATCH($A57, '2021'!$A$2:$A$11, 0), MATCH(Urban_res_calculation!$A$51, '2021'!$B$1:$G$1, 0))</f>
        <v>0</v>
      </c>
      <c r="E57" s="2">
        <f>MAX(0, D57*(1+Forecast!$B8))</f>
        <v>0</v>
      </c>
      <c r="F57" s="2">
        <f>MAX(0, E57*(1+Forecast!$B8))</f>
        <v>0</v>
      </c>
      <c r="G57" s="2">
        <f>MAX(0, F57*(1+Forecast!$B8))</f>
        <v>0</v>
      </c>
      <c r="H57" s="2">
        <f>MAX(0, G57*(1+Forecast!$B8))</f>
        <v>0</v>
      </c>
      <c r="I57" s="2">
        <f>MAX(0, H57*(1+Forecast!$B8))</f>
        <v>0</v>
      </c>
      <c r="J57" s="2">
        <f>MAX(0, I57*(1+Forecast!$B8))</f>
        <v>0</v>
      </c>
      <c r="K57" s="2">
        <f>MAX(0, J57*(1+Forecast!$B8))</f>
        <v>0</v>
      </c>
      <c r="L57" s="2">
        <f>MAX(0, K57*(1+Forecast!$B8))</f>
        <v>0</v>
      </c>
      <c r="M57" s="2">
        <f>MAX(0, L57*(1+Forecast!$B8))</f>
        <v>0</v>
      </c>
      <c r="N57" s="2">
        <f>MAX(0, M57*(1+Forecast!$B8))</f>
        <v>0</v>
      </c>
      <c r="O57" s="2">
        <f>MAX(0, N57*(1+Forecast!$B8))</f>
        <v>0</v>
      </c>
      <c r="P57" s="2">
        <f>MAX(0, O57*(1+Forecast!$B8))</f>
        <v>0</v>
      </c>
      <c r="Q57" s="2">
        <f>MAX(0, P57*(1+Forecast!$B8))</f>
        <v>0</v>
      </c>
      <c r="R57" s="2">
        <f>MAX(0, Q57*(1+Forecast!$B8))</f>
        <v>0</v>
      </c>
      <c r="S57" s="2">
        <f>MAX(0, R57*(1+Forecast!$B8))</f>
        <v>0</v>
      </c>
      <c r="T57" s="2">
        <f>MAX(0, S57*(1+Forecast!$B8))</f>
        <v>0</v>
      </c>
      <c r="U57" s="2">
        <f>MAX(0, T57*(1+Forecast!$B8))</f>
        <v>0</v>
      </c>
      <c r="V57" s="2">
        <f>MAX(0, U57*(1+Forecast!$B8))</f>
        <v>0</v>
      </c>
      <c r="W57" s="2">
        <f>MAX(0, V57*(1+Forecast!$B8))</f>
        <v>0</v>
      </c>
      <c r="X57" s="2">
        <f>MAX(0, W57*(1+Forecast!$B8))</f>
        <v>0</v>
      </c>
      <c r="Y57" s="2">
        <f>MAX(0, X57*(1+Forecast!$B8))</f>
        <v>0</v>
      </c>
      <c r="Z57" s="2">
        <f>MAX(0, Y57*(1+Forecast!$B8))</f>
        <v>0</v>
      </c>
      <c r="AA57" s="2">
        <f>MAX(0, Z57*(1+Forecast!$B8))</f>
        <v>0</v>
      </c>
      <c r="AB57" s="2">
        <f>MAX(0, AA57*(1+Forecast!$B8))</f>
        <v>0</v>
      </c>
      <c r="AC57" s="2">
        <f>MAX(0, AB57*(1+Forecast!$B8))</f>
        <v>0</v>
      </c>
      <c r="AD57" s="2">
        <f>MAX(0, AC57*(1+Forecast!$B8))</f>
        <v>0</v>
      </c>
      <c r="AE57" s="2">
        <f>MAX(0, AD57*(1+Forecast!$B8))</f>
        <v>0</v>
      </c>
      <c r="AF57" s="2">
        <f>MAX(0, AE57*(1+Forecast!$B8))</f>
        <v>0</v>
      </c>
      <c r="AG57" s="2">
        <f>MAX(0, AF57*(1+Forecast!$B8))</f>
        <v>0</v>
      </c>
    </row>
    <row r="58" spans="1:33" x14ac:dyDescent="0.3">
      <c r="A58" s="16" t="s">
        <v>13</v>
      </c>
      <c r="B58" s="2">
        <f>INDEX(SYCEU!$B$14:$G$23, MATCH($A58, SYCEU!$A$2:$A$11, 0), MATCH(Urban_res_calculation!$A$51, SYCEU!$B$1:$G$1, 0))</f>
        <v>0</v>
      </c>
      <c r="C58" s="2">
        <f>INDEX('2020'!$B$14:$G$23, MATCH($A58, '2020'!$A$2:$A$11, 0), MATCH(Urban_res_calculation!$A$51, '2020'!$B$1:$G$1, 0))</f>
        <v>0</v>
      </c>
      <c r="D58" s="2">
        <f>INDEX('2021'!$B$14:$G$23, MATCH($A58, '2021'!$A$2:$A$11, 0), MATCH(Urban_res_calculation!$A$51, '2021'!$B$1:$G$1, 0))</f>
        <v>0</v>
      </c>
      <c r="E58" s="2">
        <f>MAX(0, D58*(1+Forecast!$B9))</f>
        <v>0</v>
      </c>
      <c r="F58" s="2">
        <f>MAX(0, E58*(1+Forecast!$B9))</f>
        <v>0</v>
      </c>
      <c r="G58" s="2">
        <f>MAX(0, F58*(1+Forecast!$B9))</f>
        <v>0</v>
      </c>
      <c r="H58" s="2">
        <f>MAX(0, G58*(1+Forecast!$B9))</f>
        <v>0</v>
      </c>
      <c r="I58" s="2">
        <f>MAX(0, H58*(1+Forecast!$B9))</f>
        <v>0</v>
      </c>
      <c r="J58" s="2">
        <f>MAX(0, I58*(1+Forecast!$B9))</f>
        <v>0</v>
      </c>
      <c r="K58" s="2">
        <f>MAX(0, J58*(1+Forecast!$B9))</f>
        <v>0</v>
      </c>
      <c r="L58" s="2">
        <f>MAX(0, K58*(1+Forecast!$B9))</f>
        <v>0</v>
      </c>
      <c r="M58" s="2">
        <f>MAX(0, L58*(1+Forecast!$B9))</f>
        <v>0</v>
      </c>
      <c r="N58" s="2">
        <f>MAX(0, M58*(1+Forecast!$B9))</f>
        <v>0</v>
      </c>
      <c r="O58" s="2">
        <f>MAX(0, N58*(1+Forecast!$B9))</f>
        <v>0</v>
      </c>
      <c r="P58" s="2">
        <f>MAX(0, O58*(1+Forecast!$B9))</f>
        <v>0</v>
      </c>
      <c r="Q58" s="2">
        <f>MAX(0, P58*(1+Forecast!$B9))</f>
        <v>0</v>
      </c>
      <c r="R58" s="2">
        <f>MAX(0, Q58*(1+Forecast!$B9))</f>
        <v>0</v>
      </c>
      <c r="S58" s="2">
        <f>MAX(0, R58*(1+Forecast!$B9))</f>
        <v>0</v>
      </c>
      <c r="T58" s="2">
        <f>MAX(0, S58*(1+Forecast!$B9))</f>
        <v>0</v>
      </c>
      <c r="U58" s="2">
        <f>MAX(0, T58*(1+Forecast!$B9))</f>
        <v>0</v>
      </c>
      <c r="V58" s="2">
        <f>MAX(0, U58*(1+Forecast!$B9))</f>
        <v>0</v>
      </c>
      <c r="W58" s="2">
        <f>MAX(0, V58*(1+Forecast!$B9))</f>
        <v>0</v>
      </c>
      <c r="X58" s="2">
        <f>MAX(0, W58*(1+Forecast!$B9))</f>
        <v>0</v>
      </c>
      <c r="Y58" s="2">
        <f>MAX(0, X58*(1+Forecast!$B9))</f>
        <v>0</v>
      </c>
      <c r="Z58" s="2">
        <f>MAX(0, Y58*(1+Forecast!$B9))</f>
        <v>0</v>
      </c>
      <c r="AA58" s="2">
        <f>MAX(0, Z58*(1+Forecast!$B9))</f>
        <v>0</v>
      </c>
      <c r="AB58" s="2">
        <f>MAX(0, AA58*(1+Forecast!$B9))</f>
        <v>0</v>
      </c>
      <c r="AC58" s="2">
        <f>MAX(0, AB58*(1+Forecast!$B9))</f>
        <v>0</v>
      </c>
      <c r="AD58" s="2">
        <f>MAX(0, AC58*(1+Forecast!$B9))</f>
        <v>0</v>
      </c>
      <c r="AE58" s="2">
        <f>MAX(0, AD58*(1+Forecast!$B9))</f>
        <v>0</v>
      </c>
      <c r="AF58" s="2">
        <f>MAX(0, AE58*(1+Forecast!$B9))</f>
        <v>0</v>
      </c>
      <c r="AG58" s="2">
        <f>MAX(0, AF58*(1+Forecast!$B9))</f>
        <v>0</v>
      </c>
    </row>
    <row r="59" spans="1:33" x14ac:dyDescent="0.3">
      <c r="A59" s="16" t="s">
        <v>14</v>
      </c>
      <c r="B59" s="2">
        <f>INDEX(SYCEU!$B$14:$G$23, MATCH($A59, SYCEU!$A$2:$A$11, 0), MATCH(Urban_res_calculation!$A$51, SYCEU!$B$1:$G$1, 0))</f>
        <v>0</v>
      </c>
      <c r="C59" s="2">
        <f>INDEX('2020'!$B$14:$G$23, MATCH($A59, '2020'!$A$2:$A$11, 0), MATCH(Urban_res_calculation!$A$51, '2020'!$B$1:$G$1, 0))</f>
        <v>0</v>
      </c>
      <c r="D59" s="2">
        <f>INDEX('2021'!$B$14:$G$23, MATCH($A59, '2021'!$A$2:$A$11, 0), MATCH(Urban_res_calculation!$A$51, '2021'!$B$1:$G$1, 0))</f>
        <v>0</v>
      </c>
      <c r="E59" s="2">
        <f>MAX(0, D59*(1+Forecast!$B10))</f>
        <v>0</v>
      </c>
      <c r="F59" s="2">
        <f>MAX(0, E59*(1+Forecast!$B10))</f>
        <v>0</v>
      </c>
      <c r="G59" s="2">
        <f>MAX(0, F59*(1+Forecast!$B10))</f>
        <v>0</v>
      </c>
      <c r="H59" s="2">
        <f>MAX(0, G59*(1+Forecast!$B10))</f>
        <v>0</v>
      </c>
      <c r="I59" s="2">
        <f>MAX(0, H59*(1+Forecast!$B10))</f>
        <v>0</v>
      </c>
      <c r="J59" s="2">
        <f>MAX(0, I59*(1+Forecast!$B10))</f>
        <v>0</v>
      </c>
      <c r="K59" s="2">
        <f>MAX(0, J59*(1+Forecast!$B10))</f>
        <v>0</v>
      </c>
      <c r="L59" s="2">
        <f>MAX(0, K59*(1+Forecast!$B10))</f>
        <v>0</v>
      </c>
      <c r="M59" s="2">
        <f>MAX(0, L59*(1+Forecast!$B10))</f>
        <v>0</v>
      </c>
      <c r="N59" s="2">
        <f>MAX(0, M59*(1+Forecast!$B10))</f>
        <v>0</v>
      </c>
      <c r="O59" s="2">
        <f>MAX(0, N59*(1+Forecast!$B10))</f>
        <v>0</v>
      </c>
      <c r="P59" s="2">
        <f>MAX(0, O59*(1+Forecast!$B10))</f>
        <v>0</v>
      </c>
      <c r="Q59" s="2">
        <f>MAX(0, P59*(1+Forecast!$B10))</f>
        <v>0</v>
      </c>
      <c r="R59" s="2">
        <f>MAX(0, Q59*(1+Forecast!$B10))</f>
        <v>0</v>
      </c>
      <c r="S59" s="2">
        <f>MAX(0, R59*(1+Forecast!$B10))</f>
        <v>0</v>
      </c>
      <c r="T59" s="2">
        <f>MAX(0, S59*(1+Forecast!$B10))</f>
        <v>0</v>
      </c>
      <c r="U59" s="2">
        <f>MAX(0, T59*(1+Forecast!$B10))</f>
        <v>0</v>
      </c>
      <c r="V59" s="2">
        <f>MAX(0, U59*(1+Forecast!$B10))</f>
        <v>0</v>
      </c>
      <c r="W59" s="2">
        <f>MAX(0, V59*(1+Forecast!$B10))</f>
        <v>0</v>
      </c>
      <c r="X59" s="2">
        <f>MAX(0, W59*(1+Forecast!$B10))</f>
        <v>0</v>
      </c>
      <c r="Y59" s="2">
        <f>MAX(0, X59*(1+Forecast!$B10))</f>
        <v>0</v>
      </c>
      <c r="Z59" s="2">
        <f>MAX(0, Y59*(1+Forecast!$B10))</f>
        <v>0</v>
      </c>
      <c r="AA59" s="2">
        <f>MAX(0, Z59*(1+Forecast!$B10))</f>
        <v>0</v>
      </c>
      <c r="AB59" s="2">
        <f>MAX(0, AA59*(1+Forecast!$B10))</f>
        <v>0</v>
      </c>
      <c r="AC59" s="2">
        <f>MAX(0, AB59*(1+Forecast!$B10))</f>
        <v>0</v>
      </c>
      <c r="AD59" s="2">
        <f>MAX(0, AC59*(1+Forecast!$B10))</f>
        <v>0</v>
      </c>
      <c r="AE59" s="2">
        <f>MAX(0, AD59*(1+Forecast!$B10))</f>
        <v>0</v>
      </c>
      <c r="AF59" s="2">
        <f>MAX(0, AE59*(1+Forecast!$B10))</f>
        <v>0</v>
      </c>
      <c r="AG59" s="2">
        <f>MAX(0, AF59*(1+Forecast!$B10))</f>
        <v>0</v>
      </c>
    </row>
    <row r="60" spans="1:33" x14ac:dyDescent="0.3">
      <c r="A60" s="16" t="s">
        <v>15</v>
      </c>
      <c r="B60" s="2">
        <f>INDEX(SYCEU!$B$14:$G$23, MATCH($A60, SYCEU!$A$2:$A$11, 0), MATCH(Urban_res_calculation!$A$51, SYCEU!$B$1:$G$1, 0))</f>
        <v>4490000000000</v>
      </c>
      <c r="C60" s="2">
        <f>INDEX('2020'!$B$14:$G$23, MATCH($A60, '2020'!$A$2:$A$11, 0), MATCH(Urban_res_calculation!$A$51, '2020'!$B$1:$G$1, 0))</f>
        <v>4237715602201.9023</v>
      </c>
      <c r="D60" s="2">
        <f>INDEX('2021'!$B$14:$G$23, MATCH($A60, '2021'!$A$2:$A$11, 0), MATCH(Urban_res_calculation!$A$51, '2021'!$B$1:$G$1, 0))</f>
        <v>4230005089891.2842</v>
      </c>
      <c r="E60" s="2">
        <f>MAX(0, D60*(1+Forecast!$B11))</f>
        <v>4052344876115.8501</v>
      </c>
      <c r="F60" s="2">
        <f>MAX(0, E60*(1+Forecast!$B11))</f>
        <v>3882146391318.9844</v>
      </c>
      <c r="G60" s="2">
        <f>MAX(0, F60*(1+Forecast!$B11))</f>
        <v>3719096242883.5869</v>
      </c>
      <c r="H60" s="2">
        <f>MAX(0, G60*(1+Forecast!$B11))</f>
        <v>3562894200682.4761</v>
      </c>
      <c r="I60" s="2">
        <f>MAX(0, H60*(1+Forecast!$B11))</f>
        <v>3413252644253.812</v>
      </c>
      <c r="J60" s="2">
        <f>MAX(0, I60*(1+Forecast!$B11))</f>
        <v>3269896033195.1519</v>
      </c>
      <c r="K60" s="2">
        <f>MAX(0, J60*(1+Forecast!$B11))</f>
        <v>3132560399800.9556</v>
      </c>
      <c r="L60" s="2">
        <f>MAX(0, K60*(1+Forecast!$B11))</f>
        <v>3000992863009.3154</v>
      </c>
      <c r="M60" s="2">
        <f>MAX(0, L60*(1+Forecast!$B11))</f>
        <v>2874951162762.9238</v>
      </c>
      <c r="N60" s="2">
        <f>MAX(0, M60*(1+Forecast!$B11))</f>
        <v>2754203213926.8809</v>
      </c>
      <c r="O60" s="2">
        <f>MAX(0, N60*(1+Forecast!$B11))</f>
        <v>2638526678941.9517</v>
      </c>
      <c r="P60" s="2">
        <f>MAX(0, O60*(1+Forecast!$B11))</f>
        <v>2527708558426.3896</v>
      </c>
      <c r="Q60" s="2">
        <f>MAX(0, P60*(1+Forecast!$B11))</f>
        <v>2421544798972.481</v>
      </c>
      <c r="R60" s="2">
        <f>MAX(0, Q60*(1+Forecast!$B11))</f>
        <v>2319839917415.6367</v>
      </c>
      <c r="S60" s="2">
        <f>MAX(0, R60*(1+Forecast!$B11))</f>
        <v>2222406640884.1797</v>
      </c>
      <c r="T60" s="2">
        <f>MAX(0, S60*(1+Forecast!$B11))</f>
        <v>2129065561967.0439</v>
      </c>
      <c r="U60" s="2">
        <f>MAX(0, T60*(1+Forecast!$B11))</f>
        <v>2039644808364.428</v>
      </c>
      <c r="V60" s="2">
        <f>MAX(0, U60*(1+Forecast!$B11))</f>
        <v>1953979726413.1218</v>
      </c>
      <c r="W60" s="2">
        <f>MAX(0, V60*(1+Forecast!$B11))</f>
        <v>1871912577903.7708</v>
      </c>
      <c r="X60" s="2">
        <f>MAX(0, W60*(1+Forecast!$B11))</f>
        <v>1793292249631.8123</v>
      </c>
      <c r="Y60" s="2">
        <f>MAX(0, X60*(1+Forecast!$B11))</f>
        <v>1717973975147.2761</v>
      </c>
      <c r="Z60" s="2">
        <f>MAX(0, Y60*(1+Forecast!$B11))</f>
        <v>1645819068191.0906</v>
      </c>
      <c r="AA60" s="2">
        <f>MAX(0, Z60*(1+Forecast!$B11))</f>
        <v>1576694667327.0647</v>
      </c>
      <c r="AB60" s="2">
        <f>MAX(0, AA60*(1+Forecast!$B11))</f>
        <v>1510473491299.3279</v>
      </c>
      <c r="AC60" s="2">
        <f>MAX(0, AB60*(1+Forecast!$B11))</f>
        <v>1447033604664.7561</v>
      </c>
      <c r="AD60" s="2">
        <f>MAX(0, AC60*(1+Forecast!$B11))</f>
        <v>1386258193268.8362</v>
      </c>
      <c r="AE60" s="2">
        <f>MAX(0, AD60*(1+Forecast!$B11))</f>
        <v>1328035349151.5449</v>
      </c>
      <c r="AF60" s="2">
        <f>MAX(0, AE60*(1+Forecast!$B11))</f>
        <v>1272257864487.1799</v>
      </c>
      <c r="AG60" s="2">
        <f>MAX(0, AF60*(1+Forecast!$B11))</f>
        <v>1218823034178.7183</v>
      </c>
    </row>
    <row r="61" spans="1:33" x14ac:dyDescent="0.3">
      <c r="A61" s="16" t="s">
        <v>16</v>
      </c>
      <c r="B61" s="2">
        <f>INDEX(SYCEU!$B$14:$G$23, MATCH($A61, SYCEU!$A$2:$A$11, 0), MATCH(Urban_res_calculation!$A$51, SYCEU!$B$1:$G$1, 0))</f>
        <v>0</v>
      </c>
      <c r="C61" s="2">
        <f>INDEX('2020'!$B$14:$G$23, MATCH($A61, '2020'!$A$2:$A$11, 0), MATCH(Urban_res_calculation!$A$51, '2020'!$B$1:$G$1, 0))</f>
        <v>0</v>
      </c>
      <c r="D61" s="2">
        <f>INDEX('2021'!$B$14:$G$23, MATCH($A61, '2021'!$A$2:$A$11, 0), MATCH(Urban_res_calculation!$A$51, '2021'!$B$1:$G$1, 0))</f>
        <v>0</v>
      </c>
      <c r="E61" s="2">
        <f>MAX(0, D61*(1+Forecast!$B12))</f>
        <v>0</v>
      </c>
      <c r="F61" s="2">
        <f>MAX(0, E61*(1+Forecast!$B12))</f>
        <v>0</v>
      </c>
      <c r="G61" s="2">
        <f>MAX(0, F61*(1+Forecast!$B12))</f>
        <v>0</v>
      </c>
      <c r="H61" s="2">
        <f>MAX(0, G61*(1+Forecast!$B12))</f>
        <v>0</v>
      </c>
      <c r="I61" s="2">
        <f>MAX(0, H61*(1+Forecast!$B12))</f>
        <v>0</v>
      </c>
      <c r="J61" s="2">
        <f>MAX(0, I61*(1+Forecast!$B12))</f>
        <v>0</v>
      </c>
      <c r="K61" s="2">
        <f>MAX(0, J61*(1+Forecast!$B12))</f>
        <v>0</v>
      </c>
      <c r="L61" s="2">
        <f>MAX(0, K61*(1+Forecast!$B12))</f>
        <v>0</v>
      </c>
      <c r="M61" s="2">
        <f>MAX(0, L61*(1+Forecast!$B12))</f>
        <v>0</v>
      </c>
      <c r="N61" s="2">
        <f>MAX(0, M61*(1+Forecast!$B12))</f>
        <v>0</v>
      </c>
      <c r="O61" s="2">
        <f>MAX(0, N61*(1+Forecast!$B12))</f>
        <v>0</v>
      </c>
      <c r="P61" s="2">
        <f>MAX(0, O61*(1+Forecast!$B12))</f>
        <v>0</v>
      </c>
      <c r="Q61" s="2">
        <f>MAX(0, P61*(1+Forecast!$B12))</f>
        <v>0</v>
      </c>
      <c r="R61" s="2">
        <f>MAX(0, Q61*(1+Forecast!$B12))</f>
        <v>0</v>
      </c>
      <c r="S61" s="2">
        <f>MAX(0, R61*(1+Forecast!$B12))</f>
        <v>0</v>
      </c>
      <c r="T61" s="2">
        <f>MAX(0, S61*(1+Forecast!$B12))</f>
        <v>0</v>
      </c>
      <c r="U61" s="2">
        <f>MAX(0, T61*(1+Forecast!$B12))</f>
        <v>0</v>
      </c>
      <c r="V61" s="2">
        <f>MAX(0, U61*(1+Forecast!$B12))</f>
        <v>0</v>
      </c>
      <c r="W61" s="2">
        <f>MAX(0, V61*(1+Forecast!$B12))</f>
        <v>0</v>
      </c>
      <c r="X61" s="2">
        <f>MAX(0, W61*(1+Forecast!$B12))</f>
        <v>0</v>
      </c>
      <c r="Y61" s="2">
        <f>MAX(0, X61*(1+Forecast!$B12))</f>
        <v>0</v>
      </c>
      <c r="Z61" s="2">
        <f>MAX(0, Y61*(1+Forecast!$B12))</f>
        <v>0</v>
      </c>
      <c r="AA61" s="2">
        <f>MAX(0, Z61*(1+Forecast!$B12))</f>
        <v>0</v>
      </c>
      <c r="AB61" s="2">
        <f>MAX(0, AA61*(1+Forecast!$B12))</f>
        <v>0</v>
      </c>
      <c r="AC61" s="2">
        <f>MAX(0, AB61*(1+Forecast!$B12))</f>
        <v>0</v>
      </c>
      <c r="AD61" s="2">
        <f>MAX(0, AC61*(1+Forecast!$B12))</f>
        <v>0</v>
      </c>
      <c r="AE61" s="2">
        <f>MAX(0, AD61*(1+Forecast!$B12))</f>
        <v>0</v>
      </c>
      <c r="AF61" s="2">
        <f>MAX(0, AE61*(1+Forecast!$B12))</f>
        <v>0</v>
      </c>
      <c r="AG61" s="2">
        <f>MAX(0, AF61*(1+Forecast!$B12))</f>
        <v>0</v>
      </c>
    </row>
    <row r="63" spans="1:33" x14ac:dyDescent="0.3">
      <c r="A63" s="16" t="s">
        <v>42</v>
      </c>
      <c r="B63" s="1">
        <v>2019</v>
      </c>
      <c r="C63" s="1">
        <v>2020</v>
      </c>
      <c r="D63" s="1">
        <v>2021</v>
      </c>
      <c r="E63" s="1">
        <v>2022</v>
      </c>
      <c r="F63" s="1">
        <v>2023</v>
      </c>
      <c r="G63" s="1">
        <v>2024</v>
      </c>
      <c r="H63" s="1">
        <v>2025</v>
      </c>
      <c r="I63" s="1">
        <v>2026</v>
      </c>
      <c r="J63" s="1">
        <v>2027</v>
      </c>
      <c r="K63" s="1">
        <v>2028</v>
      </c>
      <c r="L63" s="1">
        <v>2029</v>
      </c>
      <c r="M63" s="1">
        <v>2030</v>
      </c>
      <c r="N63" s="1">
        <v>2031</v>
      </c>
      <c r="O63" s="1">
        <v>2032</v>
      </c>
      <c r="P63" s="1">
        <v>2033</v>
      </c>
      <c r="Q63" s="1">
        <v>2034</v>
      </c>
      <c r="R63" s="1">
        <v>2035</v>
      </c>
      <c r="S63" s="1">
        <v>2036</v>
      </c>
      <c r="T63" s="1">
        <v>2037</v>
      </c>
      <c r="U63" s="1">
        <v>2038</v>
      </c>
      <c r="V63" s="1">
        <v>2039</v>
      </c>
      <c r="W63" s="1">
        <v>2040</v>
      </c>
      <c r="X63" s="1">
        <v>2041</v>
      </c>
      <c r="Y63" s="1">
        <v>2042</v>
      </c>
      <c r="Z63" s="1">
        <v>2043</v>
      </c>
      <c r="AA63" s="1">
        <v>2044</v>
      </c>
      <c r="AB63" s="1">
        <v>2045</v>
      </c>
      <c r="AC63" s="1">
        <v>2046</v>
      </c>
      <c r="AD63" s="1">
        <v>2047</v>
      </c>
      <c r="AE63" s="1">
        <v>2048</v>
      </c>
      <c r="AF63" s="1">
        <v>2049</v>
      </c>
      <c r="AG63" s="1">
        <v>2050</v>
      </c>
    </row>
    <row r="64" spans="1:33" x14ac:dyDescent="0.3">
      <c r="A64" s="16" t="s">
        <v>2</v>
      </c>
      <c r="B64" s="2">
        <f>INDEX(SYCEU!$B$14:$G$23, MATCH($A64, SYCEU!$A$2:$A$11, 0), MATCH(Urban_res_calculation!$A$63, SYCEU!$B$1:$G$1, 0))</f>
        <v>0</v>
      </c>
      <c r="C64" s="2">
        <f>INDEX('2020'!$B$14:$G$23, MATCH($A64, '2020'!$A$2:$A$11, 0), MATCH(Urban_res_calculation!$A$63, '2020'!$B$1:$G$1, 0))</f>
        <v>0</v>
      </c>
      <c r="D64" s="2">
        <f>INDEX('2021'!$B$14:$G$23, MATCH($A64, '2021'!$A$2:$A$11, 0), MATCH(Urban_res_calculation!$A$63, '2021'!$B$1:$G$1, 0))</f>
        <v>0</v>
      </c>
      <c r="E64" s="2">
        <f>MAX(0, D64*(1+Forecast!$B3))</f>
        <v>0</v>
      </c>
      <c r="F64" s="2">
        <f>MAX(0, E64*(1+Forecast!$B3))</f>
        <v>0</v>
      </c>
      <c r="G64" s="2">
        <f>MAX(0, F64*(1+Forecast!$B3))</f>
        <v>0</v>
      </c>
      <c r="H64" s="2">
        <f>MAX(0, G64*(1+Forecast!$B3))</f>
        <v>0</v>
      </c>
      <c r="I64" s="2">
        <f>MAX(0, H64*(1+Forecast!$B3))</f>
        <v>0</v>
      </c>
      <c r="J64" s="2">
        <f>MAX(0, I64*(1+Forecast!$B3))</f>
        <v>0</v>
      </c>
      <c r="K64" s="2">
        <f>MAX(0, J64*(1+Forecast!$B3))</f>
        <v>0</v>
      </c>
      <c r="L64" s="2">
        <f>MAX(0, K64*(1+Forecast!$B3))</f>
        <v>0</v>
      </c>
      <c r="M64" s="2">
        <f>MAX(0, L64*(1+Forecast!$B3))</f>
        <v>0</v>
      </c>
      <c r="N64" s="2">
        <f>MAX(0, M64*(1+Forecast!$B3))</f>
        <v>0</v>
      </c>
      <c r="O64" s="2">
        <f>MAX(0, N64*(1+Forecast!$B3))</f>
        <v>0</v>
      </c>
      <c r="P64" s="2">
        <f>MAX(0, O64*(1+Forecast!$B3))</f>
        <v>0</v>
      </c>
      <c r="Q64" s="2">
        <f>MAX(0, P64*(1+Forecast!$B3))</f>
        <v>0</v>
      </c>
      <c r="R64" s="2">
        <f>MAX(0, Q64*(1+Forecast!$B3))</f>
        <v>0</v>
      </c>
      <c r="S64" s="2">
        <f>MAX(0, R64*(1+Forecast!$B3))</f>
        <v>0</v>
      </c>
      <c r="T64" s="2">
        <f>MAX(0, S64*(1+Forecast!$B3))</f>
        <v>0</v>
      </c>
      <c r="U64" s="2">
        <f>MAX(0, T64*(1+Forecast!$B3))</f>
        <v>0</v>
      </c>
      <c r="V64" s="2">
        <f>MAX(0, U64*(1+Forecast!$B3))</f>
        <v>0</v>
      </c>
      <c r="W64" s="2">
        <f>MAX(0, V64*(1+Forecast!$B3))</f>
        <v>0</v>
      </c>
      <c r="X64" s="2">
        <f>MAX(0, W64*(1+Forecast!$B3))</f>
        <v>0</v>
      </c>
      <c r="Y64" s="2">
        <f>MAX(0, X64*(1+Forecast!$B3))</f>
        <v>0</v>
      </c>
      <c r="Z64" s="2">
        <f>MAX(0, Y64*(1+Forecast!$B3))</f>
        <v>0</v>
      </c>
      <c r="AA64" s="2">
        <f>MAX(0, Z64*(1+Forecast!$B3))</f>
        <v>0</v>
      </c>
      <c r="AB64" s="2">
        <f>MAX(0, AA64*(1+Forecast!$B3))</f>
        <v>0</v>
      </c>
      <c r="AC64" s="2">
        <f>MAX(0, AB64*(1+Forecast!$B3))</f>
        <v>0</v>
      </c>
      <c r="AD64" s="2">
        <f>MAX(0, AC64*(1+Forecast!$B3))</f>
        <v>0</v>
      </c>
      <c r="AE64" s="2">
        <f>MAX(0, AD64*(1+Forecast!$B3))</f>
        <v>0</v>
      </c>
      <c r="AF64" s="2">
        <f>MAX(0, AE64*(1+Forecast!$B3))</f>
        <v>0</v>
      </c>
      <c r="AG64" s="2">
        <f>MAX(0, AF64*(1+Forecast!$B3))</f>
        <v>0</v>
      </c>
    </row>
    <row r="65" spans="1:33" x14ac:dyDescent="0.3">
      <c r="A65" s="16" t="s">
        <v>3</v>
      </c>
      <c r="B65" s="2">
        <f>INDEX(SYCEU!$B$14:$G$23, MATCH($A65, SYCEU!$A$2:$A$11, 0), MATCH(Urban_res_calculation!$A$63, SYCEU!$B$1:$G$1, 0))</f>
        <v>0</v>
      </c>
      <c r="C65" s="2">
        <f>INDEX('2020'!$B$14:$G$23, MATCH($A65, '2020'!$A$2:$A$11, 0), MATCH(Urban_res_calculation!$A$63, '2020'!$B$1:$G$1, 0))</f>
        <v>0</v>
      </c>
      <c r="D65" s="2">
        <f>INDEX('2021'!$B$14:$G$23, MATCH($A65, '2021'!$A$2:$A$11, 0), MATCH(Urban_res_calculation!$A$63, '2021'!$B$1:$G$1, 0))</f>
        <v>0</v>
      </c>
      <c r="E65" s="2">
        <f>MAX(0, D65*(1+Forecast!$B4))</f>
        <v>0</v>
      </c>
      <c r="F65" s="2">
        <f>MAX(0, E65*(1+Forecast!$B4))</f>
        <v>0</v>
      </c>
      <c r="G65" s="2">
        <f>MAX(0, F65*(1+Forecast!$B4))</f>
        <v>0</v>
      </c>
      <c r="H65" s="2">
        <f>MAX(0, G65*(1+Forecast!$B4))</f>
        <v>0</v>
      </c>
      <c r="I65" s="2">
        <f>MAX(0, H65*(1+Forecast!$B4))</f>
        <v>0</v>
      </c>
      <c r="J65" s="2">
        <f>MAX(0, I65*(1+Forecast!$B4))</f>
        <v>0</v>
      </c>
      <c r="K65" s="2">
        <f>MAX(0, J65*(1+Forecast!$B4))</f>
        <v>0</v>
      </c>
      <c r="L65" s="2">
        <f>MAX(0, K65*(1+Forecast!$B4))</f>
        <v>0</v>
      </c>
      <c r="M65" s="2">
        <f>MAX(0, L65*(1+Forecast!$B4))</f>
        <v>0</v>
      </c>
      <c r="N65" s="2">
        <f>MAX(0, M65*(1+Forecast!$B4))</f>
        <v>0</v>
      </c>
      <c r="O65" s="2">
        <f>MAX(0, N65*(1+Forecast!$B4))</f>
        <v>0</v>
      </c>
      <c r="P65" s="2">
        <f>MAX(0, O65*(1+Forecast!$B4))</f>
        <v>0</v>
      </c>
      <c r="Q65" s="2">
        <f>MAX(0, P65*(1+Forecast!$B4))</f>
        <v>0</v>
      </c>
      <c r="R65" s="2">
        <f>MAX(0, Q65*(1+Forecast!$B4))</f>
        <v>0</v>
      </c>
      <c r="S65" s="2">
        <f>MAX(0, R65*(1+Forecast!$B4))</f>
        <v>0</v>
      </c>
      <c r="T65" s="2">
        <f>MAX(0, S65*(1+Forecast!$B4))</f>
        <v>0</v>
      </c>
      <c r="U65" s="2">
        <f>MAX(0, T65*(1+Forecast!$B4))</f>
        <v>0</v>
      </c>
      <c r="V65" s="2">
        <f>MAX(0, U65*(1+Forecast!$B4))</f>
        <v>0</v>
      </c>
      <c r="W65" s="2">
        <f>MAX(0, V65*(1+Forecast!$B4))</f>
        <v>0</v>
      </c>
      <c r="X65" s="2">
        <f>MAX(0, W65*(1+Forecast!$B4))</f>
        <v>0</v>
      </c>
      <c r="Y65" s="2">
        <f>MAX(0, X65*(1+Forecast!$B4))</f>
        <v>0</v>
      </c>
      <c r="Z65" s="2">
        <f>MAX(0, Y65*(1+Forecast!$B4))</f>
        <v>0</v>
      </c>
      <c r="AA65" s="2">
        <f>MAX(0, Z65*(1+Forecast!$B4))</f>
        <v>0</v>
      </c>
      <c r="AB65" s="2">
        <f>MAX(0, AA65*(1+Forecast!$B4))</f>
        <v>0</v>
      </c>
      <c r="AC65" s="2">
        <f>MAX(0, AB65*(1+Forecast!$B4))</f>
        <v>0</v>
      </c>
      <c r="AD65" s="2">
        <f>MAX(0, AC65*(1+Forecast!$B4))</f>
        <v>0</v>
      </c>
      <c r="AE65" s="2">
        <f>MAX(0, AD65*(1+Forecast!$B4))</f>
        <v>0</v>
      </c>
      <c r="AF65" s="2">
        <f>MAX(0, AE65*(1+Forecast!$B4))</f>
        <v>0</v>
      </c>
      <c r="AG65" s="2">
        <f>MAX(0, AF65*(1+Forecast!$B4))</f>
        <v>0</v>
      </c>
    </row>
    <row r="66" spans="1:33" x14ac:dyDescent="0.3">
      <c r="A66" s="16" t="s">
        <v>4</v>
      </c>
      <c r="B66" s="2">
        <f>INDEX(SYCEU!$B$14:$G$23, MATCH($A66, SYCEU!$A$2:$A$11, 0), MATCH(Urban_res_calculation!$A$63, SYCEU!$B$1:$G$1, 0))</f>
        <v>0</v>
      </c>
      <c r="C66" s="2">
        <f>INDEX('2020'!$B$14:$G$23, MATCH($A66, '2020'!$A$2:$A$11, 0), MATCH(Urban_res_calculation!$A$63, '2020'!$B$1:$G$1, 0))</f>
        <v>0</v>
      </c>
      <c r="D66" s="2">
        <f>INDEX('2021'!$B$14:$G$23, MATCH($A66, '2021'!$A$2:$A$11, 0), MATCH(Urban_res_calculation!$A$63, '2021'!$B$1:$G$1, 0))</f>
        <v>0</v>
      </c>
      <c r="E66" s="2">
        <f>MAX(0, D66*(1+Forecast!$B5))</f>
        <v>0</v>
      </c>
      <c r="F66" s="2">
        <f>MAX(0, E66*(1+Forecast!$B5))</f>
        <v>0</v>
      </c>
      <c r="G66" s="2">
        <f>MAX(0, F66*(1+Forecast!$B5))</f>
        <v>0</v>
      </c>
      <c r="H66" s="2">
        <f>MAX(0, G66*(1+Forecast!$B5))</f>
        <v>0</v>
      </c>
      <c r="I66" s="2">
        <f>MAX(0, H66*(1+Forecast!$B5))</f>
        <v>0</v>
      </c>
      <c r="J66" s="2">
        <f>MAX(0, I66*(1+Forecast!$B5))</f>
        <v>0</v>
      </c>
      <c r="K66" s="2">
        <f>MAX(0, J66*(1+Forecast!$B5))</f>
        <v>0</v>
      </c>
      <c r="L66" s="2">
        <f>MAX(0, K66*(1+Forecast!$B5))</f>
        <v>0</v>
      </c>
      <c r="M66" s="2">
        <f>MAX(0, L66*(1+Forecast!$B5))</f>
        <v>0</v>
      </c>
      <c r="N66" s="2">
        <f>MAX(0, M66*(1+Forecast!$B5))</f>
        <v>0</v>
      </c>
      <c r="O66" s="2">
        <f>MAX(0, N66*(1+Forecast!$B5))</f>
        <v>0</v>
      </c>
      <c r="P66" s="2">
        <f>MAX(0, O66*(1+Forecast!$B5))</f>
        <v>0</v>
      </c>
      <c r="Q66" s="2">
        <f>MAX(0, P66*(1+Forecast!$B5))</f>
        <v>0</v>
      </c>
      <c r="R66" s="2">
        <f>MAX(0, Q66*(1+Forecast!$B5))</f>
        <v>0</v>
      </c>
      <c r="S66" s="2">
        <f>MAX(0, R66*(1+Forecast!$B5))</f>
        <v>0</v>
      </c>
      <c r="T66" s="2">
        <f>MAX(0, S66*(1+Forecast!$B5))</f>
        <v>0</v>
      </c>
      <c r="U66" s="2">
        <f>MAX(0, T66*(1+Forecast!$B5))</f>
        <v>0</v>
      </c>
      <c r="V66" s="2">
        <f>MAX(0, U66*(1+Forecast!$B5))</f>
        <v>0</v>
      </c>
      <c r="W66" s="2">
        <f>MAX(0, V66*(1+Forecast!$B5))</f>
        <v>0</v>
      </c>
      <c r="X66" s="2">
        <f>MAX(0, W66*(1+Forecast!$B5))</f>
        <v>0</v>
      </c>
      <c r="Y66" s="2">
        <f>MAX(0, X66*(1+Forecast!$B5))</f>
        <v>0</v>
      </c>
      <c r="Z66" s="2">
        <f>MAX(0, Y66*(1+Forecast!$B5))</f>
        <v>0</v>
      </c>
      <c r="AA66" s="2">
        <f>MAX(0, Z66*(1+Forecast!$B5))</f>
        <v>0</v>
      </c>
      <c r="AB66" s="2">
        <f>MAX(0, AA66*(1+Forecast!$B5))</f>
        <v>0</v>
      </c>
      <c r="AC66" s="2">
        <f>MAX(0, AB66*(1+Forecast!$B5))</f>
        <v>0</v>
      </c>
      <c r="AD66" s="2">
        <f>MAX(0, AC66*(1+Forecast!$B5))</f>
        <v>0</v>
      </c>
      <c r="AE66" s="2">
        <f>MAX(0, AD66*(1+Forecast!$B5))</f>
        <v>0</v>
      </c>
      <c r="AF66" s="2">
        <f>MAX(0, AE66*(1+Forecast!$B5))</f>
        <v>0</v>
      </c>
      <c r="AG66" s="2">
        <f>MAX(0, AF66*(1+Forecast!$B5))</f>
        <v>0</v>
      </c>
    </row>
    <row r="67" spans="1:33" x14ac:dyDescent="0.3">
      <c r="A67" s="16" t="s">
        <v>5</v>
      </c>
      <c r="B67" s="2">
        <f>INDEX(SYCEU!$B$14:$G$23, MATCH($A67, SYCEU!$A$2:$A$11, 0), MATCH(Urban_res_calculation!$A$63, SYCEU!$B$1:$G$1, 0))</f>
        <v>0</v>
      </c>
      <c r="C67" s="2">
        <f>INDEX('2020'!$B$14:$G$23, MATCH($A67, '2020'!$A$2:$A$11, 0), MATCH(Urban_res_calculation!$A$63, '2020'!$B$1:$G$1, 0))</f>
        <v>0</v>
      </c>
      <c r="D67" s="2">
        <f>INDEX('2021'!$B$14:$G$23, MATCH($A67, '2021'!$A$2:$A$11, 0), MATCH(Urban_res_calculation!$A$63, '2021'!$B$1:$G$1, 0))</f>
        <v>0</v>
      </c>
      <c r="E67" s="2">
        <f>MAX(0, D67*(1+Forecast!$B6))</f>
        <v>0</v>
      </c>
      <c r="F67" s="2">
        <f>MAX(0, E67*(1+Forecast!$B6))</f>
        <v>0</v>
      </c>
      <c r="G67" s="2">
        <f>MAX(0, F67*(1+Forecast!$B6))</f>
        <v>0</v>
      </c>
      <c r="H67" s="2">
        <f>MAX(0, G67*(1+Forecast!$B6))</f>
        <v>0</v>
      </c>
      <c r="I67" s="2">
        <f>MAX(0, H67*(1+Forecast!$B6))</f>
        <v>0</v>
      </c>
      <c r="J67" s="2">
        <f>MAX(0, I67*(1+Forecast!$B6))</f>
        <v>0</v>
      </c>
      <c r="K67" s="2">
        <f>MAX(0, J67*(1+Forecast!$B6))</f>
        <v>0</v>
      </c>
      <c r="L67" s="2">
        <f>MAX(0, K67*(1+Forecast!$B6))</f>
        <v>0</v>
      </c>
      <c r="M67" s="2">
        <f>MAX(0, L67*(1+Forecast!$B6))</f>
        <v>0</v>
      </c>
      <c r="N67" s="2">
        <f>MAX(0, M67*(1+Forecast!$B6))</f>
        <v>0</v>
      </c>
      <c r="O67" s="2">
        <f>MAX(0, N67*(1+Forecast!$B6))</f>
        <v>0</v>
      </c>
      <c r="P67" s="2">
        <f>MAX(0, O67*(1+Forecast!$B6))</f>
        <v>0</v>
      </c>
      <c r="Q67" s="2">
        <f>MAX(0, P67*(1+Forecast!$B6))</f>
        <v>0</v>
      </c>
      <c r="R67" s="2">
        <f>MAX(0, Q67*(1+Forecast!$B6))</f>
        <v>0</v>
      </c>
      <c r="S67" s="2">
        <f>MAX(0, R67*(1+Forecast!$B6))</f>
        <v>0</v>
      </c>
      <c r="T67" s="2">
        <f>MAX(0, S67*(1+Forecast!$B6))</f>
        <v>0</v>
      </c>
      <c r="U67" s="2">
        <f>MAX(0, T67*(1+Forecast!$B6))</f>
        <v>0</v>
      </c>
      <c r="V67" s="2">
        <f>MAX(0, U67*(1+Forecast!$B6))</f>
        <v>0</v>
      </c>
      <c r="W67" s="2">
        <f>MAX(0, V67*(1+Forecast!$B6))</f>
        <v>0</v>
      </c>
      <c r="X67" s="2">
        <f>MAX(0, W67*(1+Forecast!$B6))</f>
        <v>0</v>
      </c>
      <c r="Y67" s="2">
        <f>MAX(0, X67*(1+Forecast!$B6))</f>
        <v>0</v>
      </c>
      <c r="Z67" s="2">
        <f>MAX(0, Y67*(1+Forecast!$B6))</f>
        <v>0</v>
      </c>
      <c r="AA67" s="2">
        <f>MAX(0, Z67*(1+Forecast!$B6))</f>
        <v>0</v>
      </c>
      <c r="AB67" s="2">
        <f>MAX(0, AA67*(1+Forecast!$B6))</f>
        <v>0</v>
      </c>
      <c r="AC67" s="2">
        <f>MAX(0, AB67*(1+Forecast!$B6))</f>
        <v>0</v>
      </c>
      <c r="AD67" s="2">
        <f>MAX(0, AC67*(1+Forecast!$B6))</f>
        <v>0</v>
      </c>
      <c r="AE67" s="2">
        <f>MAX(0, AD67*(1+Forecast!$B6))</f>
        <v>0</v>
      </c>
      <c r="AF67" s="2">
        <f>MAX(0, AE67*(1+Forecast!$B6))</f>
        <v>0</v>
      </c>
      <c r="AG67" s="2">
        <f>MAX(0, AF67*(1+Forecast!$B6))</f>
        <v>0</v>
      </c>
    </row>
    <row r="68" spans="1:33" x14ac:dyDescent="0.3">
      <c r="A68" s="16" t="s">
        <v>7</v>
      </c>
      <c r="B68" s="2">
        <f>INDEX(SYCEU!$B$14:$G$23, MATCH($A68, SYCEU!$A$2:$A$11, 0), MATCH(Urban_res_calculation!$A$63, SYCEU!$B$1:$G$1, 0))</f>
        <v>0</v>
      </c>
      <c r="C68" s="2">
        <f>INDEX('2020'!$B$14:$G$23, MATCH($A68, '2020'!$A$2:$A$11, 0), MATCH(Urban_res_calculation!$A$63, '2020'!$B$1:$G$1, 0))</f>
        <v>0</v>
      </c>
      <c r="D68" s="2">
        <f>INDEX('2021'!$B$14:$G$23, MATCH($A68, '2021'!$A$2:$A$11, 0), MATCH(Urban_res_calculation!$A$63, '2021'!$B$1:$G$1, 0))</f>
        <v>0</v>
      </c>
      <c r="E68" s="2">
        <f>MAX(0, D68*(1+Forecast!$B7))</f>
        <v>0</v>
      </c>
      <c r="F68" s="2">
        <f>MAX(0, E68*(1+Forecast!$B7))</f>
        <v>0</v>
      </c>
      <c r="G68" s="2">
        <f>MAX(0, F68*(1+Forecast!$B7))</f>
        <v>0</v>
      </c>
      <c r="H68" s="2">
        <f>MAX(0, G68*(1+Forecast!$B7))</f>
        <v>0</v>
      </c>
      <c r="I68" s="2">
        <f>MAX(0, H68*(1+Forecast!$B7))</f>
        <v>0</v>
      </c>
      <c r="J68" s="2">
        <f>MAX(0, I68*(1+Forecast!$B7))</f>
        <v>0</v>
      </c>
      <c r="K68" s="2">
        <f>MAX(0, J68*(1+Forecast!$B7))</f>
        <v>0</v>
      </c>
      <c r="L68" s="2">
        <f>MAX(0, K68*(1+Forecast!$B7))</f>
        <v>0</v>
      </c>
      <c r="M68" s="2">
        <f>MAX(0, L68*(1+Forecast!$B7))</f>
        <v>0</v>
      </c>
      <c r="N68" s="2">
        <f>MAX(0, M68*(1+Forecast!$B7))</f>
        <v>0</v>
      </c>
      <c r="O68" s="2">
        <f>MAX(0, N68*(1+Forecast!$B7))</f>
        <v>0</v>
      </c>
      <c r="P68" s="2">
        <f>MAX(0, O68*(1+Forecast!$B7))</f>
        <v>0</v>
      </c>
      <c r="Q68" s="2">
        <f>MAX(0, P68*(1+Forecast!$B7))</f>
        <v>0</v>
      </c>
      <c r="R68" s="2">
        <f>MAX(0, Q68*(1+Forecast!$B7))</f>
        <v>0</v>
      </c>
      <c r="S68" s="2">
        <f>MAX(0, R68*(1+Forecast!$B7))</f>
        <v>0</v>
      </c>
      <c r="T68" s="2">
        <f>MAX(0, S68*(1+Forecast!$B7))</f>
        <v>0</v>
      </c>
      <c r="U68" s="2">
        <f>MAX(0, T68*(1+Forecast!$B7))</f>
        <v>0</v>
      </c>
      <c r="V68" s="2">
        <f>MAX(0, U68*(1+Forecast!$B7))</f>
        <v>0</v>
      </c>
      <c r="W68" s="2">
        <f>MAX(0, V68*(1+Forecast!$B7))</f>
        <v>0</v>
      </c>
      <c r="X68" s="2">
        <f>MAX(0, W68*(1+Forecast!$B7))</f>
        <v>0</v>
      </c>
      <c r="Y68" s="2">
        <f>MAX(0, X68*(1+Forecast!$B7))</f>
        <v>0</v>
      </c>
      <c r="Z68" s="2">
        <f>MAX(0, Y68*(1+Forecast!$B7))</f>
        <v>0</v>
      </c>
      <c r="AA68" s="2">
        <f>MAX(0, Z68*(1+Forecast!$B7))</f>
        <v>0</v>
      </c>
      <c r="AB68" s="2">
        <f>MAX(0, AA68*(1+Forecast!$B7))</f>
        <v>0</v>
      </c>
      <c r="AC68" s="2">
        <f>MAX(0, AB68*(1+Forecast!$B7))</f>
        <v>0</v>
      </c>
      <c r="AD68" s="2">
        <f>MAX(0, AC68*(1+Forecast!$B7))</f>
        <v>0</v>
      </c>
      <c r="AE68" s="2">
        <f>MAX(0, AD68*(1+Forecast!$B7))</f>
        <v>0</v>
      </c>
      <c r="AF68" s="2">
        <f>MAX(0, AE68*(1+Forecast!$B7))</f>
        <v>0</v>
      </c>
      <c r="AG68" s="2">
        <f>MAX(0, AF68*(1+Forecast!$B7))</f>
        <v>0</v>
      </c>
    </row>
    <row r="69" spans="1:33" x14ac:dyDescent="0.3">
      <c r="A69" s="16" t="s">
        <v>11</v>
      </c>
      <c r="B69" s="2">
        <f>INDEX(SYCEU!$B$14:$G$23, MATCH($A69, SYCEU!$A$2:$A$11, 0), MATCH(Urban_res_calculation!$A$63, SYCEU!$B$1:$G$1, 0))</f>
        <v>0</v>
      </c>
      <c r="C69" s="2">
        <f>INDEX('2020'!$B$14:$G$23, MATCH($A69, '2020'!$A$2:$A$11, 0), MATCH(Urban_res_calculation!$A$63, '2020'!$B$1:$G$1, 0))</f>
        <v>0</v>
      </c>
      <c r="D69" s="2">
        <f>INDEX('2021'!$B$14:$G$23, MATCH($A69, '2021'!$A$2:$A$11, 0), MATCH(Urban_res_calculation!$A$63, '2021'!$B$1:$G$1, 0))</f>
        <v>0</v>
      </c>
      <c r="E69" s="2">
        <f>MAX(0, D69*(1+Forecast!$B8))</f>
        <v>0</v>
      </c>
      <c r="F69" s="2">
        <f>MAX(0, E69*(1+Forecast!$B8))</f>
        <v>0</v>
      </c>
      <c r="G69" s="2">
        <f>MAX(0, F69*(1+Forecast!$B8))</f>
        <v>0</v>
      </c>
      <c r="H69" s="2">
        <f>MAX(0, G69*(1+Forecast!$B8))</f>
        <v>0</v>
      </c>
      <c r="I69" s="2">
        <f>MAX(0, H69*(1+Forecast!$B8))</f>
        <v>0</v>
      </c>
      <c r="J69" s="2">
        <f>MAX(0, I69*(1+Forecast!$B8))</f>
        <v>0</v>
      </c>
      <c r="K69" s="2">
        <f>MAX(0, J69*(1+Forecast!$B8))</f>
        <v>0</v>
      </c>
      <c r="L69" s="2">
        <f>MAX(0, K69*(1+Forecast!$B8))</f>
        <v>0</v>
      </c>
      <c r="M69" s="2">
        <f>MAX(0, L69*(1+Forecast!$B8))</f>
        <v>0</v>
      </c>
      <c r="N69" s="2">
        <f>MAX(0, M69*(1+Forecast!$B8))</f>
        <v>0</v>
      </c>
      <c r="O69" s="2">
        <f>MAX(0, N69*(1+Forecast!$B8))</f>
        <v>0</v>
      </c>
      <c r="P69" s="2">
        <f>MAX(0, O69*(1+Forecast!$B8))</f>
        <v>0</v>
      </c>
      <c r="Q69" s="2">
        <f>MAX(0, P69*(1+Forecast!$B8))</f>
        <v>0</v>
      </c>
      <c r="R69" s="2">
        <f>MAX(0, Q69*(1+Forecast!$B8))</f>
        <v>0</v>
      </c>
      <c r="S69" s="2">
        <f>MAX(0, R69*(1+Forecast!$B8))</f>
        <v>0</v>
      </c>
      <c r="T69" s="2">
        <f>MAX(0, S69*(1+Forecast!$B8))</f>
        <v>0</v>
      </c>
      <c r="U69" s="2">
        <f>MAX(0, T69*(1+Forecast!$B8))</f>
        <v>0</v>
      </c>
      <c r="V69" s="2">
        <f>MAX(0, U69*(1+Forecast!$B8))</f>
        <v>0</v>
      </c>
      <c r="W69" s="2">
        <f>MAX(0, V69*(1+Forecast!$B8))</f>
        <v>0</v>
      </c>
      <c r="X69" s="2">
        <f>MAX(0, W69*(1+Forecast!$B8))</f>
        <v>0</v>
      </c>
      <c r="Y69" s="2">
        <f>MAX(0, X69*(1+Forecast!$B8))</f>
        <v>0</v>
      </c>
      <c r="Z69" s="2">
        <f>MAX(0, Y69*(1+Forecast!$B8))</f>
        <v>0</v>
      </c>
      <c r="AA69" s="2">
        <f>MAX(0, Z69*(1+Forecast!$B8))</f>
        <v>0</v>
      </c>
      <c r="AB69" s="2">
        <f>MAX(0, AA69*(1+Forecast!$B8))</f>
        <v>0</v>
      </c>
      <c r="AC69" s="2">
        <f>MAX(0, AB69*(1+Forecast!$B8))</f>
        <v>0</v>
      </c>
      <c r="AD69" s="2">
        <f>MAX(0, AC69*(1+Forecast!$B8))</f>
        <v>0</v>
      </c>
      <c r="AE69" s="2">
        <f>MAX(0, AD69*(1+Forecast!$B8))</f>
        <v>0</v>
      </c>
      <c r="AF69" s="2">
        <f>MAX(0, AE69*(1+Forecast!$B8))</f>
        <v>0</v>
      </c>
      <c r="AG69" s="2">
        <f>MAX(0, AF69*(1+Forecast!$B8))</f>
        <v>0</v>
      </c>
    </row>
    <row r="70" spans="1:33" x14ac:dyDescent="0.3">
      <c r="A70" s="16" t="s">
        <v>13</v>
      </c>
      <c r="B70" s="2">
        <f>INDEX(SYCEU!$B$14:$G$23, MATCH($A70, SYCEU!$A$2:$A$11, 0), MATCH(Urban_res_calculation!$A$63, SYCEU!$B$1:$G$1, 0))</f>
        <v>0</v>
      </c>
      <c r="C70" s="2">
        <f>INDEX('2020'!$B$14:$G$23, MATCH($A70, '2020'!$A$2:$A$11, 0), MATCH(Urban_res_calculation!$A$63, '2020'!$B$1:$G$1, 0))</f>
        <v>0</v>
      </c>
      <c r="D70" s="2">
        <f>INDEX('2021'!$B$14:$G$23, MATCH($A70, '2021'!$A$2:$A$11, 0), MATCH(Urban_res_calculation!$A$63, '2021'!$B$1:$G$1, 0))</f>
        <v>0</v>
      </c>
      <c r="E70" s="2">
        <f>MAX(0, D70*(1+Forecast!$B9))</f>
        <v>0</v>
      </c>
      <c r="F70" s="2">
        <f>MAX(0, E70*(1+Forecast!$B9))</f>
        <v>0</v>
      </c>
      <c r="G70" s="2">
        <f>MAX(0, F70*(1+Forecast!$B9))</f>
        <v>0</v>
      </c>
      <c r="H70" s="2">
        <f>MAX(0, G70*(1+Forecast!$B9))</f>
        <v>0</v>
      </c>
      <c r="I70" s="2">
        <f>MAX(0, H70*(1+Forecast!$B9))</f>
        <v>0</v>
      </c>
      <c r="J70" s="2">
        <f>MAX(0, I70*(1+Forecast!$B9))</f>
        <v>0</v>
      </c>
      <c r="K70" s="2">
        <f>MAX(0, J70*(1+Forecast!$B9))</f>
        <v>0</v>
      </c>
      <c r="L70" s="2">
        <f>MAX(0, K70*(1+Forecast!$B9))</f>
        <v>0</v>
      </c>
      <c r="M70" s="2">
        <f>MAX(0, L70*(1+Forecast!$B9))</f>
        <v>0</v>
      </c>
      <c r="N70" s="2">
        <f>MAX(0, M70*(1+Forecast!$B9))</f>
        <v>0</v>
      </c>
      <c r="O70" s="2">
        <f>MAX(0, N70*(1+Forecast!$B9))</f>
        <v>0</v>
      </c>
      <c r="P70" s="2">
        <f>MAX(0, O70*(1+Forecast!$B9))</f>
        <v>0</v>
      </c>
      <c r="Q70" s="2">
        <f>MAX(0, P70*(1+Forecast!$B9))</f>
        <v>0</v>
      </c>
      <c r="R70" s="2">
        <f>MAX(0, Q70*(1+Forecast!$B9))</f>
        <v>0</v>
      </c>
      <c r="S70" s="2">
        <f>MAX(0, R70*(1+Forecast!$B9))</f>
        <v>0</v>
      </c>
      <c r="T70" s="2">
        <f>MAX(0, S70*(1+Forecast!$B9))</f>
        <v>0</v>
      </c>
      <c r="U70" s="2">
        <f>MAX(0, T70*(1+Forecast!$B9))</f>
        <v>0</v>
      </c>
      <c r="V70" s="2">
        <f>MAX(0, U70*(1+Forecast!$B9))</f>
        <v>0</v>
      </c>
      <c r="W70" s="2">
        <f>MAX(0, V70*(1+Forecast!$B9))</f>
        <v>0</v>
      </c>
      <c r="X70" s="2">
        <f>MAX(0, W70*(1+Forecast!$B9))</f>
        <v>0</v>
      </c>
      <c r="Y70" s="2">
        <f>MAX(0, X70*(1+Forecast!$B9))</f>
        <v>0</v>
      </c>
      <c r="Z70" s="2">
        <f>MAX(0, Y70*(1+Forecast!$B9))</f>
        <v>0</v>
      </c>
      <c r="AA70" s="2">
        <f>MAX(0, Z70*(1+Forecast!$B9))</f>
        <v>0</v>
      </c>
      <c r="AB70" s="2">
        <f>MAX(0, AA70*(1+Forecast!$B9))</f>
        <v>0</v>
      </c>
      <c r="AC70" s="2">
        <f>MAX(0, AB70*(1+Forecast!$B9))</f>
        <v>0</v>
      </c>
      <c r="AD70" s="2">
        <f>MAX(0, AC70*(1+Forecast!$B9))</f>
        <v>0</v>
      </c>
      <c r="AE70" s="2">
        <f>MAX(0, AD70*(1+Forecast!$B9))</f>
        <v>0</v>
      </c>
      <c r="AF70" s="2">
        <f>MAX(0, AE70*(1+Forecast!$B9))</f>
        <v>0</v>
      </c>
      <c r="AG70" s="2">
        <f>MAX(0, AF70*(1+Forecast!$B9))</f>
        <v>0</v>
      </c>
    </row>
    <row r="71" spans="1:33" x14ac:dyDescent="0.3">
      <c r="A71" s="16" t="s">
        <v>14</v>
      </c>
      <c r="B71" s="2">
        <f>INDEX(SYCEU!$B$14:$G$23, MATCH($A71, SYCEU!$A$2:$A$11, 0), MATCH(Urban_res_calculation!$A$63, SYCEU!$B$1:$G$1, 0))</f>
        <v>0</v>
      </c>
      <c r="C71" s="2">
        <f>INDEX('2020'!$B$14:$G$23, MATCH($A71, '2020'!$A$2:$A$11, 0), MATCH(Urban_res_calculation!$A$63, '2020'!$B$1:$G$1, 0))</f>
        <v>0</v>
      </c>
      <c r="D71" s="2">
        <f>INDEX('2021'!$B$14:$G$23, MATCH($A71, '2021'!$A$2:$A$11, 0), MATCH(Urban_res_calculation!$A$63, '2021'!$B$1:$G$1, 0))</f>
        <v>0</v>
      </c>
      <c r="E71" s="2">
        <f>MAX(0, D71*(1+Forecast!$B10))</f>
        <v>0</v>
      </c>
      <c r="F71" s="2">
        <f>MAX(0, E71*(1+Forecast!$B10))</f>
        <v>0</v>
      </c>
      <c r="G71" s="2">
        <f>MAX(0, F71*(1+Forecast!$B10))</f>
        <v>0</v>
      </c>
      <c r="H71" s="2">
        <f>MAX(0, G71*(1+Forecast!$B10))</f>
        <v>0</v>
      </c>
      <c r="I71" s="2">
        <f>MAX(0, H71*(1+Forecast!$B10))</f>
        <v>0</v>
      </c>
      <c r="J71" s="2">
        <f>MAX(0, I71*(1+Forecast!$B10))</f>
        <v>0</v>
      </c>
      <c r="K71" s="2">
        <f>MAX(0, J71*(1+Forecast!$B10))</f>
        <v>0</v>
      </c>
      <c r="L71" s="2">
        <f>MAX(0, K71*(1+Forecast!$B10))</f>
        <v>0</v>
      </c>
      <c r="M71" s="2">
        <f>MAX(0, L71*(1+Forecast!$B10))</f>
        <v>0</v>
      </c>
      <c r="N71" s="2">
        <f>MAX(0, M71*(1+Forecast!$B10))</f>
        <v>0</v>
      </c>
      <c r="O71" s="2">
        <f>MAX(0, N71*(1+Forecast!$B10))</f>
        <v>0</v>
      </c>
      <c r="P71" s="2">
        <f>MAX(0, O71*(1+Forecast!$B10))</f>
        <v>0</v>
      </c>
      <c r="Q71" s="2">
        <f>MAX(0, P71*(1+Forecast!$B10))</f>
        <v>0</v>
      </c>
      <c r="R71" s="2">
        <f>MAX(0, Q71*(1+Forecast!$B10))</f>
        <v>0</v>
      </c>
      <c r="S71" s="2">
        <f>MAX(0, R71*(1+Forecast!$B10))</f>
        <v>0</v>
      </c>
      <c r="T71" s="2">
        <f>MAX(0, S71*(1+Forecast!$B10))</f>
        <v>0</v>
      </c>
      <c r="U71" s="2">
        <f>MAX(0, T71*(1+Forecast!$B10))</f>
        <v>0</v>
      </c>
      <c r="V71" s="2">
        <f>MAX(0, U71*(1+Forecast!$B10))</f>
        <v>0</v>
      </c>
      <c r="W71" s="2">
        <f>MAX(0, V71*(1+Forecast!$B10))</f>
        <v>0</v>
      </c>
      <c r="X71" s="2">
        <f>MAX(0, W71*(1+Forecast!$B10))</f>
        <v>0</v>
      </c>
      <c r="Y71" s="2">
        <f>MAX(0, X71*(1+Forecast!$B10))</f>
        <v>0</v>
      </c>
      <c r="Z71" s="2">
        <f>MAX(0, Y71*(1+Forecast!$B10))</f>
        <v>0</v>
      </c>
      <c r="AA71" s="2">
        <f>MAX(0, Z71*(1+Forecast!$B10))</f>
        <v>0</v>
      </c>
      <c r="AB71" s="2">
        <f>MAX(0, AA71*(1+Forecast!$B10))</f>
        <v>0</v>
      </c>
      <c r="AC71" s="2">
        <f>MAX(0, AB71*(1+Forecast!$B10))</f>
        <v>0</v>
      </c>
      <c r="AD71" s="2">
        <f>MAX(0, AC71*(1+Forecast!$B10))</f>
        <v>0</v>
      </c>
      <c r="AE71" s="2">
        <f>MAX(0, AD71*(1+Forecast!$B10))</f>
        <v>0</v>
      </c>
      <c r="AF71" s="2">
        <f>MAX(0, AE71*(1+Forecast!$B10))</f>
        <v>0</v>
      </c>
      <c r="AG71" s="2">
        <f>MAX(0, AF71*(1+Forecast!$B10))</f>
        <v>0</v>
      </c>
    </row>
    <row r="72" spans="1:33" x14ac:dyDescent="0.3">
      <c r="A72" s="16" t="s">
        <v>15</v>
      </c>
      <c r="B72" s="2">
        <f>INDEX(SYCEU!$B$14:$G$23, MATCH($A72, SYCEU!$A$2:$A$11, 0), MATCH(Urban_res_calculation!$A$63, SYCEU!$B$1:$G$1, 0))</f>
        <v>0</v>
      </c>
      <c r="C72" s="2">
        <f>INDEX('2020'!$B$14:$G$23, MATCH($A72, '2020'!$A$2:$A$11, 0), MATCH(Urban_res_calculation!$A$63, '2020'!$B$1:$G$1, 0))</f>
        <v>0</v>
      </c>
      <c r="D72" s="2">
        <f>INDEX('2021'!$B$14:$G$23, MATCH($A72, '2021'!$A$2:$A$11, 0), MATCH(Urban_res_calculation!$A$63, '2021'!$B$1:$G$1, 0))</f>
        <v>0</v>
      </c>
      <c r="E72" s="2">
        <f>MAX(0, D72*(1+Forecast!$B11))</f>
        <v>0</v>
      </c>
      <c r="F72" s="2">
        <f>MAX(0, E72*(1+Forecast!$B11))</f>
        <v>0</v>
      </c>
      <c r="G72" s="2">
        <f>MAX(0, F72*(1+Forecast!$B11))</f>
        <v>0</v>
      </c>
      <c r="H72" s="2">
        <f>MAX(0, G72*(1+Forecast!$B11))</f>
        <v>0</v>
      </c>
      <c r="I72" s="2">
        <f>MAX(0, H72*(1+Forecast!$B11))</f>
        <v>0</v>
      </c>
      <c r="J72" s="2">
        <f>MAX(0, I72*(1+Forecast!$B11))</f>
        <v>0</v>
      </c>
      <c r="K72" s="2">
        <f>MAX(0, J72*(1+Forecast!$B11))</f>
        <v>0</v>
      </c>
      <c r="L72" s="2">
        <f>MAX(0, K72*(1+Forecast!$B11))</f>
        <v>0</v>
      </c>
      <c r="M72" s="2">
        <f>MAX(0, L72*(1+Forecast!$B11))</f>
        <v>0</v>
      </c>
      <c r="N72" s="2">
        <f>MAX(0, M72*(1+Forecast!$B11))</f>
        <v>0</v>
      </c>
      <c r="O72" s="2">
        <f>MAX(0, N72*(1+Forecast!$B11))</f>
        <v>0</v>
      </c>
      <c r="P72" s="2">
        <f>MAX(0, O72*(1+Forecast!$B11))</f>
        <v>0</v>
      </c>
      <c r="Q72" s="2">
        <f>MAX(0, P72*(1+Forecast!$B11))</f>
        <v>0</v>
      </c>
      <c r="R72" s="2">
        <f>MAX(0, Q72*(1+Forecast!$B11))</f>
        <v>0</v>
      </c>
      <c r="S72" s="2">
        <f>MAX(0, R72*(1+Forecast!$B11))</f>
        <v>0</v>
      </c>
      <c r="T72" s="2">
        <f>MAX(0, S72*(1+Forecast!$B11))</f>
        <v>0</v>
      </c>
      <c r="U72" s="2">
        <f>MAX(0, T72*(1+Forecast!$B11))</f>
        <v>0</v>
      </c>
      <c r="V72" s="2">
        <f>MAX(0, U72*(1+Forecast!$B11))</f>
        <v>0</v>
      </c>
      <c r="W72" s="2">
        <f>MAX(0, V72*(1+Forecast!$B11))</f>
        <v>0</v>
      </c>
      <c r="X72" s="2">
        <f>MAX(0, W72*(1+Forecast!$B11))</f>
        <v>0</v>
      </c>
      <c r="Y72" s="2">
        <f>MAX(0, X72*(1+Forecast!$B11))</f>
        <v>0</v>
      </c>
      <c r="Z72" s="2">
        <f>MAX(0, Y72*(1+Forecast!$B11))</f>
        <v>0</v>
      </c>
      <c r="AA72" s="2">
        <f>MAX(0, Z72*(1+Forecast!$B11))</f>
        <v>0</v>
      </c>
      <c r="AB72" s="2">
        <f>MAX(0, AA72*(1+Forecast!$B11))</f>
        <v>0</v>
      </c>
      <c r="AC72" s="2">
        <f>MAX(0, AB72*(1+Forecast!$B11))</f>
        <v>0</v>
      </c>
      <c r="AD72" s="2">
        <f>MAX(0, AC72*(1+Forecast!$B11))</f>
        <v>0</v>
      </c>
      <c r="AE72" s="2">
        <f>MAX(0, AD72*(1+Forecast!$B11))</f>
        <v>0</v>
      </c>
      <c r="AF72" s="2">
        <f>MAX(0, AE72*(1+Forecast!$B11))</f>
        <v>0</v>
      </c>
      <c r="AG72" s="2">
        <f>MAX(0, AF72*(1+Forecast!$B11))</f>
        <v>0</v>
      </c>
    </row>
    <row r="73" spans="1:33" x14ac:dyDescent="0.3">
      <c r="A73" s="16" t="s">
        <v>16</v>
      </c>
      <c r="B73" s="2">
        <f>INDEX(SYCEU!$B$14:$G$23, MATCH($A73, SYCEU!$A$2:$A$11, 0), MATCH(Urban_res_calculation!$A$63, SYCEU!$B$1:$G$1, 0))</f>
        <v>0</v>
      </c>
      <c r="C73" s="2">
        <f>INDEX('2020'!$B$14:$G$23, MATCH($A73, '2020'!$A$2:$A$11, 0), MATCH(Urban_res_calculation!$A$63, '2020'!$B$1:$G$1, 0))</f>
        <v>0</v>
      </c>
      <c r="D73" s="2">
        <f>INDEX('2021'!$B$14:$G$23, MATCH($A73, '2021'!$A$2:$A$11, 0), MATCH(Urban_res_calculation!$A$63, '2021'!$B$1:$G$1, 0))</f>
        <v>0</v>
      </c>
      <c r="E73" s="2">
        <f>MAX(0, D73*(1+Forecast!$B12))</f>
        <v>0</v>
      </c>
      <c r="F73" s="2">
        <f>MAX(0, E73*(1+Forecast!$B12))</f>
        <v>0</v>
      </c>
      <c r="G73" s="2">
        <f>MAX(0, F73*(1+Forecast!$B12))</f>
        <v>0</v>
      </c>
      <c r="H73" s="2">
        <f>MAX(0, G73*(1+Forecast!$B12))</f>
        <v>0</v>
      </c>
      <c r="I73" s="2">
        <f>MAX(0, H73*(1+Forecast!$B12))</f>
        <v>0</v>
      </c>
      <c r="J73" s="2">
        <f>MAX(0, I73*(1+Forecast!$B12))</f>
        <v>0</v>
      </c>
      <c r="K73" s="2">
        <f>MAX(0, J73*(1+Forecast!$B12))</f>
        <v>0</v>
      </c>
      <c r="L73" s="2">
        <f>MAX(0, K73*(1+Forecast!$B12))</f>
        <v>0</v>
      </c>
      <c r="M73" s="2">
        <f>MAX(0, L73*(1+Forecast!$B12))</f>
        <v>0</v>
      </c>
      <c r="N73" s="2">
        <f>MAX(0, M73*(1+Forecast!$B12))</f>
        <v>0</v>
      </c>
      <c r="O73" s="2">
        <f>MAX(0, N73*(1+Forecast!$B12))</f>
        <v>0</v>
      </c>
      <c r="P73" s="2">
        <f>MAX(0, O73*(1+Forecast!$B12))</f>
        <v>0</v>
      </c>
      <c r="Q73" s="2">
        <f>MAX(0, P73*(1+Forecast!$B12))</f>
        <v>0</v>
      </c>
      <c r="R73" s="2">
        <f>MAX(0, Q73*(1+Forecast!$B12))</f>
        <v>0</v>
      </c>
      <c r="S73" s="2">
        <f>MAX(0, R73*(1+Forecast!$B12))</f>
        <v>0</v>
      </c>
      <c r="T73" s="2">
        <f>MAX(0, S73*(1+Forecast!$B12))</f>
        <v>0</v>
      </c>
      <c r="U73" s="2">
        <f>MAX(0, T73*(1+Forecast!$B12))</f>
        <v>0</v>
      </c>
      <c r="V73" s="2">
        <f>MAX(0, U73*(1+Forecast!$B12))</f>
        <v>0</v>
      </c>
      <c r="W73" s="2">
        <f>MAX(0, V73*(1+Forecast!$B12))</f>
        <v>0</v>
      </c>
      <c r="X73" s="2">
        <f>MAX(0, W73*(1+Forecast!$B12))</f>
        <v>0</v>
      </c>
      <c r="Y73" s="2">
        <f>MAX(0, X73*(1+Forecast!$B12))</f>
        <v>0</v>
      </c>
      <c r="Z73" s="2">
        <f>MAX(0, Y73*(1+Forecast!$B12))</f>
        <v>0</v>
      </c>
      <c r="AA73" s="2">
        <f>MAX(0, Z73*(1+Forecast!$B12))</f>
        <v>0</v>
      </c>
      <c r="AB73" s="2">
        <f>MAX(0, AA73*(1+Forecast!$B12))</f>
        <v>0</v>
      </c>
      <c r="AC73" s="2">
        <f>MAX(0, AB73*(1+Forecast!$B12))</f>
        <v>0</v>
      </c>
      <c r="AD73" s="2">
        <f>MAX(0, AC73*(1+Forecast!$B12))</f>
        <v>0</v>
      </c>
      <c r="AE73" s="2">
        <f>MAX(0, AD73*(1+Forecast!$B12))</f>
        <v>0</v>
      </c>
      <c r="AF73" s="2">
        <f>MAX(0, AE73*(1+Forecast!$B12))</f>
        <v>0</v>
      </c>
      <c r="AG73" s="2">
        <f>MAX(0, AF73*(1+Forecast!$B12))</f>
        <v>0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8465F-F9D9-40CE-B3F9-4DB0BC05364C}">
  <dimension ref="A2:AI73"/>
  <sheetViews>
    <sheetView topLeftCell="B1" zoomScale="70" zoomScaleNormal="70" workbookViewId="0">
      <selection activeCell="J23" sqref="J23"/>
    </sheetView>
  </sheetViews>
  <sheetFormatPr defaultColWidth="8.75" defaultRowHeight="16.5" x14ac:dyDescent="0.3"/>
  <cols>
    <col min="1" max="1" width="30.25" bestFit="1" customWidth="1"/>
    <col min="5" max="35" width="14.25" bestFit="1" customWidth="1"/>
  </cols>
  <sheetData>
    <row r="2" spans="1:35" x14ac:dyDescent="0.3">
      <c r="A2" s="16" t="s">
        <v>45</v>
      </c>
    </row>
    <row r="3" spans="1:35" x14ac:dyDescent="0.3">
      <c r="A3" s="16" t="s">
        <v>37</v>
      </c>
      <c r="B3" s="1">
        <v>2019</v>
      </c>
      <c r="C3" s="1">
        <v>2020</v>
      </c>
      <c r="D3" s="1">
        <v>2021</v>
      </c>
      <c r="E3" s="1">
        <v>2022</v>
      </c>
      <c r="F3" s="1">
        <v>2023</v>
      </c>
      <c r="G3" s="1">
        <v>2024</v>
      </c>
      <c r="H3" s="1">
        <v>2025</v>
      </c>
      <c r="I3" s="1">
        <v>2026</v>
      </c>
      <c r="J3" s="1">
        <v>2027</v>
      </c>
      <c r="K3" s="1">
        <v>2028</v>
      </c>
      <c r="L3" s="1">
        <v>2029</v>
      </c>
      <c r="M3" s="1">
        <v>2030</v>
      </c>
      <c r="N3" s="1">
        <v>2031</v>
      </c>
      <c r="O3" s="1">
        <v>2032</v>
      </c>
      <c r="P3" s="1">
        <v>2033</v>
      </c>
      <c r="Q3" s="1">
        <v>2034</v>
      </c>
      <c r="R3" s="1">
        <v>2035</v>
      </c>
      <c r="S3" s="1">
        <v>2036</v>
      </c>
      <c r="T3" s="1">
        <v>2037</v>
      </c>
      <c r="U3" s="1">
        <v>2038</v>
      </c>
      <c r="V3" s="1">
        <v>2039</v>
      </c>
      <c r="W3" s="1">
        <v>2040</v>
      </c>
      <c r="X3" s="1">
        <v>2041</v>
      </c>
      <c r="Y3" s="1">
        <v>2042</v>
      </c>
      <c r="Z3" s="1">
        <v>2043</v>
      </c>
      <c r="AA3" s="1">
        <v>2044</v>
      </c>
      <c r="AB3" s="1">
        <v>2045</v>
      </c>
      <c r="AC3" s="1">
        <v>2046</v>
      </c>
      <c r="AD3" s="1">
        <v>2047</v>
      </c>
      <c r="AE3" s="1">
        <v>2048</v>
      </c>
      <c r="AF3" s="1">
        <v>2049</v>
      </c>
      <c r="AG3" s="1">
        <v>2050</v>
      </c>
      <c r="AH3" s="1"/>
      <c r="AI3" s="1"/>
    </row>
    <row r="4" spans="1:35" x14ac:dyDescent="0.3">
      <c r="A4" s="16" t="s">
        <v>2</v>
      </c>
      <c r="B4" s="2">
        <f>INDEX(SYCEU!$B$26:$G$35, MATCH($A4, SYCEU!$A$2:$A$11, 0), MATCH(Rural_res_calculation!$A$3, SYCEU!$B$1:$G$1, 0))</f>
        <v>1440000000000</v>
      </c>
      <c r="C4" s="2">
        <f>INDEX('2020'!$B$26:$G$35, MATCH($A4, '2020'!$A$2:$A$11, 0), MATCH(Rural_res_calculation!$A$3, '2020'!$B$1:$G$1, 0))</f>
        <v>1442837086916.5298</v>
      </c>
      <c r="D4" s="2">
        <f>INDEX('2021'!$B$26:$G$35, MATCH($A4, '2021'!$A$2:$A$11, 0), MATCH(Rural_res_calculation!$A$3, '2021'!$B$1:$G$1, 0))</f>
        <v>1597543492064.7578</v>
      </c>
      <c r="E4" s="2">
        <f>MAX(0, D4*(1+Forecast!$B3))</f>
        <v>1607128753017.1465</v>
      </c>
      <c r="F4" s="2">
        <f>MAX(0, E4*(1+Forecast!$B3))</f>
        <v>1616771525535.2493</v>
      </c>
      <c r="G4" s="2">
        <f>MAX(0, F4*(1+Forecast!$B3))</f>
        <v>1626472154688.4607</v>
      </c>
      <c r="H4" s="2">
        <f>MAX(0, G4*(1+Forecast!$B3))</f>
        <v>1636230987616.5916</v>
      </c>
      <c r="I4" s="2">
        <f>MAX(0, H4*(1+Forecast!$B3))</f>
        <v>1646048373542.291</v>
      </c>
      <c r="J4" s="2">
        <f>MAX(0, I4*(1+Forecast!$B3))</f>
        <v>1655924663783.5447</v>
      </c>
      <c r="K4" s="2">
        <f>MAX(0, J4*(1+Forecast!$B3))</f>
        <v>1665860211766.2458</v>
      </c>
      <c r="L4" s="2">
        <f>MAX(0, K4*(1+Forecast!$B3))</f>
        <v>1675855373036.8433</v>
      </c>
      <c r="M4" s="2">
        <f>MAX(0, L4*(1+Forecast!$B3))</f>
        <v>1685910505275.0642</v>
      </c>
      <c r="N4" s="2">
        <f>MAX(0, M4*(1+Forecast!$B3))</f>
        <v>1696025968306.7146</v>
      </c>
      <c r="O4" s="2">
        <f>MAX(0, N4*(1+Forecast!$B3))</f>
        <v>1706202124116.5549</v>
      </c>
      <c r="P4" s="2">
        <f>MAX(0, O4*(1+Forecast!$B3))</f>
        <v>1716439336861.2542</v>
      </c>
      <c r="Q4" s="2">
        <f>MAX(0, P4*(1+Forecast!$B3))</f>
        <v>1726737972882.4216</v>
      </c>
      <c r="R4" s="2">
        <f>MAX(0, Q4*(1+Forecast!$B3))</f>
        <v>1737098400719.7161</v>
      </c>
      <c r="S4" s="2">
        <f>MAX(0, R4*(1+Forecast!$B3))</f>
        <v>1747520991124.0344</v>
      </c>
      <c r="T4" s="2">
        <f>MAX(0, S4*(1+Forecast!$B3))</f>
        <v>1758006117070.7786</v>
      </c>
      <c r="U4" s="2">
        <f>MAX(0, T4*(1+Forecast!$B3))</f>
        <v>1768554153773.2031</v>
      </c>
      <c r="V4" s="2">
        <f>MAX(0, U4*(1+Forecast!$B3))</f>
        <v>1779165478695.8423</v>
      </c>
      <c r="W4" s="2">
        <f>MAX(0, V4*(1+Forecast!$B3))</f>
        <v>1789840471568.0173</v>
      </c>
      <c r="X4" s="2">
        <f>MAX(0, W4*(1+Forecast!$B3))</f>
        <v>1800579514397.4255</v>
      </c>
      <c r="Y4" s="2">
        <f>MAX(0, X4*(1+Forecast!$B3))</f>
        <v>1811382991483.8101</v>
      </c>
      <c r="Z4" s="2">
        <f>MAX(0, Y4*(1+Forecast!$B3))</f>
        <v>1822251289432.7129</v>
      </c>
      <c r="AA4" s="2">
        <f>MAX(0, Z4*(1+Forecast!$B3))</f>
        <v>1833184797169.3091</v>
      </c>
      <c r="AB4" s="2">
        <f>MAX(0, AA4*(1+Forecast!$B3))</f>
        <v>1844183905952.325</v>
      </c>
      <c r="AC4" s="2">
        <f>MAX(0, AB4*(1+Forecast!$B3))</f>
        <v>1855249009388.0388</v>
      </c>
      <c r="AD4" s="2">
        <f>MAX(0, AC4*(1+Forecast!$B3))</f>
        <v>1866380503444.3669</v>
      </c>
      <c r="AE4" s="2">
        <f>MAX(0, AD4*(1+Forecast!$B3))</f>
        <v>1877578786465.0332</v>
      </c>
      <c r="AF4" s="2">
        <f>MAX(0, AE4*(1+Forecast!$B3))</f>
        <v>1888844259183.8235</v>
      </c>
      <c r="AG4" s="2">
        <f>MAX(0, AF4*(1+Forecast!$B3))</f>
        <v>1900177324738.9265</v>
      </c>
      <c r="AH4" s="2"/>
      <c r="AI4" s="2"/>
    </row>
    <row r="5" spans="1:35" x14ac:dyDescent="0.3">
      <c r="A5" s="16" t="s">
        <v>3</v>
      </c>
      <c r="B5" s="2">
        <f>INDEX(SYCEU!$B$26:$G$35, MATCH($A5, SYCEU!$A$2:$A$11, 0), MATCH(Rural_res_calculation!$A$3, SYCEU!$B$1:$G$1, 0))</f>
        <v>963000000000</v>
      </c>
      <c r="C5" s="2">
        <f>INDEX('2020'!$B$26:$G$35, MATCH($A5, '2020'!$A$2:$A$11, 0), MATCH(Rural_res_calculation!$A$3, '2020'!$B$1:$G$1, 0))</f>
        <v>937156089599.99976</v>
      </c>
      <c r="D5" s="2">
        <f>INDEX('2021'!$B$26:$G$35, MATCH($A5, '2021'!$A$2:$A$11, 0), MATCH(Rural_res_calculation!$A$3, '2021'!$B$1:$G$1, 0))</f>
        <v>644294811599.99976</v>
      </c>
      <c r="E5" s="2">
        <f>MAX(0, D5*(1+Forecast!$B4))</f>
        <v>563113665338.39978</v>
      </c>
      <c r="F5" s="2">
        <f>MAX(0, E5*(1+Forecast!$B4))</f>
        <v>492161343505.76141</v>
      </c>
      <c r="G5" s="2">
        <f>MAX(0, F5*(1+Forecast!$B4))</f>
        <v>430149014224.03546</v>
      </c>
      <c r="H5" s="2">
        <f>MAX(0, G5*(1+Forecast!$B4))</f>
        <v>375950238431.80701</v>
      </c>
      <c r="I5" s="2">
        <f>MAX(0, H5*(1+Forecast!$B4))</f>
        <v>328580508389.39935</v>
      </c>
      <c r="J5" s="2">
        <f>MAX(0, I5*(1+Forecast!$B4))</f>
        <v>287179364332.33502</v>
      </c>
      <c r="K5" s="2">
        <f>MAX(0, J5*(1+Forecast!$B4))</f>
        <v>250994764426.46082</v>
      </c>
      <c r="L5" s="2">
        <f>MAX(0, K5*(1+Forecast!$B4))</f>
        <v>219369424108.72675</v>
      </c>
      <c r="M5" s="2">
        <f>MAX(0, L5*(1+Forecast!$B4))</f>
        <v>191728876671.02716</v>
      </c>
      <c r="N5" s="2">
        <f>MAX(0, M5*(1+Forecast!$B4))</f>
        <v>167571038210.47775</v>
      </c>
      <c r="O5" s="2">
        <f>MAX(0, N5*(1+Forecast!$B4))</f>
        <v>146457087395.95755</v>
      </c>
      <c r="P5" s="2">
        <f>MAX(0, O5*(1+Forecast!$B4))</f>
        <v>128003494384.06689</v>
      </c>
      <c r="Q5" s="2">
        <f>MAX(0, P5*(1+Forecast!$B4))</f>
        <v>111875054091.67447</v>
      </c>
      <c r="R5" s="2">
        <f>MAX(0, Q5*(1+Forecast!$B4))</f>
        <v>97778797276.123489</v>
      </c>
      <c r="S5" s="2">
        <f>MAX(0, R5*(1+Forecast!$B4))</f>
        <v>85458668819.331924</v>
      </c>
      <c r="T5" s="2">
        <f>MAX(0, S5*(1+Forecast!$B4))</f>
        <v>74690876548.0961</v>
      </c>
      <c r="U5" s="2">
        <f>MAX(0, T5*(1+Forecast!$B4))</f>
        <v>65279826103.035988</v>
      </c>
      <c r="V5" s="2">
        <f>MAX(0, U5*(1+Forecast!$B4))</f>
        <v>57054568014.053452</v>
      </c>
      <c r="W5" s="2">
        <f>MAX(0, V5*(1+Forecast!$B4))</f>
        <v>49865692444.282715</v>
      </c>
      <c r="X5" s="2">
        <f>MAX(0, W5*(1+Forecast!$B4))</f>
        <v>43582615196.303093</v>
      </c>
      <c r="Y5" s="2">
        <f>MAX(0, X5*(1+Forecast!$B4))</f>
        <v>38091205681.568901</v>
      </c>
      <c r="Z5" s="2">
        <f>MAX(0, Y5*(1+Forecast!$B4))</f>
        <v>33291713765.691219</v>
      </c>
      <c r="AA5" s="2">
        <f>MAX(0, Z5*(1+Forecast!$B4))</f>
        <v>29096957831.214127</v>
      </c>
      <c r="AB5" s="2">
        <f>MAX(0, AA5*(1+Forecast!$B4))</f>
        <v>25430741144.481148</v>
      </c>
      <c r="AC5" s="2">
        <f>MAX(0, AB5*(1+Forecast!$B4))</f>
        <v>22226467760.276524</v>
      </c>
      <c r="AD5" s="2">
        <f>MAX(0, AC5*(1+Forecast!$B4))</f>
        <v>19425932822.481682</v>
      </c>
      <c r="AE5" s="2">
        <f>MAX(0, AD5*(1+Forecast!$B4))</f>
        <v>16978265286.848989</v>
      </c>
      <c r="AF5" s="2">
        <f>MAX(0, AE5*(1+Forecast!$B4))</f>
        <v>14839003860.706017</v>
      </c>
      <c r="AG5" s="2">
        <f>MAX(0, AF5*(1+Forecast!$B4))</f>
        <v>12969289374.257059</v>
      </c>
      <c r="AH5" s="2"/>
      <c r="AI5" s="2"/>
    </row>
    <row r="6" spans="1:35" x14ac:dyDescent="0.3">
      <c r="A6" s="16" t="s">
        <v>4</v>
      </c>
      <c r="B6" s="2">
        <f>INDEX(SYCEU!$B$26:$G$35, MATCH($A6, SYCEU!$A$2:$A$11, 0), MATCH(Rural_res_calculation!$A$3, SYCEU!$B$1:$G$1, 0))</f>
        <v>28800000000000</v>
      </c>
      <c r="C6" s="2">
        <f>INDEX('2020'!$B$26:$G$35, MATCH($A6, '2020'!$A$2:$A$11, 0), MATCH(Rural_res_calculation!$A$3, '2020'!$B$1:$G$1, 0))</f>
        <v>27798755482024.996</v>
      </c>
      <c r="D6" s="2">
        <f>INDEX('2021'!$B$26:$G$35, MATCH($A6, '2021'!$A$2:$A$11, 0), MATCH(Rural_res_calculation!$A$3, '2021'!$B$1:$G$1, 0))</f>
        <v>29179907626143.063</v>
      </c>
      <c r="E6" s="2">
        <f>MAX(0, D6*(1+Forecast!$B5))</f>
        <v>28946468365133.918</v>
      </c>
      <c r="F6" s="2">
        <f>MAX(0, E6*(1+Forecast!$B5))</f>
        <v>28714896618212.848</v>
      </c>
      <c r="G6" s="2">
        <f>MAX(0, F6*(1+Forecast!$B5))</f>
        <v>28485177445267.145</v>
      </c>
      <c r="H6" s="2">
        <f>MAX(0, G6*(1+Forecast!$B5))</f>
        <v>28257296025705.008</v>
      </c>
      <c r="I6" s="2">
        <f>MAX(0, H6*(1+Forecast!$B5))</f>
        <v>28031237657499.367</v>
      </c>
      <c r="J6" s="2">
        <f>MAX(0, I6*(1+Forecast!$B5))</f>
        <v>27806987756239.371</v>
      </c>
      <c r="K6" s="2">
        <f>MAX(0, J6*(1+Forecast!$B5))</f>
        <v>27584531854189.457</v>
      </c>
      <c r="L6" s="2">
        <f>MAX(0, K6*(1+Forecast!$B5))</f>
        <v>27363855599355.941</v>
      </c>
      <c r="M6" s="2">
        <f>MAX(0, L6*(1+Forecast!$B5))</f>
        <v>27144944754561.094</v>
      </c>
      <c r="N6" s="2">
        <f>MAX(0, M6*(1+Forecast!$B5))</f>
        <v>26927785196524.605</v>
      </c>
      <c r="O6" s="2">
        <f>MAX(0, N6*(1+Forecast!$B5))</f>
        <v>26712362914952.41</v>
      </c>
      <c r="P6" s="2">
        <f>MAX(0, O6*(1+Forecast!$B5))</f>
        <v>26498664011632.789</v>
      </c>
      <c r="Q6" s="2">
        <f>MAX(0, P6*(1+Forecast!$B5))</f>
        <v>26286674699539.727</v>
      </c>
      <c r="R6" s="2">
        <f>MAX(0, Q6*(1+Forecast!$B5))</f>
        <v>26076381301943.41</v>
      </c>
      <c r="S6" s="2">
        <f>MAX(0, R6*(1+Forecast!$B5))</f>
        <v>25867770251527.863</v>
      </c>
      <c r="T6" s="2">
        <f>MAX(0, S6*(1+Forecast!$B5))</f>
        <v>25660828089515.641</v>
      </c>
      <c r="U6" s="2">
        <f>MAX(0, T6*(1+Forecast!$B5))</f>
        <v>25455541464799.516</v>
      </c>
      <c r="V6" s="2">
        <f>MAX(0, U6*(1+Forecast!$B5))</f>
        <v>25251897133081.121</v>
      </c>
      <c r="W6" s="2">
        <f>MAX(0, V6*(1+Forecast!$B5))</f>
        <v>25049881956016.473</v>
      </c>
      <c r="X6" s="2">
        <f>MAX(0, W6*(1+Forecast!$B5))</f>
        <v>24849482900368.34</v>
      </c>
      <c r="Y6" s="2">
        <f>MAX(0, X6*(1+Forecast!$B5))</f>
        <v>24650687037165.395</v>
      </c>
      <c r="Z6" s="2">
        <f>MAX(0, Y6*(1+Forecast!$B5))</f>
        <v>24453481540868.07</v>
      </c>
      <c r="AA6" s="2">
        <f>MAX(0, Z6*(1+Forecast!$B5))</f>
        <v>24257853688541.125</v>
      </c>
      <c r="AB6" s="2">
        <f>MAX(0, AA6*(1+Forecast!$B5))</f>
        <v>24063790859032.797</v>
      </c>
      <c r="AC6" s="2">
        <f>MAX(0, AB6*(1+Forecast!$B5))</f>
        <v>23871280532160.535</v>
      </c>
      <c r="AD6" s="2">
        <f>MAX(0, AC6*(1+Forecast!$B5))</f>
        <v>23680310287903.25</v>
      </c>
      <c r="AE6" s="2">
        <f>MAX(0, AD6*(1+Forecast!$B5))</f>
        <v>23490867805600.023</v>
      </c>
      <c r="AF6" s="2">
        <f>MAX(0, AE6*(1+Forecast!$B5))</f>
        <v>23302940863155.223</v>
      </c>
      <c r="AG6" s="2">
        <f>MAX(0, AF6*(1+Forecast!$B5))</f>
        <v>23116517336249.98</v>
      </c>
      <c r="AH6" s="2"/>
      <c r="AI6" s="2"/>
    </row>
    <row r="7" spans="1:35" x14ac:dyDescent="0.3">
      <c r="A7" s="16" t="s">
        <v>5</v>
      </c>
      <c r="B7" s="2">
        <f>INDEX(SYCEU!$B$26:$G$35, MATCH($A7, SYCEU!$A$2:$A$11, 0), MATCH(Rural_res_calculation!$A$3, SYCEU!$B$1:$G$1, 0))</f>
        <v>0</v>
      </c>
      <c r="C7" s="2">
        <f>INDEX('2020'!$B$26:$G$35, MATCH($A7, '2020'!$A$2:$A$11, 0), MATCH(Rural_res_calculation!$A$3, '2020'!$B$1:$G$1, 0))</f>
        <v>0</v>
      </c>
      <c r="D7" s="2">
        <f>INDEX('2021'!$B$26:$G$35, MATCH($A7, '2021'!$A$2:$A$11, 0), MATCH(Rural_res_calculation!$A$3, '2021'!$B$1:$G$1, 0))</f>
        <v>0</v>
      </c>
      <c r="E7" s="2">
        <f>MAX(0, D7*(1+Forecast!$B6))</f>
        <v>0</v>
      </c>
      <c r="F7" s="2">
        <f>MAX(0, E7*(1+Forecast!$B6))</f>
        <v>0</v>
      </c>
      <c r="G7" s="2">
        <f>MAX(0, F7*(1+Forecast!$B6))</f>
        <v>0</v>
      </c>
      <c r="H7" s="2">
        <f>MAX(0, G7*(1+Forecast!$B6))</f>
        <v>0</v>
      </c>
      <c r="I7" s="2">
        <f>MAX(0, H7*(1+Forecast!$B6))</f>
        <v>0</v>
      </c>
      <c r="J7" s="2">
        <f>MAX(0, I7*(1+Forecast!$B6))</f>
        <v>0</v>
      </c>
      <c r="K7" s="2">
        <f>MAX(0, J7*(1+Forecast!$B6))</f>
        <v>0</v>
      </c>
      <c r="L7" s="2">
        <f>MAX(0, K7*(1+Forecast!$B6))</f>
        <v>0</v>
      </c>
      <c r="M7" s="2">
        <f>MAX(0, L7*(1+Forecast!$B6))</f>
        <v>0</v>
      </c>
      <c r="N7" s="2">
        <f>MAX(0, M7*(1+Forecast!$B6))</f>
        <v>0</v>
      </c>
      <c r="O7" s="2">
        <f>MAX(0, N7*(1+Forecast!$B6))</f>
        <v>0</v>
      </c>
      <c r="P7" s="2">
        <f>MAX(0, O7*(1+Forecast!$B6))</f>
        <v>0</v>
      </c>
      <c r="Q7" s="2">
        <f>MAX(0, P7*(1+Forecast!$B6))</f>
        <v>0</v>
      </c>
      <c r="R7" s="2">
        <f>MAX(0, Q7*(1+Forecast!$B6))</f>
        <v>0</v>
      </c>
      <c r="S7" s="2">
        <f>MAX(0, R7*(1+Forecast!$B6))</f>
        <v>0</v>
      </c>
      <c r="T7" s="2">
        <f>MAX(0, S7*(1+Forecast!$B6))</f>
        <v>0</v>
      </c>
      <c r="U7" s="2">
        <f>MAX(0, T7*(1+Forecast!$B6))</f>
        <v>0</v>
      </c>
      <c r="V7" s="2">
        <f>MAX(0, U7*(1+Forecast!$B6))</f>
        <v>0</v>
      </c>
      <c r="W7" s="2">
        <f>MAX(0, V7*(1+Forecast!$B6))</f>
        <v>0</v>
      </c>
      <c r="X7" s="2">
        <f>MAX(0, W7*(1+Forecast!$B6))</f>
        <v>0</v>
      </c>
      <c r="Y7" s="2">
        <f>MAX(0, X7*(1+Forecast!$B6))</f>
        <v>0</v>
      </c>
      <c r="Z7" s="2">
        <f>MAX(0, Y7*(1+Forecast!$B6))</f>
        <v>0</v>
      </c>
      <c r="AA7" s="2">
        <f>MAX(0, Z7*(1+Forecast!$B6))</f>
        <v>0</v>
      </c>
      <c r="AB7" s="2">
        <f>MAX(0, AA7*(1+Forecast!$B6))</f>
        <v>0</v>
      </c>
      <c r="AC7" s="2">
        <f>MAX(0, AB7*(1+Forecast!$B6))</f>
        <v>0</v>
      </c>
      <c r="AD7" s="2">
        <f>MAX(0, AC7*(1+Forecast!$B6))</f>
        <v>0</v>
      </c>
      <c r="AE7" s="2">
        <f>MAX(0, AD7*(1+Forecast!$B6))</f>
        <v>0</v>
      </c>
      <c r="AF7" s="2">
        <f>MAX(0, AE7*(1+Forecast!$B6))</f>
        <v>0</v>
      </c>
      <c r="AG7" s="2">
        <f>MAX(0, AF7*(1+Forecast!$B6))</f>
        <v>0</v>
      </c>
      <c r="AH7" s="2"/>
      <c r="AI7" s="2"/>
    </row>
    <row r="8" spans="1:35" x14ac:dyDescent="0.3">
      <c r="A8" s="16" t="s">
        <v>7</v>
      </c>
      <c r="B8" s="2">
        <f>INDEX(SYCEU!$B$26:$G$35, MATCH($A8, SYCEU!$A$2:$A$11, 0), MATCH(Rural_res_calculation!$A$3, SYCEU!$B$1:$G$1, 0))</f>
        <v>7410000000000</v>
      </c>
      <c r="C8" s="2">
        <f>INDEX('2020'!$B$26:$G$35, MATCH($A8, '2020'!$A$2:$A$11, 0), MATCH(Rural_res_calculation!$A$3, '2020'!$B$1:$G$1, 0))</f>
        <v>7129545112199.998</v>
      </c>
      <c r="D8" s="2">
        <f>INDEX('2021'!$B$26:$G$35, MATCH($A8, '2021'!$A$2:$A$11, 0), MATCH(Rural_res_calculation!$A$3, '2021'!$B$1:$G$1, 0))</f>
        <v>7825183796711.4473</v>
      </c>
      <c r="E8" s="2">
        <f>MAX(0, D8*(1+Forecast!$B7))</f>
        <v>7817358612914.7354</v>
      </c>
      <c r="F8" s="2">
        <f>MAX(0, E8*(1+Forecast!$B7))</f>
        <v>7809541254301.8203</v>
      </c>
      <c r="G8" s="2">
        <f>MAX(0, F8*(1+Forecast!$B7))</f>
        <v>7801731713047.5186</v>
      </c>
      <c r="H8" s="2">
        <f>MAX(0, G8*(1+Forecast!$B7))</f>
        <v>7793929981334.4707</v>
      </c>
      <c r="I8" s="2">
        <f>MAX(0, H8*(1+Forecast!$B7))</f>
        <v>7786136051353.1357</v>
      </c>
      <c r="J8" s="2">
        <f>MAX(0, I8*(1+Forecast!$B7))</f>
        <v>7778349915301.7822</v>
      </c>
      <c r="K8" s="2">
        <f>MAX(0, J8*(1+Forecast!$B7))</f>
        <v>7770571565386.4805</v>
      </c>
      <c r="L8" s="2">
        <f>MAX(0, K8*(1+Forecast!$B7))</f>
        <v>7762800993821.0938</v>
      </c>
      <c r="M8" s="2">
        <f>MAX(0, L8*(1+Forecast!$B7))</f>
        <v>7755038192827.2725</v>
      </c>
      <c r="N8" s="2">
        <f>MAX(0, M8*(1+Forecast!$B7))</f>
        <v>7747283154634.4453</v>
      </c>
      <c r="O8" s="2">
        <f>MAX(0, N8*(1+Forecast!$B7))</f>
        <v>7739535871479.8105</v>
      </c>
      <c r="P8" s="2">
        <f>MAX(0, O8*(1+Forecast!$B7))</f>
        <v>7731796335608.3311</v>
      </c>
      <c r="Q8" s="2">
        <f>MAX(0, P8*(1+Forecast!$B7))</f>
        <v>7724064539272.7227</v>
      </c>
      <c r="R8" s="2">
        <f>MAX(0, Q8*(1+Forecast!$B7))</f>
        <v>7716340474733.4502</v>
      </c>
      <c r="S8" s="2">
        <f>MAX(0, R8*(1+Forecast!$B7))</f>
        <v>7708624134258.7168</v>
      </c>
      <c r="T8" s="2">
        <f>MAX(0, S8*(1+Forecast!$B7))</f>
        <v>7700915510124.458</v>
      </c>
      <c r="U8" s="2">
        <f>MAX(0, T8*(1+Forecast!$B7))</f>
        <v>7693214594614.334</v>
      </c>
      <c r="V8" s="2">
        <f>MAX(0, U8*(1+Forecast!$B7))</f>
        <v>7685521380019.7197</v>
      </c>
      <c r="W8" s="2">
        <f>MAX(0, V8*(1+Forecast!$B7))</f>
        <v>7677835858639.7002</v>
      </c>
      <c r="X8" s="2">
        <f>MAX(0, W8*(1+Forecast!$B7))</f>
        <v>7670158022781.0605</v>
      </c>
      <c r="Y8" s="2">
        <f>MAX(0, X8*(1+Forecast!$B7))</f>
        <v>7662487864758.2793</v>
      </c>
      <c r="Z8" s="2">
        <f>MAX(0, Y8*(1+Forecast!$B7))</f>
        <v>7654825376893.5215</v>
      </c>
      <c r="AA8" s="2">
        <f>MAX(0, Z8*(1+Forecast!$B7))</f>
        <v>7647170551516.6279</v>
      </c>
      <c r="AB8" s="2">
        <f>MAX(0, AA8*(1+Forecast!$B7))</f>
        <v>7639523380965.1113</v>
      </c>
      <c r="AC8" s="2">
        <f>MAX(0, AB8*(1+Forecast!$B7))</f>
        <v>7631883857584.1465</v>
      </c>
      <c r="AD8" s="2">
        <f>MAX(0, AC8*(1+Forecast!$B7))</f>
        <v>7624251973726.5625</v>
      </c>
      <c r="AE8" s="2">
        <f>MAX(0, AD8*(1+Forecast!$B7))</f>
        <v>7616627721752.8359</v>
      </c>
      <c r="AF8" s="2">
        <f>MAX(0, AE8*(1+Forecast!$B7))</f>
        <v>7609011094031.083</v>
      </c>
      <c r="AG8" s="2">
        <f>MAX(0, AF8*(1+Forecast!$B7))</f>
        <v>7601402082937.0518</v>
      </c>
      <c r="AH8" s="2"/>
      <c r="AI8" s="2"/>
    </row>
    <row r="9" spans="1:35" x14ac:dyDescent="0.3">
      <c r="A9" s="16" t="s">
        <v>11</v>
      </c>
      <c r="B9" s="2">
        <f>INDEX(SYCEU!$B$26:$G$35, MATCH($A9, SYCEU!$A$2:$A$11, 0), MATCH(Rural_res_calculation!$A$3, SYCEU!$B$1:$G$1, 0))</f>
        <v>1450000000000</v>
      </c>
      <c r="C9" s="2">
        <f>INDEX('2020'!$B$26:$G$35, MATCH($A9, '2020'!$A$2:$A$11, 0), MATCH(Rural_res_calculation!$A$3, '2020'!$B$1:$G$1, 0))</f>
        <v>1493592517799.9993</v>
      </c>
      <c r="D9" s="2">
        <f>INDEX('2021'!$B$26:$G$35, MATCH($A9, '2021'!$A$2:$A$11, 0), MATCH(Rural_res_calculation!$A$3, '2021'!$B$1:$G$1, 0))</f>
        <v>2182311697173.9124</v>
      </c>
      <c r="E9" s="2">
        <f>MAX(0, D9*(1+Forecast!$B8))</f>
        <v>2195405567356.9558</v>
      </c>
      <c r="F9" s="2">
        <f>MAX(0, E9*(1+Forecast!$B8))</f>
        <v>2208578000761.0977</v>
      </c>
      <c r="G9" s="2">
        <f>MAX(0, F9*(1+Forecast!$B8))</f>
        <v>2221829468765.6641</v>
      </c>
      <c r="H9" s="2">
        <f>MAX(0, G9*(1+Forecast!$B8))</f>
        <v>2235160445578.2583</v>
      </c>
      <c r="I9" s="2">
        <f>MAX(0, H9*(1+Forecast!$B8))</f>
        <v>2248571408251.728</v>
      </c>
      <c r="J9" s="2">
        <f>MAX(0, I9*(1+Forecast!$B8))</f>
        <v>2262062836701.2383</v>
      </c>
      <c r="K9" s="2">
        <f>MAX(0, J9*(1+Forecast!$B8))</f>
        <v>2275635213721.4458</v>
      </c>
      <c r="L9" s="2">
        <f>MAX(0, K9*(1+Forecast!$B8))</f>
        <v>2289289025003.7744</v>
      </c>
      <c r="M9" s="2">
        <f>MAX(0, L9*(1+Forecast!$B8))</f>
        <v>2303024759153.7969</v>
      </c>
      <c r="N9" s="2">
        <f>MAX(0, M9*(1+Forecast!$B8))</f>
        <v>2316842907708.7197</v>
      </c>
      <c r="O9" s="2">
        <f>MAX(0, N9*(1+Forecast!$B8))</f>
        <v>2330743965154.9722</v>
      </c>
      <c r="P9" s="2">
        <f>MAX(0, O9*(1+Forecast!$B8))</f>
        <v>2344728428945.9019</v>
      </c>
      <c r="Q9" s="2">
        <f>MAX(0, P9*(1+Forecast!$B8))</f>
        <v>2358796799519.5771</v>
      </c>
      <c r="R9" s="2">
        <f>MAX(0, Q9*(1+Forecast!$B8))</f>
        <v>2372949580316.6948</v>
      </c>
      <c r="S9" s="2">
        <f>MAX(0, R9*(1+Forecast!$B8))</f>
        <v>2387187277798.5952</v>
      </c>
      <c r="T9" s="2">
        <f>MAX(0, S9*(1+Forecast!$B8))</f>
        <v>2401510401465.3867</v>
      </c>
      <c r="U9" s="2">
        <f>MAX(0, T9*(1+Forecast!$B8))</f>
        <v>2415919463874.1792</v>
      </c>
      <c r="V9" s="2">
        <f>MAX(0, U9*(1+Forecast!$B8))</f>
        <v>2430414980657.4243</v>
      </c>
      <c r="W9" s="2">
        <f>MAX(0, V9*(1+Forecast!$B8))</f>
        <v>2444997470541.3687</v>
      </c>
      <c r="X9" s="2">
        <f>MAX(0, W9*(1+Forecast!$B8))</f>
        <v>2459667455364.6167</v>
      </c>
      <c r="Y9" s="2">
        <f>MAX(0, X9*(1+Forecast!$B8))</f>
        <v>2474425460096.8042</v>
      </c>
      <c r="Z9" s="2">
        <f>MAX(0, Y9*(1+Forecast!$B8))</f>
        <v>2489272012857.3853</v>
      </c>
      <c r="AA9" s="2">
        <f>MAX(0, Z9*(1+Forecast!$B8))</f>
        <v>2504207644934.5298</v>
      </c>
      <c r="AB9" s="2">
        <f>MAX(0, AA9*(1+Forecast!$B8))</f>
        <v>2519232890804.1372</v>
      </c>
      <c r="AC9" s="2">
        <f>MAX(0, AB9*(1+Forecast!$B8))</f>
        <v>2534348288148.9619</v>
      </c>
      <c r="AD9" s="2">
        <f>MAX(0, AC9*(1+Forecast!$B8))</f>
        <v>2549554377877.8555</v>
      </c>
      <c r="AE9" s="2">
        <f>MAX(0, AD9*(1+Forecast!$B8))</f>
        <v>2564851704145.1226</v>
      </c>
      <c r="AF9" s="2">
        <f>MAX(0, AE9*(1+Forecast!$B8))</f>
        <v>2580240814369.9932</v>
      </c>
      <c r="AG9" s="2">
        <f>MAX(0, AF9*(1+Forecast!$B8))</f>
        <v>2595722259256.2134</v>
      </c>
      <c r="AH9" s="2"/>
      <c r="AI9" s="2"/>
    </row>
    <row r="10" spans="1:35" x14ac:dyDescent="0.3">
      <c r="A10" s="16" t="s">
        <v>13</v>
      </c>
      <c r="B10" s="2">
        <f>INDEX(SYCEU!$B$26:$G$35, MATCH($A10, SYCEU!$A$2:$A$11, 0), MATCH(Rural_res_calculation!$A$3, SYCEU!$B$1:$G$1, 0))</f>
        <v>0</v>
      </c>
      <c r="C10" s="2">
        <f>INDEX('2020'!$B$26:$G$35, MATCH($A10, '2020'!$A$2:$A$11, 0), MATCH(Rural_res_calculation!$A$3, '2020'!$B$1:$G$1, 0))</f>
        <v>0</v>
      </c>
      <c r="D10" s="2">
        <f>INDEX('2021'!$B$26:$G$35, MATCH($A10, '2021'!$A$2:$A$11, 0), MATCH(Rural_res_calculation!$A$3, '2021'!$B$1:$G$1, 0))</f>
        <v>0</v>
      </c>
      <c r="E10" s="2">
        <f>MAX(0, D10*(1+Forecast!$B9))</f>
        <v>0</v>
      </c>
      <c r="F10" s="2">
        <f>MAX(0, E10*(1+Forecast!$B9))</f>
        <v>0</v>
      </c>
      <c r="G10" s="2">
        <f>MAX(0, F10*(1+Forecast!$B9))</f>
        <v>0</v>
      </c>
      <c r="H10" s="2">
        <f>MAX(0, G10*(1+Forecast!$B9))</f>
        <v>0</v>
      </c>
      <c r="I10" s="2">
        <f>MAX(0, H10*(1+Forecast!$B9))</f>
        <v>0</v>
      </c>
      <c r="J10" s="2">
        <f>MAX(0, I10*(1+Forecast!$B9))</f>
        <v>0</v>
      </c>
      <c r="K10" s="2">
        <f>MAX(0, J10*(1+Forecast!$B9))</f>
        <v>0</v>
      </c>
      <c r="L10" s="2">
        <f>MAX(0, K10*(1+Forecast!$B9))</f>
        <v>0</v>
      </c>
      <c r="M10" s="2">
        <f>MAX(0, L10*(1+Forecast!$B9))</f>
        <v>0</v>
      </c>
      <c r="N10" s="2">
        <f>MAX(0, M10*(1+Forecast!$B9))</f>
        <v>0</v>
      </c>
      <c r="O10" s="2">
        <f>MAX(0, N10*(1+Forecast!$B9))</f>
        <v>0</v>
      </c>
      <c r="P10" s="2">
        <f>MAX(0, O10*(1+Forecast!$B9))</f>
        <v>0</v>
      </c>
      <c r="Q10" s="2">
        <f>MAX(0, P10*(1+Forecast!$B9))</f>
        <v>0</v>
      </c>
      <c r="R10" s="2">
        <f>MAX(0, Q10*(1+Forecast!$B9))</f>
        <v>0</v>
      </c>
      <c r="S10" s="2">
        <f>MAX(0, R10*(1+Forecast!$B9))</f>
        <v>0</v>
      </c>
      <c r="T10" s="2">
        <f>MAX(0, S10*(1+Forecast!$B9))</f>
        <v>0</v>
      </c>
      <c r="U10" s="2">
        <f>MAX(0, T10*(1+Forecast!$B9))</f>
        <v>0</v>
      </c>
      <c r="V10" s="2">
        <f>MAX(0, U10*(1+Forecast!$B9))</f>
        <v>0</v>
      </c>
      <c r="W10" s="2">
        <f>MAX(0, V10*(1+Forecast!$B9))</f>
        <v>0</v>
      </c>
      <c r="X10" s="2">
        <f>MAX(0, W10*(1+Forecast!$B9))</f>
        <v>0</v>
      </c>
      <c r="Y10" s="2">
        <f>MAX(0, X10*(1+Forecast!$B9))</f>
        <v>0</v>
      </c>
      <c r="Z10" s="2">
        <f>MAX(0, Y10*(1+Forecast!$B9))</f>
        <v>0</v>
      </c>
      <c r="AA10" s="2">
        <f>MAX(0, Z10*(1+Forecast!$B9))</f>
        <v>0</v>
      </c>
      <c r="AB10" s="2">
        <f>MAX(0, AA10*(1+Forecast!$B9))</f>
        <v>0</v>
      </c>
      <c r="AC10" s="2">
        <f>MAX(0, AB10*(1+Forecast!$B9))</f>
        <v>0</v>
      </c>
      <c r="AD10" s="2">
        <f>MAX(0, AC10*(1+Forecast!$B9))</f>
        <v>0</v>
      </c>
      <c r="AE10" s="2">
        <f>MAX(0, AD10*(1+Forecast!$B9))</f>
        <v>0</v>
      </c>
      <c r="AF10" s="2">
        <f>MAX(0, AE10*(1+Forecast!$B9))</f>
        <v>0</v>
      </c>
      <c r="AG10" s="2">
        <f>MAX(0, AF10*(1+Forecast!$B9))</f>
        <v>0</v>
      </c>
      <c r="AH10" s="2"/>
      <c r="AI10" s="2"/>
    </row>
    <row r="11" spans="1:35" x14ac:dyDescent="0.3">
      <c r="A11" s="16" t="s">
        <v>14</v>
      </c>
      <c r="B11" s="2">
        <f>INDEX(SYCEU!$B$26:$G$35, MATCH($A11, SYCEU!$A$2:$A$11, 0), MATCH(Rural_res_calculation!$A$3, SYCEU!$B$1:$G$1, 0))</f>
        <v>7610000000000</v>
      </c>
      <c r="C11" s="2">
        <f>INDEX('2020'!$B$26:$G$35, MATCH($A11, '2020'!$A$2:$A$11, 0), MATCH(Rural_res_calculation!$A$3, '2020'!$B$1:$G$1, 0))</f>
        <v>7178797435072.9033</v>
      </c>
      <c r="D11" s="2">
        <f>INDEX('2021'!$B$26:$G$35, MATCH($A11, '2021'!$A$2:$A$11, 0), MATCH(Rural_res_calculation!$A$3, '2021'!$B$1:$G$1, 0))</f>
        <v>7165735632159.6074</v>
      </c>
      <c r="E11" s="2">
        <f>MAX(0, D11*(1+Forecast!$B10))</f>
        <v>6864774735608.9033</v>
      </c>
      <c r="F11" s="2">
        <f>MAX(0, E11*(1+Forecast!$B10))</f>
        <v>6576454196713.3291</v>
      </c>
      <c r="G11" s="2">
        <f>MAX(0, F11*(1+Forecast!$B10))</f>
        <v>6300243120451.3691</v>
      </c>
      <c r="H11" s="2">
        <f>MAX(0, G11*(1+Forecast!$B10))</f>
        <v>6035632909392.4111</v>
      </c>
      <c r="I11" s="2">
        <f>MAX(0, H11*(1+Forecast!$B10))</f>
        <v>5782136327197.9297</v>
      </c>
      <c r="J11" s="2">
        <f>MAX(0, I11*(1+Forecast!$B10))</f>
        <v>5539286601455.6162</v>
      </c>
      <c r="K11" s="2">
        <f>MAX(0, J11*(1+Forecast!$B10))</f>
        <v>5306636564194.4805</v>
      </c>
      <c r="L11" s="2">
        <f>MAX(0, K11*(1+Forecast!$B10))</f>
        <v>5083757828498.3125</v>
      </c>
      <c r="M11" s="2">
        <f>MAX(0, L11*(1+Forecast!$B10))</f>
        <v>4870239999701.3828</v>
      </c>
      <c r="N11" s="2">
        <f>MAX(0, M11*(1+Forecast!$B10))</f>
        <v>4665689919713.9248</v>
      </c>
      <c r="O11" s="2">
        <f>MAX(0, N11*(1+Forecast!$B10))</f>
        <v>4469730943085.9395</v>
      </c>
      <c r="P11" s="2">
        <f>MAX(0, O11*(1+Forecast!$B10))</f>
        <v>4282002243476.3296</v>
      </c>
      <c r="Q11" s="2">
        <f>MAX(0, P11*(1+Forecast!$B10))</f>
        <v>4102158149250.3237</v>
      </c>
      <c r="R11" s="2">
        <f>MAX(0, Q11*(1+Forecast!$B10))</f>
        <v>3929867506981.8101</v>
      </c>
      <c r="S11" s="2">
        <f>MAX(0, R11*(1+Forecast!$B10))</f>
        <v>3764813071688.5737</v>
      </c>
      <c r="T11" s="2">
        <f>MAX(0, S11*(1+Forecast!$B10))</f>
        <v>3606690922677.6533</v>
      </c>
      <c r="U11" s="2">
        <f>MAX(0, T11*(1+Forecast!$B10))</f>
        <v>3455209903925.1919</v>
      </c>
      <c r="V11" s="2">
        <f>MAX(0, U11*(1+Forecast!$B10))</f>
        <v>3310091087960.3335</v>
      </c>
      <c r="W11" s="2">
        <f>MAX(0, V11*(1+Forecast!$B10))</f>
        <v>3171067262265.9995</v>
      </c>
      <c r="X11" s="2">
        <f>MAX(0, W11*(1+Forecast!$B10))</f>
        <v>3037882437250.8276</v>
      </c>
      <c r="Y11" s="2">
        <f>MAX(0, X11*(1+Forecast!$B10))</f>
        <v>2910291374886.293</v>
      </c>
      <c r="Z11" s="2">
        <f>MAX(0, Y11*(1+Forecast!$B10))</f>
        <v>2788059137141.0684</v>
      </c>
      <c r="AA11" s="2">
        <f>MAX(0, Z11*(1+Forecast!$B10))</f>
        <v>2670960653381.1436</v>
      </c>
      <c r="AB11" s="2">
        <f>MAX(0, AA11*(1+Forecast!$B10))</f>
        <v>2558780305939.1353</v>
      </c>
      <c r="AC11" s="2">
        <f>MAX(0, AB11*(1+Forecast!$B10))</f>
        <v>2451311533089.6914</v>
      </c>
      <c r="AD11" s="2">
        <f>MAX(0, AC11*(1+Forecast!$B10))</f>
        <v>2348356448699.9243</v>
      </c>
      <c r="AE11" s="2">
        <f>MAX(0, AD11*(1+Forecast!$B10))</f>
        <v>2249725477854.5273</v>
      </c>
      <c r="AF11" s="2">
        <f>MAX(0, AE11*(1+Forecast!$B10))</f>
        <v>2155237007784.6372</v>
      </c>
      <c r="AG11" s="2">
        <f>MAX(0, AF11*(1+Forecast!$B10))</f>
        <v>2064717053457.6824</v>
      </c>
      <c r="AH11" s="2"/>
      <c r="AI11" s="2"/>
    </row>
    <row r="12" spans="1:35" x14ac:dyDescent="0.3">
      <c r="A12" s="16" t="s">
        <v>15</v>
      </c>
      <c r="B12" s="2">
        <f>INDEX(SYCEU!$B$26:$G$35, MATCH($A12, SYCEU!$A$2:$A$11, 0), MATCH(Rural_res_calculation!$A$3, SYCEU!$B$1:$G$1, 0))</f>
        <v>1910000000000</v>
      </c>
      <c r="C12" s="2">
        <f>INDEX('2020'!$B$26:$G$35, MATCH($A12, '2020'!$A$2:$A$11, 0), MATCH(Rural_res_calculation!$A$3, '2020'!$B$1:$G$1, 0))</f>
        <v>1804469087847.1846</v>
      </c>
      <c r="D12" s="2">
        <f>INDEX('2021'!$B$26:$G$35, MATCH($A12, '2021'!$A$2:$A$11, 0), MATCH(Rural_res_calculation!$A$3, '2021'!$B$1:$G$1, 0))</f>
        <v>1801185861122.6853</v>
      </c>
      <c r="E12" s="2">
        <f>MAX(0, D12*(1+Forecast!$B11))</f>
        <v>1725536054955.5325</v>
      </c>
      <c r="F12" s="2">
        <f>MAX(0, E12*(1+Forecast!$B11))</f>
        <v>1653063540647.4001</v>
      </c>
      <c r="G12" s="2">
        <f>MAX(0, F12*(1+Forecast!$B11))</f>
        <v>1583634871940.2092</v>
      </c>
      <c r="H12" s="2">
        <f>MAX(0, G12*(1+Forecast!$B11))</f>
        <v>1517122207318.7205</v>
      </c>
      <c r="I12" s="2">
        <f>MAX(0, H12*(1+Forecast!$B11))</f>
        <v>1453403074611.3342</v>
      </c>
      <c r="J12" s="2">
        <f>MAX(0, I12*(1+Forecast!$B11))</f>
        <v>1392360145477.6582</v>
      </c>
      <c r="K12" s="2">
        <f>MAX(0, J12*(1+Forecast!$B11))</f>
        <v>1333881019367.5964</v>
      </c>
      <c r="L12" s="2">
        <f>MAX(0, K12*(1+Forecast!$B11))</f>
        <v>1277858016554.1572</v>
      </c>
      <c r="M12" s="2">
        <f>MAX(0, L12*(1+Forecast!$B11))</f>
        <v>1224187979858.8826</v>
      </c>
      <c r="N12" s="2">
        <f>MAX(0, M12*(1+Forecast!$B11))</f>
        <v>1172772084704.8096</v>
      </c>
      <c r="O12" s="2">
        <f>MAX(0, N12*(1+Forecast!$B11))</f>
        <v>1123515657147.2075</v>
      </c>
      <c r="P12" s="2">
        <f>MAX(0, O12*(1+Forecast!$B11))</f>
        <v>1076327999547.0248</v>
      </c>
      <c r="Q12" s="2">
        <f>MAX(0, P12*(1+Forecast!$B11))</f>
        <v>1031122223566.0497</v>
      </c>
      <c r="R12" s="2">
        <f>MAX(0, Q12*(1+Forecast!$B11))</f>
        <v>987815090176.27551</v>
      </c>
      <c r="S12" s="2">
        <f>MAX(0, R12*(1+Forecast!$B11))</f>
        <v>946326856388.87195</v>
      </c>
      <c r="T12" s="2">
        <f>MAX(0, S12*(1+Forecast!$B11))</f>
        <v>906581128420.53931</v>
      </c>
      <c r="U12" s="2">
        <f>MAX(0, T12*(1+Forecast!$B11))</f>
        <v>868504721026.87659</v>
      </c>
      <c r="V12" s="2">
        <f>MAX(0, U12*(1+Forecast!$B11))</f>
        <v>832027522743.74768</v>
      </c>
      <c r="W12" s="2">
        <f>MAX(0, V12*(1+Forecast!$B11))</f>
        <v>797082366788.51025</v>
      </c>
      <c r="X12" s="2">
        <f>MAX(0, W12*(1+Forecast!$B11))</f>
        <v>763604907383.39282</v>
      </c>
      <c r="Y12" s="2">
        <f>MAX(0, X12*(1+Forecast!$B11))</f>
        <v>731533501273.29028</v>
      </c>
      <c r="Z12" s="2">
        <f>MAX(0, Y12*(1+Forecast!$B11))</f>
        <v>700809094219.81201</v>
      </c>
      <c r="AA12" s="2">
        <f>MAX(0, Z12*(1+Forecast!$B11))</f>
        <v>671375112262.57983</v>
      </c>
      <c r="AB12" s="2">
        <f>MAX(0, AA12*(1+Forecast!$B11))</f>
        <v>643177357547.55151</v>
      </c>
      <c r="AC12" s="2">
        <f>MAX(0, AB12*(1+Forecast!$B11))</f>
        <v>616163908530.55432</v>
      </c>
      <c r="AD12" s="2">
        <f>MAX(0, AC12*(1+Forecast!$B11))</f>
        <v>590285024372.271</v>
      </c>
      <c r="AE12" s="2">
        <f>MAX(0, AD12*(1+Forecast!$B11))</f>
        <v>565493053348.63562</v>
      </c>
      <c r="AF12" s="2">
        <f>MAX(0, AE12*(1+Forecast!$B11))</f>
        <v>541742345107.99292</v>
      </c>
      <c r="AG12" s="2">
        <f>MAX(0, AF12*(1+Forecast!$B11))</f>
        <v>518989166613.45721</v>
      </c>
      <c r="AH12" s="2"/>
      <c r="AI12" s="2"/>
    </row>
    <row r="13" spans="1:35" x14ac:dyDescent="0.3">
      <c r="A13" s="16" t="s">
        <v>16</v>
      </c>
      <c r="B13" s="2">
        <f>INDEX(SYCEU!$B$26:$G$35, MATCH($A13, SYCEU!$A$2:$A$11, 0), MATCH(Rural_res_calculation!$A$3, SYCEU!$B$1:$G$1, 0))</f>
        <v>0</v>
      </c>
      <c r="C13" s="2">
        <f>INDEX('2020'!$B$26:$G$35, MATCH($A13, '2020'!$A$2:$A$11, 0), MATCH(Rural_res_calculation!$A$3, '2020'!$B$1:$G$1, 0))</f>
        <v>0</v>
      </c>
      <c r="D13" s="2">
        <f>INDEX('2021'!$B$26:$G$35, MATCH($A13, '2021'!$A$2:$A$11, 0), MATCH(Rural_res_calculation!$A$3, '2021'!$B$1:$G$1, 0))</f>
        <v>0</v>
      </c>
      <c r="E13" s="2">
        <f>MAX(0, D13*(1+Forecast!$B12))</f>
        <v>0</v>
      </c>
      <c r="F13" s="2">
        <f>MAX(0, E13*(1+Forecast!$B12))</f>
        <v>0</v>
      </c>
      <c r="G13" s="2">
        <f>MAX(0, F13*(1+Forecast!$B12))</f>
        <v>0</v>
      </c>
      <c r="H13" s="2">
        <f>MAX(0, G13*(1+Forecast!$B12))</f>
        <v>0</v>
      </c>
      <c r="I13" s="2">
        <f>MAX(0, H13*(1+Forecast!$B12))</f>
        <v>0</v>
      </c>
      <c r="J13" s="2">
        <f>MAX(0, I13*(1+Forecast!$B12))</f>
        <v>0</v>
      </c>
      <c r="K13" s="2">
        <f>MAX(0, J13*(1+Forecast!$B12))</f>
        <v>0</v>
      </c>
      <c r="L13" s="2">
        <f>MAX(0, K13*(1+Forecast!$B12))</f>
        <v>0</v>
      </c>
      <c r="M13" s="2">
        <f>MAX(0, L13*(1+Forecast!$B12))</f>
        <v>0</v>
      </c>
      <c r="N13" s="2">
        <f>MAX(0, M13*(1+Forecast!$B12))</f>
        <v>0</v>
      </c>
      <c r="O13" s="2">
        <f>MAX(0, N13*(1+Forecast!$B12))</f>
        <v>0</v>
      </c>
      <c r="P13" s="2">
        <f>MAX(0, O13*(1+Forecast!$B12))</f>
        <v>0</v>
      </c>
      <c r="Q13" s="2">
        <f>MAX(0, P13*(1+Forecast!$B12))</f>
        <v>0</v>
      </c>
      <c r="R13" s="2">
        <f>MAX(0, Q13*(1+Forecast!$B12))</f>
        <v>0</v>
      </c>
      <c r="S13" s="2">
        <f>MAX(0, R13*(1+Forecast!$B12))</f>
        <v>0</v>
      </c>
      <c r="T13" s="2">
        <f>MAX(0, S13*(1+Forecast!$B12))</f>
        <v>0</v>
      </c>
      <c r="U13" s="2">
        <f>MAX(0, T13*(1+Forecast!$B12))</f>
        <v>0</v>
      </c>
      <c r="V13" s="2">
        <f>MAX(0, U13*(1+Forecast!$B12))</f>
        <v>0</v>
      </c>
      <c r="W13" s="2">
        <f>MAX(0, V13*(1+Forecast!$B12))</f>
        <v>0</v>
      </c>
      <c r="X13" s="2">
        <f>MAX(0, W13*(1+Forecast!$B12))</f>
        <v>0</v>
      </c>
      <c r="Y13" s="2">
        <f>MAX(0, X13*(1+Forecast!$B12))</f>
        <v>0</v>
      </c>
      <c r="Z13" s="2">
        <f>MAX(0, Y13*(1+Forecast!$B12))</f>
        <v>0</v>
      </c>
      <c r="AA13" s="2">
        <f>MAX(0, Z13*(1+Forecast!$B12))</f>
        <v>0</v>
      </c>
      <c r="AB13" s="2">
        <f>MAX(0, AA13*(1+Forecast!$B12))</f>
        <v>0</v>
      </c>
      <c r="AC13" s="2">
        <f>MAX(0, AB13*(1+Forecast!$B12))</f>
        <v>0</v>
      </c>
      <c r="AD13" s="2">
        <f>MAX(0, AC13*(1+Forecast!$B12))</f>
        <v>0</v>
      </c>
      <c r="AE13" s="2">
        <f>MAX(0, AD13*(1+Forecast!$B12))</f>
        <v>0</v>
      </c>
      <c r="AF13" s="2">
        <f>MAX(0, AE13*(1+Forecast!$B12))</f>
        <v>0</v>
      </c>
      <c r="AG13" s="2">
        <f>MAX(0, AF13*(1+Forecast!$B12))</f>
        <v>0</v>
      </c>
      <c r="AH13" s="2"/>
      <c r="AI13" s="2"/>
    </row>
    <row r="15" spans="1:35" x14ac:dyDescent="0.3">
      <c r="A15" s="16" t="s">
        <v>38</v>
      </c>
      <c r="B15" s="1">
        <v>2019</v>
      </c>
      <c r="C15" s="1">
        <v>2020</v>
      </c>
      <c r="D15" s="1">
        <v>2021</v>
      </c>
      <c r="E15" s="1">
        <v>2022</v>
      </c>
      <c r="F15" s="1">
        <v>2023</v>
      </c>
      <c r="G15" s="1">
        <v>2024</v>
      </c>
      <c r="H15" s="1">
        <v>2025</v>
      </c>
      <c r="I15" s="1">
        <v>2026</v>
      </c>
      <c r="J15" s="1">
        <v>2027</v>
      </c>
      <c r="K15" s="1">
        <v>2028</v>
      </c>
      <c r="L15" s="1">
        <v>2029</v>
      </c>
      <c r="M15" s="1">
        <v>2030</v>
      </c>
      <c r="N15" s="1">
        <v>2031</v>
      </c>
      <c r="O15" s="1">
        <v>2032</v>
      </c>
      <c r="P15" s="1">
        <v>2033</v>
      </c>
      <c r="Q15" s="1">
        <v>2034</v>
      </c>
      <c r="R15" s="1">
        <v>2035</v>
      </c>
      <c r="S15" s="1">
        <v>2036</v>
      </c>
      <c r="T15" s="1">
        <v>2037</v>
      </c>
      <c r="U15" s="1">
        <v>2038</v>
      </c>
      <c r="V15" s="1">
        <v>2039</v>
      </c>
      <c r="W15" s="1">
        <v>2040</v>
      </c>
      <c r="X15" s="1">
        <v>2041</v>
      </c>
      <c r="Y15" s="1">
        <v>2042</v>
      </c>
      <c r="Z15" s="1">
        <v>2043</v>
      </c>
      <c r="AA15" s="1">
        <v>2044</v>
      </c>
      <c r="AB15" s="1">
        <v>2045</v>
      </c>
      <c r="AC15" s="1">
        <v>2046</v>
      </c>
      <c r="AD15" s="1">
        <v>2047</v>
      </c>
      <c r="AE15" s="1">
        <v>2048</v>
      </c>
      <c r="AF15" s="1">
        <v>2049</v>
      </c>
      <c r="AG15" s="1">
        <v>2050</v>
      </c>
      <c r="AH15" s="1"/>
      <c r="AI15" s="1"/>
    </row>
    <row r="16" spans="1:35" x14ac:dyDescent="0.3">
      <c r="A16" s="16" t="s">
        <v>2</v>
      </c>
      <c r="B16" s="2">
        <f>INDEX(SYCEU!$B$26:$G$35, MATCH($A16, SYCEU!$A$2:$A$11, 0), MATCH(Rural_res_calculation!$A$15, SYCEU!$B$1:$G$1, 0))</f>
        <v>1770000000000</v>
      </c>
      <c r="C16" s="2">
        <f>INDEX('2020'!$B$26:$G$35, MATCH($A16, '2020'!$A$2:$A$11, 0), MATCH(Rural_res_calculation!$A$15, '2020'!$B$1:$G$1, 0))</f>
        <v>1771291403277.7441</v>
      </c>
      <c r="D16" s="2">
        <f>INDEX('2021'!$B$26:$G$35, MATCH($A16, '2021'!$A$2:$A$11, 0), MATCH(Rural_res_calculation!$A$15, '2021'!$B$1:$G$1, 0))</f>
        <v>1961215912396.5713</v>
      </c>
      <c r="E16" s="2">
        <f>MAX(0, D16*(1+Forecast!$B3))</f>
        <v>1972983207870.9507</v>
      </c>
      <c r="F16" s="2">
        <f>MAX(0, E16*(1+Forecast!$B3))</f>
        <v>1984821107118.1765</v>
      </c>
      <c r="G16" s="2">
        <f>MAX(0, F16*(1+Forecast!$B3))</f>
        <v>1996730033760.8855</v>
      </c>
      <c r="H16" s="2">
        <f>MAX(0, G16*(1+Forecast!$B3))</f>
        <v>2008710413963.4509</v>
      </c>
      <c r="I16" s="2">
        <f>MAX(0, H16*(1+Forecast!$B3))</f>
        <v>2020762676447.2317</v>
      </c>
      <c r="J16" s="2">
        <f>MAX(0, I16*(1+Forecast!$B3))</f>
        <v>2032887252505.915</v>
      </c>
      <c r="K16" s="2">
        <f>MAX(0, J16*(1+Forecast!$B3))</f>
        <v>2045084576020.9504</v>
      </c>
      <c r="L16" s="2">
        <f>MAX(0, K16*(1+Forecast!$B3))</f>
        <v>2057355083477.0762</v>
      </c>
      <c r="M16" s="2">
        <f>MAX(0, L16*(1+Forecast!$B3))</f>
        <v>2069699213977.9387</v>
      </c>
      <c r="N16" s="2">
        <f>MAX(0, M16*(1+Forecast!$B3))</f>
        <v>2082117409261.8064</v>
      </c>
      <c r="O16" s="2">
        <f>MAX(0, N16*(1+Forecast!$B3))</f>
        <v>2094610113717.3772</v>
      </c>
      <c r="P16" s="2">
        <f>MAX(0, O16*(1+Forecast!$B3))</f>
        <v>2107177774399.6814</v>
      </c>
      <c r="Q16" s="2">
        <f>MAX(0, P16*(1+Forecast!$B3))</f>
        <v>2119820841046.0796</v>
      </c>
      <c r="R16" s="2">
        <f>MAX(0, Q16*(1+Forecast!$B3))</f>
        <v>2132539766092.356</v>
      </c>
      <c r="S16" s="2">
        <f>MAX(0, R16*(1+Forecast!$B3))</f>
        <v>2145335004688.9102</v>
      </c>
      <c r="T16" s="2">
        <f>MAX(0, S16*(1+Forecast!$B3))</f>
        <v>2158207014717.0437</v>
      </c>
      <c r="U16" s="2">
        <f>MAX(0, T16*(1+Forecast!$B3))</f>
        <v>2171156256805.3459</v>
      </c>
      <c r="V16" s="2">
        <f>MAX(0, U16*(1+Forecast!$B3))</f>
        <v>2184183194346.178</v>
      </c>
      <c r="W16" s="2">
        <f>MAX(0, V16*(1+Forecast!$B3))</f>
        <v>2197288293512.2551</v>
      </c>
      <c r="X16" s="2">
        <f>MAX(0, W16*(1+Forecast!$B3))</f>
        <v>2210472023273.3286</v>
      </c>
      <c r="Y16" s="2">
        <f>MAX(0, X16*(1+Forecast!$B3))</f>
        <v>2223734855412.9688</v>
      </c>
      <c r="Z16" s="2">
        <f>MAX(0, Y16*(1+Forecast!$B3))</f>
        <v>2237077264545.4468</v>
      </c>
      <c r="AA16" s="2">
        <f>MAX(0, Z16*(1+Forecast!$B3))</f>
        <v>2250499728132.7192</v>
      </c>
      <c r="AB16" s="2">
        <f>MAX(0, AA16*(1+Forecast!$B3))</f>
        <v>2264002726501.5156</v>
      </c>
      <c r="AC16" s="2">
        <f>MAX(0, AB16*(1+Forecast!$B3))</f>
        <v>2277586742860.5249</v>
      </c>
      <c r="AD16" s="2">
        <f>MAX(0, AC16*(1+Forecast!$B3))</f>
        <v>2291252263317.688</v>
      </c>
      <c r="AE16" s="2">
        <f>MAX(0, AD16*(1+Forecast!$B3))</f>
        <v>2304999776897.5942</v>
      </c>
      <c r="AF16" s="2">
        <f>MAX(0, AE16*(1+Forecast!$B3))</f>
        <v>2318829775558.98</v>
      </c>
      <c r="AG16" s="2">
        <f>MAX(0, AF16*(1+Forecast!$B3))</f>
        <v>2332742754212.334</v>
      </c>
      <c r="AH16" s="2"/>
      <c r="AI16" s="2"/>
    </row>
    <row r="17" spans="1:35" x14ac:dyDescent="0.3">
      <c r="A17" s="16" t="s">
        <v>3</v>
      </c>
      <c r="B17" s="2">
        <f>INDEX(SYCEU!$B$26:$G$35, MATCH($A17, SYCEU!$A$2:$A$11, 0), MATCH(Rural_res_calculation!$A$15, SYCEU!$B$1:$G$1, 0))</f>
        <v>0</v>
      </c>
      <c r="C17" s="2">
        <f>INDEX('2020'!$B$26:$G$35, MATCH($A17, '2020'!$A$2:$A$11, 0), MATCH(Rural_res_calculation!$A$15, '2020'!$B$1:$G$1, 0))</f>
        <v>0</v>
      </c>
      <c r="D17" s="2">
        <f>INDEX('2021'!$B$26:$G$35, MATCH($A17, '2021'!$A$2:$A$11, 0), MATCH(Rural_res_calculation!$A$15, '2021'!$B$1:$G$1, 0))</f>
        <v>0</v>
      </c>
      <c r="E17" s="2">
        <f>MAX(0, D17*(1+Forecast!$B4))</f>
        <v>0</v>
      </c>
      <c r="F17" s="2">
        <f>MAX(0, E17*(1+Forecast!$B4))</f>
        <v>0</v>
      </c>
      <c r="G17" s="2">
        <f>MAX(0, F17*(1+Forecast!$B4))</f>
        <v>0</v>
      </c>
      <c r="H17" s="2">
        <f>MAX(0, G17*(1+Forecast!$B4))</f>
        <v>0</v>
      </c>
      <c r="I17" s="2">
        <f>MAX(0, H17*(1+Forecast!$B4))</f>
        <v>0</v>
      </c>
      <c r="J17" s="2">
        <f>MAX(0, I17*(1+Forecast!$B4))</f>
        <v>0</v>
      </c>
      <c r="K17" s="2">
        <f>MAX(0, J17*(1+Forecast!$B4))</f>
        <v>0</v>
      </c>
      <c r="L17" s="2">
        <f>MAX(0, K17*(1+Forecast!$B4))</f>
        <v>0</v>
      </c>
      <c r="M17" s="2">
        <f>MAX(0, L17*(1+Forecast!$B4))</f>
        <v>0</v>
      </c>
      <c r="N17" s="2">
        <f>MAX(0, M17*(1+Forecast!$B4))</f>
        <v>0</v>
      </c>
      <c r="O17" s="2">
        <f>MAX(0, N17*(1+Forecast!$B4))</f>
        <v>0</v>
      </c>
      <c r="P17" s="2">
        <f>MAX(0, O17*(1+Forecast!$B4))</f>
        <v>0</v>
      </c>
      <c r="Q17" s="2">
        <f>MAX(0, P17*(1+Forecast!$B4))</f>
        <v>0</v>
      </c>
      <c r="R17" s="2">
        <f>MAX(0, Q17*(1+Forecast!$B4))</f>
        <v>0</v>
      </c>
      <c r="S17" s="2">
        <f>MAX(0, R17*(1+Forecast!$B4))</f>
        <v>0</v>
      </c>
      <c r="T17" s="2">
        <f>MAX(0, S17*(1+Forecast!$B4))</f>
        <v>0</v>
      </c>
      <c r="U17" s="2">
        <f>MAX(0, T17*(1+Forecast!$B4))</f>
        <v>0</v>
      </c>
      <c r="V17" s="2">
        <f>MAX(0, U17*(1+Forecast!$B4))</f>
        <v>0</v>
      </c>
      <c r="W17" s="2">
        <f>MAX(0, V17*(1+Forecast!$B4))</f>
        <v>0</v>
      </c>
      <c r="X17" s="2">
        <f>MAX(0, W17*(1+Forecast!$B4))</f>
        <v>0</v>
      </c>
      <c r="Y17" s="2">
        <f>MAX(0, X17*(1+Forecast!$B4))</f>
        <v>0</v>
      </c>
      <c r="Z17" s="2">
        <f>MAX(0, Y17*(1+Forecast!$B4))</f>
        <v>0</v>
      </c>
      <c r="AA17" s="2">
        <f>MAX(0, Z17*(1+Forecast!$B4))</f>
        <v>0</v>
      </c>
      <c r="AB17" s="2">
        <f>MAX(0, AA17*(1+Forecast!$B4))</f>
        <v>0</v>
      </c>
      <c r="AC17" s="2">
        <f>MAX(0, AB17*(1+Forecast!$B4))</f>
        <v>0</v>
      </c>
      <c r="AD17" s="2">
        <f>MAX(0, AC17*(1+Forecast!$B4))</f>
        <v>0</v>
      </c>
      <c r="AE17" s="2">
        <f>MAX(0, AD17*(1+Forecast!$B4))</f>
        <v>0</v>
      </c>
      <c r="AF17" s="2">
        <f>MAX(0, AE17*(1+Forecast!$B4))</f>
        <v>0</v>
      </c>
      <c r="AG17" s="2">
        <f>MAX(0, AF17*(1+Forecast!$B4))</f>
        <v>0</v>
      </c>
      <c r="AH17" s="2"/>
      <c r="AI17" s="2"/>
    </row>
    <row r="18" spans="1:35" x14ac:dyDescent="0.3">
      <c r="A18" s="16" t="s">
        <v>4</v>
      </c>
      <c r="B18" s="2">
        <f>INDEX(SYCEU!$B$26:$G$35, MATCH($A18, SYCEU!$A$2:$A$11, 0), MATCH(Rural_res_calculation!$A$15, SYCEU!$B$1:$G$1, 0))</f>
        <v>0</v>
      </c>
      <c r="C18" s="2">
        <f>INDEX('2020'!$B$26:$G$35, MATCH($A18, '2020'!$A$2:$A$11, 0), MATCH(Rural_res_calculation!$A$15, '2020'!$B$1:$G$1, 0))</f>
        <v>0</v>
      </c>
      <c r="D18" s="2">
        <f>INDEX('2021'!$B$26:$G$35, MATCH($A18, '2021'!$A$2:$A$11, 0), MATCH(Rural_res_calculation!$A$15, '2021'!$B$1:$G$1, 0))</f>
        <v>0</v>
      </c>
      <c r="E18" s="2">
        <f>MAX(0, D18*(1+Forecast!$B5))</f>
        <v>0</v>
      </c>
      <c r="F18" s="2">
        <f>MAX(0, E18*(1+Forecast!$B5))</f>
        <v>0</v>
      </c>
      <c r="G18" s="2">
        <f>MAX(0, F18*(1+Forecast!$B5))</f>
        <v>0</v>
      </c>
      <c r="H18" s="2">
        <f>MAX(0, G18*(1+Forecast!$B5))</f>
        <v>0</v>
      </c>
      <c r="I18" s="2">
        <f>MAX(0, H18*(1+Forecast!$B5))</f>
        <v>0</v>
      </c>
      <c r="J18" s="2">
        <f>MAX(0, I18*(1+Forecast!$B5))</f>
        <v>0</v>
      </c>
      <c r="K18" s="2">
        <f>MAX(0, J18*(1+Forecast!$B5))</f>
        <v>0</v>
      </c>
      <c r="L18" s="2">
        <f>MAX(0, K18*(1+Forecast!$B5))</f>
        <v>0</v>
      </c>
      <c r="M18" s="2">
        <f>MAX(0, L18*(1+Forecast!$B5))</f>
        <v>0</v>
      </c>
      <c r="N18" s="2">
        <f>MAX(0, M18*(1+Forecast!$B5))</f>
        <v>0</v>
      </c>
      <c r="O18" s="2">
        <f>MAX(0, N18*(1+Forecast!$B5))</f>
        <v>0</v>
      </c>
      <c r="P18" s="2">
        <f>MAX(0, O18*(1+Forecast!$B5))</f>
        <v>0</v>
      </c>
      <c r="Q18" s="2">
        <f>MAX(0, P18*(1+Forecast!$B5))</f>
        <v>0</v>
      </c>
      <c r="R18" s="2">
        <f>MAX(0, Q18*(1+Forecast!$B5))</f>
        <v>0</v>
      </c>
      <c r="S18" s="2">
        <f>MAX(0, R18*(1+Forecast!$B5))</f>
        <v>0</v>
      </c>
      <c r="T18" s="2">
        <f>MAX(0, S18*(1+Forecast!$B5))</f>
        <v>0</v>
      </c>
      <c r="U18" s="2">
        <f>MAX(0, T18*(1+Forecast!$B5))</f>
        <v>0</v>
      </c>
      <c r="V18" s="2">
        <f>MAX(0, U18*(1+Forecast!$B5))</f>
        <v>0</v>
      </c>
      <c r="W18" s="2">
        <f>MAX(0, V18*(1+Forecast!$B5))</f>
        <v>0</v>
      </c>
      <c r="X18" s="2">
        <f>MAX(0, W18*(1+Forecast!$B5))</f>
        <v>0</v>
      </c>
      <c r="Y18" s="2">
        <f>MAX(0, X18*(1+Forecast!$B5))</f>
        <v>0</v>
      </c>
      <c r="Z18" s="2">
        <f>MAX(0, Y18*(1+Forecast!$B5))</f>
        <v>0</v>
      </c>
      <c r="AA18" s="2">
        <f>MAX(0, Z18*(1+Forecast!$B5))</f>
        <v>0</v>
      </c>
      <c r="AB18" s="2">
        <f>MAX(0, AA18*(1+Forecast!$B5))</f>
        <v>0</v>
      </c>
      <c r="AC18" s="2">
        <f>MAX(0, AB18*(1+Forecast!$B5))</f>
        <v>0</v>
      </c>
      <c r="AD18" s="2">
        <f>MAX(0, AC18*(1+Forecast!$B5))</f>
        <v>0</v>
      </c>
      <c r="AE18" s="2">
        <f>MAX(0, AD18*(1+Forecast!$B5))</f>
        <v>0</v>
      </c>
      <c r="AF18" s="2">
        <f>MAX(0, AE18*(1+Forecast!$B5))</f>
        <v>0</v>
      </c>
      <c r="AG18" s="2">
        <f>MAX(0, AF18*(1+Forecast!$B5))</f>
        <v>0</v>
      </c>
      <c r="AH18" s="2"/>
      <c r="AI18" s="2"/>
    </row>
    <row r="19" spans="1:35" x14ac:dyDescent="0.3">
      <c r="A19" s="16" t="s">
        <v>5</v>
      </c>
      <c r="B19" s="2">
        <f>INDEX(SYCEU!$B$26:$G$35, MATCH($A19, SYCEU!$A$2:$A$11, 0), MATCH(Rural_res_calculation!$A$15, SYCEU!$B$1:$G$1, 0))</f>
        <v>0</v>
      </c>
      <c r="C19" s="2">
        <f>INDEX('2020'!$B$26:$G$35, MATCH($A19, '2020'!$A$2:$A$11, 0), MATCH(Rural_res_calculation!$A$15, '2020'!$B$1:$G$1, 0))</f>
        <v>0</v>
      </c>
      <c r="D19" s="2">
        <f>INDEX('2021'!$B$26:$G$35, MATCH($A19, '2021'!$A$2:$A$11, 0), MATCH(Rural_res_calculation!$A$15, '2021'!$B$1:$G$1, 0))</f>
        <v>0</v>
      </c>
      <c r="E19" s="2">
        <f>MAX(0, D19*(1+Forecast!$B6))</f>
        <v>0</v>
      </c>
      <c r="F19" s="2">
        <f>MAX(0, E19*(1+Forecast!$B6))</f>
        <v>0</v>
      </c>
      <c r="G19" s="2">
        <f>MAX(0, F19*(1+Forecast!$B6))</f>
        <v>0</v>
      </c>
      <c r="H19" s="2">
        <f>MAX(0, G19*(1+Forecast!$B6))</f>
        <v>0</v>
      </c>
      <c r="I19" s="2">
        <f>MAX(0, H19*(1+Forecast!$B6))</f>
        <v>0</v>
      </c>
      <c r="J19" s="2">
        <f>MAX(0, I19*(1+Forecast!$B6))</f>
        <v>0</v>
      </c>
      <c r="K19" s="2">
        <f>MAX(0, J19*(1+Forecast!$B6))</f>
        <v>0</v>
      </c>
      <c r="L19" s="2">
        <f>MAX(0, K19*(1+Forecast!$B6))</f>
        <v>0</v>
      </c>
      <c r="M19" s="2">
        <f>MAX(0, L19*(1+Forecast!$B6))</f>
        <v>0</v>
      </c>
      <c r="N19" s="2">
        <f>MAX(0, M19*(1+Forecast!$B6))</f>
        <v>0</v>
      </c>
      <c r="O19" s="2">
        <f>MAX(0, N19*(1+Forecast!$B6))</f>
        <v>0</v>
      </c>
      <c r="P19" s="2">
        <f>MAX(0, O19*(1+Forecast!$B6))</f>
        <v>0</v>
      </c>
      <c r="Q19" s="2">
        <f>MAX(0, P19*(1+Forecast!$B6))</f>
        <v>0</v>
      </c>
      <c r="R19" s="2">
        <f>MAX(0, Q19*(1+Forecast!$B6))</f>
        <v>0</v>
      </c>
      <c r="S19" s="2">
        <f>MAX(0, R19*(1+Forecast!$B6))</f>
        <v>0</v>
      </c>
      <c r="T19" s="2">
        <f>MAX(0, S19*(1+Forecast!$B6))</f>
        <v>0</v>
      </c>
      <c r="U19" s="2">
        <f>MAX(0, T19*(1+Forecast!$B6))</f>
        <v>0</v>
      </c>
      <c r="V19" s="2">
        <f>MAX(0, U19*(1+Forecast!$B6))</f>
        <v>0</v>
      </c>
      <c r="W19" s="2">
        <f>MAX(0, V19*(1+Forecast!$B6))</f>
        <v>0</v>
      </c>
      <c r="X19" s="2">
        <f>MAX(0, W19*(1+Forecast!$B6))</f>
        <v>0</v>
      </c>
      <c r="Y19" s="2">
        <f>MAX(0, X19*(1+Forecast!$B6))</f>
        <v>0</v>
      </c>
      <c r="Z19" s="2">
        <f>MAX(0, Y19*(1+Forecast!$B6))</f>
        <v>0</v>
      </c>
      <c r="AA19" s="2">
        <f>MAX(0, Z19*(1+Forecast!$B6))</f>
        <v>0</v>
      </c>
      <c r="AB19" s="2">
        <f>MAX(0, AA19*(1+Forecast!$B6))</f>
        <v>0</v>
      </c>
      <c r="AC19" s="2">
        <f>MAX(0, AB19*(1+Forecast!$B6))</f>
        <v>0</v>
      </c>
      <c r="AD19" s="2">
        <f>MAX(0, AC19*(1+Forecast!$B6))</f>
        <v>0</v>
      </c>
      <c r="AE19" s="2">
        <f>MAX(0, AD19*(1+Forecast!$B6))</f>
        <v>0</v>
      </c>
      <c r="AF19" s="2">
        <f>MAX(0, AE19*(1+Forecast!$B6))</f>
        <v>0</v>
      </c>
      <c r="AG19" s="2">
        <f>MAX(0, AF19*(1+Forecast!$B6))</f>
        <v>0</v>
      </c>
      <c r="AH19" s="2"/>
      <c r="AI19" s="2"/>
    </row>
    <row r="20" spans="1:35" x14ac:dyDescent="0.3">
      <c r="A20" s="16" t="s">
        <v>7</v>
      </c>
      <c r="B20" s="2">
        <f>INDEX(SYCEU!$B$26:$G$35, MATCH($A20, SYCEU!$A$2:$A$11, 0), MATCH(Rural_res_calculation!$A$15, SYCEU!$B$1:$G$1, 0))</f>
        <v>0</v>
      </c>
      <c r="C20" s="2">
        <f>INDEX('2020'!$B$26:$G$35, MATCH($A20, '2020'!$A$2:$A$11, 0), MATCH(Rural_res_calculation!$A$15, '2020'!$B$1:$G$1, 0))</f>
        <v>0</v>
      </c>
      <c r="D20" s="2">
        <f>INDEX('2021'!$B$26:$G$35, MATCH($A20, '2021'!$A$2:$A$11, 0), MATCH(Rural_res_calculation!$A$15, '2021'!$B$1:$G$1, 0))</f>
        <v>0</v>
      </c>
      <c r="E20" s="2">
        <f>MAX(0, D20*(1+Forecast!$B7))</f>
        <v>0</v>
      </c>
      <c r="F20" s="2">
        <f>MAX(0, E20*(1+Forecast!$B7))</f>
        <v>0</v>
      </c>
      <c r="G20" s="2">
        <f>MAX(0, F20*(1+Forecast!$B7))</f>
        <v>0</v>
      </c>
      <c r="H20" s="2">
        <f>MAX(0, G20*(1+Forecast!$B7))</f>
        <v>0</v>
      </c>
      <c r="I20" s="2">
        <f>MAX(0, H20*(1+Forecast!$B7))</f>
        <v>0</v>
      </c>
      <c r="J20" s="2">
        <f>MAX(0, I20*(1+Forecast!$B7))</f>
        <v>0</v>
      </c>
      <c r="K20" s="2">
        <f>MAX(0, J20*(1+Forecast!$B7))</f>
        <v>0</v>
      </c>
      <c r="L20" s="2">
        <f>MAX(0, K20*(1+Forecast!$B7))</f>
        <v>0</v>
      </c>
      <c r="M20" s="2">
        <f>MAX(0, L20*(1+Forecast!$B7))</f>
        <v>0</v>
      </c>
      <c r="N20" s="2">
        <f>MAX(0, M20*(1+Forecast!$B7))</f>
        <v>0</v>
      </c>
      <c r="O20" s="2">
        <f>MAX(0, N20*(1+Forecast!$B7))</f>
        <v>0</v>
      </c>
      <c r="P20" s="2">
        <f>MAX(0, O20*(1+Forecast!$B7))</f>
        <v>0</v>
      </c>
      <c r="Q20" s="2">
        <f>MAX(0, P20*(1+Forecast!$B7))</f>
        <v>0</v>
      </c>
      <c r="R20" s="2">
        <f>MAX(0, Q20*(1+Forecast!$B7))</f>
        <v>0</v>
      </c>
      <c r="S20" s="2">
        <f>MAX(0, R20*(1+Forecast!$B7))</f>
        <v>0</v>
      </c>
      <c r="T20" s="2">
        <f>MAX(0, S20*(1+Forecast!$B7))</f>
        <v>0</v>
      </c>
      <c r="U20" s="2">
        <f>MAX(0, T20*(1+Forecast!$B7))</f>
        <v>0</v>
      </c>
      <c r="V20" s="2">
        <f>MAX(0, U20*(1+Forecast!$B7))</f>
        <v>0</v>
      </c>
      <c r="W20" s="2">
        <f>MAX(0, V20*(1+Forecast!$B7))</f>
        <v>0</v>
      </c>
      <c r="X20" s="2">
        <f>MAX(0, W20*(1+Forecast!$B7))</f>
        <v>0</v>
      </c>
      <c r="Y20" s="2">
        <f>MAX(0, X20*(1+Forecast!$B7))</f>
        <v>0</v>
      </c>
      <c r="Z20" s="2">
        <f>MAX(0, Y20*(1+Forecast!$B7))</f>
        <v>0</v>
      </c>
      <c r="AA20" s="2">
        <f>MAX(0, Z20*(1+Forecast!$B7))</f>
        <v>0</v>
      </c>
      <c r="AB20" s="2">
        <f>MAX(0, AA20*(1+Forecast!$B7))</f>
        <v>0</v>
      </c>
      <c r="AC20" s="2">
        <f>MAX(0, AB20*(1+Forecast!$B7))</f>
        <v>0</v>
      </c>
      <c r="AD20" s="2">
        <f>MAX(0, AC20*(1+Forecast!$B7))</f>
        <v>0</v>
      </c>
      <c r="AE20" s="2">
        <f>MAX(0, AD20*(1+Forecast!$B7))</f>
        <v>0</v>
      </c>
      <c r="AF20" s="2">
        <f>MAX(0, AE20*(1+Forecast!$B7))</f>
        <v>0</v>
      </c>
      <c r="AG20" s="2">
        <f>MAX(0, AF20*(1+Forecast!$B7))</f>
        <v>0</v>
      </c>
      <c r="AH20" s="2"/>
      <c r="AI20" s="2"/>
    </row>
    <row r="21" spans="1:35" x14ac:dyDescent="0.3">
      <c r="A21" s="16" t="s">
        <v>11</v>
      </c>
      <c r="B21" s="2">
        <f>INDEX(SYCEU!$B$26:$G$35, MATCH($A21, SYCEU!$A$2:$A$11, 0), MATCH(Rural_res_calculation!$A$15, SYCEU!$B$1:$G$1, 0))</f>
        <v>0</v>
      </c>
      <c r="C21" s="2">
        <f>INDEX('2020'!$B$26:$G$35, MATCH($A21, '2020'!$A$2:$A$11, 0), MATCH(Rural_res_calculation!$A$15, '2020'!$B$1:$G$1, 0))</f>
        <v>0</v>
      </c>
      <c r="D21" s="2">
        <f>INDEX('2021'!$B$26:$G$35, MATCH($A21, '2021'!$A$2:$A$11, 0), MATCH(Rural_res_calculation!$A$15, '2021'!$B$1:$G$1, 0))</f>
        <v>0</v>
      </c>
      <c r="E21" s="2">
        <f>MAX(0, D21*(1+Forecast!$B8))</f>
        <v>0</v>
      </c>
      <c r="F21" s="2">
        <f>MAX(0, E21*(1+Forecast!$B8))</f>
        <v>0</v>
      </c>
      <c r="G21" s="2">
        <f>MAX(0, F21*(1+Forecast!$B8))</f>
        <v>0</v>
      </c>
      <c r="H21" s="2">
        <f>MAX(0, G21*(1+Forecast!$B8))</f>
        <v>0</v>
      </c>
      <c r="I21" s="2">
        <f>MAX(0, H21*(1+Forecast!$B8))</f>
        <v>0</v>
      </c>
      <c r="J21" s="2">
        <f>MAX(0, I21*(1+Forecast!$B8))</f>
        <v>0</v>
      </c>
      <c r="K21" s="2">
        <f>MAX(0, J21*(1+Forecast!$B8))</f>
        <v>0</v>
      </c>
      <c r="L21" s="2">
        <f>MAX(0, K21*(1+Forecast!$B8))</f>
        <v>0</v>
      </c>
      <c r="M21" s="2">
        <f>MAX(0, L21*(1+Forecast!$B8))</f>
        <v>0</v>
      </c>
      <c r="N21" s="2">
        <f>MAX(0, M21*(1+Forecast!$B8))</f>
        <v>0</v>
      </c>
      <c r="O21" s="2">
        <f>MAX(0, N21*(1+Forecast!$B8))</f>
        <v>0</v>
      </c>
      <c r="P21" s="2">
        <f>MAX(0, O21*(1+Forecast!$B8))</f>
        <v>0</v>
      </c>
      <c r="Q21" s="2">
        <f>MAX(0, P21*(1+Forecast!$B8))</f>
        <v>0</v>
      </c>
      <c r="R21" s="2">
        <f>MAX(0, Q21*(1+Forecast!$B8))</f>
        <v>0</v>
      </c>
      <c r="S21" s="2">
        <f>MAX(0, R21*(1+Forecast!$B8))</f>
        <v>0</v>
      </c>
      <c r="T21" s="2">
        <f>MAX(0, S21*(1+Forecast!$B8))</f>
        <v>0</v>
      </c>
      <c r="U21" s="2">
        <f>MAX(0, T21*(1+Forecast!$B8))</f>
        <v>0</v>
      </c>
      <c r="V21" s="2">
        <f>MAX(0, U21*(1+Forecast!$B8))</f>
        <v>0</v>
      </c>
      <c r="W21" s="2">
        <f>MAX(0, V21*(1+Forecast!$B8))</f>
        <v>0</v>
      </c>
      <c r="X21" s="2">
        <f>MAX(0, W21*(1+Forecast!$B8))</f>
        <v>0</v>
      </c>
      <c r="Y21" s="2">
        <f>MAX(0, X21*(1+Forecast!$B8))</f>
        <v>0</v>
      </c>
      <c r="Z21" s="2">
        <f>MAX(0, Y21*(1+Forecast!$B8))</f>
        <v>0</v>
      </c>
      <c r="AA21" s="2">
        <f>MAX(0, Z21*(1+Forecast!$B8))</f>
        <v>0</v>
      </c>
      <c r="AB21" s="2">
        <f>MAX(0, AA21*(1+Forecast!$B8))</f>
        <v>0</v>
      </c>
      <c r="AC21" s="2">
        <f>MAX(0, AB21*(1+Forecast!$B8))</f>
        <v>0</v>
      </c>
      <c r="AD21" s="2">
        <f>MAX(0, AC21*(1+Forecast!$B8))</f>
        <v>0</v>
      </c>
      <c r="AE21" s="2">
        <f>MAX(0, AD21*(1+Forecast!$B8))</f>
        <v>0</v>
      </c>
      <c r="AF21" s="2">
        <f>MAX(0, AE21*(1+Forecast!$B8))</f>
        <v>0</v>
      </c>
      <c r="AG21" s="2">
        <f>MAX(0, AF21*(1+Forecast!$B8))</f>
        <v>0</v>
      </c>
      <c r="AH21" s="2"/>
      <c r="AI21" s="2"/>
    </row>
    <row r="22" spans="1:35" x14ac:dyDescent="0.3">
      <c r="A22" s="16" t="s">
        <v>13</v>
      </c>
      <c r="B22" s="2">
        <f>INDEX(SYCEU!$B$26:$G$35, MATCH($A22, SYCEU!$A$2:$A$11, 0), MATCH(Rural_res_calculation!$A$15, SYCEU!$B$1:$G$1, 0))</f>
        <v>0</v>
      </c>
      <c r="C22" s="2">
        <f>INDEX('2020'!$B$26:$G$35, MATCH($A22, '2020'!$A$2:$A$11, 0), MATCH(Rural_res_calculation!$A$15, '2020'!$B$1:$G$1, 0))</f>
        <v>0</v>
      </c>
      <c r="D22" s="2">
        <f>INDEX('2021'!$B$26:$G$35, MATCH($A22, '2021'!$A$2:$A$11, 0), MATCH(Rural_res_calculation!$A$15, '2021'!$B$1:$G$1, 0))</f>
        <v>0</v>
      </c>
      <c r="E22" s="2">
        <f>MAX(0, D22*(1+Forecast!$B9))</f>
        <v>0</v>
      </c>
      <c r="F22" s="2">
        <f>MAX(0, E22*(1+Forecast!$B9))</f>
        <v>0</v>
      </c>
      <c r="G22" s="2">
        <f>MAX(0, F22*(1+Forecast!$B9))</f>
        <v>0</v>
      </c>
      <c r="H22" s="2">
        <f>MAX(0, G22*(1+Forecast!$B9))</f>
        <v>0</v>
      </c>
      <c r="I22" s="2">
        <f>MAX(0, H22*(1+Forecast!$B9))</f>
        <v>0</v>
      </c>
      <c r="J22" s="2">
        <f>MAX(0, I22*(1+Forecast!$B9))</f>
        <v>0</v>
      </c>
      <c r="K22" s="2">
        <f>MAX(0, J22*(1+Forecast!$B9))</f>
        <v>0</v>
      </c>
      <c r="L22" s="2">
        <f>MAX(0, K22*(1+Forecast!$B9))</f>
        <v>0</v>
      </c>
      <c r="M22" s="2">
        <f>MAX(0, L22*(1+Forecast!$B9))</f>
        <v>0</v>
      </c>
      <c r="N22" s="2">
        <f>MAX(0, M22*(1+Forecast!$B9))</f>
        <v>0</v>
      </c>
      <c r="O22" s="2">
        <f>MAX(0, N22*(1+Forecast!$B9))</f>
        <v>0</v>
      </c>
      <c r="P22" s="2">
        <f>MAX(0, O22*(1+Forecast!$B9))</f>
        <v>0</v>
      </c>
      <c r="Q22" s="2">
        <f>MAX(0, P22*(1+Forecast!$B9))</f>
        <v>0</v>
      </c>
      <c r="R22" s="2">
        <f>MAX(0, Q22*(1+Forecast!$B9))</f>
        <v>0</v>
      </c>
      <c r="S22" s="2">
        <f>MAX(0, R22*(1+Forecast!$B9))</f>
        <v>0</v>
      </c>
      <c r="T22" s="2">
        <f>MAX(0, S22*(1+Forecast!$B9))</f>
        <v>0</v>
      </c>
      <c r="U22" s="2">
        <f>MAX(0, T22*(1+Forecast!$B9))</f>
        <v>0</v>
      </c>
      <c r="V22" s="2">
        <f>MAX(0, U22*(1+Forecast!$B9))</f>
        <v>0</v>
      </c>
      <c r="W22" s="2">
        <f>MAX(0, V22*(1+Forecast!$B9))</f>
        <v>0</v>
      </c>
      <c r="X22" s="2">
        <f>MAX(0, W22*(1+Forecast!$B9))</f>
        <v>0</v>
      </c>
      <c r="Y22" s="2">
        <f>MAX(0, X22*(1+Forecast!$B9))</f>
        <v>0</v>
      </c>
      <c r="Z22" s="2">
        <f>MAX(0, Y22*(1+Forecast!$B9))</f>
        <v>0</v>
      </c>
      <c r="AA22" s="2">
        <f>MAX(0, Z22*(1+Forecast!$B9))</f>
        <v>0</v>
      </c>
      <c r="AB22" s="2">
        <f>MAX(0, AA22*(1+Forecast!$B9))</f>
        <v>0</v>
      </c>
      <c r="AC22" s="2">
        <f>MAX(0, AB22*(1+Forecast!$B9))</f>
        <v>0</v>
      </c>
      <c r="AD22" s="2">
        <f>MAX(0, AC22*(1+Forecast!$B9))</f>
        <v>0</v>
      </c>
      <c r="AE22" s="2">
        <f>MAX(0, AD22*(1+Forecast!$B9))</f>
        <v>0</v>
      </c>
      <c r="AF22" s="2">
        <f>MAX(0, AE22*(1+Forecast!$B9))</f>
        <v>0</v>
      </c>
      <c r="AG22" s="2">
        <f>MAX(0, AF22*(1+Forecast!$B9))</f>
        <v>0</v>
      </c>
      <c r="AH22" s="2"/>
      <c r="AI22" s="2"/>
    </row>
    <row r="23" spans="1:35" x14ac:dyDescent="0.3">
      <c r="A23" s="16" t="s">
        <v>14</v>
      </c>
      <c r="B23" s="2">
        <f>INDEX(SYCEU!$B$26:$G$35, MATCH($A23, SYCEU!$A$2:$A$11, 0), MATCH(Rural_res_calculation!$A$15, SYCEU!$B$1:$G$1, 0))</f>
        <v>0</v>
      </c>
      <c r="C23" s="2">
        <f>INDEX('2020'!$B$26:$G$35, MATCH($A23, '2020'!$A$2:$A$11, 0), MATCH(Rural_res_calculation!$A$15, '2020'!$B$1:$G$1, 0))</f>
        <v>0</v>
      </c>
      <c r="D23" s="2">
        <f>INDEX('2021'!$B$26:$G$35, MATCH($A23, '2021'!$A$2:$A$11, 0), MATCH(Rural_res_calculation!$A$15, '2021'!$B$1:$G$1, 0))</f>
        <v>0</v>
      </c>
      <c r="E23" s="2">
        <f>MAX(0, D23*(1+Forecast!$B10))</f>
        <v>0</v>
      </c>
      <c r="F23" s="2">
        <f>MAX(0, E23*(1+Forecast!$B10))</f>
        <v>0</v>
      </c>
      <c r="G23" s="2">
        <f>MAX(0, F23*(1+Forecast!$B10))</f>
        <v>0</v>
      </c>
      <c r="H23" s="2">
        <f>MAX(0, G23*(1+Forecast!$B10))</f>
        <v>0</v>
      </c>
      <c r="I23" s="2">
        <f>MAX(0, H23*(1+Forecast!$B10))</f>
        <v>0</v>
      </c>
      <c r="J23" s="2">
        <f>MAX(0, I23*(1+Forecast!$B10))</f>
        <v>0</v>
      </c>
      <c r="K23" s="2">
        <f>MAX(0, J23*(1+Forecast!$B10))</f>
        <v>0</v>
      </c>
      <c r="L23" s="2">
        <f>MAX(0, K23*(1+Forecast!$B10))</f>
        <v>0</v>
      </c>
      <c r="M23" s="2">
        <f>MAX(0, L23*(1+Forecast!$B10))</f>
        <v>0</v>
      </c>
      <c r="N23" s="2">
        <f>MAX(0, M23*(1+Forecast!$B10))</f>
        <v>0</v>
      </c>
      <c r="O23" s="2">
        <f>MAX(0, N23*(1+Forecast!$B10))</f>
        <v>0</v>
      </c>
      <c r="P23" s="2">
        <f>MAX(0, O23*(1+Forecast!$B10))</f>
        <v>0</v>
      </c>
      <c r="Q23" s="2">
        <f>MAX(0, P23*(1+Forecast!$B10))</f>
        <v>0</v>
      </c>
      <c r="R23" s="2">
        <f>MAX(0, Q23*(1+Forecast!$B10))</f>
        <v>0</v>
      </c>
      <c r="S23" s="2">
        <f>MAX(0, R23*(1+Forecast!$B10))</f>
        <v>0</v>
      </c>
      <c r="T23" s="2">
        <f>MAX(0, S23*(1+Forecast!$B10))</f>
        <v>0</v>
      </c>
      <c r="U23" s="2">
        <f>MAX(0, T23*(1+Forecast!$B10))</f>
        <v>0</v>
      </c>
      <c r="V23" s="2">
        <f>MAX(0, U23*(1+Forecast!$B10))</f>
        <v>0</v>
      </c>
      <c r="W23" s="2">
        <f>MAX(0, V23*(1+Forecast!$B10))</f>
        <v>0</v>
      </c>
      <c r="X23" s="2">
        <f>MAX(0, W23*(1+Forecast!$B10))</f>
        <v>0</v>
      </c>
      <c r="Y23" s="2">
        <f>MAX(0, X23*(1+Forecast!$B10))</f>
        <v>0</v>
      </c>
      <c r="Z23" s="2">
        <f>MAX(0, Y23*(1+Forecast!$B10))</f>
        <v>0</v>
      </c>
      <c r="AA23" s="2">
        <f>MAX(0, Z23*(1+Forecast!$B10))</f>
        <v>0</v>
      </c>
      <c r="AB23" s="2">
        <f>MAX(0, AA23*(1+Forecast!$B10))</f>
        <v>0</v>
      </c>
      <c r="AC23" s="2">
        <f>MAX(0, AB23*(1+Forecast!$B10))</f>
        <v>0</v>
      </c>
      <c r="AD23" s="2">
        <f>MAX(0, AC23*(1+Forecast!$B10))</f>
        <v>0</v>
      </c>
      <c r="AE23" s="2">
        <f>MAX(0, AD23*(1+Forecast!$B10))</f>
        <v>0</v>
      </c>
      <c r="AF23" s="2">
        <f>MAX(0, AE23*(1+Forecast!$B10))</f>
        <v>0</v>
      </c>
      <c r="AG23" s="2">
        <f>MAX(0, AF23*(1+Forecast!$B10))</f>
        <v>0</v>
      </c>
      <c r="AH23" s="2"/>
      <c r="AI23" s="2"/>
    </row>
    <row r="24" spans="1:35" x14ac:dyDescent="0.3">
      <c r="A24" s="16" t="s">
        <v>15</v>
      </c>
      <c r="B24" s="2">
        <f>INDEX(SYCEU!$B$26:$G$35, MATCH($A24, SYCEU!$A$2:$A$11, 0), MATCH(Rural_res_calculation!$A$15, SYCEU!$B$1:$G$1, 0))</f>
        <v>0</v>
      </c>
      <c r="C24" s="2">
        <f>INDEX('2020'!$B$26:$G$35, MATCH($A24, '2020'!$A$2:$A$11, 0), MATCH(Rural_res_calculation!$A$15, '2020'!$B$1:$G$1, 0))</f>
        <v>0</v>
      </c>
      <c r="D24" s="2">
        <f>INDEX('2021'!$B$26:$G$35, MATCH($A24, '2021'!$A$2:$A$11, 0), MATCH(Rural_res_calculation!$A$15, '2021'!$B$1:$G$1, 0))</f>
        <v>0</v>
      </c>
      <c r="E24" s="2">
        <f>MAX(0, D24*(1+Forecast!$B11))</f>
        <v>0</v>
      </c>
      <c r="F24" s="2">
        <f>MAX(0, E24*(1+Forecast!$B11))</f>
        <v>0</v>
      </c>
      <c r="G24" s="2">
        <f>MAX(0, F24*(1+Forecast!$B11))</f>
        <v>0</v>
      </c>
      <c r="H24" s="2">
        <f>MAX(0, G24*(1+Forecast!$B11))</f>
        <v>0</v>
      </c>
      <c r="I24" s="2">
        <f>MAX(0, H24*(1+Forecast!$B11))</f>
        <v>0</v>
      </c>
      <c r="J24" s="2">
        <f>MAX(0, I24*(1+Forecast!$B11))</f>
        <v>0</v>
      </c>
      <c r="K24" s="2">
        <f>MAX(0, J24*(1+Forecast!$B11))</f>
        <v>0</v>
      </c>
      <c r="L24" s="2">
        <f>MAX(0, K24*(1+Forecast!$B11))</f>
        <v>0</v>
      </c>
      <c r="M24" s="2">
        <f>MAX(0, L24*(1+Forecast!$B11))</f>
        <v>0</v>
      </c>
      <c r="N24" s="2">
        <f>MAX(0, M24*(1+Forecast!$B11))</f>
        <v>0</v>
      </c>
      <c r="O24" s="2">
        <f>MAX(0, N24*(1+Forecast!$B11))</f>
        <v>0</v>
      </c>
      <c r="P24" s="2">
        <f>MAX(0, O24*(1+Forecast!$B11))</f>
        <v>0</v>
      </c>
      <c r="Q24" s="2">
        <f>MAX(0, P24*(1+Forecast!$B11))</f>
        <v>0</v>
      </c>
      <c r="R24" s="2">
        <f>MAX(0, Q24*(1+Forecast!$B11))</f>
        <v>0</v>
      </c>
      <c r="S24" s="2">
        <f>MAX(0, R24*(1+Forecast!$B11))</f>
        <v>0</v>
      </c>
      <c r="T24" s="2">
        <f>MAX(0, S24*(1+Forecast!$B11))</f>
        <v>0</v>
      </c>
      <c r="U24" s="2">
        <f>MAX(0, T24*(1+Forecast!$B11))</f>
        <v>0</v>
      </c>
      <c r="V24" s="2">
        <f>MAX(0, U24*(1+Forecast!$B11))</f>
        <v>0</v>
      </c>
      <c r="W24" s="2">
        <f>MAX(0, V24*(1+Forecast!$B11))</f>
        <v>0</v>
      </c>
      <c r="X24" s="2">
        <f>MAX(0, W24*(1+Forecast!$B11))</f>
        <v>0</v>
      </c>
      <c r="Y24" s="2">
        <f>MAX(0, X24*(1+Forecast!$B11))</f>
        <v>0</v>
      </c>
      <c r="Z24" s="2">
        <f>MAX(0, Y24*(1+Forecast!$B11))</f>
        <v>0</v>
      </c>
      <c r="AA24" s="2">
        <f>MAX(0, Z24*(1+Forecast!$B11))</f>
        <v>0</v>
      </c>
      <c r="AB24" s="2">
        <f>MAX(0, AA24*(1+Forecast!$B11))</f>
        <v>0</v>
      </c>
      <c r="AC24" s="2">
        <f>MAX(0, AB24*(1+Forecast!$B11))</f>
        <v>0</v>
      </c>
      <c r="AD24" s="2">
        <f>MAX(0, AC24*(1+Forecast!$B11))</f>
        <v>0</v>
      </c>
      <c r="AE24" s="2">
        <f>MAX(0, AD24*(1+Forecast!$B11))</f>
        <v>0</v>
      </c>
      <c r="AF24" s="2">
        <f>MAX(0, AE24*(1+Forecast!$B11))</f>
        <v>0</v>
      </c>
      <c r="AG24" s="2">
        <f>MAX(0, AF24*(1+Forecast!$B11))</f>
        <v>0</v>
      </c>
      <c r="AH24" s="2"/>
      <c r="AI24" s="2"/>
    </row>
    <row r="25" spans="1:35" x14ac:dyDescent="0.3">
      <c r="A25" s="16" t="s">
        <v>16</v>
      </c>
      <c r="B25" s="2">
        <f>INDEX(SYCEU!$B$26:$G$35, MATCH($A25, SYCEU!$A$2:$A$11, 0), MATCH(Rural_res_calculation!$A$15, SYCEU!$B$1:$G$1, 0))</f>
        <v>0</v>
      </c>
      <c r="C25" s="2">
        <f>INDEX('2020'!$B$26:$G$35, MATCH($A25, '2020'!$A$2:$A$11, 0), MATCH(Rural_res_calculation!$A$15, '2020'!$B$1:$G$1, 0))</f>
        <v>0</v>
      </c>
      <c r="D25" s="2">
        <f>INDEX('2021'!$B$26:$G$35, MATCH($A25, '2021'!$A$2:$A$11, 0), MATCH(Rural_res_calculation!$A$15, '2021'!$B$1:$G$1, 0))</f>
        <v>0</v>
      </c>
      <c r="E25" s="2">
        <f>MAX(0, D25*(1+Forecast!$B12))</f>
        <v>0</v>
      </c>
      <c r="F25" s="2">
        <f>MAX(0, E25*(1+Forecast!$B12))</f>
        <v>0</v>
      </c>
      <c r="G25" s="2">
        <f>MAX(0, F25*(1+Forecast!$B12))</f>
        <v>0</v>
      </c>
      <c r="H25" s="2">
        <f>MAX(0, G25*(1+Forecast!$B12))</f>
        <v>0</v>
      </c>
      <c r="I25" s="2">
        <f>MAX(0, H25*(1+Forecast!$B12))</f>
        <v>0</v>
      </c>
      <c r="J25" s="2">
        <f>MAX(0, I25*(1+Forecast!$B12))</f>
        <v>0</v>
      </c>
      <c r="K25" s="2">
        <f>MAX(0, J25*(1+Forecast!$B12))</f>
        <v>0</v>
      </c>
      <c r="L25" s="2">
        <f>MAX(0, K25*(1+Forecast!$B12))</f>
        <v>0</v>
      </c>
      <c r="M25" s="2">
        <f>MAX(0, L25*(1+Forecast!$B12))</f>
        <v>0</v>
      </c>
      <c r="N25" s="2">
        <f>MAX(0, M25*(1+Forecast!$B12))</f>
        <v>0</v>
      </c>
      <c r="O25" s="2">
        <f>MAX(0, N25*(1+Forecast!$B12))</f>
        <v>0</v>
      </c>
      <c r="P25" s="2">
        <f>MAX(0, O25*(1+Forecast!$B12))</f>
        <v>0</v>
      </c>
      <c r="Q25" s="2">
        <f>MAX(0, P25*(1+Forecast!$B12))</f>
        <v>0</v>
      </c>
      <c r="R25" s="2">
        <f>MAX(0, Q25*(1+Forecast!$B12))</f>
        <v>0</v>
      </c>
      <c r="S25" s="2">
        <f>MAX(0, R25*(1+Forecast!$B12))</f>
        <v>0</v>
      </c>
      <c r="T25" s="2">
        <f>MAX(0, S25*(1+Forecast!$B12))</f>
        <v>0</v>
      </c>
      <c r="U25" s="2">
        <f>MAX(0, T25*(1+Forecast!$B12))</f>
        <v>0</v>
      </c>
      <c r="V25" s="2">
        <f>MAX(0, U25*(1+Forecast!$B12))</f>
        <v>0</v>
      </c>
      <c r="W25" s="2">
        <f>MAX(0, V25*(1+Forecast!$B12))</f>
        <v>0</v>
      </c>
      <c r="X25" s="2">
        <f>MAX(0, W25*(1+Forecast!$B12))</f>
        <v>0</v>
      </c>
      <c r="Y25" s="2">
        <f>MAX(0, X25*(1+Forecast!$B12))</f>
        <v>0</v>
      </c>
      <c r="Z25" s="2">
        <f>MAX(0, Y25*(1+Forecast!$B12))</f>
        <v>0</v>
      </c>
      <c r="AA25" s="2">
        <f>MAX(0, Z25*(1+Forecast!$B12))</f>
        <v>0</v>
      </c>
      <c r="AB25" s="2">
        <f>MAX(0, AA25*(1+Forecast!$B12))</f>
        <v>0</v>
      </c>
      <c r="AC25" s="2">
        <f>MAX(0, AB25*(1+Forecast!$B12))</f>
        <v>0</v>
      </c>
      <c r="AD25" s="2">
        <f>MAX(0, AC25*(1+Forecast!$B12))</f>
        <v>0</v>
      </c>
      <c r="AE25" s="2">
        <f>MAX(0, AD25*(1+Forecast!$B12))</f>
        <v>0</v>
      </c>
      <c r="AF25" s="2">
        <f>MAX(0, AE25*(1+Forecast!$B12))</f>
        <v>0</v>
      </c>
      <c r="AG25" s="2">
        <f>MAX(0, AF25*(1+Forecast!$B12))</f>
        <v>0</v>
      </c>
      <c r="AH25" s="2"/>
      <c r="AI25" s="2"/>
    </row>
    <row r="27" spans="1:35" x14ac:dyDescent="0.3">
      <c r="A27" s="16" t="s">
        <v>39</v>
      </c>
      <c r="B27" s="1">
        <v>2019</v>
      </c>
      <c r="C27" s="1">
        <v>2020</v>
      </c>
      <c r="D27" s="1">
        <v>2021</v>
      </c>
      <c r="E27" s="1">
        <v>2022</v>
      </c>
      <c r="F27" s="1">
        <v>2023</v>
      </c>
      <c r="G27" s="1">
        <v>2024</v>
      </c>
      <c r="H27" s="1">
        <v>2025</v>
      </c>
      <c r="I27" s="1">
        <v>2026</v>
      </c>
      <c r="J27" s="1">
        <v>2027</v>
      </c>
      <c r="K27" s="1">
        <v>2028</v>
      </c>
      <c r="L27" s="1">
        <v>2029</v>
      </c>
      <c r="M27" s="1">
        <v>2030</v>
      </c>
      <c r="N27" s="1">
        <v>2031</v>
      </c>
      <c r="O27" s="1">
        <v>2032</v>
      </c>
      <c r="P27" s="1">
        <v>2033</v>
      </c>
      <c r="Q27" s="1">
        <v>2034</v>
      </c>
      <c r="R27" s="1">
        <v>2035</v>
      </c>
      <c r="S27" s="1">
        <v>2036</v>
      </c>
      <c r="T27" s="1">
        <v>2037</v>
      </c>
      <c r="U27" s="1">
        <v>2038</v>
      </c>
      <c r="V27" s="1">
        <v>2039</v>
      </c>
      <c r="W27" s="1">
        <v>2040</v>
      </c>
      <c r="X27" s="1">
        <v>2041</v>
      </c>
      <c r="Y27" s="1">
        <v>2042</v>
      </c>
      <c r="Z27" s="1">
        <v>2043</v>
      </c>
      <c r="AA27" s="1">
        <v>2044</v>
      </c>
      <c r="AB27" s="1">
        <v>2045</v>
      </c>
      <c r="AC27" s="1">
        <v>2046</v>
      </c>
      <c r="AD27" s="1">
        <v>2047</v>
      </c>
      <c r="AE27" s="1">
        <v>2048</v>
      </c>
      <c r="AF27" s="1">
        <v>2049</v>
      </c>
      <c r="AG27" s="1">
        <v>2050</v>
      </c>
      <c r="AH27" s="1"/>
      <c r="AI27" s="1"/>
    </row>
    <row r="28" spans="1:35" x14ac:dyDescent="0.3">
      <c r="A28" s="16" t="s">
        <v>2</v>
      </c>
      <c r="B28" s="2">
        <f>INDEX(SYCEU!$B$26:$G$35, MATCH($A28, SYCEU!$A$2:$A$11, 0), MATCH(Rural_res_calculation!$A$27, SYCEU!$B$1:$G$1, 0))</f>
        <v>0</v>
      </c>
      <c r="C28" s="2">
        <f>INDEX('2020'!$B$26:$G$35, MATCH($A28, '2020'!$A$2:$A$11, 0), MATCH(Rural_res_calculation!$A$27, '2020'!$B$1:$G$1, 0))</f>
        <v>0</v>
      </c>
      <c r="D28" s="2">
        <f>INDEX('2021'!$B$26:$G$35, MATCH($A28, '2021'!$A$2:$A$11, 0), MATCH(Rural_res_calculation!$A$27, '2021'!$B$1:$G$1, 0))</f>
        <v>0</v>
      </c>
      <c r="E28" s="2">
        <f>MAX(0, D28*(1+Forecast!$B3))</f>
        <v>0</v>
      </c>
      <c r="F28" s="2">
        <f>MAX(0, E28*(1+Forecast!$B3))</f>
        <v>0</v>
      </c>
      <c r="G28" s="2">
        <f>MAX(0, F28*(1+Forecast!$B3))</f>
        <v>0</v>
      </c>
      <c r="H28" s="2">
        <f>MAX(0, G28*(1+Forecast!$B3))</f>
        <v>0</v>
      </c>
      <c r="I28" s="2">
        <f>MAX(0, H28*(1+Forecast!$B3))</f>
        <v>0</v>
      </c>
      <c r="J28" s="2">
        <f>MAX(0, I28*(1+Forecast!$B3))</f>
        <v>0</v>
      </c>
      <c r="K28" s="2">
        <f>MAX(0, J28*(1+Forecast!$B3))</f>
        <v>0</v>
      </c>
      <c r="L28" s="2">
        <f>MAX(0, K28*(1+Forecast!$B3))</f>
        <v>0</v>
      </c>
      <c r="M28" s="2">
        <f>MAX(0, L28*(1+Forecast!$B3))</f>
        <v>0</v>
      </c>
      <c r="N28" s="2">
        <f>MAX(0, M28*(1+Forecast!$B3))</f>
        <v>0</v>
      </c>
      <c r="O28" s="2">
        <f>MAX(0, N28*(1+Forecast!$B3))</f>
        <v>0</v>
      </c>
      <c r="P28" s="2">
        <f>MAX(0, O28*(1+Forecast!$B3))</f>
        <v>0</v>
      </c>
      <c r="Q28" s="2">
        <f>MAX(0, P28*(1+Forecast!$B3))</f>
        <v>0</v>
      </c>
      <c r="R28" s="2">
        <f>MAX(0, Q28*(1+Forecast!$B3))</f>
        <v>0</v>
      </c>
      <c r="S28" s="2">
        <f>MAX(0, R28*(1+Forecast!$B3))</f>
        <v>0</v>
      </c>
      <c r="T28" s="2">
        <f>MAX(0, S28*(1+Forecast!$B3))</f>
        <v>0</v>
      </c>
      <c r="U28" s="2">
        <f>MAX(0, T28*(1+Forecast!$B3))</f>
        <v>0</v>
      </c>
      <c r="V28" s="2">
        <f>MAX(0, U28*(1+Forecast!$B3))</f>
        <v>0</v>
      </c>
      <c r="W28" s="2">
        <f>MAX(0, V28*(1+Forecast!$B3))</f>
        <v>0</v>
      </c>
      <c r="X28" s="2">
        <f>MAX(0, W28*(1+Forecast!$B3))</f>
        <v>0</v>
      </c>
      <c r="Y28" s="2">
        <f>MAX(0, X28*(1+Forecast!$B3))</f>
        <v>0</v>
      </c>
      <c r="Z28" s="2">
        <f>MAX(0, Y28*(1+Forecast!$B3))</f>
        <v>0</v>
      </c>
      <c r="AA28" s="2">
        <f>MAX(0, Z28*(1+Forecast!$B3))</f>
        <v>0</v>
      </c>
      <c r="AB28" s="2">
        <f>MAX(0, AA28*(1+Forecast!$B3))</f>
        <v>0</v>
      </c>
      <c r="AC28" s="2">
        <f>MAX(0, AB28*(1+Forecast!$B3))</f>
        <v>0</v>
      </c>
      <c r="AD28" s="2">
        <f>MAX(0, AC28*(1+Forecast!$B3))</f>
        <v>0</v>
      </c>
      <c r="AE28" s="2">
        <f>MAX(0, AD28*(1+Forecast!$B3))</f>
        <v>0</v>
      </c>
      <c r="AF28" s="2">
        <f>MAX(0, AE28*(1+Forecast!$B3))</f>
        <v>0</v>
      </c>
      <c r="AG28" s="2">
        <f>MAX(0, AF28*(1+Forecast!$B3))</f>
        <v>0</v>
      </c>
      <c r="AH28" s="2"/>
      <c r="AI28" s="2"/>
    </row>
    <row r="29" spans="1:35" x14ac:dyDescent="0.3">
      <c r="A29" s="16" t="s">
        <v>3</v>
      </c>
      <c r="B29" s="2">
        <f>INDEX(SYCEU!$B$26:$G$35, MATCH($A29, SYCEU!$A$2:$A$11, 0), MATCH(Rural_res_calculation!$A$27, SYCEU!$B$1:$G$1, 0))</f>
        <v>0</v>
      </c>
      <c r="C29" s="2">
        <f>INDEX('2020'!$B$26:$G$35, MATCH($A29, '2020'!$A$2:$A$11, 0), MATCH(Rural_res_calculation!$A$27, '2020'!$B$1:$G$1, 0))</f>
        <v>0</v>
      </c>
      <c r="D29" s="2">
        <f>INDEX('2021'!$B$26:$G$35, MATCH($A29, '2021'!$A$2:$A$11, 0), MATCH(Rural_res_calculation!$A$27, '2021'!$B$1:$G$1, 0))</f>
        <v>0</v>
      </c>
      <c r="E29" s="2">
        <f>MAX(0, D29*(1+Forecast!$B4))</f>
        <v>0</v>
      </c>
      <c r="F29" s="2">
        <f>MAX(0, E29*(1+Forecast!$B4))</f>
        <v>0</v>
      </c>
      <c r="G29" s="2">
        <f>MAX(0, F29*(1+Forecast!$B4))</f>
        <v>0</v>
      </c>
      <c r="H29" s="2">
        <f>MAX(0, G29*(1+Forecast!$B4))</f>
        <v>0</v>
      </c>
      <c r="I29" s="2">
        <f>MAX(0, H29*(1+Forecast!$B4))</f>
        <v>0</v>
      </c>
      <c r="J29" s="2">
        <f>MAX(0, I29*(1+Forecast!$B4))</f>
        <v>0</v>
      </c>
      <c r="K29" s="2">
        <f>MAX(0, J29*(1+Forecast!$B4))</f>
        <v>0</v>
      </c>
      <c r="L29" s="2">
        <f>MAX(0, K29*(1+Forecast!$B4))</f>
        <v>0</v>
      </c>
      <c r="M29" s="2">
        <f>MAX(0, L29*(1+Forecast!$B4))</f>
        <v>0</v>
      </c>
      <c r="N29" s="2">
        <f>MAX(0, M29*(1+Forecast!$B4))</f>
        <v>0</v>
      </c>
      <c r="O29" s="2">
        <f>MAX(0, N29*(1+Forecast!$B4))</f>
        <v>0</v>
      </c>
      <c r="P29" s="2">
        <f>MAX(0, O29*(1+Forecast!$B4))</f>
        <v>0</v>
      </c>
      <c r="Q29" s="2">
        <f>MAX(0, P29*(1+Forecast!$B4))</f>
        <v>0</v>
      </c>
      <c r="R29" s="2">
        <f>MAX(0, Q29*(1+Forecast!$B4))</f>
        <v>0</v>
      </c>
      <c r="S29" s="2">
        <f>MAX(0, R29*(1+Forecast!$B4))</f>
        <v>0</v>
      </c>
      <c r="T29" s="2">
        <f>MAX(0, S29*(1+Forecast!$B4))</f>
        <v>0</v>
      </c>
      <c r="U29" s="2">
        <f>MAX(0, T29*(1+Forecast!$B4))</f>
        <v>0</v>
      </c>
      <c r="V29" s="2">
        <f>MAX(0, U29*(1+Forecast!$B4))</f>
        <v>0</v>
      </c>
      <c r="W29" s="2">
        <f>MAX(0, V29*(1+Forecast!$B4))</f>
        <v>0</v>
      </c>
      <c r="X29" s="2">
        <f>MAX(0, W29*(1+Forecast!$B4))</f>
        <v>0</v>
      </c>
      <c r="Y29" s="2">
        <f>MAX(0, X29*(1+Forecast!$B4))</f>
        <v>0</v>
      </c>
      <c r="Z29" s="2">
        <f>MAX(0, Y29*(1+Forecast!$B4))</f>
        <v>0</v>
      </c>
      <c r="AA29" s="2">
        <f>MAX(0, Z29*(1+Forecast!$B4))</f>
        <v>0</v>
      </c>
      <c r="AB29" s="2">
        <f>MAX(0, AA29*(1+Forecast!$B4))</f>
        <v>0</v>
      </c>
      <c r="AC29" s="2">
        <f>MAX(0, AB29*(1+Forecast!$B4))</f>
        <v>0</v>
      </c>
      <c r="AD29" s="2">
        <f>MAX(0, AC29*(1+Forecast!$B4))</f>
        <v>0</v>
      </c>
      <c r="AE29" s="2">
        <f>MAX(0, AD29*(1+Forecast!$B4))</f>
        <v>0</v>
      </c>
      <c r="AF29" s="2">
        <f>MAX(0, AE29*(1+Forecast!$B4))</f>
        <v>0</v>
      </c>
      <c r="AG29" s="2">
        <f>MAX(0, AF29*(1+Forecast!$B4))</f>
        <v>0</v>
      </c>
      <c r="AH29" s="2"/>
      <c r="AI29" s="2"/>
    </row>
    <row r="30" spans="1:35" x14ac:dyDescent="0.3">
      <c r="A30" s="16" t="s">
        <v>4</v>
      </c>
      <c r="B30" s="2">
        <f>INDEX(SYCEU!$B$26:$G$35, MATCH($A30, SYCEU!$A$2:$A$11, 0), MATCH(Rural_res_calculation!$A$27, SYCEU!$B$1:$G$1, 0))</f>
        <v>0</v>
      </c>
      <c r="C30" s="2">
        <f>INDEX('2020'!$B$26:$G$35, MATCH($A30, '2020'!$A$2:$A$11, 0), MATCH(Rural_res_calculation!$A$27, '2020'!$B$1:$G$1, 0))</f>
        <v>0</v>
      </c>
      <c r="D30" s="2">
        <f>INDEX('2021'!$B$26:$G$35, MATCH($A30, '2021'!$A$2:$A$11, 0), MATCH(Rural_res_calculation!$A$27, '2021'!$B$1:$G$1, 0))</f>
        <v>0</v>
      </c>
      <c r="E30" s="2">
        <f>MAX(0, D30*(1+Forecast!$B5))</f>
        <v>0</v>
      </c>
      <c r="F30" s="2">
        <f>MAX(0, E30*(1+Forecast!$B5))</f>
        <v>0</v>
      </c>
      <c r="G30" s="2">
        <f>MAX(0, F30*(1+Forecast!$B5))</f>
        <v>0</v>
      </c>
      <c r="H30" s="2">
        <f>MAX(0, G30*(1+Forecast!$B5))</f>
        <v>0</v>
      </c>
      <c r="I30" s="2">
        <f>MAX(0, H30*(1+Forecast!$B5))</f>
        <v>0</v>
      </c>
      <c r="J30" s="2">
        <f>MAX(0, I30*(1+Forecast!$B5))</f>
        <v>0</v>
      </c>
      <c r="K30" s="2">
        <f>MAX(0, J30*(1+Forecast!$B5))</f>
        <v>0</v>
      </c>
      <c r="L30" s="2">
        <f>MAX(0, K30*(1+Forecast!$B5))</f>
        <v>0</v>
      </c>
      <c r="M30" s="2">
        <f>MAX(0, L30*(1+Forecast!$B5))</f>
        <v>0</v>
      </c>
      <c r="N30" s="2">
        <f>MAX(0, M30*(1+Forecast!$B5))</f>
        <v>0</v>
      </c>
      <c r="O30" s="2">
        <f>MAX(0, N30*(1+Forecast!$B5))</f>
        <v>0</v>
      </c>
      <c r="P30" s="2">
        <f>MAX(0, O30*(1+Forecast!$B5))</f>
        <v>0</v>
      </c>
      <c r="Q30" s="2">
        <f>MAX(0, P30*(1+Forecast!$B5))</f>
        <v>0</v>
      </c>
      <c r="R30" s="2">
        <f>MAX(0, Q30*(1+Forecast!$B5))</f>
        <v>0</v>
      </c>
      <c r="S30" s="2">
        <f>MAX(0, R30*(1+Forecast!$B5))</f>
        <v>0</v>
      </c>
      <c r="T30" s="2">
        <f>MAX(0, S30*(1+Forecast!$B5))</f>
        <v>0</v>
      </c>
      <c r="U30" s="2">
        <f>MAX(0, T30*(1+Forecast!$B5))</f>
        <v>0</v>
      </c>
      <c r="V30" s="2">
        <f>MAX(0, U30*(1+Forecast!$B5))</f>
        <v>0</v>
      </c>
      <c r="W30" s="2">
        <f>MAX(0, V30*(1+Forecast!$B5))</f>
        <v>0</v>
      </c>
      <c r="X30" s="2">
        <f>MAX(0, W30*(1+Forecast!$B5))</f>
        <v>0</v>
      </c>
      <c r="Y30" s="2">
        <f>MAX(0, X30*(1+Forecast!$B5))</f>
        <v>0</v>
      </c>
      <c r="Z30" s="2">
        <f>MAX(0, Y30*(1+Forecast!$B5))</f>
        <v>0</v>
      </c>
      <c r="AA30" s="2">
        <f>MAX(0, Z30*(1+Forecast!$B5))</f>
        <v>0</v>
      </c>
      <c r="AB30" s="2">
        <f>MAX(0, AA30*(1+Forecast!$B5))</f>
        <v>0</v>
      </c>
      <c r="AC30" s="2">
        <f>MAX(0, AB30*(1+Forecast!$B5))</f>
        <v>0</v>
      </c>
      <c r="AD30" s="2">
        <f>MAX(0, AC30*(1+Forecast!$B5))</f>
        <v>0</v>
      </c>
      <c r="AE30" s="2">
        <f>MAX(0, AD30*(1+Forecast!$B5))</f>
        <v>0</v>
      </c>
      <c r="AF30" s="2">
        <f>MAX(0, AE30*(1+Forecast!$B5))</f>
        <v>0</v>
      </c>
      <c r="AG30" s="2">
        <f>MAX(0, AF30*(1+Forecast!$B5))</f>
        <v>0</v>
      </c>
      <c r="AH30" s="2"/>
      <c r="AI30" s="2"/>
    </row>
    <row r="31" spans="1:35" x14ac:dyDescent="0.3">
      <c r="A31" s="16" t="s">
        <v>5</v>
      </c>
      <c r="B31" s="2">
        <f>INDEX(SYCEU!$B$26:$G$35, MATCH($A31, SYCEU!$A$2:$A$11, 0), MATCH(Rural_res_calculation!$A$27, SYCEU!$B$1:$G$1, 0))</f>
        <v>0</v>
      </c>
      <c r="C31" s="2">
        <f>INDEX('2020'!$B$26:$G$35, MATCH($A31, '2020'!$A$2:$A$11, 0), MATCH(Rural_res_calculation!$A$27, '2020'!$B$1:$G$1, 0))</f>
        <v>0</v>
      </c>
      <c r="D31" s="2">
        <f>INDEX('2021'!$B$26:$G$35, MATCH($A31, '2021'!$A$2:$A$11, 0), MATCH(Rural_res_calculation!$A$27, '2021'!$B$1:$G$1, 0))</f>
        <v>0</v>
      </c>
      <c r="E31" s="2">
        <f>MAX(0, D31*(1+Forecast!$B6))</f>
        <v>0</v>
      </c>
      <c r="F31" s="2">
        <f>MAX(0, E31*(1+Forecast!$B6))</f>
        <v>0</v>
      </c>
      <c r="G31" s="2">
        <f>MAX(0, F31*(1+Forecast!$B6))</f>
        <v>0</v>
      </c>
      <c r="H31" s="2">
        <f>MAX(0, G31*(1+Forecast!$B6))</f>
        <v>0</v>
      </c>
      <c r="I31" s="2">
        <f>MAX(0, H31*(1+Forecast!$B6))</f>
        <v>0</v>
      </c>
      <c r="J31" s="2">
        <f>MAX(0, I31*(1+Forecast!$B6))</f>
        <v>0</v>
      </c>
      <c r="K31" s="2">
        <f>MAX(0, J31*(1+Forecast!$B6))</f>
        <v>0</v>
      </c>
      <c r="L31" s="2">
        <f>MAX(0, K31*(1+Forecast!$B6))</f>
        <v>0</v>
      </c>
      <c r="M31" s="2">
        <f>MAX(0, L31*(1+Forecast!$B6))</f>
        <v>0</v>
      </c>
      <c r="N31" s="2">
        <f>MAX(0, M31*(1+Forecast!$B6))</f>
        <v>0</v>
      </c>
      <c r="O31" s="2">
        <f>MAX(0, N31*(1+Forecast!$B6))</f>
        <v>0</v>
      </c>
      <c r="P31" s="2">
        <f>MAX(0, O31*(1+Forecast!$B6))</f>
        <v>0</v>
      </c>
      <c r="Q31" s="2">
        <f>MAX(0, P31*(1+Forecast!$B6))</f>
        <v>0</v>
      </c>
      <c r="R31" s="2">
        <f>MAX(0, Q31*(1+Forecast!$B6))</f>
        <v>0</v>
      </c>
      <c r="S31" s="2">
        <f>MAX(0, R31*(1+Forecast!$B6))</f>
        <v>0</v>
      </c>
      <c r="T31" s="2">
        <f>MAX(0, S31*(1+Forecast!$B6))</f>
        <v>0</v>
      </c>
      <c r="U31" s="2">
        <f>MAX(0, T31*(1+Forecast!$B6))</f>
        <v>0</v>
      </c>
      <c r="V31" s="2">
        <f>MAX(0, U31*(1+Forecast!$B6))</f>
        <v>0</v>
      </c>
      <c r="W31" s="2">
        <f>MAX(0, V31*(1+Forecast!$B6))</f>
        <v>0</v>
      </c>
      <c r="X31" s="2">
        <f>MAX(0, W31*(1+Forecast!$B6))</f>
        <v>0</v>
      </c>
      <c r="Y31" s="2">
        <f>MAX(0, X31*(1+Forecast!$B6))</f>
        <v>0</v>
      </c>
      <c r="Z31" s="2">
        <f>MAX(0, Y31*(1+Forecast!$B6))</f>
        <v>0</v>
      </c>
      <c r="AA31" s="2">
        <f>MAX(0, Z31*(1+Forecast!$B6))</f>
        <v>0</v>
      </c>
      <c r="AB31" s="2">
        <f>MAX(0, AA31*(1+Forecast!$B6))</f>
        <v>0</v>
      </c>
      <c r="AC31" s="2">
        <f>MAX(0, AB31*(1+Forecast!$B6))</f>
        <v>0</v>
      </c>
      <c r="AD31" s="2">
        <f>MAX(0, AC31*(1+Forecast!$B6))</f>
        <v>0</v>
      </c>
      <c r="AE31" s="2">
        <f>MAX(0, AD31*(1+Forecast!$B6))</f>
        <v>0</v>
      </c>
      <c r="AF31" s="2">
        <f>MAX(0, AE31*(1+Forecast!$B6))</f>
        <v>0</v>
      </c>
      <c r="AG31" s="2">
        <f>MAX(0, AF31*(1+Forecast!$B6))</f>
        <v>0</v>
      </c>
      <c r="AH31" s="2"/>
      <c r="AI31" s="2"/>
    </row>
    <row r="32" spans="1:35" x14ac:dyDescent="0.3">
      <c r="A32" s="16" t="s">
        <v>7</v>
      </c>
      <c r="B32" s="2">
        <f>INDEX(SYCEU!$B$26:$G$35, MATCH($A32, SYCEU!$A$2:$A$11, 0), MATCH(Rural_res_calculation!$A$27, SYCEU!$B$1:$G$1, 0))</f>
        <v>0</v>
      </c>
      <c r="C32" s="2">
        <f>INDEX('2020'!$B$26:$G$35, MATCH($A32, '2020'!$A$2:$A$11, 0), MATCH(Rural_res_calculation!$A$27, '2020'!$B$1:$G$1, 0))</f>
        <v>0</v>
      </c>
      <c r="D32" s="2">
        <f>INDEX('2021'!$B$26:$G$35, MATCH($A32, '2021'!$A$2:$A$11, 0), MATCH(Rural_res_calculation!$A$27, '2021'!$B$1:$G$1, 0))</f>
        <v>0</v>
      </c>
      <c r="E32" s="2">
        <f>MAX(0, D32*(1+Forecast!$B7))</f>
        <v>0</v>
      </c>
      <c r="F32" s="2">
        <f>MAX(0, E32*(1+Forecast!$B7))</f>
        <v>0</v>
      </c>
      <c r="G32" s="2">
        <f>MAX(0, F32*(1+Forecast!$B7))</f>
        <v>0</v>
      </c>
      <c r="H32" s="2">
        <f>MAX(0, G32*(1+Forecast!$B7))</f>
        <v>0</v>
      </c>
      <c r="I32" s="2">
        <f>MAX(0, H32*(1+Forecast!$B7))</f>
        <v>0</v>
      </c>
      <c r="J32" s="2">
        <f>MAX(0, I32*(1+Forecast!$B7))</f>
        <v>0</v>
      </c>
      <c r="K32" s="2">
        <f>MAX(0, J32*(1+Forecast!$B7))</f>
        <v>0</v>
      </c>
      <c r="L32" s="2">
        <f>MAX(0, K32*(1+Forecast!$B7))</f>
        <v>0</v>
      </c>
      <c r="M32" s="2">
        <f>MAX(0, L32*(1+Forecast!$B7))</f>
        <v>0</v>
      </c>
      <c r="N32" s="2">
        <f>MAX(0, M32*(1+Forecast!$B7))</f>
        <v>0</v>
      </c>
      <c r="O32" s="2">
        <f>MAX(0, N32*(1+Forecast!$B7))</f>
        <v>0</v>
      </c>
      <c r="P32" s="2">
        <f>MAX(0, O32*(1+Forecast!$B7))</f>
        <v>0</v>
      </c>
      <c r="Q32" s="2">
        <f>MAX(0, P32*(1+Forecast!$B7))</f>
        <v>0</v>
      </c>
      <c r="R32" s="2">
        <f>MAX(0, Q32*(1+Forecast!$B7))</f>
        <v>0</v>
      </c>
      <c r="S32" s="2">
        <f>MAX(0, R32*(1+Forecast!$B7))</f>
        <v>0</v>
      </c>
      <c r="T32" s="2">
        <f>MAX(0, S32*(1+Forecast!$B7))</f>
        <v>0</v>
      </c>
      <c r="U32" s="2">
        <f>MAX(0, T32*(1+Forecast!$B7))</f>
        <v>0</v>
      </c>
      <c r="V32" s="2">
        <f>MAX(0, U32*(1+Forecast!$B7))</f>
        <v>0</v>
      </c>
      <c r="W32" s="2">
        <f>MAX(0, V32*(1+Forecast!$B7))</f>
        <v>0</v>
      </c>
      <c r="X32" s="2">
        <f>MAX(0, W32*(1+Forecast!$B7))</f>
        <v>0</v>
      </c>
      <c r="Y32" s="2">
        <f>MAX(0, X32*(1+Forecast!$B7))</f>
        <v>0</v>
      </c>
      <c r="Z32" s="2">
        <f>MAX(0, Y32*(1+Forecast!$B7))</f>
        <v>0</v>
      </c>
      <c r="AA32" s="2">
        <f>MAX(0, Z32*(1+Forecast!$B7))</f>
        <v>0</v>
      </c>
      <c r="AB32" s="2">
        <f>MAX(0, AA32*(1+Forecast!$B7))</f>
        <v>0</v>
      </c>
      <c r="AC32" s="2">
        <f>MAX(0, AB32*(1+Forecast!$B7))</f>
        <v>0</v>
      </c>
      <c r="AD32" s="2">
        <f>MAX(0, AC32*(1+Forecast!$B7))</f>
        <v>0</v>
      </c>
      <c r="AE32" s="2">
        <f>MAX(0, AD32*(1+Forecast!$B7))</f>
        <v>0</v>
      </c>
      <c r="AF32" s="2">
        <f>MAX(0, AE32*(1+Forecast!$B7))</f>
        <v>0</v>
      </c>
      <c r="AG32" s="2">
        <f>MAX(0, AF32*(1+Forecast!$B7))</f>
        <v>0</v>
      </c>
      <c r="AH32" s="2"/>
      <c r="AI32" s="2"/>
    </row>
    <row r="33" spans="1:35" x14ac:dyDescent="0.3">
      <c r="A33" s="16" t="s">
        <v>11</v>
      </c>
      <c r="B33" s="2">
        <f>INDEX(SYCEU!$B$26:$G$35, MATCH($A33, SYCEU!$A$2:$A$11, 0), MATCH(Rural_res_calculation!$A$27, SYCEU!$B$1:$G$1, 0))</f>
        <v>0</v>
      </c>
      <c r="C33" s="2">
        <f>INDEX('2020'!$B$26:$G$35, MATCH($A33, '2020'!$A$2:$A$11, 0), MATCH(Rural_res_calculation!$A$27, '2020'!$B$1:$G$1, 0))</f>
        <v>0</v>
      </c>
      <c r="D33" s="2">
        <f>INDEX('2021'!$B$26:$G$35, MATCH($A33, '2021'!$A$2:$A$11, 0), MATCH(Rural_res_calculation!$A$27, '2021'!$B$1:$G$1, 0))</f>
        <v>0</v>
      </c>
      <c r="E33" s="2">
        <f>MAX(0, D33*(1+Forecast!$B8))</f>
        <v>0</v>
      </c>
      <c r="F33" s="2">
        <f>MAX(0, E33*(1+Forecast!$B8))</f>
        <v>0</v>
      </c>
      <c r="G33" s="2">
        <f>MAX(0, F33*(1+Forecast!$B8))</f>
        <v>0</v>
      </c>
      <c r="H33" s="2">
        <f>MAX(0, G33*(1+Forecast!$B8))</f>
        <v>0</v>
      </c>
      <c r="I33" s="2">
        <f>MAX(0, H33*(1+Forecast!$B8))</f>
        <v>0</v>
      </c>
      <c r="J33" s="2">
        <f>MAX(0, I33*(1+Forecast!$B8))</f>
        <v>0</v>
      </c>
      <c r="K33" s="2">
        <f>MAX(0, J33*(1+Forecast!$B8))</f>
        <v>0</v>
      </c>
      <c r="L33" s="2">
        <f>MAX(0, K33*(1+Forecast!$B8))</f>
        <v>0</v>
      </c>
      <c r="M33" s="2">
        <f>MAX(0, L33*(1+Forecast!$B8))</f>
        <v>0</v>
      </c>
      <c r="N33" s="2">
        <f>MAX(0, M33*(1+Forecast!$B8))</f>
        <v>0</v>
      </c>
      <c r="O33" s="2">
        <f>MAX(0, N33*(1+Forecast!$B8))</f>
        <v>0</v>
      </c>
      <c r="P33" s="2">
        <f>MAX(0, O33*(1+Forecast!$B8))</f>
        <v>0</v>
      </c>
      <c r="Q33" s="2">
        <f>MAX(0, P33*(1+Forecast!$B8))</f>
        <v>0</v>
      </c>
      <c r="R33" s="2">
        <f>MAX(0, Q33*(1+Forecast!$B8))</f>
        <v>0</v>
      </c>
      <c r="S33" s="2">
        <f>MAX(0, R33*(1+Forecast!$B8))</f>
        <v>0</v>
      </c>
      <c r="T33" s="2">
        <f>MAX(0, S33*(1+Forecast!$B8))</f>
        <v>0</v>
      </c>
      <c r="U33" s="2">
        <f>MAX(0, T33*(1+Forecast!$B8))</f>
        <v>0</v>
      </c>
      <c r="V33" s="2">
        <f>MAX(0, U33*(1+Forecast!$B8))</f>
        <v>0</v>
      </c>
      <c r="W33" s="2">
        <f>MAX(0, V33*(1+Forecast!$B8))</f>
        <v>0</v>
      </c>
      <c r="X33" s="2">
        <f>MAX(0, W33*(1+Forecast!$B8))</f>
        <v>0</v>
      </c>
      <c r="Y33" s="2">
        <f>MAX(0, X33*(1+Forecast!$B8))</f>
        <v>0</v>
      </c>
      <c r="Z33" s="2">
        <f>MAX(0, Y33*(1+Forecast!$B8))</f>
        <v>0</v>
      </c>
      <c r="AA33" s="2">
        <f>MAX(0, Z33*(1+Forecast!$B8))</f>
        <v>0</v>
      </c>
      <c r="AB33" s="2">
        <f>MAX(0, AA33*(1+Forecast!$B8))</f>
        <v>0</v>
      </c>
      <c r="AC33" s="2">
        <f>MAX(0, AB33*(1+Forecast!$B8))</f>
        <v>0</v>
      </c>
      <c r="AD33" s="2">
        <f>MAX(0, AC33*(1+Forecast!$B8))</f>
        <v>0</v>
      </c>
      <c r="AE33" s="2">
        <f>MAX(0, AD33*(1+Forecast!$B8))</f>
        <v>0</v>
      </c>
      <c r="AF33" s="2">
        <f>MAX(0, AE33*(1+Forecast!$B8))</f>
        <v>0</v>
      </c>
      <c r="AG33" s="2">
        <f>MAX(0, AF33*(1+Forecast!$B8))</f>
        <v>0</v>
      </c>
      <c r="AH33" s="2"/>
      <c r="AI33" s="2"/>
    </row>
    <row r="34" spans="1:35" x14ac:dyDescent="0.3">
      <c r="A34" s="16" t="s">
        <v>13</v>
      </c>
      <c r="B34" s="2">
        <f>INDEX(SYCEU!$B$26:$G$35, MATCH($A34, SYCEU!$A$2:$A$11, 0), MATCH(Rural_res_calculation!$A$27, SYCEU!$B$1:$G$1, 0))</f>
        <v>0</v>
      </c>
      <c r="C34" s="2">
        <f>INDEX('2020'!$B$26:$G$35, MATCH($A34, '2020'!$A$2:$A$11, 0), MATCH(Rural_res_calculation!$A$27, '2020'!$B$1:$G$1, 0))</f>
        <v>0</v>
      </c>
      <c r="D34" s="2">
        <f>INDEX('2021'!$B$26:$G$35, MATCH($A34, '2021'!$A$2:$A$11, 0), MATCH(Rural_res_calculation!$A$27, '2021'!$B$1:$G$1, 0))</f>
        <v>0</v>
      </c>
      <c r="E34" s="2">
        <f>MAX(0, D34*(1+Forecast!$B9))</f>
        <v>0</v>
      </c>
      <c r="F34" s="2">
        <f>MAX(0, E34*(1+Forecast!$B9))</f>
        <v>0</v>
      </c>
      <c r="G34" s="2">
        <f>MAX(0, F34*(1+Forecast!$B9))</f>
        <v>0</v>
      </c>
      <c r="H34" s="2">
        <f>MAX(0, G34*(1+Forecast!$B9))</f>
        <v>0</v>
      </c>
      <c r="I34" s="2">
        <f>MAX(0, H34*(1+Forecast!$B9))</f>
        <v>0</v>
      </c>
      <c r="J34" s="2">
        <f>MAX(0, I34*(1+Forecast!$B9))</f>
        <v>0</v>
      </c>
      <c r="K34" s="2">
        <f>MAX(0, J34*(1+Forecast!$B9))</f>
        <v>0</v>
      </c>
      <c r="L34" s="2">
        <f>MAX(0, K34*(1+Forecast!$B9))</f>
        <v>0</v>
      </c>
      <c r="M34" s="2">
        <f>MAX(0, L34*(1+Forecast!$B9))</f>
        <v>0</v>
      </c>
      <c r="N34" s="2">
        <f>MAX(0, M34*(1+Forecast!$B9))</f>
        <v>0</v>
      </c>
      <c r="O34" s="2">
        <f>MAX(0, N34*(1+Forecast!$B9))</f>
        <v>0</v>
      </c>
      <c r="P34" s="2">
        <f>MAX(0, O34*(1+Forecast!$B9))</f>
        <v>0</v>
      </c>
      <c r="Q34" s="2">
        <f>MAX(0, P34*(1+Forecast!$B9))</f>
        <v>0</v>
      </c>
      <c r="R34" s="2">
        <f>MAX(0, Q34*(1+Forecast!$B9))</f>
        <v>0</v>
      </c>
      <c r="S34" s="2">
        <f>MAX(0, R34*(1+Forecast!$B9))</f>
        <v>0</v>
      </c>
      <c r="T34" s="2">
        <f>MAX(0, S34*(1+Forecast!$B9))</f>
        <v>0</v>
      </c>
      <c r="U34" s="2">
        <f>MAX(0, T34*(1+Forecast!$B9))</f>
        <v>0</v>
      </c>
      <c r="V34" s="2">
        <f>MAX(0, U34*(1+Forecast!$B9))</f>
        <v>0</v>
      </c>
      <c r="W34" s="2">
        <f>MAX(0, V34*(1+Forecast!$B9))</f>
        <v>0</v>
      </c>
      <c r="X34" s="2">
        <f>MAX(0, W34*(1+Forecast!$B9))</f>
        <v>0</v>
      </c>
      <c r="Y34" s="2">
        <f>MAX(0, X34*(1+Forecast!$B9))</f>
        <v>0</v>
      </c>
      <c r="Z34" s="2">
        <f>MAX(0, Y34*(1+Forecast!$B9))</f>
        <v>0</v>
      </c>
      <c r="AA34" s="2">
        <f>MAX(0, Z34*(1+Forecast!$B9))</f>
        <v>0</v>
      </c>
      <c r="AB34" s="2">
        <f>MAX(0, AA34*(1+Forecast!$B9))</f>
        <v>0</v>
      </c>
      <c r="AC34" s="2">
        <f>MAX(0, AB34*(1+Forecast!$B9))</f>
        <v>0</v>
      </c>
      <c r="AD34" s="2">
        <f>MAX(0, AC34*(1+Forecast!$B9))</f>
        <v>0</v>
      </c>
      <c r="AE34" s="2">
        <f>MAX(0, AD34*(1+Forecast!$B9))</f>
        <v>0</v>
      </c>
      <c r="AF34" s="2">
        <f>MAX(0, AE34*(1+Forecast!$B9))</f>
        <v>0</v>
      </c>
      <c r="AG34" s="2">
        <f>MAX(0, AF34*(1+Forecast!$B9))</f>
        <v>0</v>
      </c>
      <c r="AH34" s="2"/>
      <c r="AI34" s="2"/>
    </row>
    <row r="35" spans="1:35" x14ac:dyDescent="0.3">
      <c r="A35" s="16" t="s">
        <v>14</v>
      </c>
      <c r="B35" s="2">
        <f>INDEX(SYCEU!$B$26:$G$35, MATCH($A35, SYCEU!$A$2:$A$11, 0), MATCH(Rural_res_calculation!$A$27, SYCEU!$B$1:$G$1, 0))</f>
        <v>0</v>
      </c>
      <c r="C35" s="2">
        <f>INDEX('2020'!$B$26:$G$35, MATCH($A35, '2020'!$A$2:$A$11, 0), MATCH(Rural_res_calculation!$A$27, '2020'!$B$1:$G$1, 0))</f>
        <v>0</v>
      </c>
      <c r="D35" s="2">
        <f>INDEX('2021'!$B$26:$G$35, MATCH($A35, '2021'!$A$2:$A$11, 0), MATCH(Rural_res_calculation!$A$27, '2021'!$B$1:$G$1, 0))</f>
        <v>0</v>
      </c>
      <c r="E35" s="2">
        <f>MAX(0, D35*(1+Forecast!$B10))</f>
        <v>0</v>
      </c>
      <c r="F35" s="2">
        <f>MAX(0, E35*(1+Forecast!$B10))</f>
        <v>0</v>
      </c>
      <c r="G35" s="2">
        <f>MAX(0, F35*(1+Forecast!$B10))</f>
        <v>0</v>
      </c>
      <c r="H35" s="2">
        <f>MAX(0, G35*(1+Forecast!$B10))</f>
        <v>0</v>
      </c>
      <c r="I35" s="2">
        <f>MAX(0, H35*(1+Forecast!$B10))</f>
        <v>0</v>
      </c>
      <c r="J35" s="2">
        <f>MAX(0, I35*(1+Forecast!$B10))</f>
        <v>0</v>
      </c>
      <c r="K35" s="2">
        <f>MAX(0, J35*(1+Forecast!$B10))</f>
        <v>0</v>
      </c>
      <c r="L35" s="2">
        <f>MAX(0, K35*(1+Forecast!$B10))</f>
        <v>0</v>
      </c>
      <c r="M35" s="2">
        <f>MAX(0, L35*(1+Forecast!$B10))</f>
        <v>0</v>
      </c>
      <c r="N35" s="2">
        <f>MAX(0, M35*(1+Forecast!$B10))</f>
        <v>0</v>
      </c>
      <c r="O35" s="2">
        <f>MAX(0, N35*(1+Forecast!$B10))</f>
        <v>0</v>
      </c>
      <c r="P35" s="2">
        <f>MAX(0, O35*(1+Forecast!$B10))</f>
        <v>0</v>
      </c>
      <c r="Q35" s="2">
        <f>MAX(0, P35*(1+Forecast!$B10))</f>
        <v>0</v>
      </c>
      <c r="R35" s="2">
        <f>MAX(0, Q35*(1+Forecast!$B10))</f>
        <v>0</v>
      </c>
      <c r="S35" s="2">
        <f>MAX(0, R35*(1+Forecast!$B10))</f>
        <v>0</v>
      </c>
      <c r="T35" s="2">
        <f>MAX(0, S35*(1+Forecast!$B10))</f>
        <v>0</v>
      </c>
      <c r="U35" s="2">
        <f>MAX(0, T35*(1+Forecast!$B10))</f>
        <v>0</v>
      </c>
      <c r="V35" s="2">
        <f>MAX(0, U35*(1+Forecast!$B10))</f>
        <v>0</v>
      </c>
      <c r="W35" s="2">
        <f>MAX(0, V35*(1+Forecast!$B10))</f>
        <v>0</v>
      </c>
      <c r="X35" s="2">
        <f>MAX(0, W35*(1+Forecast!$B10))</f>
        <v>0</v>
      </c>
      <c r="Y35" s="2">
        <f>MAX(0, X35*(1+Forecast!$B10))</f>
        <v>0</v>
      </c>
      <c r="Z35" s="2">
        <f>MAX(0, Y35*(1+Forecast!$B10))</f>
        <v>0</v>
      </c>
      <c r="AA35" s="2">
        <f>MAX(0, Z35*(1+Forecast!$B10))</f>
        <v>0</v>
      </c>
      <c r="AB35" s="2">
        <f>MAX(0, AA35*(1+Forecast!$B10))</f>
        <v>0</v>
      </c>
      <c r="AC35" s="2">
        <f>MAX(0, AB35*(1+Forecast!$B10))</f>
        <v>0</v>
      </c>
      <c r="AD35" s="2">
        <f>MAX(0, AC35*(1+Forecast!$B10))</f>
        <v>0</v>
      </c>
      <c r="AE35" s="2">
        <f>MAX(0, AD35*(1+Forecast!$B10))</f>
        <v>0</v>
      </c>
      <c r="AF35" s="2">
        <f>MAX(0, AE35*(1+Forecast!$B10))</f>
        <v>0</v>
      </c>
      <c r="AG35" s="2">
        <f>MAX(0, AF35*(1+Forecast!$B10))</f>
        <v>0</v>
      </c>
      <c r="AH35" s="2"/>
      <c r="AI35" s="2"/>
    </row>
    <row r="36" spans="1:35" x14ac:dyDescent="0.3">
      <c r="A36" s="16" t="s">
        <v>15</v>
      </c>
      <c r="B36" s="2">
        <f>INDEX(SYCEU!$B$26:$G$35, MATCH($A36, SYCEU!$A$2:$A$11, 0), MATCH(Rural_res_calculation!$A$27, SYCEU!$B$1:$G$1, 0))</f>
        <v>0</v>
      </c>
      <c r="C36" s="2">
        <f>INDEX('2020'!$B$26:$G$35, MATCH($A36, '2020'!$A$2:$A$11, 0), MATCH(Rural_res_calculation!$A$27, '2020'!$B$1:$G$1, 0))</f>
        <v>0</v>
      </c>
      <c r="D36" s="2">
        <f>INDEX('2021'!$B$26:$G$35, MATCH($A36, '2021'!$A$2:$A$11, 0), MATCH(Rural_res_calculation!$A$27, '2021'!$B$1:$G$1, 0))</f>
        <v>0</v>
      </c>
      <c r="E36" s="2">
        <f>MAX(0, D36*(1+Forecast!$B11))</f>
        <v>0</v>
      </c>
      <c r="F36" s="2">
        <f>MAX(0, E36*(1+Forecast!$B11))</f>
        <v>0</v>
      </c>
      <c r="G36" s="2">
        <f>MAX(0, F36*(1+Forecast!$B11))</f>
        <v>0</v>
      </c>
      <c r="H36" s="2">
        <f>MAX(0, G36*(1+Forecast!$B11))</f>
        <v>0</v>
      </c>
      <c r="I36" s="2">
        <f>MAX(0, H36*(1+Forecast!$B11))</f>
        <v>0</v>
      </c>
      <c r="J36" s="2">
        <f>MAX(0, I36*(1+Forecast!$B11))</f>
        <v>0</v>
      </c>
      <c r="K36" s="2">
        <f>MAX(0, J36*(1+Forecast!$B11))</f>
        <v>0</v>
      </c>
      <c r="L36" s="2">
        <f>MAX(0, K36*(1+Forecast!$B11))</f>
        <v>0</v>
      </c>
      <c r="M36" s="2">
        <f>MAX(0, L36*(1+Forecast!$B11))</f>
        <v>0</v>
      </c>
      <c r="N36" s="2">
        <f>MAX(0, M36*(1+Forecast!$B11))</f>
        <v>0</v>
      </c>
      <c r="O36" s="2">
        <f>MAX(0, N36*(1+Forecast!$B11))</f>
        <v>0</v>
      </c>
      <c r="P36" s="2">
        <f>MAX(0, O36*(1+Forecast!$B11))</f>
        <v>0</v>
      </c>
      <c r="Q36" s="2">
        <f>MAX(0, P36*(1+Forecast!$B11))</f>
        <v>0</v>
      </c>
      <c r="R36" s="2">
        <f>MAX(0, Q36*(1+Forecast!$B11))</f>
        <v>0</v>
      </c>
      <c r="S36" s="2">
        <f>MAX(0, R36*(1+Forecast!$B11))</f>
        <v>0</v>
      </c>
      <c r="T36" s="2">
        <f>MAX(0, S36*(1+Forecast!$B11))</f>
        <v>0</v>
      </c>
      <c r="U36" s="2">
        <f>MAX(0, T36*(1+Forecast!$B11))</f>
        <v>0</v>
      </c>
      <c r="V36" s="2">
        <f>MAX(0, U36*(1+Forecast!$B11))</f>
        <v>0</v>
      </c>
      <c r="W36" s="2">
        <f>MAX(0, V36*(1+Forecast!$B11))</f>
        <v>0</v>
      </c>
      <c r="X36" s="2">
        <f>MAX(0, W36*(1+Forecast!$B11))</f>
        <v>0</v>
      </c>
      <c r="Y36" s="2">
        <f>MAX(0, X36*(1+Forecast!$B11))</f>
        <v>0</v>
      </c>
      <c r="Z36" s="2">
        <f>MAX(0, Y36*(1+Forecast!$B11))</f>
        <v>0</v>
      </c>
      <c r="AA36" s="2">
        <f>MAX(0, Z36*(1+Forecast!$B11))</f>
        <v>0</v>
      </c>
      <c r="AB36" s="2">
        <f>MAX(0, AA36*(1+Forecast!$B11))</f>
        <v>0</v>
      </c>
      <c r="AC36" s="2">
        <f>MAX(0, AB36*(1+Forecast!$B11))</f>
        <v>0</v>
      </c>
      <c r="AD36" s="2">
        <f>MAX(0, AC36*(1+Forecast!$B11))</f>
        <v>0</v>
      </c>
      <c r="AE36" s="2">
        <f>MAX(0, AD36*(1+Forecast!$B11))</f>
        <v>0</v>
      </c>
      <c r="AF36" s="2">
        <f>MAX(0, AE36*(1+Forecast!$B11))</f>
        <v>0</v>
      </c>
      <c r="AG36" s="2">
        <f>MAX(0, AF36*(1+Forecast!$B11))</f>
        <v>0</v>
      </c>
      <c r="AH36" s="2"/>
      <c r="AI36" s="2"/>
    </row>
    <row r="37" spans="1:35" x14ac:dyDescent="0.3">
      <c r="A37" s="16" t="s">
        <v>16</v>
      </c>
      <c r="B37" s="2">
        <f>INDEX(SYCEU!$B$26:$G$35, MATCH($A37, SYCEU!$A$2:$A$11, 0), MATCH(Rural_res_calculation!$A$27, SYCEU!$B$1:$G$1, 0))</f>
        <v>0</v>
      </c>
      <c r="C37" s="2">
        <f>INDEX('2020'!$B$26:$G$35, MATCH($A37, '2020'!$A$2:$A$11, 0), MATCH(Rural_res_calculation!$A$27, '2020'!$B$1:$G$1, 0))</f>
        <v>0</v>
      </c>
      <c r="D37" s="2">
        <f>INDEX('2021'!$B$26:$G$35, MATCH($A37, '2021'!$A$2:$A$11, 0), MATCH(Rural_res_calculation!$A$27, '2021'!$B$1:$G$1, 0))</f>
        <v>0</v>
      </c>
      <c r="E37" s="2">
        <f>MAX(0, D37*(1+Forecast!$B12))</f>
        <v>0</v>
      </c>
      <c r="F37" s="2">
        <f>MAX(0, E37*(1+Forecast!$B12))</f>
        <v>0</v>
      </c>
      <c r="G37" s="2">
        <f>MAX(0, F37*(1+Forecast!$B12))</f>
        <v>0</v>
      </c>
      <c r="H37" s="2">
        <f>MAX(0, G37*(1+Forecast!$B12))</f>
        <v>0</v>
      </c>
      <c r="I37" s="2">
        <f>MAX(0, H37*(1+Forecast!$B12))</f>
        <v>0</v>
      </c>
      <c r="J37" s="2">
        <f>MAX(0, I37*(1+Forecast!$B12))</f>
        <v>0</v>
      </c>
      <c r="K37" s="2">
        <f>MAX(0, J37*(1+Forecast!$B12))</f>
        <v>0</v>
      </c>
      <c r="L37" s="2">
        <f>MAX(0, K37*(1+Forecast!$B12))</f>
        <v>0</v>
      </c>
      <c r="M37" s="2">
        <f>MAX(0, L37*(1+Forecast!$B12))</f>
        <v>0</v>
      </c>
      <c r="N37" s="2">
        <f>MAX(0, M37*(1+Forecast!$B12))</f>
        <v>0</v>
      </c>
      <c r="O37" s="2">
        <f>MAX(0, N37*(1+Forecast!$B12))</f>
        <v>0</v>
      </c>
      <c r="P37" s="2">
        <f>MAX(0, O37*(1+Forecast!$B12))</f>
        <v>0</v>
      </c>
      <c r="Q37" s="2">
        <f>MAX(0, P37*(1+Forecast!$B12))</f>
        <v>0</v>
      </c>
      <c r="R37" s="2">
        <f>MAX(0, Q37*(1+Forecast!$B12))</f>
        <v>0</v>
      </c>
      <c r="S37" s="2">
        <f>MAX(0, R37*(1+Forecast!$B12))</f>
        <v>0</v>
      </c>
      <c r="T37" s="2">
        <f>MAX(0, S37*(1+Forecast!$B12))</f>
        <v>0</v>
      </c>
      <c r="U37" s="2">
        <f>MAX(0, T37*(1+Forecast!$B12))</f>
        <v>0</v>
      </c>
      <c r="V37" s="2">
        <f>MAX(0, U37*(1+Forecast!$B12))</f>
        <v>0</v>
      </c>
      <c r="W37" s="2">
        <f>MAX(0, V37*(1+Forecast!$B12))</f>
        <v>0</v>
      </c>
      <c r="X37" s="2">
        <f>MAX(0, W37*(1+Forecast!$B12))</f>
        <v>0</v>
      </c>
      <c r="Y37" s="2">
        <f>MAX(0, X37*(1+Forecast!$B12))</f>
        <v>0</v>
      </c>
      <c r="Z37" s="2">
        <f>MAX(0, Y37*(1+Forecast!$B12))</f>
        <v>0</v>
      </c>
      <c r="AA37" s="2">
        <f>MAX(0, Z37*(1+Forecast!$B12))</f>
        <v>0</v>
      </c>
      <c r="AB37" s="2">
        <f>MAX(0, AA37*(1+Forecast!$B12))</f>
        <v>0</v>
      </c>
      <c r="AC37" s="2">
        <f>MAX(0, AB37*(1+Forecast!$B12))</f>
        <v>0</v>
      </c>
      <c r="AD37" s="2">
        <f>MAX(0, AC37*(1+Forecast!$B12))</f>
        <v>0</v>
      </c>
      <c r="AE37" s="2">
        <f>MAX(0, AD37*(1+Forecast!$B12))</f>
        <v>0</v>
      </c>
      <c r="AF37" s="2">
        <f>MAX(0, AE37*(1+Forecast!$B12))</f>
        <v>0</v>
      </c>
      <c r="AG37" s="2">
        <f>MAX(0, AF37*(1+Forecast!$B12))</f>
        <v>0</v>
      </c>
      <c r="AH37" s="2"/>
      <c r="AI37" s="2"/>
    </row>
    <row r="39" spans="1:35" x14ac:dyDescent="0.3">
      <c r="A39" s="16" t="s">
        <v>40</v>
      </c>
      <c r="B39" s="1">
        <v>2019</v>
      </c>
      <c r="C39" s="1">
        <v>2020</v>
      </c>
      <c r="D39" s="1">
        <v>2021</v>
      </c>
      <c r="E39" s="1">
        <v>2022</v>
      </c>
      <c r="F39" s="1">
        <v>2023</v>
      </c>
      <c r="G39" s="1">
        <v>2024</v>
      </c>
      <c r="H39" s="1">
        <v>2025</v>
      </c>
      <c r="I39" s="1">
        <v>2026</v>
      </c>
      <c r="J39" s="1">
        <v>2027</v>
      </c>
      <c r="K39" s="1">
        <v>2028</v>
      </c>
      <c r="L39" s="1">
        <v>2029</v>
      </c>
      <c r="M39" s="1">
        <v>2030</v>
      </c>
      <c r="N39" s="1">
        <v>2031</v>
      </c>
      <c r="O39" s="1">
        <v>2032</v>
      </c>
      <c r="P39" s="1">
        <v>2033</v>
      </c>
      <c r="Q39" s="1">
        <v>2034</v>
      </c>
      <c r="R39" s="1">
        <v>2035</v>
      </c>
      <c r="S39" s="1">
        <v>2036</v>
      </c>
      <c r="T39" s="1">
        <v>2037</v>
      </c>
      <c r="U39" s="1">
        <v>2038</v>
      </c>
      <c r="V39" s="1">
        <v>2039</v>
      </c>
      <c r="W39" s="1">
        <v>2040</v>
      </c>
      <c r="X39" s="1">
        <v>2041</v>
      </c>
      <c r="Y39" s="1">
        <v>2042</v>
      </c>
      <c r="Z39" s="1">
        <v>2043</v>
      </c>
      <c r="AA39" s="1">
        <v>2044</v>
      </c>
      <c r="AB39" s="1">
        <v>2045</v>
      </c>
      <c r="AC39" s="1">
        <v>2046</v>
      </c>
      <c r="AD39" s="1">
        <v>2047</v>
      </c>
      <c r="AE39" s="1">
        <v>2048</v>
      </c>
      <c r="AF39" s="1">
        <v>2049</v>
      </c>
      <c r="AG39" s="1">
        <v>2050</v>
      </c>
      <c r="AH39" s="1"/>
      <c r="AI39" s="1"/>
    </row>
    <row r="40" spans="1:35" x14ac:dyDescent="0.3">
      <c r="A40" s="16" t="s">
        <v>2</v>
      </c>
      <c r="B40" s="2">
        <f>INDEX(SYCEU!$B$26:$G$35, MATCH($A40, SYCEU!$A$2:$A$11, 0), MATCH(Rural_res_calculation!$A$39, SYCEU!$B$1:$G$1, 0))</f>
        <v>1770000000000</v>
      </c>
      <c r="C40" s="2">
        <f>INDEX('2020'!$B$26:$G$35, MATCH($A40, '2020'!$A$2:$A$11, 0), MATCH(Rural_res_calculation!$A$39, '2020'!$B$1:$G$1, 0))</f>
        <v>1771291403277.7441</v>
      </c>
      <c r="D40" s="2">
        <f>INDEX('2021'!$B$26:$G$35, MATCH($A40, '2021'!$A$2:$A$11, 0), MATCH(Rural_res_calculation!$A$39, '2021'!$B$1:$G$1, 0))</f>
        <v>1961215912396.5713</v>
      </c>
      <c r="E40" s="2">
        <f>MAX(0, D40*(1+Forecast!$B3))</f>
        <v>1972983207870.9507</v>
      </c>
      <c r="F40" s="2">
        <f>MAX(0, E40*(1+Forecast!$B3))</f>
        <v>1984821107118.1765</v>
      </c>
      <c r="G40" s="2">
        <f>MAX(0, F40*(1+Forecast!$B3))</f>
        <v>1996730033760.8855</v>
      </c>
      <c r="H40" s="2">
        <f>MAX(0, G40*(1+Forecast!$B3))</f>
        <v>2008710413963.4509</v>
      </c>
      <c r="I40" s="2">
        <f>MAX(0, H40*(1+Forecast!$B3))</f>
        <v>2020762676447.2317</v>
      </c>
      <c r="J40" s="2">
        <f>MAX(0, I40*(1+Forecast!$B3))</f>
        <v>2032887252505.915</v>
      </c>
      <c r="K40" s="2">
        <f>MAX(0, J40*(1+Forecast!$B3))</f>
        <v>2045084576020.9504</v>
      </c>
      <c r="L40" s="2">
        <f>MAX(0, K40*(1+Forecast!$B3))</f>
        <v>2057355083477.0762</v>
      </c>
      <c r="M40" s="2">
        <f>MAX(0, L40*(1+Forecast!$B3))</f>
        <v>2069699213977.9387</v>
      </c>
      <c r="N40" s="2">
        <f>MAX(0, M40*(1+Forecast!$B3))</f>
        <v>2082117409261.8064</v>
      </c>
      <c r="O40" s="2">
        <f>MAX(0, N40*(1+Forecast!$B3))</f>
        <v>2094610113717.3772</v>
      </c>
      <c r="P40" s="2">
        <f>MAX(0, O40*(1+Forecast!$B3))</f>
        <v>2107177774399.6814</v>
      </c>
      <c r="Q40" s="2">
        <f>MAX(0, P40*(1+Forecast!$B3))</f>
        <v>2119820841046.0796</v>
      </c>
      <c r="R40" s="2">
        <f>MAX(0, Q40*(1+Forecast!$B3))</f>
        <v>2132539766092.356</v>
      </c>
      <c r="S40" s="2">
        <f>MAX(0, R40*(1+Forecast!$B3))</f>
        <v>2145335004688.9102</v>
      </c>
      <c r="T40" s="2">
        <f>MAX(0, S40*(1+Forecast!$B3))</f>
        <v>2158207014717.0437</v>
      </c>
      <c r="U40" s="2">
        <f>MAX(0, T40*(1+Forecast!$B3))</f>
        <v>2171156256805.3459</v>
      </c>
      <c r="V40" s="2">
        <f>MAX(0, U40*(1+Forecast!$B3))</f>
        <v>2184183194346.178</v>
      </c>
      <c r="W40" s="2">
        <f>MAX(0, V40*(1+Forecast!$B3))</f>
        <v>2197288293512.2551</v>
      </c>
      <c r="X40" s="2">
        <f>MAX(0, W40*(1+Forecast!$B3))</f>
        <v>2210472023273.3286</v>
      </c>
      <c r="Y40" s="2">
        <f>MAX(0, X40*(1+Forecast!$B3))</f>
        <v>2223734855412.9688</v>
      </c>
      <c r="Z40" s="2">
        <f>MAX(0, Y40*(1+Forecast!$B3))</f>
        <v>2237077264545.4468</v>
      </c>
      <c r="AA40" s="2">
        <f>MAX(0, Z40*(1+Forecast!$B3))</f>
        <v>2250499728132.7192</v>
      </c>
      <c r="AB40" s="2">
        <f>MAX(0, AA40*(1+Forecast!$B3))</f>
        <v>2264002726501.5156</v>
      </c>
      <c r="AC40" s="2">
        <f>MAX(0, AB40*(1+Forecast!$B3))</f>
        <v>2277586742860.5249</v>
      </c>
      <c r="AD40" s="2">
        <f>MAX(0, AC40*(1+Forecast!$B3))</f>
        <v>2291252263317.688</v>
      </c>
      <c r="AE40" s="2">
        <f>MAX(0, AD40*(1+Forecast!$B3))</f>
        <v>2304999776897.5942</v>
      </c>
      <c r="AF40" s="2">
        <f>MAX(0, AE40*(1+Forecast!$B3))</f>
        <v>2318829775558.98</v>
      </c>
      <c r="AG40" s="2">
        <f>MAX(0, AF40*(1+Forecast!$B3))</f>
        <v>2332742754212.334</v>
      </c>
      <c r="AH40" s="2"/>
      <c r="AI40" s="2"/>
    </row>
    <row r="41" spans="1:35" x14ac:dyDescent="0.3">
      <c r="A41" s="16" t="s">
        <v>3</v>
      </c>
      <c r="B41" s="2">
        <f>INDEX(SYCEU!$B$26:$G$35, MATCH($A41, SYCEU!$A$2:$A$11, 0), MATCH(Rural_res_calculation!$A$39, SYCEU!$B$1:$G$1, 0))</f>
        <v>0</v>
      </c>
      <c r="C41" s="2">
        <f>INDEX('2020'!$B$26:$G$35, MATCH($A41, '2020'!$A$2:$A$11, 0), MATCH(Rural_res_calculation!$A$39, '2020'!$B$1:$G$1, 0))</f>
        <v>0</v>
      </c>
      <c r="D41" s="2">
        <f>INDEX('2021'!$B$26:$G$35, MATCH($A41, '2021'!$A$2:$A$11, 0), MATCH(Rural_res_calculation!$A$39, '2021'!$B$1:$G$1, 0))</f>
        <v>0</v>
      </c>
      <c r="E41" s="2">
        <f>MAX(0, D41*(1+Forecast!$B4))</f>
        <v>0</v>
      </c>
      <c r="F41" s="2">
        <f>MAX(0, E41*(1+Forecast!$B4))</f>
        <v>0</v>
      </c>
      <c r="G41" s="2">
        <f>MAX(0, F41*(1+Forecast!$B4))</f>
        <v>0</v>
      </c>
      <c r="H41" s="2">
        <f>MAX(0, G41*(1+Forecast!$B4))</f>
        <v>0</v>
      </c>
      <c r="I41" s="2">
        <f>MAX(0, H41*(1+Forecast!$B4))</f>
        <v>0</v>
      </c>
      <c r="J41" s="2">
        <f>MAX(0, I41*(1+Forecast!$B4))</f>
        <v>0</v>
      </c>
      <c r="K41" s="2">
        <f>MAX(0, J41*(1+Forecast!$B4))</f>
        <v>0</v>
      </c>
      <c r="L41" s="2">
        <f>MAX(0, K41*(1+Forecast!$B4))</f>
        <v>0</v>
      </c>
      <c r="M41" s="2">
        <f>MAX(0, L41*(1+Forecast!$B4))</f>
        <v>0</v>
      </c>
      <c r="N41" s="2">
        <f>MAX(0, M41*(1+Forecast!$B4))</f>
        <v>0</v>
      </c>
      <c r="O41" s="2">
        <f>MAX(0, N41*(1+Forecast!$B4))</f>
        <v>0</v>
      </c>
      <c r="P41" s="2">
        <f>MAX(0, O41*(1+Forecast!$B4))</f>
        <v>0</v>
      </c>
      <c r="Q41" s="2">
        <f>MAX(0, P41*(1+Forecast!$B4))</f>
        <v>0</v>
      </c>
      <c r="R41" s="2">
        <f>MAX(0, Q41*(1+Forecast!$B4))</f>
        <v>0</v>
      </c>
      <c r="S41" s="2">
        <f>MAX(0, R41*(1+Forecast!$B4))</f>
        <v>0</v>
      </c>
      <c r="T41" s="2">
        <f>MAX(0, S41*(1+Forecast!$B4))</f>
        <v>0</v>
      </c>
      <c r="U41" s="2">
        <f>MAX(0, T41*(1+Forecast!$B4))</f>
        <v>0</v>
      </c>
      <c r="V41" s="2">
        <f>MAX(0, U41*(1+Forecast!$B4))</f>
        <v>0</v>
      </c>
      <c r="W41" s="2">
        <f>MAX(0, V41*(1+Forecast!$B4))</f>
        <v>0</v>
      </c>
      <c r="X41" s="2">
        <f>MAX(0, W41*(1+Forecast!$B4))</f>
        <v>0</v>
      </c>
      <c r="Y41" s="2">
        <f>MAX(0, X41*(1+Forecast!$B4))</f>
        <v>0</v>
      </c>
      <c r="Z41" s="2">
        <f>MAX(0, Y41*(1+Forecast!$B4))</f>
        <v>0</v>
      </c>
      <c r="AA41" s="2">
        <f>MAX(0, Z41*(1+Forecast!$B4))</f>
        <v>0</v>
      </c>
      <c r="AB41" s="2">
        <f>MAX(0, AA41*(1+Forecast!$B4))</f>
        <v>0</v>
      </c>
      <c r="AC41" s="2">
        <f>MAX(0, AB41*(1+Forecast!$B4))</f>
        <v>0</v>
      </c>
      <c r="AD41" s="2">
        <f>MAX(0, AC41*(1+Forecast!$B4))</f>
        <v>0</v>
      </c>
      <c r="AE41" s="2">
        <f>MAX(0, AD41*(1+Forecast!$B4))</f>
        <v>0</v>
      </c>
      <c r="AF41" s="2">
        <f>MAX(0, AE41*(1+Forecast!$B4))</f>
        <v>0</v>
      </c>
      <c r="AG41" s="2">
        <f>MAX(0, AF41*(1+Forecast!$B4))</f>
        <v>0</v>
      </c>
      <c r="AH41" s="2"/>
      <c r="AI41" s="2"/>
    </row>
    <row r="42" spans="1:35" x14ac:dyDescent="0.3">
      <c r="A42" s="16" t="s">
        <v>4</v>
      </c>
      <c r="B42" s="2">
        <f>INDEX(SYCEU!$B$26:$G$35, MATCH($A42, SYCEU!$A$2:$A$11, 0), MATCH(Rural_res_calculation!$A$39, SYCEU!$B$1:$G$1, 0))</f>
        <v>0</v>
      </c>
      <c r="C42" s="2">
        <f>INDEX('2020'!$B$26:$G$35, MATCH($A42, '2020'!$A$2:$A$11, 0), MATCH(Rural_res_calculation!$A$39, '2020'!$B$1:$G$1, 0))</f>
        <v>0</v>
      </c>
      <c r="D42" s="2">
        <f>INDEX('2021'!$B$26:$G$35, MATCH($A42, '2021'!$A$2:$A$11, 0), MATCH(Rural_res_calculation!$A$39, '2021'!$B$1:$G$1, 0))</f>
        <v>0</v>
      </c>
      <c r="E42" s="2">
        <f>MAX(0, D42*(1+Forecast!$B5))</f>
        <v>0</v>
      </c>
      <c r="F42" s="2">
        <f>MAX(0, E42*(1+Forecast!$B5))</f>
        <v>0</v>
      </c>
      <c r="G42" s="2">
        <f>MAX(0, F42*(1+Forecast!$B5))</f>
        <v>0</v>
      </c>
      <c r="H42" s="2">
        <f>MAX(0, G42*(1+Forecast!$B5))</f>
        <v>0</v>
      </c>
      <c r="I42" s="2">
        <f>MAX(0, H42*(1+Forecast!$B5))</f>
        <v>0</v>
      </c>
      <c r="J42" s="2">
        <f>MAX(0, I42*(1+Forecast!$B5))</f>
        <v>0</v>
      </c>
      <c r="K42" s="2">
        <f>MAX(0, J42*(1+Forecast!$B5))</f>
        <v>0</v>
      </c>
      <c r="L42" s="2">
        <f>MAX(0, K42*(1+Forecast!$B5))</f>
        <v>0</v>
      </c>
      <c r="M42" s="2">
        <f>MAX(0, L42*(1+Forecast!$B5))</f>
        <v>0</v>
      </c>
      <c r="N42" s="2">
        <f>MAX(0, M42*(1+Forecast!$B5))</f>
        <v>0</v>
      </c>
      <c r="O42" s="2">
        <f>MAX(0, N42*(1+Forecast!$B5))</f>
        <v>0</v>
      </c>
      <c r="P42" s="2">
        <f>MAX(0, O42*(1+Forecast!$B5))</f>
        <v>0</v>
      </c>
      <c r="Q42" s="2">
        <f>MAX(0, P42*(1+Forecast!$B5))</f>
        <v>0</v>
      </c>
      <c r="R42" s="2">
        <f>MAX(0, Q42*(1+Forecast!$B5))</f>
        <v>0</v>
      </c>
      <c r="S42" s="2">
        <f>MAX(0, R42*(1+Forecast!$B5))</f>
        <v>0</v>
      </c>
      <c r="T42" s="2">
        <f>MAX(0, S42*(1+Forecast!$B5))</f>
        <v>0</v>
      </c>
      <c r="U42" s="2">
        <f>MAX(0, T42*(1+Forecast!$B5))</f>
        <v>0</v>
      </c>
      <c r="V42" s="2">
        <f>MAX(0, U42*(1+Forecast!$B5))</f>
        <v>0</v>
      </c>
      <c r="W42" s="2">
        <f>MAX(0, V42*(1+Forecast!$B5))</f>
        <v>0</v>
      </c>
      <c r="X42" s="2">
        <f>MAX(0, W42*(1+Forecast!$B5))</f>
        <v>0</v>
      </c>
      <c r="Y42" s="2">
        <f>MAX(0, X42*(1+Forecast!$B5))</f>
        <v>0</v>
      </c>
      <c r="Z42" s="2">
        <f>MAX(0, Y42*(1+Forecast!$B5))</f>
        <v>0</v>
      </c>
      <c r="AA42" s="2">
        <f>MAX(0, Z42*(1+Forecast!$B5))</f>
        <v>0</v>
      </c>
      <c r="AB42" s="2">
        <f>MAX(0, AA42*(1+Forecast!$B5))</f>
        <v>0</v>
      </c>
      <c r="AC42" s="2">
        <f>MAX(0, AB42*(1+Forecast!$B5))</f>
        <v>0</v>
      </c>
      <c r="AD42" s="2">
        <f>MAX(0, AC42*(1+Forecast!$B5))</f>
        <v>0</v>
      </c>
      <c r="AE42" s="2">
        <f>MAX(0, AD42*(1+Forecast!$B5))</f>
        <v>0</v>
      </c>
      <c r="AF42" s="2">
        <f>MAX(0, AE42*(1+Forecast!$B5))</f>
        <v>0</v>
      </c>
      <c r="AG42" s="2">
        <f>MAX(0, AF42*(1+Forecast!$B5))</f>
        <v>0</v>
      </c>
      <c r="AH42" s="2"/>
      <c r="AI42" s="2"/>
    </row>
    <row r="43" spans="1:35" x14ac:dyDescent="0.3">
      <c r="A43" s="16" t="s">
        <v>5</v>
      </c>
      <c r="B43" s="2">
        <f>INDEX(SYCEU!$B$26:$G$35, MATCH($A43, SYCEU!$A$2:$A$11, 0), MATCH(Rural_res_calculation!$A$39, SYCEU!$B$1:$G$1, 0))</f>
        <v>0</v>
      </c>
      <c r="C43" s="2">
        <f>INDEX('2020'!$B$26:$G$35, MATCH($A43, '2020'!$A$2:$A$11, 0), MATCH(Rural_res_calculation!$A$39, '2020'!$B$1:$G$1, 0))</f>
        <v>0</v>
      </c>
      <c r="D43" s="2">
        <f>INDEX('2021'!$B$26:$G$35, MATCH($A43, '2021'!$A$2:$A$11, 0), MATCH(Rural_res_calculation!$A$39, '2021'!$B$1:$G$1, 0))</f>
        <v>0</v>
      </c>
      <c r="E43" s="2">
        <f>MAX(0, D43*(1+Forecast!$B6))</f>
        <v>0</v>
      </c>
      <c r="F43" s="2">
        <f>MAX(0, E43*(1+Forecast!$B6))</f>
        <v>0</v>
      </c>
      <c r="G43" s="2">
        <f>MAX(0, F43*(1+Forecast!$B6))</f>
        <v>0</v>
      </c>
      <c r="H43" s="2">
        <f>MAX(0, G43*(1+Forecast!$B6))</f>
        <v>0</v>
      </c>
      <c r="I43" s="2">
        <f>MAX(0, H43*(1+Forecast!$B6))</f>
        <v>0</v>
      </c>
      <c r="J43" s="2">
        <f>MAX(0, I43*(1+Forecast!$B6))</f>
        <v>0</v>
      </c>
      <c r="K43" s="2">
        <f>MAX(0, J43*(1+Forecast!$B6))</f>
        <v>0</v>
      </c>
      <c r="L43" s="2">
        <f>MAX(0, K43*(1+Forecast!$B6))</f>
        <v>0</v>
      </c>
      <c r="M43" s="2">
        <f>MAX(0, L43*(1+Forecast!$B6))</f>
        <v>0</v>
      </c>
      <c r="N43" s="2">
        <f>MAX(0, M43*(1+Forecast!$B6))</f>
        <v>0</v>
      </c>
      <c r="O43" s="2">
        <f>MAX(0, N43*(1+Forecast!$B6))</f>
        <v>0</v>
      </c>
      <c r="P43" s="2">
        <f>MAX(0, O43*(1+Forecast!$B6))</f>
        <v>0</v>
      </c>
      <c r="Q43" s="2">
        <f>MAX(0, P43*(1+Forecast!$B6))</f>
        <v>0</v>
      </c>
      <c r="R43" s="2">
        <f>MAX(0, Q43*(1+Forecast!$B6))</f>
        <v>0</v>
      </c>
      <c r="S43" s="2">
        <f>MAX(0, R43*(1+Forecast!$B6))</f>
        <v>0</v>
      </c>
      <c r="T43" s="2">
        <f>MAX(0, S43*(1+Forecast!$B6))</f>
        <v>0</v>
      </c>
      <c r="U43" s="2">
        <f>MAX(0, T43*(1+Forecast!$B6))</f>
        <v>0</v>
      </c>
      <c r="V43" s="2">
        <f>MAX(0, U43*(1+Forecast!$B6))</f>
        <v>0</v>
      </c>
      <c r="W43" s="2">
        <f>MAX(0, V43*(1+Forecast!$B6))</f>
        <v>0</v>
      </c>
      <c r="X43" s="2">
        <f>MAX(0, W43*(1+Forecast!$B6))</f>
        <v>0</v>
      </c>
      <c r="Y43" s="2">
        <f>MAX(0, X43*(1+Forecast!$B6))</f>
        <v>0</v>
      </c>
      <c r="Z43" s="2">
        <f>MAX(0, Y43*(1+Forecast!$B6))</f>
        <v>0</v>
      </c>
      <c r="AA43" s="2">
        <f>MAX(0, Z43*(1+Forecast!$B6))</f>
        <v>0</v>
      </c>
      <c r="AB43" s="2">
        <f>MAX(0, AA43*(1+Forecast!$B6))</f>
        <v>0</v>
      </c>
      <c r="AC43" s="2">
        <f>MAX(0, AB43*(1+Forecast!$B6))</f>
        <v>0</v>
      </c>
      <c r="AD43" s="2">
        <f>MAX(0, AC43*(1+Forecast!$B6))</f>
        <v>0</v>
      </c>
      <c r="AE43" s="2">
        <f>MAX(0, AD43*(1+Forecast!$B6))</f>
        <v>0</v>
      </c>
      <c r="AF43" s="2">
        <f>MAX(0, AE43*(1+Forecast!$B6))</f>
        <v>0</v>
      </c>
      <c r="AG43" s="2">
        <f>MAX(0, AF43*(1+Forecast!$B6))</f>
        <v>0</v>
      </c>
      <c r="AH43" s="2"/>
      <c r="AI43" s="2"/>
    </row>
    <row r="44" spans="1:35" x14ac:dyDescent="0.3">
      <c r="A44" s="16" t="s">
        <v>7</v>
      </c>
      <c r="B44" s="2">
        <f>INDEX(SYCEU!$B$26:$G$35, MATCH($A44, SYCEU!$A$2:$A$11, 0), MATCH(Rural_res_calculation!$A$39, SYCEU!$B$1:$G$1, 0))</f>
        <v>0</v>
      </c>
      <c r="C44" s="2">
        <f>INDEX('2020'!$B$26:$G$35, MATCH($A44, '2020'!$A$2:$A$11, 0), MATCH(Rural_res_calculation!$A$39, '2020'!$B$1:$G$1, 0))</f>
        <v>0</v>
      </c>
      <c r="D44" s="2">
        <f>INDEX('2021'!$B$26:$G$35, MATCH($A44, '2021'!$A$2:$A$11, 0), MATCH(Rural_res_calculation!$A$39, '2021'!$B$1:$G$1, 0))</f>
        <v>0</v>
      </c>
      <c r="E44" s="2">
        <f>MAX(0, D44*(1+Forecast!$B7))</f>
        <v>0</v>
      </c>
      <c r="F44" s="2">
        <f>MAX(0, E44*(1+Forecast!$B7))</f>
        <v>0</v>
      </c>
      <c r="G44" s="2">
        <f>MAX(0, F44*(1+Forecast!$B7))</f>
        <v>0</v>
      </c>
      <c r="H44" s="2">
        <f>MAX(0, G44*(1+Forecast!$B7))</f>
        <v>0</v>
      </c>
      <c r="I44" s="2">
        <f>MAX(0, H44*(1+Forecast!$B7))</f>
        <v>0</v>
      </c>
      <c r="J44" s="2">
        <f>MAX(0, I44*(1+Forecast!$B7))</f>
        <v>0</v>
      </c>
      <c r="K44" s="2">
        <f>MAX(0, J44*(1+Forecast!$B7))</f>
        <v>0</v>
      </c>
      <c r="L44" s="2">
        <f>MAX(0, K44*(1+Forecast!$B7))</f>
        <v>0</v>
      </c>
      <c r="M44" s="2">
        <f>MAX(0, L44*(1+Forecast!$B7))</f>
        <v>0</v>
      </c>
      <c r="N44" s="2">
        <f>MAX(0, M44*(1+Forecast!$B7))</f>
        <v>0</v>
      </c>
      <c r="O44" s="2">
        <f>MAX(0, N44*(1+Forecast!$B7))</f>
        <v>0</v>
      </c>
      <c r="P44" s="2">
        <f>MAX(0, O44*(1+Forecast!$B7))</f>
        <v>0</v>
      </c>
      <c r="Q44" s="2">
        <f>MAX(0, P44*(1+Forecast!$B7))</f>
        <v>0</v>
      </c>
      <c r="R44" s="2">
        <f>MAX(0, Q44*(1+Forecast!$B7))</f>
        <v>0</v>
      </c>
      <c r="S44" s="2">
        <f>MAX(0, R44*(1+Forecast!$B7))</f>
        <v>0</v>
      </c>
      <c r="T44" s="2">
        <f>MAX(0, S44*(1+Forecast!$B7))</f>
        <v>0</v>
      </c>
      <c r="U44" s="2">
        <f>MAX(0, T44*(1+Forecast!$B7))</f>
        <v>0</v>
      </c>
      <c r="V44" s="2">
        <f>MAX(0, U44*(1+Forecast!$B7))</f>
        <v>0</v>
      </c>
      <c r="W44" s="2">
        <f>MAX(0, V44*(1+Forecast!$B7))</f>
        <v>0</v>
      </c>
      <c r="X44" s="2">
        <f>MAX(0, W44*(1+Forecast!$B7))</f>
        <v>0</v>
      </c>
      <c r="Y44" s="2">
        <f>MAX(0, X44*(1+Forecast!$B7))</f>
        <v>0</v>
      </c>
      <c r="Z44" s="2">
        <f>MAX(0, Y44*(1+Forecast!$B7))</f>
        <v>0</v>
      </c>
      <c r="AA44" s="2">
        <f>MAX(0, Z44*(1+Forecast!$B7))</f>
        <v>0</v>
      </c>
      <c r="AB44" s="2">
        <f>MAX(0, AA44*(1+Forecast!$B7))</f>
        <v>0</v>
      </c>
      <c r="AC44" s="2">
        <f>MAX(0, AB44*(1+Forecast!$B7))</f>
        <v>0</v>
      </c>
      <c r="AD44" s="2">
        <f>MAX(0, AC44*(1+Forecast!$B7))</f>
        <v>0</v>
      </c>
      <c r="AE44" s="2">
        <f>MAX(0, AD44*(1+Forecast!$B7))</f>
        <v>0</v>
      </c>
      <c r="AF44" s="2">
        <f>MAX(0, AE44*(1+Forecast!$B7))</f>
        <v>0</v>
      </c>
      <c r="AG44" s="2">
        <f>MAX(0, AF44*(1+Forecast!$B7))</f>
        <v>0</v>
      </c>
      <c r="AH44" s="2"/>
      <c r="AI44" s="2"/>
    </row>
    <row r="45" spans="1:35" x14ac:dyDescent="0.3">
      <c r="A45" s="16" t="s">
        <v>11</v>
      </c>
      <c r="B45" s="2">
        <f>INDEX(SYCEU!$B$26:$G$35, MATCH($A45, SYCEU!$A$2:$A$11, 0), MATCH(Rural_res_calculation!$A$39, SYCEU!$B$1:$G$1, 0))</f>
        <v>0</v>
      </c>
      <c r="C45" s="2">
        <f>INDEX('2020'!$B$26:$G$35, MATCH($A45, '2020'!$A$2:$A$11, 0), MATCH(Rural_res_calculation!$A$39, '2020'!$B$1:$G$1, 0))</f>
        <v>0</v>
      </c>
      <c r="D45" s="2">
        <f>INDEX('2021'!$B$26:$G$35, MATCH($A45, '2021'!$A$2:$A$11, 0), MATCH(Rural_res_calculation!$A$39, '2021'!$B$1:$G$1, 0))</f>
        <v>0</v>
      </c>
      <c r="E45" s="2">
        <f>MAX(0, D45*(1+Forecast!$B8))</f>
        <v>0</v>
      </c>
      <c r="F45" s="2">
        <f>MAX(0, E45*(1+Forecast!$B8))</f>
        <v>0</v>
      </c>
      <c r="G45" s="2">
        <f>MAX(0, F45*(1+Forecast!$B8))</f>
        <v>0</v>
      </c>
      <c r="H45" s="2">
        <f>MAX(0, G45*(1+Forecast!$B8))</f>
        <v>0</v>
      </c>
      <c r="I45" s="2">
        <f>MAX(0, H45*(1+Forecast!$B8))</f>
        <v>0</v>
      </c>
      <c r="J45" s="2">
        <f>MAX(0, I45*(1+Forecast!$B8))</f>
        <v>0</v>
      </c>
      <c r="K45" s="2">
        <f>MAX(0, J45*(1+Forecast!$B8))</f>
        <v>0</v>
      </c>
      <c r="L45" s="2">
        <f>MAX(0, K45*(1+Forecast!$B8))</f>
        <v>0</v>
      </c>
      <c r="M45" s="2">
        <f>MAX(0, L45*(1+Forecast!$B8))</f>
        <v>0</v>
      </c>
      <c r="N45" s="2">
        <f>MAX(0, M45*(1+Forecast!$B8))</f>
        <v>0</v>
      </c>
      <c r="O45" s="2">
        <f>MAX(0, N45*(1+Forecast!$B8))</f>
        <v>0</v>
      </c>
      <c r="P45" s="2">
        <f>MAX(0, O45*(1+Forecast!$B8))</f>
        <v>0</v>
      </c>
      <c r="Q45" s="2">
        <f>MAX(0, P45*(1+Forecast!$B8))</f>
        <v>0</v>
      </c>
      <c r="R45" s="2">
        <f>MAX(0, Q45*(1+Forecast!$B8))</f>
        <v>0</v>
      </c>
      <c r="S45" s="2">
        <f>MAX(0, R45*(1+Forecast!$B8))</f>
        <v>0</v>
      </c>
      <c r="T45" s="2">
        <f>MAX(0, S45*(1+Forecast!$B8))</f>
        <v>0</v>
      </c>
      <c r="U45" s="2">
        <f>MAX(0, T45*(1+Forecast!$B8))</f>
        <v>0</v>
      </c>
      <c r="V45" s="2">
        <f>MAX(0, U45*(1+Forecast!$B8))</f>
        <v>0</v>
      </c>
      <c r="W45" s="2">
        <f>MAX(0, V45*(1+Forecast!$B8))</f>
        <v>0</v>
      </c>
      <c r="X45" s="2">
        <f>MAX(0, W45*(1+Forecast!$B8))</f>
        <v>0</v>
      </c>
      <c r="Y45" s="2">
        <f>MAX(0, X45*(1+Forecast!$B8))</f>
        <v>0</v>
      </c>
      <c r="Z45" s="2">
        <f>MAX(0, Y45*(1+Forecast!$B8))</f>
        <v>0</v>
      </c>
      <c r="AA45" s="2">
        <f>MAX(0, Z45*(1+Forecast!$B8))</f>
        <v>0</v>
      </c>
      <c r="AB45" s="2">
        <f>MAX(0, AA45*(1+Forecast!$B8))</f>
        <v>0</v>
      </c>
      <c r="AC45" s="2">
        <f>MAX(0, AB45*(1+Forecast!$B8))</f>
        <v>0</v>
      </c>
      <c r="AD45" s="2">
        <f>MAX(0, AC45*(1+Forecast!$B8))</f>
        <v>0</v>
      </c>
      <c r="AE45" s="2">
        <f>MAX(0, AD45*(1+Forecast!$B8))</f>
        <v>0</v>
      </c>
      <c r="AF45" s="2">
        <f>MAX(0, AE45*(1+Forecast!$B8))</f>
        <v>0</v>
      </c>
      <c r="AG45" s="2">
        <f>MAX(0, AF45*(1+Forecast!$B8))</f>
        <v>0</v>
      </c>
      <c r="AH45" s="2"/>
      <c r="AI45" s="2"/>
    </row>
    <row r="46" spans="1:35" x14ac:dyDescent="0.3">
      <c r="A46" s="16" t="s">
        <v>13</v>
      </c>
      <c r="B46" s="2">
        <f>INDEX(SYCEU!$B$26:$G$35, MATCH($A46, SYCEU!$A$2:$A$11, 0), MATCH(Rural_res_calculation!$A$39, SYCEU!$B$1:$G$1, 0))</f>
        <v>0</v>
      </c>
      <c r="C46" s="2">
        <f>INDEX('2020'!$B$26:$G$35, MATCH($A46, '2020'!$A$2:$A$11, 0), MATCH(Rural_res_calculation!$A$39, '2020'!$B$1:$G$1, 0))</f>
        <v>0</v>
      </c>
      <c r="D46" s="2">
        <f>INDEX('2021'!$B$26:$G$35, MATCH($A46, '2021'!$A$2:$A$11, 0), MATCH(Rural_res_calculation!$A$39, '2021'!$B$1:$G$1, 0))</f>
        <v>0</v>
      </c>
      <c r="E46" s="2">
        <f>MAX(0, D46*(1+Forecast!$B9))</f>
        <v>0</v>
      </c>
      <c r="F46" s="2">
        <f>MAX(0, E46*(1+Forecast!$B9))</f>
        <v>0</v>
      </c>
      <c r="G46" s="2">
        <f>MAX(0, F46*(1+Forecast!$B9))</f>
        <v>0</v>
      </c>
      <c r="H46" s="2">
        <f>MAX(0, G46*(1+Forecast!$B9))</f>
        <v>0</v>
      </c>
      <c r="I46" s="2">
        <f>MAX(0, H46*(1+Forecast!$B9))</f>
        <v>0</v>
      </c>
      <c r="J46" s="2">
        <f>MAX(0, I46*(1+Forecast!$B9))</f>
        <v>0</v>
      </c>
      <c r="K46" s="2">
        <f>MAX(0, J46*(1+Forecast!$B9))</f>
        <v>0</v>
      </c>
      <c r="L46" s="2">
        <f>MAX(0, K46*(1+Forecast!$B9))</f>
        <v>0</v>
      </c>
      <c r="M46" s="2">
        <f>MAX(0, L46*(1+Forecast!$B9))</f>
        <v>0</v>
      </c>
      <c r="N46" s="2">
        <f>MAX(0, M46*(1+Forecast!$B9))</f>
        <v>0</v>
      </c>
      <c r="O46" s="2">
        <f>MAX(0, N46*(1+Forecast!$B9))</f>
        <v>0</v>
      </c>
      <c r="P46" s="2">
        <f>MAX(0, O46*(1+Forecast!$B9))</f>
        <v>0</v>
      </c>
      <c r="Q46" s="2">
        <f>MAX(0, P46*(1+Forecast!$B9))</f>
        <v>0</v>
      </c>
      <c r="R46" s="2">
        <f>MAX(0, Q46*(1+Forecast!$B9))</f>
        <v>0</v>
      </c>
      <c r="S46" s="2">
        <f>MAX(0, R46*(1+Forecast!$B9))</f>
        <v>0</v>
      </c>
      <c r="T46" s="2">
        <f>MAX(0, S46*(1+Forecast!$B9))</f>
        <v>0</v>
      </c>
      <c r="U46" s="2">
        <f>MAX(0, T46*(1+Forecast!$B9))</f>
        <v>0</v>
      </c>
      <c r="V46" s="2">
        <f>MAX(0, U46*(1+Forecast!$B9))</f>
        <v>0</v>
      </c>
      <c r="W46" s="2">
        <f>MAX(0, V46*(1+Forecast!$B9))</f>
        <v>0</v>
      </c>
      <c r="X46" s="2">
        <f>MAX(0, W46*(1+Forecast!$B9))</f>
        <v>0</v>
      </c>
      <c r="Y46" s="2">
        <f>MAX(0, X46*(1+Forecast!$B9))</f>
        <v>0</v>
      </c>
      <c r="Z46" s="2">
        <f>MAX(0, Y46*(1+Forecast!$B9))</f>
        <v>0</v>
      </c>
      <c r="AA46" s="2">
        <f>MAX(0, Z46*(1+Forecast!$B9))</f>
        <v>0</v>
      </c>
      <c r="AB46" s="2">
        <f>MAX(0, AA46*(1+Forecast!$B9))</f>
        <v>0</v>
      </c>
      <c r="AC46" s="2">
        <f>MAX(0, AB46*(1+Forecast!$B9))</f>
        <v>0</v>
      </c>
      <c r="AD46" s="2">
        <f>MAX(0, AC46*(1+Forecast!$B9))</f>
        <v>0</v>
      </c>
      <c r="AE46" s="2">
        <f>MAX(0, AD46*(1+Forecast!$B9))</f>
        <v>0</v>
      </c>
      <c r="AF46" s="2">
        <f>MAX(0, AE46*(1+Forecast!$B9))</f>
        <v>0</v>
      </c>
      <c r="AG46" s="2">
        <f>MAX(0, AF46*(1+Forecast!$B9))</f>
        <v>0</v>
      </c>
      <c r="AH46" s="2"/>
      <c r="AI46" s="2"/>
    </row>
    <row r="47" spans="1:35" x14ac:dyDescent="0.3">
      <c r="A47" s="16" t="s">
        <v>14</v>
      </c>
      <c r="B47" s="2">
        <f>INDEX(SYCEU!$B$26:$G$35, MATCH($A47, SYCEU!$A$2:$A$11, 0), MATCH(Rural_res_calculation!$A$39, SYCEU!$B$1:$G$1, 0))</f>
        <v>0</v>
      </c>
      <c r="C47" s="2">
        <f>INDEX('2020'!$B$26:$G$35, MATCH($A47, '2020'!$A$2:$A$11, 0), MATCH(Rural_res_calculation!$A$39, '2020'!$B$1:$G$1, 0))</f>
        <v>0</v>
      </c>
      <c r="D47" s="2">
        <f>INDEX('2021'!$B$26:$G$35, MATCH($A47, '2021'!$A$2:$A$11, 0), MATCH(Rural_res_calculation!$A$39, '2021'!$B$1:$G$1, 0))</f>
        <v>0</v>
      </c>
      <c r="E47" s="2">
        <f>MAX(0, D47*(1+Forecast!$B10))</f>
        <v>0</v>
      </c>
      <c r="F47" s="2">
        <f>MAX(0, E47*(1+Forecast!$B10))</f>
        <v>0</v>
      </c>
      <c r="G47" s="2">
        <f>MAX(0, F47*(1+Forecast!$B10))</f>
        <v>0</v>
      </c>
      <c r="H47" s="2">
        <f>MAX(0, G47*(1+Forecast!$B10))</f>
        <v>0</v>
      </c>
      <c r="I47" s="2">
        <f>MAX(0, H47*(1+Forecast!$B10))</f>
        <v>0</v>
      </c>
      <c r="J47" s="2">
        <f>MAX(0, I47*(1+Forecast!$B10))</f>
        <v>0</v>
      </c>
      <c r="K47" s="2">
        <f>MAX(0, J47*(1+Forecast!$B10))</f>
        <v>0</v>
      </c>
      <c r="L47" s="2">
        <f>MAX(0, K47*(1+Forecast!$B10))</f>
        <v>0</v>
      </c>
      <c r="M47" s="2">
        <f>MAX(0, L47*(1+Forecast!$B10))</f>
        <v>0</v>
      </c>
      <c r="N47" s="2">
        <f>MAX(0, M47*(1+Forecast!$B10))</f>
        <v>0</v>
      </c>
      <c r="O47" s="2">
        <f>MAX(0, N47*(1+Forecast!$B10))</f>
        <v>0</v>
      </c>
      <c r="P47" s="2">
        <f>MAX(0, O47*(1+Forecast!$B10))</f>
        <v>0</v>
      </c>
      <c r="Q47" s="2">
        <f>MAX(0, P47*(1+Forecast!$B10))</f>
        <v>0</v>
      </c>
      <c r="R47" s="2">
        <f>MAX(0, Q47*(1+Forecast!$B10))</f>
        <v>0</v>
      </c>
      <c r="S47" s="2">
        <f>MAX(0, R47*(1+Forecast!$B10))</f>
        <v>0</v>
      </c>
      <c r="T47" s="2">
        <f>MAX(0, S47*(1+Forecast!$B10))</f>
        <v>0</v>
      </c>
      <c r="U47" s="2">
        <f>MAX(0, T47*(1+Forecast!$B10))</f>
        <v>0</v>
      </c>
      <c r="V47" s="2">
        <f>MAX(0, U47*(1+Forecast!$B10))</f>
        <v>0</v>
      </c>
      <c r="W47" s="2">
        <f>MAX(0, V47*(1+Forecast!$B10))</f>
        <v>0</v>
      </c>
      <c r="X47" s="2">
        <f>MAX(0, W47*(1+Forecast!$B10))</f>
        <v>0</v>
      </c>
      <c r="Y47" s="2">
        <f>MAX(0, X47*(1+Forecast!$B10))</f>
        <v>0</v>
      </c>
      <c r="Z47" s="2">
        <f>MAX(0, Y47*(1+Forecast!$B10))</f>
        <v>0</v>
      </c>
      <c r="AA47" s="2">
        <f>MAX(0, Z47*(1+Forecast!$B10))</f>
        <v>0</v>
      </c>
      <c r="AB47" s="2">
        <f>MAX(0, AA47*(1+Forecast!$B10))</f>
        <v>0</v>
      </c>
      <c r="AC47" s="2">
        <f>MAX(0, AB47*(1+Forecast!$B10))</f>
        <v>0</v>
      </c>
      <c r="AD47" s="2">
        <f>MAX(0, AC47*(1+Forecast!$B10))</f>
        <v>0</v>
      </c>
      <c r="AE47" s="2">
        <f>MAX(0, AD47*(1+Forecast!$B10))</f>
        <v>0</v>
      </c>
      <c r="AF47" s="2">
        <f>MAX(0, AE47*(1+Forecast!$B10))</f>
        <v>0</v>
      </c>
      <c r="AG47" s="2">
        <f>MAX(0, AF47*(1+Forecast!$B10))</f>
        <v>0</v>
      </c>
      <c r="AH47" s="2"/>
      <c r="AI47" s="2"/>
    </row>
    <row r="48" spans="1:35" x14ac:dyDescent="0.3">
      <c r="A48" s="16" t="s">
        <v>15</v>
      </c>
      <c r="B48" s="2">
        <f>INDEX(SYCEU!$B$26:$G$35, MATCH($A48, SYCEU!$A$2:$A$11, 0), MATCH(Rural_res_calculation!$A$39, SYCEU!$B$1:$G$1, 0))</f>
        <v>0</v>
      </c>
      <c r="C48" s="2">
        <f>INDEX('2020'!$B$26:$G$35, MATCH($A48, '2020'!$A$2:$A$11, 0), MATCH(Rural_res_calculation!$A$39, '2020'!$B$1:$G$1, 0))</f>
        <v>0</v>
      </c>
      <c r="D48" s="2">
        <f>INDEX('2021'!$B$26:$G$35, MATCH($A48, '2021'!$A$2:$A$11, 0), MATCH(Rural_res_calculation!$A$39, '2021'!$B$1:$G$1, 0))</f>
        <v>0</v>
      </c>
      <c r="E48" s="2">
        <f>MAX(0, D48*(1+Forecast!$B11))</f>
        <v>0</v>
      </c>
      <c r="F48" s="2">
        <f>MAX(0, E48*(1+Forecast!$B11))</f>
        <v>0</v>
      </c>
      <c r="G48" s="2">
        <f>MAX(0, F48*(1+Forecast!$B11))</f>
        <v>0</v>
      </c>
      <c r="H48" s="2">
        <f>MAX(0, G48*(1+Forecast!$B11))</f>
        <v>0</v>
      </c>
      <c r="I48" s="2">
        <f>MAX(0, H48*(1+Forecast!$B11))</f>
        <v>0</v>
      </c>
      <c r="J48" s="2">
        <f>MAX(0, I48*(1+Forecast!$B11))</f>
        <v>0</v>
      </c>
      <c r="K48" s="2">
        <f>MAX(0, J48*(1+Forecast!$B11))</f>
        <v>0</v>
      </c>
      <c r="L48" s="2">
        <f>MAX(0, K48*(1+Forecast!$B11))</f>
        <v>0</v>
      </c>
      <c r="M48" s="2">
        <f>MAX(0, L48*(1+Forecast!$B11))</f>
        <v>0</v>
      </c>
      <c r="N48" s="2">
        <f>MAX(0, M48*(1+Forecast!$B11))</f>
        <v>0</v>
      </c>
      <c r="O48" s="2">
        <f>MAX(0, N48*(1+Forecast!$B11))</f>
        <v>0</v>
      </c>
      <c r="P48" s="2">
        <f>MAX(0, O48*(1+Forecast!$B11))</f>
        <v>0</v>
      </c>
      <c r="Q48" s="2">
        <f>MAX(0, P48*(1+Forecast!$B11))</f>
        <v>0</v>
      </c>
      <c r="R48" s="2">
        <f>MAX(0, Q48*(1+Forecast!$B11))</f>
        <v>0</v>
      </c>
      <c r="S48" s="2">
        <f>MAX(0, R48*(1+Forecast!$B11))</f>
        <v>0</v>
      </c>
      <c r="T48" s="2">
        <f>MAX(0, S48*(1+Forecast!$B11))</f>
        <v>0</v>
      </c>
      <c r="U48" s="2">
        <f>MAX(0, T48*(1+Forecast!$B11))</f>
        <v>0</v>
      </c>
      <c r="V48" s="2">
        <f>MAX(0, U48*(1+Forecast!$B11))</f>
        <v>0</v>
      </c>
      <c r="W48" s="2">
        <f>MAX(0, V48*(1+Forecast!$B11))</f>
        <v>0</v>
      </c>
      <c r="X48" s="2">
        <f>MAX(0, W48*(1+Forecast!$B11))</f>
        <v>0</v>
      </c>
      <c r="Y48" s="2">
        <f>MAX(0, X48*(1+Forecast!$B11))</f>
        <v>0</v>
      </c>
      <c r="Z48" s="2">
        <f>MAX(0, Y48*(1+Forecast!$B11))</f>
        <v>0</v>
      </c>
      <c r="AA48" s="2">
        <f>MAX(0, Z48*(1+Forecast!$B11))</f>
        <v>0</v>
      </c>
      <c r="AB48" s="2">
        <f>MAX(0, AA48*(1+Forecast!$B11))</f>
        <v>0</v>
      </c>
      <c r="AC48" s="2">
        <f>MAX(0, AB48*(1+Forecast!$B11))</f>
        <v>0</v>
      </c>
      <c r="AD48" s="2">
        <f>MAX(0, AC48*(1+Forecast!$B11))</f>
        <v>0</v>
      </c>
      <c r="AE48" s="2">
        <f>MAX(0, AD48*(1+Forecast!$B11))</f>
        <v>0</v>
      </c>
      <c r="AF48" s="2">
        <f>MAX(0, AE48*(1+Forecast!$B11))</f>
        <v>0</v>
      </c>
      <c r="AG48" s="2">
        <f>MAX(0, AF48*(1+Forecast!$B11))</f>
        <v>0</v>
      </c>
      <c r="AH48" s="2"/>
      <c r="AI48" s="2"/>
    </row>
    <row r="49" spans="1:35" x14ac:dyDescent="0.3">
      <c r="A49" s="16" t="s">
        <v>16</v>
      </c>
      <c r="B49" s="2">
        <f>INDEX(SYCEU!$B$26:$G$35, MATCH($A49, SYCEU!$A$2:$A$11, 0), MATCH(Rural_res_calculation!$A$39, SYCEU!$B$1:$G$1, 0))</f>
        <v>0</v>
      </c>
      <c r="C49" s="2">
        <f>INDEX('2020'!$B$26:$G$35, MATCH($A49, '2020'!$A$2:$A$11, 0), MATCH(Rural_res_calculation!$A$39, '2020'!$B$1:$G$1, 0))</f>
        <v>0</v>
      </c>
      <c r="D49" s="2">
        <f>INDEX('2021'!$B$26:$G$35, MATCH($A49, '2021'!$A$2:$A$11, 0), MATCH(Rural_res_calculation!$A$39, '2021'!$B$1:$G$1, 0))</f>
        <v>0</v>
      </c>
      <c r="E49" s="2">
        <f>MAX(0, D49*(1+Forecast!$B12))</f>
        <v>0</v>
      </c>
      <c r="F49" s="2">
        <f>MAX(0, E49*(1+Forecast!$B12))</f>
        <v>0</v>
      </c>
      <c r="G49" s="2">
        <f>MAX(0, F49*(1+Forecast!$B12))</f>
        <v>0</v>
      </c>
      <c r="H49" s="2">
        <f>MAX(0, G49*(1+Forecast!$B12))</f>
        <v>0</v>
      </c>
      <c r="I49" s="2">
        <f>MAX(0, H49*(1+Forecast!$B12))</f>
        <v>0</v>
      </c>
      <c r="J49" s="2">
        <f>MAX(0, I49*(1+Forecast!$B12))</f>
        <v>0</v>
      </c>
      <c r="K49" s="2">
        <f>MAX(0, J49*(1+Forecast!$B12))</f>
        <v>0</v>
      </c>
      <c r="L49" s="2">
        <f>MAX(0, K49*(1+Forecast!$B12))</f>
        <v>0</v>
      </c>
      <c r="M49" s="2">
        <f>MAX(0, L49*(1+Forecast!$B12))</f>
        <v>0</v>
      </c>
      <c r="N49" s="2">
        <f>MAX(0, M49*(1+Forecast!$B12))</f>
        <v>0</v>
      </c>
      <c r="O49" s="2">
        <f>MAX(0, N49*(1+Forecast!$B12))</f>
        <v>0</v>
      </c>
      <c r="P49" s="2">
        <f>MAX(0, O49*(1+Forecast!$B12))</f>
        <v>0</v>
      </c>
      <c r="Q49" s="2">
        <f>MAX(0, P49*(1+Forecast!$B12))</f>
        <v>0</v>
      </c>
      <c r="R49" s="2">
        <f>MAX(0, Q49*(1+Forecast!$B12))</f>
        <v>0</v>
      </c>
      <c r="S49" s="2">
        <f>MAX(0, R49*(1+Forecast!$B12))</f>
        <v>0</v>
      </c>
      <c r="T49" s="2">
        <f>MAX(0, S49*(1+Forecast!$B12))</f>
        <v>0</v>
      </c>
      <c r="U49" s="2">
        <f>MAX(0, T49*(1+Forecast!$B12))</f>
        <v>0</v>
      </c>
      <c r="V49" s="2">
        <f>MAX(0, U49*(1+Forecast!$B12))</f>
        <v>0</v>
      </c>
      <c r="W49" s="2">
        <f>MAX(0, V49*(1+Forecast!$B12))</f>
        <v>0</v>
      </c>
      <c r="X49" s="2">
        <f>MAX(0, W49*(1+Forecast!$B12))</f>
        <v>0</v>
      </c>
      <c r="Y49" s="2">
        <f>MAX(0, X49*(1+Forecast!$B12))</f>
        <v>0</v>
      </c>
      <c r="Z49" s="2">
        <f>MAX(0, Y49*(1+Forecast!$B12))</f>
        <v>0</v>
      </c>
      <c r="AA49" s="2">
        <f>MAX(0, Z49*(1+Forecast!$B12))</f>
        <v>0</v>
      </c>
      <c r="AB49" s="2">
        <f>MAX(0, AA49*(1+Forecast!$B12))</f>
        <v>0</v>
      </c>
      <c r="AC49" s="2">
        <f>MAX(0, AB49*(1+Forecast!$B12))</f>
        <v>0</v>
      </c>
      <c r="AD49" s="2">
        <f>MAX(0, AC49*(1+Forecast!$B12))</f>
        <v>0</v>
      </c>
      <c r="AE49" s="2">
        <f>MAX(0, AD49*(1+Forecast!$B12))</f>
        <v>0</v>
      </c>
      <c r="AF49" s="2">
        <f>MAX(0, AE49*(1+Forecast!$B12))</f>
        <v>0</v>
      </c>
      <c r="AG49" s="2">
        <f>MAX(0, AF49*(1+Forecast!$B12))</f>
        <v>0</v>
      </c>
      <c r="AH49" s="2"/>
      <c r="AI49" s="2"/>
    </row>
    <row r="51" spans="1:35" x14ac:dyDescent="0.3">
      <c r="A51" s="16" t="s">
        <v>46</v>
      </c>
      <c r="B51" s="1">
        <v>2019</v>
      </c>
      <c r="C51" s="1">
        <v>2020</v>
      </c>
      <c r="D51" s="1">
        <v>2021</v>
      </c>
      <c r="E51" s="1">
        <v>2022</v>
      </c>
      <c r="F51" s="1">
        <v>2023</v>
      </c>
      <c r="G51" s="1">
        <v>2024</v>
      </c>
      <c r="H51" s="1">
        <v>2025</v>
      </c>
      <c r="I51" s="1">
        <v>2026</v>
      </c>
      <c r="J51" s="1">
        <v>2027</v>
      </c>
      <c r="K51" s="1">
        <v>2028</v>
      </c>
      <c r="L51" s="1">
        <v>2029</v>
      </c>
      <c r="M51" s="1">
        <v>2030</v>
      </c>
      <c r="N51" s="1">
        <v>2031</v>
      </c>
      <c r="O51" s="1">
        <v>2032</v>
      </c>
      <c r="P51" s="1">
        <v>2033</v>
      </c>
      <c r="Q51" s="1">
        <v>2034</v>
      </c>
      <c r="R51" s="1">
        <v>2035</v>
      </c>
      <c r="S51" s="1">
        <v>2036</v>
      </c>
      <c r="T51" s="1">
        <v>2037</v>
      </c>
      <c r="U51" s="1">
        <v>2038</v>
      </c>
      <c r="V51" s="1">
        <v>2039</v>
      </c>
      <c r="W51" s="1">
        <v>2040</v>
      </c>
      <c r="X51" s="1">
        <v>2041</v>
      </c>
      <c r="Y51" s="1">
        <v>2042</v>
      </c>
      <c r="Z51" s="1">
        <v>2043</v>
      </c>
      <c r="AA51" s="1">
        <v>2044</v>
      </c>
      <c r="AB51" s="1">
        <v>2045</v>
      </c>
      <c r="AC51" s="1">
        <v>2046</v>
      </c>
      <c r="AD51" s="1">
        <v>2047</v>
      </c>
      <c r="AE51" s="1">
        <v>2048</v>
      </c>
      <c r="AF51" s="1">
        <v>2049</v>
      </c>
      <c r="AG51" s="1">
        <v>2050</v>
      </c>
      <c r="AH51" s="1"/>
      <c r="AI51" s="1"/>
    </row>
    <row r="52" spans="1:35" x14ac:dyDescent="0.3">
      <c r="A52" s="16" t="s">
        <v>2</v>
      </c>
      <c r="B52" s="2">
        <f>INDEX(SYCEU!$B$26:$G$35, MATCH($A52, SYCEU!$A$2:$A$11, 0), MATCH(Rural_res_calculation!$A$51, SYCEU!$B$1:$G$1, 0))</f>
        <v>14700000000000</v>
      </c>
      <c r="C52" s="2">
        <f>INDEX('2020'!$B$26:$G$35, MATCH($A52, '2020'!$A$2:$A$11, 0), MATCH(Rural_res_calculation!$A$51, '2020'!$B$1:$G$1, 0))</f>
        <v>14733906158527.971</v>
      </c>
      <c r="D52" s="2">
        <f>INDEX('2021'!$B$26:$G$35, MATCH($A52, '2021'!$A$2:$A$11, 0), MATCH(Rural_res_calculation!$A$51, '2021'!$B$1:$G$1, 0))</f>
        <v>16313730849927.158</v>
      </c>
      <c r="E52" s="2">
        <f>MAX(0, D52*(1+Forecast!$B3))</f>
        <v>16411613235026.721</v>
      </c>
      <c r="F52" s="2">
        <f>MAX(0, E52*(1+Forecast!$B3))</f>
        <v>16510082914436.881</v>
      </c>
      <c r="G52" s="2">
        <f>MAX(0, F52*(1+Forecast!$B3))</f>
        <v>16609143411923.502</v>
      </c>
      <c r="H52" s="2">
        <f>MAX(0, G52*(1+Forecast!$B3))</f>
        <v>16708798272395.043</v>
      </c>
      <c r="I52" s="2">
        <f>MAX(0, H52*(1+Forecast!$B3))</f>
        <v>16809051062029.414</v>
      </c>
      <c r="J52" s="2">
        <f>MAX(0, I52*(1+Forecast!$B3))</f>
        <v>16909905368401.59</v>
      </c>
      <c r="K52" s="2">
        <f>MAX(0, J52*(1+Forecast!$B3))</f>
        <v>17011364800612</v>
      </c>
      <c r="L52" s="2">
        <f>MAX(0, K52*(1+Forecast!$B3))</f>
        <v>17113432989415.672</v>
      </c>
      <c r="M52" s="2">
        <f>MAX(0, L52*(1+Forecast!$B3))</f>
        <v>17216113587352.166</v>
      </c>
      <c r="N52" s="2">
        <f>MAX(0, M52*(1+Forecast!$B3))</f>
        <v>17319410268876.279</v>
      </c>
      <c r="O52" s="2">
        <f>MAX(0, N52*(1+Forecast!$B3))</f>
        <v>17423326730489.537</v>
      </c>
      <c r="P52" s="2">
        <f>MAX(0, O52*(1+Forecast!$B3))</f>
        <v>17527866690872.475</v>
      </c>
      <c r="Q52" s="2">
        <f>MAX(0, P52*(1+Forecast!$B3))</f>
        <v>17633033891017.711</v>
      </c>
      <c r="R52" s="2">
        <f>MAX(0, Q52*(1+Forecast!$B3))</f>
        <v>17738832094363.816</v>
      </c>
      <c r="S52" s="2">
        <f>MAX(0, R52*(1+Forecast!$B3))</f>
        <v>17845265086930</v>
      </c>
      <c r="T52" s="2">
        <f>MAX(0, S52*(1+Forecast!$B3))</f>
        <v>17952336677451.582</v>
      </c>
      <c r="U52" s="2">
        <f>MAX(0, T52*(1+Forecast!$B3))</f>
        <v>18060050697516.293</v>
      </c>
      <c r="V52" s="2">
        <f>MAX(0, U52*(1+Forecast!$B3))</f>
        <v>18168411001701.391</v>
      </c>
      <c r="W52" s="2">
        <f>MAX(0, V52*(1+Forecast!$B3))</f>
        <v>18277421467711.598</v>
      </c>
      <c r="X52" s="2">
        <f>MAX(0, W52*(1+Forecast!$B3))</f>
        <v>18387085996517.867</v>
      </c>
      <c r="Y52" s="2">
        <f>MAX(0, X52*(1+Forecast!$B3))</f>
        <v>18497408512496.973</v>
      </c>
      <c r="Z52" s="2">
        <f>MAX(0, Y52*(1+Forecast!$B3))</f>
        <v>18608392963571.953</v>
      </c>
      <c r="AA52" s="2">
        <f>MAX(0, Z52*(1+Forecast!$B3))</f>
        <v>18720043321353.387</v>
      </c>
      <c r="AB52" s="2">
        <f>MAX(0, AA52*(1+Forecast!$B3))</f>
        <v>18832363581281.508</v>
      </c>
      <c r="AC52" s="2">
        <f>MAX(0, AB52*(1+Forecast!$B3))</f>
        <v>18945357762769.195</v>
      </c>
      <c r="AD52" s="2">
        <f>MAX(0, AC52*(1+Forecast!$B3))</f>
        <v>19059029909345.813</v>
      </c>
      <c r="AE52" s="2">
        <f>MAX(0, AD52*(1+Forecast!$B3))</f>
        <v>19173384088801.887</v>
      </c>
      <c r="AF52" s="2">
        <f>MAX(0, AE52*(1+Forecast!$B3))</f>
        <v>19288424393334.699</v>
      </c>
      <c r="AG52" s="2">
        <f>MAX(0, AF52*(1+Forecast!$B3))</f>
        <v>19404154939694.707</v>
      </c>
      <c r="AH52" s="2"/>
      <c r="AI52" s="2"/>
    </row>
    <row r="53" spans="1:35" x14ac:dyDescent="0.3">
      <c r="A53" s="16" t="s">
        <v>3</v>
      </c>
      <c r="B53" s="2">
        <f>INDEX(SYCEU!$B$26:$G$35, MATCH($A53, SYCEU!$A$2:$A$11, 0), MATCH(Rural_res_calculation!$A$51, SYCEU!$B$1:$G$1, 0))</f>
        <v>0</v>
      </c>
      <c r="C53" s="2">
        <f>INDEX('2020'!$B$26:$G$35, MATCH($A53, '2020'!$A$2:$A$11, 0), MATCH(Rural_res_calculation!$A$51, '2020'!$B$1:$G$1, 0))</f>
        <v>0</v>
      </c>
      <c r="D53" s="2">
        <f>INDEX('2021'!$B$26:$G$35, MATCH($A53, '2021'!$A$2:$A$11, 0), MATCH(Rural_res_calculation!$A$51, '2021'!$B$1:$G$1, 0))</f>
        <v>0</v>
      </c>
      <c r="E53" s="2">
        <f>MAX(0, D53*(1+Forecast!$B4))</f>
        <v>0</v>
      </c>
      <c r="F53" s="2">
        <f>MAX(0, E53*(1+Forecast!$B4))</f>
        <v>0</v>
      </c>
      <c r="G53" s="2">
        <f>MAX(0, F53*(1+Forecast!$B4))</f>
        <v>0</v>
      </c>
      <c r="H53" s="2">
        <f>MAX(0, G53*(1+Forecast!$B4))</f>
        <v>0</v>
      </c>
      <c r="I53" s="2">
        <f>MAX(0, H53*(1+Forecast!$B4))</f>
        <v>0</v>
      </c>
      <c r="J53" s="2">
        <f>MAX(0, I53*(1+Forecast!$B4))</f>
        <v>0</v>
      </c>
      <c r="K53" s="2">
        <f>MAX(0, J53*(1+Forecast!$B4))</f>
        <v>0</v>
      </c>
      <c r="L53" s="2">
        <f>MAX(0, K53*(1+Forecast!$B4))</f>
        <v>0</v>
      </c>
      <c r="M53" s="2">
        <f>MAX(0, L53*(1+Forecast!$B4))</f>
        <v>0</v>
      </c>
      <c r="N53" s="2">
        <f>MAX(0, M53*(1+Forecast!$B4))</f>
        <v>0</v>
      </c>
      <c r="O53" s="2">
        <f>MAX(0, N53*(1+Forecast!$B4))</f>
        <v>0</v>
      </c>
      <c r="P53" s="2">
        <f>MAX(0, O53*(1+Forecast!$B4))</f>
        <v>0</v>
      </c>
      <c r="Q53" s="2">
        <f>MAX(0, P53*(1+Forecast!$B4))</f>
        <v>0</v>
      </c>
      <c r="R53" s="2">
        <f>MAX(0, Q53*(1+Forecast!$B4))</f>
        <v>0</v>
      </c>
      <c r="S53" s="2">
        <f>MAX(0, R53*(1+Forecast!$B4))</f>
        <v>0</v>
      </c>
      <c r="T53" s="2">
        <f>MAX(0, S53*(1+Forecast!$B4))</f>
        <v>0</v>
      </c>
      <c r="U53" s="2">
        <f>MAX(0, T53*(1+Forecast!$B4))</f>
        <v>0</v>
      </c>
      <c r="V53" s="2">
        <f>MAX(0, U53*(1+Forecast!$B4))</f>
        <v>0</v>
      </c>
      <c r="W53" s="2">
        <f>MAX(0, V53*(1+Forecast!$B4))</f>
        <v>0</v>
      </c>
      <c r="X53" s="2">
        <f>MAX(0, W53*(1+Forecast!$B4))</f>
        <v>0</v>
      </c>
      <c r="Y53" s="2">
        <f>MAX(0, X53*(1+Forecast!$B4))</f>
        <v>0</v>
      </c>
      <c r="Z53" s="2">
        <f>MAX(0, Y53*(1+Forecast!$B4))</f>
        <v>0</v>
      </c>
      <c r="AA53" s="2">
        <f>MAX(0, Z53*(1+Forecast!$B4))</f>
        <v>0</v>
      </c>
      <c r="AB53" s="2">
        <f>MAX(0, AA53*(1+Forecast!$B4))</f>
        <v>0</v>
      </c>
      <c r="AC53" s="2">
        <f>MAX(0, AB53*(1+Forecast!$B4))</f>
        <v>0</v>
      </c>
      <c r="AD53" s="2">
        <f>MAX(0, AC53*(1+Forecast!$B4))</f>
        <v>0</v>
      </c>
      <c r="AE53" s="2">
        <f>MAX(0, AD53*(1+Forecast!$B4))</f>
        <v>0</v>
      </c>
      <c r="AF53" s="2">
        <f>MAX(0, AE53*(1+Forecast!$B4))</f>
        <v>0</v>
      </c>
      <c r="AG53" s="2">
        <f>MAX(0, AF53*(1+Forecast!$B4))</f>
        <v>0</v>
      </c>
      <c r="AH53" s="2"/>
      <c r="AI53" s="2"/>
    </row>
    <row r="54" spans="1:35" x14ac:dyDescent="0.3">
      <c r="A54" s="16" t="s">
        <v>4</v>
      </c>
      <c r="B54" s="2">
        <f>INDEX(SYCEU!$B$26:$G$35, MATCH($A54, SYCEU!$A$2:$A$11, 0), MATCH(Rural_res_calculation!$A$51, SYCEU!$B$1:$G$1, 0))</f>
        <v>6040000000000</v>
      </c>
      <c r="C54" s="2">
        <f>INDEX('2020'!$B$26:$G$35, MATCH($A54, '2020'!$A$2:$A$11, 0), MATCH(Rural_res_calculation!$A$51, '2020'!$B$1:$G$1, 0))</f>
        <v>5831481274974.9873</v>
      </c>
      <c r="D54" s="2">
        <f>INDEX('2021'!$B$26:$G$35, MATCH($A54, '2021'!$A$2:$A$11, 0), MATCH(Rural_res_calculation!$A$51, '2021'!$B$1:$G$1, 0))</f>
        <v>6121212334033.5098</v>
      </c>
      <c r="E54" s="2">
        <f>MAX(0, D54*(1+Forecast!$B5))</f>
        <v>6072242635361.2412</v>
      </c>
      <c r="F54" s="2">
        <f>MAX(0, E54*(1+Forecast!$B5))</f>
        <v>6023664694278.3516</v>
      </c>
      <c r="G54" s="2">
        <f>MAX(0, F54*(1+Forecast!$B5))</f>
        <v>5975475376724.125</v>
      </c>
      <c r="H54" s="2">
        <f>MAX(0, G54*(1+Forecast!$B5))</f>
        <v>5927671573710.332</v>
      </c>
      <c r="I54" s="2">
        <f>MAX(0, H54*(1+Forecast!$B5))</f>
        <v>5880250201120.6494</v>
      </c>
      <c r="J54" s="2">
        <f>MAX(0, I54*(1+Forecast!$B5))</f>
        <v>5833208199511.6846</v>
      </c>
      <c r="K54" s="2">
        <f>MAX(0, J54*(1+Forecast!$B5))</f>
        <v>5786542533915.5908</v>
      </c>
      <c r="L54" s="2">
        <f>MAX(0, K54*(1+Forecast!$B5))</f>
        <v>5740250193644.2656</v>
      </c>
      <c r="M54" s="2">
        <f>MAX(0, L54*(1+Forecast!$B5))</f>
        <v>5694328192095.1113</v>
      </c>
      <c r="N54" s="2">
        <f>MAX(0, M54*(1+Forecast!$B5))</f>
        <v>5648773566558.3506</v>
      </c>
      <c r="O54" s="2">
        <f>MAX(0, N54*(1+Forecast!$B5))</f>
        <v>5603583378025.8838</v>
      </c>
      <c r="P54" s="2">
        <f>MAX(0, O54*(1+Forecast!$B5))</f>
        <v>5558754711001.6768</v>
      </c>
      <c r="Q54" s="2">
        <f>MAX(0, P54*(1+Forecast!$B5))</f>
        <v>5514284673313.6631</v>
      </c>
      <c r="R54" s="2">
        <f>MAX(0, Q54*(1+Forecast!$B5))</f>
        <v>5470170395927.1533</v>
      </c>
      <c r="S54" s="2">
        <f>MAX(0, R54*(1+Forecast!$B5))</f>
        <v>5426409032759.7363</v>
      </c>
      <c r="T54" s="2">
        <f>MAX(0, S54*(1+Forecast!$B5))</f>
        <v>5382997760497.6582</v>
      </c>
      <c r="U54" s="2">
        <f>MAX(0, T54*(1+Forecast!$B5))</f>
        <v>5339933778413.6768</v>
      </c>
      <c r="V54" s="2">
        <f>MAX(0, U54*(1+Forecast!$B5))</f>
        <v>5297214308186.3672</v>
      </c>
      <c r="W54" s="2">
        <f>MAX(0, V54*(1+Forecast!$B5))</f>
        <v>5254836593720.876</v>
      </c>
      <c r="X54" s="2">
        <f>MAX(0, W54*(1+Forecast!$B5))</f>
        <v>5212797900971.1094</v>
      </c>
      <c r="Y54" s="2">
        <f>MAX(0, X54*(1+Forecast!$B5))</f>
        <v>5171095517763.3408</v>
      </c>
      <c r="Z54" s="2">
        <f>MAX(0, Y54*(1+Forecast!$B5))</f>
        <v>5129726753621.2344</v>
      </c>
      <c r="AA54" s="2">
        <f>MAX(0, Z54*(1+Forecast!$B5))</f>
        <v>5088688939592.2646</v>
      </c>
      <c r="AB54" s="2">
        <f>MAX(0, AA54*(1+Forecast!$B5))</f>
        <v>5047979428075.5264</v>
      </c>
      <c r="AC54" s="2">
        <f>MAX(0, AB54*(1+Forecast!$B5))</f>
        <v>5007595592650.9219</v>
      </c>
      <c r="AD54" s="2">
        <f>MAX(0, AC54*(1+Forecast!$B5))</f>
        <v>4967534827909.7148</v>
      </c>
      <c r="AE54" s="2">
        <f>MAX(0, AD54*(1+Forecast!$B5))</f>
        <v>4927794549286.4375</v>
      </c>
      <c r="AF54" s="2">
        <f>MAX(0, AE54*(1+Forecast!$B5))</f>
        <v>4888372192892.1455</v>
      </c>
      <c r="AG54" s="2">
        <f>MAX(0, AF54*(1+Forecast!$B5))</f>
        <v>4849265215349.0088</v>
      </c>
      <c r="AH54" s="2"/>
      <c r="AI54" s="2"/>
    </row>
    <row r="55" spans="1:35" x14ac:dyDescent="0.3">
      <c r="A55" s="16" t="s">
        <v>5</v>
      </c>
      <c r="B55" s="2">
        <f>INDEX(SYCEU!$B$26:$G$35, MATCH($A55, SYCEU!$A$2:$A$11, 0), MATCH(Rural_res_calculation!$A$51, SYCEU!$B$1:$G$1, 0))</f>
        <v>0</v>
      </c>
      <c r="C55" s="2">
        <f>INDEX('2020'!$B$26:$G$35, MATCH($A55, '2020'!$A$2:$A$11, 0), MATCH(Rural_res_calculation!$A$51, '2020'!$B$1:$G$1, 0))</f>
        <v>0</v>
      </c>
      <c r="D55" s="2">
        <f>INDEX('2021'!$B$26:$G$35, MATCH($A55, '2021'!$A$2:$A$11, 0), MATCH(Rural_res_calculation!$A$51, '2021'!$B$1:$G$1, 0))</f>
        <v>0</v>
      </c>
      <c r="E55" s="2">
        <f>MAX(0, D55*(1+Forecast!$B6))</f>
        <v>0</v>
      </c>
      <c r="F55" s="2">
        <f>MAX(0, E55*(1+Forecast!$B6))</f>
        <v>0</v>
      </c>
      <c r="G55" s="2">
        <f>MAX(0, F55*(1+Forecast!$B6))</f>
        <v>0</v>
      </c>
      <c r="H55" s="2">
        <f>MAX(0, G55*(1+Forecast!$B6))</f>
        <v>0</v>
      </c>
      <c r="I55" s="2">
        <f>MAX(0, H55*(1+Forecast!$B6))</f>
        <v>0</v>
      </c>
      <c r="J55" s="2">
        <f>MAX(0, I55*(1+Forecast!$B6))</f>
        <v>0</v>
      </c>
      <c r="K55" s="2">
        <f>MAX(0, J55*(1+Forecast!$B6))</f>
        <v>0</v>
      </c>
      <c r="L55" s="2">
        <f>MAX(0, K55*(1+Forecast!$B6))</f>
        <v>0</v>
      </c>
      <c r="M55" s="2">
        <f>MAX(0, L55*(1+Forecast!$B6))</f>
        <v>0</v>
      </c>
      <c r="N55" s="2">
        <f>MAX(0, M55*(1+Forecast!$B6))</f>
        <v>0</v>
      </c>
      <c r="O55" s="2">
        <f>MAX(0, N55*(1+Forecast!$B6))</f>
        <v>0</v>
      </c>
      <c r="P55" s="2">
        <f>MAX(0, O55*(1+Forecast!$B6))</f>
        <v>0</v>
      </c>
      <c r="Q55" s="2">
        <f>MAX(0, P55*(1+Forecast!$B6))</f>
        <v>0</v>
      </c>
      <c r="R55" s="2">
        <f>MAX(0, Q55*(1+Forecast!$B6))</f>
        <v>0</v>
      </c>
      <c r="S55" s="2">
        <f>MAX(0, R55*(1+Forecast!$B6))</f>
        <v>0</v>
      </c>
      <c r="T55" s="2">
        <f>MAX(0, S55*(1+Forecast!$B6))</f>
        <v>0</v>
      </c>
      <c r="U55" s="2">
        <f>MAX(0, T55*(1+Forecast!$B6))</f>
        <v>0</v>
      </c>
      <c r="V55" s="2">
        <f>MAX(0, U55*(1+Forecast!$B6))</f>
        <v>0</v>
      </c>
      <c r="W55" s="2">
        <f>MAX(0, V55*(1+Forecast!$B6))</f>
        <v>0</v>
      </c>
      <c r="X55" s="2">
        <f>MAX(0, W55*(1+Forecast!$B6))</f>
        <v>0</v>
      </c>
      <c r="Y55" s="2">
        <f>MAX(0, X55*(1+Forecast!$B6))</f>
        <v>0</v>
      </c>
      <c r="Z55" s="2">
        <f>MAX(0, Y55*(1+Forecast!$B6))</f>
        <v>0</v>
      </c>
      <c r="AA55" s="2">
        <f>MAX(0, Z55*(1+Forecast!$B6))</f>
        <v>0</v>
      </c>
      <c r="AB55" s="2">
        <f>MAX(0, AA55*(1+Forecast!$B6))</f>
        <v>0</v>
      </c>
      <c r="AC55" s="2">
        <f>MAX(0, AB55*(1+Forecast!$B6))</f>
        <v>0</v>
      </c>
      <c r="AD55" s="2">
        <f>MAX(0, AC55*(1+Forecast!$B6))</f>
        <v>0</v>
      </c>
      <c r="AE55" s="2">
        <f>MAX(0, AD55*(1+Forecast!$B6))</f>
        <v>0</v>
      </c>
      <c r="AF55" s="2">
        <f>MAX(0, AE55*(1+Forecast!$B6))</f>
        <v>0</v>
      </c>
      <c r="AG55" s="2">
        <f>MAX(0, AF55*(1+Forecast!$B6))</f>
        <v>0</v>
      </c>
      <c r="AH55" s="2"/>
      <c r="AI55" s="2"/>
    </row>
    <row r="56" spans="1:35" x14ac:dyDescent="0.3">
      <c r="A56" s="16" t="s">
        <v>7</v>
      </c>
      <c r="B56" s="2">
        <f>INDEX(SYCEU!$B$26:$G$35, MATCH($A56, SYCEU!$A$2:$A$11, 0), MATCH(Rural_res_calculation!$A$51, SYCEU!$B$1:$G$1, 0))</f>
        <v>0</v>
      </c>
      <c r="C56" s="2">
        <f>INDEX('2020'!$B$26:$G$35, MATCH($A56, '2020'!$A$2:$A$11, 0), MATCH(Rural_res_calculation!$A$51, '2020'!$B$1:$G$1, 0))</f>
        <v>0</v>
      </c>
      <c r="D56" s="2">
        <f>INDEX('2021'!$B$26:$G$35, MATCH($A56, '2021'!$A$2:$A$11, 0), MATCH(Rural_res_calculation!$A$51, '2021'!$B$1:$G$1, 0))</f>
        <v>0</v>
      </c>
      <c r="E56" s="2">
        <f>MAX(0, D56*(1+Forecast!$B7))</f>
        <v>0</v>
      </c>
      <c r="F56" s="2">
        <f>MAX(0, E56*(1+Forecast!$B7))</f>
        <v>0</v>
      </c>
      <c r="G56" s="2">
        <f>MAX(0, F56*(1+Forecast!$B7))</f>
        <v>0</v>
      </c>
      <c r="H56" s="2">
        <f>MAX(0, G56*(1+Forecast!$B7))</f>
        <v>0</v>
      </c>
      <c r="I56" s="2">
        <f>MAX(0, H56*(1+Forecast!$B7))</f>
        <v>0</v>
      </c>
      <c r="J56" s="2">
        <f>MAX(0, I56*(1+Forecast!$B7))</f>
        <v>0</v>
      </c>
      <c r="K56" s="2">
        <f>MAX(0, J56*(1+Forecast!$B7))</f>
        <v>0</v>
      </c>
      <c r="L56" s="2">
        <f>MAX(0, K56*(1+Forecast!$B7))</f>
        <v>0</v>
      </c>
      <c r="M56" s="2">
        <f>MAX(0, L56*(1+Forecast!$B7))</f>
        <v>0</v>
      </c>
      <c r="N56" s="2">
        <f>MAX(0, M56*(1+Forecast!$B7))</f>
        <v>0</v>
      </c>
      <c r="O56" s="2">
        <f>MAX(0, N56*(1+Forecast!$B7))</f>
        <v>0</v>
      </c>
      <c r="P56" s="2">
        <f>MAX(0, O56*(1+Forecast!$B7))</f>
        <v>0</v>
      </c>
      <c r="Q56" s="2">
        <f>MAX(0, P56*(1+Forecast!$B7))</f>
        <v>0</v>
      </c>
      <c r="R56" s="2">
        <f>MAX(0, Q56*(1+Forecast!$B7))</f>
        <v>0</v>
      </c>
      <c r="S56" s="2">
        <f>MAX(0, R56*(1+Forecast!$B7))</f>
        <v>0</v>
      </c>
      <c r="T56" s="2">
        <f>MAX(0, S56*(1+Forecast!$B7))</f>
        <v>0</v>
      </c>
      <c r="U56" s="2">
        <f>MAX(0, T56*(1+Forecast!$B7))</f>
        <v>0</v>
      </c>
      <c r="V56" s="2">
        <f>MAX(0, U56*(1+Forecast!$B7))</f>
        <v>0</v>
      </c>
      <c r="W56" s="2">
        <f>MAX(0, V56*(1+Forecast!$B7))</f>
        <v>0</v>
      </c>
      <c r="X56" s="2">
        <f>MAX(0, W56*(1+Forecast!$B7))</f>
        <v>0</v>
      </c>
      <c r="Y56" s="2">
        <f>MAX(0, X56*(1+Forecast!$B7))</f>
        <v>0</v>
      </c>
      <c r="Z56" s="2">
        <f>MAX(0, Y56*(1+Forecast!$B7))</f>
        <v>0</v>
      </c>
      <c r="AA56" s="2">
        <f>MAX(0, Z56*(1+Forecast!$B7))</f>
        <v>0</v>
      </c>
      <c r="AB56" s="2">
        <f>MAX(0, AA56*(1+Forecast!$B7))</f>
        <v>0</v>
      </c>
      <c r="AC56" s="2">
        <f>MAX(0, AB56*(1+Forecast!$B7))</f>
        <v>0</v>
      </c>
      <c r="AD56" s="2">
        <f>MAX(0, AC56*(1+Forecast!$B7))</f>
        <v>0</v>
      </c>
      <c r="AE56" s="2">
        <f>MAX(0, AD56*(1+Forecast!$B7))</f>
        <v>0</v>
      </c>
      <c r="AF56" s="2">
        <f>MAX(0, AE56*(1+Forecast!$B7))</f>
        <v>0</v>
      </c>
      <c r="AG56" s="2">
        <f>MAX(0, AF56*(1+Forecast!$B7))</f>
        <v>0</v>
      </c>
      <c r="AH56" s="2"/>
      <c r="AI56" s="2"/>
    </row>
    <row r="57" spans="1:35" x14ac:dyDescent="0.3">
      <c r="A57" s="16" t="s">
        <v>11</v>
      </c>
      <c r="B57" s="2">
        <f>INDEX(SYCEU!$B$26:$G$35, MATCH($A57, SYCEU!$A$2:$A$11, 0), MATCH(Rural_res_calculation!$A$51, SYCEU!$B$1:$G$1, 0))</f>
        <v>0</v>
      </c>
      <c r="C57" s="2">
        <f>INDEX('2020'!$B$26:$G$35, MATCH($A57, '2020'!$A$2:$A$11, 0), MATCH(Rural_res_calculation!$A$51, '2020'!$B$1:$G$1, 0))</f>
        <v>0</v>
      </c>
      <c r="D57" s="2">
        <f>INDEX('2021'!$B$26:$G$35, MATCH($A57, '2021'!$A$2:$A$11, 0), MATCH(Rural_res_calculation!$A$51, '2021'!$B$1:$G$1, 0))</f>
        <v>0</v>
      </c>
      <c r="E57" s="2">
        <f>MAX(0, D57*(1+Forecast!$B8))</f>
        <v>0</v>
      </c>
      <c r="F57" s="2">
        <f>MAX(0, E57*(1+Forecast!$B8))</f>
        <v>0</v>
      </c>
      <c r="G57" s="2">
        <f>MAX(0, F57*(1+Forecast!$B8))</f>
        <v>0</v>
      </c>
      <c r="H57" s="2">
        <f>MAX(0, G57*(1+Forecast!$B8))</f>
        <v>0</v>
      </c>
      <c r="I57" s="2">
        <f>MAX(0, H57*(1+Forecast!$B8))</f>
        <v>0</v>
      </c>
      <c r="J57" s="2">
        <f>MAX(0, I57*(1+Forecast!$B8))</f>
        <v>0</v>
      </c>
      <c r="K57" s="2">
        <f>MAX(0, J57*(1+Forecast!$B8))</f>
        <v>0</v>
      </c>
      <c r="L57" s="2">
        <f>MAX(0, K57*(1+Forecast!$B8))</f>
        <v>0</v>
      </c>
      <c r="M57" s="2">
        <f>MAX(0, L57*(1+Forecast!$B8))</f>
        <v>0</v>
      </c>
      <c r="N57" s="2">
        <f>MAX(0, M57*(1+Forecast!$B8))</f>
        <v>0</v>
      </c>
      <c r="O57" s="2">
        <f>MAX(0, N57*(1+Forecast!$B8))</f>
        <v>0</v>
      </c>
      <c r="P57" s="2">
        <f>MAX(0, O57*(1+Forecast!$B8))</f>
        <v>0</v>
      </c>
      <c r="Q57" s="2">
        <f>MAX(0, P57*(1+Forecast!$B8))</f>
        <v>0</v>
      </c>
      <c r="R57" s="2">
        <f>MAX(0, Q57*(1+Forecast!$B8))</f>
        <v>0</v>
      </c>
      <c r="S57" s="2">
        <f>MAX(0, R57*(1+Forecast!$B8))</f>
        <v>0</v>
      </c>
      <c r="T57" s="2">
        <f>MAX(0, S57*(1+Forecast!$B8))</f>
        <v>0</v>
      </c>
      <c r="U57" s="2">
        <f>MAX(0, T57*(1+Forecast!$B8))</f>
        <v>0</v>
      </c>
      <c r="V57" s="2">
        <f>MAX(0, U57*(1+Forecast!$B8))</f>
        <v>0</v>
      </c>
      <c r="W57" s="2">
        <f>MAX(0, V57*(1+Forecast!$B8))</f>
        <v>0</v>
      </c>
      <c r="X57" s="2">
        <f>MAX(0, W57*(1+Forecast!$B8))</f>
        <v>0</v>
      </c>
      <c r="Y57" s="2">
        <f>MAX(0, X57*(1+Forecast!$B8))</f>
        <v>0</v>
      </c>
      <c r="Z57" s="2">
        <f>MAX(0, Y57*(1+Forecast!$B8))</f>
        <v>0</v>
      </c>
      <c r="AA57" s="2">
        <f>MAX(0, Z57*(1+Forecast!$B8))</f>
        <v>0</v>
      </c>
      <c r="AB57" s="2">
        <f>MAX(0, AA57*(1+Forecast!$B8))</f>
        <v>0</v>
      </c>
      <c r="AC57" s="2">
        <f>MAX(0, AB57*(1+Forecast!$B8))</f>
        <v>0</v>
      </c>
      <c r="AD57" s="2">
        <f>MAX(0, AC57*(1+Forecast!$B8))</f>
        <v>0</v>
      </c>
      <c r="AE57" s="2">
        <f>MAX(0, AD57*(1+Forecast!$B8))</f>
        <v>0</v>
      </c>
      <c r="AF57" s="2">
        <f>MAX(0, AE57*(1+Forecast!$B8))</f>
        <v>0</v>
      </c>
      <c r="AG57" s="2">
        <f>MAX(0, AF57*(1+Forecast!$B8))</f>
        <v>0</v>
      </c>
      <c r="AH57" s="2"/>
      <c r="AI57" s="2"/>
    </row>
    <row r="58" spans="1:35" x14ac:dyDescent="0.3">
      <c r="A58" s="16" t="s">
        <v>13</v>
      </c>
      <c r="B58" s="2">
        <f>INDEX(SYCEU!$B$26:$G$35, MATCH($A58, SYCEU!$A$2:$A$11, 0), MATCH(Rural_res_calculation!$A$51, SYCEU!$B$1:$G$1, 0))</f>
        <v>0</v>
      </c>
      <c r="C58" s="2">
        <f>INDEX('2020'!$B$26:$G$35, MATCH($A58, '2020'!$A$2:$A$11, 0), MATCH(Rural_res_calculation!$A$51, '2020'!$B$1:$G$1, 0))</f>
        <v>0</v>
      </c>
      <c r="D58" s="2">
        <f>INDEX('2021'!$B$26:$G$35, MATCH($A58, '2021'!$A$2:$A$11, 0), MATCH(Rural_res_calculation!$A$51, '2021'!$B$1:$G$1, 0))</f>
        <v>0</v>
      </c>
      <c r="E58" s="2">
        <f>MAX(0, D58*(1+Forecast!$B9))</f>
        <v>0</v>
      </c>
      <c r="F58" s="2">
        <f>MAX(0, E58*(1+Forecast!$B9))</f>
        <v>0</v>
      </c>
      <c r="G58" s="2">
        <f>MAX(0, F58*(1+Forecast!$B9))</f>
        <v>0</v>
      </c>
      <c r="H58" s="2">
        <f>MAX(0, G58*(1+Forecast!$B9))</f>
        <v>0</v>
      </c>
      <c r="I58" s="2">
        <f>MAX(0, H58*(1+Forecast!$B9))</f>
        <v>0</v>
      </c>
      <c r="J58" s="2">
        <f>MAX(0, I58*(1+Forecast!$B9))</f>
        <v>0</v>
      </c>
      <c r="K58" s="2">
        <f>MAX(0, J58*(1+Forecast!$B9))</f>
        <v>0</v>
      </c>
      <c r="L58" s="2">
        <f>MAX(0, K58*(1+Forecast!$B9))</f>
        <v>0</v>
      </c>
      <c r="M58" s="2">
        <f>MAX(0, L58*(1+Forecast!$B9))</f>
        <v>0</v>
      </c>
      <c r="N58" s="2">
        <f>MAX(0, M58*(1+Forecast!$B9))</f>
        <v>0</v>
      </c>
      <c r="O58" s="2">
        <f>MAX(0, N58*(1+Forecast!$B9))</f>
        <v>0</v>
      </c>
      <c r="P58" s="2">
        <f>MAX(0, O58*(1+Forecast!$B9))</f>
        <v>0</v>
      </c>
      <c r="Q58" s="2">
        <f>MAX(0, P58*(1+Forecast!$B9))</f>
        <v>0</v>
      </c>
      <c r="R58" s="2">
        <f>MAX(0, Q58*(1+Forecast!$B9))</f>
        <v>0</v>
      </c>
      <c r="S58" s="2">
        <f>MAX(0, R58*(1+Forecast!$B9))</f>
        <v>0</v>
      </c>
      <c r="T58" s="2">
        <f>MAX(0, S58*(1+Forecast!$B9))</f>
        <v>0</v>
      </c>
      <c r="U58" s="2">
        <f>MAX(0, T58*(1+Forecast!$B9))</f>
        <v>0</v>
      </c>
      <c r="V58" s="2">
        <f>MAX(0, U58*(1+Forecast!$B9))</f>
        <v>0</v>
      </c>
      <c r="W58" s="2">
        <f>MAX(0, V58*(1+Forecast!$B9))</f>
        <v>0</v>
      </c>
      <c r="X58" s="2">
        <f>MAX(0, W58*(1+Forecast!$B9))</f>
        <v>0</v>
      </c>
      <c r="Y58" s="2">
        <f>MAX(0, X58*(1+Forecast!$B9))</f>
        <v>0</v>
      </c>
      <c r="Z58" s="2">
        <f>MAX(0, Y58*(1+Forecast!$B9))</f>
        <v>0</v>
      </c>
      <c r="AA58" s="2">
        <f>MAX(0, Z58*(1+Forecast!$B9))</f>
        <v>0</v>
      </c>
      <c r="AB58" s="2">
        <f>MAX(0, AA58*(1+Forecast!$B9))</f>
        <v>0</v>
      </c>
      <c r="AC58" s="2">
        <f>MAX(0, AB58*(1+Forecast!$B9))</f>
        <v>0</v>
      </c>
      <c r="AD58" s="2">
        <f>MAX(0, AC58*(1+Forecast!$B9))</f>
        <v>0</v>
      </c>
      <c r="AE58" s="2">
        <f>MAX(0, AD58*(1+Forecast!$B9))</f>
        <v>0</v>
      </c>
      <c r="AF58" s="2">
        <f>MAX(0, AE58*(1+Forecast!$B9))</f>
        <v>0</v>
      </c>
      <c r="AG58" s="2">
        <f>MAX(0, AF58*(1+Forecast!$B9))</f>
        <v>0</v>
      </c>
      <c r="AH58" s="2"/>
      <c r="AI58" s="2"/>
    </row>
    <row r="59" spans="1:35" x14ac:dyDescent="0.3">
      <c r="A59" s="16" t="s">
        <v>14</v>
      </c>
      <c r="B59" s="2">
        <f>INDEX(SYCEU!$B$26:$G$35, MATCH($A59, SYCEU!$A$2:$A$11, 0), MATCH(Rural_res_calculation!$A$51, SYCEU!$B$1:$G$1, 0))</f>
        <v>0</v>
      </c>
      <c r="C59" s="2">
        <f>INDEX('2020'!$B$26:$G$35, MATCH($A59, '2020'!$A$2:$A$11, 0), MATCH(Rural_res_calculation!$A$51, '2020'!$B$1:$G$1, 0))</f>
        <v>0</v>
      </c>
      <c r="D59" s="2">
        <f>INDEX('2021'!$B$26:$G$35, MATCH($A59, '2021'!$A$2:$A$11, 0), MATCH(Rural_res_calculation!$A$51, '2021'!$B$1:$G$1, 0))</f>
        <v>0</v>
      </c>
      <c r="E59" s="2">
        <f>MAX(0, D59*(1+Forecast!$B10))</f>
        <v>0</v>
      </c>
      <c r="F59" s="2">
        <f>MAX(0, E59*(1+Forecast!$B10))</f>
        <v>0</v>
      </c>
      <c r="G59" s="2">
        <f>MAX(0, F59*(1+Forecast!$B10))</f>
        <v>0</v>
      </c>
      <c r="H59" s="2">
        <f>MAX(0, G59*(1+Forecast!$B10))</f>
        <v>0</v>
      </c>
      <c r="I59" s="2">
        <f>MAX(0, H59*(1+Forecast!$B10))</f>
        <v>0</v>
      </c>
      <c r="J59" s="2">
        <f>MAX(0, I59*(1+Forecast!$B10))</f>
        <v>0</v>
      </c>
      <c r="K59" s="2">
        <f>MAX(0, J59*(1+Forecast!$B10))</f>
        <v>0</v>
      </c>
      <c r="L59" s="2">
        <f>MAX(0, K59*(1+Forecast!$B10))</f>
        <v>0</v>
      </c>
      <c r="M59" s="2">
        <f>MAX(0, L59*(1+Forecast!$B10))</f>
        <v>0</v>
      </c>
      <c r="N59" s="2">
        <f>MAX(0, M59*(1+Forecast!$B10))</f>
        <v>0</v>
      </c>
      <c r="O59" s="2">
        <f>MAX(0, N59*(1+Forecast!$B10))</f>
        <v>0</v>
      </c>
      <c r="P59" s="2">
        <f>MAX(0, O59*(1+Forecast!$B10))</f>
        <v>0</v>
      </c>
      <c r="Q59" s="2">
        <f>MAX(0, P59*(1+Forecast!$B10))</f>
        <v>0</v>
      </c>
      <c r="R59" s="2">
        <f>MAX(0, Q59*(1+Forecast!$B10))</f>
        <v>0</v>
      </c>
      <c r="S59" s="2">
        <f>MAX(0, R59*(1+Forecast!$B10))</f>
        <v>0</v>
      </c>
      <c r="T59" s="2">
        <f>MAX(0, S59*(1+Forecast!$B10))</f>
        <v>0</v>
      </c>
      <c r="U59" s="2">
        <f>MAX(0, T59*(1+Forecast!$B10))</f>
        <v>0</v>
      </c>
      <c r="V59" s="2">
        <f>MAX(0, U59*(1+Forecast!$B10))</f>
        <v>0</v>
      </c>
      <c r="W59" s="2">
        <f>MAX(0, V59*(1+Forecast!$B10))</f>
        <v>0</v>
      </c>
      <c r="X59" s="2">
        <f>MAX(0, W59*(1+Forecast!$B10))</f>
        <v>0</v>
      </c>
      <c r="Y59" s="2">
        <f>MAX(0, X59*(1+Forecast!$B10))</f>
        <v>0</v>
      </c>
      <c r="Z59" s="2">
        <f>MAX(0, Y59*(1+Forecast!$B10))</f>
        <v>0</v>
      </c>
      <c r="AA59" s="2">
        <f>MAX(0, Z59*(1+Forecast!$B10))</f>
        <v>0</v>
      </c>
      <c r="AB59" s="2">
        <f>MAX(0, AA59*(1+Forecast!$B10))</f>
        <v>0</v>
      </c>
      <c r="AC59" s="2">
        <f>MAX(0, AB59*(1+Forecast!$B10))</f>
        <v>0</v>
      </c>
      <c r="AD59" s="2">
        <f>MAX(0, AC59*(1+Forecast!$B10))</f>
        <v>0</v>
      </c>
      <c r="AE59" s="2">
        <f>MAX(0, AD59*(1+Forecast!$B10))</f>
        <v>0</v>
      </c>
      <c r="AF59" s="2">
        <f>MAX(0, AE59*(1+Forecast!$B10))</f>
        <v>0</v>
      </c>
      <c r="AG59" s="2">
        <f>MAX(0, AF59*(1+Forecast!$B10))</f>
        <v>0</v>
      </c>
      <c r="AH59" s="2"/>
      <c r="AI59" s="2"/>
    </row>
    <row r="60" spans="1:35" x14ac:dyDescent="0.3">
      <c r="A60" s="16" t="s">
        <v>15</v>
      </c>
      <c r="B60" s="2">
        <f>INDEX(SYCEU!$B$26:$G$35, MATCH($A60, SYCEU!$A$2:$A$11, 0), MATCH(Rural_res_calculation!$A$51, SYCEU!$B$1:$G$1, 0))</f>
        <v>401000000000</v>
      </c>
      <c r="C60" s="2">
        <f>INDEX('2020'!$B$26:$G$35, MATCH($A60, '2020'!$A$2:$A$11, 0), MATCH(Rural_res_calculation!$A$51, '2020'!$B$1:$G$1, 0))</f>
        <v>378532330479.90826</v>
      </c>
      <c r="D60" s="2">
        <f>INDEX('2021'!$B$26:$G$35, MATCH($A60, '2021'!$A$2:$A$11, 0), MATCH(Rural_res_calculation!$A$51, '2021'!$B$1:$G$1, 0))</f>
        <v>377843591907.50012</v>
      </c>
      <c r="E60" s="2">
        <f>MAX(0, D60*(1+Forecast!$B11))</f>
        <v>361974161047.38513</v>
      </c>
      <c r="F60" s="2">
        <f>MAX(0, E60*(1+Forecast!$B11))</f>
        <v>346771246283.39496</v>
      </c>
      <c r="G60" s="2">
        <f>MAX(0, F60*(1+Forecast!$B11))</f>
        <v>332206853939.49237</v>
      </c>
      <c r="H60" s="2">
        <f>MAX(0, G60*(1+Forecast!$B11))</f>
        <v>318254166074.03369</v>
      </c>
      <c r="I60" s="2">
        <f>MAX(0, H60*(1+Forecast!$B11))</f>
        <v>304887491098.92426</v>
      </c>
      <c r="J60" s="2">
        <f>MAX(0, I60*(1+Forecast!$B11))</f>
        <v>292082216472.76941</v>
      </c>
      <c r="K60" s="2">
        <f>MAX(0, J60*(1+Forecast!$B11))</f>
        <v>279814763380.91309</v>
      </c>
      <c r="L60" s="2">
        <f>MAX(0, K60*(1+Forecast!$B11))</f>
        <v>268062543318.91473</v>
      </c>
      <c r="M60" s="2">
        <f>MAX(0, L60*(1+Forecast!$B11))</f>
        <v>256803916499.52029</v>
      </c>
      <c r="N60" s="2">
        <f>MAX(0, M60*(1+Forecast!$B11))</f>
        <v>246018152006.54044</v>
      </c>
      <c r="O60" s="2">
        <f>MAX(0, N60*(1+Forecast!$B11))</f>
        <v>235685389622.26572</v>
      </c>
      <c r="P60" s="2">
        <f>MAX(0, O60*(1+Forecast!$B11))</f>
        <v>225786603258.13055</v>
      </c>
      <c r="Q60" s="2">
        <f>MAX(0, P60*(1+Forecast!$B11))</f>
        <v>216303565921.28906</v>
      </c>
      <c r="R60" s="2">
        <f>MAX(0, Q60*(1+Forecast!$B11))</f>
        <v>207218816152.59491</v>
      </c>
      <c r="S60" s="2">
        <f>MAX(0, R60*(1+Forecast!$B11))</f>
        <v>198515625874.18591</v>
      </c>
      <c r="T60" s="2">
        <f>MAX(0, S60*(1+Forecast!$B11))</f>
        <v>190177969587.47009</v>
      </c>
      <c r="U60" s="2">
        <f>MAX(0, T60*(1+Forecast!$B11))</f>
        <v>182190494864.79636</v>
      </c>
      <c r="V60" s="2">
        <f>MAX(0, U60*(1+Forecast!$B11))</f>
        <v>174538494080.47491</v>
      </c>
      <c r="W60" s="2">
        <f>MAX(0, V60*(1+Forecast!$B11))</f>
        <v>167207877329.09497</v>
      </c>
      <c r="X60" s="2">
        <f>MAX(0, W60*(1+Forecast!$B11))</f>
        <v>160185146481.27298</v>
      </c>
      <c r="Y60" s="2">
        <f>MAX(0, X60*(1+Forecast!$B11))</f>
        <v>153457370329.05951</v>
      </c>
      <c r="Z60" s="2">
        <f>MAX(0, Y60*(1+Forecast!$B11))</f>
        <v>147012160775.23901</v>
      </c>
      <c r="AA60" s="2">
        <f>MAX(0, Z60*(1+Forecast!$B11))</f>
        <v>140837650022.67896</v>
      </c>
      <c r="AB60" s="2">
        <f>MAX(0, AA60*(1+Forecast!$B11))</f>
        <v>134922468721.72644</v>
      </c>
      <c r="AC60" s="2">
        <f>MAX(0, AB60*(1+Forecast!$B11))</f>
        <v>129255725035.41393</v>
      </c>
      <c r="AD60" s="2">
        <f>MAX(0, AC60*(1+Forecast!$B11))</f>
        <v>123826984583.92653</v>
      </c>
      <c r="AE60" s="2">
        <f>MAX(0, AD60*(1+Forecast!$B11))</f>
        <v>118626251231.40161</v>
      </c>
      <c r="AF60" s="2">
        <f>MAX(0, AE60*(1+Forecast!$B11))</f>
        <v>113643948679.68274</v>
      </c>
      <c r="AG60" s="2">
        <f>MAX(0, AF60*(1+Forecast!$B11))</f>
        <v>108870902835.13606</v>
      </c>
      <c r="AH60" s="2"/>
      <c r="AI60" s="2"/>
    </row>
    <row r="61" spans="1:35" x14ac:dyDescent="0.3">
      <c r="A61" s="16" t="s">
        <v>16</v>
      </c>
      <c r="B61" s="2">
        <f>INDEX(SYCEU!$B$26:$G$35, MATCH($A61, SYCEU!$A$2:$A$11, 0), MATCH(Rural_res_calculation!$A$51, SYCEU!$B$1:$G$1, 0))</f>
        <v>0</v>
      </c>
      <c r="C61" s="2">
        <f>INDEX('2020'!$B$26:$G$35, MATCH($A61, '2020'!$A$2:$A$11, 0), MATCH(Rural_res_calculation!$A$51, '2020'!$B$1:$G$1, 0))</f>
        <v>0</v>
      </c>
      <c r="D61" s="2">
        <f>INDEX('2021'!$B$26:$G$35, MATCH($A61, '2021'!$A$2:$A$11, 0), MATCH(Rural_res_calculation!$A$51, '2021'!$B$1:$G$1, 0))</f>
        <v>0</v>
      </c>
      <c r="E61" s="2">
        <f>MAX(0, D61*(1+Forecast!$B12))</f>
        <v>0</v>
      </c>
      <c r="F61" s="2">
        <f>MAX(0, E61*(1+Forecast!$B12))</f>
        <v>0</v>
      </c>
      <c r="G61" s="2">
        <f>MAX(0, F61*(1+Forecast!$B12))</f>
        <v>0</v>
      </c>
      <c r="H61" s="2">
        <f>MAX(0, G61*(1+Forecast!$B12))</f>
        <v>0</v>
      </c>
      <c r="I61" s="2">
        <f>MAX(0, H61*(1+Forecast!$B12))</f>
        <v>0</v>
      </c>
      <c r="J61" s="2">
        <f>MAX(0, I61*(1+Forecast!$B12))</f>
        <v>0</v>
      </c>
      <c r="K61" s="2">
        <f>MAX(0, J61*(1+Forecast!$B12))</f>
        <v>0</v>
      </c>
      <c r="L61" s="2">
        <f>MAX(0, K61*(1+Forecast!$B12))</f>
        <v>0</v>
      </c>
      <c r="M61" s="2">
        <f>MAX(0, L61*(1+Forecast!$B12))</f>
        <v>0</v>
      </c>
      <c r="N61" s="2">
        <f>MAX(0, M61*(1+Forecast!$B12))</f>
        <v>0</v>
      </c>
      <c r="O61" s="2">
        <f>MAX(0, N61*(1+Forecast!$B12))</f>
        <v>0</v>
      </c>
      <c r="P61" s="2">
        <f>MAX(0, O61*(1+Forecast!$B12))</f>
        <v>0</v>
      </c>
      <c r="Q61" s="2">
        <f>MAX(0, P61*(1+Forecast!$B12))</f>
        <v>0</v>
      </c>
      <c r="R61" s="2">
        <f>MAX(0, Q61*(1+Forecast!$B12))</f>
        <v>0</v>
      </c>
      <c r="S61" s="2">
        <f>MAX(0, R61*(1+Forecast!$B12))</f>
        <v>0</v>
      </c>
      <c r="T61" s="2">
        <f>MAX(0, S61*(1+Forecast!$B12))</f>
        <v>0</v>
      </c>
      <c r="U61" s="2">
        <f>MAX(0, T61*(1+Forecast!$B12))</f>
        <v>0</v>
      </c>
      <c r="V61" s="2">
        <f>MAX(0, U61*(1+Forecast!$B12))</f>
        <v>0</v>
      </c>
      <c r="W61" s="2">
        <f>MAX(0, V61*(1+Forecast!$B12))</f>
        <v>0</v>
      </c>
      <c r="X61" s="2">
        <f>MAX(0, W61*(1+Forecast!$B12))</f>
        <v>0</v>
      </c>
      <c r="Y61" s="2">
        <f>MAX(0, X61*(1+Forecast!$B12))</f>
        <v>0</v>
      </c>
      <c r="Z61" s="2">
        <f>MAX(0, Y61*(1+Forecast!$B12))</f>
        <v>0</v>
      </c>
      <c r="AA61" s="2">
        <f>MAX(0, Z61*(1+Forecast!$B12))</f>
        <v>0</v>
      </c>
      <c r="AB61" s="2">
        <f>MAX(0, AA61*(1+Forecast!$B12))</f>
        <v>0</v>
      </c>
      <c r="AC61" s="2">
        <f>MAX(0, AB61*(1+Forecast!$B12))</f>
        <v>0</v>
      </c>
      <c r="AD61" s="2">
        <f>MAX(0, AC61*(1+Forecast!$B12))</f>
        <v>0</v>
      </c>
      <c r="AE61" s="2">
        <f>MAX(0, AD61*(1+Forecast!$B12))</f>
        <v>0</v>
      </c>
      <c r="AF61" s="2">
        <f>MAX(0, AE61*(1+Forecast!$B12))</f>
        <v>0</v>
      </c>
      <c r="AG61" s="2">
        <f>MAX(0, AF61*(1+Forecast!$B12))</f>
        <v>0</v>
      </c>
      <c r="AH61" s="2"/>
      <c r="AI61" s="2"/>
    </row>
    <row r="63" spans="1:35" x14ac:dyDescent="0.3">
      <c r="A63" s="16" t="s">
        <v>42</v>
      </c>
      <c r="B63" s="1">
        <v>2019</v>
      </c>
      <c r="C63" s="1">
        <v>2020</v>
      </c>
      <c r="D63" s="1">
        <v>2021</v>
      </c>
      <c r="E63" s="1">
        <v>2022</v>
      </c>
      <c r="F63" s="1">
        <v>2023</v>
      </c>
      <c r="G63" s="1">
        <v>2024</v>
      </c>
      <c r="H63" s="1">
        <v>2025</v>
      </c>
      <c r="I63" s="1">
        <v>2026</v>
      </c>
      <c r="J63" s="1">
        <v>2027</v>
      </c>
      <c r="K63" s="1">
        <v>2028</v>
      </c>
      <c r="L63" s="1">
        <v>2029</v>
      </c>
      <c r="M63" s="1">
        <v>2030</v>
      </c>
      <c r="N63" s="1">
        <v>2031</v>
      </c>
      <c r="O63" s="1">
        <v>2032</v>
      </c>
      <c r="P63" s="1">
        <v>2033</v>
      </c>
      <c r="Q63" s="1">
        <v>2034</v>
      </c>
      <c r="R63" s="1">
        <v>2035</v>
      </c>
      <c r="S63" s="1">
        <v>2036</v>
      </c>
      <c r="T63" s="1">
        <v>2037</v>
      </c>
      <c r="U63" s="1">
        <v>2038</v>
      </c>
      <c r="V63" s="1">
        <v>2039</v>
      </c>
      <c r="W63" s="1">
        <v>2040</v>
      </c>
      <c r="X63" s="1">
        <v>2041</v>
      </c>
      <c r="Y63" s="1">
        <v>2042</v>
      </c>
      <c r="Z63" s="1">
        <v>2043</v>
      </c>
      <c r="AA63" s="1">
        <v>2044</v>
      </c>
      <c r="AB63" s="1">
        <v>2045</v>
      </c>
      <c r="AC63" s="1">
        <v>2046</v>
      </c>
      <c r="AD63" s="1">
        <v>2047</v>
      </c>
      <c r="AE63" s="1">
        <v>2048</v>
      </c>
      <c r="AF63" s="1">
        <v>2049</v>
      </c>
      <c r="AG63" s="1">
        <v>2050</v>
      </c>
      <c r="AH63" s="1"/>
      <c r="AI63" s="1"/>
    </row>
    <row r="64" spans="1:35" x14ac:dyDescent="0.3">
      <c r="A64" s="16" t="s">
        <v>2</v>
      </c>
      <c r="B64" s="2">
        <f>INDEX(SYCEU!$B$26:$G$35, MATCH($A64, SYCEU!$A$2:$A$11, 0), MATCH(Rural_res_calculation!$A$63, SYCEU!$B$1:$G$1, 0))</f>
        <v>0</v>
      </c>
      <c r="C64" s="2">
        <f>INDEX('2020'!$B$26:$G$35, MATCH($A64, '2020'!$A$2:$A$11, 0), MATCH(Rural_res_calculation!$A$63, '2020'!$B$1:$G$1, 0))</f>
        <v>0</v>
      </c>
      <c r="D64" s="2">
        <f>INDEX('2021'!$B$26:$G$35, MATCH($A64, '2021'!$A$2:$A$11, 0), MATCH(Rural_res_calculation!$A$63, '2021'!$B$1:$G$1, 0))</f>
        <v>0</v>
      </c>
      <c r="E64" s="2">
        <f>MAX(0, D64*(1+Forecast!$B3))</f>
        <v>0</v>
      </c>
      <c r="F64" s="2">
        <f>MAX(0, E64*(1+Forecast!$B3))</f>
        <v>0</v>
      </c>
      <c r="G64" s="2">
        <f>MAX(0, F64*(1+Forecast!$B3))</f>
        <v>0</v>
      </c>
      <c r="H64" s="2">
        <f>MAX(0, G64*(1+Forecast!$B3))</f>
        <v>0</v>
      </c>
      <c r="I64" s="2">
        <f>MAX(0, H64*(1+Forecast!$B3))</f>
        <v>0</v>
      </c>
      <c r="J64" s="2">
        <f>MAX(0, I64*(1+Forecast!$B3))</f>
        <v>0</v>
      </c>
      <c r="K64" s="2">
        <f>MAX(0, J64*(1+Forecast!$B3))</f>
        <v>0</v>
      </c>
      <c r="L64" s="2">
        <f>MAX(0, K64*(1+Forecast!$B3))</f>
        <v>0</v>
      </c>
      <c r="M64" s="2">
        <f>MAX(0, L64*(1+Forecast!$B3))</f>
        <v>0</v>
      </c>
      <c r="N64" s="2">
        <f>MAX(0, M64*(1+Forecast!$B3))</f>
        <v>0</v>
      </c>
      <c r="O64" s="2">
        <f>MAX(0, N64*(1+Forecast!$B3))</f>
        <v>0</v>
      </c>
      <c r="P64" s="2">
        <f>MAX(0, O64*(1+Forecast!$B3))</f>
        <v>0</v>
      </c>
      <c r="Q64" s="2">
        <f>MAX(0, P64*(1+Forecast!$B3))</f>
        <v>0</v>
      </c>
      <c r="R64" s="2">
        <f>MAX(0, Q64*(1+Forecast!$B3))</f>
        <v>0</v>
      </c>
      <c r="S64" s="2">
        <f>MAX(0, R64*(1+Forecast!$B3))</f>
        <v>0</v>
      </c>
      <c r="T64" s="2">
        <f>MAX(0, S64*(1+Forecast!$B3))</f>
        <v>0</v>
      </c>
      <c r="U64" s="2">
        <f>MAX(0, T64*(1+Forecast!$B3))</f>
        <v>0</v>
      </c>
      <c r="V64" s="2">
        <f>MAX(0, U64*(1+Forecast!$B3))</f>
        <v>0</v>
      </c>
      <c r="W64" s="2">
        <f>MAX(0, V64*(1+Forecast!$B3))</f>
        <v>0</v>
      </c>
      <c r="X64" s="2">
        <f>MAX(0, W64*(1+Forecast!$B3))</f>
        <v>0</v>
      </c>
      <c r="Y64" s="2">
        <f>MAX(0, X64*(1+Forecast!$B3))</f>
        <v>0</v>
      </c>
      <c r="Z64" s="2">
        <f>MAX(0, Y64*(1+Forecast!$B3))</f>
        <v>0</v>
      </c>
      <c r="AA64" s="2">
        <f>MAX(0, Z64*(1+Forecast!$B3))</f>
        <v>0</v>
      </c>
      <c r="AB64" s="2">
        <f>MAX(0, AA64*(1+Forecast!$B3))</f>
        <v>0</v>
      </c>
      <c r="AC64" s="2">
        <f>MAX(0, AB64*(1+Forecast!$B3))</f>
        <v>0</v>
      </c>
      <c r="AD64" s="2">
        <f>MAX(0, AC64*(1+Forecast!$B3))</f>
        <v>0</v>
      </c>
      <c r="AE64" s="2">
        <f>MAX(0, AD64*(1+Forecast!$B3))</f>
        <v>0</v>
      </c>
      <c r="AF64" s="2">
        <f>MAX(0, AE64*(1+Forecast!$B3))</f>
        <v>0</v>
      </c>
      <c r="AG64" s="2">
        <f>MAX(0, AF64*(1+Forecast!$B3))</f>
        <v>0</v>
      </c>
      <c r="AH64" s="2"/>
      <c r="AI64" s="2"/>
    </row>
    <row r="65" spans="1:35" x14ac:dyDescent="0.3">
      <c r="A65" s="16" t="s">
        <v>3</v>
      </c>
      <c r="B65" s="2">
        <f>INDEX(SYCEU!$B$26:$G$35, MATCH($A65, SYCEU!$A$2:$A$11, 0), MATCH(Rural_res_calculation!$A$63, SYCEU!$B$1:$G$1, 0))</f>
        <v>0</v>
      </c>
      <c r="C65" s="2">
        <f>INDEX('2020'!$B$26:$G$35, MATCH($A65, '2020'!$A$2:$A$11, 0), MATCH(Rural_res_calculation!$A$63, '2020'!$B$1:$G$1, 0))</f>
        <v>0</v>
      </c>
      <c r="D65" s="2">
        <f>INDEX('2021'!$B$26:$G$35, MATCH($A65, '2021'!$A$2:$A$11, 0), MATCH(Rural_res_calculation!$A$63, '2021'!$B$1:$G$1, 0))</f>
        <v>0</v>
      </c>
      <c r="E65" s="2">
        <f>MAX(0, D65*(1+Forecast!$B4))</f>
        <v>0</v>
      </c>
      <c r="F65" s="2">
        <f>MAX(0, E65*(1+Forecast!$B4))</f>
        <v>0</v>
      </c>
      <c r="G65" s="2">
        <f>MAX(0, F65*(1+Forecast!$B4))</f>
        <v>0</v>
      </c>
      <c r="H65" s="2">
        <f>MAX(0, G65*(1+Forecast!$B4))</f>
        <v>0</v>
      </c>
      <c r="I65" s="2">
        <f>MAX(0, H65*(1+Forecast!$B4))</f>
        <v>0</v>
      </c>
      <c r="J65" s="2">
        <f>MAX(0, I65*(1+Forecast!$B4))</f>
        <v>0</v>
      </c>
      <c r="K65" s="2">
        <f>MAX(0, J65*(1+Forecast!$B4))</f>
        <v>0</v>
      </c>
      <c r="L65" s="2">
        <f>MAX(0, K65*(1+Forecast!$B4))</f>
        <v>0</v>
      </c>
      <c r="M65" s="2">
        <f>MAX(0, L65*(1+Forecast!$B4))</f>
        <v>0</v>
      </c>
      <c r="N65" s="2">
        <f>MAX(0, M65*(1+Forecast!$B4))</f>
        <v>0</v>
      </c>
      <c r="O65" s="2">
        <f>MAX(0, N65*(1+Forecast!$B4))</f>
        <v>0</v>
      </c>
      <c r="P65" s="2">
        <f>MAX(0, O65*(1+Forecast!$B4))</f>
        <v>0</v>
      </c>
      <c r="Q65" s="2">
        <f>MAX(0, P65*(1+Forecast!$B4))</f>
        <v>0</v>
      </c>
      <c r="R65" s="2">
        <f>MAX(0, Q65*(1+Forecast!$B4))</f>
        <v>0</v>
      </c>
      <c r="S65" s="2">
        <f>MAX(0, R65*(1+Forecast!$B4))</f>
        <v>0</v>
      </c>
      <c r="T65" s="2">
        <f>MAX(0, S65*(1+Forecast!$B4))</f>
        <v>0</v>
      </c>
      <c r="U65" s="2">
        <f>MAX(0, T65*(1+Forecast!$B4))</f>
        <v>0</v>
      </c>
      <c r="V65" s="2">
        <f>MAX(0, U65*(1+Forecast!$B4))</f>
        <v>0</v>
      </c>
      <c r="W65" s="2">
        <f>MAX(0, V65*(1+Forecast!$B4))</f>
        <v>0</v>
      </c>
      <c r="X65" s="2">
        <f>MAX(0, W65*(1+Forecast!$B4))</f>
        <v>0</v>
      </c>
      <c r="Y65" s="2">
        <f>MAX(0, X65*(1+Forecast!$B4))</f>
        <v>0</v>
      </c>
      <c r="Z65" s="2">
        <f>MAX(0, Y65*(1+Forecast!$B4))</f>
        <v>0</v>
      </c>
      <c r="AA65" s="2">
        <f>MAX(0, Z65*(1+Forecast!$B4))</f>
        <v>0</v>
      </c>
      <c r="AB65" s="2">
        <f>MAX(0, AA65*(1+Forecast!$B4))</f>
        <v>0</v>
      </c>
      <c r="AC65" s="2">
        <f>MAX(0, AB65*(1+Forecast!$B4))</f>
        <v>0</v>
      </c>
      <c r="AD65" s="2">
        <f>MAX(0, AC65*(1+Forecast!$B4))</f>
        <v>0</v>
      </c>
      <c r="AE65" s="2">
        <f>MAX(0, AD65*(1+Forecast!$B4))</f>
        <v>0</v>
      </c>
      <c r="AF65" s="2">
        <f>MAX(0, AE65*(1+Forecast!$B4))</f>
        <v>0</v>
      </c>
      <c r="AG65" s="2">
        <f>MAX(0, AF65*(1+Forecast!$B4))</f>
        <v>0</v>
      </c>
      <c r="AH65" s="2"/>
      <c r="AI65" s="2"/>
    </row>
    <row r="66" spans="1:35" x14ac:dyDescent="0.3">
      <c r="A66" s="16" t="s">
        <v>4</v>
      </c>
      <c r="B66" s="2">
        <f>INDEX(SYCEU!$B$26:$G$35, MATCH($A66, SYCEU!$A$2:$A$11, 0), MATCH(Rural_res_calculation!$A$63, SYCEU!$B$1:$G$1, 0))</f>
        <v>0</v>
      </c>
      <c r="C66" s="2">
        <f>INDEX('2020'!$B$26:$G$35, MATCH($A66, '2020'!$A$2:$A$11, 0), MATCH(Rural_res_calculation!$A$63, '2020'!$B$1:$G$1, 0))</f>
        <v>0</v>
      </c>
      <c r="D66" s="2">
        <f>INDEX('2021'!$B$26:$G$35, MATCH($A66, '2021'!$A$2:$A$11, 0), MATCH(Rural_res_calculation!$A$63, '2021'!$B$1:$G$1, 0))</f>
        <v>0</v>
      </c>
      <c r="E66" s="2">
        <f>MAX(0, D66*(1+Forecast!$B5))</f>
        <v>0</v>
      </c>
      <c r="F66" s="2">
        <f>MAX(0, E66*(1+Forecast!$B5))</f>
        <v>0</v>
      </c>
      <c r="G66" s="2">
        <f>MAX(0, F66*(1+Forecast!$B5))</f>
        <v>0</v>
      </c>
      <c r="H66" s="2">
        <f>MAX(0, G66*(1+Forecast!$B5))</f>
        <v>0</v>
      </c>
      <c r="I66" s="2">
        <f>MAX(0, H66*(1+Forecast!$B5))</f>
        <v>0</v>
      </c>
      <c r="J66" s="2">
        <f>MAX(0, I66*(1+Forecast!$B5))</f>
        <v>0</v>
      </c>
      <c r="K66" s="2">
        <f>MAX(0, J66*(1+Forecast!$B5))</f>
        <v>0</v>
      </c>
      <c r="L66" s="2">
        <f>MAX(0, K66*(1+Forecast!$B5))</f>
        <v>0</v>
      </c>
      <c r="M66" s="2">
        <f>MAX(0, L66*(1+Forecast!$B5))</f>
        <v>0</v>
      </c>
      <c r="N66" s="2">
        <f>MAX(0, M66*(1+Forecast!$B5))</f>
        <v>0</v>
      </c>
      <c r="O66" s="2">
        <f>MAX(0, N66*(1+Forecast!$B5))</f>
        <v>0</v>
      </c>
      <c r="P66" s="2">
        <f>MAX(0, O66*(1+Forecast!$B5))</f>
        <v>0</v>
      </c>
      <c r="Q66" s="2">
        <f>MAX(0, P66*(1+Forecast!$B5))</f>
        <v>0</v>
      </c>
      <c r="R66" s="2">
        <f>MAX(0, Q66*(1+Forecast!$B5))</f>
        <v>0</v>
      </c>
      <c r="S66" s="2">
        <f>MAX(0, R66*(1+Forecast!$B5))</f>
        <v>0</v>
      </c>
      <c r="T66" s="2">
        <f>MAX(0, S66*(1+Forecast!$B5))</f>
        <v>0</v>
      </c>
      <c r="U66" s="2">
        <f>MAX(0, T66*(1+Forecast!$B5))</f>
        <v>0</v>
      </c>
      <c r="V66" s="2">
        <f>MAX(0, U66*(1+Forecast!$B5))</f>
        <v>0</v>
      </c>
      <c r="W66" s="2">
        <f>MAX(0, V66*(1+Forecast!$B5))</f>
        <v>0</v>
      </c>
      <c r="X66" s="2">
        <f>MAX(0, W66*(1+Forecast!$B5))</f>
        <v>0</v>
      </c>
      <c r="Y66" s="2">
        <f>MAX(0, X66*(1+Forecast!$B5))</f>
        <v>0</v>
      </c>
      <c r="Z66" s="2">
        <f>MAX(0, Y66*(1+Forecast!$B5))</f>
        <v>0</v>
      </c>
      <c r="AA66" s="2">
        <f>MAX(0, Z66*(1+Forecast!$B5))</f>
        <v>0</v>
      </c>
      <c r="AB66" s="2">
        <f>MAX(0, AA66*(1+Forecast!$B5))</f>
        <v>0</v>
      </c>
      <c r="AC66" s="2">
        <f>MAX(0, AB66*(1+Forecast!$B5))</f>
        <v>0</v>
      </c>
      <c r="AD66" s="2">
        <f>MAX(0, AC66*(1+Forecast!$B5))</f>
        <v>0</v>
      </c>
      <c r="AE66" s="2">
        <f>MAX(0, AD66*(1+Forecast!$B5))</f>
        <v>0</v>
      </c>
      <c r="AF66" s="2">
        <f>MAX(0, AE66*(1+Forecast!$B5))</f>
        <v>0</v>
      </c>
      <c r="AG66" s="2">
        <f>MAX(0, AF66*(1+Forecast!$B5))</f>
        <v>0</v>
      </c>
      <c r="AH66" s="2"/>
      <c r="AI66" s="2"/>
    </row>
    <row r="67" spans="1:35" x14ac:dyDescent="0.3">
      <c r="A67" s="16" t="s">
        <v>5</v>
      </c>
      <c r="B67" s="2">
        <f>INDEX(SYCEU!$B$26:$G$35, MATCH($A67, SYCEU!$A$2:$A$11, 0), MATCH(Rural_res_calculation!$A$63, SYCEU!$B$1:$G$1, 0))</f>
        <v>0</v>
      </c>
      <c r="C67" s="2">
        <f>INDEX('2020'!$B$26:$G$35, MATCH($A67, '2020'!$A$2:$A$11, 0), MATCH(Rural_res_calculation!$A$63, '2020'!$B$1:$G$1, 0))</f>
        <v>0</v>
      </c>
      <c r="D67" s="2">
        <f>INDEX('2021'!$B$26:$G$35, MATCH($A67, '2021'!$A$2:$A$11, 0), MATCH(Rural_res_calculation!$A$63, '2021'!$B$1:$G$1, 0))</f>
        <v>0</v>
      </c>
      <c r="E67" s="2">
        <f>MAX(0, D67*(1+Forecast!$B6))</f>
        <v>0</v>
      </c>
      <c r="F67" s="2">
        <f>MAX(0, E67*(1+Forecast!$B6))</f>
        <v>0</v>
      </c>
      <c r="G67" s="2">
        <f>MAX(0, F67*(1+Forecast!$B6))</f>
        <v>0</v>
      </c>
      <c r="H67" s="2">
        <f>MAX(0, G67*(1+Forecast!$B6))</f>
        <v>0</v>
      </c>
      <c r="I67" s="2">
        <f>MAX(0, H67*(1+Forecast!$B6))</f>
        <v>0</v>
      </c>
      <c r="J67" s="2">
        <f>MAX(0, I67*(1+Forecast!$B6))</f>
        <v>0</v>
      </c>
      <c r="K67" s="2">
        <f>MAX(0, J67*(1+Forecast!$B6))</f>
        <v>0</v>
      </c>
      <c r="L67" s="2">
        <f>MAX(0, K67*(1+Forecast!$B6))</f>
        <v>0</v>
      </c>
      <c r="M67" s="2">
        <f>MAX(0, L67*(1+Forecast!$B6))</f>
        <v>0</v>
      </c>
      <c r="N67" s="2">
        <f>MAX(0, M67*(1+Forecast!$B6))</f>
        <v>0</v>
      </c>
      <c r="O67" s="2">
        <f>MAX(0, N67*(1+Forecast!$B6))</f>
        <v>0</v>
      </c>
      <c r="P67" s="2">
        <f>MAX(0, O67*(1+Forecast!$B6))</f>
        <v>0</v>
      </c>
      <c r="Q67" s="2">
        <f>MAX(0, P67*(1+Forecast!$B6))</f>
        <v>0</v>
      </c>
      <c r="R67" s="2">
        <f>MAX(0, Q67*(1+Forecast!$B6))</f>
        <v>0</v>
      </c>
      <c r="S67" s="2">
        <f>MAX(0, R67*(1+Forecast!$B6))</f>
        <v>0</v>
      </c>
      <c r="T67" s="2">
        <f>MAX(0, S67*(1+Forecast!$B6))</f>
        <v>0</v>
      </c>
      <c r="U67" s="2">
        <f>MAX(0, T67*(1+Forecast!$B6))</f>
        <v>0</v>
      </c>
      <c r="V67" s="2">
        <f>MAX(0, U67*(1+Forecast!$B6))</f>
        <v>0</v>
      </c>
      <c r="W67" s="2">
        <f>MAX(0, V67*(1+Forecast!$B6))</f>
        <v>0</v>
      </c>
      <c r="X67" s="2">
        <f>MAX(0, W67*(1+Forecast!$B6))</f>
        <v>0</v>
      </c>
      <c r="Y67" s="2">
        <f>MAX(0, X67*(1+Forecast!$B6))</f>
        <v>0</v>
      </c>
      <c r="Z67" s="2">
        <f>MAX(0, Y67*(1+Forecast!$B6))</f>
        <v>0</v>
      </c>
      <c r="AA67" s="2">
        <f>MAX(0, Z67*(1+Forecast!$B6))</f>
        <v>0</v>
      </c>
      <c r="AB67" s="2">
        <f>MAX(0, AA67*(1+Forecast!$B6))</f>
        <v>0</v>
      </c>
      <c r="AC67" s="2">
        <f>MAX(0, AB67*(1+Forecast!$B6))</f>
        <v>0</v>
      </c>
      <c r="AD67" s="2">
        <f>MAX(0, AC67*(1+Forecast!$B6))</f>
        <v>0</v>
      </c>
      <c r="AE67" s="2">
        <f>MAX(0, AD67*(1+Forecast!$B6))</f>
        <v>0</v>
      </c>
      <c r="AF67" s="2">
        <f>MAX(0, AE67*(1+Forecast!$B6))</f>
        <v>0</v>
      </c>
      <c r="AG67" s="2">
        <f>MAX(0, AF67*(1+Forecast!$B6))</f>
        <v>0</v>
      </c>
      <c r="AH67" s="2"/>
      <c r="AI67" s="2"/>
    </row>
    <row r="68" spans="1:35" x14ac:dyDescent="0.3">
      <c r="A68" s="16" t="s">
        <v>7</v>
      </c>
      <c r="B68" s="2">
        <f>INDEX(SYCEU!$B$26:$G$35, MATCH($A68, SYCEU!$A$2:$A$11, 0), MATCH(Rural_res_calculation!$A$63, SYCEU!$B$1:$G$1, 0))</f>
        <v>0</v>
      </c>
      <c r="C68" s="2">
        <f>INDEX('2020'!$B$26:$G$35, MATCH($A68, '2020'!$A$2:$A$11, 0), MATCH(Rural_res_calculation!$A$63, '2020'!$B$1:$G$1, 0))</f>
        <v>0</v>
      </c>
      <c r="D68" s="2">
        <f>INDEX('2021'!$B$26:$G$35, MATCH($A68, '2021'!$A$2:$A$11, 0), MATCH(Rural_res_calculation!$A$63, '2021'!$B$1:$G$1, 0))</f>
        <v>0</v>
      </c>
      <c r="E68" s="2">
        <f>MAX(0, D68*(1+Forecast!$B7))</f>
        <v>0</v>
      </c>
      <c r="F68" s="2">
        <f>MAX(0, E68*(1+Forecast!$B7))</f>
        <v>0</v>
      </c>
      <c r="G68" s="2">
        <f>MAX(0, F68*(1+Forecast!$B7))</f>
        <v>0</v>
      </c>
      <c r="H68" s="2">
        <f>MAX(0, G68*(1+Forecast!$B7))</f>
        <v>0</v>
      </c>
      <c r="I68" s="2">
        <f>MAX(0, H68*(1+Forecast!$B7))</f>
        <v>0</v>
      </c>
      <c r="J68" s="2">
        <f>MAX(0, I68*(1+Forecast!$B7))</f>
        <v>0</v>
      </c>
      <c r="K68" s="2">
        <f>MAX(0, J68*(1+Forecast!$B7))</f>
        <v>0</v>
      </c>
      <c r="L68" s="2">
        <f>MAX(0, K68*(1+Forecast!$B7))</f>
        <v>0</v>
      </c>
      <c r="M68" s="2">
        <f>MAX(0, L68*(1+Forecast!$B7))</f>
        <v>0</v>
      </c>
      <c r="N68" s="2">
        <f>MAX(0, M68*(1+Forecast!$B7))</f>
        <v>0</v>
      </c>
      <c r="O68" s="2">
        <f>MAX(0, N68*(1+Forecast!$B7))</f>
        <v>0</v>
      </c>
      <c r="P68" s="2">
        <f>MAX(0, O68*(1+Forecast!$B7))</f>
        <v>0</v>
      </c>
      <c r="Q68" s="2">
        <f>MAX(0, P68*(1+Forecast!$B7))</f>
        <v>0</v>
      </c>
      <c r="R68" s="2">
        <f>MAX(0, Q68*(1+Forecast!$B7))</f>
        <v>0</v>
      </c>
      <c r="S68" s="2">
        <f>MAX(0, R68*(1+Forecast!$B7))</f>
        <v>0</v>
      </c>
      <c r="T68" s="2">
        <f>MAX(0, S68*(1+Forecast!$B7))</f>
        <v>0</v>
      </c>
      <c r="U68" s="2">
        <f>MAX(0, T68*(1+Forecast!$B7))</f>
        <v>0</v>
      </c>
      <c r="V68" s="2">
        <f>MAX(0, U68*(1+Forecast!$B7))</f>
        <v>0</v>
      </c>
      <c r="W68" s="2">
        <f>MAX(0, V68*(1+Forecast!$B7))</f>
        <v>0</v>
      </c>
      <c r="X68" s="2">
        <f>MAX(0, W68*(1+Forecast!$B7))</f>
        <v>0</v>
      </c>
      <c r="Y68" s="2">
        <f>MAX(0, X68*(1+Forecast!$B7))</f>
        <v>0</v>
      </c>
      <c r="Z68" s="2">
        <f>MAX(0, Y68*(1+Forecast!$B7))</f>
        <v>0</v>
      </c>
      <c r="AA68" s="2">
        <f>MAX(0, Z68*(1+Forecast!$B7))</f>
        <v>0</v>
      </c>
      <c r="AB68" s="2">
        <f>MAX(0, AA68*(1+Forecast!$B7))</f>
        <v>0</v>
      </c>
      <c r="AC68" s="2">
        <f>MAX(0, AB68*(1+Forecast!$B7))</f>
        <v>0</v>
      </c>
      <c r="AD68" s="2">
        <f>MAX(0, AC68*(1+Forecast!$B7))</f>
        <v>0</v>
      </c>
      <c r="AE68" s="2">
        <f>MAX(0, AD68*(1+Forecast!$B7))</f>
        <v>0</v>
      </c>
      <c r="AF68" s="2">
        <f>MAX(0, AE68*(1+Forecast!$B7))</f>
        <v>0</v>
      </c>
      <c r="AG68" s="2">
        <f>MAX(0, AF68*(1+Forecast!$B7))</f>
        <v>0</v>
      </c>
      <c r="AH68" s="2"/>
      <c r="AI68" s="2"/>
    </row>
    <row r="69" spans="1:35" x14ac:dyDescent="0.3">
      <c r="A69" s="16" t="s">
        <v>11</v>
      </c>
      <c r="B69" s="2">
        <f>INDEX(SYCEU!$B$26:$G$35, MATCH($A69, SYCEU!$A$2:$A$11, 0), MATCH(Rural_res_calculation!$A$63, SYCEU!$B$1:$G$1, 0))</f>
        <v>0</v>
      </c>
      <c r="C69" s="2">
        <f>INDEX('2020'!$B$26:$G$35, MATCH($A69, '2020'!$A$2:$A$11, 0), MATCH(Rural_res_calculation!$A$63, '2020'!$B$1:$G$1, 0))</f>
        <v>0</v>
      </c>
      <c r="D69" s="2">
        <f>INDEX('2021'!$B$26:$G$35, MATCH($A69, '2021'!$A$2:$A$11, 0), MATCH(Rural_res_calculation!$A$63, '2021'!$B$1:$G$1, 0))</f>
        <v>0</v>
      </c>
      <c r="E69" s="2">
        <f>MAX(0, D69*(1+Forecast!$B8))</f>
        <v>0</v>
      </c>
      <c r="F69" s="2">
        <f>MAX(0, E69*(1+Forecast!$B8))</f>
        <v>0</v>
      </c>
      <c r="G69" s="2">
        <f>MAX(0, F69*(1+Forecast!$B8))</f>
        <v>0</v>
      </c>
      <c r="H69" s="2">
        <f>MAX(0, G69*(1+Forecast!$B8))</f>
        <v>0</v>
      </c>
      <c r="I69" s="2">
        <f>MAX(0, H69*(1+Forecast!$B8))</f>
        <v>0</v>
      </c>
      <c r="J69" s="2">
        <f>MAX(0, I69*(1+Forecast!$B8))</f>
        <v>0</v>
      </c>
      <c r="K69" s="2">
        <f>MAX(0, J69*(1+Forecast!$B8))</f>
        <v>0</v>
      </c>
      <c r="L69" s="2">
        <f>MAX(0, K69*(1+Forecast!$B8))</f>
        <v>0</v>
      </c>
      <c r="M69" s="2">
        <f>MAX(0, L69*(1+Forecast!$B8))</f>
        <v>0</v>
      </c>
      <c r="N69" s="2">
        <f>MAX(0, M69*(1+Forecast!$B8))</f>
        <v>0</v>
      </c>
      <c r="O69" s="2">
        <f>MAX(0, N69*(1+Forecast!$B8))</f>
        <v>0</v>
      </c>
      <c r="P69" s="2">
        <f>MAX(0, O69*(1+Forecast!$B8))</f>
        <v>0</v>
      </c>
      <c r="Q69" s="2">
        <f>MAX(0, P69*(1+Forecast!$B8))</f>
        <v>0</v>
      </c>
      <c r="R69" s="2">
        <f>MAX(0, Q69*(1+Forecast!$B8))</f>
        <v>0</v>
      </c>
      <c r="S69" s="2">
        <f>MAX(0, R69*(1+Forecast!$B8))</f>
        <v>0</v>
      </c>
      <c r="T69" s="2">
        <f>MAX(0, S69*(1+Forecast!$B8))</f>
        <v>0</v>
      </c>
      <c r="U69" s="2">
        <f>MAX(0, T69*(1+Forecast!$B8))</f>
        <v>0</v>
      </c>
      <c r="V69" s="2">
        <f>MAX(0, U69*(1+Forecast!$B8))</f>
        <v>0</v>
      </c>
      <c r="W69" s="2">
        <f>MAX(0, V69*(1+Forecast!$B8))</f>
        <v>0</v>
      </c>
      <c r="X69" s="2">
        <f>MAX(0, W69*(1+Forecast!$B8))</f>
        <v>0</v>
      </c>
      <c r="Y69" s="2">
        <f>MAX(0, X69*(1+Forecast!$B8))</f>
        <v>0</v>
      </c>
      <c r="Z69" s="2">
        <f>MAX(0, Y69*(1+Forecast!$B8))</f>
        <v>0</v>
      </c>
      <c r="AA69" s="2">
        <f>MAX(0, Z69*(1+Forecast!$B8))</f>
        <v>0</v>
      </c>
      <c r="AB69" s="2">
        <f>MAX(0, AA69*(1+Forecast!$B8))</f>
        <v>0</v>
      </c>
      <c r="AC69" s="2">
        <f>MAX(0, AB69*(1+Forecast!$B8))</f>
        <v>0</v>
      </c>
      <c r="AD69" s="2">
        <f>MAX(0, AC69*(1+Forecast!$B8))</f>
        <v>0</v>
      </c>
      <c r="AE69" s="2">
        <f>MAX(0, AD69*(1+Forecast!$B8))</f>
        <v>0</v>
      </c>
      <c r="AF69" s="2">
        <f>MAX(0, AE69*(1+Forecast!$B8))</f>
        <v>0</v>
      </c>
      <c r="AG69" s="2">
        <f>MAX(0, AF69*(1+Forecast!$B8))</f>
        <v>0</v>
      </c>
      <c r="AH69" s="2"/>
      <c r="AI69" s="2"/>
    </row>
    <row r="70" spans="1:35" x14ac:dyDescent="0.3">
      <c r="A70" s="16" t="s">
        <v>13</v>
      </c>
      <c r="B70" s="2">
        <f>INDEX(SYCEU!$B$26:$G$35, MATCH($A70, SYCEU!$A$2:$A$11, 0), MATCH(Rural_res_calculation!$A$63, SYCEU!$B$1:$G$1, 0))</f>
        <v>0</v>
      </c>
      <c r="C70" s="2">
        <f>INDEX('2020'!$B$26:$G$35, MATCH($A70, '2020'!$A$2:$A$11, 0), MATCH(Rural_res_calculation!$A$63, '2020'!$B$1:$G$1, 0))</f>
        <v>0</v>
      </c>
      <c r="D70" s="2">
        <f>INDEX('2021'!$B$26:$G$35, MATCH($A70, '2021'!$A$2:$A$11, 0), MATCH(Rural_res_calculation!$A$63, '2021'!$B$1:$G$1, 0))</f>
        <v>0</v>
      </c>
      <c r="E70" s="2">
        <f>MAX(0, D70*(1+Forecast!$B9))</f>
        <v>0</v>
      </c>
      <c r="F70" s="2">
        <f>MAX(0, E70*(1+Forecast!$B9))</f>
        <v>0</v>
      </c>
      <c r="G70" s="2">
        <f>MAX(0, F70*(1+Forecast!$B9))</f>
        <v>0</v>
      </c>
      <c r="H70" s="2">
        <f>MAX(0, G70*(1+Forecast!$B9))</f>
        <v>0</v>
      </c>
      <c r="I70" s="2">
        <f>MAX(0, H70*(1+Forecast!$B9))</f>
        <v>0</v>
      </c>
      <c r="J70" s="2">
        <f>MAX(0, I70*(1+Forecast!$B9))</f>
        <v>0</v>
      </c>
      <c r="K70" s="2">
        <f>MAX(0, J70*(1+Forecast!$B9))</f>
        <v>0</v>
      </c>
      <c r="L70" s="2">
        <f>MAX(0, K70*(1+Forecast!$B9))</f>
        <v>0</v>
      </c>
      <c r="M70" s="2">
        <f>MAX(0, L70*(1+Forecast!$B9))</f>
        <v>0</v>
      </c>
      <c r="N70" s="2">
        <f>MAX(0, M70*(1+Forecast!$B9))</f>
        <v>0</v>
      </c>
      <c r="O70" s="2">
        <f>MAX(0, N70*(1+Forecast!$B9))</f>
        <v>0</v>
      </c>
      <c r="P70" s="2">
        <f>MAX(0, O70*(1+Forecast!$B9))</f>
        <v>0</v>
      </c>
      <c r="Q70" s="2">
        <f>MAX(0, P70*(1+Forecast!$B9))</f>
        <v>0</v>
      </c>
      <c r="R70" s="2">
        <f>MAX(0, Q70*(1+Forecast!$B9))</f>
        <v>0</v>
      </c>
      <c r="S70" s="2">
        <f>MAX(0, R70*(1+Forecast!$B9))</f>
        <v>0</v>
      </c>
      <c r="T70" s="2">
        <f>MAX(0, S70*(1+Forecast!$B9))</f>
        <v>0</v>
      </c>
      <c r="U70" s="2">
        <f>MAX(0, T70*(1+Forecast!$B9))</f>
        <v>0</v>
      </c>
      <c r="V70" s="2">
        <f>MAX(0, U70*(1+Forecast!$B9))</f>
        <v>0</v>
      </c>
      <c r="W70" s="2">
        <f>MAX(0, V70*(1+Forecast!$B9))</f>
        <v>0</v>
      </c>
      <c r="X70" s="2">
        <f>MAX(0, W70*(1+Forecast!$B9))</f>
        <v>0</v>
      </c>
      <c r="Y70" s="2">
        <f>MAX(0, X70*(1+Forecast!$B9))</f>
        <v>0</v>
      </c>
      <c r="Z70" s="2">
        <f>MAX(0, Y70*(1+Forecast!$B9))</f>
        <v>0</v>
      </c>
      <c r="AA70" s="2">
        <f>MAX(0, Z70*(1+Forecast!$B9))</f>
        <v>0</v>
      </c>
      <c r="AB70" s="2">
        <f>MAX(0, AA70*(1+Forecast!$B9))</f>
        <v>0</v>
      </c>
      <c r="AC70" s="2">
        <f>MAX(0, AB70*(1+Forecast!$B9))</f>
        <v>0</v>
      </c>
      <c r="AD70" s="2">
        <f>MAX(0, AC70*(1+Forecast!$B9))</f>
        <v>0</v>
      </c>
      <c r="AE70" s="2">
        <f>MAX(0, AD70*(1+Forecast!$B9))</f>
        <v>0</v>
      </c>
      <c r="AF70" s="2">
        <f>MAX(0, AE70*(1+Forecast!$B9))</f>
        <v>0</v>
      </c>
      <c r="AG70" s="2">
        <f>MAX(0, AF70*(1+Forecast!$B9))</f>
        <v>0</v>
      </c>
      <c r="AH70" s="2"/>
      <c r="AI70" s="2"/>
    </row>
    <row r="71" spans="1:35" x14ac:dyDescent="0.3">
      <c r="A71" s="16" t="s">
        <v>14</v>
      </c>
      <c r="B71" s="2">
        <f>INDEX(SYCEU!$B$26:$G$35, MATCH($A71, SYCEU!$A$2:$A$11, 0), MATCH(Rural_res_calculation!$A$63, SYCEU!$B$1:$G$1, 0))</f>
        <v>0</v>
      </c>
      <c r="C71" s="2">
        <f>INDEX('2020'!$B$26:$G$35, MATCH($A71, '2020'!$A$2:$A$11, 0), MATCH(Rural_res_calculation!$A$63, '2020'!$B$1:$G$1, 0))</f>
        <v>0</v>
      </c>
      <c r="D71" s="2">
        <f>INDEX('2021'!$B$26:$G$35, MATCH($A71, '2021'!$A$2:$A$11, 0), MATCH(Rural_res_calculation!$A$63, '2021'!$B$1:$G$1, 0))</f>
        <v>0</v>
      </c>
      <c r="E71" s="2">
        <f>MAX(0, D71*(1+Forecast!$B10))</f>
        <v>0</v>
      </c>
      <c r="F71" s="2">
        <f>MAX(0, E71*(1+Forecast!$B10))</f>
        <v>0</v>
      </c>
      <c r="G71" s="2">
        <f>MAX(0, F71*(1+Forecast!$B10))</f>
        <v>0</v>
      </c>
      <c r="H71" s="2">
        <f>MAX(0, G71*(1+Forecast!$B10))</f>
        <v>0</v>
      </c>
      <c r="I71" s="2">
        <f>MAX(0, H71*(1+Forecast!$B10))</f>
        <v>0</v>
      </c>
      <c r="J71" s="2">
        <f>MAX(0, I71*(1+Forecast!$B10))</f>
        <v>0</v>
      </c>
      <c r="K71" s="2">
        <f>MAX(0, J71*(1+Forecast!$B10))</f>
        <v>0</v>
      </c>
      <c r="L71" s="2">
        <f>MAX(0, K71*(1+Forecast!$B10))</f>
        <v>0</v>
      </c>
      <c r="M71" s="2">
        <f>MAX(0, L71*(1+Forecast!$B10))</f>
        <v>0</v>
      </c>
      <c r="N71" s="2">
        <f>MAX(0, M71*(1+Forecast!$B10))</f>
        <v>0</v>
      </c>
      <c r="O71" s="2">
        <f>MAX(0, N71*(1+Forecast!$B10))</f>
        <v>0</v>
      </c>
      <c r="P71" s="2">
        <f>MAX(0, O71*(1+Forecast!$B10))</f>
        <v>0</v>
      </c>
      <c r="Q71" s="2">
        <f>MAX(0, P71*(1+Forecast!$B10))</f>
        <v>0</v>
      </c>
      <c r="R71" s="2">
        <f>MAX(0, Q71*(1+Forecast!$B10))</f>
        <v>0</v>
      </c>
      <c r="S71" s="2">
        <f>MAX(0, R71*(1+Forecast!$B10))</f>
        <v>0</v>
      </c>
      <c r="T71" s="2">
        <f>MAX(0, S71*(1+Forecast!$B10))</f>
        <v>0</v>
      </c>
      <c r="U71" s="2">
        <f>MAX(0, T71*(1+Forecast!$B10))</f>
        <v>0</v>
      </c>
      <c r="V71" s="2">
        <f>MAX(0, U71*(1+Forecast!$B10))</f>
        <v>0</v>
      </c>
      <c r="W71" s="2">
        <f>MAX(0, V71*(1+Forecast!$B10))</f>
        <v>0</v>
      </c>
      <c r="X71" s="2">
        <f>MAX(0, W71*(1+Forecast!$B10))</f>
        <v>0</v>
      </c>
      <c r="Y71" s="2">
        <f>MAX(0, X71*(1+Forecast!$B10))</f>
        <v>0</v>
      </c>
      <c r="Z71" s="2">
        <f>MAX(0, Y71*(1+Forecast!$B10))</f>
        <v>0</v>
      </c>
      <c r="AA71" s="2">
        <f>MAX(0, Z71*(1+Forecast!$B10))</f>
        <v>0</v>
      </c>
      <c r="AB71" s="2">
        <f>MAX(0, AA71*(1+Forecast!$B10))</f>
        <v>0</v>
      </c>
      <c r="AC71" s="2">
        <f>MAX(0, AB71*(1+Forecast!$B10))</f>
        <v>0</v>
      </c>
      <c r="AD71" s="2">
        <f>MAX(0, AC71*(1+Forecast!$B10))</f>
        <v>0</v>
      </c>
      <c r="AE71" s="2">
        <f>MAX(0, AD71*(1+Forecast!$B10))</f>
        <v>0</v>
      </c>
      <c r="AF71" s="2">
        <f>MAX(0, AE71*(1+Forecast!$B10))</f>
        <v>0</v>
      </c>
      <c r="AG71" s="2">
        <f>MAX(0, AF71*(1+Forecast!$B10))</f>
        <v>0</v>
      </c>
      <c r="AH71" s="2"/>
      <c r="AI71" s="2"/>
    </row>
    <row r="72" spans="1:35" x14ac:dyDescent="0.3">
      <c r="A72" s="16" t="s">
        <v>15</v>
      </c>
      <c r="B72" s="2">
        <f>INDEX(SYCEU!$B$26:$G$35, MATCH($A72, SYCEU!$A$2:$A$11, 0), MATCH(Rural_res_calculation!$A$63, SYCEU!$B$1:$G$1, 0))</f>
        <v>0</v>
      </c>
      <c r="C72" s="2">
        <f>INDEX('2020'!$B$26:$G$35, MATCH($A72, '2020'!$A$2:$A$11, 0), MATCH(Rural_res_calculation!$A$63, '2020'!$B$1:$G$1, 0))</f>
        <v>0</v>
      </c>
      <c r="D72" s="2">
        <f>INDEX('2021'!$B$26:$G$35, MATCH($A72, '2021'!$A$2:$A$11, 0), MATCH(Rural_res_calculation!$A$63, '2021'!$B$1:$G$1, 0))</f>
        <v>0</v>
      </c>
      <c r="E72" s="2">
        <f>MAX(0, D72*(1+Forecast!$B11))</f>
        <v>0</v>
      </c>
      <c r="F72" s="2">
        <f>MAX(0, E72*(1+Forecast!$B11))</f>
        <v>0</v>
      </c>
      <c r="G72" s="2">
        <f>MAX(0, F72*(1+Forecast!$B11))</f>
        <v>0</v>
      </c>
      <c r="H72" s="2">
        <f>MAX(0, G72*(1+Forecast!$B11))</f>
        <v>0</v>
      </c>
      <c r="I72" s="2">
        <f>MAX(0, H72*(1+Forecast!$B11))</f>
        <v>0</v>
      </c>
      <c r="J72" s="2">
        <f>MAX(0, I72*(1+Forecast!$B11))</f>
        <v>0</v>
      </c>
      <c r="K72" s="2">
        <f>MAX(0, J72*(1+Forecast!$B11))</f>
        <v>0</v>
      </c>
      <c r="L72" s="2">
        <f>MAX(0, K72*(1+Forecast!$B11))</f>
        <v>0</v>
      </c>
      <c r="M72" s="2">
        <f>MAX(0, L72*(1+Forecast!$B11))</f>
        <v>0</v>
      </c>
      <c r="N72" s="2">
        <f>MAX(0, M72*(1+Forecast!$B11))</f>
        <v>0</v>
      </c>
      <c r="O72" s="2">
        <f>MAX(0, N72*(1+Forecast!$B11))</f>
        <v>0</v>
      </c>
      <c r="P72" s="2">
        <f>MAX(0, O72*(1+Forecast!$B11))</f>
        <v>0</v>
      </c>
      <c r="Q72" s="2">
        <f>MAX(0, P72*(1+Forecast!$B11))</f>
        <v>0</v>
      </c>
      <c r="R72" s="2">
        <f>MAX(0, Q72*(1+Forecast!$B11))</f>
        <v>0</v>
      </c>
      <c r="S72" s="2">
        <f>MAX(0, R72*(1+Forecast!$B11))</f>
        <v>0</v>
      </c>
      <c r="T72" s="2">
        <f>MAX(0, S72*(1+Forecast!$B11))</f>
        <v>0</v>
      </c>
      <c r="U72" s="2">
        <f>MAX(0, T72*(1+Forecast!$B11))</f>
        <v>0</v>
      </c>
      <c r="V72" s="2">
        <f>MAX(0, U72*(1+Forecast!$B11))</f>
        <v>0</v>
      </c>
      <c r="W72" s="2">
        <f>MAX(0, V72*(1+Forecast!$B11))</f>
        <v>0</v>
      </c>
      <c r="X72" s="2">
        <f>MAX(0, W72*(1+Forecast!$B11))</f>
        <v>0</v>
      </c>
      <c r="Y72" s="2">
        <f>MAX(0, X72*(1+Forecast!$B11))</f>
        <v>0</v>
      </c>
      <c r="Z72" s="2">
        <f>MAX(0, Y72*(1+Forecast!$B11))</f>
        <v>0</v>
      </c>
      <c r="AA72" s="2">
        <f>MAX(0, Z72*(1+Forecast!$B11))</f>
        <v>0</v>
      </c>
      <c r="AB72" s="2">
        <f>MAX(0, AA72*(1+Forecast!$B11))</f>
        <v>0</v>
      </c>
      <c r="AC72" s="2">
        <f>MAX(0, AB72*(1+Forecast!$B11))</f>
        <v>0</v>
      </c>
      <c r="AD72" s="2">
        <f>MAX(0, AC72*(1+Forecast!$B11))</f>
        <v>0</v>
      </c>
      <c r="AE72" s="2">
        <f>MAX(0, AD72*(1+Forecast!$B11))</f>
        <v>0</v>
      </c>
      <c r="AF72" s="2">
        <f>MAX(0, AE72*(1+Forecast!$B11))</f>
        <v>0</v>
      </c>
      <c r="AG72" s="2">
        <f>MAX(0, AF72*(1+Forecast!$B11))</f>
        <v>0</v>
      </c>
      <c r="AH72" s="2"/>
      <c r="AI72" s="2"/>
    </row>
    <row r="73" spans="1:35" x14ac:dyDescent="0.3">
      <c r="A73" s="16" t="s">
        <v>16</v>
      </c>
      <c r="B73" s="2">
        <f>INDEX(SYCEU!$B$26:$G$35, MATCH($A73, SYCEU!$A$2:$A$11, 0), MATCH(Rural_res_calculation!$A$63, SYCEU!$B$1:$G$1, 0))</f>
        <v>0</v>
      </c>
      <c r="C73" s="2">
        <f>INDEX('2020'!$B$26:$G$35, MATCH($A73, '2020'!$A$2:$A$11, 0), MATCH(Rural_res_calculation!$A$63, '2020'!$B$1:$G$1, 0))</f>
        <v>0</v>
      </c>
      <c r="D73" s="2">
        <f>INDEX('2021'!$B$26:$G$35, MATCH($A73, '2021'!$A$2:$A$11, 0), MATCH(Rural_res_calculation!$A$63, '2021'!$B$1:$G$1, 0))</f>
        <v>0</v>
      </c>
      <c r="E73" s="2">
        <f>MAX(0, D73*(1+Forecast!$B12))</f>
        <v>0</v>
      </c>
      <c r="F73" s="2">
        <f>MAX(0, E73*(1+Forecast!$B12))</f>
        <v>0</v>
      </c>
      <c r="G73" s="2">
        <f>MAX(0, F73*(1+Forecast!$B12))</f>
        <v>0</v>
      </c>
      <c r="H73" s="2">
        <f>MAX(0, G73*(1+Forecast!$B12))</f>
        <v>0</v>
      </c>
      <c r="I73" s="2">
        <f>MAX(0, H73*(1+Forecast!$B12))</f>
        <v>0</v>
      </c>
      <c r="J73" s="2">
        <f>MAX(0, I73*(1+Forecast!$B12))</f>
        <v>0</v>
      </c>
      <c r="K73" s="2">
        <f>MAX(0, J73*(1+Forecast!$B12))</f>
        <v>0</v>
      </c>
      <c r="L73" s="2">
        <f>MAX(0, K73*(1+Forecast!$B12))</f>
        <v>0</v>
      </c>
      <c r="M73" s="2">
        <f>MAX(0, L73*(1+Forecast!$B12))</f>
        <v>0</v>
      </c>
      <c r="N73" s="2">
        <f>MAX(0, M73*(1+Forecast!$B12))</f>
        <v>0</v>
      </c>
      <c r="O73" s="2">
        <f>MAX(0, N73*(1+Forecast!$B12))</f>
        <v>0</v>
      </c>
      <c r="P73" s="2">
        <f>MAX(0, O73*(1+Forecast!$B12))</f>
        <v>0</v>
      </c>
      <c r="Q73" s="2">
        <f>MAX(0, P73*(1+Forecast!$B12))</f>
        <v>0</v>
      </c>
      <c r="R73" s="2">
        <f>MAX(0, Q73*(1+Forecast!$B12))</f>
        <v>0</v>
      </c>
      <c r="S73" s="2">
        <f>MAX(0, R73*(1+Forecast!$B12))</f>
        <v>0</v>
      </c>
      <c r="T73" s="2">
        <f>MAX(0, S73*(1+Forecast!$B12))</f>
        <v>0</v>
      </c>
      <c r="U73" s="2">
        <f>MAX(0, T73*(1+Forecast!$B12))</f>
        <v>0</v>
      </c>
      <c r="V73" s="2">
        <f>MAX(0, U73*(1+Forecast!$B12))</f>
        <v>0</v>
      </c>
      <c r="W73" s="2">
        <f>MAX(0, V73*(1+Forecast!$B12))</f>
        <v>0</v>
      </c>
      <c r="X73" s="2">
        <f>MAX(0, W73*(1+Forecast!$B12))</f>
        <v>0</v>
      </c>
      <c r="Y73" s="2">
        <f>MAX(0, X73*(1+Forecast!$B12))</f>
        <v>0</v>
      </c>
      <c r="Z73" s="2">
        <f>MAX(0, Y73*(1+Forecast!$B12))</f>
        <v>0</v>
      </c>
      <c r="AA73" s="2">
        <f>MAX(0, Z73*(1+Forecast!$B12))</f>
        <v>0</v>
      </c>
      <c r="AB73" s="2">
        <f>MAX(0, AA73*(1+Forecast!$B12))</f>
        <v>0</v>
      </c>
      <c r="AC73" s="2">
        <f>MAX(0, AB73*(1+Forecast!$B12))</f>
        <v>0</v>
      </c>
      <c r="AD73" s="2">
        <f>MAX(0, AC73*(1+Forecast!$B12))</f>
        <v>0</v>
      </c>
      <c r="AE73" s="2">
        <f>MAX(0, AD73*(1+Forecast!$B12))</f>
        <v>0</v>
      </c>
      <c r="AF73" s="2">
        <f>MAX(0, AE73*(1+Forecast!$B12))</f>
        <v>0</v>
      </c>
      <c r="AG73" s="2">
        <f>MAX(0, AF73*(1+Forecast!$B12))</f>
        <v>0</v>
      </c>
      <c r="AH73" s="2"/>
      <c r="AI73" s="2"/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H36"/>
  <sheetViews>
    <sheetView zoomScaleNormal="100" workbookViewId="0">
      <selection activeCell="B2" sqref="B2"/>
    </sheetView>
  </sheetViews>
  <sheetFormatPr defaultRowHeight="16.5" x14ac:dyDescent="0.3"/>
  <cols>
    <col min="1" max="1" width="29.875" customWidth="1"/>
    <col min="2" max="32" width="15" customWidth="1"/>
  </cols>
  <sheetData>
    <row r="1" spans="1:34" x14ac:dyDescent="0.3">
      <c r="A1" s="1" t="s">
        <v>1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 x14ac:dyDescent="0.3">
      <c r="A2" s="1" t="s">
        <v>2</v>
      </c>
      <c r="B2" s="3">
        <f>Urban_res_calculation!B4</f>
        <v>16100000000000</v>
      </c>
      <c r="C2" s="3">
        <f>Urban_res_calculation!C4</f>
        <v>16152737143772.865</v>
      </c>
      <c r="D2" s="3">
        <f>Urban_res_calculation!D4</f>
        <v>17884694216042.055</v>
      </c>
      <c r="E2" s="3">
        <f>Urban_res_calculation!E4</f>
        <v>17992002381338.309</v>
      </c>
      <c r="F2" s="3">
        <f>Urban_res_calculation!F4</f>
        <v>18099954395626.34</v>
      </c>
      <c r="G2" s="3">
        <f>Urban_res_calculation!G4</f>
        <v>18208554122000.098</v>
      </c>
      <c r="H2" s="3">
        <f>Urban_res_calculation!H4</f>
        <v>18317805446732.098</v>
      </c>
      <c r="I2" s="3">
        <f>Urban_res_calculation!I4</f>
        <v>18427712279412.492</v>
      </c>
      <c r="J2" s="3">
        <f>Urban_res_calculation!J4</f>
        <v>18538278553088.969</v>
      </c>
      <c r="K2" s="3">
        <f>Urban_res_calculation!K4</f>
        <v>18649508224407.504</v>
      </c>
      <c r="L2" s="3">
        <f>Urban_res_calculation!L4</f>
        <v>18761405273753.949</v>
      </c>
      <c r="M2" s="3">
        <f>Urban_res_calculation!M4</f>
        <v>18873973705396.473</v>
      </c>
      <c r="N2" s="3">
        <f>Urban_res_calculation!N4</f>
        <v>18987217547628.852</v>
      </c>
      <c r="O2" s="3">
        <f>Urban_res_calculation!O4</f>
        <v>19101140852914.625</v>
      </c>
      <c r="P2" s="3">
        <f>Urban_res_calculation!P4</f>
        <v>19215747698032.113</v>
      </c>
      <c r="Q2" s="3">
        <f>Urban_res_calculation!Q4</f>
        <v>19331042184220.305</v>
      </c>
      <c r="R2" s="3">
        <f>Urban_res_calculation!R4</f>
        <v>19447028437325.625</v>
      </c>
      <c r="S2" s="3">
        <f>Urban_res_calculation!S4</f>
        <v>19563710607949.578</v>
      </c>
      <c r="T2" s="3">
        <f>Urban_res_calculation!T4</f>
        <v>19681092871597.277</v>
      </c>
      <c r="U2" s="3">
        <f>Urban_res_calculation!U4</f>
        <v>19799179428826.859</v>
      </c>
      <c r="V2" s="3">
        <f>Urban_res_calculation!V4</f>
        <v>19917974505399.82</v>
      </c>
      <c r="W2" s="3">
        <f>Urban_res_calculation!W4</f>
        <v>20037482352432.219</v>
      </c>
      <c r="X2" s="3">
        <f>Urban_res_calculation!X4</f>
        <v>20157707246546.813</v>
      </c>
      <c r="Y2" s="3">
        <f>Urban_res_calculation!Y4</f>
        <v>20278653490026.094</v>
      </c>
      <c r="Z2" s="3">
        <f>Urban_res_calculation!Z4</f>
        <v>20400325410966.25</v>
      </c>
      <c r="AA2" s="3">
        <f>Urban_res_calculation!AA4</f>
        <v>20522727363432.047</v>
      </c>
      <c r="AB2" s="3">
        <f>Urban_res_calculation!AB4</f>
        <v>20645863727612.641</v>
      </c>
      <c r="AC2" s="3">
        <f>Urban_res_calculation!AC4</f>
        <v>20769738909978.316</v>
      </c>
      <c r="AD2" s="3">
        <f>Urban_res_calculation!AD4</f>
        <v>20894357343438.188</v>
      </c>
      <c r="AE2" s="3">
        <f>Urban_res_calculation!AE4</f>
        <v>21019723487498.816</v>
      </c>
      <c r="AF2" s="3">
        <f>Urban_res_calculation!AF4</f>
        <v>21145841828423.809</v>
      </c>
      <c r="AH2" s="5"/>
    </row>
    <row r="3" spans="1:34" x14ac:dyDescent="0.3">
      <c r="A3" s="1" t="s">
        <v>3</v>
      </c>
      <c r="B3" s="3">
        <f>Urban_res_calculation!B5</f>
        <v>10800000000000</v>
      </c>
      <c r="C3" s="3">
        <f>Urban_res_calculation!C5</f>
        <v>10491576710400.002</v>
      </c>
      <c r="D3" s="3">
        <f>Urban_res_calculation!D5</f>
        <v>7212958988400</v>
      </c>
      <c r="E3" s="3">
        <f>Urban_res_calculation!E5</f>
        <v>6304126155861.5996</v>
      </c>
      <c r="F3" s="3">
        <f>Urban_res_calculation!F5</f>
        <v>5509806260223.0381</v>
      </c>
      <c r="G3" s="3">
        <f>Urban_res_calculation!G5</f>
        <v>4815570671434.9355</v>
      </c>
      <c r="H3" s="3">
        <f>Urban_res_calculation!H5</f>
        <v>4208808766834.1338</v>
      </c>
      <c r="I3" s="3">
        <f>Urban_res_calculation!I5</f>
        <v>3678498862213.0327</v>
      </c>
      <c r="J3" s="3">
        <f>Urban_res_calculation!J5</f>
        <v>3215008005574.1904</v>
      </c>
      <c r="K3" s="3">
        <f>Urban_res_calculation!K5</f>
        <v>2809916996871.8423</v>
      </c>
      <c r="L3" s="3">
        <f>Urban_res_calculation!L5</f>
        <v>2455867455265.9902</v>
      </c>
      <c r="M3" s="3">
        <f>Urban_res_calculation!M5</f>
        <v>2146428155902.4753</v>
      </c>
      <c r="N3" s="3">
        <f>Urban_res_calculation!N5</f>
        <v>1875978208258.7634</v>
      </c>
      <c r="O3" s="3">
        <f>Urban_res_calculation!O5</f>
        <v>1639604954018.1592</v>
      </c>
      <c r="P3" s="3">
        <f>Urban_res_calculation!P5</f>
        <v>1433014729811.8711</v>
      </c>
      <c r="Q3" s="3">
        <f>Urban_res_calculation!Q5</f>
        <v>1252454873855.5754</v>
      </c>
      <c r="R3" s="3">
        <f>Urban_res_calculation!R5</f>
        <v>1094645559749.7729</v>
      </c>
      <c r="S3" s="3">
        <f>Urban_res_calculation!S5</f>
        <v>956720219221.30151</v>
      </c>
      <c r="T3" s="3">
        <f>Urban_res_calculation!T5</f>
        <v>836173471599.41748</v>
      </c>
      <c r="U3" s="3">
        <f>Urban_res_calculation!U5</f>
        <v>730815614177.89087</v>
      </c>
      <c r="V3" s="3">
        <f>Urban_res_calculation!V5</f>
        <v>638732846791.47656</v>
      </c>
      <c r="W3" s="3">
        <f>Urban_res_calculation!W5</f>
        <v>558252508095.75049</v>
      </c>
      <c r="X3" s="3">
        <f>Urban_res_calculation!X5</f>
        <v>487912692075.68591</v>
      </c>
      <c r="Y3" s="3">
        <f>Urban_res_calculation!Y5</f>
        <v>426435692874.14948</v>
      </c>
      <c r="Z3" s="3">
        <f>Urban_res_calculation!Z5</f>
        <v>372704795572.00665</v>
      </c>
      <c r="AA3" s="3">
        <f>Urban_res_calculation!AA5</f>
        <v>325743991329.93384</v>
      </c>
      <c r="AB3" s="3">
        <f>Urban_res_calculation!AB5</f>
        <v>284700248422.36218</v>
      </c>
      <c r="AC3" s="3">
        <f>Urban_res_calculation!AC5</f>
        <v>248828017121.14456</v>
      </c>
      <c r="AD3" s="3">
        <f>Urban_res_calculation!AD5</f>
        <v>217475686963.88034</v>
      </c>
      <c r="AE3" s="3">
        <f>Urban_res_calculation!AE5</f>
        <v>190073750406.43143</v>
      </c>
      <c r="AF3" s="3">
        <f>Urban_res_calculation!AF5</f>
        <v>166124457855.22107</v>
      </c>
    </row>
    <row r="4" spans="1:34" x14ac:dyDescent="0.3">
      <c r="A4" s="1" t="s">
        <v>4</v>
      </c>
      <c r="B4" s="3">
        <f>Urban_res_calculation!B6</f>
        <v>322000000000000</v>
      </c>
      <c r="C4" s="3">
        <f>Urban_res_calculation!C6</f>
        <v>311210457713401.94</v>
      </c>
      <c r="D4" s="3">
        <f>Urban_res_calculation!D6</f>
        <v>326672624399992</v>
      </c>
      <c r="E4" s="3">
        <f>Urban_res_calculation!E6</f>
        <v>324059243404792.06</v>
      </c>
      <c r="F4" s="3">
        <f>Urban_res_calculation!F6</f>
        <v>321466769457553.75</v>
      </c>
      <c r="G4" s="3">
        <f>Urban_res_calculation!G6</f>
        <v>318895035301893.31</v>
      </c>
      <c r="H4" s="3">
        <f>Urban_res_calculation!H6</f>
        <v>316343875019478.19</v>
      </c>
      <c r="I4" s="3">
        <f>Urban_res_calculation!I6</f>
        <v>313813124019322.38</v>
      </c>
      <c r="J4" s="3">
        <f>Urban_res_calculation!J6</f>
        <v>311302619027167.81</v>
      </c>
      <c r="K4" s="3">
        <f>Urban_res_calculation!K6</f>
        <v>308812198074950.44</v>
      </c>
      <c r="L4" s="3">
        <f>Urban_res_calculation!L6</f>
        <v>306341700490350.81</v>
      </c>
      <c r="M4" s="3">
        <f>Urban_res_calculation!M6</f>
        <v>303890966886428</v>
      </c>
      <c r="N4" s="3">
        <f>Urban_res_calculation!N6</f>
        <v>301459839151336.56</v>
      </c>
      <c r="O4" s="3">
        <f>Urban_res_calculation!O6</f>
        <v>299048160438125.88</v>
      </c>
      <c r="P4" s="3">
        <f>Urban_res_calculation!P6</f>
        <v>296655775154620.88</v>
      </c>
      <c r="Q4" s="3">
        <f>Urban_res_calculation!Q6</f>
        <v>294282528953383.88</v>
      </c>
      <c r="R4" s="3">
        <f>Urban_res_calculation!R6</f>
        <v>291928268721756.81</v>
      </c>
      <c r="S4" s="3">
        <f>Urban_res_calculation!S6</f>
        <v>289592842571982.75</v>
      </c>
      <c r="T4" s="3">
        <f>Urban_res_calculation!T6</f>
        <v>287276099831406.88</v>
      </c>
      <c r="U4" s="3">
        <f>Urban_res_calculation!U6</f>
        <v>284977891032755.63</v>
      </c>
      <c r="V4" s="3">
        <f>Urban_res_calculation!V6</f>
        <v>282698067904493.56</v>
      </c>
      <c r="W4" s="3">
        <f>Urban_res_calculation!W6</f>
        <v>280436483361257.63</v>
      </c>
      <c r="X4" s="3">
        <f>Urban_res_calculation!X6</f>
        <v>278192991494367.56</v>
      </c>
      <c r="Y4" s="3">
        <f>Urban_res_calculation!Y6</f>
        <v>275967447562412.63</v>
      </c>
      <c r="Z4" s="3">
        <f>Urban_res_calculation!Z6</f>
        <v>273759707981913.31</v>
      </c>
      <c r="AA4" s="3">
        <f>Urban_res_calculation!AA6</f>
        <v>271569630318058</v>
      </c>
      <c r="AB4" s="3">
        <f>Urban_res_calculation!AB6</f>
        <v>269397073275513.53</v>
      </c>
      <c r="AC4" s="3">
        <f>Urban_res_calculation!AC6</f>
        <v>267241896689309.41</v>
      </c>
      <c r="AD4" s="3">
        <f>Urban_res_calculation!AD6</f>
        <v>265103961515794.94</v>
      </c>
      <c r="AE4" s="3">
        <f>Urban_res_calculation!AE6</f>
        <v>262983129823668.56</v>
      </c>
      <c r="AF4" s="3">
        <f>Urban_res_calculation!AF6</f>
        <v>260879264785079.22</v>
      </c>
    </row>
    <row r="5" spans="1:34" x14ac:dyDescent="0.3">
      <c r="A5" s="1" t="s">
        <v>5</v>
      </c>
      <c r="B5" s="3">
        <f>Urban_res_calculation!B7</f>
        <v>0</v>
      </c>
      <c r="C5" s="3">
        <f>Urban_res_calculation!C7</f>
        <v>0</v>
      </c>
      <c r="D5" s="3">
        <f>Urban_res_calculation!D7</f>
        <v>0</v>
      </c>
      <c r="E5" s="3">
        <f>Urban_res_calculation!E7</f>
        <v>0</v>
      </c>
      <c r="F5" s="3">
        <f>Urban_res_calculation!F7</f>
        <v>0</v>
      </c>
      <c r="G5" s="3">
        <f>Urban_res_calculation!G7</f>
        <v>0</v>
      </c>
      <c r="H5" s="3">
        <f>Urban_res_calculation!H7</f>
        <v>0</v>
      </c>
      <c r="I5" s="3">
        <f>Urban_res_calculation!I7</f>
        <v>0</v>
      </c>
      <c r="J5" s="3">
        <f>Urban_res_calculation!J7</f>
        <v>0</v>
      </c>
      <c r="K5" s="3">
        <f>Urban_res_calculation!K7</f>
        <v>0</v>
      </c>
      <c r="L5" s="3">
        <f>Urban_res_calculation!L7</f>
        <v>0</v>
      </c>
      <c r="M5" s="3">
        <f>Urban_res_calculation!M7</f>
        <v>0</v>
      </c>
      <c r="N5" s="3">
        <f>Urban_res_calculation!N7</f>
        <v>0</v>
      </c>
      <c r="O5" s="3">
        <f>Urban_res_calculation!O7</f>
        <v>0</v>
      </c>
      <c r="P5" s="3">
        <f>Urban_res_calculation!P7</f>
        <v>0</v>
      </c>
      <c r="Q5" s="3">
        <f>Urban_res_calculation!Q7</f>
        <v>0</v>
      </c>
      <c r="R5" s="3">
        <f>Urban_res_calculation!R7</f>
        <v>0</v>
      </c>
      <c r="S5" s="3">
        <f>Urban_res_calculation!S7</f>
        <v>0</v>
      </c>
      <c r="T5" s="3">
        <f>Urban_res_calculation!T7</f>
        <v>0</v>
      </c>
      <c r="U5" s="3">
        <f>Urban_res_calculation!U7</f>
        <v>0</v>
      </c>
      <c r="V5" s="3">
        <f>Urban_res_calculation!V7</f>
        <v>0</v>
      </c>
      <c r="W5" s="3">
        <f>Urban_res_calculation!W7</f>
        <v>0</v>
      </c>
      <c r="X5" s="3">
        <f>Urban_res_calculation!X7</f>
        <v>0</v>
      </c>
      <c r="Y5" s="3">
        <f>Urban_res_calculation!Y7</f>
        <v>0</v>
      </c>
      <c r="Z5" s="3">
        <f>Urban_res_calculation!Z7</f>
        <v>0</v>
      </c>
      <c r="AA5" s="3">
        <f>Urban_res_calculation!AA7</f>
        <v>0</v>
      </c>
      <c r="AB5" s="3">
        <f>Urban_res_calculation!AB7</f>
        <v>0</v>
      </c>
      <c r="AC5" s="3">
        <f>Urban_res_calculation!AC7</f>
        <v>0</v>
      </c>
      <c r="AD5" s="3">
        <f>Urban_res_calculation!AD7</f>
        <v>0</v>
      </c>
      <c r="AE5" s="3">
        <f>Urban_res_calculation!AE7</f>
        <v>0</v>
      </c>
      <c r="AF5" s="3">
        <f>Urban_res_calculation!AF7</f>
        <v>0</v>
      </c>
    </row>
    <row r="6" spans="1:34" x14ac:dyDescent="0.3">
      <c r="A6" s="1" t="s">
        <v>7</v>
      </c>
      <c r="B6" s="3">
        <f>Urban_res_calculation!B8</f>
        <v>82900000000000</v>
      </c>
      <c r="C6" s="3">
        <f>Urban_res_calculation!C8</f>
        <v>79816126987800.016</v>
      </c>
      <c r="D6" s="3">
        <f>Urban_res_calculation!D8</f>
        <v>87603886894891.609</v>
      </c>
      <c r="E6" s="3">
        <f>Urban_res_calculation!E8</f>
        <v>87516283007996.719</v>
      </c>
      <c r="F6" s="3">
        <f>Urban_res_calculation!F8</f>
        <v>87428766724988.719</v>
      </c>
      <c r="G6" s="3">
        <f>Urban_res_calculation!G8</f>
        <v>87341337958263.734</v>
      </c>
      <c r="H6" s="3">
        <f>Urban_res_calculation!H8</f>
        <v>87253996620305.469</v>
      </c>
      <c r="I6" s="3">
        <f>Urban_res_calculation!I8</f>
        <v>87166742623685.156</v>
      </c>
      <c r="J6" s="3">
        <f>Urban_res_calculation!J8</f>
        <v>87079575881061.469</v>
      </c>
      <c r="K6" s="3">
        <f>Urban_res_calculation!K8</f>
        <v>86992496305180.406</v>
      </c>
      <c r="L6" s="3">
        <f>Urban_res_calculation!L8</f>
        <v>86905503808875.219</v>
      </c>
      <c r="M6" s="3">
        <f>Urban_res_calculation!M8</f>
        <v>86818598305066.344</v>
      </c>
      <c r="N6" s="3">
        <f>Urban_res_calculation!N8</f>
        <v>86731779706761.281</v>
      </c>
      <c r="O6" s="3">
        <f>Urban_res_calculation!O8</f>
        <v>86645047927054.516</v>
      </c>
      <c r="P6" s="3">
        <f>Urban_res_calculation!P8</f>
        <v>86558402879127.469</v>
      </c>
      <c r="Q6" s="3">
        <f>Urban_res_calculation!Q8</f>
        <v>86471844476248.344</v>
      </c>
      <c r="R6" s="3">
        <f>Urban_res_calculation!R8</f>
        <v>86385372631772.094</v>
      </c>
      <c r="S6" s="3">
        <f>Urban_res_calculation!S8</f>
        <v>86298987259140.328</v>
      </c>
      <c r="T6" s="3">
        <f>Urban_res_calculation!T8</f>
        <v>86212688271881.188</v>
      </c>
      <c r="U6" s="3">
        <f>Urban_res_calculation!U8</f>
        <v>86126475583609.313</v>
      </c>
      <c r="V6" s="3">
        <f>Urban_res_calculation!V8</f>
        <v>86040349108025.703</v>
      </c>
      <c r="W6" s="3">
        <f>Urban_res_calculation!W8</f>
        <v>85954308758917.672</v>
      </c>
      <c r="X6" s="3">
        <f>Urban_res_calculation!X8</f>
        <v>85868354450158.75</v>
      </c>
      <c r="Y6" s="3">
        <f>Urban_res_calculation!Y8</f>
        <v>85782486095708.594</v>
      </c>
      <c r="Z6" s="3">
        <f>Urban_res_calculation!Z8</f>
        <v>85696703609612.891</v>
      </c>
      <c r="AA6" s="3">
        <f>Urban_res_calculation!AA8</f>
        <v>85611006906003.281</v>
      </c>
      <c r="AB6" s="3">
        <f>Urban_res_calculation!AB8</f>
        <v>85525395899097.281</v>
      </c>
      <c r="AC6" s="3">
        <f>Urban_res_calculation!AC8</f>
        <v>85439870503198.188</v>
      </c>
      <c r="AD6" s="3">
        <f>Urban_res_calculation!AD8</f>
        <v>85354430632694.984</v>
      </c>
      <c r="AE6" s="3">
        <f>Urban_res_calculation!AE8</f>
        <v>85269076202062.297</v>
      </c>
      <c r="AF6" s="3">
        <f>Urban_res_calculation!AF8</f>
        <v>85183807125860.234</v>
      </c>
    </row>
    <row r="7" spans="1:34" x14ac:dyDescent="0.3">
      <c r="A7" s="1" t="s">
        <v>11</v>
      </c>
      <c r="B7" s="3">
        <f>Urban_res_calculation!B9</f>
        <v>16300000000000</v>
      </c>
      <c r="C7" s="3">
        <f>Urban_res_calculation!C9</f>
        <v>16720950382200</v>
      </c>
      <c r="D7" s="3">
        <f>Urban_res_calculation!D9</f>
        <v>24431245585434.785</v>
      </c>
      <c r="E7" s="3">
        <f>Urban_res_calculation!E9</f>
        <v>24577833058947.395</v>
      </c>
      <c r="F7" s="3">
        <f>Urban_res_calculation!F9</f>
        <v>24725300057301.078</v>
      </c>
      <c r="G7" s="3">
        <f>Urban_res_calculation!G9</f>
        <v>24873651857644.883</v>
      </c>
      <c r="H7" s="3">
        <f>Urban_res_calculation!H9</f>
        <v>25022893768790.754</v>
      </c>
      <c r="I7" s="3">
        <f>Urban_res_calculation!I9</f>
        <v>25173031131403.5</v>
      </c>
      <c r="J7" s="3">
        <f>Urban_res_calculation!J9</f>
        <v>25324069318191.922</v>
      </c>
      <c r="K7" s="3">
        <f>Urban_res_calculation!K9</f>
        <v>25476013734101.074</v>
      </c>
      <c r="L7" s="3">
        <f>Urban_res_calculation!L9</f>
        <v>25628869816505.68</v>
      </c>
      <c r="M7" s="3">
        <f>Urban_res_calculation!M9</f>
        <v>25782643035404.715</v>
      </c>
      <c r="N7" s="3">
        <f>Urban_res_calculation!N9</f>
        <v>25937338893617.145</v>
      </c>
      <c r="O7" s="3">
        <f>Urban_res_calculation!O9</f>
        <v>26092962926978.848</v>
      </c>
      <c r="P7" s="3">
        <f>Urban_res_calculation!P9</f>
        <v>26249520704540.723</v>
      </c>
      <c r="Q7" s="3">
        <f>Urban_res_calculation!Q9</f>
        <v>26407017828767.969</v>
      </c>
      <c r="R7" s="3">
        <f>Urban_res_calculation!R9</f>
        <v>26565459935740.578</v>
      </c>
      <c r="S7" s="3">
        <f>Urban_res_calculation!S9</f>
        <v>26724852695355.023</v>
      </c>
      <c r="T7" s="3">
        <f>Urban_res_calculation!T9</f>
        <v>26885201811527.152</v>
      </c>
      <c r="U7" s="3">
        <f>Urban_res_calculation!U9</f>
        <v>27046513022396.316</v>
      </c>
      <c r="V7" s="3">
        <f>Urban_res_calculation!V9</f>
        <v>27208792100530.695</v>
      </c>
      <c r="W7" s="3">
        <f>Urban_res_calculation!W9</f>
        <v>27372044853133.879</v>
      </c>
      <c r="X7" s="3">
        <f>Urban_res_calculation!X9</f>
        <v>27536277122252.684</v>
      </c>
      <c r="Y7" s="3">
        <f>Urban_res_calculation!Y9</f>
        <v>27701494784986.199</v>
      </c>
      <c r="Z7" s="3">
        <f>Urban_res_calculation!Z9</f>
        <v>27867703753696.117</v>
      </c>
      <c r="AA7" s="3">
        <f>Urban_res_calculation!AA9</f>
        <v>28034909976218.293</v>
      </c>
      <c r="AB7" s="3">
        <f>Urban_res_calculation!AB9</f>
        <v>28203119436075.602</v>
      </c>
      <c r="AC7" s="3">
        <f>Urban_res_calculation!AC9</f>
        <v>28372338152692.055</v>
      </c>
      <c r="AD7" s="3">
        <f>Urban_res_calculation!AD9</f>
        <v>28542572181608.207</v>
      </c>
      <c r="AE7" s="3">
        <f>Urban_res_calculation!AE9</f>
        <v>28713827614697.855</v>
      </c>
      <c r="AF7" s="3">
        <f>Urban_res_calculation!AF9</f>
        <v>28886110580386.043</v>
      </c>
    </row>
    <row r="8" spans="1:34" x14ac:dyDescent="0.3">
      <c r="A8" s="1" t="s">
        <v>13</v>
      </c>
      <c r="B8" s="3">
        <f>Urban_res_calculation!B10</f>
        <v>0</v>
      </c>
      <c r="C8" s="3">
        <f>Urban_res_calculation!C10</f>
        <v>0</v>
      </c>
      <c r="D8" s="3">
        <f>Urban_res_calculation!D10</f>
        <v>0</v>
      </c>
      <c r="E8" s="3">
        <f>Urban_res_calculation!E10</f>
        <v>0</v>
      </c>
      <c r="F8" s="3">
        <f>Urban_res_calculation!F10</f>
        <v>0</v>
      </c>
      <c r="G8" s="3">
        <f>Urban_res_calculation!G10</f>
        <v>0</v>
      </c>
      <c r="H8" s="3">
        <f>Urban_res_calculation!H10</f>
        <v>0</v>
      </c>
      <c r="I8" s="3">
        <f>Urban_res_calculation!I10</f>
        <v>0</v>
      </c>
      <c r="J8" s="3">
        <f>Urban_res_calculation!J10</f>
        <v>0</v>
      </c>
      <c r="K8" s="3">
        <f>Urban_res_calculation!K10</f>
        <v>0</v>
      </c>
      <c r="L8" s="3">
        <f>Urban_res_calculation!L10</f>
        <v>0</v>
      </c>
      <c r="M8" s="3">
        <f>Urban_res_calculation!M10</f>
        <v>0</v>
      </c>
      <c r="N8" s="3">
        <f>Urban_res_calculation!N10</f>
        <v>0</v>
      </c>
      <c r="O8" s="3">
        <f>Urban_res_calculation!O10</f>
        <v>0</v>
      </c>
      <c r="P8" s="3">
        <f>Urban_res_calculation!P10</f>
        <v>0</v>
      </c>
      <c r="Q8" s="3">
        <f>Urban_res_calculation!Q10</f>
        <v>0</v>
      </c>
      <c r="R8" s="3">
        <f>Urban_res_calculation!R10</f>
        <v>0</v>
      </c>
      <c r="S8" s="3">
        <f>Urban_res_calculation!S10</f>
        <v>0</v>
      </c>
      <c r="T8" s="3">
        <f>Urban_res_calculation!T10</f>
        <v>0</v>
      </c>
      <c r="U8" s="3">
        <f>Urban_res_calculation!U10</f>
        <v>0</v>
      </c>
      <c r="V8" s="3">
        <f>Urban_res_calculation!V10</f>
        <v>0</v>
      </c>
      <c r="W8" s="3">
        <f>Urban_res_calculation!W10</f>
        <v>0</v>
      </c>
      <c r="X8" s="3">
        <f>Urban_res_calculation!X10</f>
        <v>0</v>
      </c>
      <c r="Y8" s="3">
        <f>Urban_res_calculation!Y10</f>
        <v>0</v>
      </c>
      <c r="Z8" s="3">
        <f>Urban_res_calculation!Z10</f>
        <v>0</v>
      </c>
      <c r="AA8" s="3">
        <f>Urban_res_calculation!AA10</f>
        <v>0</v>
      </c>
      <c r="AB8" s="3">
        <f>Urban_res_calculation!AB10</f>
        <v>0</v>
      </c>
      <c r="AC8" s="3">
        <f>Urban_res_calculation!AC10</f>
        <v>0</v>
      </c>
      <c r="AD8" s="3">
        <f>Urban_res_calculation!AD10</f>
        <v>0</v>
      </c>
      <c r="AE8" s="3">
        <f>Urban_res_calculation!AE10</f>
        <v>0</v>
      </c>
      <c r="AF8" s="3">
        <f>Urban_res_calculation!AF10</f>
        <v>0</v>
      </c>
    </row>
    <row r="9" spans="1:34" x14ac:dyDescent="0.3">
      <c r="A9" s="1" t="s">
        <v>14</v>
      </c>
      <c r="B9" s="3">
        <f>Urban_res_calculation!B11</f>
        <v>85200000000000</v>
      </c>
      <c r="C9" s="3">
        <f>Urban_res_calculation!C11</f>
        <v>80367512748743.031</v>
      </c>
      <c r="D9" s="3">
        <f>Urban_res_calculation!D11</f>
        <v>80221284272225.891</v>
      </c>
      <c r="E9" s="3">
        <f>Urban_res_calculation!E11</f>
        <v>76851990332792.406</v>
      </c>
      <c r="F9" s="3">
        <f>Urban_res_calculation!F11</f>
        <v>73624206738815.125</v>
      </c>
      <c r="G9" s="3">
        <f>Urban_res_calculation!G11</f>
        <v>70531990055784.891</v>
      </c>
      <c r="H9" s="3">
        <f>Urban_res_calculation!H11</f>
        <v>67569646473441.922</v>
      </c>
      <c r="I9" s="3">
        <f>Urban_res_calculation!I11</f>
        <v>64731721321557.359</v>
      </c>
      <c r="J9" s="3">
        <f>Urban_res_calculation!J11</f>
        <v>62012989026051.945</v>
      </c>
      <c r="K9" s="3">
        <f>Urban_res_calculation!K11</f>
        <v>59408443486957.758</v>
      </c>
      <c r="L9" s="3">
        <f>Urban_res_calculation!L11</f>
        <v>56913288860505.531</v>
      </c>
      <c r="M9" s="3">
        <f>Urban_res_calculation!M11</f>
        <v>54522930728364.297</v>
      </c>
      <c r="N9" s="3">
        <f>Urban_res_calculation!N11</f>
        <v>52232967637772.992</v>
      </c>
      <c r="O9" s="3">
        <f>Urban_res_calculation!O11</f>
        <v>50039182996986.523</v>
      </c>
      <c r="P9" s="3">
        <f>Urban_res_calculation!P11</f>
        <v>47937537311113.086</v>
      </c>
      <c r="Q9" s="3">
        <f>Urban_res_calculation!Q11</f>
        <v>45924160744046.336</v>
      </c>
      <c r="R9" s="3">
        <f>Urban_res_calculation!R11</f>
        <v>43995345992796.391</v>
      </c>
      <c r="S9" s="3">
        <f>Urban_res_calculation!S11</f>
        <v>42147541461098.938</v>
      </c>
      <c r="T9" s="3">
        <f>Urban_res_calculation!T11</f>
        <v>40377344719732.781</v>
      </c>
      <c r="U9" s="3">
        <f>Urban_res_calculation!U11</f>
        <v>38681496241504</v>
      </c>
      <c r="V9" s="3">
        <f>Urban_res_calculation!V11</f>
        <v>37056873399360.828</v>
      </c>
      <c r="W9" s="3">
        <f>Urban_res_calculation!W11</f>
        <v>35500484716587.672</v>
      </c>
      <c r="X9" s="3">
        <f>Urban_res_calculation!X11</f>
        <v>34009464358490.988</v>
      </c>
      <c r="Y9" s="3">
        <f>Urban_res_calculation!Y11</f>
        <v>32581066855434.367</v>
      </c>
      <c r="Z9" s="3">
        <f>Urban_res_calculation!Z11</f>
        <v>31212662047506.121</v>
      </c>
      <c r="AA9" s="3">
        <f>Urban_res_calculation!AA11</f>
        <v>29901730241510.863</v>
      </c>
      <c r="AB9" s="3">
        <f>Urban_res_calculation!AB11</f>
        <v>28645857571367.406</v>
      </c>
      <c r="AC9" s="3">
        <f>Urban_res_calculation!AC11</f>
        <v>27442731553369.973</v>
      </c>
      <c r="AD9" s="3">
        <f>Urban_res_calculation!AD11</f>
        <v>26290136828128.434</v>
      </c>
      <c r="AE9" s="3">
        <f>Urban_res_calculation!AE11</f>
        <v>25185951081347.039</v>
      </c>
      <c r="AF9" s="3">
        <f>Urban_res_calculation!AF11</f>
        <v>24128141135930.461</v>
      </c>
    </row>
    <row r="10" spans="1:34" x14ac:dyDescent="0.3">
      <c r="A10" s="1" t="s">
        <v>15</v>
      </c>
      <c r="B10" s="3">
        <f>Urban_res_calculation!B12</f>
        <v>21400000000000</v>
      </c>
      <c r="C10" s="3">
        <f>Urban_res_calculation!C12</f>
        <v>20201251495655.078</v>
      </c>
      <c r="D10" s="3">
        <f>Urban_res_calculation!D12</f>
        <v>20164495372080.805</v>
      </c>
      <c r="E10" s="3">
        <f>Urban_res_calculation!E12</f>
        <v>19317586566453.41</v>
      </c>
      <c r="F10" s="3">
        <f>Urban_res_calculation!F12</f>
        <v>18506247930662.367</v>
      </c>
      <c r="G10" s="3">
        <f>Urban_res_calculation!G12</f>
        <v>17728985517574.547</v>
      </c>
      <c r="H10" s="3">
        <f>Urban_res_calculation!H12</f>
        <v>16984368125836.416</v>
      </c>
      <c r="I10" s="3">
        <f>Urban_res_calculation!I12</f>
        <v>16271024664551.285</v>
      </c>
      <c r="J10" s="3">
        <f>Urban_res_calculation!J12</f>
        <v>15587641628640.131</v>
      </c>
      <c r="K10" s="3">
        <f>Urban_res_calculation!K12</f>
        <v>14932960680237.244</v>
      </c>
      <c r="L10" s="3">
        <f>Urban_res_calculation!L12</f>
        <v>14305776331667.279</v>
      </c>
      <c r="M10" s="3">
        <f>Urban_res_calculation!M12</f>
        <v>13704933725737.254</v>
      </c>
      <c r="N10" s="3">
        <f>Urban_res_calculation!N12</f>
        <v>13129326509256.289</v>
      </c>
      <c r="O10" s="3">
        <f>Urban_res_calculation!O12</f>
        <v>12577894795867.525</v>
      </c>
      <c r="P10" s="3">
        <f>Urban_res_calculation!P12</f>
        <v>12049623214441.088</v>
      </c>
      <c r="Q10" s="3">
        <f>Urban_res_calculation!Q12</f>
        <v>11543539039434.563</v>
      </c>
      <c r="R10" s="3">
        <f>Urban_res_calculation!R12</f>
        <v>11058710399778.311</v>
      </c>
      <c r="S10" s="3">
        <f>Urban_res_calculation!S12</f>
        <v>10594244562987.621</v>
      </c>
      <c r="T10" s="3">
        <f>Urban_res_calculation!T12</f>
        <v>10149286291342.141</v>
      </c>
      <c r="U10" s="3">
        <f>Urban_res_calculation!U12</f>
        <v>9723016267105.7695</v>
      </c>
      <c r="V10" s="3">
        <f>Urban_res_calculation!V12</f>
        <v>9314649583887.3262</v>
      </c>
      <c r="W10" s="3">
        <f>Urban_res_calculation!W12</f>
        <v>8923434301364.0586</v>
      </c>
      <c r="X10" s="3">
        <f>Urban_res_calculation!X12</f>
        <v>8548650060706.7676</v>
      </c>
      <c r="Y10" s="3">
        <f>Urban_res_calculation!Y12</f>
        <v>8189606758157.083</v>
      </c>
      <c r="Z10" s="3">
        <f>Urban_res_calculation!Z12</f>
        <v>7845643274314.4854</v>
      </c>
      <c r="AA10" s="3">
        <f>Urban_res_calculation!AA12</f>
        <v>7516126256793.2764</v>
      </c>
      <c r="AB10" s="3">
        <f>Urban_res_calculation!AB12</f>
        <v>7200448954007.958</v>
      </c>
      <c r="AC10" s="3">
        <f>Urban_res_calculation!AC12</f>
        <v>6898030097939.623</v>
      </c>
      <c r="AD10" s="3">
        <f>Urban_res_calculation!AD12</f>
        <v>6608312833826.1582</v>
      </c>
      <c r="AE10" s="3">
        <f>Urban_res_calculation!AE12</f>
        <v>6330763694805.459</v>
      </c>
      <c r="AF10" s="3">
        <f>Urban_res_calculation!AF12</f>
        <v>6064871619623.6299</v>
      </c>
    </row>
    <row r="11" spans="1:34" x14ac:dyDescent="0.3">
      <c r="A11" s="1" t="s">
        <v>16</v>
      </c>
      <c r="B11" s="3">
        <f>Urban_res_calculation!B13</f>
        <v>0</v>
      </c>
      <c r="C11" s="3">
        <f>Urban_res_calculation!C13</f>
        <v>0</v>
      </c>
      <c r="D11" s="3">
        <f>Urban_res_calculation!D13</f>
        <v>0</v>
      </c>
      <c r="E11" s="3">
        <f>Urban_res_calculation!E13</f>
        <v>0</v>
      </c>
      <c r="F11" s="3">
        <f>Urban_res_calculation!F13</f>
        <v>0</v>
      </c>
      <c r="G11" s="3">
        <f>Urban_res_calculation!G13</f>
        <v>0</v>
      </c>
      <c r="H11" s="3">
        <f>Urban_res_calculation!H13</f>
        <v>0</v>
      </c>
      <c r="I11" s="3">
        <f>Urban_res_calculation!I13</f>
        <v>0</v>
      </c>
      <c r="J11" s="3">
        <f>Urban_res_calculation!J13</f>
        <v>0</v>
      </c>
      <c r="K11" s="3">
        <f>Urban_res_calculation!K13</f>
        <v>0</v>
      </c>
      <c r="L11" s="3">
        <f>Urban_res_calculation!L13</f>
        <v>0</v>
      </c>
      <c r="M11" s="3">
        <f>Urban_res_calculation!M13</f>
        <v>0</v>
      </c>
      <c r="N11" s="3">
        <f>Urban_res_calculation!N13</f>
        <v>0</v>
      </c>
      <c r="O11" s="3">
        <f>Urban_res_calculation!O13</f>
        <v>0</v>
      </c>
      <c r="P11" s="3">
        <f>Urban_res_calculation!P13</f>
        <v>0</v>
      </c>
      <c r="Q11" s="3">
        <f>Urban_res_calculation!Q13</f>
        <v>0</v>
      </c>
      <c r="R11" s="3">
        <f>Urban_res_calculation!R13</f>
        <v>0</v>
      </c>
      <c r="S11" s="3">
        <f>Urban_res_calculation!S13</f>
        <v>0</v>
      </c>
      <c r="T11" s="3">
        <f>Urban_res_calculation!T13</f>
        <v>0</v>
      </c>
      <c r="U11" s="3">
        <f>Urban_res_calculation!U13</f>
        <v>0</v>
      </c>
      <c r="V11" s="3">
        <f>Urban_res_calculation!V13</f>
        <v>0</v>
      </c>
      <c r="W11" s="3">
        <f>Urban_res_calculation!W13</f>
        <v>0</v>
      </c>
      <c r="X11" s="3">
        <f>Urban_res_calculation!X13</f>
        <v>0</v>
      </c>
      <c r="Y11" s="3">
        <f>Urban_res_calculation!Y13</f>
        <v>0</v>
      </c>
      <c r="Z11" s="3">
        <f>Urban_res_calculation!Z13</f>
        <v>0</v>
      </c>
      <c r="AA11" s="3">
        <f>Urban_res_calculation!AA13</f>
        <v>0</v>
      </c>
      <c r="AB11" s="3">
        <f>Urban_res_calculation!AB13</f>
        <v>0</v>
      </c>
      <c r="AC11" s="3">
        <f>Urban_res_calculation!AC13</f>
        <v>0</v>
      </c>
      <c r="AD11" s="3">
        <f>Urban_res_calculation!AD13</f>
        <v>0</v>
      </c>
      <c r="AE11" s="3">
        <f>Urban_res_calculation!AE13</f>
        <v>0</v>
      </c>
      <c r="AF11" s="3">
        <f>Urban_res_calculation!AF13</f>
        <v>0</v>
      </c>
    </row>
    <row r="27" spans="2:6" x14ac:dyDescent="0.3">
      <c r="B27" s="7"/>
      <c r="C27" s="7"/>
      <c r="D27" s="7"/>
      <c r="E27" s="7"/>
      <c r="F27" s="7"/>
    </row>
    <row r="28" spans="2:6" x14ac:dyDescent="0.3">
      <c r="B28" s="7"/>
      <c r="C28" s="7"/>
      <c r="D28" s="7"/>
      <c r="E28" s="7"/>
      <c r="F28" s="7"/>
    </row>
    <row r="29" spans="2:6" x14ac:dyDescent="0.3">
      <c r="B29" s="7"/>
      <c r="C29" s="7"/>
      <c r="D29" s="7"/>
      <c r="E29" s="7"/>
      <c r="F29" s="7"/>
    </row>
    <row r="30" spans="2:6" x14ac:dyDescent="0.3">
      <c r="B30" s="7"/>
      <c r="C30" s="7"/>
      <c r="D30" s="7"/>
      <c r="E30" s="7"/>
      <c r="F30" s="7"/>
    </row>
    <row r="31" spans="2:6" x14ac:dyDescent="0.3">
      <c r="B31" s="7"/>
      <c r="C31" s="7"/>
      <c r="D31" s="7"/>
      <c r="E31" s="7"/>
      <c r="F31" s="7"/>
    </row>
    <row r="32" spans="2:6" x14ac:dyDescent="0.3">
      <c r="B32" s="7"/>
      <c r="C32" s="7"/>
      <c r="D32" s="7"/>
      <c r="E32" s="7"/>
      <c r="F32" s="7"/>
    </row>
    <row r="33" spans="2:6" x14ac:dyDescent="0.3">
      <c r="B33" s="7"/>
      <c r="C33" s="7"/>
      <c r="D33" s="7"/>
      <c r="E33" s="7"/>
      <c r="F33" s="7"/>
    </row>
    <row r="34" spans="2:6" x14ac:dyDescent="0.3">
      <c r="B34" s="7"/>
      <c r="C34" s="7"/>
      <c r="D34" s="7"/>
      <c r="E34" s="7"/>
      <c r="F34" s="7"/>
    </row>
    <row r="35" spans="2:6" x14ac:dyDescent="0.3">
      <c r="B35" s="7"/>
      <c r="C35" s="7"/>
      <c r="D35" s="7"/>
      <c r="E35" s="7"/>
      <c r="F35" s="7"/>
    </row>
    <row r="36" spans="2:6" x14ac:dyDescent="0.3">
      <c r="B36" s="7"/>
      <c r="C36" s="7"/>
      <c r="D36" s="7"/>
      <c r="E36" s="7"/>
      <c r="F36" s="7"/>
    </row>
  </sheetData>
  <phoneticPr fontId="10" type="noConversion"/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I11"/>
  <sheetViews>
    <sheetView zoomScale="120" zoomScaleNormal="120" workbookViewId="0">
      <selection activeCell="B2" sqref="B2"/>
    </sheetView>
  </sheetViews>
  <sheetFormatPr defaultRowHeight="16.5" x14ac:dyDescent="0.3"/>
  <cols>
    <col min="1" max="1" width="29.875" customWidth="1"/>
    <col min="2" max="33" width="11.875" customWidth="1"/>
  </cols>
  <sheetData>
    <row r="1" spans="1:35" x14ac:dyDescent="0.3">
      <c r="A1" s="1" t="s">
        <v>1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3">
      <c r="A2" s="1" t="s">
        <v>2</v>
      </c>
      <c r="B2" s="3">
        <f>Urban_res_calculation!B16</f>
        <v>19800000000000</v>
      </c>
      <c r="C2" s="3">
        <f>Urban_res_calculation!C16</f>
        <v>19829823270841.098</v>
      </c>
      <c r="D2" s="3">
        <f>Urban_res_calculation!D16</f>
        <v>21956051311951.871</v>
      </c>
      <c r="E2" s="3">
        <f>Urban_res_calculation!E16</f>
        <v>22087787619823.582</v>
      </c>
      <c r="F2" s="3">
        <f>Urban_res_calculation!F16</f>
        <v>22220314345542.523</v>
      </c>
      <c r="G2" s="3">
        <f>Urban_res_calculation!G16</f>
        <v>22353636231615.777</v>
      </c>
      <c r="H2" s="3">
        <f>Urban_res_calculation!H16</f>
        <v>22487758049005.473</v>
      </c>
      <c r="I2" s="3">
        <f>Urban_res_calculation!I16</f>
        <v>22622684597299.504</v>
      </c>
      <c r="J2" s="3">
        <f>Urban_res_calculation!J16</f>
        <v>22758420704883.301</v>
      </c>
      <c r="K2" s="3">
        <f>Urban_res_calculation!K16</f>
        <v>22894971229112.602</v>
      </c>
      <c r="L2" s="3">
        <f>Urban_res_calculation!L16</f>
        <v>23032341056487.277</v>
      </c>
      <c r="M2" s="3">
        <f>Urban_res_calculation!M16</f>
        <v>23170535102826.199</v>
      </c>
      <c r="N2" s="3">
        <f>Urban_res_calculation!N16</f>
        <v>23309558313443.156</v>
      </c>
      <c r="O2" s="3">
        <f>Urban_res_calculation!O16</f>
        <v>23449415663323.816</v>
      </c>
      <c r="P2" s="3">
        <f>Urban_res_calculation!P16</f>
        <v>23590112157303.758</v>
      </c>
      <c r="Q2" s="3">
        <f>Urban_res_calculation!Q16</f>
        <v>23731652830247.582</v>
      </c>
      <c r="R2" s="3">
        <f>Urban_res_calculation!R16</f>
        <v>23874042747229.066</v>
      </c>
      <c r="S2" s="3">
        <f>Urban_res_calculation!S16</f>
        <v>24017287003712.441</v>
      </c>
      <c r="T2" s="3">
        <f>Urban_res_calculation!T16</f>
        <v>24161390725734.715</v>
      </c>
      <c r="U2" s="3">
        <f>Urban_res_calculation!U16</f>
        <v>24306359070089.125</v>
      </c>
      <c r="V2" s="3">
        <f>Urban_res_calculation!V16</f>
        <v>24452197224509.66</v>
      </c>
      <c r="W2" s="3">
        <f>Urban_res_calculation!W16</f>
        <v>24598910407856.719</v>
      </c>
      <c r="X2" s="3">
        <f>Urban_res_calculation!X16</f>
        <v>24746503870303.859</v>
      </c>
      <c r="Y2" s="3">
        <f>Urban_res_calculation!Y16</f>
        <v>24894982893525.684</v>
      </c>
      <c r="Z2" s="3">
        <f>Urban_res_calculation!Z16</f>
        <v>25044352790886.836</v>
      </c>
      <c r="AA2" s="3">
        <f>Urban_res_calculation!AA16</f>
        <v>25194618907632.156</v>
      </c>
      <c r="AB2" s="3">
        <f>Urban_res_calculation!AB16</f>
        <v>25345786621077.949</v>
      </c>
      <c r="AC2" s="3">
        <f>Urban_res_calculation!AC16</f>
        <v>25497861340804.418</v>
      </c>
      <c r="AD2" s="3">
        <f>Urban_res_calculation!AD16</f>
        <v>25650848508849.246</v>
      </c>
      <c r="AE2" s="3">
        <f>Urban_res_calculation!AE16</f>
        <v>25804753599902.34</v>
      </c>
      <c r="AF2" s="3">
        <f>Urban_res_calculation!AF16</f>
        <v>25959582121501.754</v>
      </c>
      <c r="AG2" s="3">
        <f>Urban_res_calculation!AG16</f>
        <v>26115339614230.766</v>
      </c>
    </row>
    <row r="3" spans="1:35" x14ac:dyDescent="0.3">
      <c r="A3" s="1" t="s">
        <v>3</v>
      </c>
      <c r="B3" s="3">
        <f>Urban_res_calculation!B17</f>
        <v>0</v>
      </c>
      <c r="C3" s="3">
        <f>Urban_res_calculation!C17</f>
        <v>0</v>
      </c>
      <c r="D3" s="3">
        <f>Urban_res_calculation!D17</f>
        <v>0</v>
      </c>
      <c r="E3" s="3">
        <f>Urban_res_calculation!E17</f>
        <v>0</v>
      </c>
      <c r="F3" s="3">
        <f>Urban_res_calculation!F17</f>
        <v>0</v>
      </c>
      <c r="G3" s="3">
        <f>Urban_res_calculation!G17</f>
        <v>0</v>
      </c>
      <c r="H3" s="3">
        <f>Urban_res_calculation!H17</f>
        <v>0</v>
      </c>
      <c r="I3" s="3">
        <f>Urban_res_calculation!I17</f>
        <v>0</v>
      </c>
      <c r="J3" s="3">
        <f>Urban_res_calculation!J17</f>
        <v>0</v>
      </c>
      <c r="K3" s="3">
        <f>Urban_res_calculation!K17</f>
        <v>0</v>
      </c>
      <c r="L3" s="3">
        <f>Urban_res_calculation!L17</f>
        <v>0</v>
      </c>
      <c r="M3" s="3">
        <f>Urban_res_calculation!M17</f>
        <v>0</v>
      </c>
      <c r="N3" s="3">
        <f>Urban_res_calculation!N17</f>
        <v>0</v>
      </c>
      <c r="O3" s="3">
        <f>Urban_res_calculation!O17</f>
        <v>0</v>
      </c>
      <c r="P3" s="3">
        <f>Urban_res_calculation!P17</f>
        <v>0</v>
      </c>
      <c r="Q3" s="3">
        <f>Urban_res_calculation!Q17</f>
        <v>0</v>
      </c>
      <c r="R3" s="3">
        <f>Urban_res_calculation!R17</f>
        <v>0</v>
      </c>
      <c r="S3" s="3">
        <f>Urban_res_calculation!S17</f>
        <v>0</v>
      </c>
      <c r="T3" s="3">
        <f>Urban_res_calculation!T17</f>
        <v>0</v>
      </c>
      <c r="U3" s="3">
        <f>Urban_res_calculation!U17</f>
        <v>0</v>
      </c>
      <c r="V3" s="3">
        <f>Urban_res_calculation!V17</f>
        <v>0</v>
      </c>
      <c r="W3" s="3">
        <f>Urban_res_calculation!W17</f>
        <v>0</v>
      </c>
      <c r="X3" s="3">
        <f>Urban_res_calculation!X17</f>
        <v>0</v>
      </c>
      <c r="Y3" s="3">
        <f>Urban_res_calculation!Y17</f>
        <v>0</v>
      </c>
      <c r="Z3" s="3">
        <f>Urban_res_calculation!Z17</f>
        <v>0</v>
      </c>
      <c r="AA3" s="3">
        <f>Urban_res_calculation!AA17</f>
        <v>0</v>
      </c>
      <c r="AB3" s="3">
        <f>Urban_res_calculation!AB17</f>
        <v>0</v>
      </c>
      <c r="AC3" s="3">
        <f>Urban_res_calculation!AC17</f>
        <v>0</v>
      </c>
      <c r="AD3" s="3">
        <f>Urban_res_calculation!AD17</f>
        <v>0</v>
      </c>
      <c r="AE3" s="3">
        <f>Urban_res_calculation!AE17</f>
        <v>0</v>
      </c>
      <c r="AF3" s="3">
        <f>Urban_res_calculation!AF17</f>
        <v>0</v>
      </c>
      <c r="AG3" s="3">
        <f>Urban_res_calculation!AG17</f>
        <v>0</v>
      </c>
    </row>
    <row r="4" spans="1:35" x14ac:dyDescent="0.3">
      <c r="A4" s="1" t="s">
        <v>4</v>
      </c>
      <c r="B4" s="3">
        <f>Urban_res_calculation!B18</f>
        <v>0</v>
      </c>
      <c r="C4" s="3">
        <f>Urban_res_calculation!C18</f>
        <v>0</v>
      </c>
      <c r="D4" s="3">
        <f>Urban_res_calculation!D18</f>
        <v>0</v>
      </c>
      <c r="E4" s="3">
        <f>Urban_res_calculation!E18</f>
        <v>0</v>
      </c>
      <c r="F4" s="3">
        <f>Urban_res_calculation!F18</f>
        <v>0</v>
      </c>
      <c r="G4" s="3">
        <f>Urban_res_calculation!G18</f>
        <v>0</v>
      </c>
      <c r="H4" s="3">
        <f>Urban_res_calculation!H18</f>
        <v>0</v>
      </c>
      <c r="I4" s="3">
        <f>Urban_res_calculation!I18</f>
        <v>0</v>
      </c>
      <c r="J4" s="3">
        <f>Urban_res_calculation!J18</f>
        <v>0</v>
      </c>
      <c r="K4" s="3">
        <f>Urban_res_calculation!K18</f>
        <v>0</v>
      </c>
      <c r="L4" s="3">
        <f>Urban_res_calculation!L18</f>
        <v>0</v>
      </c>
      <c r="M4" s="3">
        <f>Urban_res_calculation!M18</f>
        <v>0</v>
      </c>
      <c r="N4" s="3">
        <f>Urban_res_calculation!N18</f>
        <v>0</v>
      </c>
      <c r="O4" s="3">
        <f>Urban_res_calculation!O18</f>
        <v>0</v>
      </c>
      <c r="P4" s="3">
        <f>Urban_res_calculation!P18</f>
        <v>0</v>
      </c>
      <c r="Q4" s="3">
        <f>Urban_res_calculation!Q18</f>
        <v>0</v>
      </c>
      <c r="R4" s="3">
        <f>Urban_res_calculation!R18</f>
        <v>0</v>
      </c>
      <c r="S4" s="3">
        <f>Urban_res_calculation!S18</f>
        <v>0</v>
      </c>
      <c r="T4" s="3">
        <f>Urban_res_calculation!T18</f>
        <v>0</v>
      </c>
      <c r="U4" s="3">
        <f>Urban_res_calculation!U18</f>
        <v>0</v>
      </c>
      <c r="V4" s="3">
        <f>Urban_res_calculation!V18</f>
        <v>0</v>
      </c>
      <c r="W4" s="3">
        <f>Urban_res_calculation!W18</f>
        <v>0</v>
      </c>
      <c r="X4" s="3">
        <f>Urban_res_calculation!X18</f>
        <v>0</v>
      </c>
      <c r="Y4" s="3">
        <f>Urban_res_calculation!Y18</f>
        <v>0</v>
      </c>
      <c r="Z4" s="3">
        <f>Urban_res_calculation!Z18</f>
        <v>0</v>
      </c>
      <c r="AA4" s="3">
        <f>Urban_res_calculation!AA18</f>
        <v>0</v>
      </c>
      <c r="AB4" s="3">
        <f>Urban_res_calculation!AB18</f>
        <v>0</v>
      </c>
      <c r="AC4" s="3">
        <f>Urban_res_calculation!AC18</f>
        <v>0</v>
      </c>
      <c r="AD4" s="3">
        <f>Urban_res_calculation!AD18</f>
        <v>0</v>
      </c>
      <c r="AE4" s="3">
        <f>Urban_res_calculation!AE18</f>
        <v>0</v>
      </c>
      <c r="AF4" s="3">
        <f>Urban_res_calculation!AF18</f>
        <v>0</v>
      </c>
      <c r="AG4" s="3">
        <f>Urban_res_calculation!AG18</f>
        <v>0</v>
      </c>
    </row>
    <row r="5" spans="1:35" x14ac:dyDescent="0.3">
      <c r="A5" s="1" t="s">
        <v>5</v>
      </c>
      <c r="B5" s="3">
        <f>Urban_res_calculation!B19</f>
        <v>0</v>
      </c>
      <c r="C5" s="3">
        <f>Urban_res_calculation!C19</f>
        <v>0</v>
      </c>
      <c r="D5" s="3">
        <f>Urban_res_calculation!D19</f>
        <v>0</v>
      </c>
      <c r="E5" s="3">
        <f>Urban_res_calculation!E19</f>
        <v>0</v>
      </c>
      <c r="F5" s="3">
        <f>Urban_res_calculation!F19</f>
        <v>0</v>
      </c>
      <c r="G5" s="3">
        <f>Urban_res_calculation!G19</f>
        <v>0</v>
      </c>
      <c r="H5" s="3">
        <f>Urban_res_calculation!H19</f>
        <v>0</v>
      </c>
      <c r="I5" s="3">
        <f>Urban_res_calculation!I19</f>
        <v>0</v>
      </c>
      <c r="J5" s="3">
        <f>Urban_res_calculation!J19</f>
        <v>0</v>
      </c>
      <c r="K5" s="3">
        <f>Urban_res_calculation!K19</f>
        <v>0</v>
      </c>
      <c r="L5" s="3">
        <f>Urban_res_calculation!L19</f>
        <v>0</v>
      </c>
      <c r="M5" s="3">
        <f>Urban_res_calculation!M19</f>
        <v>0</v>
      </c>
      <c r="N5" s="3">
        <f>Urban_res_calculation!N19</f>
        <v>0</v>
      </c>
      <c r="O5" s="3">
        <f>Urban_res_calculation!O19</f>
        <v>0</v>
      </c>
      <c r="P5" s="3">
        <f>Urban_res_calculation!P19</f>
        <v>0</v>
      </c>
      <c r="Q5" s="3">
        <f>Urban_res_calculation!Q19</f>
        <v>0</v>
      </c>
      <c r="R5" s="3">
        <f>Urban_res_calculation!R19</f>
        <v>0</v>
      </c>
      <c r="S5" s="3">
        <f>Urban_res_calculation!S19</f>
        <v>0</v>
      </c>
      <c r="T5" s="3">
        <f>Urban_res_calculation!T19</f>
        <v>0</v>
      </c>
      <c r="U5" s="3">
        <f>Urban_res_calculation!U19</f>
        <v>0</v>
      </c>
      <c r="V5" s="3">
        <f>Urban_res_calculation!V19</f>
        <v>0</v>
      </c>
      <c r="W5" s="3">
        <f>Urban_res_calculation!W19</f>
        <v>0</v>
      </c>
      <c r="X5" s="3">
        <f>Urban_res_calculation!X19</f>
        <v>0</v>
      </c>
      <c r="Y5" s="3">
        <f>Urban_res_calculation!Y19</f>
        <v>0</v>
      </c>
      <c r="Z5" s="3">
        <f>Urban_res_calculation!Z19</f>
        <v>0</v>
      </c>
      <c r="AA5" s="3">
        <f>Urban_res_calculation!AA19</f>
        <v>0</v>
      </c>
      <c r="AB5" s="3">
        <f>Urban_res_calculation!AB19</f>
        <v>0</v>
      </c>
      <c r="AC5" s="3">
        <f>Urban_res_calculation!AC19</f>
        <v>0</v>
      </c>
      <c r="AD5" s="3">
        <f>Urban_res_calculation!AD19</f>
        <v>0</v>
      </c>
      <c r="AE5" s="3">
        <f>Urban_res_calculation!AE19</f>
        <v>0</v>
      </c>
      <c r="AF5" s="3">
        <f>Urban_res_calculation!AF19</f>
        <v>0</v>
      </c>
      <c r="AG5" s="3">
        <f>Urban_res_calculation!AG19</f>
        <v>0</v>
      </c>
    </row>
    <row r="6" spans="1:35" x14ac:dyDescent="0.3">
      <c r="A6" s="1" t="s">
        <v>7</v>
      </c>
      <c r="B6" s="3">
        <f>Urban_res_calculation!B20</f>
        <v>0</v>
      </c>
      <c r="C6" s="3">
        <f>Urban_res_calculation!C20</f>
        <v>0</v>
      </c>
      <c r="D6" s="3">
        <f>Urban_res_calculation!D20</f>
        <v>0</v>
      </c>
      <c r="E6" s="3">
        <f>Urban_res_calculation!E20</f>
        <v>0</v>
      </c>
      <c r="F6" s="3">
        <f>Urban_res_calculation!F20</f>
        <v>0</v>
      </c>
      <c r="G6" s="3">
        <f>Urban_res_calculation!G20</f>
        <v>0</v>
      </c>
      <c r="H6" s="3">
        <f>Urban_res_calculation!H20</f>
        <v>0</v>
      </c>
      <c r="I6" s="3">
        <f>Urban_res_calculation!I20</f>
        <v>0</v>
      </c>
      <c r="J6" s="3">
        <f>Urban_res_calculation!J20</f>
        <v>0</v>
      </c>
      <c r="K6" s="3">
        <f>Urban_res_calculation!K20</f>
        <v>0</v>
      </c>
      <c r="L6" s="3">
        <f>Urban_res_calculation!L20</f>
        <v>0</v>
      </c>
      <c r="M6" s="3">
        <f>Urban_res_calculation!M20</f>
        <v>0</v>
      </c>
      <c r="N6" s="3">
        <f>Urban_res_calculation!N20</f>
        <v>0</v>
      </c>
      <c r="O6" s="3">
        <f>Urban_res_calculation!O20</f>
        <v>0</v>
      </c>
      <c r="P6" s="3">
        <f>Urban_res_calculation!P20</f>
        <v>0</v>
      </c>
      <c r="Q6" s="3">
        <f>Urban_res_calculation!Q20</f>
        <v>0</v>
      </c>
      <c r="R6" s="3">
        <f>Urban_res_calculation!R20</f>
        <v>0</v>
      </c>
      <c r="S6" s="3">
        <f>Urban_res_calculation!S20</f>
        <v>0</v>
      </c>
      <c r="T6" s="3">
        <f>Urban_res_calculation!T20</f>
        <v>0</v>
      </c>
      <c r="U6" s="3">
        <f>Urban_res_calculation!U20</f>
        <v>0</v>
      </c>
      <c r="V6" s="3">
        <f>Urban_res_calculation!V20</f>
        <v>0</v>
      </c>
      <c r="W6" s="3">
        <f>Urban_res_calculation!W20</f>
        <v>0</v>
      </c>
      <c r="X6" s="3">
        <f>Urban_res_calculation!X20</f>
        <v>0</v>
      </c>
      <c r="Y6" s="3">
        <f>Urban_res_calculation!Y20</f>
        <v>0</v>
      </c>
      <c r="Z6" s="3">
        <f>Urban_res_calculation!Z20</f>
        <v>0</v>
      </c>
      <c r="AA6" s="3">
        <f>Urban_res_calculation!AA20</f>
        <v>0</v>
      </c>
      <c r="AB6" s="3">
        <f>Urban_res_calculation!AB20</f>
        <v>0</v>
      </c>
      <c r="AC6" s="3">
        <f>Urban_res_calculation!AC20</f>
        <v>0</v>
      </c>
      <c r="AD6" s="3">
        <f>Urban_res_calculation!AD20</f>
        <v>0</v>
      </c>
      <c r="AE6" s="3">
        <f>Urban_res_calculation!AE20</f>
        <v>0</v>
      </c>
      <c r="AF6" s="3">
        <f>Urban_res_calculation!AF20</f>
        <v>0</v>
      </c>
      <c r="AG6" s="3">
        <f>Urban_res_calculation!AG20</f>
        <v>0</v>
      </c>
    </row>
    <row r="7" spans="1:35" x14ac:dyDescent="0.3">
      <c r="A7" s="1" t="s">
        <v>11</v>
      </c>
      <c r="B7" s="3">
        <f>Urban_res_calculation!B21</f>
        <v>0</v>
      </c>
      <c r="C7" s="3">
        <f>Urban_res_calculation!C21</f>
        <v>0</v>
      </c>
      <c r="D7" s="3">
        <f>Urban_res_calculation!D21</f>
        <v>0</v>
      </c>
      <c r="E7" s="3">
        <f>Urban_res_calculation!E21</f>
        <v>0</v>
      </c>
      <c r="F7" s="3">
        <f>Urban_res_calculation!F21</f>
        <v>0</v>
      </c>
      <c r="G7" s="3">
        <f>Urban_res_calculation!G21</f>
        <v>0</v>
      </c>
      <c r="H7" s="3">
        <f>Urban_res_calculation!H21</f>
        <v>0</v>
      </c>
      <c r="I7" s="3">
        <f>Urban_res_calculation!I21</f>
        <v>0</v>
      </c>
      <c r="J7" s="3">
        <f>Urban_res_calculation!J21</f>
        <v>0</v>
      </c>
      <c r="K7" s="3">
        <f>Urban_res_calculation!K21</f>
        <v>0</v>
      </c>
      <c r="L7" s="3">
        <f>Urban_res_calculation!L21</f>
        <v>0</v>
      </c>
      <c r="M7" s="3">
        <f>Urban_res_calculation!M21</f>
        <v>0</v>
      </c>
      <c r="N7" s="3">
        <f>Urban_res_calculation!N21</f>
        <v>0</v>
      </c>
      <c r="O7" s="3">
        <f>Urban_res_calculation!O21</f>
        <v>0</v>
      </c>
      <c r="P7" s="3">
        <f>Urban_res_calculation!P21</f>
        <v>0</v>
      </c>
      <c r="Q7" s="3">
        <f>Urban_res_calculation!Q21</f>
        <v>0</v>
      </c>
      <c r="R7" s="3">
        <f>Urban_res_calculation!R21</f>
        <v>0</v>
      </c>
      <c r="S7" s="3">
        <f>Urban_res_calculation!S21</f>
        <v>0</v>
      </c>
      <c r="T7" s="3">
        <f>Urban_res_calculation!T21</f>
        <v>0</v>
      </c>
      <c r="U7" s="3">
        <f>Urban_res_calculation!U21</f>
        <v>0</v>
      </c>
      <c r="V7" s="3">
        <f>Urban_res_calculation!V21</f>
        <v>0</v>
      </c>
      <c r="W7" s="3">
        <f>Urban_res_calculation!W21</f>
        <v>0</v>
      </c>
      <c r="X7" s="3">
        <f>Urban_res_calculation!X21</f>
        <v>0</v>
      </c>
      <c r="Y7" s="3">
        <f>Urban_res_calculation!Y21</f>
        <v>0</v>
      </c>
      <c r="Z7" s="3">
        <f>Urban_res_calculation!Z21</f>
        <v>0</v>
      </c>
      <c r="AA7" s="3">
        <f>Urban_res_calculation!AA21</f>
        <v>0</v>
      </c>
      <c r="AB7" s="3">
        <f>Urban_res_calculation!AB21</f>
        <v>0</v>
      </c>
      <c r="AC7" s="3">
        <f>Urban_res_calculation!AC21</f>
        <v>0</v>
      </c>
      <c r="AD7" s="3">
        <f>Urban_res_calculation!AD21</f>
        <v>0</v>
      </c>
      <c r="AE7" s="3">
        <f>Urban_res_calculation!AE21</f>
        <v>0</v>
      </c>
      <c r="AF7" s="3">
        <f>Urban_res_calculation!AF21</f>
        <v>0</v>
      </c>
      <c r="AG7" s="3">
        <f>Urban_res_calculation!AG21</f>
        <v>0</v>
      </c>
    </row>
    <row r="8" spans="1:35" x14ac:dyDescent="0.3">
      <c r="A8" s="1" t="s">
        <v>13</v>
      </c>
      <c r="B8" s="3">
        <f>Urban_res_calculation!B22</f>
        <v>0</v>
      </c>
      <c r="C8" s="3">
        <f>Urban_res_calculation!C22</f>
        <v>0</v>
      </c>
      <c r="D8" s="3">
        <f>Urban_res_calculation!D22</f>
        <v>0</v>
      </c>
      <c r="E8" s="3">
        <f>Urban_res_calculation!E22</f>
        <v>0</v>
      </c>
      <c r="F8" s="3">
        <f>Urban_res_calculation!F22</f>
        <v>0</v>
      </c>
      <c r="G8" s="3">
        <f>Urban_res_calculation!G22</f>
        <v>0</v>
      </c>
      <c r="H8" s="3">
        <f>Urban_res_calculation!H22</f>
        <v>0</v>
      </c>
      <c r="I8" s="3">
        <f>Urban_res_calculation!I22</f>
        <v>0</v>
      </c>
      <c r="J8" s="3">
        <f>Urban_res_calculation!J22</f>
        <v>0</v>
      </c>
      <c r="K8" s="3">
        <f>Urban_res_calculation!K22</f>
        <v>0</v>
      </c>
      <c r="L8" s="3">
        <f>Urban_res_calculation!L22</f>
        <v>0</v>
      </c>
      <c r="M8" s="3">
        <f>Urban_res_calculation!M22</f>
        <v>0</v>
      </c>
      <c r="N8" s="3">
        <f>Urban_res_calculation!N22</f>
        <v>0</v>
      </c>
      <c r="O8" s="3">
        <f>Urban_res_calculation!O22</f>
        <v>0</v>
      </c>
      <c r="P8" s="3">
        <f>Urban_res_calculation!P22</f>
        <v>0</v>
      </c>
      <c r="Q8" s="3">
        <f>Urban_res_calculation!Q22</f>
        <v>0</v>
      </c>
      <c r="R8" s="3">
        <f>Urban_res_calculation!R22</f>
        <v>0</v>
      </c>
      <c r="S8" s="3">
        <f>Urban_res_calculation!S22</f>
        <v>0</v>
      </c>
      <c r="T8" s="3">
        <f>Urban_res_calculation!T22</f>
        <v>0</v>
      </c>
      <c r="U8" s="3">
        <f>Urban_res_calculation!U22</f>
        <v>0</v>
      </c>
      <c r="V8" s="3">
        <f>Urban_res_calculation!V22</f>
        <v>0</v>
      </c>
      <c r="W8" s="3">
        <f>Urban_res_calculation!W22</f>
        <v>0</v>
      </c>
      <c r="X8" s="3">
        <f>Urban_res_calculation!X22</f>
        <v>0</v>
      </c>
      <c r="Y8" s="3">
        <f>Urban_res_calculation!Y22</f>
        <v>0</v>
      </c>
      <c r="Z8" s="3">
        <f>Urban_res_calculation!Z22</f>
        <v>0</v>
      </c>
      <c r="AA8" s="3">
        <f>Urban_res_calculation!AA22</f>
        <v>0</v>
      </c>
      <c r="AB8" s="3">
        <f>Urban_res_calculation!AB22</f>
        <v>0</v>
      </c>
      <c r="AC8" s="3">
        <f>Urban_res_calculation!AC22</f>
        <v>0</v>
      </c>
      <c r="AD8" s="3">
        <f>Urban_res_calculation!AD22</f>
        <v>0</v>
      </c>
      <c r="AE8" s="3">
        <f>Urban_res_calculation!AE22</f>
        <v>0</v>
      </c>
      <c r="AF8" s="3">
        <f>Urban_res_calculation!AF22</f>
        <v>0</v>
      </c>
      <c r="AG8" s="3">
        <f>Urban_res_calculation!AG22</f>
        <v>0</v>
      </c>
    </row>
    <row r="9" spans="1:35" x14ac:dyDescent="0.3">
      <c r="A9" s="1" t="s">
        <v>14</v>
      </c>
      <c r="B9" s="3">
        <f>Urban_res_calculation!B23</f>
        <v>0</v>
      </c>
      <c r="C9" s="3">
        <f>Urban_res_calculation!C23</f>
        <v>0</v>
      </c>
      <c r="D9" s="3">
        <f>Urban_res_calculation!D23</f>
        <v>0</v>
      </c>
      <c r="E9" s="3">
        <f>Urban_res_calculation!E23</f>
        <v>0</v>
      </c>
      <c r="F9" s="3">
        <f>Urban_res_calculation!F23</f>
        <v>0</v>
      </c>
      <c r="G9" s="3">
        <f>Urban_res_calculation!G23</f>
        <v>0</v>
      </c>
      <c r="H9" s="3">
        <f>Urban_res_calculation!H23</f>
        <v>0</v>
      </c>
      <c r="I9" s="3">
        <f>Urban_res_calculation!I23</f>
        <v>0</v>
      </c>
      <c r="J9" s="3">
        <f>Urban_res_calculation!J23</f>
        <v>0</v>
      </c>
      <c r="K9" s="3">
        <f>Urban_res_calculation!K23</f>
        <v>0</v>
      </c>
      <c r="L9" s="3">
        <f>Urban_res_calculation!L23</f>
        <v>0</v>
      </c>
      <c r="M9" s="3">
        <f>Urban_res_calculation!M23</f>
        <v>0</v>
      </c>
      <c r="N9" s="3">
        <f>Urban_res_calculation!N23</f>
        <v>0</v>
      </c>
      <c r="O9" s="3">
        <f>Urban_res_calculation!O23</f>
        <v>0</v>
      </c>
      <c r="P9" s="3">
        <f>Urban_res_calculation!P23</f>
        <v>0</v>
      </c>
      <c r="Q9" s="3">
        <f>Urban_res_calculation!Q23</f>
        <v>0</v>
      </c>
      <c r="R9" s="3">
        <f>Urban_res_calculation!R23</f>
        <v>0</v>
      </c>
      <c r="S9" s="3">
        <f>Urban_res_calculation!S23</f>
        <v>0</v>
      </c>
      <c r="T9" s="3">
        <f>Urban_res_calculation!T23</f>
        <v>0</v>
      </c>
      <c r="U9" s="3">
        <f>Urban_res_calculation!U23</f>
        <v>0</v>
      </c>
      <c r="V9" s="3">
        <f>Urban_res_calculation!V23</f>
        <v>0</v>
      </c>
      <c r="W9" s="3">
        <f>Urban_res_calculation!W23</f>
        <v>0</v>
      </c>
      <c r="X9" s="3">
        <f>Urban_res_calculation!X23</f>
        <v>0</v>
      </c>
      <c r="Y9" s="3">
        <f>Urban_res_calculation!Y23</f>
        <v>0</v>
      </c>
      <c r="Z9" s="3">
        <f>Urban_res_calculation!Z23</f>
        <v>0</v>
      </c>
      <c r="AA9" s="3">
        <f>Urban_res_calculation!AA23</f>
        <v>0</v>
      </c>
      <c r="AB9" s="3">
        <f>Urban_res_calculation!AB23</f>
        <v>0</v>
      </c>
      <c r="AC9" s="3">
        <f>Urban_res_calculation!AC23</f>
        <v>0</v>
      </c>
      <c r="AD9" s="3">
        <f>Urban_res_calculation!AD23</f>
        <v>0</v>
      </c>
      <c r="AE9" s="3">
        <f>Urban_res_calculation!AE23</f>
        <v>0</v>
      </c>
      <c r="AF9" s="3">
        <f>Urban_res_calculation!AF23</f>
        <v>0</v>
      </c>
      <c r="AG9" s="3">
        <f>Urban_res_calculation!AG23</f>
        <v>0</v>
      </c>
    </row>
    <row r="10" spans="1:35" x14ac:dyDescent="0.3">
      <c r="A10" s="1" t="s">
        <v>15</v>
      </c>
      <c r="B10" s="3">
        <f>Urban_res_calculation!B24</f>
        <v>0</v>
      </c>
      <c r="C10" s="3">
        <f>Urban_res_calculation!C24</f>
        <v>0</v>
      </c>
      <c r="D10" s="3">
        <f>Urban_res_calculation!D24</f>
        <v>0</v>
      </c>
      <c r="E10" s="3">
        <f>Urban_res_calculation!E24</f>
        <v>0</v>
      </c>
      <c r="F10" s="3">
        <f>Urban_res_calculation!F24</f>
        <v>0</v>
      </c>
      <c r="G10" s="3">
        <f>Urban_res_calculation!G24</f>
        <v>0</v>
      </c>
      <c r="H10" s="3">
        <f>Urban_res_calculation!H24</f>
        <v>0</v>
      </c>
      <c r="I10" s="3">
        <f>Urban_res_calculation!I24</f>
        <v>0</v>
      </c>
      <c r="J10" s="3">
        <f>Urban_res_calculation!J24</f>
        <v>0</v>
      </c>
      <c r="K10" s="3">
        <f>Urban_res_calculation!K24</f>
        <v>0</v>
      </c>
      <c r="L10" s="3">
        <f>Urban_res_calculation!L24</f>
        <v>0</v>
      </c>
      <c r="M10" s="3">
        <f>Urban_res_calculation!M24</f>
        <v>0</v>
      </c>
      <c r="N10" s="3">
        <f>Urban_res_calculation!N24</f>
        <v>0</v>
      </c>
      <c r="O10" s="3">
        <f>Urban_res_calculation!O24</f>
        <v>0</v>
      </c>
      <c r="P10" s="3">
        <f>Urban_res_calculation!P24</f>
        <v>0</v>
      </c>
      <c r="Q10" s="3">
        <f>Urban_res_calculation!Q24</f>
        <v>0</v>
      </c>
      <c r="R10" s="3">
        <f>Urban_res_calculation!R24</f>
        <v>0</v>
      </c>
      <c r="S10" s="3">
        <f>Urban_res_calculation!S24</f>
        <v>0</v>
      </c>
      <c r="T10" s="3">
        <f>Urban_res_calculation!T24</f>
        <v>0</v>
      </c>
      <c r="U10" s="3">
        <f>Urban_res_calculation!U24</f>
        <v>0</v>
      </c>
      <c r="V10" s="3">
        <f>Urban_res_calculation!V24</f>
        <v>0</v>
      </c>
      <c r="W10" s="3">
        <f>Urban_res_calculation!W24</f>
        <v>0</v>
      </c>
      <c r="X10" s="3">
        <f>Urban_res_calculation!X24</f>
        <v>0</v>
      </c>
      <c r="Y10" s="3">
        <f>Urban_res_calculation!Y24</f>
        <v>0</v>
      </c>
      <c r="Z10" s="3">
        <f>Urban_res_calculation!Z24</f>
        <v>0</v>
      </c>
      <c r="AA10" s="3">
        <f>Urban_res_calculation!AA24</f>
        <v>0</v>
      </c>
      <c r="AB10" s="3">
        <f>Urban_res_calculation!AB24</f>
        <v>0</v>
      </c>
      <c r="AC10" s="3">
        <f>Urban_res_calculation!AC24</f>
        <v>0</v>
      </c>
      <c r="AD10" s="3">
        <f>Urban_res_calculation!AD24</f>
        <v>0</v>
      </c>
      <c r="AE10" s="3">
        <f>Urban_res_calculation!AE24</f>
        <v>0</v>
      </c>
      <c r="AF10" s="3">
        <f>Urban_res_calculation!AF24</f>
        <v>0</v>
      </c>
      <c r="AG10" s="3">
        <f>Urban_res_calculation!AG24</f>
        <v>0</v>
      </c>
    </row>
    <row r="11" spans="1:35" x14ac:dyDescent="0.3">
      <c r="A11" s="1" t="s">
        <v>16</v>
      </c>
      <c r="B11" s="3">
        <f>Urban_res_calculation!B25</f>
        <v>0</v>
      </c>
      <c r="C11" s="3">
        <f>Urban_res_calculation!C25</f>
        <v>0</v>
      </c>
      <c r="D11" s="3">
        <f>Urban_res_calculation!D25</f>
        <v>0</v>
      </c>
      <c r="E11" s="3">
        <f>Urban_res_calculation!E25</f>
        <v>0</v>
      </c>
      <c r="F11" s="3">
        <f>Urban_res_calculation!F25</f>
        <v>0</v>
      </c>
      <c r="G11" s="3">
        <f>Urban_res_calculation!G25</f>
        <v>0</v>
      </c>
      <c r="H11" s="3">
        <f>Urban_res_calculation!H25</f>
        <v>0</v>
      </c>
      <c r="I11" s="3">
        <f>Urban_res_calculation!I25</f>
        <v>0</v>
      </c>
      <c r="J11" s="3">
        <f>Urban_res_calculation!J25</f>
        <v>0</v>
      </c>
      <c r="K11" s="3">
        <f>Urban_res_calculation!K25</f>
        <v>0</v>
      </c>
      <c r="L11" s="3">
        <f>Urban_res_calculation!L25</f>
        <v>0</v>
      </c>
      <c r="M11" s="3">
        <f>Urban_res_calculation!M25</f>
        <v>0</v>
      </c>
      <c r="N11" s="3">
        <f>Urban_res_calculation!N25</f>
        <v>0</v>
      </c>
      <c r="O11" s="3">
        <f>Urban_res_calculation!O25</f>
        <v>0</v>
      </c>
      <c r="P11" s="3">
        <f>Urban_res_calculation!P25</f>
        <v>0</v>
      </c>
      <c r="Q11" s="3">
        <f>Urban_res_calculation!Q25</f>
        <v>0</v>
      </c>
      <c r="R11" s="3">
        <f>Urban_res_calculation!R25</f>
        <v>0</v>
      </c>
      <c r="S11" s="3">
        <f>Urban_res_calculation!S25</f>
        <v>0</v>
      </c>
      <c r="T11" s="3">
        <f>Urban_res_calculation!T25</f>
        <v>0</v>
      </c>
      <c r="U11" s="3">
        <f>Urban_res_calculation!U25</f>
        <v>0</v>
      </c>
      <c r="V11" s="3">
        <f>Urban_res_calculation!V25</f>
        <v>0</v>
      </c>
      <c r="W11" s="3">
        <f>Urban_res_calculation!W25</f>
        <v>0</v>
      </c>
      <c r="X11" s="3">
        <f>Urban_res_calculation!X25</f>
        <v>0</v>
      </c>
      <c r="Y11" s="3">
        <f>Urban_res_calculation!Y25</f>
        <v>0</v>
      </c>
      <c r="Z11" s="3">
        <f>Urban_res_calculation!Z25</f>
        <v>0</v>
      </c>
      <c r="AA11" s="3">
        <f>Urban_res_calculation!AA25</f>
        <v>0</v>
      </c>
      <c r="AB11" s="3">
        <f>Urban_res_calculation!AB25</f>
        <v>0</v>
      </c>
      <c r="AC11" s="3">
        <f>Urban_res_calculation!AC25</f>
        <v>0</v>
      </c>
      <c r="AD11" s="3">
        <f>Urban_res_calculation!AD25</f>
        <v>0</v>
      </c>
      <c r="AE11" s="3">
        <f>Urban_res_calculation!AE25</f>
        <v>0</v>
      </c>
      <c r="AF11" s="3">
        <f>Urban_res_calculation!AF25</f>
        <v>0</v>
      </c>
      <c r="AG11" s="3">
        <f>Urban_res_calculation!AG25</f>
        <v>0</v>
      </c>
    </row>
  </sheetData>
  <phoneticPr fontId="10" type="noConversion"/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I11"/>
  <sheetViews>
    <sheetView zoomScale="110" zoomScaleNormal="110" workbookViewId="0">
      <selection activeCell="B2" sqref="B2"/>
    </sheetView>
  </sheetViews>
  <sheetFormatPr defaultRowHeight="16.5" x14ac:dyDescent="0.3"/>
  <cols>
    <col min="1" max="1" width="29.875" customWidth="1"/>
    <col min="2" max="2" width="11.625" bestFit="1" customWidth="1"/>
    <col min="3" max="33" width="10.625" bestFit="1" customWidth="1"/>
  </cols>
  <sheetData>
    <row r="1" spans="1:35" x14ac:dyDescent="0.3">
      <c r="A1" s="1" t="s">
        <v>1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3">
      <c r="A2" s="1" t="s">
        <v>2</v>
      </c>
      <c r="B2" s="3">
        <f>Urban_res_calculation!B40</f>
        <v>19800000000000</v>
      </c>
      <c r="C2" s="3">
        <f>Urban_res_calculation!C40</f>
        <v>19829823270841.098</v>
      </c>
      <c r="D2" s="3">
        <f>Urban_res_calculation!D40</f>
        <v>21956051311951.871</v>
      </c>
      <c r="E2" s="3">
        <f>Urban_res_calculation!E40</f>
        <v>22087787619823.582</v>
      </c>
      <c r="F2" s="3">
        <f>Urban_res_calculation!F40</f>
        <v>22220314345542.523</v>
      </c>
      <c r="G2" s="3">
        <f>Urban_res_calculation!G40</f>
        <v>22353636231615.777</v>
      </c>
      <c r="H2" s="3">
        <f>Urban_res_calculation!H40</f>
        <v>22487758049005.473</v>
      </c>
      <c r="I2" s="3">
        <f>Urban_res_calculation!I40</f>
        <v>22622684597299.504</v>
      </c>
      <c r="J2" s="3">
        <f>Urban_res_calculation!J40</f>
        <v>22758420704883.301</v>
      </c>
      <c r="K2" s="3">
        <f>Urban_res_calculation!K40</f>
        <v>22894971229112.602</v>
      </c>
      <c r="L2" s="3">
        <f>Urban_res_calculation!L40</f>
        <v>23032341056487.277</v>
      </c>
      <c r="M2" s="3">
        <f>Urban_res_calculation!M40</f>
        <v>23170535102826.199</v>
      </c>
      <c r="N2" s="3">
        <f>Urban_res_calculation!N40</f>
        <v>23309558313443.156</v>
      </c>
      <c r="O2" s="3">
        <f>Urban_res_calculation!O40</f>
        <v>23449415663323.816</v>
      </c>
      <c r="P2" s="3">
        <f>Urban_res_calculation!P40</f>
        <v>23590112157303.758</v>
      </c>
      <c r="Q2" s="3">
        <f>Urban_res_calculation!Q40</f>
        <v>23731652830247.582</v>
      </c>
      <c r="R2" s="3">
        <f>Urban_res_calculation!R40</f>
        <v>23874042747229.066</v>
      </c>
      <c r="S2" s="3">
        <f>Urban_res_calculation!S40</f>
        <v>24017287003712.441</v>
      </c>
      <c r="T2" s="3">
        <f>Urban_res_calculation!T40</f>
        <v>24161390725734.715</v>
      </c>
      <c r="U2" s="3">
        <f>Urban_res_calculation!U40</f>
        <v>24306359070089.125</v>
      </c>
      <c r="V2" s="3">
        <f>Urban_res_calculation!V40</f>
        <v>24452197224509.66</v>
      </c>
      <c r="W2" s="3">
        <f>Urban_res_calculation!W40</f>
        <v>24598910407856.719</v>
      </c>
      <c r="X2" s="3">
        <f>Urban_res_calculation!X40</f>
        <v>24746503870303.859</v>
      </c>
      <c r="Y2" s="3">
        <f>Urban_res_calculation!Y40</f>
        <v>24894982893525.684</v>
      </c>
      <c r="Z2" s="3">
        <f>Urban_res_calculation!Z40</f>
        <v>25044352790886.836</v>
      </c>
      <c r="AA2" s="3">
        <f>Urban_res_calculation!AA40</f>
        <v>25194618907632.156</v>
      </c>
      <c r="AB2" s="3">
        <f>Urban_res_calculation!AB40</f>
        <v>25345786621077.949</v>
      </c>
      <c r="AC2" s="3">
        <f>Urban_res_calculation!AC40</f>
        <v>25497861340804.418</v>
      </c>
      <c r="AD2" s="3">
        <f>Urban_res_calculation!AD40</f>
        <v>25650848508849.246</v>
      </c>
      <c r="AE2" s="3">
        <f>Urban_res_calculation!AE40</f>
        <v>25804753599902.34</v>
      </c>
      <c r="AF2" s="3">
        <f>Urban_res_calculation!AF40</f>
        <v>25959582121501.754</v>
      </c>
      <c r="AG2" s="3">
        <f>Urban_res_calculation!AG40</f>
        <v>26115339614230.766</v>
      </c>
    </row>
    <row r="3" spans="1:35" x14ac:dyDescent="0.3">
      <c r="A3" s="1" t="s">
        <v>3</v>
      </c>
      <c r="B3" s="3">
        <f>Urban_res_calculation!B41</f>
        <v>0</v>
      </c>
      <c r="C3" s="3">
        <f>Urban_res_calculation!C41</f>
        <v>0</v>
      </c>
      <c r="D3" s="3">
        <f>Urban_res_calculation!D41</f>
        <v>0</v>
      </c>
      <c r="E3" s="3">
        <f>Urban_res_calculation!E41</f>
        <v>0</v>
      </c>
      <c r="F3" s="3">
        <f>Urban_res_calculation!F41</f>
        <v>0</v>
      </c>
      <c r="G3" s="3">
        <f>Urban_res_calculation!G41</f>
        <v>0</v>
      </c>
      <c r="H3" s="3">
        <f>Urban_res_calculation!H41</f>
        <v>0</v>
      </c>
      <c r="I3" s="3">
        <f>Urban_res_calculation!I41</f>
        <v>0</v>
      </c>
      <c r="J3" s="3">
        <f>Urban_res_calculation!J41</f>
        <v>0</v>
      </c>
      <c r="K3" s="3">
        <f>Urban_res_calculation!K41</f>
        <v>0</v>
      </c>
      <c r="L3" s="3">
        <f>Urban_res_calculation!L41</f>
        <v>0</v>
      </c>
      <c r="M3" s="3">
        <f>Urban_res_calculation!M41</f>
        <v>0</v>
      </c>
      <c r="N3" s="3">
        <f>Urban_res_calculation!N41</f>
        <v>0</v>
      </c>
      <c r="O3" s="3">
        <f>Urban_res_calculation!O41</f>
        <v>0</v>
      </c>
      <c r="P3" s="3">
        <f>Urban_res_calculation!P41</f>
        <v>0</v>
      </c>
      <c r="Q3" s="3">
        <f>Urban_res_calculation!Q41</f>
        <v>0</v>
      </c>
      <c r="R3" s="3">
        <f>Urban_res_calculation!R41</f>
        <v>0</v>
      </c>
      <c r="S3" s="3">
        <f>Urban_res_calculation!S41</f>
        <v>0</v>
      </c>
      <c r="T3" s="3">
        <f>Urban_res_calculation!T41</f>
        <v>0</v>
      </c>
      <c r="U3" s="3">
        <f>Urban_res_calculation!U41</f>
        <v>0</v>
      </c>
      <c r="V3" s="3">
        <f>Urban_res_calculation!V41</f>
        <v>0</v>
      </c>
      <c r="W3" s="3">
        <f>Urban_res_calculation!W41</f>
        <v>0</v>
      </c>
      <c r="X3" s="3">
        <f>Urban_res_calculation!X41</f>
        <v>0</v>
      </c>
      <c r="Y3" s="3">
        <f>Urban_res_calculation!Y41</f>
        <v>0</v>
      </c>
      <c r="Z3" s="3">
        <f>Urban_res_calculation!Z41</f>
        <v>0</v>
      </c>
      <c r="AA3" s="3">
        <f>Urban_res_calculation!AA41</f>
        <v>0</v>
      </c>
      <c r="AB3" s="3">
        <f>Urban_res_calculation!AB41</f>
        <v>0</v>
      </c>
      <c r="AC3" s="3">
        <f>Urban_res_calculation!AC41</f>
        <v>0</v>
      </c>
      <c r="AD3" s="3">
        <f>Urban_res_calculation!AD41</f>
        <v>0</v>
      </c>
      <c r="AE3" s="3">
        <f>Urban_res_calculation!AE41</f>
        <v>0</v>
      </c>
      <c r="AF3" s="3">
        <f>Urban_res_calculation!AF41</f>
        <v>0</v>
      </c>
      <c r="AG3" s="3">
        <f>Urban_res_calculation!AG41</f>
        <v>0</v>
      </c>
    </row>
    <row r="4" spans="1:35" x14ac:dyDescent="0.3">
      <c r="A4" s="1" t="s">
        <v>4</v>
      </c>
      <c r="B4" s="3">
        <f>Urban_res_calculation!B42</f>
        <v>0</v>
      </c>
      <c r="C4" s="3">
        <f>Urban_res_calculation!C42</f>
        <v>0</v>
      </c>
      <c r="D4" s="3">
        <f>Urban_res_calculation!D42</f>
        <v>0</v>
      </c>
      <c r="E4" s="3">
        <f>Urban_res_calculation!E42</f>
        <v>0</v>
      </c>
      <c r="F4" s="3">
        <f>Urban_res_calculation!F42</f>
        <v>0</v>
      </c>
      <c r="G4" s="3">
        <f>Urban_res_calculation!G42</f>
        <v>0</v>
      </c>
      <c r="H4" s="3">
        <f>Urban_res_calculation!H42</f>
        <v>0</v>
      </c>
      <c r="I4" s="3">
        <f>Urban_res_calculation!I42</f>
        <v>0</v>
      </c>
      <c r="J4" s="3">
        <f>Urban_res_calculation!J42</f>
        <v>0</v>
      </c>
      <c r="K4" s="3">
        <f>Urban_res_calculation!K42</f>
        <v>0</v>
      </c>
      <c r="L4" s="3">
        <f>Urban_res_calculation!L42</f>
        <v>0</v>
      </c>
      <c r="M4" s="3">
        <f>Urban_res_calculation!M42</f>
        <v>0</v>
      </c>
      <c r="N4" s="3">
        <f>Urban_res_calculation!N42</f>
        <v>0</v>
      </c>
      <c r="O4" s="3">
        <f>Urban_res_calculation!O42</f>
        <v>0</v>
      </c>
      <c r="P4" s="3">
        <f>Urban_res_calculation!P42</f>
        <v>0</v>
      </c>
      <c r="Q4" s="3">
        <f>Urban_res_calculation!Q42</f>
        <v>0</v>
      </c>
      <c r="R4" s="3">
        <f>Urban_res_calculation!R42</f>
        <v>0</v>
      </c>
      <c r="S4" s="3">
        <f>Urban_res_calculation!S42</f>
        <v>0</v>
      </c>
      <c r="T4" s="3">
        <f>Urban_res_calculation!T42</f>
        <v>0</v>
      </c>
      <c r="U4" s="3">
        <f>Urban_res_calculation!U42</f>
        <v>0</v>
      </c>
      <c r="V4" s="3">
        <f>Urban_res_calculation!V42</f>
        <v>0</v>
      </c>
      <c r="W4" s="3">
        <f>Urban_res_calculation!W42</f>
        <v>0</v>
      </c>
      <c r="X4" s="3">
        <f>Urban_res_calculation!X42</f>
        <v>0</v>
      </c>
      <c r="Y4" s="3">
        <f>Urban_res_calculation!Y42</f>
        <v>0</v>
      </c>
      <c r="Z4" s="3">
        <f>Urban_res_calculation!Z42</f>
        <v>0</v>
      </c>
      <c r="AA4" s="3">
        <f>Urban_res_calculation!AA42</f>
        <v>0</v>
      </c>
      <c r="AB4" s="3">
        <f>Urban_res_calculation!AB42</f>
        <v>0</v>
      </c>
      <c r="AC4" s="3">
        <f>Urban_res_calculation!AC42</f>
        <v>0</v>
      </c>
      <c r="AD4" s="3">
        <f>Urban_res_calculation!AD42</f>
        <v>0</v>
      </c>
      <c r="AE4" s="3">
        <f>Urban_res_calculation!AE42</f>
        <v>0</v>
      </c>
      <c r="AF4" s="3">
        <f>Urban_res_calculation!AF42</f>
        <v>0</v>
      </c>
      <c r="AG4" s="3">
        <f>Urban_res_calculation!AG42</f>
        <v>0</v>
      </c>
    </row>
    <row r="5" spans="1:35" x14ac:dyDescent="0.3">
      <c r="A5" s="1" t="s">
        <v>5</v>
      </c>
      <c r="B5" s="3">
        <f>Urban_res_calculation!B43</f>
        <v>0</v>
      </c>
      <c r="C5" s="3">
        <f>Urban_res_calculation!C43</f>
        <v>0</v>
      </c>
      <c r="D5" s="3">
        <f>Urban_res_calculation!D43</f>
        <v>0</v>
      </c>
      <c r="E5" s="3">
        <f>Urban_res_calculation!E43</f>
        <v>0</v>
      </c>
      <c r="F5" s="3">
        <f>Urban_res_calculation!F43</f>
        <v>0</v>
      </c>
      <c r="G5" s="3">
        <f>Urban_res_calculation!G43</f>
        <v>0</v>
      </c>
      <c r="H5" s="3">
        <f>Urban_res_calculation!H43</f>
        <v>0</v>
      </c>
      <c r="I5" s="3">
        <f>Urban_res_calculation!I43</f>
        <v>0</v>
      </c>
      <c r="J5" s="3">
        <f>Urban_res_calculation!J43</f>
        <v>0</v>
      </c>
      <c r="K5" s="3">
        <f>Urban_res_calculation!K43</f>
        <v>0</v>
      </c>
      <c r="L5" s="3">
        <f>Urban_res_calculation!L43</f>
        <v>0</v>
      </c>
      <c r="M5" s="3">
        <f>Urban_res_calculation!M43</f>
        <v>0</v>
      </c>
      <c r="N5" s="3">
        <f>Urban_res_calculation!N43</f>
        <v>0</v>
      </c>
      <c r="O5" s="3">
        <f>Urban_res_calculation!O43</f>
        <v>0</v>
      </c>
      <c r="P5" s="3">
        <f>Urban_res_calculation!P43</f>
        <v>0</v>
      </c>
      <c r="Q5" s="3">
        <f>Urban_res_calculation!Q43</f>
        <v>0</v>
      </c>
      <c r="R5" s="3">
        <f>Urban_res_calculation!R43</f>
        <v>0</v>
      </c>
      <c r="S5" s="3">
        <f>Urban_res_calculation!S43</f>
        <v>0</v>
      </c>
      <c r="T5" s="3">
        <f>Urban_res_calculation!T43</f>
        <v>0</v>
      </c>
      <c r="U5" s="3">
        <f>Urban_res_calculation!U43</f>
        <v>0</v>
      </c>
      <c r="V5" s="3">
        <f>Urban_res_calculation!V43</f>
        <v>0</v>
      </c>
      <c r="W5" s="3">
        <f>Urban_res_calculation!W43</f>
        <v>0</v>
      </c>
      <c r="X5" s="3">
        <f>Urban_res_calculation!X43</f>
        <v>0</v>
      </c>
      <c r="Y5" s="3">
        <f>Urban_res_calculation!Y43</f>
        <v>0</v>
      </c>
      <c r="Z5" s="3">
        <f>Urban_res_calculation!Z43</f>
        <v>0</v>
      </c>
      <c r="AA5" s="3">
        <f>Urban_res_calculation!AA43</f>
        <v>0</v>
      </c>
      <c r="AB5" s="3">
        <f>Urban_res_calculation!AB43</f>
        <v>0</v>
      </c>
      <c r="AC5" s="3">
        <f>Urban_res_calculation!AC43</f>
        <v>0</v>
      </c>
      <c r="AD5" s="3">
        <f>Urban_res_calculation!AD43</f>
        <v>0</v>
      </c>
      <c r="AE5" s="3">
        <f>Urban_res_calculation!AE43</f>
        <v>0</v>
      </c>
      <c r="AF5" s="3">
        <f>Urban_res_calculation!AF43</f>
        <v>0</v>
      </c>
      <c r="AG5" s="3">
        <f>Urban_res_calculation!AG43</f>
        <v>0</v>
      </c>
    </row>
    <row r="6" spans="1:35" x14ac:dyDescent="0.3">
      <c r="A6" s="1" t="s">
        <v>7</v>
      </c>
      <c r="B6" s="3">
        <f>Urban_res_calculation!B44</f>
        <v>0</v>
      </c>
      <c r="C6" s="3">
        <f>Urban_res_calculation!C44</f>
        <v>0</v>
      </c>
      <c r="D6" s="3">
        <f>Urban_res_calculation!D44</f>
        <v>0</v>
      </c>
      <c r="E6" s="3">
        <f>Urban_res_calculation!E44</f>
        <v>0</v>
      </c>
      <c r="F6" s="3">
        <f>Urban_res_calculation!F44</f>
        <v>0</v>
      </c>
      <c r="G6" s="3">
        <f>Urban_res_calculation!G44</f>
        <v>0</v>
      </c>
      <c r="H6" s="3">
        <f>Urban_res_calculation!H44</f>
        <v>0</v>
      </c>
      <c r="I6" s="3">
        <f>Urban_res_calculation!I44</f>
        <v>0</v>
      </c>
      <c r="J6" s="3">
        <f>Urban_res_calculation!J44</f>
        <v>0</v>
      </c>
      <c r="K6" s="3">
        <f>Urban_res_calculation!K44</f>
        <v>0</v>
      </c>
      <c r="L6" s="3">
        <f>Urban_res_calculation!L44</f>
        <v>0</v>
      </c>
      <c r="M6" s="3">
        <f>Urban_res_calculation!M44</f>
        <v>0</v>
      </c>
      <c r="N6" s="3">
        <f>Urban_res_calculation!N44</f>
        <v>0</v>
      </c>
      <c r="O6" s="3">
        <f>Urban_res_calculation!O44</f>
        <v>0</v>
      </c>
      <c r="P6" s="3">
        <f>Urban_res_calculation!P44</f>
        <v>0</v>
      </c>
      <c r="Q6" s="3">
        <f>Urban_res_calculation!Q44</f>
        <v>0</v>
      </c>
      <c r="R6" s="3">
        <f>Urban_res_calculation!R44</f>
        <v>0</v>
      </c>
      <c r="S6" s="3">
        <f>Urban_res_calculation!S44</f>
        <v>0</v>
      </c>
      <c r="T6" s="3">
        <f>Urban_res_calculation!T44</f>
        <v>0</v>
      </c>
      <c r="U6" s="3">
        <f>Urban_res_calculation!U44</f>
        <v>0</v>
      </c>
      <c r="V6" s="3">
        <f>Urban_res_calculation!V44</f>
        <v>0</v>
      </c>
      <c r="W6" s="3">
        <f>Urban_res_calculation!W44</f>
        <v>0</v>
      </c>
      <c r="X6" s="3">
        <f>Urban_res_calculation!X44</f>
        <v>0</v>
      </c>
      <c r="Y6" s="3">
        <f>Urban_res_calculation!Y44</f>
        <v>0</v>
      </c>
      <c r="Z6" s="3">
        <f>Urban_res_calculation!Z44</f>
        <v>0</v>
      </c>
      <c r="AA6" s="3">
        <f>Urban_res_calculation!AA44</f>
        <v>0</v>
      </c>
      <c r="AB6" s="3">
        <f>Urban_res_calculation!AB44</f>
        <v>0</v>
      </c>
      <c r="AC6" s="3">
        <f>Urban_res_calculation!AC44</f>
        <v>0</v>
      </c>
      <c r="AD6" s="3">
        <f>Urban_res_calculation!AD44</f>
        <v>0</v>
      </c>
      <c r="AE6" s="3">
        <f>Urban_res_calculation!AE44</f>
        <v>0</v>
      </c>
      <c r="AF6" s="3">
        <f>Urban_res_calculation!AF44</f>
        <v>0</v>
      </c>
      <c r="AG6" s="3">
        <f>Urban_res_calculation!AG44</f>
        <v>0</v>
      </c>
    </row>
    <row r="7" spans="1:35" x14ac:dyDescent="0.3">
      <c r="A7" s="1" t="s">
        <v>11</v>
      </c>
      <c r="B7" s="3">
        <f>Urban_res_calculation!B45</f>
        <v>0</v>
      </c>
      <c r="C7" s="3">
        <f>Urban_res_calculation!C45</f>
        <v>0</v>
      </c>
      <c r="D7" s="3">
        <f>Urban_res_calculation!D45</f>
        <v>0</v>
      </c>
      <c r="E7" s="3">
        <f>Urban_res_calculation!E45</f>
        <v>0</v>
      </c>
      <c r="F7" s="3">
        <f>Urban_res_calculation!F45</f>
        <v>0</v>
      </c>
      <c r="G7" s="3">
        <f>Urban_res_calculation!G45</f>
        <v>0</v>
      </c>
      <c r="H7" s="3">
        <f>Urban_res_calculation!H45</f>
        <v>0</v>
      </c>
      <c r="I7" s="3">
        <f>Urban_res_calculation!I45</f>
        <v>0</v>
      </c>
      <c r="J7" s="3">
        <f>Urban_res_calculation!J45</f>
        <v>0</v>
      </c>
      <c r="K7" s="3">
        <f>Urban_res_calculation!K45</f>
        <v>0</v>
      </c>
      <c r="L7" s="3">
        <f>Urban_res_calculation!L45</f>
        <v>0</v>
      </c>
      <c r="M7" s="3">
        <f>Urban_res_calculation!M45</f>
        <v>0</v>
      </c>
      <c r="N7" s="3">
        <f>Urban_res_calculation!N45</f>
        <v>0</v>
      </c>
      <c r="O7" s="3">
        <f>Urban_res_calculation!O45</f>
        <v>0</v>
      </c>
      <c r="P7" s="3">
        <f>Urban_res_calculation!P45</f>
        <v>0</v>
      </c>
      <c r="Q7" s="3">
        <f>Urban_res_calculation!Q45</f>
        <v>0</v>
      </c>
      <c r="R7" s="3">
        <f>Urban_res_calculation!R45</f>
        <v>0</v>
      </c>
      <c r="S7" s="3">
        <f>Urban_res_calculation!S45</f>
        <v>0</v>
      </c>
      <c r="T7" s="3">
        <f>Urban_res_calculation!T45</f>
        <v>0</v>
      </c>
      <c r="U7" s="3">
        <f>Urban_res_calculation!U45</f>
        <v>0</v>
      </c>
      <c r="V7" s="3">
        <f>Urban_res_calculation!V45</f>
        <v>0</v>
      </c>
      <c r="W7" s="3">
        <f>Urban_res_calculation!W45</f>
        <v>0</v>
      </c>
      <c r="X7" s="3">
        <f>Urban_res_calculation!X45</f>
        <v>0</v>
      </c>
      <c r="Y7" s="3">
        <f>Urban_res_calculation!Y45</f>
        <v>0</v>
      </c>
      <c r="Z7" s="3">
        <f>Urban_res_calculation!Z45</f>
        <v>0</v>
      </c>
      <c r="AA7" s="3">
        <f>Urban_res_calculation!AA45</f>
        <v>0</v>
      </c>
      <c r="AB7" s="3">
        <f>Urban_res_calculation!AB45</f>
        <v>0</v>
      </c>
      <c r="AC7" s="3">
        <f>Urban_res_calculation!AC45</f>
        <v>0</v>
      </c>
      <c r="AD7" s="3">
        <f>Urban_res_calculation!AD45</f>
        <v>0</v>
      </c>
      <c r="AE7" s="3">
        <f>Urban_res_calculation!AE45</f>
        <v>0</v>
      </c>
      <c r="AF7" s="3">
        <f>Urban_res_calculation!AF45</f>
        <v>0</v>
      </c>
      <c r="AG7" s="3">
        <f>Urban_res_calculation!AG45</f>
        <v>0</v>
      </c>
    </row>
    <row r="8" spans="1:35" x14ac:dyDescent="0.3">
      <c r="A8" s="1" t="s">
        <v>13</v>
      </c>
      <c r="B8" s="3">
        <f>Urban_res_calculation!B46</f>
        <v>0</v>
      </c>
      <c r="C8" s="3">
        <f>Urban_res_calculation!C46</f>
        <v>0</v>
      </c>
      <c r="D8" s="3">
        <f>Urban_res_calculation!D46</f>
        <v>0</v>
      </c>
      <c r="E8" s="3">
        <f>Urban_res_calculation!E46</f>
        <v>0</v>
      </c>
      <c r="F8" s="3">
        <f>Urban_res_calculation!F46</f>
        <v>0</v>
      </c>
      <c r="G8" s="3">
        <f>Urban_res_calculation!G46</f>
        <v>0</v>
      </c>
      <c r="H8" s="3">
        <f>Urban_res_calculation!H46</f>
        <v>0</v>
      </c>
      <c r="I8" s="3">
        <f>Urban_res_calculation!I46</f>
        <v>0</v>
      </c>
      <c r="J8" s="3">
        <f>Urban_res_calculation!J46</f>
        <v>0</v>
      </c>
      <c r="K8" s="3">
        <f>Urban_res_calculation!K46</f>
        <v>0</v>
      </c>
      <c r="L8" s="3">
        <f>Urban_res_calculation!L46</f>
        <v>0</v>
      </c>
      <c r="M8" s="3">
        <f>Urban_res_calculation!M46</f>
        <v>0</v>
      </c>
      <c r="N8" s="3">
        <f>Urban_res_calculation!N46</f>
        <v>0</v>
      </c>
      <c r="O8" s="3">
        <f>Urban_res_calculation!O46</f>
        <v>0</v>
      </c>
      <c r="P8" s="3">
        <f>Urban_res_calculation!P46</f>
        <v>0</v>
      </c>
      <c r="Q8" s="3">
        <f>Urban_res_calculation!Q46</f>
        <v>0</v>
      </c>
      <c r="R8" s="3">
        <f>Urban_res_calculation!R46</f>
        <v>0</v>
      </c>
      <c r="S8" s="3">
        <f>Urban_res_calculation!S46</f>
        <v>0</v>
      </c>
      <c r="T8" s="3">
        <f>Urban_res_calculation!T46</f>
        <v>0</v>
      </c>
      <c r="U8" s="3">
        <f>Urban_res_calculation!U46</f>
        <v>0</v>
      </c>
      <c r="V8" s="3">
        <f>Urban_res_calculation!V46</f>
        <v>0</v>
      </c>
      <c r="W8" s="3">
        <f>Urban_res_calculation!W46</f>
        <v>0</v>
      </c>
      <c r="X8" s="3">
        <f>Urban_res_calculation!X46</f>
        <v>0</v>
      </c>
      <c r="Y8" s="3">
        <f>Urban_res_calculation!Y46</f>
        <v>0</v>
      </c>
      <c r="Z8" s="3">
        <f>Urban_res_calculation!Z46</f>
        <v>0</v>
      </c>
      <c r="AA8" s="3">
        <f>Urban_res_calculation!AA46</f>
        <v>0</v>
      </c>
      <c r="AB8" s="3">
        <f>Urban_res_calculation!AB46</f>
        <v>0</v>
      </c>
      <c r="AC8" s="3">
        <f>Urban_res_calculation!AC46</f>
        <v>0</v>
      </c>
      <c r="AD8" s="3">
        <f>Urban_res_calculation!AD46</f>
        <v>0</v>
      </c>
      <c r="AE8" s="3">
        <f>Urban_res_calculation!AE46</f>
        <v>0</v>
      </c>
      <c r="AF8" s="3">
        <f>Urban_res_calculation!AF46</f>
        <v>0</v>
      </c>
      <c r="AG8" s="3">
        <f>Urban_res_calculation!AG46</f>
        <v>0</v>
      </c>
    </row>
    <row r="9" spans="1:35" x14ac:dyDescent="0.3">
      <c r="A9" s="1" t="s">
        <v>14</v>
      </c>
      <c r="B9" s="3">
        <f>Urban_res_calculation!B47</f>
        <v>0</v>
      </c>
      <c r="C9" s="3">
        <f>Urban_res_calculation!C47</f>
        <v>0</v>
      </c>
      <c r="D9" s="3">
        <f>Urban_res_calculation!D47</f>
        <v>0</v>
      </c>
      <c r="E9" s="3">
        <f>Urban_res_calculation!E47</f>
        <v>0</v>
      </c>
      <c r="F9" s="3">
        <f>Urban_res_calculation!F47</f>
        <v>0</v>
      </c>
      <c r="G9" s="3">
        <f>Urban_res_calculation!G47</f>
        <v>0</v>
      </c>
      <c r="H9" s="3">
        <f>Urban_res_calculation!H47</f>
        <v>0</v>
      </c>
      <c r="I9" s="3">
        <f>Urban_res_calculation!I47</f>
        <v>0</v>
      </c>
      <c r="J9" s="3">
        <f>Urban_res_calculation!J47</f>
        <v>0</v>
      </c>
      <c r="K9" s="3">
        <f>Urban_res_calculation!K47</f>
        <v>0</v>
      </c>
      <c r="L9" s="3">
        <f>Urban_res_calculation!L47</f>
        <v>0</v>
      </c>
      <c r="M9" s="3">
        <f>Urban_res_calculation!M47</f>
        <v>0</v>
      </c>
      <c r="N9" s="3">
        <f>Urban_res_calculation!N47</f>
        <v>0</v>
      </c>
      <c r="O9" s="3">
        <f>Urban_res_calculation!O47</f>
        <v>0</v>
      </c>
      <c r="P9" s="3">
        <f>Urban_res_calculation!P47</f>
        <v>0</v>
      </c>
      <c r="Q9" s="3">
        <f>Urban_res_calculation!Q47</f>
        <v>0</v>
      </c>
      <c r="R9" s="3">
        <f>Urban_res_calculation!R47</f>
        <v>0</v>
      </c>
      <c r="S9" s="3">
        <f>Urban_res_calculation!S47</f>
        <v>0</v>
      </c>
      <c r="T9" s="3">
        <f>Urban_res_calculation!T47</f>
        <v>0</v>
      </c>
      <c r="U9" s="3">
        <f>Urban_res_calculation!U47</f>
        <v>0</v>
      </c>
      <c r="V9" s="3">
        <f>Urban_res_calculation!V47</f>
        <v>0</v>
      </c>
      <c r="W9" s="3">
        <f>Urban_res_calculation!W47</f>
        <v>0</v>
      </c>
      <c r="X9" s="3">
        <f>Urban_res_calculation!X47</f>
        <v>0</v>
      </c>
      <c r="Y9" s="3">
        <f>Urban_res_calculation!Y47</f>
        <v>0</v>
      </c>
      <c r="Z9" s="3">
        <f>Urban_res_calculation!Z47</f>
        <v>0</v>
      </c>
      <c r="AA9" s="3">
        <f>Urban_res_calculation!AA47</f>
        <v>0</v>
      </c>
      <c r="AB9" s="3">
        <f>Urban_res_calculation!AB47</f>
        <v>0</v>
      </c>
      <c r="AC9" s="3">
        <f>Urban_res_calculation!AC47</f>
        <v>0</v>
      </c>
      <c r="AD9" s="3">
        <f>Urban_res_calculation!AD47</f>
        <v>0</v>
      </c>
      <c r="AE9" s="3">
        <f>Urban_res_calculation!AE47</f>
        <v>0</v>
      </c>
      <c r="AF9" s="3">
        <f>Urban_res_calculation!AF47</f>
        <v>0</v>
      </c>
      <c r="AG9" s="3">
        <f>Urban_res_calculation!AG47</f>
        <v>0</v>
      </c>
    </row>
    <row r="10" spans="1:35" x14ac:dyDescent="0.3">
      <c r="A10" s="1" t="s">
        <v>15</v>
      </c>
      <c r="B10" s="3">
        <f>Urban_res_calculation!B48</f>
        <v>0</v>
      </c>
      <c r="C10" s="3">
        <f>Urban_res_calculation!C48</f>
        <v>0</v>
      </c>
      <c r="D10" s="3">
        <f>Urban_res_calculation!D48</f>
        <v>0</v>
      </c>
      <c r="E10" s="3">
        <f>Urban_res_calculation!E48</f>
        <v>0</v>
      </c>
      <c r="F10" s="3">
        <f>Urban_res_calculation!F48</f>
        <v>0</v>
      </c>
      <c r="G10" s="3">
        <f>Urban_res_calculation!G48</f>
        <v>0</v>
      </c>
      <c r="H10" s="3">
        <f>Urban_res_calculation!H48</f>
        <v>0</v>
      </c>
      <c r="I10" s="3">
        <f>Urban_res_calculation!I48</f>
        <v>0</v>
      </c>
      <c r="J10" s="3">
        <f>Urban_res_calculation!J48</f>
        <v>0</v>
      </c>
      <c r="K10" s="3">
        <f>Urban_res_calculation!K48</f>
        <v>0</v>
      </c>
      <c r="L10" s="3">
        <f>Urban_res_calculation!L48</f>
        <v>0</v>
      </c>
      <c r="M10" s="3">
        <f>Urban_res_calculation!M48</f>
        <v>0</v>
      </c>
      <c r="N10" s="3">
        <f>Urban_res_calculation!N48</f>
        <v>0</v>
      </c>
      <c r="O10" s="3">
        <f>Urban_res_calculation!O48</f>
        <v>0</v>
      </c>
      <c r="P10" s="3">
        <f>Urban_res_calculation!P48</f>
        <v>0</v>
      </c>
      <c r="Q10" s="3">
        <f>Urban_res_calculation!Q48</f>
        <v>0</v>
      </c>
      <c r="R10" s="3">
        <f>Urban_res_calculation!R48</f>
        <v>0</v>
      </c>
      <c r="S10" s="3">
        <f>Urban_res_calculation!S48</f>
        <v>0</v>
      </c>
      <c r="T10" s="3">
        <f>Urban_res_calculation!T48</f>
        <v>0</v>
      </c>
      <c r="U10" s="3">
        <f>Urban_res_calculation!U48</f>
        <v>0</v>
      </c>
      <c r="V10" s="3">
        <f>Urban_res_calculation!V48</f>
        <v>0</v>
      </c>
      <c r="W10" s="3">
        <f>Urban_res_calculation!W48</f>
        <v>0</v>
      </c>
      <c r="X10" s="3">
        <f>Urban_res_calculation!X48</f>
        <v>0</v>
      </c>
      <c r="Y10" s="3">
        <f>Urban_res_calculation!Y48</f>
        <v>0</v>
      </c>
      <c r="Z10" s="3">
        <f>Urban_res_calculation!Z48</f>
        <v>0</v>
      </c>
      <c r="AA10" s="3">
        <f>Urban_res_calculation!AA48</f>
        <v>0</v>
      </c>
      <c r="AB10" s="3">
        <f>Urban_res_calculation!AB48</f>
        <v>0</v>
      </c>
      <c r="AC10" s="3">
        <f>Urban_res_calculation!AC48</f>
        <v>0</v>
      </c>
      <c r="AD10" s="3">
        <f>Urban_res_calculation!AD48</f>
        <v>0</v>
      </c>
      <c r="AE10" s="3">
        <f>Urban_res_calculation!AE48</f>
        <v>0</v>
      </c>
      <c r="AF10" s="3">
        <f>Urban_res_calculation!AF48</f>
        <v>0</v>
      </c>
      <c r="AG10" s="3">
        <f>Urban_res_calculation!AG48</f>
        <v>0</v>
      </c>
    </row>
    <row r="11" spans="1:35" x14ac:dyDescent="0.3">
      <c r="A11" s="1" t="s">
        <v>16</v>
      </c>
      <c r="B11" s="3">
        <f>Urban_res_calculation!B49</f>
        <v>0</v>
      </c>
      <c r="C11" s="3">
        <f>Urban_res_calculation!C49</f>
        <v>0</v>
      </c>
      <c r="D11" s="3">
        <f>Urban_res_calculation!D49</f>
        <v>0</v>
      </c>
      <c r="E11" s="3">
        <f>Urban_res_calculation!E49</f>
        <v>0</v>
      </c>
      <c r="F11" s="3">
        <f>Urban_res_calculation!F49</f>
        <v>0</v>
      </c>
      <c r="G11" s="3">
        <f>Urban_res_calculation!G49</f>
        <v>0</v>
      </c>
      <c r="H11" s="3">
        <f>Urban_res_calculation!H49</f>
        <v>0</v>
      </c>
      <c r="I11" s="3">
        <f>Urban_res_calculation!I49</f>
        <v>0</v>
      </c>
      <c r="J11" s="3">
        <f>Urban_res_calculation!J49</f>
        <v>0</v>
      </c>
      <c r="K11" s="3">
        <f>Urban_res_calculation!K49</f>
        <v>0</v>
      </c>
      <c r="L11" s="3">
        <f>Urban_res_calculation!L49</f>
        <v>0</v>
      </c>
      <c r="M11" s="3">
        <f>Urban_res_calculation!M49</f>
        <v>0</v>
      </c>
      <c r="N11" s="3">
        <f>Urban_res_calculation!N49</f>
        <v>0</v>
      </c>
      <c r="O11" s="3">
        <f>Urban_res_calculation!O49</f>
        <v>0</v>
      </c>
      <c r="P11" s="3">
        <f>Urban_res_calculation!P49</f>
        <v>0</v>
      </c>
      <c r="Q11" s="3">
        <f>Urban_res_calculation!Q49</f>
        <v>0</v>
      </c>
      <c r="R11" s="3">
        <f>Urban_res_calculation!R49</f>
        <v>0</v>
      </c>
      <c r="S11" s="3">
        <f>Urban_res_calculation!S49</f>
        <v>0</v>
      </c>
      <c r="T11" s="3">
        <f>Urban_res_calculation!T49</f>
        <v>0</v>
      </c>
      <c r="U11" s="3">
        <f>Urban_res_calculation!U49</f>
        <v>0</v>
      </c>
      <c r="V11" s="3">
        <f>Urban_res_calculation!V49</f>
        <v>0</v>
      </c>
      <c r="W11" s="3">
        <f>Urban_res_calculation!W49</f>
        <v>0</v>
      </c>
      <c r="X11" s="3">
        <f>Urban_res_calculation!X49</f>
        <v>0</v>
      </c>
      <c r="Y11" s="3">
        <f>Urban_res_calculation!Y49</f>
        <v>0</v>
      </c>
      <c r="Z11" s="3">
        <f>Urban_res_calculation!Z49</f>
        <v>0</v>
      </c>
      <c r="AA11" s="3">
        <f>Urban_res_calculation!AA49</f>
        <v>0</v>
      </c>
      <c r="AB11" s="3">
        <f>Urban_res_calculation!AB49</f>
        <v>0</v>
      </c>
      <c r="AC11" s="3">
        <f>Urban_res_calculation!AC49</f>
        <v>0</v>
      </c>
      <c r="AD11" s="3">
        <f>Urban_res_calculation!AD49</f>
        <v>0</v>
      </c>
      <c r="AE11" s="3">
        <f>Urban_res_calculation!AE49</f>
        <v>0</v>
      </c>
      <c r="AF11" s="3">
        <f>Urban_res_calculation!AF49</f>
        <v>0</v>
      </c>
      <c r="AG11" s="3">
        <f>Urban_res_calculation!AG49</f>
        <v>0</v>
      </c>
    </row>
  </sheetData>
  <phoneticPr fontId="10" type="noConversion"/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I11"/>
  <sheetViews>
    <sheetView topLeftCell="V1" zoomScale="80" zoomScaleNormal="80" workbookViewId="0">
      <selection activeCell="Z2" sqref="Z2"/>
    </sheetView>
  </sheetViews>
  <sheetFormatPr defaultRowHeight="16.5" x14ac:dyDescent="0.3"/>
  <cols>
    <col min="1" max="1" width="29.875" customWidth="1"/>
    <col min="2" max="33" width="13.625" customWidth="1"/>
  </cols>
  <sheetData>
    <row r="1" spans="1:35" x14ac:dyDescent="0.3">
      <c r="A1" s="1" t="s">
        <v>1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3">
      <c r="A2" s="1" t="s">
        <v>2</v>
      </c>
      <c r="B2" s="3">
        <f>Urban_res_calculation!B52</f>
        <v>165000000000000</v>
      </c>
      <c r="C2" s="3">
        <f>Urban_res_calculation!C52</f>
        <v>164947876262544.94</v>
      </c>
      <c r="D2" s="3">
        <f>Urban_res_calculation!D52</f>
        <v>182634206344306.56</v>
      </c>
      <c r="E2" s="3">
        <f>Urban_res_calculation!E52</f>
        <v>183730011582372.41</v>
      </c>
      <c r="F2" s="3">
        <f>Urban_res_calculation!F52</f>
        <v>184832391651866.66</v>
      </c>
      <c r="G2" s="3">
        <f>Urban_res_calculation!G52</f>
        <v>185941386001777.84</v>
      </c>
      <c r="H2" s="3">
        <f>Urban_res_calculation!H52</f>
        <v>187057034317788.5</v>
      </c>
      <c r="I2" s="3">
        <f>Urban_res_calculation!I52</f>
        <v>188179376523695.22</v>
      </c>
      <c r="J2" s="3">
        <f>Urban_res_calculation!J52</f>
        <v>189308452782837.41</v>
      </c>
      <c r="K2" s="3">
        <f>Urban_res_calculation!K52</f>
        <v>190444303499534.44</v>
      </c>
      <c r="L2" s="3">
        <f>Urban_res_calculation!L52</f>
        <v>191586969320531.66</v>
      </c>
      <c r="M2" s="3">
        <f>Urban_res_calculation!M52</f>
        <v>192736491136454.84</v>
      </c>
      <c r="N2" s="3">
        <f>Urban_res_calculation!N52</f>
        <v>193892910083273.56</v>
      </c>
      <c r="O2" s="3">
        <f>Urban_res_calculation!O52</f>
        <v>195056267543773.22</v>
      </c>
      <c r="P2" s="3">
        <f>Urban_res_calculation!P52</f>
        <v>196226605149035.84</v>
      </c>
      <c r="Q2" s="3">
        <f>Urban_res_calculation!Q52</f>
        <v>197403964779930.06</v>
      </c>
      <c r="R2" s="3">
        <f>Urban_res_calculation!R52</f>
        <v>198588388568609.66</v>
      </c>
      <c r="S2" s="3">
        <f>Urban_res_calculation!S52</f>
        <v>199779918900021.31</v>
      </c>
      <c r="T2" s="3">
        <f>Urban_res_calculation!T52</f>
        <v>200978598413421.44</v>
      </c>
      <c r="U2" s="3">
        <f>Urban_res_calculation!U52</f>
        <v>202184470003901.97</v>
      </c>
      <c r="V2" s="3">
        <f>Urban_res_calculation!V52</f>
        <v>203397576823925.38</v>
      </c>
      <c r="W2" s="3">
        <f>Urban_res_calculation!W52</f>
        <v>204617962284868.94</v>
      </c>
      <c r="X2" s="3">
        <f>Urban_res_calculation!X52</f>
        <v>205845670058578.16</v>
      </c>
      <c r="Y2" s="3">
        <f>Urban_res_calculation!Y52</f>
        <v>207080744078929.63</v>
      </c>
      <c r="Z2" s="3">
        <f>Urban_res_calculation!Z52</f>
        <v>208323228543403.22</v>
      </c>
      <c r="AA2" s="3">
        <f>Urban_res_calculation!AA52</f>
        <v>209573167914663.63</v>
      </c>
      <c r="AB2" s="3">
        <f>Urban_res_calculation!AB52</f>
        <v>210830606922151.59</v>
      </c>
      <c r="AC2" s="3">
        <f>Urban_res_calculation!AC52</f>
        <v>212095590563684.5</v>
      </c>
      <c r="AD2" s="3">
        <f>Urban_res_calculation!AD52</f>
        <v>213368164107066.59</v>
      </c>
      <c r="AE2" s="3">
        <f>Urban_res_calculation!AE52</f>
        <v>214648373091709</v>
      </c>
      <c r="AF2" s="3">
        <f>Urban_res_calculation!AF52</f>
        <v>215936263330259.25</v>
      </c>
      <c r="AG2" s="3">
        <f>Urban_res_calculation!AG52</f>
        <v>217231880910240.81</v>
      </c>
    </row>
    <row r="3" spans="1:35" x14ac:dyDescent="0.3">
      <c r="A3" s="1" t="s">
        <v>3</v>
      </c>
      <c r="B3" s="3">
        <f>Urban_res_calculation!B53</f>
        <v>0</v>
      </c>
      <c r="C3" s="3">
        <f>Urban_res_calculation!C53</f>
        <v>0</v>
      </c>
      <c r="D3" s="3">
        <f>Urban_res_calculation!D53</f>
        <v>0</v>
      </c>
      <c r="E3" s="3">
        <f>Urban_res_calculation!E53</f>
        <v>0</v>
      </c>
      <c r="F3" s="3">
        <f>Urban_res_calculation!F53</f>
        <v>0</v>
      </c>
      <c r="G3" s="3">
        <f>Urban_res_calculation!G53</f>
        <v>0</v>
      </c>
      <c r="H3" s="3">
        <f>Urban_res_calculation!H53</f>
        <v>0</v>
      </c>
      <c r="I3" s="3">
        <f>Urban_res_calculation!I53</f>
        <v>0</v>
      </c>
      <c r="J3" s="3">
        <f>Urban_res_calculation!J53</f>
        <v>0</v>
      </c>
      <c r="K3" s="3">
        <f>Urban_res_calculation!K53</f>
        <v>0</v>
      </c>
      <c r="L3" s="3">
        <f>Urban_res_calculation!L53</f>
        <v>0</v>
      </c>
      <c r="M3" s="3">
        <f>Urban_res_calculation!M53</f>
        <v>0</v>
      </c>
      <c r="N3" s="3">
        <f>Urban_res_calculation!N53</f>
        <v>0</v>
      </c>
      <c r="O3" s="3">
        <f>Urban_res_calculation!O53</f>
        <v>0</v>
      </c>
      <c r="P3" s="3">
        <f>Urban_res_calculation!P53</f>
        <v>0</v>
      </c>
      <c r="Q3" s="3">
        <f>Urban_res_calculation!Q53</f>
        <v>0</v>
      </c>
      <c r="R3" s="3">
        <f>Urban_res_calculation!R53</f>
        <v>0</v>
      </c>
      <c r="S3" s="3">
        <f>Urban_res_calculation!S53</f>
        <v>0</v>
      </c>
      <c r="T3" s="3">
        <f>Urban_res_calculation!T53</f>
        <v>0</v>
      </c>
      <c r="U3" s="3">
        <f>Urban_res_calculation!U53</f>
        <v>0</v>
      </c>
      <c r="V3" s="3">
        <f>Urban_res_calculation!V53</f>
        <v>0</v>
      </c>
      <c r="W3" s="3">
        <f>Urban_res_calculation!W53</f>
        <v>0</v>
      </c>
      <c r="X3" s="3">
        <f>Urban_res_calculation!X53</f>
        <v>0</v>
      </c>
      <c r="Y3" s="3">
        <f>Urban_res_calculation!Y53</f>
        <v>0</v>
      </c>
      <c r="Z3" s="3">
        <f>Urban_res_calculation!Z53</f>
        <v>0</v>
      </c>
      <c r="AA3" s="3">
        <f>Urban_res_calculation!AA53</f>
        <v>0</v>
      </c>
      <c r="AB3" s="3">
        <f>Urban_res_calculation!AB53</f>
        <v>0</v>
      </c>
      <c r="AC3" s="3">
        <f>Urban_res_calculation!AC53</f>
        <v>0</v>
      </c>
      <c r="AD3" s="3">
        <f>Urban_res_calculation!AD53</f>
        <v>0</v>
      </c>
      <c r="AE3" s="3">
        <f>Urban_res_calculation!AE53</f>
        <v>0</v>
      </c>
      <c r="AF3" s="3">
        <f>Urban_res_calculation!AF53</f>
        <v>0</v>
      </c>
      <c r="AG3" s="3">
        <f>Urban_res_calculation!AG53</f>
        <v>0</v>
      </c>
    </row>
    <row r="4" spans="1:35" x14ac:dyDescent="0.3">
      <c r="A4" s="1" t="s">
        <v>4</v>
      </c>
      <c r="B4" s="3">
        <f>Urban_res_calculation!B54</f>
        <v>67600000000000</v>
      </c>
      <c r="C4" s="3">
        <f>Urban_res_calculation!C54</f>
        <v>65284144029598.063</v>
      </c>
      <c r="D4" s="3">
        <f>Urban_res_calculation!D54</f>
        <v>68527718568814.211</v>
      </c>
      <c r="E4" s="3">
        <f>Urban_res_calculation!E54</f>
        <v>67979496820263.695</v>
      </c>
      <c r="F4" s="3">
        <f>Urban_res_calculation!F54</f>
        <v>67435660845701.586</v>
      </c>
      <c r="G4" s="3">
        <f>Urban_res_calculation!G54</f>
        <v>66896175558935.977</v>
      </c>
      <c r="H4" s="3">
        <f>Urban_res_calculation!H54</f>
        <v>66361006154464.484</v>
      </c>
      <c r="I4" s="3">
        <f>Urban_res_calculation!I54</f>
        <v>65830118105228.766</v>
      </c>
      <c r="J4" s="3">
        <f>Urban_res_calculation!J54</f>
        <v>65303477160386.938</v>
      </c>
      <c r="K4" s="3">
        <f>Urban_res_calculation!K54</f>
        <v>64781049343103.844</v>
      </c>
      <c r="L4" s="3">
        <f>Urban_res_calculation!L54</f>
        <v>64262800948359.016</v>
      </c>
      <c r="M4" s="3">
        <f>Urban_res_calculation!M54</f>
        <v>63748698540772.141</v>
      </c>
      <c r="N4" s="3">
        <f>Urban_res_calculation!N54</f>
        <v>63238708952445.961</v>
      </c>
      <c r="O4" s="3">
        <f>Urban_res_calculation!O54</f>
        <v>62732799280826.391</v>
      </c>
      <c r="P4" s="3">
        <f>Urban_res_calculation!P54</f>
        <v>62230936886579.781</v>
      </c>
      <c r="Q4" s="3">
        <f>Urban_res_calculation!Q54</f>
        <v>61733089391487.141</v>
      </c>
      <c r="R4" s="3">
        <f>Urban_res_calculation!R54</f>
        <v>61239224676355.242</v>
      </c>
      <c r="S4" s="3">
        <f>Urban_res_calculation!S54</f>
        <v>60749310878944.398</v>
      </c>
      <c r="T4" s="3">
        <f>Urban_res_calculation!T54</f>
        <v>60263316391912.844</v>
      </c>
      <c r="U4" s="3">
        <f>Urban_res_calculation!U54</f>
        <v>59781209860777.539</v>
      </c>
      <c r="V4" s="3">
        <f>Urban_res_calculation!V54</f>
        <v>59302960181891.32</v>
      </c>
      <c r="W4" s="3">
        <f>Urban_res_calculation!W54</f>
        <v>58828536500436.188</v>
      </c>
      <c r="X4" s="3">
        <f>Urban_res_calculation!X54</f>
        <v>58357908208432.695</v>
      </c>
      <c r="Y4" s="3">
        <f>Urban_res_calculation!Y54</f>
        <v>57891044942765.234</v>
      </c>
      <c r="Z4" s="3">
        <f>Urban_res_calculation!Z54</f>
        <v>57427916583223.109</v>
      </c>
      <c r="AA4" s="3">
        <f>Urban_res_calculation!AA54</f>
        <v>56968493250557.32</v>
      </c>
      <c r="AB4" s="3">
        <f>Urban_res_calculation!AB54</f>
        <v>56512745304552.859</v>
      </c>
      <c r="AC4" s="3">
        <f>Urban_res_calculation!AC54</f>
        <v>56060643342116.438</v>
      </c>
      <c r="AD4" s="3">
        <f>Urban_res_calculation!AD54</f>
        <v>55612158195379.508</v>
      </c>
      <c r="AE4" s="3">
        <f>Urban_res_calculation!AE54</f>
        <v>55167260929816.469</v>
      </c>
      <c r="AF4" s="3">
        <f>Urban_res_calculation!AF54</f>
        <v>54725922842377.938</v>
      </c>
      <c r="AG4" s="3">
        <f>Urban_res_calculation!AG54</f>
        <v>54288115459638.914</v>
      </c>
    </row>
    <row r="5" spans="1:35" x14ac:dyDescent="0.3">
      <c r="A5" s="1" t="s">
        <v>5</v>
      </c>
      <c r="B5" s="3">
        <f>Urban_res_calculation!B55</f>
        <v>0</v>
      </c>
      <c r="C5" s="3">
        <f>Urban_res_calculation!C55</f>
        <v>0</v>
      </c>
      <c r="D5" s="3">
        <f>Urban_res_calculation!D55</f>
        <v>0</v>
      </c>
      <c r="E5" s="3">
        <f>Urban_res_calculation!E55</f>
        <v>0</v>
      </c>
      <c r="F5" s="3">
        <f>Urban_res_calculation!F55</f>
        <v>0</v>
      </c>
      <c r="G5" s="3">
        <f>Urban_res_calculation!G55</f>
        <v>0</v>
      </c>
      <c r="H5" s="3">
        <f>Urban_res_calculation!H55</f>
        <v>0</v>
      </c>
      <c r="I5" s="3">
        <f>Urban_res_calculation!I55</f>
        <v>0</v>
      </c>
      <c r="J5" s="3">
        <f>Urban_res_calculation!J55</f>
        <v>0</v>
      </c>
      <c r="K5" s="3">
        <f>Urban_res_calculation!K55</f>
        <v>0</v>
      </c>
      <c r="L5" s="3">
        <f>Urban_res_calculation!L55</f>
        <v>0</v>
      </c>
      <c r="M5" s="3">
        <f>Urban_res_calculation!M55</f>
        <v>0</v>
      </c>
      <c r="N5" s="3">
        <f>Urban_res_calculation!N55</f>
        <v>0</v>
      </c>
      <c r="O5" s="3">
        <f>Urban_res_calculation!O55</f>
        <v>0</v>
      </c>
      <c r="P5" s="3">
        <f>Urban_res_calculation!P55</f>
        <v>0</v>
      </c>
      <c r="Q5" s="3">
        <f>Urban_res_calculation!Q55</f>
        <v>0</v>
      </c>
      <c r="R5" s="3">
        <f>Urban_res_calculation!R55</f>
        <v>0</v>
      </c>
      <c r="S5" s="3">
        <f>Urban_res_calculation!S55</f>
        <v>0</v>
      </c>
      <c r="T5" s="3">
        <f>Urban_res_calculation!T55</f>
        <v>0</v>
      </c>
      <c r="U5" s="3">
        <f>Urban_res_calculation!U55</f>
        <v>0</v>
      </c>
      <c r="V5" s="3">
        <f>Urban_res_calculation!V55</f>
        <v>0</v>
      </c>
      <c r="W5" s="3">
        <f>Urban_res_calculation!W55</f>
        <v>0</v>
      </c>
      <c r="X5" s="3">
        <f>Urban_res_calculation!X55</f>
        <v>0</v>
      </c>
      <c r="Y5" s="3">
        <f>Urban_res_calculation!Y55</f>
        <v>0</v>
      </c>
      <c r="Z5" s="3">
        <f>Urban_res_calculation!Z55</f>
        <v>0</v>
      </c>
      <c r="AA5" s="3">
        <f>Urban_res_calculation!AA55</f>
        <v>0</v>
      </c>
      <c r="AB5" s="3">
        <f>Urban_res_calculation!AB55</f>
        <v>0</v>
      </c>
      <c r="AC5" s="3">
        <f>Urban_res_calculation!AC55</f>
        <v>0</v>
      </c>
      <c r="AD5" s="3">
        <f>Urban_res_calculation!AD55</f>
        <v>0</v>
      </c>
      <c r="AE5" s="3">
        <f>Urban_res_calculation!AE55</f>
        <v>0</v>
      </c>
      <c r="AF5" s="3">
        <f>Urban_res_calculation!AF55</f>
        <v>0</v>
      </c>
      <c r="AG5" s="3">
        <f>Urban_res_calculation!AG55</f>
        <v>0</v>
      </c>
    </row>
    <row r="6" spans="1:35" x14ac:dyDescent="0.3">
      <c r="A6" s="1" t="s">
        <v>7</v>
      </c>
      <c r="B6" s="3">
        <f>Urban_res_calculation!B56</f>
        <v>0</v>
      </c>
      <c r="C6" s="3">
        <f>Urban_res_calculation!C56</f>
        <v>0</v>
      </c>
      <c r="D6" s="3">
        <f>Urban_res_calculation!D56</f>
        <v>0</v>
      </c>
      <c r="E6" s="3">
        <f>Urban_res_calculation!E56</f>
        <v>0</v>
      </c>
      <c r="F6" s="3">
        <f>Urban_res_calculation!F56</f>
        <v>0</v>
      </c>
      <c r="G6" s="3">
        <f>Urban_res_calculation!G56</f>
        <v>0</v>
      </c>
      <c r="H6" s="3">
        <f>Urban_res_calculation!H56</f>
        <v>0</v>
      </c>
      <c r="I6" s="3">
        <f>Urban_res_calculation!I56</f>
        <v>0</v>
      </c>
      <c r="J6" s="3">
        <f>Urban_res_calculation!J56</f>
        <v>0</v>
      </c>
      <c r="K6" s="3">
        <f>Urban_res_calculation!K56</f>
        <v>0</v>
      </c>
      <c r="L6" s="3">
        <f>Urban_res_calculation!L56</f>
        <v>0</v>
      </c>
      <c r="M6" s="3">
        <f>Urban_res_calculation!M56</f>
        <v>0</v>
      </c>
      <c r="N6" s="3">
        <f>Urban_res_calculation!N56</f>
        <v>0</v>
      </c>
      <c r="O6" s="3">
        <f>Urban_res_calculation!O56</f>
        <v>0</v>
      </c>
      <c r="P6" s="3">
        <f>Urban_res_calculation!P56</f>
        <v>0</v>
      </c>
      <c r="Q6" s="3">
        <f>Urban_res_calculation!Q56</f>
        <v>0</v>
      </c>
      <c r="R6" s="3">
        <f>Urban_res_calculation!R56</f>
        <v>0</v>
      </c>
      <c r="S6" s="3">
        <f>Urban_res_calculation!S56</f>
        <v>0</v>
      </c>
      <c r="T6" s="3">
        <f>Urban_res_calculation!T56</f>
        <v>0</v>
      </c>
      <c r="U6" s="3">
        <f>Urban_res_calculation!U56</f>
        <v>0</v>
      </c>
      <c r="V6" s="3">
        <f>Urban_res_calculation!V56</f>
        <v>0</v>
      </c>
      <c r="W6" s="3">
        <f>Urban_res_calculation!W56</f>
        <v>0</v>
      </c>
      <c r="X6" s="3">
        <f>Urban_res_calculation!X56</f>
        <v>0</v>
      </c>
      <c r="Y6" s="3">
        <f>Urban_res_calculation!Y56</f>
        <v>0</v>
      </c>
      <c r="Z6" s="3">
        <f>Urban_res_calculation!Z56</f>
        <v>0</v>
      </c>
      <c r="AA6" s="3">
        <f>Urban_res_calculation!AA56</f>
        <v>0</v>
      </c>
      <c r="AB6" s="3">
        <f>Urban_res_calculation!AB56</f>
        <v>0</v>
      </c>
      <c r="AC6" s="3">
        <f>Urban_res_calculation!AC56</f>
        <v>0</v>
      </c>
      <c r="AD6" s="3">
        <f>Urban_res_calculation!AD56</f>
        <v>0</v>
      </c>
      <c r="AE6" s="3">
        <f>Urban_res_calculation!AE56</f>
        <v>0</v>
      </c>
      <c r="AF6" s="3">
        <f>Urban_res_calculation!AF56</f>
        <v>0</v>
      </c>
      <c r="AG6" s="3">
        <f>Urban_res_calculation!AG56</f>
        <v>0</v>
      </c>
    </row>
    <row r="7" spans="1:35" x14ac:dyDescent="0.3">
      <c r="A7" s="1" t="s">
        <v>11</v>
      </c>
      <c r="B7" s="3">
        <f>Urban_res_calculation!B57</f>
        <v>0</v>
      </c>
      <c r="C7" s="3">
        <f>Urban_res_calculation!C57</f>
        <v>0</v>
      </c>
      <c r="D7" s="3">
        <f>Urban_res_calculation!D57</f>
        <v>0</v>
      </c>
      <c r="E7" s="3">
        <f>Urban_res_calculation!E57</f>
        <v>0</v>
      </c>
      <c r="F7" s="3">
        <f>Urban_res_calculation!F57</f>
        <v>0</v>
      </c>
      <c r="G7" s="3">
        <f>Urban_res_calculation!G57</f>
        <v>0</v>
      </c>
      <c r="H7" s="3">
        <f>Urban_res_calculation!H57</f>
        <v>0</v>
      </c>
      <c r="I7" s="3">
        <f>Urban_res_calculation!I57</f>
        <v>0</v>
      </c>
      <c r="J7" s="3">
        <f>Urban_res_calculation!J57</f>
        <v>0</v>
      </c>
      <c r="K7" s="3">
        <f>Urban_res_calculation!K57</f>
        <v>0</v>
      </c>
      <c r="L7" s="3">
        <f>Urban_res_calculation!L57</f>
        <v>0</v>
      </c>
      <c r="M7" s="3">
        <f>Urban_res_calculation!M57</f>
        <v>0</v>
      </c>
      <c r="N7" s="3">
        <f>Urban_res_calculation!N57</f>
        <v>0</v>
      </c>
      <c r="O7" s="3">
        <f>Urban_res_calculation!O57</f>
        <v>0</v>
      </c>
      <c r="P7" s="3">
        <f>Urban_res_calculation!P57</f>
        <v>0</v>
      </c>
      <c r="Q7" s="3">
        <f>Urban_res_calculation!Q57</f>
        <v>0</v>
      </c>
      <c r="R7" s="3">
        <f>Urban_res_calculation!R57</f>
        <v>0</v>
      </c>
      <c r="S7" s="3">
        <f>Urban_res_calculation!S57</f>
        <v>0</v>
      </c>
      <c r="T7" s="3">
        <f>Urban_res_calculation!T57</f>
        <v>0</v>
      </c>
      <c r="U7" s="3">
        <f>Urban_res_calculation!U57</f>
        <v>0</v>
      </c>
      <c r="V7" s="3">
        <f>Urban_res_calculation!V57</f>
        <v>0</v>
      </c>
      <c r="W7" s="3">
        <f>Urban_res_calculation!W57</f>
        <v>0</v>
      </c>
      <c r="X7" s="3">
        <f>Urban_res_calculation!X57</f>
        <v>0</v>
      </c>
      <c r="Y7" s="3">
        <f>Urban_res_calculation!Y57</f>
        <v>0</v>
      </c>
      <c r="Z7" s="3">
        <f>Urban_res_calculation!Z57</f>
        <v>0</v>
      </c>
      <c r="AA7" s="3">
        <f>Urban_res_calculation!AA57</f>
        <v>0</v>
      </c>
      <c r="AB7" s="3">
        <f>Urban_res_calculation!AB57</f>
        <v>0</v>
      </c>
      <c r="AC7" s="3">
        <f>Urban_res_calculation!AC57</f>
        <v>0</v>
      </c>
      <c r="AD7" s="3">
        <f>Urban_res_calculation!AD57</f>
        <v>0</v>
      </c>
      <c r="AE7" s="3">
        <f>Urban_res_calculation!AE57</f>
        <v>0</v>
      </c>
      <c r="AF7" s="3">
        <f>Urban_res_calculation!AF57</f>
        <v>0</v>
      </c>
      <c r="AG7" s="3">
        <f>Urban_res_calculation!AG57</f>
        <v>0</v>
      </c>
    </row>
    <row r="8" spans="1:35" x14ac:dyDescent="0.3">
      <c r="A8" s="1" t="s">
        <v>13</v>
      </c>
      <c r="B8" s="3">
        <f>Urban_res_calculation!B58</f>
        <v>0</v>
      </c>
      <c r="C8" s="3">
        <f>Urban_res_calculation!C58</f>
        <v>0</v>
      </c>
      <c r="D8" s="3">
        <f>Urban_res_calculation!D58</f>
        <v>0</v>
      </c>
      <c r="E8" s="3">
        <f>Urban_res_calculation!E58</f>
        <v>0</v>
      </c>
      <c r="F8" s="3">
        <f>Urban_res_calculation!F58</f>
        <v>0</v>
      </c>
      <c r="G8" s="3">
        <f>Urban_res_calculation!G58</f>
        <v>0</v>
      </c>
      <c r="H8" s="3">
        <f>Urban_res_calculation!H58</f>
        <v>0</v>
      </c>
      <c r="I8" s="3">
        <f>Urban_res_calculation!I58</f>
        <v>0</v>
      </c>
      <c r="J8" s="3">
        <f>Urban_res_calculation!J58</f>
        <v>0</v>
      </c>
      <c r="K8" s="3">
        <f>Urban_res_calculation!K58</f>
        <v>0</v>
      </c>
      <c r="L8" s="3">
        <f>Urban_res_calculation!L58</f>
        <v>0</v>
      </c>
      <c r="M8" s="3">
        <f>Urban_res_calculation!M58</f>
        <v>0</v>
      </c>
      <c r="N8" s="3">
        <f>Urban_res_calculation!N58</f>
        <v>0</v>
      </c>
      <c r="O8" s="3">
        <f>Urban_res_calculation!O58</f>
        <v>0</v>
      </c>
      <c r="P8" s="3">
        <f>Urban_res_calculation!P58</f>
        <v>0</v>
      </c>
      <c r="Q8" s="3">
        <f>Urban_res_calculation!Q58</f>
        <v>0</v>
      </c>
      <c r="R8" s="3">
        <f>Urban_res_calculation!R58</f>
        <v>0</v>
      </c>
      <c r="S8" s="3">
        <f>Urban_res_calculation!S58</f>
        <v>0</v>
      </c>
      <c r="T8" s="3">
        <f>Urban_res_calculation!T58</f>
        <v>0</v>
      </c>
      <c r="U8" s="3">
        <f>Urban_res_calculation!U58</f>
        <v>0</v>
      </c>
      <c r="V8" s="3">
        <f>Urban_res_calculation!V58</f>
        <v>0</v>
      </c>
      <c r="W8" s="3">
        <f>Urban_res_calculation!W58</f>
        <v>0</v>
      </c>
      <c r="X8" s="3">
        <f>Urban_res_calculation!X58</f>
        <v>0</v>
      </c>
      <c r="Y8" s="3">
        <f>Urban_res_calculation!Y58</f>
        <v>0</v>
      </c>
      <c r="Z8" s="3">
        <f>Urban_res_calculation!Z58</f>
        <v>0</v>
      </c>
      <c r="AA8" s="3">
        <f>Urban_res_calculation!AA58</f>
        <v>0</v>
      </c>
      <c r="AB8" s="3">
        <f>Urban_res_calculation!AB58</f>
        <v>0</v>
      </c>
      <c r="AC8" s="3">
        <f>Urban_res_calculation!AC58</f>
        <v>0</v>
      </c>
      <c r="AD8" s="3">
        <f>Urban_res_calculation!AD58</f>
        <v>0</v>
      </c>
      <c r="AE8" s="3">
        <f>Urban_res_calculation!AE58</f>
        <v>0</v>
      </c>
      <c r="AF8" s="3">
        <f>Urban_res_calculation!AF58</f>
        <v>0</v>
      </c>
      <c r="AG8" s="3">
        <f>Urban_res_calculation!AG58</f>
        <v>0</v>
      </c>
    </row>
    <row r="9" spans="1:35" x14ac:dyDescent="0.3">
      <c r="A9" s="1" t="s">
        <v>14</v>
      </c>
      <c r="B9" s="3">
        <f>Urban_res_calculation!B59</f>
        <v>0</v>
      </c>
      <c r="C9" s="3">
        <f>Urban_res_calculation!C59</f>
        <v>0</v>
      </c>
      <c r="D9" s="3">
        <f>Urban_res_calculation!D59</f>
        <v>0</v>
      </c>
      <c r="E9" s="3">
        <f>Urban_res_calculation!E59</f>
        <v>0</v>
      </c>
      <c r="F9" s="3">
        <f>Urban_res_calculation!F59</f>
        <v>0</v>
      </c>
      <c r="G9" s="3">
        <f>Urban_res_calculation!G59</f>
        <v>0</v>
      </c>
      <c r="H9" s="3">
        <f>Urban_res_calculation!H59</f>
        <v>0</v>
      </c>
      <c r="I9" s="3">
        <f>Urban_res_calculation!I59</f>
        <v>0</v>
      </c>
      <c r="J9" s="3">
        <f>Urban_res_calculation!J59</f>
        <v>0</v>
      </c>
      <c r="K9" s="3">
        <f>Urban_res_calculation!K59</f>
        <v>0</v>
      </c>
      <c r="L9" s="3">
        <f>Urban_res_calculation!L59</f>
        <v>0</v>
      </c>
      <c r="M9" s="3">
        <f>Urban_res_calculation!M59</f>
        <v>0</v>
      </c>
      <c r="N9" s="3">
        <f>Urban_res_calculation!N59</f>
        <v>0</v>
      </c>
      <c r="O9" s="3">
        <f>Urban_res_calculation!O59</f>
        <v>0</v>
      </c>
      <c r="P9" s="3">
        <f>Urban_res_calculation!P59</f>
        <v>0</v>
      </c>
      <c r="Q9" s="3">
        <f>Urban_res_calculation!Q59</f>
        <v>0</v>
      </c>
      <c r="R9" s="3">
        <f>Urban_res_calculation!R59</f>
        <v>0</v>
      </c>
      <c r="S9" s="3">
        <f>Urban_res_calculation!S59</f>
        <v>0</v>
      </c>
      <c r="T9" s="3">
        <f>Urban_res_calculation!T59</f>
        <v>0</v>
      </c>
      <c r="U9" s="3">
        <f>Urban_res_calculation!U59</f>
        <v>0</v>
      </c>
      <c r="V9" s="3">
        <f>Urban_res_calculation!V59</f>
        <v>0</v>
      </c>
      <c r="W9" s="3">
        <f>Urban_res_calculation!W59</f>
        <v>0</v>
      </c>
      <c r="X9" s="3">
        <f>Urban_res_calculation!X59</f>
        <v>0</v>
      </c>
      <c r="Y9" s="3">
        <f>Urban_res_calculation!Y59</f>
        <v>0</v>
      </c>
      <c r="Z9" s="3">
        <f>Urban_res_calculation!Z59</f>
        <v>0</v>
      </c>
      <c r="AA9" s="3">
        <f>Urban_res_calculation!AA59</f>
        <v>0</v>
      </c>
      <c r="AB9" s="3">
        <f>Urban_res_calculation!AB59</f>
        <v>0</v>
      </c>
      <c r="AC9" s="3">
        <f>Urban_res_calculation!AC59</f>
        <v>0</v>
      </c>
      <c r="AD9" s="3">
        <f>Urban_res_calculation!AD59</f>
        <v>0</v>
      </c>
      <c r="AE9" s="3">
        <f>Urban_res_calculation!AE59</f>
        <v>0</v>
      </c>
      <c r="AF9" s="3">
        <f>Urban_res_calculation!AF59</f>
        <v>0</v>
      </c>
      <c r="AG9" s="3">
        <f>Urban_res_calculation!AG59</f>
        <v>0</v>
      </c>
    </row>
    <row r="10" spans="1:35" x14ac:dyDescent="0.3">
      <c r="A10" s="1" t="s">
        <v>15</v>
      </c>
      <c r="B10" s="3">
        <f>Urban_res_calculation!B60</f>
        <v>4490000000000</v>
      </c>
      <c r="C10" s="3">
        <f>Urban_res_calculation!C60</f>
        <v>4237715602201.9023</v>
      </c>
      <c r="D10" s="3">
        <f>Urban_res_calculation!D60</f>
        <v>4230005089891.2842</v>
      </c>
      <c r="E10" s="3">
        <f>Urban_res_calculation!E60</f>
        <v>4052344876115.8501</v>
      </c>
      <c r="F10" s="3">
        <f>Urban_res_calculation!F60</f>
        <v>3882146391318.9844</v>
      </c>
      <c r="G10" s="3">
        <f>Urban_res_calculation!G60</f>
        <v>3719096242883.5869</v>
      </c>
      <c r="H10" s="3">
        <f>Urban_res_calculation!H60</f>
        <v>3562894200682.4761</v>
      </c>
      <c r="I10" s="3">
        <f>Urban_res_calculation!I60</f>
        <v>3413252644253.812</v>
      </c>
      <c r="J10" s="3">
        <f>Urban_res_calculation!J60</f>
        <v>3269896033195.1519</v>
      </c>
      <c r="K10" s="3">
        <f>Urban_res_calculation!K60</f>
        <v>3132560399800.9556</v>
      </c>
      <c r="L10" s="3">
        <f>Urban_res_calculation!L60</f>
        <v>3000992863009.3154</v>
      </c>
      <c r="M10" s="3">
        <f>Urban_res_calculation!M60</f>
        <v>2874951162762.9238</v>
      </c>
      <c r="N10" s="3">
        <f>Urban_res_calculation!N60</f>
        <v>2754203213926.8809</v>
      </c>
      <c r="O10" s="3">
        <f>Urban_res_calculation!O60</f>
        <v>2638526678941.9517</v>
      </c>
      <c r="P10" s="3">
        <f>Urban_res_calculation!P60</f>
        <v>2527708558426.3896</v>
      </c>
      <c r="Q10" s="3">
        <f>Urban_res_calculation!Q60</f>
        <v>2421544798972.481</v>
      </c>
      <c r="R10" s="3">
        <f>Urban_res_calculation!R60</f>
        <v>2319839917415.6367</v>
      </c>
      <c r="S10" s="3">
        <f>Urban_res_calculation!S60</f>
        <v>2222406640884.1797</v>
      </c>
      <c r="T10" s="3">
        <f>Urban_res_calculation!T60</f>
        <v>2129065561967.0439</v>
      </c>
      <c r="U10" s="3">
        <f>Urban_res_calculation!U60</f>
        <v>2039644808364.428</v>
      </c>
      <c r="V10" s="3">
        <f>Urban_res_calculation!V60</f>
        <v>1953979726413.1218</v>
      </c>
      <c r="W10" s="3">
        <f>Urban_res_calculation!W60</f>
        <v>1871912577903.7708</v>
      </c>
      <c r="X10" s="3">
        <f>Urban_res_calculation!X60</f>
        <v>1793292249631.8123</v>
      </c>
      <c r="Y10" s="3">
        <f>Urban_res_calculation!Y60</f>
        <v>1717973975147.2761</v>
      </c>
      <c r="Z10" s="3">
        <f>Urban_res_calculation!Z60</f>
        <v>1645819068191.0906</v>
      </c>
      <c r="AA10" s="3">
        <f>Urban_res_calculation!AA60</f>
        <v>1576694667327.0647</v>
      </c>
      <c r="AB10" s="3">
        <f>Urban_res_calculation!AB60</f>
        <v>1510473491299.3279</v>
      </c>
      <c r="AC10" s="3">
        <f>Urban_res_calculation!AC60</f>
        <v>1447033604664.7561</v>
      </c>
      <c r="AD10" s="3">
        <f>Urban_res_calculation!AD60</f>
        <v>1386258193268.8362</v>
      </c>
      <c r="AE10" s="3">
        <f>Urban_res_calculation!AE60</f>
        <v>1328035349151.5449</v>
      </c>
      <c r="AF10" s="3">
        <f>Urban_res_calculation!AF60</f>
        <v>1272257864487.1799</v>
      </c>
      <c r="AG10" s="3">
        <f>Urban_res_calculation!AG60</f>
        <v>1218823034178.7183</v>
      </c>
    </row>
    <row r="11" spans="1:35" x14ac:dyDescent="0.3">
      <c r="A11" s="1" t="s">
        <v>16</v>
      </c>
      <c r="B11" s="3">
        <f>Urban_res_calculation!B61</f>
        <v>0</v>
      </c>
      <c r="C11" s="3">
        <f>Urban_res_calculation!C61</f>
        <v>0</v>
      </c>
      <c r="D11" s="3">
        <f>Urban_res_calculation!D61</f>
        <v>0</v>
      </c>
      <c r="E11" s="3">
        <f>Urban_res_calculation!E61</f>
        <v>0</v>
      </c>
      <c r="F11" s="3">
        <f>Urban_res_calculation!F61</f>
        <v>0</v>
      </c>
      <c r="G11" s="3">
        <f>Urban_res_calculation!G61</f>
        <v>0</v>
      </c>
      <c r="H11" s="3">
        <f>Urban_res_calculation!H61</f>
        <v>0</v>
      </c>
      <c r="I11" s="3">
        <f>Urban_res_calculation!I61</f>
        <v>0</v>
      </c>
      <c r="J11" s="3">
        <f>Urban_res_calculation!J61</f>
        <v>0</v>
      </c>
      <c r="K11" s="3">
        <f>Urban_res_calculation!K61</f>
        <v>0</v>
      </c>
      <c r="L11" s="3">
        <f>Urban_res_calculation!L61</f>
        <v>0</v>
      </c>
      <c r="M11" s="3">
        <f>Urban_res_calculation!M61</f>
        <v>0</v>
      </c>
      <c r="N11" s="3">
        <f>Urban_res_calculation!N61</f>
        <v>0</v>
      </c>
      <c r="O11" s="3">
        <f>Urban_res_calculation!O61</f>
        <v>0</v>
      </c>
      <c r="P11" s="3">
        <f>Urban_res_calculation!P61</f>
        <v>0</v>
      </c>
      <c r="Q11" s="3">
        <f>Urban_res_calculation!Q61</f>
        <v>0</v>
      </c>
      <c r="R11" s="3">
        <f>Urban_res_calculation!R61</f>
        <v>0</v>
      </c>
      <c r="S11" s="3">
        <f>Urban_res_calculation!S61</f>
        <v>0</v>
      </c>
      <c r="T11" s="3">
        <f>Urban_res_calculation!T61</f>
        <v>0</v>
      </c>
      <c r="U11" s="3">
        <f>Urban_res_calculation!U61</f>
        <v>0</v>
      </c>
      <c r="V11" s="3">
        <f>Urban_res_calculation!V61</f>
        <v>0</v>
      </c>
      <c r="W11" s="3">
        <f>Urban_res_calculation!W61</f>
        <v>0</v>
      </c>
      <c r="X11" s="3">
        <f>Urban_res_calculation!X61</f>
        <v>0</v>
      </c>
      <c r="Y11" s="3">
        <f>Urban_res_calculation!Y61</f>
        <v>0</v>
      </c>
      <c r="Z11" s="3">
        <f>Urban_res_calculation!Z61</f>
        <v>0</v>
      </c>
      <c r="AA11" s="3">
        <f>Urban_res_calculation!AA61</f>
        <v>0</v>
      </c>
      <c r="AB11" s="3">
        <f>Urban_res_calculation!AB61</f>
        <v>0</v>
      </c>
      <c r="AC11" s="3">
        <f>Urban_res_calculation!AC61</f>
        <v>0</v>
      </c>
      <c r="AD11" s="3">
        <f>Urban_res_calculation!AD61</f>
        <v>0</v>
      </c>
      <c r="AE11" s="3">
        <f>Urban_res_calculation!AE61</f>
        <v>0</v>
      </c>
      <c r="AF11" s="3">
        <f>Urban_res_calculation!AF61</f>
        <v>0</v>
      </c>
      <c r="AG11" s="3">
        <f>Urban_res_calculation!AG61</f>
        <v>0</v>
      </c>
    </row>
  </sheetData>
  <phoneticPr fontId="10" type="noConversion"/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I11"/>
  <sheetViews>
    <sheetView topLeftCell="U1" zoomScale="80" zoomScaleNormal="80" workbookViewId="0">
      <selection activeCell="AG2" sqref="B2:AG11"/>
    </sheetView>
  </sheetViews>
  <sheetFormatPr defaultRowHeight="16.5" x14ac:dyDescent="0.3"/>
  <cols>
    <col min="1" max="1" width="29.875" customWidth="1"/>
    <col min="2" max="33" width="13.125" customWidth="1"/>
  </cols>
  <sheetData>
    <row r="1" spans="1:35" x14ac:dyDescent="0.3">
      <c r="A1" s="1" t="s">
        <v>1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3">
      <c r="A2" s="1" t="s">
        <v>2</v>
      </c>
      <c r="B2" s="3">
        <f>Urban_res_calculation!B64</f>
        <v>0</v>
      </c>
      <c r="C2" s="3">
        <f>Urban_res_calculation!C64</f>
        <v>0</v>
      </c>
      <c r="D2" s="3">
        <f>Urban_res_calculation!D64</f>
        <v>0</v>
      </c>
      <c r="E2" s="3">
        <f>Urban_res_calculation!E64</f>
        <v>0</v>
      </c>
      <c r="F2" s="3">
        <f>Urban_res_calculation!F64</f>
        <v>0</v>
      </c>
      <c r="G2" s="3">
        <f>Urban_res_calculation!G64</f>
        <v>0</v>
      </c>
      <c r="H2" s="3">
        <f>Urban_res_calculation!H64</f>
        <v>0</v>
      </c>
      <c r="I2" s="3">
        <f>Urban_res_calculation!I64</f>
        <v>0</v>
      </c>
      <c r="J2" s="3">
        <f>Urban_res_calculation!J64</f>
        <v>0</v>
      </c>
      <c r="K2" s="3">
        <f>Urban_res_calculation!K64</f>
        <v>0</v>
      </c>
      <c r="L2" s="3">
        <f>Urban_res_calculation!L64</f>
        <v>0</v>
      </c>
      <c r="M2" s="3">
        <f>Urban_res_calculation!M64</f>
        <v>0</v>
      </c>
      <c r="N2" s="3">
        <f>Urban_res_calculation!N64</f>
        <v>0</v>
      </c>
      <c r="O2" s="3">
        <f>Urban_res_calculation!O64</f>
        <v>0</v>
      </c>
      <c r="P2" s="3">
        <f>Urban_res_calculation!P64</f>
        <v>0</v>
      </c>
      <c r="Q2" s="3">
        <f>Urban_res_calculation!Q64</f>
        <v>0</v>
      </c>
      <c r="R2" s="3">
        <f>Urban_res_calculation!R64</f>
        <v>0</v>
      </c>
      <c r="S2" s="3">
        <f>Urban_res_calculation!S64</f>
        <v>0</v>
      </c>
      <c r="T2" s="3">
        <f>Urban_res_calculation!T64</f>
        <v>0</v>
      </c>
      <c r="U2" s="3">
        <f>Urban_res_calculation!U64</f>
        <v>0</v>
      </c>
      <c r="V2" s="3">
        <f>Urban_res_calculation!V64</f>
        <v>0</v>
      </c>
      <c r="W2" s="3">
        <f>Urban_res_calculation!W64</f>
        <v>0</v>
      </c>
      <c r="X2" s="3">
        <f>Urban_res_calculation!X64</f>
        <v>0</v>
      </c>
      <c r="Y2" s="3">
        <f>Urban_res_calculation!Y64</f>
        <v>0</v>
      </c>
      <c r="Z2" s="3">
        <f>Urban_res_calculation!Z64</f>
        <v>0</v>
      </c>
      <c r="AA2" s="3">
        <f>Urban_res_calculation!AA64</f>
        <v>0</v>
      </c>
      <c r="AB2" s="3">
        <f>Urban_res_calculation!AB64</f>
        <v>0</v>
      </c>
      <c r="AC2" s="3">
        <f>Urban_res_calculation!AC64</f>
        <v>0</v>
      </c>
      <c r="AD2" s="3">
        <f>Urban_res_calculation!AD64</f>
        <v>0</v>
      </c>
      <c r="AE2" s="3">
        <f>Urban_res_calculation!AE64</f>
        <v>0</v>
      </c>
      <c r="AF2" s="3">
        <f>Urban_res_calculation!AF64</f>
        <v>0</v>
      </c>
      <c r="AG2" s="3">
        <f>Urban_res_calculation!AG64</f>
        <v>0</v>
      </c>
    </row>
    <row r="3" spans="1:35" x14ac:dyDescent="0.3">
      <c r="A3" s="1" t="s">
        <v>3</v>
      </c>
      <c r="B3" s="3">
        <f>Urban_res_calculation!B65</f>
        <v>0</v>
      </c>
      <c r="C3" s="3">
        <f>Urban_res_calculation!C65</f>
        <v>0</v>
      </c>
      <c r="D3" s="3">
        <f>Urban_res_calculation!D65</f>
        <v>0</v>
      </c>
      <c r="E3" s="3">
        <f>Urban_res_calculation!E65</f>
        <v>0</v>
      </c>
      <c r="F3" s="3">
        <f>Urban_res_calculation!F65</f>
        <v>0</v>
      </c>
      <c r="G3" s="3">
        <f>Urban_res_calculation!G65</f>
        <v>0</v>
      </c>
      <c r="H3" s="3">
        <f>Urban_res_calculation!H65</f>
        <v>0</v>
      </c>
      <c r="I3" s="3">
        <f>Urban_res_calculation!I65</f>
        <v>0</v>
      </c>
      <c r="J3" s="3">
        <f>Urban_res_calculation!J65</f>
        <v>0</v>
      </c>
      <c r="K3" s="3">
        <f>Urban_res_calculation!K65</f>
        <v>0</v>
      </c>
      <c r="L3" s="3">
        <f>Urban_res_calculation!L65</f>
        <v>0</v>
      </c>
      <c r="M3" s="3">
        <f>Urban_res_calculation!M65</f>
        <v>0</v>
      </c>
      <c r="N3" s="3">
        <f>Urban_res_calculation!N65</f>
        <v>0</v>
      </c>
      <c r="O3" s="3">
        <f>Urban_res_calculation!O65</f>
        <v>0</v>
      </c>
      <c r="P3" s="3">
        <f>Urban_res_calculation!P65</f>
        <v>0</v>
      </c>
      <c r="Q3" s="3">
        <f>Urban_res_calculation!Q65</f>
        <v>0</v>
      </c>
      <c r="R3" s="3">
        <f>Urban_res_calculation!R65</f>
        <v>0</v>
      </c>
      <c r="S3" s="3">
        <f>Urban_res_calculation!S65</f>
        <v>0</v>
      </c>
      <c r="T3" s="3">
        <f>Urban_res_calculation!T65</f>
        <v>0</v>
      </c>
      <c r="U3" s="3">
        <f>Urban_res_calculation!U65</f>
        <v>0</v>
      </c>
      <c r="V3" s="3">
        <f>Urban_res_calculation!V65</f>
        <v>0</v>
      </c>
      <c r="W3" s="3">
        <f>Urban_res_calculation!W65</f>
        <v>0</v>
      </c>
      <c r="X3" s="3">
        <f>Urban_res_calculation!X65</f>
        <v>0</v>
      </c>
      <c r="Y3" s="3">
        <f>Urban_res_calculation!Y65</f>
        <v>0</v>
      </c>
      <c r="Z3" s="3">
        <f>Urban_res_calculation!Z65</f>
        <v>0</v>
      </c>
      <c r="AA3" s="3">
        <f>Urban_res_calculation!AA65</f>
        <v>0</v>
      </c>
      <c r="AB3" s="3">
        <f>Urban_res_calculation!AB65</f>
        <v>0</v>
      </c>
      <c r="AC3" s="3">
        <f>Urban_res_calculation!AC65</f>
        <v>0</v>
      </c>
      <c r="AD3" s="3">
        <f>Urban_res_calculation!AD65</f>
        <v>0</v>
      </c>
      <c r="AE3" s="3">
        <f>Urban_res_calculation!AE65</f>
        <v>0</v>
      </c>
      <c r="AF3" s="3">
        <f>Urban_res_calculation!AF65</f>
        <v>0</v>
      </c>
      <c r="AG3" s="3">
        <f>Urban_res_calculation!AG65</f>
        <v>0</v>
      </c>
    </row>
    <row r="4" spans="1:35" x14ac:dyDescent="0.3">
      <c r="A4" s="1" t="s">
        <v>4</v>
      </c>
      <c r="B4" s="3">
        <f>Urban_res_calculation!B66</f>
        <v>0</v>
      </c>
      <c r="C4" s="3">
        <f>Urban_res_calculation!C66</f>
        <v>0</v>
      </c>
      <c r="D4" s="3">
        <f>Urban_res_calculation!D66</f>
        <v>0</v>
      </c>
      <c r="E4" s="3">
        <f>Urban_res_calculation!E66</f>
        <v>0</v>
      </c>
      <c r="F4" s="3">
        <f>Urban_res_calculation!F66</f>
        <v>0</v>
      </c>
      <c r="G4" s="3">
        <f>Urban_res_calculation!G66</f>
        <v>0</v>
      </c>
      <c r="H4" s="3">
        <f>Urban_res_calculation!H66</f>
        <v>0</v>
      </c>
      <c r="I4" s="3">
        <f>Urban_res_calculation!I66</f>
        <v>0</v>
      </c>
      <c r="J4" s="3">
        <f>Urban_res_calculation!J66</f>
        <v>0</v>
      </c>
      <c r="K4" s="3">
        <f>Urban_res_calculation!K66</f>
        <v>0</v>
      </c>
      <c r="L4" s="3">
        <f>Urban_res_calculation!L66</f>
        <v>0</v>
      </c>
      <c r="M4" s="3">
        <f>Urban_res_calculation!M66</f>
        <v>0</v>
      </c>
      <c r="N4" s="3">
        <f>Urban_res_calculation!N66</f>
        <v>0</v>
      </c>
      <c r="O4" s="3">
        <f>Urban_res_calculation!O66</f>
        <v>0</v>
      </c>
      <c r="P4" s="3">
        <f>Urban_res_calculation!P66</f>
        <v>0</v>
      </c>
      <c r="Q4" s="3">
        <f>Urban_res_calculation!Q66</f>
        <v>0</v>
      </c>
      <c r="R4" s="3">
        <f>Urban_res_calculation!R66</f>
        <v>0</v>
      </c>
      <c r="S4" s="3">
        <f>Urban_res_calculation!S66</f>
        <v>0</v>
      </c>
      <c r="T4" s="3">
        <f>Urban_res_calculation!T66</f>
        <v>0</v>
      </c>
      <c r="U4" s="3">
        <f>Urban_res_calculation!U66</f>
        <v>0</v>
      </c>
      <c r="V4" s="3">
        <f>Urban_res_calculation!V66</f>
        <v>0</v>
      </c>
      <c r="W4" s="3">
        <f>Urban_res_calculation!W66</f>
        <v>0</v>
      </c>
      <c r="X4" s="3">
        <f>Urban_res_calculation!X66</f>
        <v>0</v>
      </c>
      <c r="Y4" s="3">
        <f>Urban_res_calculation!Y66</f>
        <v>0</v>
      </c>
      <c r="Z4" s="3">
        <f>Urban_res_calculation!Z66</f>
        <v>0</v>
      </c>
      <c r="AA4" s="3">
        <f>Urban_res_calculation!AA66</f>
        <v>0</v>
      </c>
      <c r="AB4" s="3">
        <f>Urban_res_calculation!AB66</f>
        <v>0</v>
      </c>
      <c r="AC4" s="3">
        <f>Urban_res_calculation!AC66</f>
        <v>0</v>
      </c>
      <c r="AD4" s="3">
        <f>Urban_res_calculation!AD66</f>
        <v>0</v>
      </c>
      <c r="AE4" s="3">
        <f>Urban_res_calculation!AE66</f>
        <v>0</v>
      </c>
      <c r="AF4" s="3">
        <f>Urban_res_calculation!AF66</f>
        <v>0</v>
      </c>
      <c r="AG4" s="3">
        <f>Urban_res_calculation!AG66</f>
        <v>0</v>
      </c>
    </row>
    <row r="5" spans="1:35" x14ac:dyDescent="0.3">
      <c r="A5" s="1" t="s">
        <v>5</v>
      </c>
      <c r="B5" s="3">
        <f>Urban_res_calculation!B67</f>
        <v>0</v>
      </c>
      <c r="C5" s="3">
        <f>Urban_res_calculation!C67</f>
        <v>0</v>
      </c>
      <c r="D5" s="3">
        <f>Urban_res_calculation!D67</f>
        <v>0</v>
      </c>
      <c r="E5" s="3">
        <f>Urban_res_calculation!E67</f>
        <v>0</v>
      </c>
      <c r="F5" s="3">
        <f>Urban_res_calculation!F67</f>
        <v>0</v>
      </c>
      <c r="G5" s="3">
        <f>Urban_res_calculation!G67</f>
        <v>0</v>
      </c>
      <c r="H5" s="3">
        <f>Urban_res_calculation!H67</f>
        <v>0</v>
      </c>
      <c r="I5" s="3">
        <f>Urban_res_calculation!I67</f>
        <v>0</v>
      </c>
      <c r="J5" s="3">
        <f>Urban_res_calculation!J67</f>
        <v>0</v>
      </c>
      <c r="K5" s="3">
        <f>Urban_res_calculation!K67</f>
        <v>0</v>
      </c>
      <c r="L5" s="3">
        <f>Urban_res_calculation!L67</f>
        <v>0</v>
      </c>
      <c r="M5" s="3">
        <f>Urban_res_calculation!M67</f>
        <v>0</v>
      </c>
      <c r="N5" s="3">
        <f>Urban_res_calculation!N67</f>
        <v>0</v>
      </c>
      <c r="O5" s="3">
        <f>Urban_res_calculation!O67</f>
        <v>0</v>
      </c>
      <c r="P5" s="3">
        <f>Urban_res_calculation!P67</f>
        <v>0</v>
      </c>
      <c r="Q5" s="3">
        <f>Urban_res_calculation!Q67</f>
        <v>0</v>
      </c>
      <c r="R5" s="3">
        <f>Urban_res_calculation!R67</f>
        <v>0</v>
      </c>
      <c r="S5" s="3">
        <f>Urban_res_calculation!S67</f>
        <v>0</v>
      </c>
      <c r="T5" s="3">
        <f>Urban_res_calculation!T67</f>
        <v>0</v>
      </c>
      <c r="U5" s="3">
        <f>Urban_res_calculation!U67</f>
        <v>0</v>
      </c>
      <c r="V5" s="3">
        <f>Urban_res_calculation!V67</f>
        <v>0</v>
      </c>
      <c r="W5" s="3">
        <f>Urban_res_calculation!W67</f>
        <v>0</v>
      </c>
      <c r="X5" s="3">
        <f>Urban_res_calculation!X67</f>
        <v>0</v>
      </c>
      <c r="Y5" s="3">
        <f>Urban_res_calculation!Y67</f>
        <v>0</v>
      </c>
      <c r="Z5" s="3">
        <f>Urban_res_calculation!Z67</f>
        <v>0</v>
      </c>
      <c r="AA5" s="3">
        <f>Urban_res_calculation!AA67</f>
        <v>0</v>
      </c>
      <c r="AB5" s="3">
        <f>Urban_res_calculation!AB67</f>
        <v>0</v>
      </c>
      <c r="AC5" s="3">
        <f>Urban_res_calculation!AC67</f>
        <v>0</v>
      </c>
      <c r="AD5" s="3">
        <f>Urban_res_calculation!AD67</f>
        <v>0</v>
      </c>
      <c r="AE5" s="3">
        <f>Urban_res_calculation!AE67</f>
        <v>0</v>
      </c>
      <c r="AF5" s="3">
        <f>Urban_res_calculation!AF67</f>
        <v>0</v>
      </c>
      <c r="AG5" s="3">
        <f>Urban_res_calculation!AG67</f>
        <v>0</v>
      </c>
    </row>
    <row r="6" spans="1:35" x14ac:dyDescent="0.3">
      <c r="A6" s="1" t="s">
        <v>7</v>
      </c>
      <c r="B6" s="3">
        <f>Urban_res_calculation!B68</f>
        <v>0</v>
      </c>
      <c r="C6" s="3">
        <f>Urban_res_calculation!C68</f>
        <v>0</v>
      </c>
      <c r="D6" s="3">
        <f>Urban_res_calculation!D68</f>
        <v>0</v>
      </c>
      <c r="E6" s="3">
        <f>Urban_res_calculation!E68</f>
        <v>0</v>
      </c>
      <c r="F6" s="3">
        <f>Urban_res_calculation!F68</f>
        <v>0</v>
      </c>
      <c r="G6" s="3">
        <f>Urban_res_calculation!G68</f>
        <v>0</v>
      </c>
      <c r="H6" s="3">
        <f>Urban_res_calculation!H68</f>
        <v>0</v>
      </c>
      <c r="I6" s="3">
        <f>Urban_res_calculation!I68</f>
        <v>0</v>
      </c>
      <c r="J6" s="3">
        <f>Urban_res_calculation!J68</f>
        <v>0</v>
      </c>
      <c r="K6" s="3">
        <f>Urban_res_calculation!K68</f>
        <v>0</v>
      </c>
      <c r="L6" s="3">
        <f>Urban_res_calculation!L68</f>
        <v>0</v>
      </c>
      <c r="M6" s="3">
        <f>Urban_res_calculation!M68</f>
        <v>0</v>
      </c>
      <c r="N6" s="3">
        <f>Urban_res_calculation!N68</f>
        <v>0</v>
      </c>
      <c r="O6" s="3">
        <f>Urban_res_calculation!O68</f>
        <v>0</v>
      </c>
      <c r="P6" s="3">
        <f>Urban_res_calculation!P68</f>
        <v>0</v>
      </c>
      <c r="Q6" s="3">
        <f>Urban_res_calculation!Q68</f>
        <v>0</v>
      </c>
      <c r="R6" s="3">
        <f>Urban_res_calculation!R68</f>
        <v>0</v>
      </c>
      <c r="S6" s="3">
        <f>Urban_res_calculation!S68</f>
        <v>0</v>
      </c>
      <c r="T6" s="3">
        <f>Urban_res_calculation!T68</f>
        <v>0</v>
      </c>
      <c r="U6" s="3">
        <f>Urban_res_calculation!U68</f>
        <v>0</v>
      </c>
      <c r="V6" s="3">
        <f>Urban_res_calculation!V68</f>
        <v>0</v>
      </c>
      <c r="W6" s="3">
        <f>Urban_res_calculation!W68</f>
        <v>0</v>
      </c>
      <c r="X6" s="3">
        <f>Urban_res_calculation!X68</f>
        <v>0</v>
      </c>
      <c r="Y6" s="3">
        <f>Urban_res_calculation!Y68</f>
        <v>0</v>
      </c>
      <c r="Z6" s="3">
        <f>Urban_res_calculation!Z68</f>
        <v>0</v>
      </c>
      <c r="AA6" s="3">
        <f>Urban_res_calculation!AA68</f>
        <v>0</v>
      </c>
      <c r="AB6" s="3">
        <f>Urban_res_calculation!AB68</f>
        <v>0</v>
      </c>
      <c r="AC6" s="3">
        <f>Urban_res_calculation!AC68</f>
        <v>0</v>
      </c>
      <c r="AD6" s="3">
        <f>Urban_res_calculation!AD68</f>
        <v>0</v>
      </c>
      <c r="AE6" s="3">
        <f>Urban_res_calculation!AE68</f>
        <v>0</v>
      </c>
      <c r="AF6" s="3">
        <f>Urban_res_calculation!AF68</f>
        <v>0</v>
      </c>
      <c r="AG6" s="3">
        <f>Urban_res_calculation!AG68</f>
        <v>0</v>
      </c>
    </row>
    <row r="7" spans="1:35" x14ac:dyDescent="0.3">
      <c r="A7" s="1" t="s">
        <v>11</v>
      </c>
      <c r="B7" s="3">
        <f>Urban_res_calculation!B69</f>
        <v>0</v>
      </c>
      <c r="C7" s="3">
        <f>Urban_res_calculation!C69</f>
        <v>0</v>
      </c>
      <c r="D7" s="3">
        <f>Urban_res_calculation!D69</f>
        <v>0</v>
      </c>
      <c r="E7" s="3">
        <f>Urban_res_calculation!E69</f>
        <v>0</v>
      </c>
      <c r="F7" s="3">
        <f>Urban_res_calculation!F69</f>
        <v>0</v>
      </c>
      <c r="G7" s="3">
        <f>Urban_res_calculation!G69</f>
        <v>0</v>
      </c>
      <c r="H7" s="3">
        <f>Urban_res_calculation!H69</f>
        <v>0</v>
      </c>
      <c r="I7" s="3">
        <f>Urban_res_calculation!I69</f>
        <v>0</v>
      </c>
      <c r="J7" s="3">
        <f>Urban_res_calculation!J69</f>
        <v>0</v>
      </c>
      <c r="K7" s="3">
        <f>Urban_res_calculation!K69</f>
        <v>0</v>
      </c>
      <c r="L7" s="3">
        <f>Urban_res_calculation!L69</f>
        <v>0</v>
      </c>
      <c r="M7" s="3">
        <f>Urban_res_calculation!M69</f>
        <v>0</v>
      </c>
      <c r="N7" s="3">
        <f>Urban_res_calculation!N69</f>
        <v>0</v>
      </c>
      <c r="O7" s="3">
        <f>Urban_res_calculation!O69</f>
        <v>0</v>
      </c>
      <c r="P7" s="3">
        <f>Urban_res_calculation!P69</f>
        <v>0</v>
      </c>
      <c r="Q7" s="3">
        <f>Urban_res_calculation!Q69</f>
        <v>0</v>
      </c>
      <c r="R7" s="3">
        <f>Urban_res_calculation!R69</f>
        <v>0</v>
      </c>
      <c r="S7" s="3">
        <f>Urban_res_calculation!S69</f>
        <v>0</v>
      </c>
      <c r="T7" s="3">
        <f>Urban_res_calculation!T69</f>
        <v>0</v>
      </c>
      <c r="U7" s="3">
        <f>Urban_res_calculation!U69</f>
        <v>0</v>
      </c>
      <c r="V7" s="3">
        <f>Urban_res_calculation!V69</f>
        <v>0</v>
      </c>
      <c r="W7" s="3">
        <f>Urban_res_calculation!W69</f>
        <v>0</v>
      </c>
      <c r="X7" s="3">
        <f>Urban_res_calculation!X69</f>
        <v>0</v>
      </c>
      <c r="Y7" s="3">
        <f>Urban_res_calculation!Y69</f>
        <v>0</v>
      </c>
      <c r="Z7" s="3">
        <f>Urban_res_calculation!Z69</f>
        <v>0</v>
      </c>
      <c r="AA7" s="3">
        <f>Urban_res_calculation!AA69</f>
        <v>0</v>
      </c>
      <c r="AB7" s="3">
        <f>Urban_res_calculation!AB69</f>
        <v>0</v>
      </c>
      <c r="AC7" s="3">
        <f>Urban_res_calculation!AC69</f>
        <v>0</v>
      </c>
      <c r="AD7" s="3">
        <f>Urban_res_calculation!AD69</f>
        <v>0</v>
      </c>
      <c r="AE7" s="3">
        <f>Urban_res_calculation!AE69</f>
        <v>0</v>
      </c>
      <c r="AF7" s="3">
        <f>Urban_res_calculation!AF69</f>
        <v>0</v>
      </c>
      <c r="AG7" s="3">
        <f>Urban_res_calculation!AG69</f>
        <v>0</v>
      </c>
    </row>
    <row r="8" spans="1:35" x14ac:dyDescent="0.3">
      <c r="A8" s="1" t="s">
        <v>13</v>
      </c>
      <c r="B8" s="3">
        <f>Urban_res_calculation!B70</f>
        <v>0</v>
      </c>
      <c r="C8" s="3">
        <f>Urban_res_calculation!C70</f>
        <v>0</v>
      </c>
      <c r="D8" s="3">
        <f>Urban_res_calculation!D70</f>
        <v>0</v>
      </c>
      <c r="E8" s="3">
        <f>Urban_res_calculation!E70</f>
        <v>0</v>
      </c>
      <c r="F8" s="3">
        <f>Urban_res_calculation!F70</f>
        <v>0</v>
      </c>
      <c r="G8" s="3">
        <f>Urban_res_calculation!G70</f>
        <v>0</v>
      </c>
      <c r="H8" s="3">
        <f>Urban_res_calculation!H70</f>
        <v>0</v>
      </c>
      <c r="I8" s="3">
        <f>Urban_res_calculation!I70</f>
        <v>0</v>
      </c>
      <c r="J8" s="3">
        <f>Urban_res_calculation!J70</f>
        <v>0</v>
      </c>
      <c r="K8" s="3">
        <f>Urban_res_calculation!K70</f>
        <v>0</v>
      </c>
      <c r="L8" s="3">
        <f>Urban_res_calculation!L70</f>
        <v>0</v>
      </c>
      <c r="M8" s="3">
        <f>Urban_res_calculation!M70</f>
        <v>0</v>
      </c>
      <c r="N8" s="3">
        <f>Urban_res_calculation!N70</f>
        <v>0</v>
      </c>
      <c r="O8" s="3">
        <f>Urban_res_calculation!O70</f>
        <v>0</v>
      </c>
      <c r="P8" s="3">
        <f>Urban_res_calculation!P70</f>
        <v>0</v>
      </c>
      <c r="Q8" s="3">
        <f>Urban_res_calculation!Q70</f>
        <v>0</v>
      </c>
      <c r="R8" s="3">
        <f>Urban_res_calculation!R70</f>
        <v>0</v>
      </c>
      <c r="S8" s="3">
        <f>Urban_res_calculation!S70</f>
        <v>0</v>
      </c>
      <c r="T8" s="3">
        <f>Urban_res_calculation!T70</f>
        <v>0</v>
      </c>
      <c r="U8" s="3">
        <f>Urban_res_calculation!U70</f>
        <v>0</v>
      </c>
      <c r="V8" s="3">
        <f>Urban_res_calculation!V70</f>
        <v>0</v>
      </c>
      <c r="W8" s="3">
        <f>Urban_res_calculation!W70</f>
        <v>0</v>
      </c>
      <c r="X8" s="3">
        <f>Urban_res_calculation!X70</f>
        <v>0</v>
      </c>
      <c r="Y8" s="3">
        <f>Urban_res_calculation!Y70</f>
        <v>0</v>
      </c>
      <c r="Z8" s="3">
        <f>Urban_res_calculation!Z70</f>
        <v>0</v>
      </c>
      <c r="AA8" s="3">
        <f>Urban_res_calculation!AA70</f>
        <v>0</v>
      </c>
      <c r="AB8" s="3">
        <f>Urban_res_calculation!AB70</f>
        <v>0</v>
      </c>
      <c r="AC8" s="3">
        <f>Urban_res_calculation!AC70</f>
        <v>0</v>
      </c>
      <c r="AD8" s="3">
        <f>Urban_res_calculation!AD70</f>
        <v>0</v>
      </c>
      <c r="AE8" s="3">
        <f>Urban_res_calculation!AE70</f>
        <v>0</v>
      </c>
      <c r="AF8" s="3">
        <f>Urban_res_calculation!AF70</f>
        <v>0</v>
      </c>
      <c r="AG8" s="3">
        <f>Urban_res_calculation!AG70</f>
        <v>0</v>
      </c>
    </row>
    <row r="9" spans="1:35" x14ac:dyDescent="0.3">
      <c r="A9" s="1" t="s">
        <v>14</v>
      </c>
      <c r="B9" s="3">
        <f>Urban_res_calculation!B71</f>
        <v>0</v>
      </c>
      <c r="C9" s="3">
        <f>Urban_res_calculation!C71</f>
        <v>0</v>
      </c>
      <c r="D9" s="3">
        <f>Urban_res_calculation!D71</f>
        <v>0</v>
      </c>
      <c r="E9" s="3">
        <f>Urban_res_calculation!E71</f>
        <v>0</v>
      </c>
      <c r="F9" s="3">
        <f>Urban_res_calculation!F71</f>
        <v>0</v>
      </c>
      <c r="G9" s="3">
        <f>Urban_res_calculation!G71</f>
        <v>0</v>
      </c>
      <c r="H9" s="3">
        <f>Urban_res_calculation!H71</f>
        <v>0</v>
      </c>
      <c r="I9" s="3">
        <f>Urban_res_calculation!I71</f>
        <v>0</v>
      </c>
      <c r="J9" s="3">
        <f>Urban_res_calculation!J71</f>
        <v>0</v>
      </c>
      <c r="K9" s="3">
        <f>Urban_res_calculation!K71</f>
        <v>0</v>
      </c>
      <c r="L9" s="3">
        <f>Urban_res_calculation!L71</f>
        <v>0</v>
      </c>
      <c r="M9" s="3">
        <f>Urban_res_calculation!M71</f>
        <v>0</v>
      </c>
      <c r="N9" s="3">
        <f>Urban_res_calculation!N71</f>
        <v>0</v>
      </c>
      <c r="O9" s="3">
        <f>Urban_res_calculation!O71</f>
        <v>0</v>
      </c>
      <c r="P9" s="3">
        <f>Urban_res_calculation!P71</f>
        <v>0</v>
      </c>
      <c r="Q9" s="3">
        <f>Urban_res_calculation!Q71</f>
        <v>0</v>
      </c>
      <c r="R9" s="3">
        <f>Urban_res_calculation!R71</f>
        <v>0</v>
      </c>
      <c r="S9" s="3">
        <f>Urban_res_calculation!S71</f>
        <v>0</v>
      </c>
      <c r="T9" s="3">
        <f>Urban_res_calculation!T71</f>
        <v>0</v>
      </c>
      <c r="U9" s="3">
        <f>Urban_res_calculation!U71</f>
        <v>0</v>
      </c>
      <c r="V9" s="3">
        <f>Urban_res_calculation!V71</f>
        <v>0</v>
      </c>
      <c r="W9" s="3">
        <f>Urban_res_calculation!W71</f>
        <v>0</v>
      </c>
      <c r="X9" s="3">
        <f>Urban_res_calculation!X71</f>
        <v>0</v>
      </c>
      <c r="Y9" s="3">
        <f>Urban_res_calculation!Y71</f>
        <v>0</v>
      </c>
      <c r="Z9" s="3">
        <f>Urban_res_calculation!Z71</f>
        <v>0</v>
      </c>
      <c r="AA9" s="3">
        <f>Urban_res_calculation!AA71</f>
        <v>0</v>
      </c>
      <c r="AB9" s="3">
        <f>Urban_res_calculation!AB71</f>
        <v>0</v>
      </c>
      <c r="AC9" s="3">
        <f>Urban_res_calculation!AC71</f>
        <v>0</v>
      </c>
      <c r="AD9" s="3">
        <f>Urban_res_calculation!AD71</f>
        <v>0</v>
      </c>
      <c r="AE9" s="3">
        <f>Urban_res_calculation!AE71</f>
        <v>0</v>
      </c>
      <c r="AF9" s="3">
        <f>Urban_res_calculation!AF71</f>
        <v>0</v>
      </c>
      <c r="AG9" s="3">
        <f>Urban_res_calculation!AG71</f>
        <v>0</v>
      </c>
    </row>
    <row r="10" spans="1:35" x14ac:dyDescent="0.3">
      <c r="A10" s="1" t="s">
        <v>15</v>
      </c>
      <c r="B10" s="3">
        <f>Urban_res_calculation!B72</f>
        <v>0</v>
      </c>
      <c r="C10" s="3">
        <f>Urban_res_calculation!C72</f>
        <v>0</v>
      </c>
      <c r="D10" s="3">
        <f>Urban_res_calculation!D72</f>
        <v>0</v>
      </c>
      <c r="E10" s="3">
        <f>Urban_res_calculation!E72</f>
        <v>0</v>
      </c>
      <c r="F10" s="3">
        <f>Urban_res_calculation!F72</f>
        <v>0</v>
      </c>
      <c r="G10" s="3">
        <f>Urban_res_calculation!G72</f>
        <v>0</v>
      </c>
      <c r="H10" s="3">
        <f>Urban_res_calculation!H72</f>
        <v>0</v>
      </c>
      <c r="I10" s="3">
        <f>Urban_res_calculation!I72</f>
        <v>0</v>
      </c>
      <c r="J10" s="3">
        <f>Urban_res_calculation!J72</f>
        <v>0</v>
      </c>
      <c r="K10" s="3">
        <f>Urban_res_calculation!K72</f>
        <v>0</v>
      </c>
      <c r="L10" s="3">
        <f>Urban_res_calculation!L72</f>
        <v>0</v>
      </c>
      <c r="M10" s="3">
        <f>Urban_res_calculation!M72</f>
        <v>0</v>
      </c>
      <c r="N10" s="3">
        <f>Urban_res_calculation!N72</f>
        <v>0</v>
      </c>
      <c r="O10" s="3">
        <f>Urban_res_calculation!O72</f>
        <v>0</v>
      </c>
      <c r="P10" s="3">
        <f>Urban_res_calculation!P72</f>
        <v>0</v>
      </c>
      <c r="Q10" s="3">
        <f>Urban_res_calculation!Q72</f>
        <v>0</v>
      </c>
      <c r="R10" s="3">
        <f>Urban_res_calculation!R72</f>
        <v>0</v>
      </c>
      <c r="S10" s="3">
        <f>Urban_res_calculation!S72</f>
        <v>0</v>
      </c>
      <c r="T10" s="3">
        <f>Urban_res_calculation!T72</f>
        <v>0</v>
      </c>
      <c r="U10" s="3">
        <f>Urban_res_calculation!U72</f>
        <v>0</v>
      </c>
      <c r="V10" s="3">
        <f>Urban_res_calculation!V72</f>
        <v>0</v>
      </c>
      <c r="W10" s="3">
        <f>Urban_res_calculation!W72</f>
        <v>0</v>
      </c>
      <c r="X10" s="3">
        <f>Urban_res_calculation!X72</f>
        <v>0</v>
      </c>
      <c r="Y10" s="3">
        <f>Urban_res_calculation!Y72</f>
        <v>0</v>
      </c>
      <c r="Z10" s="3">
        <f>Urban_res_calculation!Z72</f>
        <v>0</v>
      </c>
      <c r="AA10" s="3">
        <f>Urban_res_calculation!AA72</f>
        <v>0</v>
      </c>
      <c r="AB10" s="3">
        <f>Urban_res_calculation!AB72</f>
        <v>0</v>
      </c>
      <c r="AC10" s="3">
        <f>Urban_res_calculation!AC72</f>
        <v>0</v>
      </c>
      <c r="AD10" s="3">
        <f>Urban_res_calculation!AD72</f>
        <v>0</v>
      </c>
      <c r="AE10" s="3">
        <f>Urban_res_calculation!AE72</f>
        <v>0</v>
      </c>
      <c r="AF10" s="3">
        <f>Urban_res_calculation!AF72</f>
        <v>0</v>
      </c>
      <c r="AG10" s="3">
        <f>Urban_res_calculation!AG72</f>
        <v>0</v>
      </c>
    </row>
    <row r="11" spans="1:35" x14ac:dyDescent="0.3">
      <c r="A11" s="1" t="s">
        <v>16</v>
      </c>
      <c r="B11" s="3">
        <f>Urban_res_calculation!B73</f>
        <v>0</v>
      </c>
      <c r="C11" s="3">
        <f>Urban_res_calculation!C73</f>
        <v>0</v>
      </c>
      <c r="D11" s="3">
        <f>Urban_res_calculation!D73</f>
        <v>0</v>
      </c>
      <c r="E11" s="3">
        <f>Urban_res_calculation!E73</f>
        <v>0</v>
      </c>
      <c r="F11" s="3">
        <f>Urban_res_calculation!F73</f>
        <v>0</v>
      </c>
      <c r="G11" s="3">
        <f>Urban_res_calculation!G73</f>
        <v>0</v>
      </c>
      <c r="H11" s="3">
        <f>Urban_res_calculation!H73</f>
        <v>0</v>
      </c>
      <c r="I11" s="3">
        <f>Urban_res_calculation!I73</f>
        <v>0</v>
      </c>
      <c r="J11" s="3">
        <f>Urban_res_calculation!J73</f>
        <v>0</v>
      </c>
      <c r="K11" s="3">
        <f>Urban_res_calculation!K73</f>
        <v>0</v>
      </c>
      <c r="L11" s="3">
        <f>Urban_res_calculation!L73</f>
        <v>0</v>
      </c>
      <c r="M11" s="3">
        <f>Urban_res_calculation!M73</f>
        <v>0</v>
      </c>
      <c r="N11" s="3">
        <f>Urban_res_calculation!N73</f>
        <v>0</v>
      </c>
      <c r="O11" s="3">
        <f>Urban_res_calculation!O73</f>
        <v>0</v>
      </c>
      <c r="P11" s="3">
        <f>Urban_res_calculation!P73</f>
        <v>0</v>
      </c>
      <c r="Q11" s="3">
        <f>Urban_res_calculation!Q73</f>
        <v>0</v>
      </c>
      <c r="R11" s="3">
        <f>Urban_res_calculation!R73</f>
        <v>0</v>
      </c>
      <c r="S11" s="3">
        <f>Urban_res_calculation!S73</f>
        <v>0</v>
      </c>
      <c r="T11" s="3">
        <f>Urban_res_calculation!T73</f>
        <v>0</v>
      </c>
      <c r="U11" s="3">
        <f>Urban_res_calculation!U73</f>
        <v>0</v>
      </c>
      <c r="V11" s="3">
        <f>Urban_res_calculation!V73</f>
        <v>0</v>
      </c>
      <c r="W11" s="3">
        <f>Urban_res_calculation!W73</f>
        <v>0</v>
      </c>
      <c r="X11" s="3">
        <f>Urban_res_calculation!X73</f>
        <v>0</v>
      </c>
      <c r="Y11" s="3">
        <f>Urban_res_calculation!Y73</f>
        <v>0</v>
      </c>
      <c r="Z11" s="3">
        <f>Urban_res_calculation!Z73</f>
        <v>0</v>
      </c>
      <c r="AA11" s="3">
        <f>Urban_res_calculation!AA73</f>
        <v>0</v>
      </c>
      <c r="AB11" s="3">
        <f>Urban_res_calculation!AB73</f>
        <v>0</v>
      </c>
      <c r="AC11" s="3">
        <f>Urban_res_calculation!AC73</f>
        <v>0</v>
      </c>
      <c r="AD11" s="3">
        <f>Urban_res_calculation!AD73</f>
        <v>0</v>
      </c>
      <c r="AE11" s="3">
        <f>Urban_res_calculation!AE73</f>
        <v>0</v>
      </c>
      <c r="AF11" s="3">
        <f>Urban_res_calculation!AF73</f>
        <v>0</v>
      </c>
      <c r="AG11" s="3">
        <f>Urban_res_calculation!AG73</f>
        <v>0</v>
      </c>
    </row>
  </sheetData>
  <phoneticPr fontId="10" type="noConversion"/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I11"/>
  <sheetViews>
    <sheetView zoomScale="80" zoomScaleNormal="80" workbookViewId="0">
      <selection activeCell="B2" sqref="B2"/>
    </sheetView>
  </sheetViews>
  <sheetFormatPr defaultRowHeight="16.5" x14ac:dyDescent="0.3"/>
  <cols>
    <col min="1" max="1" width="29.875" customWidth="1"/>
    <col min="2" max="33" width="10.25" customWidth="1"/>
  </cols>
  <sheetData>
    <row r="1" spans="1:35" x14ac:dyDescent="0.3">
      <c r="A1" s="1" t="s">
        <v>1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3">
      <c r="A2" s="1" t="s">
        <v>2</v>
      </c>
      <c r="B2" s="3">
        <f>Rural_res_calculation!B4</f>
        <v>1440000000000</v>
      </c>
      <c r="C2" s="3">
        <f>Rural_res_calculation!C4</f>
        <v>1442837086916.5298</v>
      </c>
      <c r="D2" s="3">
        <f>Rural_res_calculation!D4</f>
        <v>1597543492064.7578</v>
      </c>
      <c r="E2" s="3">
        <f>Rural_res_calculation!E4</f>
        <v>1607128753017.1465</v>
      </c>
      <c r="F2" s="3">
        <f>Rural_res_calculation!F4</f>
        <v>1616771525535.2493</v>
      </c>
      <c r="G2" s="3">
        <f>Rural_res_calculation!G4</f>
        <v>1626472154688.4607</v>
      </c>
      <c r="H2" s="3">
        <f>Rural_res_calculation!H4</f>
        <v>1636230987616.5916</v>
      </c>
      <c r="I2" s="3">
        <f>Rural_res_calculation!I4</f>
        <v>1646048373542.291</v>
      </c>
      <c r="J2" s="3">
        <f>Rural_res_calculation!J4</f>
        <v>1655924663783.5447</v>
      </c>
      <c r="K2" s="3">
        <f>Rural_res_calculation!K4</f>
        <v>1665860211766.2458</v>
      </c>
      <c r="L2" s="3">
        <f>Rural_res_calculation!L4</f>
        <v>1675855373036.8433</v>
      </c>
      <c r="M2" s="3">
        <f>Rural_res_calculation!M4</f>
        <v>1685910505275.0642</v>
      </c>
      <c r="N2" s="3">
        <f>Rural_res_calculation!N4</f>
        <v>1696025968306.7146</v>
      </c>
      <c r="O2" s="3">
        <f>Rural_res_calculation!O4</f>
        <v>1706202124116.5549</v>
      </c>
      <c r="P2" s="3">
        <f>Rural_res_calculation!P4</f>
        <v>1716439336861.2542</v>
      </c>
      <c r="Q2" s="3">
        <f>Rural_res_calculation!Q4</f>
        <v>1726737972882.4216</v>
      </c>
      <c r="R2" s="3">
        <f>Rural_res_calculation!R4</f>
        <v>1737098400719.7161</v>
      </c>
      <c r="S2" s="3">
        <f>Rural_res_calculation!S4</f>
        <v>1747520991124.0344</v>
      </c>
      <c r="T2" s="3">
        <f>Rural_res_calculation!T4</f>
        <v>1758006117070.7786</v>
      </c>
      <c r="U2" s="3">
        <f>Rural_res_calculation!U4</f>
        <v>1768554153773.2031</v>
      </c>
      <c r="V2" s="3">
        <f>Rural_res_calculation!V4</f>
        <v>1779165478695.8423</v>
      </c>
      <c r="W2" s="3">
        <f>Rural_res_calculation!W4</f>
        <v>1789840471568.0173</v>
      </c>
      <c r="X2" s="3">
        <f>Rural_res_calculation!X4</f>
        <v>1800579514397.4255</v>
      </c>
      <c r="Y2" s="3">
        <f>Rural_res_calculation!Y4</f>
        <v>1811382991483.8101</v>
      </c>
      <c r="Z2" s="3">
        <f>Rural_res_calculation!Z4</f>
        <v>1822251289432.7129</v>
      </c>
      <c r="AA2" s="3">
        <f>Rural_res_calculation!AA4</f>
        <v>1833184797169.3091</v>
      </c>
      <c r="AB2" s="3">
        <f>Rural_res_calculation!AB4</f>
        <v>1844183905952.325</v>
      </c>
      <c r="AC2" s="3">
        <f>Rural_res_calculation!AC4</f>
        <v>1855249009388.0388</v>
      </c>
      <c r="AD2" s="3">
        <f>Rural_res_calculation!AD4</f>
        <v>1866380503444.3669</v>
      </c>
      <c r="AE2" s="3">
        <f>Rural_res_calculation!AE4</f>
        <v>1877578786465.0332</v>
      </c>
      <c r="AF2" s="3">
        <f>Rural_res_calculation!AF4</f>
        <v>1888844259183.8235</v>
      </c>
      <c r="AG2" s="3">
        <f>Rural_res_calculation!AG4</f>
        <v>1900177324738.9265</v>
      </c>
    </row>
    <row r="3" spans="1:35" x14ac:dyDescent="0.3">
      <c r="A3" s="1" t="s">
        <v>3</v>
      </c>
      <c r="B3" s="3">
        <f>Rural_res_calculation!B5</f>
        <v>963000000000</v>
      </c>
      <c r="C3" s="3">
        <f>Rural_res_calculation!C5</f>
        <v>937156089599.99976</v>
      </c>
      <c r="D3" s="3">
        <f>Rural_res_calculation!D5</f>
        <v>644294811599.99976</v>
      </c>
      <c r="E3" s="3">
        <f>Rural_res_calculation!E5</f>
        <v>563113665338.39978</v>
      </c>
      <c r="F3" s="3">
        <f>Rural_res_calculation!F5</f>
        <v>492161343505.76141</v>
      </c>
      <c r="G3" s="3">
        <f>Rural_res_calculation!G5</f>
        <v>430149014224.03546</v>
      </c>
      <c r="H3" s="3">
        <f>Rural_res_calculation!H5</f>
        <v>375950238431.80701</v>
      </c>
      <c r="I3" s="3">
        <f>Rural_res_calculation!I5</f>
        <v>328580508389.39935</v>
      </c>
      <c r="J3" s="3">
        <f>Rural_res_calculation!J5</f>
        <v>287179364332.33502</v>
      </c>
      <c r="K3" s="3">
        <f>Rural_res_calculation!K5</f>
        <v>250994764426.46082</v>
      </c>
      <c r="L3" s="3">
        <f>Rural_res_calculation!L5</f>
        <v>219369424108.72675</v>
      </c>
      <c r="M3" s="3">
        <f>Rural_res_calculation!M5</f>
        <v>191728876671.02716</v>
      </c>
      <c r="N3" s="3">
        <f>Rural_res_calculation!N5</f>
        <v>167571038210.47775</v>
      </c>
      <c r="O3" s="3">
        <f>Rural_res_calculation!O5</f>
        <v>146457087395.95755</v>
      </c>
      <c r="P3" s="3">
        <f>Rural_res_calculation!P5</f>
        <v>128003494384.06689</v>
      </c>
      <c r="Q3" s="3">
        <f>Rural_res_calculation!Q5</f>
        <v>111875054091.67447</v>
      </c>
      <c r="R3" s="3">
        <f>Rural_res_calculation!R5</f>
        <v>97778797276.123489</v>
      </c>
      <c r="S3" s="3">
        <f>Rural_res_calculation!S5</f>
        <v>85458668819.331924</v>
      </c>
      <c r="T3" s="3">
        <f>Rural_res_calculation!T5</f>
        <v>74690876548.0961</v>
      </c>
      <c r="U3" s="3">
        <f>Rural_res_calculation!U5</f>
        <v>65279826103.035988</v>
      </c>
      <c r="V3" s="3">
        <f>Rural_res_calculation!V5</f>
        <v>57054568014.053452</v>
      </c>
      <c r="W3" s="3">
        <f>Rural_res_calculation!W5</f>
        <v>49865692444.282715</v>
      </c>
      <c r="X3" s="3">
        <f>Rural_res_calculation!X5</f>
        <v>43582615196.303093</v>
      </c>
      <c r="Y3" s="3">
        <f>Rural_res_calculation!Y5</f>
        <v>38091205681.568901</v>
      </c>
      <c r="Z3" s="3">
        <f>Rural_res_calculation!Z5</f>
        <v>33291713765.691219</v>
      </c>
      <c r="AA3" s="3">
        <f>Rural_res_calculation!AA5</f>
        <v>29096957831.214127</v>
      </c>
      <c r="AB3" s="3">
        <f>Rural_res_calculation!AB5</f>
        <v>25430741144.481148</v>
      </c>
      <c r="AC3" s="3">
        <f>Rural_res_calculation!AC5</f>
        <v>22226467760.276524</v>
      </c>
      <c r="AD3" s="3">
        <f>Rural_res_calculation!AD5</f>
        <v>19425932822.481682</v>
      </c>
      <c r="AE3" s="3">
        <f>Rural_res_calculation!AE5</f>
        <v>16978265286.848989</v>
      </c>
      <c r="AF3" s="3">
        <f>Rural_res_calculation!AF5</f>
        <v>14839003860.706017</v>
      </c>
      <c r="AG3" s="3">
        <f>Rural_res_calculation!AG5</f>
        <v>12969289374.257059</v>
      </c>
    </row>
    <row r="4" spans="1:35" x14ac:dyDescent="0.3">
      <c r="A4" s="1" t="s">
        <v>4</v>
      </c>
      <c r="B4" s="3">
        <f>Rural_res_calculation!B6</f>
        <v>28800000000000</v>
      </c>
      <c r="C4" s="3">
        <f>Rural_res_calculation!C6</f>
        <v>27798755482024.996</v>
      </c>
      <c r="D4" s="3">
        <f>Rural_res_calculation!D6</f>
        <v>29179907626143.063</v>
      </c>
      <c r="E4" s="3">
        <f>Rural_res_calculation!E6</f>
        <v>28946468365133.918</v>
      </c>
      <c r="F4" s="3">
        <f>Rural_res_calculation!F6</f>
        <v>28714896618212.848</v>
      </c>
      <c r="G4" s="3">
        <f>Rural_res_calculation!G6</f>
        <v>28485177445267.145</v>
      </c>
      <c r="H4" s="3">
        <f>Rural_res_calculation!H6</f>
        <v>28257296025705.008</v>
      </c>
      <c r="I4" s="3">
        <f>Rural_res_calculation!I6</f>
        <v>28031237657499.367</v>
      </c>
      <c r="J4" s="3">
        <f>Rural_res_calculation!J6</f>
        <v>27806987756239.371</v>
      </c>
      <c r="K4" s="3">
        <f>Rural_res_calculation!K6</f>
        <v>27584531854189.457</v>
      </c>
      <c r="L4" s="3">
        <f>Rural_res_calculation!L6</f>
        <v>27363855599355.941</v>
      </c>
      <c r="M4" s="3">
        <f>Rural_res_calculation!M6</f>
        <v>27144944754561.094</v>
      </c>
      <c r="N4" s="3">
        <f>Rural_res_calculation!N6</f>
        <v>26927785196524.605</v>
      </c>
      <c r="O4" s="3">
        <f>Rural_res_calculation!O6</f>
        <v>26712362914952.41</v>
      </c>
      <c r="P4" s="3">
        <f>Rural_res_calculation!P6</f>
        <v>26498664011632.789</v>
      </c>
      <c r="Q4" s="3">
        <f>Rural_res_calculation!Q6</f>
        <v>26286674699539.727</v>
      </c>
      <c r="R4" s="3">
        <f>Rural_res_calculation!R6</f>
        <v>26076381301943.41</v>
      </c>
      <c r="S4" s="3">
        <f>Rural_res_calculation!S6</f>
        <v>25867770251527.863</v>
      </c>
      <c r="T4" s="3">
        <f>Rural_res_calculation!T6</f>
        <v>25660828089515.641</v>
      </c>
      <c r="U4" s="3">
        <f>Rural_res_calculation!U6</f>
        <v>25455541464799.516</v>
      </c>
      <c r="V4" s="3">
        <f>Rural_res_calculation!V6</f>
        <v>25251897133081.121</v>
      </c>
      <c r="W4" s="3">
        <f>Rural_res_calculation!W6</f>
        <v>25049881956016.473</v>
      </c>
      <c r="X4" s="3">
        <f>Rural_res_calculation!X6</f>
        <v>24849482900368.34</v>
      </c>
      <c r="Y4" s="3">
        <f>Rural_res_calculation!Y6</f>
        <v>24650687037165.395</v>
      </c>
      <c r="Z4" s="3">
        <f>Rural_res_calculation!Z6</f>
        <v>24453481540868.07</v>
      </c>
      <c r="AA4" s="3">
        <f>Rural_res_calculation!AA6</f>
        <v>24257853688541.125</v>
      </c>
      <c r="AB4" s="3">
        <f>Rural_res_calculation!AB6</f>
        <v>24063790859032.797</v>
      </c>
      <c r="AC4" s="3">
        <f>Rural_res_calculation!AC6</f>
        <v>23871280532160.535</v>
      </c>
      <c r="AD4" s="3">
        <f>Rural_res_calculation!AD6</f>
        <v>23680310287903.25</v>
      </c>
      <c r="AE4" s="3">
        <f>Rural_res_calculation!AE6</f>
        <v>23490867805600.023</v>
      </c>
      <c r="AF4" s="3">
        <f>Rural_res_calculation!AF6</f>
        <v>23302940863155.223</v>
      </c>
      <c r="AG4" s="3">
        <f>Rural_res_calculation!AG6</f>
        <v>23116517336249.98</v>
      </c>
    </row>
    <row r="5" spans="1:35" x14ac:dyDescent="0.3">
      <c r="A5" s="1" t="s">
        <v>5</v>
      </c>
      <c r="B5" s="3">
        <f>Rural_res_calculation!B7</f>
        <v>0</v>
      </c>
      <c r="C5" s="3">
        <f>Rural_res_calculation!C7</f>
        <v>0</v>
      </c>
      <c r="D5" s="3">
        <f>Rural_res_calculation!D7</f>
        <v>0</v>
      </c>
      <c r="E5" s="3">
        <f>Rural_res_calculation!E7</f>
        <v>0</v>
      </c>
      <c r="F5" s="3">
        <f>Rural_res_calculation!F7</f>
        <v>0</v>
      </c>
      <c r="G5" s="3">
        <f>Rural_res_calculation!G7</f>
        <v>0</v>
      </c>
      <c r="H5" s="3">
        <f>Rural_res_calculation!H7</f>
        <v>0</v>
      </c>
      <c r="I5" s="3">
        <f>Rural_res_calculation!I7</f>
        <v>0</v>
      </c>
      <c r="J5" s="3">
        <f>Rural_res_calculation!J7</f>
        <v>0</v>
      </c>
      <c r="K5" s="3">
        <f>Rural_res_calculation!K7</f>
        <v>0</v>
      </c>
      <c r="L5" s="3">
        <f>Rural_res_calculation!L7</f>
        <v>0</v>
      </c>
      <c r="M5" s="3">
        <f>Rural_res_calculation!M7</f>
        <v>0</v>
      </c>
      <c r="N5" s="3">
        <f>Rural_res_calculation!N7</f>
        <v>0</v>
      </c>
      <c r="O5" s="3">
        <f>Rural_res_calculation!O7</f>
        <v>0</v>
      </c>
      <c r="P5" s="3">
        <f>Rural_res_calculation!P7</f>
        <v>0</v>
      </c>
      <c r="Q5" s="3">
        <f>Rural_res_calculation!Q7</f>
        <v>0</v>
      </c>
      <c r="R5" s="3">
        <f>Rural_res_calculation!R7</f>
        <v>0</v>
      </c>
      <c r="S5" s="3">
        <f>Rural_res_calculation!S7</f>
        <v>0</v>
      </c>
      <c r="T5" s="3">
        <f>Rural_res_calculation!T7</f>
        <v>0</v>
      </c>
      <c r="U5" s="3">
        <f>Rural_res_calculation!U7</f>
        <v>0</v>
      </c>
      <c r="V5" s="3">
        <f>Rural_res_calculation!V7</f>
        <v>0</v>
      </c>
      <c r="W5" s="3">
        <f>Rural_res_calculation!W7</f>
        <v>0</v>
      </c>
      <c r="X5" s="3">
        <f>Rural_res_calculation!X7</f>
        <v>0</v>
      </c>
      <c r="Y5" s="3">
        <f>Rural_res_calculation!Y7</f>
        <v>0</v>
      </c>
      <c r="Z5" s="3">
        <f>Rural_res_calculation!Z7</f>
        <v>0</v>
      </c>
      <c r="AA5" s="3">
        <f>Rural_res_calculation!AA7</f>
        <v>0</v>
      </c>
      <c r="AB5" s="3">
        <f>Rural_res_calculation!AB7</f>
        <v>0</v>
      </c>
      <c r="AC5" s="3">
        <f>Rural_res_calculation!AC7</f>
        <v>0</v>
      </c>
      <c r="AD5" s="3">
        <f>Rural_res_calculation!AD7</f>
        <v>0</v>
      </c>
      <c r="AE5" s="3">
        <f>Rural_res_calculation!AE7</f>
        <v>0</v>
      </c>
      <c r="AF5" s="3">
        <f>Rural_res_calculation!AF7</f>
        <v>0</v>
      </c>
      <c r="AG5" s="3">
        <f>Rural_res_calculation!AG7</f>
        <v>0</v>
      </c>
    </row>
    <row r="6" spans="1:35" x14ac:dyDescent="0.3">
      <c r="A6" s="1" t="s">
        <v>7</v>
      </c>
      <c r="B6" s="3">
        <f>Rural_res_calculation!B8</f>
        <v>7410000000000</v>
      </c>
      <c r="C6" s="3">
        <f>Rural_res_calculation!C8</f>
        <v>7129545112199.998</v>
      </c>
      <c r="D6" s="3">
        <f>Rural_res_calculation!D8</f>
        <v>7825183796711.4473</v>
      </c>
      <c r="E6" s="3">
        <f>Rural_res_calculation!E8</f>
        <v>7817358612914.7354</v>
      </c>
      <c r="F6" s="3">
        <f>Rural_res_calculation!F8</f>
        <v>7809541254301.8203</v>
      </c>
      <c r="G6" s="3">
        <f>Rural_res_calculation!G8</f>
        <v>7801731713047.5186</v>
      </c>
      <c r="H6" s="3">
        <f>Rural_res_calculation!H8</f>
        <v>7793929981334.4707</v>
      </c>
      <c r="I6" s="3">
        <f>Rural_res_calculation!I8</f>
        <v>7786136051353.1357</v>
      </c>
      <c r="J6" s="3">
        <f>Rural_res_calculation!J8</f>
        <v>7778349915301.7822</v>
      </c>
      <c r="K6" s="3">
        <f>Rural_res_calculation!K8</f>
        <v>7770571565386.4805</v>
      </c>
      <c r="L6" s="3">
        <f>Rural_res_calculation!L8</f>
        <v>7762800993821.0938</v>
      </c>
      <c r="M6" s="3">
        <f>Rural_res_calculation!M8</f>
        <v>7755038192827.2725</v>
      </c>
      <c r="N6" s="3">
        <f>Rural_res_calculation!N8</f>
        <v>7747283154634.4453</v>
      </c>
      <c r="O6" s="3">
        <f>Rural_res_calculation!O8</f>
        <v>7739535871479.8105</v>
      </c>
      <c r="P6" s="3">
        <f>Rural_res_calculation!P8</f>
        <v>7731796335608.3311</v>
      </c>
      <c r="Q6" s="3">
        <f>Rural_res_calculation!Q8</f>
        <v>7724064539272.7227</v>
      </c>
      <c r="R6" s="3">
        <f>Rural_res_calculation!R8</f>
        <v>7716340474733.4502</v>
      </c>
      <c r="S6" s="3">
        <f>Rural_res_calculation!S8</f>
        <v>7708624134258.7168</v>
      </c>
      <c r="T6" s="3">
        <f>Rural_res_calculation!T8</f>
        <v>7700915510124.458</v>
      </c>
      <c r="U6" s="3">
        <f>Rural_res_calculation!U8</f>
        <v>7693214594614.334</v>
      </c>
      <c r="V6" s="3">
        <f>Rural_res_calculation!V8</f>
        <v>7685521380019.7197</v>
      </c>
      <c r="W6" s="3">
        <f>Rural_res_calculation!W8</f>
        <v>7677835858639.7002</v>
      </c>
      <c r="X6" s="3">
        <f>Rural_res_calculation!X8</f>
        <v>7670158022781.0605</v>
      </c>
      <c r="Y6" s="3">
        <f>Rural_res_calculation!Y8</f>
        <v>7662487864758.2793</v>
      </c>
      <c r="Z6" s="3">
        <f>Rural_res_calculation!Z8</f>
        <v>7654825376893.5215</v>
      </c>
      <c r="AA6" s="3">
        <f>Rural_res_calculation!AA8</f>
        <v>7647170551516.6279</v>
      </c>
      <c r="AB6" s="3">
        <f>Rural_res_calculation!AB8</f>
        <v>7639523380965.1113</v>
      </c>
      <c r="AC6" s="3">
        <f>Rural_res_calculation!AC8</f>
        <v>7631883857584.1465</v>
      </c>
      <c r="AD6" s="3">
        <f>Rural_res_calculation!AD8</f>
        <v>7624251973726.5625</v>
      </c>
      <c r="AE6" s="3">
        <f>Rural_res_calculation!AE8</f>
        <v>7616627721752.8359</v>
      </c>
      <c r="AF6" s="3">
        <f>Rural_res_calculation!AF8</f>
        <v>7609011094031.083</v>
      </c>
      <c r="AG6" s="3">
        <f>Rural_res_calculation!AG8</f>
        <v>7601402082937.0518</v>
      </c>
    </row>
    <row r="7" spans="1:35" x14ac:dyDescent="0.3">
      <c r="A7" s="1" t="s">
        <v>11</v>
      </c>
      <c r="B7" s="3">
        <f>Rural_res_calculation!B9</f>
        <v>1450000000000</v>
      </c>
      <c r="C7" s="3">
        <f>Rural_res_calculation!C9</f>
        <v>1493592517799.9993</v>
      </c>
      <c r="D7" s="3">
        <f>Rural_res_calculation!D9</f>
        <v>2182311697173.9124</v>
      </c>
      <c r="E7" s="3">
        <f>Rural_res_calculation!E9</f>
        <v>2195405567356.9558</v>
      </c>
      <c r="F7" s="3">
        <f>Rural_res_calculation!F9</f>
        <v>2208578000761.0977</v>
      </c>
      <c r="G7" s="3">
        <f>Rural_res_calculation!G9</f>
        <v>2221829468765.6641</v>
      </c>
      <c r="H7" s="3">
        <f>Rural_res_calculation!H9</f>
        <v>2235160445578.2583</v>
      </c>
      <c r="I7" s="3">
        <f>Rural_res_calculation!I9</f>
        <v>2248571408251.728</v>
      </c>
      <c r="J7" s="3">
        <f>Rural_res_calculation!J9</f>
        <v>2262062836701.2383</v>
      </c>
      <c r="K7" s="3">
        <f>Rural_res_calculation!K9</f>
        <v>2275635213721.4458</v>
      </c>
      <c r="L7" s="3">
        <f>Rural_res_calculation!L9</f>
        <v>2289289025003.7744</v>
      </c>
      <c r="M7" s="3">
        <f>Rural_res_calculation!M9</f>
        <v>2303024759153.7969</v>
      </c>
      <c r="N7" s="3">
        <f>Rural_res_calculation!N9</f>
        <v>2316842907708.7197</v>
      </c>
      <c r="O7" s="3">
        <f>Rural_res_calculation!O9</f>
        <v>2330743965154.9722</v>
      </c>
      <c r="P7" s="3">
        <f>Rural_res_calculation!P9</f>
        <v>2344728428945.9019</v>
      </c>
      <c r="Q7" s="3">
        <f>Rural_res_calculation!Q9</f>
        <v>2358796799519.5771</v>
      </c>
      <c r="R7" s="3">
        <f>Rural_res_calculation!R9</f>
        <v>2372949580316.6948</v>
      </c>
      <c r="S7" s="3">
        <f>Rural_res_calculation!S9</f>
        <v>2387187277798.5952</v>
      </c>
      <c r="T7" s="3">
        <f>Rural_res_calculation!T9</f>
        <v>2401510401465.3867</v>
      </c>
      <c r="U7" s="3">
        <f>Rural_res_calculation!U9</f>
        <v>2415919463874.1792</v>
      </c>
      <c r="V7" s="3">
        <f>Rural_res_calculation!V9</f>
        <v>2430414980657.4243</v>
      </c>
      <c r="W7" s="3">
        <f>Rural_res_calculation!W9</f>
        <v>2444997470541.3687</v>
      </c>
      <c r="X7" s="3">
        <f>Rural_res_calculation!X9</f>
        <v>2459667455364.6167</v>
      </c>
      <c r="Y7" s="3">
        <f>Rural_res_calculation!Y9</f>
        <v>2474425460096.8042</v>
      </c>
      <c r="Z7" s="3">
        <f>Rural_res_calculation!Z9</f>
        <v>2489272012857.3853</v>
      </c>
      <c r="AA7" s="3">
        <f>Rural_res_calculation!AA9</f>
        <v>2504207644934.5298</v>
      </c>
      <c r="AB7" s="3">
        <f>Rural_res_calculation!AB9</f>
        <v>2519232890804.1372</v>
      </c>
      <c r="AC7" s="3">
        <f>Rural_res_calculation!AC9</f>
        <v>2534348288148.9619</v>
      </c>
      <c r="AD7" s="3">
        <f>Rural_res_calculation!AD9</f>
        <v>2549554377877.8555</v>
      </c>
      <c r="AE7" s="3">
        <f>Rural_res_calculation!AE9</f>
        <v>2564851704145.1226</v>
      </c>
      <c r="AF7" s="3">
        <f>Rural_res_calculation!AF9</f>
        <v>2580240814369.9932</v>
      </c>
      <c r="AG7" s="3">
        <f>Rural_res_calculation!AG9</f>
        <v>2595722259256.2134</v>
      </c>
    </row>
    <row r="8" spans="1:35" x14ac:dyDescent="0.3">
      <c r="A8" s="1" t="s">
        <v>13</v>
      </c>
      <c r="B8" s="3">
        <f>Rural_res_calculation!B10</f>
        <v>0</v>
      </c>
      <c r="C8" s="3">
        <f>Rural_res_calculation!C10</f>
        <v>0</v>
      </c>
      <c r="D8" s="3">
        <f>Rural_res_calculation!D10</f>
        <v>0</v>
      </c>
      <c r="E8" s="3">
        <f>Rural_res_calculation!E10</f>
        <v>0</v>
      </c>
      <c r="F8" s="3">
        <f>Rural_res_calculation!F10</f>
        <v>0</v>
      </c>
      <c r="G8" s="3">
        <f>Rural_res_calculation!G10</f>
        <v>0</v>
      </c>
      <c r="H8" s="3">
        <f>Rural_res_calculation!H10</f>
        <v>0</v>
      </c>
      <c r="I8" s="3">
        <f>Rural_res_calculation!I10</f>
        <v>0</v>
      </c>
      <c r="J8" s="3">
        <f>Rural_res_calculation!J10</f>
        <v>0</v>
      </c>
      <c r="K8" s="3">
        <f>Rural_res_calculation!K10</f>
        <v>0</v>
      </c>
      <c r="L8" s="3">
        <f>Rural_res_calculation!L10</f>
        <v>0</v>
      </c>
      <c r="M8" s="3">
        <f>Rural_res_calculation!M10</f>
        <v>0</v>
      </c>
      <c r="N8" s="3">
        <f>Rural_res_calculation!N10</f>
        <v>0</v>
      </c>
      <c r="O8" s="3">
        <f>Rural_res_calculation!O10</f>
        <v>0</v>
      </c>
      <c r="P8" s="3">
        <f>Rural_res_calculation!P10</f>
        <v>0</v>
      </c>
      <c r="Q8" s="3">
        <f>Rural_res_calculation!Q10</f>
        <v>0</v>
      </c>
      <c r="R8" s="3">
        <f>Rural_res_calculation!R10</f>
        <v>0</v>
      </c>
      <c r="S8" s="3">
        <f>Rural_res_calculation!S10</f>
        <v>0</v>
      </c>
      <c r="T8" s="3">
        <f>Rural_res_calculation!T10</f>
        <v>0</v>
      </c>
      <c r="U8" s="3">
        <f>Rural_res_calculation!U10</f>
        <v>0</v>
      </c>
      <c r="V8" s="3">
        <f>Rural_res_calculation!V10</f>
        <v>0</v>
      </c>
      <c r="W8" s="3">
        <f>Rural_res_calculation!W10</f>
        <v>0</v>
      </c>
      <c r="X8" s="3">
        <f>Rural_res_calculation!X10</f>
        <v>0</v>
      </c>
      <c r="Y8" s="3">
        <f>Rural_res_calculation!Y10</f>
        <v>0</v>
      </c>
      <c r="Z8" s="3">
        <f>Rural_res_calculation!Z10</f>
        <v>0</v>
      </c>
      <c r="AA8" s="3">
        <f>Rural_res_calculation!AA10</f>
        <v>0</v>
      </c>
      <c r="AB8" s="3">
        <f>Rural_res_calculation!AB10</f>
        <v>0</v>
      </c>
      <c r="AC8" s="3">
        <f>Rural_res_calculation!AC10</f>
        <v>0</v>
      </c>
      <c r="AD8" s="3">
        <f>Rural_res_calculation!AD10</f>
        <v>0</v>
      </c>
      <c r="AE8" s="3">
        <f>Rural_res_calculation!AE10</f>
        <v>0</v>
      </c>
      <c r="AF8" s="3">
        <f>Rural_res_calculation!AF10</f>
        <v>0</v>
      </c>
      <c r="AG8" s="3">
        <f>Rural_res_calculation!AG10</f>
        <v>0</v>
      </c>
    </row>
    <row r="9" spans="1:35" x14ac:dyDescent="0.3">
      <c r="A9" s="1" t="s">
        <v>14</v>
      </c>
      <c r="B9" s="3">
        <f>Rural_res_calculation!B11</f>
        <v>7610000000000</v>
      </c>
      <c r="C9" s="3">
        <f>Rural_res_calculation!C11</f>
        <v>7178797435072.9033</v>
      </c>
      <c r="D9" s="3">
        <f>Rural_res_calculation!D11</f>
        <v>7165735632159.6074</v>
      </c>
      <c r="E9" s="3">
        <f>Rural_res_calculation!E11</f>
        <v>6864774735608.9033</v>
      </c>
      <c r="F9" s="3">
        <f>Rural_res_calculation!F11</f>
        <v>6576454196713.3291</v>
      </c>
      <c r="G9" s="3">
        <f>Rural_res_calculation!G11</f>
        <v>6300243120451.3691</v>
      </c>
      <c r="H9" s="3">
        <f>Rural_res_calculation!H11</f>
        <v>6035632909392.4111</v>
      </c>
      <c r="I9" s="3">
        <f>Rural_res_calculation!I11</f>
        <v>5782136327197.9297</v>
      </c>
      <c r="J9" s="3">
        <f>Rural_res_calculation!J11</f>
        <v>5539286601455.6162</v>
      </c>
      <c r="K9" s="3">
        <f>Rural_res_calculation!K11</f>
        <v>5306636564194.4805</v>
      </c>
      <c r="L9" s="3">
        <f>Rural_res_calculation!L11</f>
        <v>5083757828498.3125</v>
      </c>
      <c r="M9" s="3">
        <f>Rural_res_calculation!M11</f>
        <v>4870239999701.3828</v>
      </c>
      <c r="N9" s="3">
        <f>Rural_res_calculation!N11</f>
        <v>4665689919713.9248</v>
      </c>
      <c r="O9" s="3">
        <f>Rural_res_calculation!O11</f>
        <v>4469730943085.9395</v>
      </c>
      <c r="P9" s="3">
        <f>Rural_res_calculation!P11</f>
        <v>4282002243476.3296</v>
      </c>
      <c r="Q9" s="3">
        <f>Rural_res_calculation!Q11</f>
        <v>4102158149250.3237</v>
      </c>
      <c r="R9" s="3">
        <f>Rural_res_calculation!R11</f>
        <v>3929867506981.8101</v>
      </c>
      <c r="S9" s="3">
        <f>Rural_res_calculation!S11</f>
        <v>3764813071688.5737</v>
      </c>
      <c r="T9" s="3">
        <f>Rural_res_calculation!T11</f>
        <v>3606690922677.6533</v>
      </c>
      <c r="U9" s="3">
        <f>Rural_res_calculation!U11</f>
        <v>3455209903925.1919</v>
      </c>
      <c r="V9" s="3">
        <f>Rural_res_calculation!V11</f>
        <v>3310091087960.3335</v>
      </c>
      <c r="W9" s="3">
        <f>Rural_res_calculation!W11</f>
        <v>3171067262265.9995</v>
      </c>
      <c r="X9" s="3">
        <f>Rural_res_calculation!X11</f>
        <v>3037882437250.8276</v>
      </c>
      <c r="Y9" s="3">
        <f>Rural_res_calculation!Y11</f>
        <v>2910291374886.293</v>
      </c>
      <c r="Z9" s="3">
        <f>Rural_res_calculation!Z11</f>
        <v>2788059137141.0684</v>
      </c>
      <c r="AA9" s="3">
        <f>Rural_res_calculation!AA11</f>
        <v>2670960653381.1436</v>
      </c>
      <c r="AB9" s="3">
        <f>Rural_res_calculation!AB11</f>
        <v>2558780305939.1353</v>
      </c>
      <c r="AC9" s="3">
        <f>Rural_res_calculation!AC11</f>
        <v>2451311533089.6914</v>
      </c>
      <c r="AD9" s="3">
        <f>Rural_res_calculation!AD11</f>
        <v>2348356448699.9243</v>
      </c>
      <c r="AE9" s="3">
        <f>Rural_res_calculation!AE11</f>
        <v>2249725477854.5273</v>
      </c>
      <c r="AF9" s="3">
        <f>Rural_res_calculation!AF11</f>
        <v>2155237007784.6372</v>
      </c>
      <c r="AG9" s="3">
        <f>Rural_res_calculation!AG11</f>
        <v>2064717053457.6824</v>
      </c>
    </row>
    <row r="10" spans="1:35" x14ac:dyDescent="0.3">
      <c r="A10" s="1" t="s">
        <v>15</v>
      </c>
      <c r="B10" s="3">
        <f>Rural_res_calculation!B12</f>
        <v>1910000000000</v>
      </c>
      <c r="C10" s="3">
        <f>Rural_res_calculation!C12</f>
        <v>1804469087847.1846</v>
      </c>
      <c r="D10" s="3">
        <f>Rural_res_calculation!D12</f>
        <v>1801185861122.6853</v>
      </c>
      <c r="E10" s="3">
        <f>Rural_res_calculation!E12</f>
        <v>1725536054955.5325</v>
      </c>
      <c r="F10" s="3">
        <f>Rural_res_calculation!F12</f>
        <v>1653063540647.4001</v>
      </c>
      <c r="G10" s="3">
        <f>Rural_res_calculation!G12</f>
        <v>1583634871940.2092</v>
      </c>
      <c r="H10" s="3">
        <f>Rural_res_calculation!H12</f>
        <v>1517122207318.7205</v>
      </c>
      <c r="I10" s="3">
        <f>Rural_res_calculation!I12</f>
        <v>1453403074611.3342</v>
      </c>
      <c r="J10" s="3">
        <f>Rural_res_calculation!J12</f>
        <v>1392360145477.6582</v>
      </c>
      <c r="K10" s="3">
        <f>Rural_res_calculation!K12</f>
        <v>1333881019367.5964</v>
      </c>
      <c r="L10" s="3">
        <f>Rural_res_calculation!L12</f>
        <v>1277858016554.1572</v>
      </c>
      <c r="M10" s="3">
        <f>Rural_res_calculation!M12</f>
        <v>1224187979858.8826</v>
      </c>
      <c r="N10" s="3">
        <f>Rural_res_calculation!N12</f>
        <v>1172772084704.8096</v>
      </c>
      <c r="O10" s="3">
        <f>Rural_res_calculation!O12</f>
        <v>1123515657147.2075</v>
      </c>
      <c r="P10" s="3">
        <f>Rural_res_calculation!P12</f>
        <v>1076327999547.0248</v>
      </c>
      <c r="Q10" s="3">
        <f>Rural_res_calculation!Q12</f>
        <v>1031122223566.0497</v>
      </c>
      <c r="R10" s="3">
        <f>Rural_res_calculation!R12</f>
        <v>987815090176.27551</v>
      </c>
      <c r="S10" s="3">
        <f>Rural_res_calculation!S12</f>
        <v>946326856388.87195</v>
      </c>
      <c r="T10" s="3">
        <f>Rural_res_calculation!T12</f>
        <v>906581128420.53931</v>
      </c>
      <c r="U10" s="3">
        <f>Rural_res_calculation!U12</f>
        <v>868504721026.87659</v>
      </c>
      <c r="V10" s="3">
        <f>Rural_res_calculation!V12</f>
        <v>832027522743.74768</v>
      </c>
      <c r="W10" s="3">
        <f>Rural_res_calculation!W12</f>
        <v>797082366788.51025</v>
      </c>
      <c r="X10" s="3">
        <f>Rural_res_calculation!X12</f>
        <v>763604907383.39282</v>
      </c>
      <c r="Y10" s="3">
        <f>Rural_res_calculation!Y12</f>
        <v>731533501273.29028</v>
      </c>
      <c r="Z10" s="3">
        <f>Rural_res_calculation!Z12</f>
        <v>700809094219.81201</v>
      </c>
      <c r="AA10" s="3">
        <f>Rural_res_calculation!AA12</f>
        <v>671375112262.57983</v>
      </c>
      <c r="AB10" s="3">
        <f>Rural_res_calculation!AB12</f>
        <v>643177357547.55151</v>
      </c>
      <c r="AC10" s="3">
        <f>Rural_res_calculation!AC12</f>
        <v>616163908530.55432</v>
      </c>
      <c r="AD10" s="3">
        <f>Rural_res_calculation!AD12</f>
        <v>590285024372.271</v>
      </c>
      <c r="AE10" s="3">
        <f>Rural_res_calculation!AE12</f>
        <v>565493053348.63562</v>
      </c>
      <c r="AF10" s="3">
        <f>Rural_res_calculation!AF12</f>
        <v>541742345107.99292</v>
      </c>
      <c r="AG10" s="3">
        <f>Rural_res_calculation!AG12</f>
        <v>518989166613.45721</v>
      </c>
    </row>
    <row r="11" spans="1:35" x14ac:dyDescent="0.3">
      <c r="A11" s="1" t="s">
        <v>16</v>
      </c>
      <c r="B11" s="3">
        <f>Rural_res_calculation!B13</f>
        <v>0</v>
      </c>
      <c r="C11" s="3">
        <f>Rural_res_calculation!C13</f>
        <v>0</v>
      </c>
      <c r="D11" s="3">
        <f>Rural_res_calculation!D13</f>
        <v>0</v>
      </c>
      <c r="E11" s="3">
        <f>Rural_res_calculation!E13</f>
        <v>0</v>
      </c>
      <c r="F11" s="3">
        <f>Rural_res_calculation!F13</f>
        <v>0</v>
      </c>
      <c r="G11" s="3">
        <f>Rural_res_calculation!G13</f>
        <v>0</v>
      </c>
      <c r="H11" s="3">
        <f>Rural_res_calculation!H13</f>
        <v>0</v>
      </c>
      <c r="I11" s="3">
        <f>Rural_res_calculation!I13</f>
        <v>0</v>
      </c>
      <c r="J11" s="3">
        <f>Rural_res_calculation!J13</f>
        <v>0</v>
      </c>
      <c r="K11" s="3">
        <f>Rural_res_calculation!K13</f>
        <v>0</v>
      </c>
      <c r="L11" s="3">
        <f>Rural_res_calculation!L13</f>
        <v>0</v>
      </c>
      <c r="M11" s="3">
        <f>Rural_res_calculation!M13</f>
        <v>0</v>
      </c>
      <c r="N11" s="3">
        <f>Rural_res_calculation!N13</f>
        <v>0</v>
      </c>
      <c r="O11" s="3">
        <f>Rural_res_calculation!O13</f>
        <v>0</v>
      </c>
      <c r="P11" s="3">
        <f>Rural_res_calculation!P13</f>
        <v>0</v>
      </c>
      <c r="Q11" s="3">
        <f>Rural_res_calculation!Q13</f>
        <v>0</v>
      </c>
      <c r="R11" s="3">
        <f>Rural_res_calculation!R13</f>
        <v>0</v>
      </c>
      <c r="S11" s="3">
        <f>Rural_res_calculation!S13</f>
        <v>0</v>
      </c>
      <c r="T11" s="3">
        <f>Rural_res_calculation!T13</f>
        <v>0</v>
      </c>
      <c r="U11" s="3">
        <f>Rural_res_calculation!U13</f>
        <v>0</v>
      </c>
      <c r="V11" s="3">
        <f>Rural_res_calculation!V13</f>
        <v>0</v>
      </c>
      <c r="W11" s="3">
        <f>Rural_res_calculation!W13</f>
        <v>0</v>
      </c>
      <c r="X11" s="3">
        <f>Rural_res_calculation!X13</f>
        <v>0</v>
      </c>
      <c r="Y11" s="3">
        <f>Rural_res_calculation!Y13</f>
        <v>0</v>
      </c>
      <c r="Z11" s="3">
        <f>Rural_res_calculation!Z13</f>
        <v>0</v>
      </c>
      <c r="AA11" s="3">
        <f>Rural_res_calculation!AA13</f>
        <v>0</v>
      </c>
      <c r="AB11" s="3">
        <f>Rural_res_calculation!AB13</f>
        <v>0</v>
      </c>
      <c r="AC11" s="3">
        <f>Rural_res_calculation!AC13</f>
        <v>0</v>
      </c>
      <c r="AD11" s="3">
        <f>Rural_res_calculation!AD13</f>
        <v>0</v>
      </c>
      <c r="AE11" s="3">
        <f>Rural_res_calculation!AE13</f>
        <v>0</v>
      </c>
      <c r="AF11" s="3">
        <f>Rural_res_calculation!AF13</f>
        <v>0</v>
      </c>
      <c r="AG11" s="3">
        <f>Rural_res_calculation!AG13</f>
        <v>0</v>
      </c>
    </row>
  </sheetData>
  <phoneticPr fontId="10" type="noConversion"/>
  <pageMargins left="0.7" right="0.7" top="0.75" bottom="0.75" header="0.3" footer="0.3"/>
  <pageSetup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I11"/>
  <sheetViews>
    <sheetView zoomScale="70" zoomScaleNormal="70" workbookViewId="0">
      <selection activeCell="B2" sqref="B2"/>
    </sheetView>
  </sheetViews>
  <sheetFormatPr defaultRowHeight="16.5" x14ac:dyDescent="0.3"/>
  <cols>
    <col min="1" max="1" width="29.875" customWidth="1"/>
    <col min="2" max="33" width="12.25" customWidth="1"/>
  </cols>
  <sheetData>
    <row r="1" spans="1:35" x14ac:dyDescent="0.3">
      <c r="A1" s="1" t="s">
        <v>1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3">
      <c r="A2" s="1" t="s">
        <v>2</v>
      </c>
      <c r="B2" s="3">
        <f>Rural_res_calculation!B16</f>
        <v>1770000000000</v>
      </c>
      <c r="C2" s="3">
        <f>Rural_res_calculation!C16</f>
        <v>1771291403277.7441</v>
      </c>
      <c r="D2" s="3">
        <f>Rural_res_calculation!D16</f>
        <v>1961215912396.5713</v>
      </c>
      <c r="E2" s="3">
        <f>Rural_res_calculation!E16</f>
        <v>1972983207870.9507</v>
      </c>
      <c r="F2" s="3">
        <f>Rural_res_calculation!F16</f>
        <v>1984821107118.1765</v>
      </c>
      <c r="G2" s="3">
        <f>Rural_res_calculation!G16</f>
        <v>1996730033760.8855</v>
      </c>
      <c r="H2" s="3">
        <f>Rural_res_calculation!H16</f>
        <v>2008710413963.4509</v>
      </c>
      <c r="I2" s="3">
        <f>Rural_res_calculation!I16</f>
        <v>2020762676447.2317</v>
      </c>
      <c r="J2" s="3">
        <f>Rural_res_calculation!J16</f>
        <v>2032887252505.915</v>
      </c>
      <c r="K2" s="3">
        <f>Rural_res_calculation!K16</f>
        <v>2045084576020.9504</v>
      </c>
      <c r="L2" s="3">
        <f>Rural_res_calculation!L16</f>
        <v>2057355083477.0762</v>
      </c>
      <c r="M2" s="3">
        <f>Rural_res_calculation!M16</f>
        <v>2069699213977.9387</v>
      </c>
      <c r="N2" s="3">
        <f>Rural_res_calculation!N16</f>
        <v>2082117409261.8064</v>
      </c>
      <c r="O2" s="3">
        <f>Rural_res_calculation!O16</f>
        <v>2094610113717.3772</v>
      </c>
      <c r="P2" s="3">
        <f>Rural_res_calculation!P16</f>
        <v>2107177774399.6814</v>
      </c>
      <c r="Q2" s="3">
        <f>Rural_res_calculation!Q16</f>
        <v>2119820841046.0796</v>
      </c>
      <c r="R2" s="3">
        <f>Rural_res_calculation!R16</f>
        <v>2132539766092.356</v>
      </c>
      <c r="S2" s="3">
        <f>Rural_res_calculation!S16</f>
        <v>2145335004688.9102</v>
      </c>
      <c r="T2" s="3">
        <f>Rural_res_calculation!T16</f>
        <v>2158207014717.0437</v>
      </c>
      <c r="U2" s="3">
        <f>Rural_res_calculation!U16</f>
        <v>2171156256805.3459</v>
      </c>
      <c r="V2" s="3">
        <f>Rural_res_calculation!V16</f>
        <v>2184183194346.178</v>
      </c>
      <c r="W2" s="3">
        <f>Rural_res_calculation!W16</f>
        <v>2197288293512.2551</v>
      </c>
      <c r="X2" s="3">
        <f>Rural_res_calculation!X16</f>
        <v>2210472023273.3286</v>
      </c>
      <c r="Y2" s="3">
        <f>Rural_res_calculation!Y16</f>
        <v>2223734855412.9688</v>
      </c>
      <c r="Z2" s="3">
        <f>Rural_res_calculation!Z16</f>
        <v>2237077264545.4468</v>
      </c>
      <c r="AA2" s="3">
        <f>Rural_res_calculation!AA16</f>
        <v>2250499728132.7192</v>
      </c>
      <c r="AB2" s="3">
        <f>Rural_res_calculation!AB16</f>
        <v>2264002726501.5156</v>
      </c>
      <c r="AC2" s="3">
        <f>Rural_res_calculation!AC16</f>
        <v>2277586742860.5249</v>
      </c>
      <c r="AD2" s="3">
        <f>Rural_res_calculation!AD16</f>
        <v>2291252263317.688</v>
      </c>
      <c r="AE2" s="3">
        <f>Rural_res_calculation!AE16</f>
        <v>2304999776897.5942</v>
      </c>
      <c r="AF2" s="3">
        <f>Rural_res_calculation!AF16</f>
        <v>2318829775558.98</v>
      </c>
      <c r="AG2" s="3">
        <f>Rural_res_calculation!AG16</f>
        <v>2332742754212.334</v>
      </c>
    </row>
    <row r="3" spans="1:35" x14ac:dyDescent="0.3">
      <c r="A3" s="1" t="s">
        <v>3</v>
      </c>
      <c r="B3" s="3">
        <f>Rural_res_calculation!B17</f>
        <v>0</v>
      </c>
      <c r="C3" s="3">
        <f>Rural_res_calculation!C17</f>
        <v>0</v>
      </c>
      <c r="D3" s="3">
        <f>Rural_res_calculation!D17</f>
        <v>0</v>
      </c>
      <c r="E3" s="3">
        <f>Rural_res_calculation!E17</f>
        <v>0</v>
      </c>
      <c r="F3" s="3">
        <f>Rural_res_calculation!F17</f>
        <v>0</v>
      </c>
      <c r="G3" s="3">
        <f>Rural_res_calculation!G17</f>
        <v>0</v>
      </c>
      <c r="H3" s="3">
        <f>Rural_res_calculation!H17</f>
        <v>0</v>
      </c>
      <c r="I3" s="3">
        <f>Rural_res_calculation!I17</f>
        <v>0</v>
      </c>
      <c r="J3" s="3">
        <f>Rural_res_calculation!J17</f>
        <v>0</v>
      </c>
      <c r="K3" s="3">
        <f>Rural_res_calculation!K17</f>
        <v>0</v>
      </c>
      <c r="L3" s="3">
        <f>Rural_res_calculation!L17</f>
        <v>0</v>
      </c>
      <c r="M3" s="3">
        <f>Rural_res_calculation!M17</f>
        <v>0</v>
      </c>
      <c r="N3" s="3">
        <f>Rural_res_calculation!N17</f>
        <v>0</v>
      </c>
      <c r="O3" s="3">
        <f>Rural_res_calculation!O17</f>
        <v>0</v>
      </c>
      <c r="P3" s="3">
        <f>Rural_res_calculation!P17</f>
        <v>0</v>
      </c>
      <c r="Q3" s="3">
        <f>Rural_res_calculation!Q17</f>
        <v>0</v>
      </c>
      <c r="R3" s="3">
        <f>Rural_res_calculation!R17</f>
        <v>0</v>
      </c>
      <c r="S3" s="3">
        <f>Rural_res_calculation!S17</f>
        <v>0</v>
      </c>
      <c r="T3" s="3">
        <f>Rural_res_calculation!T17</f>
        <v>0</v>
      </c>
      <c r="U3" s="3">
        <f>Rural_res_calculation!U17</f>
        <v>0</v>
      </c>
      <c r="V3" s="3">
        <f>Rural_res_calculation!V17</f>
        <v>0</v>
      </c>
      <c r="W3" s="3">
        <f>Rural_res_calculation!W17</f>
        <v>0</v>
      </c>
      <c r="X3" s="3">
        <f>Rural_res_calculation!X17</f>
        <v>0</v>
      </c>
      <c r="Y3" s="3">
        <f>Rural_res_calculation!Y17</f>
        <v>0</v>
      </c>
      <c r="Z3" s="3">
        <f>Rural_res_calculation!Z17</f>
        <v>0</v>
      </c>
      <c r="AA3" s="3">
        <f>Rural_res_calculation!AA17</f>
        <v>0</v>
      </c>
      <c r="AB3" s="3">
        <f>Rural_res_calculation!AB17</f>
        <v>0</v>
      </c>
      <c r="AC3" s="3">
        <f>Rural_res_calculation!AC17</f>
        <v>0</v>
      </c>
      <c r="AD3" s="3">
        <f>Rural_res_calculation!AD17</f>
        <v>0</v>
      </c>
      <c r="AE3" s="3">
        <f>Rural_res_calculation!AE17</f>
        <v>0</v>
      </c>
      <c r="AF3" s="3">
        <f>Rural_res_calculation!AF17</f>
        <v>0</v>
      </c>
      <c r="AG3" s="3">
        <f>Rural_res_calculation!AG17</f>
        <v>0</v>
      </c>
    </row>
    <row r="4" spans="1:35" x14ac:dyDescent="0.3">
      <c r="A4" s="1" t="s">
        <v>4</v>
      </c>
      <c r="B4" s="3">
        <f>Rural_res_calculation!B18</f>
        <v>0</v>
      </c>
      <c r="C4" s="3">
        <f>Rural_res_calculation!C18</f>
        <v>0</v>
      </c>
      <c r="D4" s="3">
        <f>Rural_res_calculation!D18</f>
        <v>0</v>
      </c>
      <c r="E4" s="3">
        <f>Rural_res_calculation!E18</f>
        <v>0</v>
      </c>
      <c r="F4" s="3">
        <f>Rural_res_calculation!F18</f>
        <v>0</v>
      </c>
      <c r="G4" s="3">
        <f>Rural_res_calculation!G18</f>
        <v>0</v>
      </c>
      <c r="H4" s="3">
        <f>Rural_res_calculation!H18</f>
        <v>0</v>
      </c>
      <c r="I4" s="3">
        <f>Rural_res_calculation!I18</f>
        <v>0</v>
      </c>
      <c r="J4" s="3">
        <f>Rural_res_calculation!J18</f>
        <v>0</v>
      </c>
      <c r="K4" s="3">
        <f>Rural_res_calculation!K18</f>
        <v>0</v>
      </c>
      <c r="L4" s="3">
        <f>Rural_res_calculation!L18</f>
        <v>0</v>
      </c>
      <c r="M4" s="3">
        <f>Rural_res_calculation!M18</f>
        <v>0</v>
      </c>
      <c r="N4" s="3">
        <f>Rural_res_calculation!N18</f>
        <v>0</v>
      </c>
      <c r="O4" s="3">
        <f>Rural_res_calculation!O18</f>
        <v>0</v>
      </c>
      <c r="P4" s="3">
        <f>Rural_res_calculation!P18</f>
        <v>0</v>
      </c>
      <c r="Q4" s="3">
        <f>Rural_res_calculation!Q18</f>
        <v>0</v>
      </c>
      <c r="R4" s="3">
        <f>Rural_res_calculation!R18</f>
        <v>0</v>
      </c>
      <c r="S4" s="3">
        <f>Rural_res_calculation!S18</f>
        <v>0</v>
      </c>
      <c r="T4" s="3">
        <f>Rural_res_calculation!T18</f>
        <v>0</v>
      </c>
      <c r="U4" s="3">
        <f>Rural_res_calculation!U18</f>
        <v>0</v>
      </c>
      <c r="V4" s="3">
        <f>Rural_res_calculation!V18</f>
        <v>0</v>
      </c>
      <c r="W4" s="3">
        <f>Rural_res_calculation!W18</f>
        <v>0</v>
      </c>
      <c r="X4" s="3">
        <f>Rural_res_calculation!X18</f>
        <v>0</v>
      </c>
      <c r="Y4" s="3">
        <f>Rural_res_calculation!Y18</f>
        <v>0</v>
      </c>
      <c r="Z4" s="3">
        <f>Rural_res_calculation!Z18</f>
        <v>0</v>
      </c>
      <c r="AA4" s="3">
        <f>Rural_res_calculation!AA18</f>
        <v>0</v>
      </c>
      <c r="AB4" s="3">
        <f>Rural_res_calculation!AB18</f>
        <v>0</v>
      </c>
      <c r="AC4" s="3">
        <f>Rural_res_calculation!AC18</f>
        <v>0</v>
      </c>
      <c r="AD4" s="3">
        <f>Rural_res_calculation!AD18</f>
        <v>0</v>
      </c>
      <c r="AE4" s="3">
        <f>Rural_res_calculation!AE18</f>
        <v>0</v>
      </c>
      <c r="AF4" s="3">
        <f>Rural_res_calculation!AF18</f>
        <v>0</v>
      </c>
      <c r="AG4" s="3">
        <f>Rural_res_calculation!AG18</f>
        <v>0</v>
      </c>
    </row>
    <row r="5" spans="1:35" x14ac:dyDescent="0.3">
      <c r="A5" s="1" t="s">
        <v>5</v>
      </c>
      <c r="B5" s="3">
        <f>Rural_res_calculation!B19</f>
        <v>0</v>
      </c>
      <c r="C5" s="3">
        <f>Rural_res_calculation!C19</f>
        <v>0</v>
      </c>
      <c r="D5" s="3">
        <f>Rural_res_calculation!D19</f>
        <v>0</v>
      </c>
      <c r="E5" s="3">
        <f>Rural_res_calculation!E19</f>
        <v>0</v>
      </c>
      <c r="F5" s="3">
        <f>Rural_res_calculation!F19</f>
        <v>0</v>
      </c>
      <c r="G5" s="3">
        <f>Rural_res_calculation!G19</f>
        <v>0</v>
      </c>
      <c r="H5" s="3">
        <f>Rural_res_calculation!H19</f>
        <v>0</v>
      </c>
      <c r="I5" s="3">
        <f>Rural_res_calculation!I19</f>
        <v>0</v>
      </c>
      <c r="J5" s="3">
        <f>Rural_res_calculation!J19</f>
        <v>0</v>
      </c>
      <c r="K5" s="3">
        <f>Rural_res_calculation!K19</f>
        <v>0</v>
      </c>
      <c r="L5" s="3">
        <f>Rural_res_calculation!L19</f>
        <v>0</v>
      </c>
      <c r="M5" s="3">
        <f>Rural_res_calculation!M19</f>
        <v>0</v>
      </c>
      <c r="N5" s="3">
        <f>Rural_res_calculation!N19</f>
        <v>0</v>
      </c>
      <c r="O5" s="3">
        <f>Rural_res_calculation!O19</f>
        <v>0</v>
      </c>
      <c r="P5" s="3">
        <f>Rural_res_calculation!P19</f>
        <v>0</v>
      </c>
      <c r="Q5" s="3">
        <f>Rural_res_calculation!Q19</f>
        <v>0</v>
      </c>
      <c r="R5" s="3">
        <f>Rural_res_calculation!R19</f>
        <v>0</v>
      </c>
      <c r="S5" s="3">
        <f>Rural_res_calculation!S19</f>
        <v>0</v>
      </c>
      <c r="T5" s="3">
        <f>Rural_res_calculation!T19</f>
        <v>0</v>
      </c>
      <c r="U5" s="3">
        <f>Rural_res_calculation!U19</f>
        <v>0</v>
      </c>
      <c r="V5" s="3">
        <f>Rural_res_calculation!V19</f>
        <v>0</v>
      </c>
      <c r="W5" s="3">
        <f>Rural_res_calculation!W19</f>
        <v>0</v>
      </c>
      <c r="X5" s="3">
        <f>Rural_res_calculation!X19</f>
        <v>0</v>
      </c>
      <c r="Y5" s="3">
        <f>Rural_res_calculation!Y19</f>
        <v>0</v>
      </c>
      <c r="Z5" s="3">
        <f>Rural_res_calculation!Z19</f>
        <v>0</v>
      </c>
      <c r="AA5" s="3">
        <f>Rural_res_calculation!AA19</f>
        <v>0</v>
      </c>
      <c r="AB5" s="3">
        <f>Rural_res_calculation!AB19</f>
        <v>0</v>
      </c>
      <c r="AC5" s="3">
        <f>Rural_res_calculation!AC19</f>
        <v>0</v>
      </c>
      <c r="AD5" s="3">
        <f>Rural_res_calculation!AD19</f>
        <v>0</v>
      </c>
      <c r="AE5" s="3">
        <f>Rural_res_calculation!AE19</f>
        <v>0</v>
      </c>
      <c r="AF5" s="3">
        <f>Rural_res_calculation!AF19</f>
        <v>0</v>
      </c>
      <c r="AG5" s="3">
        <f>Rural_res_calculation!AG19</f>
        <v>0</v>
      </c>
    </row>
    <row r="6" spans="1:35" x14ac:dyDescent="0.3">
      <c r="A6" s="1" t="s">
        <v>7</v>
      </c>
      <c r="B6" s="3">
        <f>Rural_res_calculation!B20</f>
        <v>0</v>
      </c>
      <c r="C6" s="3">
        <f>Rural_res_calculation!C20</f>
        <v>0</v>
      </c>
      <c r="D6" s="3">
        <f>Rural_res_calculation!D20</f>
        <v>0</v>
      </c>
      <c r="E6" s="3">
        <f>Rural_res_calculation!E20</f>
        <v>0</v>
      </c>
      <c r="F6" s="3">
        <f>Rural_res_calculation!F20</f>
        <v>0</v>
      </c>
      <c r="G6" s="3">
        <f>Rural_res_calculation!G20</f>
        <v>0</v>
      </c>
      <c r="H6" s="3">
        <f>Rural_res_calculation!H20</f>
        <v>0</v>
      </c>
      <c r="I6" s="3">
        <f>Rural_res_calculation!I20</f>
        <v>0</v>
      </c>
      <c r="J6" s="3">
        <f>Rural_res_calculation!J20</f>
        <v>0</v>
      </c>
      <c r="K6" s="3">
        <f>Rural_res_calculation!K20</f>
        <v>0</v>
      </c>
      <c r="L6" s="3">
        <f>Rural_res_calculation!L20</f>
        <v>0</v>
      </c>
      <c r="M6" s="3">
        <f>Rural_res_calculation!M20</f>
        <v>0</v>
      </c>
      <c r="N6" s="3">
        <f>Rural_res_calculation!N20</f>
        <v>0</v>
      </c>
      <c r="O6" s="3">
        <f>Rural_res_calculation!O20</f>
        <v>0</v>
      </c>
      <c r="P6" s="3">
        <f>Rural_res_calculation!P20</f>
        <v>0</v>
      </c>
      <c r="Q6" s="3">
        <f>Rural_res_calculation!Q20</f>
        <v>0</v>
      </c>
      <c r="R6" s="3">
        <f>Rural_res_calculation!R20</f>
        <v>0</v>
      </c>
      <c r="S6" s="3">
        <f>Rural_res_calculation!S20</f>
        <v>0</v>
      </c>
      <c r="T6" s="3">
        <f>Rural_res_calculation!T20</f>
        <v>0</v>
      </c>
      <c r="U6" s="3">
        <f>Rural_res_calculation!U20</f>
        <v>0</v>
      </c>
      <c r="V6" s="3">
        <f>Rural_res_calculation!V20</f>
        <v>0</v>
      </c>
      <c r="W6" s="3">
        <f>Rural_res_calculation!W20</f>
        <v>0</v>
      </c>
      <c r="X6" s="3">
        <f>Rural_res_calculation!X20</f>
        <v>0</v>
      </c>
      <c r="Y6" s="3">
        <f>Rural_res_calculation!Y20</f>
        <v>0</v>
      </c>
      <c r="Z6" s="3">
        <f>Rural_res_calculation!Z20</f>
        <v>0</v>
      </c>
      <c r="AA6" s="3">
        <f>Rural_res_calculation!AA20</f>
        <v>0</v>
      </c>
      <c r="AB6" s="3">
        <f>Rural_res_calculation!AB20</f>
        <v>0</v>
      </c>
      <c r="AC6" s="3">
        <f>Rural_res_calculation!AC20</f>
        <v>0</v>
      </c>
      <c r="AD6" s="3">
        <f>Rural_res_calculation!AD20</f>
        <v>0</v>
      </c>
      <c r="AE6" s="3">
        <f>Rural_res_calculation!AE20</f>
        <v>0</v>
      </c>
      <c r="AF6" s="3">
        <f>Rural_res_calculation!AF20</f>
        <v>0</v>
      </c>
      <c r="AG6" s="3">
        <f>Rural_res_calculation!AG20</f>
        <v>0</v>
      </c>
    </row>
    <row r="7" spans="1:35" x14ac:dyDescent="0.3">
      <c r="A7" s="1" t="s">
        <v>11</v>
      </c>
      <c r="B7" s="3">
        <f>Rural_res_calculation!B21</f>
        <v>0</v>
      </c>
      <c r="C7" s="3">
        <f>Rural_res_calculation!C21</f>
        <v>0</v>
      </c>
      <c r="D7" s="3">
        <f>Rural_res_calculation!D21</f>
        <v>0</v>
      </c>
      <c r="E7" s="3">
        <f>Rural_res_calculation!E21</f>
        <v>0</v>
      </c>
      <c r="F7" s="3">
        <f>Rural_res_calculation!F21</f>
        <v>0</v>
      </c>
      <c r="G7" s="3">
        <f>Rural_res_calculation!G21</f>
        <v>0</v>
      </c>
      <c r="H7" s="3">
        <f>Rural_res_calculation!H21</f>
        <v>0</v>
      </c>
      <c r="I7" s="3">
        <f>Rural_res_calculation!I21</f>
        <v>0</v>
      </c>
      <c r="J7" s="3">
        <f>Rural_res_calculation!J21</f>
        <v>0</v>
      </c>
      <c r="K7" s="3">
        <f>Rural_res_calculation!K21</f>
        <v>0</v>
      </c>
      <c r="L7" s="3">
        <f>Rural_res_calculation!L21</f>
        <v>0</v>
      </c>
      <c r="M7" s="3">
        <f>Rural_res_calculation!M21</f>
        <v>0</v>
      </c>
      <c r="N7" s="3">
        <f>Rural_res_calculation!N21</f>
        <v>0</v>
      </c>
      <c r="O7" s="3">
        <f>Rural_res_calculation!O21</f>
        <v>0</v>
      </c>
      <c r="P7" s="3">
        <f>Rural_res_calculation!P21</f>
        <v>0</v>
      </c>
      <c r="Q7" s="3">
        <f>Rural_res_calculation!Q21</f>
        <v>0</v>
      </c>
      <c r="R7" s="3">
        <f>Rural_res_calculation!R21</f>
        <v>0</v>
      </c>
      <c r="S7" s="3">
        <f>Rural_res_calculation!S21</f>
        <v>0</v>
      </c>
      <c r="T7" s="3">
        <f>Rural_res_calculation!T21</f>
        <v>0</v>
      </c>
      <c r="U7" s="3">
        <f>Rural_res_calculation!U21</f>
        <v>0</v>
      </c>
      <c r="V7" s="3">
        <f>Rural_res_calculation!V21</f>
        <v>0</v>
      </c>
      <c r="W7" s="3">
        <f>Rural_res_calculation!W21</f>
        <v>0</v>
      </c>
      <c r="X7" s="3">
        <f>Rural_res_calculation!X21</f>
        <v>0</v>
      </c>
      <c r="Y7" s="3">
        <f>Rural_res_calculation!Y21</f>
        <v>0</v>
      </c>
      <c r="Z7" s="3">
        <f>Rural_res_calculation!Z21</f>
        <v>0</v>
      </c>
      <c r="AA7" s="3">
        <f>Rural_res_calculation!AA21</f>
        <v>0</v>
      </c>
      <c r="AB7" s="3">
        <f>Rural_res_calculation!AB21</f>
        <v>0</v>
      </c>
      <c r="AC7" s="3">
        <f>Rural_res_calculation!AC21</f>
        <v>0</v>
      </c>
      <c r="AD7" s="3">
        <f>Rural_res_calculation!AD21</f>
        <v>0</v>
      </c>
      <c r="AE7" s="3">
        <f>Rural_res_calculation!AE21</f>
        <v>0</v>
      </c>
      <c r="AF7" s="3">
        <f>Rural_res_calculation!AF21</f>
        <v>0</v>
      </c>
      <c r="AG7" s="3">
        <f>Rural_res_calculation!AG21</f>
        <v>0</v>
      </c>
    </row>
    <row r="8" spans="1:35" x14ac:dyDescent="0.3">
      <c r="A8" s="1" t="s">
        <v>13</v>
      </c>
      <c r="B8" s="3">
        <f>Rural_res_calculation!B22</f>
        <v>0</v>
      </c>
      <c r="C8" s="3">
        <f>Rural_res_calculation!C22</f>
        <v>0</v>
      </c>
      <c r="D8" s="3">
        <f>Rural_res_calculation!D22</f>
        <v>0</v>
      </c>
      <c r="E8" s="3">
        <f>Rural_res_calculation!E22</f>
        <v>0</v>
      </c>
      <c r="F8" s="3">
        <f>Rural_res_calculation!F22</f>
        <v>0</v>
      </c>
      <c r="G8" s="3">
        <f>Rural_res_calculation!G22</f>
        <v>0</v>
      </c>
      <c r="H8" s="3">
        <f>Rural_res_calculation!H22</f>
        <v>0</v>
      </c>
      <c r="I8" s="3">
        <f>Rural_res_calculation!I22</f>
        <v>0</v>
      </c>
      <c r="J8" s="3">
        <f>Rural_res_calculation!J22</f>
        <v>0</v>
      </c>
      <c r="K8" s="3">
        <f>Rural_res_calculation!K22</f>
        <v>0</v>
      </c>
      <c r="L8" s="3">
        <f>Rural_res_calculation!L22</f>
        <v>0</v>
      </c>
      <c r="M8" s="3">
        <f>Rural_res_calculation!M22</f>
        <v>0</v>
      </c>
      <c r="N8" s="3">
        <f>Rural_res_calculation!N22</f>
        <v>0</v>
      </c>
      <c r="O8" s="3">
        <f>Rural_res_calculation!O22</f>
        <v>0</v>
      </c>
      <c r="P8" s="3">
        <f>Rural_res_calculation!P22</f>
        <v>0</v>
      </c>
      <c r="Q8" s="3">
        <f>Rural_res_calculation!Q22</f>
        <v>0</v>
      </c>
      <c r="R8" s="3">
        <f>Rural_res_calculation!R22</f>
        <v>0</v>
      </c>
      <c r="S8" s="3">
        <f>Rural_res_calculation!S22</f>
        <v>0</v>
      </c>
      <c r="T8" s="3">
        <f>Rural_res_calculation!T22</f>
        <v>0</v>
      </c>
      <c r="U8" s="3">
        <f>Rural_res_calculation!U22</f>
        <v>0</v>
      </c>
      <c r="V8" s="3">
        <f>Rural_res_calculation!V22</f>
        <v>0</v>
      </c>
      <c r="W8" s="3">
        <f>Rural_res_calculation!W22</f>
        <v>0</v>
      </c>
      <c r="X8" s="3">
        <f>Rural_res_calculation!X22</f>
        <v>0</v>
      </c>
      <c r="Y8" s="3">
        <f>Rural_res_calculation!Y22</f>
        <v>0</v>
      </c>
      <c r="Z8" s="3">
        <f>Rural_res_calculation!Z22</f>
        <v>0</v>
      </c>
      <c r="AA8" s="3">
        <f>Rural_res_calculation!AA22</f>
        <v>0</v>
      </c>
      <c r="AB8" s="3">
        <f>Rural_res_calculation!AB22</f>
        <v>0</v>
      </c>
      <c r="AC8" s="3">
        <f>Rural_res_calculation!AC22</f>
        <v>0</v>
      </c>
      <c r="AD8" s="3">
        <f>Rural_res_calculation!AD22</f>
        <v>0</v>
      </c>
      <c r="AE8" s="3">
        <f>Rural_res_calculation!AE22</f>
        <v>0</v>
      </c>
      <c r="AF8" s="3">
        <f>Rural_res_calculation!AF22</f>
        <v>0</v>
      </c>
      <c r="AG8" s="3">
        <f>Rural_res_calculation!AG22</f>
        <v>0</v>
      </c>
    </row>
    <row r="9" spans="1:35" x14ac:dyDescent="0.3">
      <c r="A9" s="1" t="s">
        <v>14</v>
      </c>
      <c r="B9" s="3">
        <f>Rural_res_calculation!B23</f>
        <v>0</v>
      </c>
      <c r="C9" s="3">
        <f>Rural_res_calculation!C23</f>
        <v>0</v>
      </c>
      <c r="D9" s="3">
        <f>Rural_res_calculation!D23</f>
        <v>0</v>
      </c>
      <c r="E9" s="3">
        <f>Rural_res_calculation!E23</f>
        <v>0</v>
      </c>
      <c r="F9" s="3">
        <f>Rural_res_calculation!F23</f>
        <v>0</v>
      </c>
      <c r="G9" s="3">
        <f>Rural_res_calculation!G23</f>
        <v>0</v>
      </c>
      <c r="H9" s="3">
        <f>Rural_res_calculation!H23</f>
        <v>0</v>
      </c>
      <c r="I9" s="3">
        <f>Rural_res_calculation!I23</f>
        <v>0</v>
      </c>
      <c r="J9" s="3">
        <f>Rural_res_calculation!J23</f>
        <v>0</v>
      </c>
      <c r="K9" s="3">
        <f>Rural_res_calculation!K23</f>
        <v>0</v>
      </c>
      <c r="L9" s="3">
        <f>Rural_res_calculation!L23</f>
        <v>0</v>
      </c>
      <c r="M9" s="3">
        <f>Rural_res_calculation!M23</f>
        <v>0</v>
      </c>
      <c r="N9" s="3">
        <f>Rural_res_calculation!N23</f>
        <v>0</v>
      </c>
      <c r="O9" s="3">
        <f>Rural_res_calculation!O23</f>
        <v>0</v>
      </c>
      <c r="P9" s="3">
        <f>Rural_res_calculation!P23</f>
        <v>0</v>
      </c>
      <c r="Q9" s="3">
        <f>Rural_res_calculation!Q23</f>
        <v>0</v>
      </c>
      <c r="R9" s="3">
        <f>Rural_res_calculation!R23</f>
        <v>0</v>
      </c>
      <c r="S9" s="3">
        <f>Rural_res_calculation!S23</f>
        <v>0</v>
      </c>
      <c r="T9" s="3">
        <f>Rural_res_calculation!T23</f>
        <v>0</v>
      </c>
      <c r="U9" s="3">
        <f>Rural_res_calculation!U23</f>
        <v>0</v>
      </c>
      <c r="V9" s="3">
        <f>Rural_res_calculation!V23</f>
        <v>0</v>
      </c>
      <c r="W9" s="3">
        <f>Rural_res_calculation!W23</f>
        <v>0</v>
      </c>
      <c r="X9" s="3">
        <f>Rural_res_calculation!X23</f>
        <v>0</v>
      </c>
      <c r="Y9" s="3">
        <f>Rural_res_calculation!Y23</f>
        <v>0</v>
      </c>
      <c r="Z9" s="3">
        <f>Rural_res_calculation!Z23</f>
        <v>0</v>
      </c>
      <c r="AA9" s="3">
        <f>Rural_res_calculation!AA23</f>
        <v>0</v>
      </c>
      <c r="AB9" s="3">
        <f>Rural_res_calculation!AB23</f>
        <v>0</v>
      </c>
      <c r="AC9" s="3">
        <f>Rural_res_calculation!AC23</f>
        <v>0</v>
      </c>
      <c r="AD9" s="3">
        <f>Rural_res_calculation!AD23</f>
        <v>0</v>
      </c>
      <c r="AE9" s="3">
        <f>Rural_res_calculation!AE23</f>
        <v>0</v>
      </c>
      <c r="AF9" s="3">
        <f>Rural_res_calculation!AF23</f>
        <v>0</v>
      </c>
      <c r="AG9" s="3">
        <f>Rural_res_calculation!AG23</f>
        <v>0</v>
      </c>
    </row>
    <row r="10" spans="1:35" x14ac:dyDescent="0.3">
      <c r="A10" s="1" t="s">
        <v>15</v>
      </c>
      <c r="B10" s="3">
        <f>Rural_res_calculation!B24</f>
        <v>0</v>
      </c>
      <c r="C10" s="3">
        <f>Rural_res_calculation!C24</f>
        <v>0</v>
      </c>
      <c r="D10" s="3">
        <f>Rural_res_calculation!D24</f>
        <v>0</v>
      </c>
      <c r="E10" s="3">
        <f>Rural_res_calculation!E24</f>
        <v>0</v>
      </c>
      <c r="F10" s="3">
        <f>Rural_res_calculation!F24</f>
        <v>0</v>
      </c>
      <c r="G10" s="3">
        <f>Rural_res_calculation!G24</f>
        <v>0</v>
      </c>
      <c r="H10" s="3">
        <f>Rural_res_calculation!H24</f>
        <v>0</v>
      </c>
      <c r="I10" s="3">
        <f>Rural_res_calculation!I24</f>
        <v>0</v>
      </c>
      <c r="J10" s="3">
        <f>Rural_res_calculation!J24</f>
        <v>0</v>
      </c>
      <c r="K10" s="3">
        <f>Rural_res_calculation!K24</f>
        <v>0</v>
      </c>
      <c r="L10" s="3">
        <f>Rural_res_calculation!L24</f>
        <v>0</v>
      </c>
      <c r="M10" s="3">
        <f>Rural_res_calculation!M24</f>
        <v>0</v>
      </c>
      <c r="N10" s="3">
        <f>Rural_res_calculation!N24</f>
        <v>0</v>
      </c>
      <c r="O10" s="3">
        <f>Rural_res_calculation!O24</f>
        <v>0</v>
      </c>
      <c r="P10" s="3">
        <f>Rural_res_calculation!P24</f>
        <v>0</v>
      </c>
      <c r="Q10" s="3">
        <f>Rural_res_calculation!Q24</f>
        <v>0</v>
      </c>
      <c r="R10" s="3">
        <f>Rural_res_calculation!R24</f>
        <v>0</v>
      </c>
      <c r="S10" s="3">
        <f>Rural_res_calculation!S24</f>
        <v>0</v>
      </c>
      <c r="T10" s="3">
        <f>Rural_res_calculation!T24</f>
        <v>0</v>
      </c>
      <c r="U10" s="3">
        <f>Rural_res_calculation!U24</f>
        <v>0</v>
      </c>
      <c r="V10" s="3">
        <f>Rural_res_calculation!V24</f>
        <v>0</v>
      </c>
      <c r="W10" s="3">
        <f>Rural_res_calculation!W24</f>
        <v>0</v>
      </c>
      <c r="X10" s="3">
        <f>Rural_res_calculation!X24</f>
        <v>0</v>
      </c>
      <c r="Y10" s="3">
        <f>Rural_res_calculation!Y24</f>
        <v>0</v>
      </c>
      <c r="Z10" s="3">
        <f>Rural_res_calculation!Z24</f>
        <v>0</v>
      </c>
      <c r="AA10" s="3">
        <f>Rural_res_calculation!AA24</f>
        <v>0</v>
      </c>
      <c r="AB10" s="3">
        <f>Rural_res_calculation!AB24</f>
        <v>0</v>
      </c>
      <c r="AC10" s="3">
        <f>Rural_res_calculation!AC24</f>
        <v>0</v>
      </c>
      <c r="AD10" s="3">
        <f>Rural_res_calculation!AD24</f>
        <v>0</v>
      </c>
      <c r="AE10" s="3">
        <f>Rural_res_calculation!AE24</f>
        <v>0</v>
      </c>
      <c r="AF10" s="3">
        <f>Rural_res_calculation!AF24</f>
        <v>0</v>
      </c>
      <c r="AG10" s="3">
        <f>Rural_res_calculation!AG24</f>
        <v>0</v>
      </c>
    </row>
    <row r="11" spans="1:35" x14ac:dyDescent="0.3">
      <c r="A11" s="1" t="s">
        <v>16</v>
      </c>
      <c r="B11" s="3">
        <f>Rural_res_calculation!B25</f>
        <v>0</v>
      </c>
      <c r="C11" s="3">
        <f>Rural_res_calculation!C25</f>
        <v>0</v>
      </c>
      <c r="D11" s="3">
        <f>Rural_res_calculation!D25</f>
        <v>0</v>
      </c>
      <c r="E11" s="3">
        <f>Rural_res_calculation!E25</f>
        <v>0</v>
      </c>
      <c r="F11" s="3">
        <f>Rural_res_calculation!F25</f>
        <v>0</v>
      </c>
      <c r="G11" s="3">
        <f>Rural_res_calculation!G25</f>
        <v>0</v>
      </c>
      <c r="H11" s="3">
        <f>Rural_res_calculation!H25</f>
        <v>0</v>
      </c>
      <c r="I11" s="3">
        <f>Rural_res_calculation!I25</f>
        <v>0</v>
      </c>
      <c r="J11" s="3">
        <f>Rural_res_calculation!J25</f>
        <v>0</v>
      </c>
      <c r="K11" s="3">
        <f>Rural_res_calculation!K25</f>
        <v>0</v>
      </c>
      <c r="L11" s="3">
        <f>Rural_res_calculation!L25</f>
        <v>0</v>
      </c>
      <c r="M11" s="3">
        <f>Rural_res_calculation!M25</f>
        <v>0</v>
      </c>
      <c r="N11" s="3">
        <f>Rural_res_calculation!N25</f>
        <v>0</v>
      </c>
      <c r="O11" s="3">
        <f>Rural_res_calculation!O25</f>
        <v>0</v>
      </c>
      <c r="P11" s="3">
        <f>Rural_res_calculation!P25</f>
        <v>0</v>
      </c>
      <c r="Q11" s="3">
        <f>Rural_res_calculation!Q25</f>
        <v>0</v>
      </c>
      <c r="R11" s="3">
        <f>Rural_res_calculation!R25</f>
        <v>0</v>
      </c>
      <c r="S11" s="3">
        <f>Rural_res_calculation!S25</f>
        <v>0</v>
      </c>
      <c r="T11" s="3">
        <f>Rural_res_calculation!T25</f>
        <v>0</v>
      </c>
      <c r="U11" s="3">
        <f>Rural_res_calculation!U25</f>
        <v>0</v>
      </c>
      <c r="V11" s="3">
        <f>Rural_res_calculation!V25</f>
        <v>0</v>
      </c>
      <c r="W11" s="3">
        <f>Rural_res_calculation!W25</f>
        <v>0</v>
      </c>
      <c r="X11" s="3">
        <f>Rural_res_calculation!X25</f>
        <v>0</v>
      </c>
      <c r="Y11" s="3">
        <f>Rural_res_calculation!Y25</f>
        <v>0</v>
      </c>
      <c r="Z11" s="3">
        <f>Rural_res_calculation!Z25</f>
        <v>0</v>
      </c>
      <c r="AA11" s="3">
        <f>Rural_res_calculation!AA25</f>
        <v>0</v>
      </c>
      <c r="AB11" s="3">
        <f>Rural_res_calculation!AB25</f>
        <v>0</v>
      </c>
      <c r="AC11" s="3">
        <f>Rural_res_calculation!AC25</f>
        <v>0</v>
      </c>
      <c r="AD11" s="3">
        <f>Rural_res_calculation!AD25</f>
        <v>0</v>
      </c>
      <c r="AE11" s="3">
        <f>Rural_res_calculation!AE25</f>
        <v>0</v>
      </c>
      <c r="AF11" s="3">
        <f>Rural_res_calculation!AF25</f>
        <v>0</v>
      </c>
      <c r="AG11" s="3">
        <f>Rural_res_calculation!AG25</f>
        <v>0</v>
      </c>
    </row>
  </sheetData>
  <phoneticPr fontId="10" type="noConversion"/>
  <pageMargins left="0.7" right="0.7" top="0.75" bottom="0.75" header="0.3" footer="0.3"/>
  <pageSetup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I11"/>
  <sheetViews>
    <sheetView workbookViewId="0">
      <selection activeCell="B2" sqref="B2"/>
    </sheetView>
  </sheetViews>
  <sheetFormatPr defaultRowHeight="16.5" x14ac:dyDescent="0.3"/>
  <cols>
    <col min="1" max="1" width="29.875" customWidth="1"/>
    <col min="2" max="2" width="9.75" bestFit="1" customWidth="1"/>
    <col min="3" max="33" width="9.625" bestFit="1" customWidth="1"/>
  </cols>
  <sheetData>
    <row r="1" spans="1:35" x14ac:dyDescent="0.3">
      <c r="A1" s="1" t="s">
        <v>1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3">
      <c r="A2" s="1" t="s">
        <v>2</v>
      </c>
      <c r="B2" s="3">
        <f>Rural_res_calculation!B40</f>
        <v>1770000000000</v>
      </c>
      <c r="C2" s="3">
        <f>Rural_res_calculation!C40</f>
        <v>1771291403277.7441</v>
      </c>
      <c r="D2" s="3">
        <f>Rural_res_calculation!D40</f>
        <v>1961215912396.5713</v>
      </c>
      <c r="E2" s="3">
        <f>Rural_res_calculation!E40</f>
        <v>1972983207870.9507</v>
      </c>
      <c r="F2" s="3">
        <f>Rural_res_calculation!F40</f>
        <v>1984821107118.1765</v>
      </c>
      <c r="G2" s="3">
        <f>Rural_res_calculation!G40</f>
        <v>1996730033760.8855</v>
      </c>
      <c r="H2" s="3">
        <f>Rural_res_calculation!H40</f>
        <v>2008710413963.4509</v>
      </c>
      <c r="I2" s="3">
        <f>Rural_res_calculation!I40</f>
        <v>2020762676447.2317</v>
      </c>
      <c r="J2" s="3">
        <f>Rural_res_calculation!J40</f>
        <v>2032887252505.915</v>
      </c>
      <c r="K2" s="3">
        <f>Rural_res_calculation!K40</f>
        <v>2045084576020.9504</v>
      </c>
      <c r="L2" s="3">
        <f>Rural_res_calculation!L40</f>
        <v>2057355083477.0762</v>
      </c>
      <c r="M2" s="3">
        <f>Rural_res_calculation!M40</f>
        <v>2069699213977.9387</v>
      </c>
      <c r="N2" s="3">
        <f>Rural_res_calculation!N40</f>
        <v>2082117409261.8064</v>
      </c>
      <c r="O2" s="3">
        <f>Rural_res_calculation!O40</f>
        <v>2094610113717.3772</v>
      </c>
      <c r="P2" s="3">
        <f>Rural_res_calculation!P40</f>
        <v>2107177774399.6814</v>
      </c>
      <c r="Q2" s="3">
        <f>Rural_res_calculation!Q40</f>
        <v>2119820841046.0796</v>
      </c>
      <c r="R2" s="3">
        <f>Rural_res_calculation!R40</f>
        <v>2132539766092.356</v>
      </c>
      <c r="S2" s="3">
        <f>Rural_res_calculation!S40</f>
        <v>2145335004688.9102</v>
      </c>
      <c r="T2" s="3">
        <f>Rural_res_calculation!T40</f>
        <v>2158207014717.0437</v>
      </c>
      <c r="U2" s="3">
        <f>Rural_res_calculation!U40</f>
        <v>2171156256805.3459</v>
      </c>
      <c r="V2" s="3">
        <f>Rural_res_calculation!V40</f>
        <v>2184183194346.178</v>
      </c>
      <c r="W2" s="3">
        <f>Rural_res_calculation!W40</f>
        <v>2197288293512.2551</v>
      </c>
      <c r="X2" s="3">
        <f>Rural_res_calculation!X40</f>
        <v>2210472023273.3286</v>
      </c>
      <c r="Y2" s="3">
        <f>Rural_res_calculation!Y40</f>
        <v>2223734855412.9688</v>
      </c>
      <c r="Z2" s="3">
        <f>Rural_res_calculation!Z40</f>
        <v>2237077264545.4468</v>
      </c>
      <c r="AA2" s="3">
        <f>Rural_res_calculation!AA40</f>
        <v>2250499728132.7192</v>
      </c>
      <c r="AB2" s="3">
        <f>Rural_res_calculation!AB40</f>
        <v>2264002726501.5156</v>
      </c>
      <c r="AC2" s="3">
        <f>Rural_res_calculation!AC40</f>
        <v>2277586742860.5249</v>
      </c>
      <c r="AD2" s="3">
        <f>Rural_res_calculation!AD40</f>
        <v>2291252263317.688</v>
      </c>
      <c r="AE2" s="3">
        <f>Rural_res_calculation!AE40</f>
        <v>2304999776897.5942</v>
      </c>
      <c r="AF2" s="3">
        <f>Rural_res_calculation!AF40</f>
        <v>2318829775558.98</v>
      </c>
      <c r="AG2" s="3">
        <f>Rural_res_calculation!AG40</f>
        <v>2332742754212.334</v>
      </c>
    </row>
    <row r="3" spans="1:35" x14ac:dyDescent="0.3">
      <c r="A3" s="1" t="s">
        <v>3</v>
      </c>
      <c r="B3" s="3">
        <f>Rural_res_calculation!B41</f>
        <v>0</v>
      </c>
      <c r="C3" s="3">
        <f>Rural_res_calculation!C41</f>
        <v>0</v>
      </c>
      <c r="D3" s="3">
        <f>Rural_res_calculation!D41</f>
        <v>0</v>
      </c>
      <c r="E3" s="3">
        <f>Rural_res_calculation!E41</f>
        <v>0</v>
      </c>
      <c r="F3" s="3">
        <f>Rural_res_calculation!F41</f>
        <v>0</v>
      </c>
      <c r="G3" s="3">
        <f>Rural_res_calculation!G41</f>
        <v>0</v>
      </c>
      <c r="H3" s="3">
        <f>Rural_res_calculation!H41</f>
        <v>0</v>
      </c>
      <c r="I3" s="3">
        <f>Rural_res_calculation!I41</f>
        <v>0</v>
      </c>
      <c r="J3" s="3">
        <f>Rural_res_calculation!J41</f>
        <v>0</v>
      </c>
      <c r="K3" s="3">
        <f>Rural_res_calculation!K41</f>
        <v>0</v>
      </c>
      <c r="L3" s="3">
        <f>Rural_res_calculation!L41</f>
        <v>0</v>
      </c>
      <c r="M3" s="3">
        <f>Rural_res_calculation!M41</f>
        <v>0</v>
      </c>
      <c r="N3" s="3">
        <f>Rural_res_calculation!N41</f>
        <v>0</v>
      </c>
      <c r="O3" s="3">
        <f>Rural_res_calculation!O41</f>
        <v>0</v>
      </c>
      <c r="P3" s="3">
        <f>Rural_res_calculation!P41</f>
        <v>0</v>
      </c>
      <c r="Q3" s="3">
        <f>Rural_res_calculation!Q41</f>
        <v>0</v>
      </c>
      <c r="R3" s="3">
        <f>Rural_res_calculation!R41</f>
        <v>0</v>
      </c>
      <c r="S3" s="3">
        <f>Rural_res_calculation!S41</f>
        <v>0</v>
      </c>
      <c r="T3" s="3">
        <f>Rural_res_calculation!T41</f>
        <v>0</v>
      </c>
      <c r="U3" s="3">
        <f>Rural_res_calculation!U41</f>
        <v>0</v>
      </c>
      <c r="V3" s="3">
        <f>Rural_res_calculation!V41</f>
        <v>0</v>
      </c>
      <c r="W3" s="3">
        <f>Rural_res_calculation!W41</f>
        <v>0</v>
      </c>
      <c r="X3" s="3">
        <f>Rural_res_calculation!X41</f>
        <v>0</v>
      </c>
      <c r="Y3" s="3">
        <f>Rural_res_calculation!Y41</f>
        <v>0</v>
      </c>
      <c r="Z3" s="3">
        <f>Rural_res_calculation!Z41</f>
        <v>0</v>
      </c>
      <c r="AA3" s="3">
        <f>Rural_res_calculation!AA41</f>
        <v>0</v>
      </c>
      <c r="AB3" s="3">
        <f>Rural_res_calculation!AB41</f>
        <v>0</v>
      </c>
      <c r="AC3" s="3">
        <f>Rural_res_calculation!AC41</f>
        <v>0</v>
      </c>
      <c r="AD3" s="3">
        <f>Rural_res_calculation!AD41</f>
        <v>0</v>
      </c>
      <c r="AE3" s="3">
        <f>Rural_res_calculation!AE41</f>
        <v>0</v>
      </c>
      <c r="AF3" s="3">
        <f>Rural_res_calculation!AF41</f>
        <v>0</v>
      </c>
      <c r="AG3" s="3">
        <f>Rural_res_calculation!AG41</f>
        <v>0</v>
      </c>
    </row>
    <row r="4" spans="1:35" x14ac:dyDescent="0.3">
      <c r="A4" s="1" t="s">
        <v>4</v>
      </c>
      <c r="B4" s="3">
        <f>Rural_res_calculation!B42</f>
        <v>0</v>
      </c>
      <c r="C4" s="3">
        <f>Rural_res_calculation!C42</f>
        <v>0</v>
      </c>
      <c r="D4" s="3">
        <f>Rural_res_calculation!D42</f>
        <v>0</v>
      </c>
      <c r="E4" s="3">
        <f>Rural_res_calculation!E42</f>
        <v>0</v>
      </c>
      <c r="F4" s="3">
        <f>Rural_res_calculation!F42</f>
        <v>0</v>
      </c>
      <c r="G4" s="3">
        <f>Rural_res_calculation!G42</f>
        <v>0</v>
      </c>
      <c r="H4" s="3">
        <f>Rural_res_calculation!H42</f>
        <v>0</v>
      </c>
      <c r="I4" s="3">
        <f>Rural_res_calculation!I42</f>
        <v>0</v>
      </c>
      <c r="J4" s="3">
        <f>Rural_res_calculation!J42</f>
        <v>0</v>
      </c>
      <c r="K4" s="3">
        <f>Rural_res_calculation!K42</f>
        <v>0</v>
      </c>
      <c r="L4" s="3">
        <f>Rural_res_calculation!L42</f>
        <v>0</v>
      </c>
      <c r="M4" s="3">
        <f>Rural_res_calculation!M42</f>
        <v>0</v>
      </c>
      <c r="N4" s="3">
        <f>Rural_res_calculation!N42</f>
        <v>0</v>
      </c>
      <c r="O4" s="3">
        <f>Rural_res_calculation!O42</f>
        <v>0</v>
      </c>
      <c r="P4" s="3">
        <f>Rural_res_calculation!P42</f>
        <v>0</v>
      </c>
      <c r="Q4" s="3">
        <f>Rural_res_calculation!Q42</f>
        <v>0</v>
      </c>
      <c r="R4" s="3">
        <f>Rural_res_calculation!R42</f>
        <v>0</v>
      </c>
      <c r="S4" s="3">
        <f>Rural_res_calculation!S42</f>
        <v>0</v>
      </c>
      <c r="T4" s="3">
        <f>Rural_res_calculation!T42</f>
        <v>0</v>
      </c>
      <c r="U4" s="3">
        <f>Rural_res_calculation!U42</f>
        <v>0</v>
      </c>
      <c r="V4" s="3">
        <f>Rural_res_calculation!V42</f>
        <v>0</v>
      </c>
      <c r="W4" s="3">
        <f>Rural_res_calculation!W42</f>
        <v>0</v>
      </c>
      <c r="X4" s="3">
        <f>Rural_res_calculation!X42</f>
        <v>0</v>
      </c>
      <c r="Y4" s="3">
        <f>Rural_res_calculation!Y42</f>
        <v>0</v>
      </c>
      <c r="Z4" s="3">
        <f>Rural_res_calculation!Z42</f>
        <v>0</v>
      </c>
      <c r="AA4" s="3">
        <f>Rural_res_calculation!AA42</f>
        <v>0</v>
      </c>
      <c r="AB4" s="3">
        <f>Rural_res_calculation!AB42</f>
        <v>0</v>
      </c>
      <c r="AC4" s="3">
        <f>Rural_res_calculation!AC42</f>
        <v>0</v>
      </c>
      <c r="AD4" s="3">
        <f>Rural_res_calculation!AD42</f>
        <v>0</v>
      </c>
      <c r="AE4" s="3">
        <f>Rural_res_calculation!AE42</f>
        <v>0</v>
      </c>
      <c r="AF4" s="3">
        <f>Rural_res_calculation!AF42</f>
        <v>0</v>
      </c>
      <c r="AG4" s="3">
        <f>Rural_res_calculation!AG42</f>
        <v>0</v>
      </c>
    </row>
    <row r="5" spans="1:35" x14ac:dyDescent="0.3">
      <c r="A5" s="1" t="s">
        <v>5</v>
      </c>
      <c r="B5" s="3">
        <f>Rural_res_calculation!B43</f>
        <v>0</v>
      </c>
      <c r="C5" s="3">
        <f>Rural_res_calculation!C43</f>
        <v>0</v>
      </c>
      <c r="D5" s="3">
        <f>Rural_res_calculation!D43</f>
        <v>0</v>
      </c>
      <c r="E5" s="3">
        <f>Rural_res_calculation!E43</f>
        <v>0</v>
      </c>
      <c r="F5" s="3">
        <f>Rural_res_calculation!F43</f>
        <v>0</v>
      </c>
      <c r="G5" s="3">
        <f>Rural_res_calculation!G43</f>
        <v>0</v>
      </c>
      <c r="H5" s="3">
        <f>Rural_res_calculation!H43</f>
        <v>0</v>
      </c>
      <c r="I5" s="3">
        <f>Rural_res_calculation!I43</f>
        <v>0</v>
      </c>
      <c r="J5" s="3">
        <f>Rural_res_calculation!J43</f>
        <v>0</v>
      </c>
      <c r="K5" s="3">
        <f>Rural_res_calculation!K43</f>
        <v>0</v>
      </c>
      <c r="L5" s="3">
        <f>Rural_res_calculation!L43</f>
        <v>0</v>
      </c>
      <c r="M5" s="3">
        <f>Rural_res_calculation!M43</f>
        <v>0</v>
      </c>
      <c r="N5" s="3">
        <f>Rural_res_calculation!N43</f>
        <v>0</v>
      </c>
      <c r="O5" s="3">
        <f>Rural_res_calculation!O43</f>
        <v>0</v>
      </c>
      <c r="P5" s="3">
        <f>Rural_res_calculation!P43</f>
        <v>0</v>
      </c>
      <c r="Q5" s="3">
        <f>Rural_res_calculation!Q43</f>
        <v>0</v>
      </c>
      <c r="R5" s="3">
        <f>Rural_res_calculation!R43</f>
        <v>0</v>
      </c>
      <c r="S5" s="3">
        <f>Rural_res_calculation!S43</f>
        <v>0</v>
      </c>
      <c r="T5" s="3">
        <f>Rural_res_calculation!T43</f>
        <v>0</v>
      </c>
      <c r="U5" s="3">
        <f>Rural_res_calculation!U43</f>
        <v>0</v>
      </c>
      <c r="V5" s="3">
        <f>Rural_res_calculation!V43</f>
        <v>0</v>
      </c>
      <c r="W5" s="3">
        <f>Rural_res_calculation!W43</f>
        <v>0</v>
      </c>
      <c r="X5" s="3">
        <f>Rural_res_calculation!X43</f>
        <v>0</v>
      </c>
      <c r="Y5" s="3">
        <f>Rural_res_calculation!Y43</f>
        <v>0</v>
      </c>
      <c r="Z5" s="3">
        <f>Rural_res_calculation!Z43</f>
        <v>0</v>
      </c>
      <c r="AA5" s="3">
        <f>Rural_res_calculation!AA43</f>
        <v>0</v>
      </c>
      <c r="AB5" s="3">
        <f>Rural_res_calculation!AB43</f>
        <v>0</v>
      </c>
      <c r="AC5" s="3">
        <f>Rural_res_calculation!AC43</f>
        <v>0</v>
      </c>
      <c r="AD5" s="3">
        <f>Rural_res_calculation!AD43</f>
        <v>0</v>
      </c>
      <c r="AE5" s="3">
        <f>Rural_res_calculation!AE43</f>
        <v>0</v>
      </c>
      <c r="AF5" s="3">
        <f>Rural_res_calculation!AF43</f>
        <v>0</v>
      </c>
      <c r="AG5" s="3">
        <f>Rural_res_calculation!AG43</f>
        <v>0</v>
      </c>
    </row>
    <row r="6" spans="1:35" x14ac:dyDescent="0.3">
      <c r="A6" s="1" t="s">
        <v>7</v>
      </c>
      <c r="B6" s="3">
        <f>Rural_res_calculation!B44</f>
        <v>0</v>
      </c>
      <c r="C6" s="3">
        <f>Rural_res_calculation!C44</f>
        <v>0</v>
      </c>
      <c r="D6" s="3">
        <f>Rural_res_calculation!D44</f>
        <v>0</v>
      </c>
      <c r="E6" s="3">
        <f>Rural_res_calculation!E44</f>
        <v>0</v>
      </c>
      <c r="F6" s="3">
        <f>Rural_res_calculation!F44</f>
        <v>0</v>
      </c>
      <c r="G6" s="3">
        <f>Rural_res_calculation!G44</f>
        <v>0</v>
      </c>
      <c r="H6" s="3">
        <f>Rural_res_calculation!H44</f>
        <v>0</v>
      </c>
      <c r="I6" s="3">
        <f>Rural_res_calculation!I44</f>
        <v>0</v>
      </c>
      <c r="J6" s="3">
        <f>Rural_res_calculation!J44</f>
        <v>0</v>
      </c>
      <c r="K6" s="3">
        <f>Rural_res_calculation!K44</f>
        <v>0</v>
      </c>
      <c r="L6" s="3">
        <f>Rural_res_calculation!L44</f>
        <v>0</v>
      </c>
      <c r="M6" s="3">
        <f>Rural_res_calculation!M44</f>
        <v>0</v>
      </c>
      <c r="N6" s="3">
        <f>Rural_res_calculation!N44</f>
        <v>0</v>
      </c>
      <c r="O6" s="3">
        <f>Rural_res_calculation!O44</f>
        <v>0</v>
      </c>
      <c r="P6" s="3">
        <f>Rural_res_calculation!P44</f>
        <v>0</v>
      </c>
      <c r="Q6" s="3">
        <f>Rural_res_calculation!Q44</f>
        <v>0</v>
      </c>
      <c r="R6" s="3">
        <f>Rural_res_calculation!R44</f>
        <v>0</v>
      </c>
      <c r="S6" s="3">
        <f>Rural_res_calculation!S44</f>
        <v>0</v>
      </c>
      <c r="T6" s="3">
        <f>Rural_res_calculation!T44</f>
        <v>0</v>
      </c>
      <c r="U6" s="3">
        <f>Rural_res_calculation!U44</f>
        <v>0</v>
      </c>
      <c r="V6" s="3">
        <f>Rural_res_calculation!V44</f>
        <v>0</v>
      </c>
      <c r="W6" s="3">
        <f>Rural_res_calculation!W44</f>
        <v>0</v>
      </c>
      <c r="X6" s="3">
        <f>Rural_res_calculation!X44</f>
        <v>0</v>
      </c>
      <c r="Y6" s="3">
        <f>Rural_res_calculation!Y44</f>
        <v>0</v>
      </c>
      <c r="Z6" s="3">
        <f>Rural_res_calculation!Z44</f>
        <v>0</v>
      </c>
      <c r="AA6" s="3">
        <f>Rural_res_calculation!AA44</f>
        <v>0</v>
      </c>
      <c r="AB6" s="3">
        <f>Rural_res_calculation!AB44</f>
        <v>0</v>
      </c>
      <c r="AC6" s="3">
        <f>Rural_res_calculation!AC44</f>
        <v>0</v>
      </c>
      <c r="AD6" s="3">
        <f>Rural_res_calculation!AD44</f>
        <v>0</v>
      </c>
      <c r="AE6" s="3">
        <f>Rural_res_calculation!AE44</f>
        <v>0</v>
      </c>
      <c r="AF6" s="3">
        <f>Rural_res_calculation!AF44</f>
        <v>0</v>
      </c>
      <c r="AG6" s="3">
        <f>Rural_res_calculation!AG44</f>
        <v>0</v>
      </c>
    </row>
    <row r="7" spans="1:35" x14ac:dyDescent="0.3">
      <c r="A7" s="1" t="s">
        <v>11</v>
      </c>
      <c r="B7" s="3">
        <f>Rural_res_calculation!B45</f>
        <v>0</v>
      </c>
      <c r="C7" s="3">
        <f>Rural_res_calculation!C45</f>
        <v>0</v>
      </c>
      <c r="D7" s="3">
        <f>Rural_res_calculation!D45</f>
        <v>0</v>
      </c>
      <c r="E7" s="3">
        <f>Rural_res_calculation!E45</f>
        <v>0</v>
      </c>
      <c r="F7" s="3">
        <f>Rural_res_calculation!F45</f>
        <v>0</v>
      </c>
      <c r="G7" s="3">
        <f>Rural_res_calculation!G45</f>
        <v>0</v>
      </c>
      <c r="H7" s="3">
        <f>Rural_res_calculation!H45</f>
        <v>0</v>
      </c>
      <c r="I7" s="3">
        <f>Rural_res_calculation!I45</f>
        <v>0</v>
      </c>
      <c r="J7" s="3">
        <f>Rural_res_calculation!J45</f>
        <v>0</v>
      </c>
      <c r="K7" s="3">
        <f>Rural_res_calculation!K45</f>
        <v>0</v>
      </c>
      <c r="L7" s="3">
        <f>Rural_res_calculation!L45</f>
        <v>0</v>
      </c>
      <c r="M7" s="3">
        <f>Rural_res_calculation!M45</f>
        <v>0</v>
      </c>
      <c r="N7" s="3">
        <f>Rural_res_calculation!N45</f>
        <v>0</v>
      </c>
      <c r="O7" s="3">
        <f>Rural_res_calculation!O45</f>
        <v>0</v>
      </c>
      <c r="P7" s="3">
        <f>Rural_res_calculation!P45</f>
        <v>0</v>
      </c>
      <c r="Q7" s="3">
        <f>Rural_res_calculation!Q45</f>
        <v>0</v>
      </c>
      <c r="R7" s="3">
        <f>Rural_res_calculation!R45</f>
        <v>0</v>
      </c>
      <c r="S7" s="3">
        <f>Rural_res_calculation!S45</f>
        <v>0</v>
      </c>
      <c r="T7" s="3">
        <f>Rural_res_calculation!T45</f>
        <v>0</v>
      </c>
      <c r="U7" s="3">
        <f>Rural_res_calculation!U45</f>
        <v>0</v>
      </c>
      <c r="V7" s="3">
        <f>Rural_res_calculation!V45</f>
        <v>0</v>
      </c>
      <c r="W7" s="3">
        <f>Rural_res_calculation!W45</f>
        <v>0</v>
      </c>
      <c r="X7" s="3">
        <f>Rural_res_calculation!X45</f>
        <v>0</v>
      </c>
      <c r="Y7" s="3">
        <f>Rural_res_calculation!Y45</f>
        <v>0</v>
      </c>
      <c r="Z7" s="3">
        <f>Rural_res_calculation!Z45</f>
        <v>0</v>
      </c>
      <c r="AA7" s="3">
        <f>Rural_res_calculation!AA45</f>
        <v>0</v>
      </c>
      <c r="AB7" s="3">
        <f>Rural_res_calculation!AB45</f>
        <v>0</v>
      </c>
      <c r="AC7" s="3">
        <f>Rural_res_calculation!AC45</f>
        <v>0</v>
      </c>
      <c r="AD7" s="3">
        <f>Rural_res_calculation!AD45</f>
        <v>0</v>
      </c>
      <c r="AE7" s="3">
        <f>Rural_res_calculation!AE45</f>
        <v>0</v>
      </c>
      <c r="AF7" s="3">
        <f>Rural_res_calculation!AF45</f>
        <v>0</v>
      </c>
      <c r="AG7" s="3">
        <f>Rural_res_calculation!AG45</f>
        <v>0</v>
      </c>
    </row>
    <row r="8" spans="1:35" x14ac:dyDescent="0.3">
      <c r="A8" s="1" t="s">
        <v>13</v>
      </c>
      <c r="B8" s="3">
        <f>Rural_res_calculation!B46</f>
        <v>0</v>
      </c>
      <c r="C8" s="3">
        <f>Rural_res_calculation!C46</f>
        <v>0</v>
      </c>
      <c r="D8" s="3">
        <f>Rural_res_calculation!D46</f>
        <v>0</v>
      </c>
      <c r="E8" s="3">
        <f>Rural_res_calculation!E46</f>
        <v>0</v>
      </c>
      <c r="F8" s="3">
        <f>Rural_res_calculation!F46</f>
        <v>0</v>
      </c>
      <c r="G8" s="3">
        <f>Rural_res_calculation!G46</f>
        <v>0</v>
      </c>
      <c r="H8" s="3">
        <f>Rural_res_calculation!H46</f>
        <v>0</v>
      </c>
      <c r="I8" s="3">
        <f>Rural_res_calculation!I46</f>
        <v>0</v>
      </c>
      <c r="J8" s="3">
        <f>Rural_res_calculation!J46</f>
        <v>0</v>
      </c>
      <c r="K8" s="3">
        <f>Rural_res_calculation!K46</f>
        <v>0</v>
      </c>
      <c r="L8" s="3">
        <f>Rural_res_calculation!L46</f>
        <v>0</v>
      </c>
      <c r="M8" s="3">
        <f>Rural_res_calculation!M46</f>
        <v>0</v>
      </c>
      <c r="N8" s="3">
        <f>Rural_res_calculation!N46</f>
        <v>0</v>
      </c>
      <c r="O8" s="3">
        <f>Rural_res_calculation!O46</f>
        <v>0</v>
      </c>
      <c r="P8" s="3">
        <f>Rural_res_calculation!P46</f>
        <v>0</v>
      </c>
      <c r="Q8" s="3">
        <f>Rural_res_calculation!Q46</f>
        <v>0</v>
      </c>
      <c r="R8" s="3">
        <f>Rural_res_calculation!R46</f>
        <v>0</v>
      </c>
      <c r="S8" s="3">
        <f>Rural_res_calculation!S46</f>
        <v>0</v>
      </c>
      <c r="T8" s="3">
        <f>Rural_res_calculation!T46</f>
        <v>0</v>
      </c>
      <c r="U8" s="3">
        <f>Rural_res_calculation!U46</f>
        <v>0</v>
      </c>
      <c r="V8" s="3">
        <f>Rural_res_calculation!V46</f>
        <v>0</v>
      </c>
      <c r="W8" s="3">
        <f>Rural_res_calculation!W46</f>
        <v>0</v>
      </c>
      <c r="X8" s="3">
        <f>Rural_res_calculation!X46</f>
        <v>0</v>
      </c>
      <c r="Y8" s="3">
        <f>Rural_res_calculation!Y46</f>
        <v>0</v>
      </c>
      <c r="Z8" s="3">
        <f>Rural_res_calculation!Z46</f>
        <v>0</v>
      </c>
      <c r="AA8" s="3">
        <f>Rural_res_calculation!AA46</f>
        <v>0</v>
      </c>
      <c r="AB8" s="3">
        <f>Rural_res_calculation!AB46</f>
        <v>0</v>
      </c>
      <c r="AC8" s="3">
        <f>Rural_res_calculation!AC46</f>
        <v>0</v>
      </c>
      <c r="AD8" s="3">
        <f>Rural_res_calculation!AD46</f>
        <v>0</v>
      </c>
      <c r="AE8" s="3">
        <f>Rural_res_calculation!AE46</f>
        <v>0</v>
      </c>
      <c r="AF8" s="3">
        <f>Rural_res_calculation!AF46</f>
        <v>0</v>
      </c>
      <c r="AG8" s="3">
        <f>Rural_res_calculation!AG46</f>
        <v>0</v>
      </c>
    </row>
    <row r="9" spans="1:35" x14ac:dyDescent="0.3">
      <c r="A9" s="1" t="s">
        <v>14</v>
      </c>
      <c r="B9" s="3">
        <f>Rural_res_calculation!B47</f>
        <v>0</v>
      </c>
      <c r="C9" s="3">
        <f>Rural_res_calculation!C47</f>
        <v>0</v>
      </c>
      <c r="D9" s="3">
        <f>Rural_res_calculation!D47</f>
        <v>0</v>
      </c>
      <c r="E9" s="3">
        <f>Rural_res_calculation!E47</f>
        <v>0</v>
      </c>
      <c r="F9" s="3">
        <f>Rural_res_calculation!F47</f>
        <v>0</v>
      </c>
      <c r="G9" s="3">
        <f>Rural_res_calculation!G47</f>
        <v>0</v>
      </c>
      <c r="H9" s="3">
        <f>Rural_res_calculation!H47</f>
        <v>0</v>
      </c>
      <c r="I9" s="3">
        <f>Rural_res_calculation!I47</f>
        <v>0</v>
      </c>
      <c r="J9" s="3">
        <f>Rural_res_calculation!J47</f>
        <v>0</v>
      </c>
      <c r="K9" s="3">
        <f>Rural_res_calculation!K47</f>
        <v>0</v>
      </c>
      <c r="L9" s="3">
        <f>Rural_res_calculation!L47</f>
        <v>0</v>
      </c>
      <c r="M9" s="3">
        <f>Rural_res_calculation!M47</f>
        <v>0</v>
      </c>
      <c r="N9" s="3">
        <f>Rural_res_calculation!N47</f>
        <v>0</v>
      </c>
      <c r="O9" s="3">
        <f>Rural_res_calculation!O47</f>
        <v>0</v>
      </c>
      <c r="P9" s="3">
        <f>Rural_res_calculation!P47</f>
        <v>0</v>
      </c>
      <c r="Q9" s="3">
        <f>Rural_res_calculation!Q47</f>
        <v>0</v>
      </c>
      <c r="R9" s="3">
        <f>Rural_res_calculation!R47</f>
        <v>0</v>
      </c>
      <c r="S9" s="3">
        <f>Rural_res_calculation!S47</f>
        <v>0</v>
      </c>
      <c r="T9" s="3">
        <f>Rural_res_calculation!T47</f>
        <v>0</v>
      </c>
      <c r="U9" s="3">
        <f>Rural_res_calculation!U47</f>
        <v>0</v>
      </c>
      <c r="V9" s="3">
        <f>Rural_res_calculation!V47</f>
        <v>0</v>
      </c>
      <c r="W9" s="3">
        <f>Rural_res_calculation!W47</f>
        <v>0</v>
      </c>
      <c r="X9" s="3">
        <f>Rural_res_calculation!X47</f>
        <v>0</v>
      </c>
      <c r="Y9" s="3">
        <f>Rural_res_calculation!Y47</f>
        <v>0</v>
      </c>
      <c r="Z9" s="3">
        <f>Rural_res_calculation!Z47</f>
        <v>0</v>
      </c>
      <c r="AA9" s="3">
        <f>Rural_res_calculation!AA47</f>
        <v>0</v>
      </c>
      <c r="AB9" s="3">
        <f>Rural_res_calculation!AB47</f>
        <v>0</v>
      </c>
      <c r="AC9" s="3">
        <f>Rural_res_calculation!AC47</f>
        <v>0</v>
      </c>
      <c r="AD9" s="3">
        <f>Rural_res_calculation!AD47</f>
        <v>0</v>
      </c>
      <c r="AE9" s="3">
        <f>Rural_res_calculation!AE47</f>
        <v>0</v>
      </c>
      <c r="AF9" s="3">
        <f>Rural_res_calculation!AF47</f>
        <v>0</v>
      </c>
      <c r="AG9" s="3">
        <f>Rural_res_calculation!AG47</f>
        <v>0</v>
      </c>
    </row>
    <row r="10" spans="1:35" x14ac:dyDescent="0.3">
      <c r="A10" s="1" t="s">
        <v>15</v>
      </c>
      <c r="B10" s="3">
        <f>Rural_res_calculation!B48</f>
        <v>0</v>
      </c>
      <c r="C10" s="3">
        <f>Rural_res_calculation!C48</f>
        <v>0</v>
      </c>
      <c r="D10" s="3">
        <f>Rural_res_calculation!D48</f>
        <v>0</v>
      </c>
      <c r="E10" s="3">
        <f>Rural_res_calculation!E48</f>
        <v>0</v>
      </c>
      <c r="F10" s="3">
        <f>Rural_res_calculation!F48</f>
        <v>0</v>
      </c>
      <c r="G10" s="3">
        <f>Rural_res_calculation!G48</f>
        <v>0</v>
      </c>
      <c r="H10" s="3">
        <f>Rural_res_calculation!H48</f>
        <v>0</v>
      </c>
      <c r="I10" s="3">
        <f>Rural_res_calculation!I48</f>
        <v>0</v>
      </c>
      <c r="J10" s="3">
        <f>Rural_res_calculation!J48</f>
        <v>0</v>
      </c>
      <c r="K10" s="3">
        <f>Rural_res_calculation!K48</f>
        <v>0</v>
      </c>
      <c r="L10" s="3">
        <f>Rural_res_calculation!L48</f>
        <v>0</v>
      </c>
      <c r="M10" s="3">
        <f>Rural_res_calculation!M48</f>
        <v>0</v>
      </c>
      <c r="N10" s="3">
        <f>Rural_res_calculation!N48</f>
        <v>0</v>
      </c>
      <c r="O10" s="3">
        <f>Rural_res_calculation!O48</f>
        <v>0</v>
      </c>
      <c r="P10" s="3">
        <f>Rural_res_calculation!P48</f>
        <v>0</v>
      </c>
      <c r="Q10" s="3">
        <f>Rural_res_calculation!Q48</f>
        <v>0</v>
      </c>
      <c r="R10" s="3">
        <f>Rural_res_calculation!R48</f>
        <v>0</v>
      </c>
      <c r="S10" s="3">
        <f>Rural_res_calculation!S48</f>
        <v>0</v>
      </c>
      <c r="T10" s="3">
        <f>Rural_res_calculation!T48</f>
        <v>0</v>
      </c>
      <c r="U10" s="3">
        <f>Rural_res_calculation!U48</f>
        <v>0</v>
      </c>
      <c r="V10" s="3">
        <f>Rural_res_calculation!V48</f>
        <v>0</v>
      </c>
      <c r="W10" s="3">
        <f>Rural_res_calculation!W48</f>
        <v>0</v>
      </c>
      <c r="X10" s="3">
        <f>Rural_res_calculation!X48</f>
        <v>0</v>
      </c>
      <c r="Y10" s="3">
        <f>Rural_res_calculation!Y48</f>
        <v>0</v>
      </c>
      <c r="Z10" s="3">
        <f>Rural_res_calculation!Z48</f>
        <v>0</v>
      </c>
      <c r="AA10" s="3">
        <f>Rural_res_calculation!AA48</f>
        <v>0</v>
      </c>
      <c r="AB10" s="3">
        <f>Rural_res_calculation!AB48</f>
        <v>0</v>
      </c>
      <c r="AC10" s="3">
        <f>Rural_res_calculation!AC48</f>
        <v>0</v>
      </c>
      <c r="AD10" s="3">
        <f>Rural_res_calculation!AD48</f>
        <v>0</v>
      </c>
      <c r="AE10" s="3">
        <f>Rural_res_calculation!AE48</f>
        <v>0</v>
      </c>
      <c r="AF10" s="3">
        <f>Rural_res_calculation!AF48</f>
        <v>0</v>
      </c>
      <c r="AG10" s="3">
        <f>Rural_res_calculation!AG48</f>
        <v>0</v>
      </c>
    </row>
    <row r="11" spans="1:35" x14ac:dyDescent="0.3">
      <c r="A11" s="1" t="s">
        <v>16</v>
      </c>
      <c r="B11" s="3">
        <f>Rural_res_calculation!B49</f>
        <v>0</v>
      </c>
      <c r="C11" s="3">
        <f>Rural_res_calculation!C49</f>
        <v>0</v>
      </c>
      <c r="D11" s="3">
        <f>Rural_res_calculation!D49</f>
        <v>0</v>
      </c>
      <c r="E11" s="3">
        <f>Rural_res_calculation!E49</f>
        <v>0</v>
      </c>
      <c r="F11" s="3">
        <f>Rural_res_calculation!F49</f>
        <v>0</v>
      </c>
      <c r="G11" s="3">
        <f>Rural_res_calculation!G49</f>
        <v>0</v>
      </c>
      <c r="H11" s="3">
        <f>Rural_res_calculation!H49</f>
        <v>0</v>
      </c>
      <c r="I11" s="3">
        <f>Rural_res_calculation!I49</f>
        <v>0</v>
      </c>
      <c r="J11" s="3">
        <f>Rural_res_calculation!J49</f>
        <v>0</v>
      </c>
      <c r="K11" s="3">
        <f>Rural_res_calculation!K49</f>
        <v>0</v>
      </c>
      <c r="L11" s="3">
        <f>Rural_res_calculation!L49</f>
        <v>0</v>
      </c>
      <c r="M11" s="3">
        <f>Rural_res_calculation!M49</f>
        <v>0</v>
      </c>
      <c r="N11" s="3">
        <f>Rural_res_calculation!N49</f>
        <v>0</v>
      </c>
      <c r="O11" s="3">
        <f>Rural_res_calculation!O49</f>
        <v>0</v>
      </c>
      <c r="P11" s="3">
        <f>Rural_res_calculation!P49</f>
        <v>0</v>
      </c>
      <c r="Q11" s="3">
        <f>Rural_res_calculation!Q49</f>
        <v>0</v>
      </c>
      <c r="R11" s="3">
        <f>Rural_res_calculation!R49</f>
        <v>0</v>
      </c>
      <c r="S11" s="3">
        <f>Rural_res_calculation!S49</f>
        <v>0</v>
      </c>
      <c r="T11" s="3">
        <f>Rural_res_calculation!T49</f>
        <v>0</v>
      </c>
      <c r="U11" s="3">
        <f>Rural_res_calculation!U49</f>
        <v>0</v>
      </c>
      <c r="V11" s="3">
        <f>Rural_res_calculation!V49</f>
        <v>0</v>
      </c>
      <c r="W11" s="3">
        <f>Rural_res_calculation!W49</f>
        <v>0</v>
      </c>
      <c r="X11" s="3">
        <f>Rural_res_calculation!X49</f>
        <v>0</v>
      </c>
      <c r="Y11" s="3">
        <f>Rural_res_calculation!Y49</f>
        <v>0</v>
      </c>
      <c r="Z11" s="3">
        <f>Rural_res_calculation!Z49</f>
        <v>0</v>
      </c>
      <c r="AA11" s="3">
        <f>Rural_res_calculation!AA49</f>
        <v>0</v>
      </c>
      <c r="AB11" s="3">
        <f>Rural_res_calculation!AB49</f>
        <v>0</v>
      </c>
      <c r="AC11" s="3">
        <f>Rural_res_calculation!AC49</f>
        <v>0</v>
      </c>
      <c r="AD11" s="3">
        <f>Rural_res_calculation!AD49</f>
        <v>0</v>
      </c>
      <c r="AE11" s="3">
        <f>Rural_res_calculation!AE49</f>
        <v>0</v>
      </c>
      <c r="AF11" s="3">
        <f>Rural_res_calculation!AF49</f>
        <v>0</v>
      </c>
      <c r="AG11" s="3">
        <f>Rural_res_calculation!AG49</f>
        <v>0</v>
      </c>
    </row>
  </sheetData>
  <phoneticPr fontId="10" type="noConversion"/>
  <pageMargins left="0.7" right="0.7" top="0.75" bottom="0.75" header="0.3" footer="0.3"/>
  <pageSetup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I11"/>
  <sheetViews>
    <sheetView topLeftCell="T1" workbookViewId="0">
      <selection activeCell="AG2" sqref="B2:AG11"/>
    </sheetView>
  </sheetViews>
  <sheetFormatPr defaultRowHeight="16.5" x14ac:dyDescent="0.3"/>
  <cols>
    <col min="1" max="1" width="29.875" customWidth="1"/>
    <col min="2" max="2" width="9.625" customWidth="1"/>
    <col min="3" max="31" width="9.625" bestFit="1" customWidth="1"/>
    <col min="32" max="32" width="10.25" bestFit="1" customWidth="1"/>
    <col min="33" max="33" width="9.625" bestFit="1" customWidth="1"/>
  </cols>
  <sheetData>
    <row r="1" spans="1:35" x14ac:dyDescent="0.3">
      <c r="A1" s="1" t="s">
        <v>1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3">
      <c r="A2" s="1" t="s">
        <v>2</v>
      </c>
      <c r="B2" s="3">
        <f>Rural_res_calculation!B52</f>
        <v>14700000000000</v>
      </c>
      <c r="C2" s="3">
        <f>Rural_res_calculation!C52</f>
        <v>14733906158527.971</v>
      </c>
      <c r="D2" s="3">
        <f>Rural_res_calculation!D52</f>
        <v>16313730849927.158</v>
      </c>
      <c r="E2" s="3">
        <f>Rural_res_calculation!E52</f>
        <v>16411613235026.721</v>
      </c>
      <c r="F2" s="3">
        <f>Rural_res_calculation!F52</f>
        <v>16510082914436.881</v>
      </c>
      <c r="G2" s="3">
        <f>Rural_res_calculation!G52</f>
        <v>16609143411923.502</v>
      </c>
      <c r="H2" s="3">
        <f>Rural_res_calculation!H52</f>
        <v>16708798272395.043</v>
      </c>
      <c r="I2" s="3">
        <f>Rural_res_calculation!I52</f>
        <v>16809051062029.414</v>
      </c>
      <c r="J2" s="3">
        <f>Rural_res_calculation!J52</f>
        <v>16909905368401.59</v>
      </c>
      <c r="K2" s="3">
        <f>Rural_res_calculation!K52</f>
        <v>17011364800612</v>
      </c>
      <c r="L2" s="3">
        <f>Rural_res_calculation!L52</f>
        <v>17113432989415.672</v>
      </c>
      <c r="M2" s="3">
        <f>Rural_res_calculation!M52</f>
        <v>17216113587352.166</v>
      </c>
      <c r="N2" s="3">
        <f>Rural_res_calculation!N52</f>
        <v>17319410268876.279</v>
      </c>
      <c r="O2" s="3">
        <f>Rural_res_calculation!O52</f>
        <v>17423326730489.537</v>
      </c>
      <c r="P2" s="3">
        <f>Rural_res_calculation!P52</f>
        <v>17527866690872.475</v>
      </c>
      <c r="Q2" s="3">
        <f>Rural_res_calculation!Q52</f>
        <v>17633033891017.711</v>
      </c>
      <c r="R2" s="3">
        <f>Rural_res_calculation!R52</f>
        <v>17738832094363.816</v>
      </c>
      <c r="S2" s="3">
        <f>Rural_res_calculation!S52</f>
        <v>17845265086930</v>
      </c>
      <c r="T2" s="3">
        <f>Rural_res_calculation!T52</f>
        <v>17952336677451.582</v>
      </c>
      <c r="U2" s="3">
        <f>Rural_res_calculation!U52</f>
        <v>18060050697516.293</v>
      </c>
      <c r="V2" s="3">
        <f>Rural_res_calculation!V52</f>
        <v>18168411001701.391</v>
      </c>
      <c r="W2" s="3">
        <f>Rural_res_calculation!W52</f>
        <v>18277421467711.598</v>
      </c>
      <c r="X2" s="3">
        <f>Rural_res_calculation!X52</f>
        <v>18387085996517.867</v>
      </c>
      <c r="Y2" s="3">
        <f>Rural_res_calculation!Y52</f>
        <v>18497408512496.973</v>
      </c>
      <c r="Z2" s="3">
        <f>Rural_res_calculation!Z52</f>
        <v>18608392963571.953</v>
      </c>
      <c r="AA2" s="3">
        <f>Rural_res_calculation!AA52</f>
        <v>18720043321353.387</v>
      </c>
      <c r="AB2" s="3">
        <f>Rural_res_calculation!AB52</f>
        <v>18832363581281.508</v>
      </c>
      <c r="AC2" s="3">
        <f>Rural_res_calculation!AC52</f>
        <v>18945357762769.195</v>
      </c>
      <c r="AD2" s="3">
        <f>Rural_res_calculation!AD52</f>
        <v>19059029909345.813</v>
      </c>
      <c r="AE2" s="3">
        <f>Rural_res_calculation!AE52</f>
        <v>19173384088801.887</v>
      </c>
      <c r="AF2" s="3">
        <f>Rural_res_calculation!AF52</f>
        <v>19288424393334.699</v>
      </c>
      <c r="AG2" s="3">
        <f>Rural_res_calculation!AG52</f>
        <v>19404154939694.707</v>
      </c>
    </row>
    <row r="3" spans="1:35" x14ac:dyDescent="0.3">
      <c r="A3" s="1" t="s">
        <v>3</v>
      </c>
      <c r="B3" s="3">
        <f>Rural_res_calculation!B53</f>
        <v>0</v>
      </c>
      <c r="C3" s="3">
        <f>Rural_res_calculation!C53</f>
        <v>0</v>
      </c>
      <c r="D3" s="3">
        <f>Rural_res_calculation!D53</f>
        <v>0</v>
      </c>
      <c r="E3" s="3">
        <f>Rural_res_calculation!E53</f>
        <v>0</v>
      </c>
      <c r="F3" s="3">
        <f>Rural_res_calculation!F53</f>
        <v>0</v>
      </c>
      <c r="G3" s="3">
        <f>Rural_res_calculation!G53</f>
        <v>0</v>
      </c>
      <c r="H3" s="3">
        <f>Rural_res_calculation!H53</f>
        <v>0</v>
      </c>
      <c r="I3" s="3">
        <f>Rural_res_calculation!I53</f>
        <v>0</v>
      </c>
      <c r="J3" s="3">
        <f>Rural_res_calculation!J53</f>
        <v>0</v>
      </c>
      <c r="K3" s="3">
        <f>Rural_res_calculation!K53</f>
        <v>0</v>
      </c>
      <c r="L3" s="3">
        <f>Rural_res_calculation!L53</f>
        <v>0</v>
      </c>
      <c r="M3" s="3">
        <f>Rural_res_calculation!M53</f>
        <v>0</v>
      </c>
      <c r="N3" s="3">
        <f>Rural_res_calculation!N53</f>
        <v>0</v>
      </c>
      <c r="O3" s="3">
        <f>Rural_res_calculation!O53</f>
        <v>0</v>
      </c>
      <c r="P3" s="3">
        <f>Rural_res_calculation!P53</f>
        <v>0</v>
      </c>
      <c r="Q3" s="3">
        <f>Rural_res_calculation!Q53</f>
        <v>0</v>
      </c>
      <c r="R3" s="3">
        <f>Rural_res_calculation!R53</f>
        <v>0</v>
      </c>
      <c r="S3" s="3">
        <f>Rural_res_calculation!S53</f>
        <v>0</v>
      </c>
      <c r="T3" s="3">
        <f>Rural_res_calculation!T53</f>
        <v>0</v>
      </c>
      <c r="U3" s="3">
        <f>Rural_res_calculation!U53</f>
        <v>0</v>
      </c>
      <c r="V3" s="3">
        <f>Rural_res_calculation!V53</f>
        <v>0</v>
      </c>
      <c r="W3" s="3">
        <f>Rural_res_calculation!W53</f>
        <v>0</v>
      </c>
      <c r="X3" s="3">
        <f>Rural_res_calculation!X53</f>
        <v>0</v>
      </c>
      <c r="Y3" s="3">
        <f>Rural_res_calculation!Y53</f>
        <v>0</v>
      </c>
      <c r="Z3" s="3">
        <f>Rural_res_calculation!Z53</f>
        <v>0</v>
      </c>
      <c r="AA3" s="3">
        <f>Rural_res_calculation!AA53</f>
        <v>0</v>
      </c>
      <c r="AB3" s="3">
        <f>Rural_res_calculation!AB53</f>
        <v>0</v>
      </c>
      <c r="AC3" s="3">
        <f>Rural_res_calculation!AC53</f>
        <v>0</v>
      </c>
      <c r="AD3" s="3">
        <f>Rural_res_calculation!AD53</f>
        <v>0</v>
      </c>
      <c r="AE3" s="3">
        <f>Rural_res_calculation!AE53</f>
        <v>0</v>
      </c>
      <c r="AF3" s="3">
        <f>Rural_res_calculation!AF53</f>
        <v>0</v>
      </c>
      <c r="AG3" s="3">
        <f>Rural_res_calculation!AG53</f>
        <v>0</v>
      </c>
    </row>
    <row r="4" spans="1:35" x14ac:dyDescent="0.3">
      <c r="A4" s="1" t="s">
        <v>4</v>
      </c>
      <c r="B4" s="3">
        <f>Rural_res_calculation!B54</f>
        <v>6040000000000</v>
      </c>
      <c r="C4" s="3">
        <f>Rural_res_calculation!C54</f>
        <v>5831481274974.9873</v>
      </c>
      <c r="D4" s="3">
        <f>Rural_res_calculation!D54</f>
        <v>6121212334033.5098</v>
      </c>
      <c r="E4" s="3">
        <f>Rural_res_calculation!E54</f>
        <v>6072242635361.2412</v>
      </c>
      <c r="F4" s="3">
        <f>Rural_res_calculation!F54</f>
        <v>6023664694278.3516</v>
      </c>
      <c r="G4" s="3">
        <f>Rural_res_calculation!G54</f>
        <v>5975475376724.125</v>
      </c>
      <c r="H4" s="3">
        <f>Rural_res_calculation!H54</f>
        <v>5927671573710.332</v>
      </c>
      <c r="I4" s="3">
        <f>Rural_res_calculation!I54</f>
        <v>5880250201120.6494</v>
      </c>
      <c r="J4" s="3">
        <f>Rural_res_calculation!J54</f>
        <v>5833208199511.6846</v>
      </c>
      <c r="K4" s="3">
        <f>Rural_res_calculation!K54</f>
        <v>5786542533915.5908</v>
      </c>
      <c r="L4" s="3">
        <f>Rural_res_calculation!L54</f>
        <v>5740250193644.2656</v>
      </c>
      <c r="M4" s="3">
        <f>Rural_res_calculation!M54</f>
        <v>5694328192095.1113</v>
      </c>
      <c r="N4" s="3">
        <f>Rural_res_calculation!N54</f>
        <v>5648773566558.3506</v>
      </c>
      <c r="O4" s="3">
        <f>Rural_res_calculation!O54</f>
        <v>5603583378025.8838</v>
      </c>
      <c r="P4" s="3">
        <f>Rural_res_calculation!P54</f>
        <v>5558754711001.6768</v>
      </c>
      <c r="Q4" s="3">
        <f>Rural_res_calculation!Q54</f>
        <v>5514284673313.6631</v>
      </c>
      <c r="R4" s="3">
        <f>Rural_res_calculation!R54</f>
        <v>5470170395927.1533</v>
      </c>
      <c r="S4" s="3">
        <f>Rural_res_calculation!S54</f>
        <v>5426409032759.7363</v>
      </c>
      <c r="T4" s="3">
        <f>Rural_res_calculation!T54</f>
        <v>5382997760497.6582</v>
      </c>
      <c r="U4" s="3">
        <f>Rural_res_calculation!U54</f>
        <v>5339933778413.6768</v>
      </c>
      <c r="V4" s="3">
        <f>Rural_res_calculation!V54</f>
        <v>5297214308186.3672</v>
      </c>
      <c r="W4" s="3">
        <f>Rural_res_calculation!W54</f>
        <v>5254836593720.876</v>
      </c>
      <c r="X4" s="3">
        <f>Rural_res_calculation!X54</f>
        <v>5212797900971.1094</v>
      </c>
      <c r="Y4" s="3">
        <f>Rural_res_calculation!Y54</f>
        <v>5171095517763.3408</v>
      </c>
      <c r="Z4" s="3">
        <f>Rural_res_calculation!Z54</f>
        <v>5129726753621.2344</v>
      </c>
      <c r="AA4" s="3">
        <f>Rural_res_calculation!AA54</f>
        <v>5088688939592.2646</v>
      </c>
      <c r="AB4" s="3">
        <f>Rural_res_calculation!AB54</f>
        <v>5047979428075.5264</v>
      </c>
      <c r="AC4" s="3">
        <f>Rural_res_calculation!AC54</f>
        <v>5007595592650.9219</v>
      </c>
      <c r="AD4" s="3">
        <f>Rural_res_calculation!AD54</f>
        <v>4967534827909.7148</v>
      </c>
      <c r="AE4" s="3">
        <f>Rural_res_calculation!AE54</f>
        <v>4927794549286.4375</v>
      </c>
      <c r="AF4" s="3">
        <f>Rural_res_calculation!AF54</f>
        <v>4888372192892.1455</v>
      </c>
      <c r="AG4" s="3">
        <f>Rural_res_calculation!AG54</f>
        <v>4849265215349.0088</v>
      </c>
    </row>
    <row r="5" spans="1:35" x14ac:dyDescent="0.3">
      <c r="A5" s="1" t="s">
        <v>5</v>
      </c>
      <c r="B5" s="3">
        <f>Rural_res_calculation!B55</f>
        <v>0</v>
      </c>
      <c r="C5" s="3">
        <f>Rural_res_calculation!C55</f>
        <v>0</v>
      </c>
      <c r="D5" s="3">
        <f>Rural_res_calculation!D55</f>
        <v>0</v>
      </c>
      <c r="E5" s="3">
        <f>Rural_res_calculation!E55</f>
        <v>0</v>
      </c>
      <c r="F5" s="3">
        <f>Rural_res_calculation!F55</f>
        <v>0</v>
      </c>
      <c r="G5" s="3">
        <f>Rural_res_calculation!G55</f>
        <v>0</v>
      </c>
      <c r="H5" s="3">
        <f>Rural_res_calculation!H55</f>
        <v>0</v>
      </c>
      <c r="I5" s="3">
        <f>Rural_res_calculation!I55</f>
        <v>0</v>
      </c>
      <c r="J5" s="3">
        <f>Rural_res_calculation!J55</f>
        <v>0</v>
      </c>
      <c r="K5" s="3">
        <f>Rural_res_calculation!K55</f>
        <v>0</v>
      </c>
      <c r="L5" s="3">
        <f>Rural_res_calculation!L55</f>
        <v>0</v>
      </c>
      <c r="M5" s="3">
        <f>Rural_res_calculation!M55</f>
        <v>0</v>
      </c>
      <c r="N5" s="3">
        <f>Rural_res_calculation!N55</f>
        <v>0</v>
      </c>
      <c r="O5" s="3">
        <f>Rural_res_calculation!O55</f>
        <v>0</v>
      </c>
      <c r="P5" s="3">
        <f>Rural_res_calculation!P55</f>
        <v>0</v>
      </c>
      <c r="Q5" s="3">
        <f>Rural_res_calculation!Q55</f>
        <v>0</v>
      </c>
      <c r="R5" s="3">
        <f>Rural_res_calculation!R55</f>
        <v>0</v>
      </c>
      <c r="S5" s="3">
        <f>Rural_res_calculation!S55</f>
        <v>0</v>
      </c>
      <c r="T5" s="3">
        <f>Rural_res_calculation!T55</f>
        <v>0</v>
      </c>
      <c r="U5" s="3">
        <f>Rural_res_calculation!U55</f>
        <v>0</v>
      </c>
      <c r="V5" s="3">
        <f>Rural_res_calculation!V55</f>
        <v>0</v>
      </c>
      <c r="W5" s="3">
        <f>Rural_res_calculation!W55</f>
        <v>0</v>
      </c>
      <c r="X5" s="3">
        <f>Rural_res_calculation!X55</f>
        <v>0</v>
      </c>
      <c r="Y5" s="3">
        <f>Rural_res_calculation!Y55</f>
        <v>0</v>
      </c>
      <c r="Z5" s="3">
        <f>Rural_res_calculation!Z55</f>
        <v>0</v>
      </c>
      <c r="AA5" s="3">
        <f>Rural_res_calculation!AA55</f>
        <v>0</v>
      </c>
      <c r="AB5" s="3">
        <f>Rural_res_calculation!AB55</f>
        <v>0</v>
      </c>
      <c r="AC5" s="3">
        <f>Rural_res_calculation!AC55</f>
        <v>0</v>
      </c>
      <c r="AD5" s="3">
        <f>Rural_res_calculation!AD55</f>
        <v>0</v>
      </c>
      <c r="AE5" s="3">
        <f>Rural_res_calculation!AE55</f>
        <v>0</v>
      </c>
      <c r="AF5" s="3">
        <f>Rural_res_calculation!AF55</f>
        <v>0</v>
      </c>
      <c r="AG5" s="3">
        <f>Rural_res_calculation!AG55</f>
        <v>0</v>
      </c>
    </row>
    <row r="6" spans="1:35" x14ac:dyDescent="0.3">
      <c r="A6" s="1" t="s">
        <v>7</v>
      </c>
      <c r="B6" s="3">
        <f>Rural_res_calculation!B56</f>
        <v>0</v>
      </c>
      <c r="C6" s="3">
        <f>Rural_res_calculation!C56</f>
        <v>0</v>
      </c>
      <c r="D6" s="3">
        <f>Rural_res_calculation!D56</f>
        <v>0</v>
      </c>
      <c r="E6" s="3">
        <f>Rural_res_calculation!E56</f>
        <v>0</v>
      </c>
      <c r="F6" s="3">
        <f>Rural_res_calculation!F56</f>
        <v>0</v>
      </c>
      <c r="G6" s="3">
        <f>Rural_res_calculation!G56</f>
        <v>0</v>
      </c>
      <c r="H6" s="3">
        <f>Rural_res_calculation!H56</f>
        <v>0</v>
      </c>
      <c r="I6" s="3">
        <f>Rural_res_calculation!I56</f>
        <v>0</v>
      </c>
      <c r="J6" s="3">
        <f>Rural_res_calculation!J56</f>
        <v>0</v>
      </c>
      <c r="K6" s="3">
        <f>Rural_res_calculation!K56</f>
        <v>0</v>
      </c>
      <c r="L6" s="3">
        <f>Rural_res_calculation!L56</f>
        <v>0</v>
      </c>
      <c r="M6" s="3">
        <f>Rural_res_calculation!M56</f>
        <v>0</v>
      </c>
      <c r="N6" s="3">
        <f>Rural_res_calculation!N56</f>
        <v>0</v>
      </c>
      <c r="O6" s="3">
        <f>Rural_res_calculation!O56</f>
        <v>0</v>
      </c>
      <c r="P6" s="3">
        <f>Rural_res_calculation!P56</f>
        <v>0</v>
      </c>
      <c r="Q6" s="3">
        <f>Rural_res_calculation!Q56</f>
        <v>0</v>
      </c>
      <c r="R6" s="3">
        <f>Rural_res_calculation!R56</f>
        <v>0</v>
      </c>
      <c r="S6" s="3">
        <f>Rural_res_calculation!S56</f>
        <v>0</v>
      </c>
      <c r="T6" s="3">
        <f>Rural_res_calculation!T56</f>
        <v>0</v>
      </c>
      <c r="U6" s="3">
        <f>Rural_res_calculation!U56</f>
        <v>0</v>
      </c>
      <c r="V6" s="3">
        <f>Rural_res_calculation!V56</f>
        <v>0</v>
      </c>
      <c r="W6" s="3">
        <f>Rural_res_calculation!W56</f>
        <v>0</v>
      </c>
      <c r="X6" s="3">
        <f>Rural_res_calculation!X56</f>
        <v>0</v>
      </c>
      <c r="Y6" s="3">
        <f>Rural_res_calculation!Y56</f>
        <v>0</v>
      </c>
      <c r="Z6" s="3">
        <f>Rural_res_calculation!Z56</f>
        <v>0</v>
      </c>
      <c r="AA6" s="3">
        <f>Rural_res_calculation!AA56</f>
        <v>0</v>
      </c>
      <c r="AB6" s="3">
        <f>Rural_res_calculation!AB56</f>
        <v>0</v>
      </c>
      <c r="AC6" s="3">
        <f>Rural_res_calculation!AC56</f>
        <v>0</v>
      </c>
      <c r="AD6" s="3">
        <f>Rural_res_calculation!AD56</f>
        <v>0</v>
      </c>
      <c r="AE6" s="3">
        <f>Rural_res_calculation!AE56</f>
        <v>0</v>
      </c>
      <c r="AF6" s="3">
        <f>Rural_res_calculation!AF56</f>
        <v>0</v>
      </c>
      <c r="AG6" s="3">
        <f>Rural_res_calculation!AG56</f>
        <v>0</v>
      </c>
    </row>
    <row r="7" spans="1:35" x14ac:dyDescent="0.3">
      <c r="A7" s="1" t="s">
        <v>11</v>
      </c>
      <c r="B7" s="3">
        <f>Rural_res_calculation!B57</f>
        <v>0</v>
      </c>
      <c r="C7" s="3">
        <f>Rural_res_calculation!C57</f>
        <v>0</v>
      </c>
      <c r="D7" s="3">
        <f>Rural_res_calculation!D57</f>
        <v>0</v>
      </c>
      <c r="E7" s="3">
        <f>Rural_res_calculation!E57</f>
        <v>0</v>
      </c>
      <c r="F7" s="3">
        <f>Rural_res_calculation!F57</f>
        <v>0</v>
      </c>
      <c r="G7" s="3">
        <f>Rural_res_calculation!G57</f>
        <v>0</v>
      </c>
      <c r="H7" s="3">
        <f>Rural_res_calculation!H57</f>
        <v>0</v>
      </c>
      <c r="I7" s="3">
        <f>Rural_res_calculation!I57</f>
        <v>0</v>
      </c>
      <c r="J7" s="3">
        <f>Rural_res_calculation!J57</f>
        <v>0</v>
      </c>
      <c r="K7" s="3">
        <f>Rural_res_calculation!K57</f>
        <v>0</v>
      </c>
      <c r="L7" s="3">
        <f>Rural_res_calculation!L57</f>
        <v>0</v>
      </c>
      <c r="M7" s="3">
        <f>Rural_res_calculation!M57</f>
        <v>0</v>
      </c>
      <c r="N7" s="3">
        <f>Rural_res_calculation!N57</f>
        <v>0</v>
      </c>
      <c r="O7" s="3">
        <f>Rural_res_calculation!O57</f>
        <v>0</v>
      </c>
      <c r="P7" s="3">
        <f>Rural_res_calculation!P57</f>
        <v>0</v>
      </c>
      <c r="Q7" s="3">
        <f>Rural_res_calculation!Q57</f>
        <v>0</v>
      </c>
      <c r="R7" s="3">
        <f>Rural_res_calculation!R57</f>
        <v>0</v>
      </c>
      <c r="S7" s="3">
        <f>Rural_res_calculation!S57</f>
        <v>0</v>
      </c>
      <c r="T7" s="3">
        <f>Rural_res_calculation!T57</f>
        <v>0</v>
      </c>
      <c r="U7" s="3">
        <f>Rural_res_calculation!U57</f>
        <v>0</v>
      </c>
      <c r="V7" s="3">
        <f>Rural_res_calculation!V57</f>
        <v>0</v>
      </c>
      <c r="W7" s="3">
        <f>Rural_res_calculation!W57</f>
        <v>0</v>
      </c>
      <c r="X7" s="3">
        <f>Rural_res_calculation!X57</f>
        <v>0</v>
      </c>
      <c r="Y7" s="3">
        <f>Rural_res_calculation!Y57</f>
        <v>0</v>
      </c>
      <c r="Z7" s="3">
        <f>Rural_res_calculation!Z57</f>
        <v>0</v>
      </c>
      <c r="AA7" s="3">
        <f>Rural_res_calculation!AA57</f>
        <v>0</v>
      </c>
      <c r="AB7" s="3">
        <f>Rural_res_calculation!AB57</f>
        <v>0</v>
      </c>
      <c r="AC7" s="3">
        <f>Rural_res_calculation!AC57</f>
        <v>0</v>
      </c>
      <c r="AD7" s="3">
        <f>Rural_res_calculation!AD57</f>
        <v>0</v>
      </c>
      <c r="AE7" s="3">
        <f>Rural_res_calculation!AE57</f>
        <v>0</v>
      </c>
      <c r="AF7" s="3">
        <f>Rural_res_calculation!AF57</f>
        <v>0</v>
      </c>
      <c r="AG7" s="3">
        <f>Rural_res_calculation!AG57</f>
        <v>0</v>
      </c>
    </row>
    <row r="8" spans="1:35" x14ac:dyDescent="0.3">
      <c r="A8" s="1" t="s">
        <v>13</v>
      </c>
      <c r="B8" s="3">
        <f>Rural_res_calculation!B58</f>
        <v>0</v>
      </c>
      <c r="C8" s="3">
        <f>Rural_res_calculation!C58</f>
        <v>0</v>
      </c>
      <c r="D8" s="3">
        <f>Rural_res_calculation!D58</f>
        <v>0</v>
      </c>
      <c r="E8" s="3">
        <f>Rural_res_calculation!E58</f>
        <v>0</v>
      </c>
      <c r="F8" s="3">
        <f>Rural_res_calculation!F58</f>
        <v>0</v>
      </c>
      <c r="G8" s="3">
        <f>Rural_res_calculation!G58</f>
        <v>0</v>
      </c>
      <c r="H8" s="3">
        <f>Rural_res_calculation!H58</f>
        <v>0</v>
      </c>
      <c r="I8" s="3">
        <f>Rural_res_calculation!I58</f>
        <v>0</v>
      </c>
      <c r="J8" s="3">
        <f>Rural_res_calculation!J58</f>
        <v>0</v>
      </c>
      <c r="K8" s="3">
        <f>Rural_res_calculation!K58</f>
        <v>0</v>
      </c>
      <c r="L8" s="3">
        <f>Rural_res_calculation!L58</f>
        <v>0</v>
      </c>
      <c r="M8" s="3">
        <f>Rural_res_calculation!M58</f>
        <v>0</v>
      </c>
      <c r="N8" s="3">
        <f>Rural_res_calculation!N58</f>
        <v>0</v>
      </c>
      <c r="O8" s="3">
        <f>Rural_res_calculation!O58</f>
        <v>0</v>
      </c>
      <c r="P8" s="3">
        <f>Rural_res_calculation!P58</f>
        <v>0</v>
      </c>
      <c r="Q8" s="3">
        <f>Rural_res_calculation!Q58</f>
        <v>0</v>
      </c>
      <c r="R8" s="3">
        <f>Rural_res_calculation!R58</f>
        <v>0</v>
      </c>
      <c r="S8" s="3">
        <f>Rural_res_calculation!S58</f>
        <v>0</v>
      </c>
      <c r="T8" s="3">
        <f>Rural_res_calculation!T58</f>
        <v>0</v>
      </c>
      <c r="U8" s="3">
        <f>Rural_res_calculation!U58</f>
        <v>0</v>
      </c>
      <c r="V8" s="3">
        <f>Rural_res_calculation!V58</f>
        <v>0</v>
      </c>
      <c r="W8" s="3">
        <f>Rural_res_calculation!W58</f>
        <v>0</v>
      </c>
      <c r="X8" s="3">
        <f>Rural_res_calculation!X58</f>
        <v>0</v>
      </c>
      <c r="Y8" s="3">
        <f>Rural_res_calculation!Y58</f>
        <v>0</v>
      </c>
      <c r="Z8" s="3">
        <f>Rural_res_calculation!Z58</f>
        <v>0</v>
      </c>
      <c r="AA8" s="3">
        <f>Rural_res_calculation!AA58</f>
        <v>0</v>
      </c>
      <c r="AB8" s="3">
        <f>Rural_res_calculation!AB58</f>
        <v>0</v>
      </c>
      <c r="AC8" s="3">
        <f>Rural_res_calculation!AC58</f>
        <v>0</v>
      </c>
      <c r="AD8" s="3">
        <f>Rural_res_calculation!AD58</f>
        <v>0</v>
      </c>
      <c r="AE8" s="3">
        <f>Rural_res_calculation!AE58</f>
        <v>0</v>
      </c>
      <c r="AF8" s="3">
        <f>Rural_res_calculation!AF58</f>
        <v>0</v>
      </c>
      <c r="AG8" s="3">
        <f>Rural_res_calculation!AG58</f>
        <v>0</v>
      </c>
    </row>
    <row r="9" spans="1:35" x14ac:dyDescent="0.3">
      <c r="A9" s="1" t="s">
        <v>14</v>
      </c>
      <c r="B9" s="3">
        <f>Rural_res_calculation!B59</f>
        <v>0</v>
      </c>
      <c r="C9" s="3">
        <f>Rural_res_calculation!C59</f>
        <v>0</v>
      </c>
      <c r="D9" s="3">
        <f>Rural_res_calculation!D59</f>
        <v>0</v>
      </c>
      <c r="E9" s="3">
        <f>Rural_res_calculation!E59</f>
        <v>0</v>
      </c>
      <c r="F9" s="3">
        <f>Rural_res_calculation!F59</f>
        <v>0</v>
      </c>
      <c r="G9" s="3">
        <f>Rural_res_calculation!G59</f>
        <v>0</v>
      </c>
      <c r="H9" s="3">
        <f>Rural_res_calculation!H59</f>
        <v>0</v>
      </c>
      <c r="I9" s="3">
        <f>Rural_res_calculation!I59</f>
        <v>0</v>
      </c>
      <c r="J9" s="3">
        <f>Rural_res_calculation!J59</f>
        <v>0</v>
      </c>
      <c r="K9" s="3">
        <f>Rural_res_calculation!K59</f>
        <v>0</v>
      </c>
      <c r="L9" s="3">
        <f>Rural_res_calculation!L59</f>
        <v>0</v>
      </c>
      <c r="M9" s="3">
        <f>Rural_res_calculation!M59</f>
        <v>0</v>
      </c>
      <c r="N9" s="3">
        <f>Rural_res_calculation!N59</f>
        <v>0</v>
      </c>
      <c r="O9" s="3">
        <f>Rural_res_calculation!O59</f>
        <v>0</v>
      </c>
      <c r="P9" s="3">
        <f>Rural_res_calculation!P59</f>
        <v>0</v>
      </c>
      <c r="Q9" s="3">
        <f>Rural_res_calculation!Q59</f>
        <v>0</v>
      </c>
      <c r="R9" s="3">
        <f>Rural_res_calculation!R59</f>
        <v>0</v>
      </c>
      <c r="S9" s="3">
        <f>Rural_res_calculation!S59</f>
        <v>0</v>
      </c>
      <c r="T9" s="3">
        <f>Rural_res_calculation!T59</f>
        <v>0</v>
      </c>
      <c r="U9" s="3">
        <f>Rural_res_calculation!U59</f>
        <v>0</v>
      </c>
      <c r="V9" s="3">
        <f>Rural_res_calculation!V59</f>
        <v>0</v>
      </c>
      <c r="W9" s="3">
        <f>Rural_res_calculation!W59</f>
        <v>0</v>
      </c>
      <c r="X9" s="3">
        <f>Rural_res_calculation!X59</f>
        <v>0</v>
      </c>
      <c r="Y9" s="3">
        <f>Rural_res_calculation!Y59</f>
        <v>0</v>
      </c>
      <c r="Z9" s="3">
        <f>Rural_res_calculation!Z59</f>
        <v>0</v>
      </c>
      <c r="AA9" s="3">
        <f>Rural_res_calculation!AA59</f>
        <v>0</v>
      </c>
      <c r="AB9" s="3">
        <f>Rural_res_calculation!AB59</f>
        <v>0</v>
      </c>
      <c r="AC9" s="3">
        <f>Rural_res_calculation!AC59</f>
        <v>0</v>
      </c>
      <c r="AD9" s="3">
        <f>Rural_res_calculation!AD59</f>
        <v>0</v>
      </c>
      <c r="AE9" s="3">
        <f>Rural_res_calculation!AE59</f>
        <v>0</v>
      </c>
      <c r="AF9" s="3">
        <f>Rural_res_calculation!AF59</f>
        <v>0</v>
      </c>
      <c r="AG9" s="3">
        <f>Rural_res_calculation!AG59</f>
        <v>0</v>
      </c>
    </row>
    <row r="10" spans="1:35" x14ac:dyDescent="0.3">
      <c r="A10" s="1" t="s">
        <v>15</v>
      </c>
      <c r="B10" s="3">
        <f>Rural_res_calculation!B60</f>
        <v>401000000000</v>
      </c>
      <c r="C10" s="3">
        <f>Rural_res_calculation!C60</f>
        <v>378532330479.90826</v>
      </c>
      <c r="D10" s="3">
        <f>Rural_res_calculation!D60</f>
        <v>377843591907.50012</v>
      </c>
      <c r="E10" s="3">
        <f>Rural_res_calculation!E60</f>
        <v>361974161047.38513</v>
      </c>
      <c r="F10" s="3">
        <f>Rural_res_calculation!F60</f>
        <v>346771246283.39496</v>
      </c>
      <c r="G10" s="3">
        <f>Rural_res_calculation!G60</f>
        <v>332206853939.49237</v>
      </c>
      <c r="H10" s="3">
        <f>Rural_res_calculation!H60</f>
        <v>318254166074.03369</v>
      </c>
      <c r="I10" s="3">
        <f>Rural_res_calculation!I60</f>
        <v>304887491098.92426</v>
      </c>
      <c r="J10" s="3">
        <f>Rural_res_calculation!J60</f>
        <v>292082216472.76941</v>
      </c>
      <c r="K10" s="3">
        <f>Rural_res_calculation!K60</f>
        <v>279814763380.91309</v>
      </c>
      <c r="L10" s="3">
        <f>Rural_res_calculation!L60</f>
        <v>268062543318.91473</v>
      </c>
      <c r="M10" s="3">
        <f>Rural_res_calculation!M60</f>
        <v>256803916499.52029</v>
      </c>
      <c r="N10" s="3">
        <f>Rural_res_calculation!N60</f>
        <v>246018152006.54044</v>
      </c>
      <c r="O10" s="3">
        <f>Rural_res_calculation!O60</f>
        <v>235685389622.26572</v>
      </c>
      <c r="P10" s="3">
        <f>Rural_res_calculation!P60</f>
        <v>225786603258.13055</v>
      </c>
      <c r="Q10" s="3">
        <f>Rural_res_calculation!Q60</f>
        <v>216303565921.28906</v>
      </c>
      <c r="R10" s="3">
        <f>Rural_res_calculation!R60</f>
        <v>207218816152.59491</v>
      </c>
      <c r="S10" s="3">
        <f>Rural_res_calculation!S60</f>
        <v>198515625874.18591</v>
      </c>
      <c r="T10" s="3">
        <f>Rural_res_calculation!T60</f>
        <v>190177969587.47009</v>
      </c>
      <c r="U10" s="3">
        <f>Rural_res_calculation!U60</f>
        <v>182190494864.79636</v>
      </c>
      <c r="V10" s="3">
        <f>Rural_res_calculation!V60</f>
        <v>174538494080.47491</v>
      </c>
      <c r="W10" s="3">
        <f>Rural_res_calculation!W60</f>
        <v>167207877329.09497</v>
      </c>
      <c r="X10" s="3">
        <f>Rural_res_calculation!X60</f>
        <v>160185146481.27298</v>
      </c>
      <c r="Y10" s="3">
        <f>Rural_res_calculation!Y60</f>
        <v>153457370329.05951</v>
      </c>
      <c r="Z10" s="3">
        <f>Rural_res_calculation!Z60</f>
        <v>147012160775.23901</v>
      </c>
      <c r="AA10" s="3">
        <f>Rural_res_calculation!AA60</f>
        <v>140837650022.67896</v>
      </c>
      <c r="AB10" s="3">
        <f>Rural_res_calculation!AB60</f>
        <v>134922468721.72644</v>
      </c>
      <c r="AC10" s="3">
        <f>Rural_res_calculation!AC60</f>
        <v>129255725035.41393</v>
      </c>
      <c r="AD10" s="3">
        <f>Rural_res_calculation!AD60</f>
        <v>123826984583.92653</v>
      </c>
      <c r="AE10" s="3">
        <f>Rural_res_calculation!AE60</f>
        <v>118626251231.40161</v>
      </c>
      <c r="AF10" s="3">
        <f>Rural_res_calculation!AF60</f>
        <v>113643948679.68274</v>
      </c>
      <c r="AG10" s="3">
        <f>Rural_res_calculation!AG60</f>
        <v>108870902835.13606</v>
      </c>
    </row>
    <row r="11" spans="1:35" x14ac:dyDescent="0.3">
      <c r="A11" s="1" t="s">
        <v>16</v>
      </c>
      <c r="B11" s="3">
        <f>Rural_res_calculation!B61</f>
        <v>0</v>
      </c>
      <c r="C11" s="3">
        <f>Rural_res_calculation!C61</f>
        <v>0</v>
      </c>
      <c r="D11" s="3">
        <f>Rural_res_calculation!D61</f>
        <v>0</v>
      </c>
      <c r="E11" s="3">
        <f>Rural_res_calculation!E61</f>
        <v>0</v>
      </c>
      <c r="F11" s="3">
        <f>Rural_res_calculation!F61</f>
        <v>0</v>
      </c>
      <c r="G11" s="3">
        <f>Rural_res_calculation!G61</f>
        <v>0</v>
      </c>
      <c r="H11" s="3">
        <f>Rural_res_calculation!H61</f>
        <v>0</v>
      </c>
      <c r="I11" s="3">
        <f>Rural_res_calculation!I61</f>
        <v>0</v>
      </c>
      <c r="J11" s="3">
        <f>Rural_res_calculation!J61</f>
        <v>0</v>
      </c>
      <c r="K11" s="3">
        <f>Rural_res_calculation!K61</f>
        <v>0</v>
      </c>
      <c r="L11" s="3">
        <f>Rural_res_calculation!L61</f>
        <v>0</v>
      </c>
      <c r="M11" s="3">
        <f>Rural_res_calculation!M61</f>
        <v>0</v>
      </c>
      <c r="N11" s="3">
        <f>Rural_res_calculation!N61</f>
        <v>0</v>
      </c>
      <c r="O11" s="3">
        <f>Rural_res_calculation!O61</f>
        <v>0</v>
      </c>
      <c r="P11" s="3">
        <f>Rural_res_calculation!P61</f>
        <v>0</v>
      </c>
      <c r="Q11" s="3">
        <f>Rural_res_calculation!Q61</f>
        <v>0</v>
      </c>
      <c r="R11" s="3">
        <f>Rural_res_calculation!R61</f>
        <v>0</v>
      </c>
      <c r="S11" s="3">
        <f>Rural_res_calculation!S61</f>
        <v>0</v>
      </c>
      <c r="T11" s="3">
        <f>Rural_res_calculation!T61</f>
        <v>0</v>
      </c>
      <c r="U11" s="3">
        <f>Rural_res_calculation!U61</f>
        <v>0</v>
      </c>
      <c r="V11" s="3">
        <f>Rural_res_calculation!V61</f>
        <v>0</v>
      </c>
      <c r="W11" s="3">
        <f>Rural_res_calculation!W61</f>
        <v>0</v>
      </c>
      <c r="X11" s="3">
        <f>Rural_res_calculation!X61</f>
        <v>0</v>
      </c>
      <c r="Y11" s="3">
        <f>Rural_res_calculation!Y61</f>
        <v>0</v>
      </c>
      <c r="Z11" s="3">
        <f>Rural_res_calculation!Z61</f>
        <v>0</v>
      </c>
      <c r="AA11" s="3">
        <f>Rural_res_calculation!AA61</f>
        <v>0</v>
      </c>
      <c r="AB11" s="3">
        <f>Rural_res_calculation!AB61</f>
        <v>0</v>
      </c>
      <c r="AC11" s="3">
        <f>Rural_res_calculation!AC61</f>
        <v>0</v>
      </c>
      <c r="AD11" s="3">
        <f>Rural_res_calculation!AD61</f>
        <v>0</v>
      </c>
      <c r="AE11" s="3">
        <f>Rural_res_calculation!AE61</f>
        <v>0</v>
      </c>
      <c r="AF11" s="3">
        <f>Rural_res_calculation!AF61</f>
        <v>0</v>
      </c>
      <c r="AG11" s="3">
        <f>Rural_res_calculation!AG61</f>
        <v>0</v>
      </c>
    </row>
  </sheetData>
  <phoneticPr fontId="10" type="noConversion"/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I11"/>
  <sheetViews>
    <sheetView topLeftCell="T1" workbookViewId="0">
      <selection activeCell="AF2" sqref="AF2"/>
    </sheetView>
  </sheetViews>
  <sheetFormatPr defaultRowHeight="16.5" x14ac:dyDescent="0.3"/>
  <cols>
    <col min="1" max="1" width="29.875" customWidth="1"/>
    <col min="2" max="2" width="9.75" bestFit="1" customWidth="1"/>
    <col min="3" max="33" width="9.625" bestFit="1" customWidth="1"/>
  </cols>
  <sheetData>
    <row r="1" spans="1:35" x14ac:dyDescent="0.3">
      <c r="A1" s="1" t="s">
        <v>1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3">
      <c r="A2" s="1" t="s">
        <v>2</v>
      </c>
      <c r="B2" s="3">
        <f>Rural_res_calculation!B64</f>
        <v>0</v>
      </c>
      <c r="C2" s="3">
        <f>Rural_res_calculation!C64</f>
        <v>0</v>
      </c>
      <c r="D2" s="3">
        <f>Rural_res_calculation!D64</f>
        <v>0</v>
      </c>
      <c r="E2" s="3">
        <f>Rural_res_calculation!E64</f>
        <v>0</v>
      </c>
      <c r="F2" s="3">
        <f>Rural_res_calculation!F64</f>
        <v>0</v>
      </c>
      <c r="G2" s="3">
        <f>Rural_res_calculation!G64</f>
        <v>0</v>
      </c>
      <c r="H2" s="3">
        <f>Rural_res_calculation!H64</f>
        <v>0</v>
      </c>
      <c r="I2" s="3">
        <f>Rural_res_calculation!I64</f>
        <v>0</v>
      </c>
      <c r="J2" s="3">
        <f>Rural_res_calculation!J64</f>
        <v>0</v>
      </c>
      <c r="K2" s="3">
        <f>Rural_res_calculation!K64</f>
        <v>0</v>
      </c>
      <c r="L2" s="3">
        <f>Rural_res_calculation!L64</f>
        <v>0</v>
      </c>
      <c r="M2" s="3">
        <f>Rural_res_calculation!M64</f>
        <v>0</v>
      </c>
      <c r="N2" s="3">
        <f>Rural_res_calculation!N64</f>
        <v>0</v>
      </c>
      <c r="O2" s="3">
        <f>Rural_res_calculation!O64</f>
        <v>0</v>
      </c>
      <c r="P2" s="3">
        <f>Rural_res_calculation!P64</f>
        <v>0</v>
      </c>
      <c r="Q2" s="3">
        <f>Rural_res_calculation!Q64</f>
        <v>0</v>
      </c>
      <c r="R2" s="3">
        <f>Rural_res_calculation!R64</f>
        <v>0</v>
      </c>
      <c r="S2" s="3">
        <f>Rural_res_calculation!S64</f>
        <v>0</v>
      </c>
      <c r="T2" s="3">
        <f>Rural_res_calculation!T64</f>
        <v>0</v>
      </c>
      <c r="U2" s="3">
        <f>Rural_res_calculation!U64</f>
        <v>0</v>
      </c>
      <c r="V2" s="3">
        <f>Rural_res_calculation!V64</f>
        <v>0</v>
      </c>
      <c r="W2" s="3">
        <f>Rural_res_calculation!W64</f>
        <v>0</v>
      </c>
      <c r="X2" s="3">
        <f>Rural_res_calculation!X64</f>
        <v>0</v>
      </c>
      <c r="Y2" s="3">
        <f>Rural_res_calculation!Y64</f>
        <v>0</v>
      </c>
      <c r="Z2" s="3">
        <f>Rural_res_calculation!Z64</f>
        <v>0</v>
      </c>
      <c r="AA2" s="3">
        <f>Rural_res_calculation!AA64</f>
        <v>0</v>
      </c>
      <c r="AB2" s="3">
        <f>Rural_res_calculation!AB64</f>
        <v>0</v>
      </c>
      <c r="AC2" s="3">
        <f>Rural_res_calculation!AC64</f>
        <v>0</v>
      </c>
      <c r="AD2" s="3">
        <f>Rural_res_calculation!AD64</f>
        <v>0</v>
      </c>
      <c r="AE2" s="3">
        <f>Rural_res_calculation!AE64</f>
        <v>0</v>
      </c>
      <c r="AF2" s="3">
        <f>Rural_res_calculation!AF64</f>
        <v>0</v>
      </c>
      <c r="AG2" s="3">
        <f>Rural_res_calculation!AG64</f>
        <v>0</v>
      </c>
    </row>
    <row r="3" spans="1:35" x14ac:dyDescent="0.3">
      <c r="A3" s="1" t="s">
        <v>3</v>
      </c>
      <c r="B3" s="3">
        <f>Rural_res_calculation!B65</f>
        <v>0</v>
      </c>
      <c r="C3" s="3">
        <f>Rural_res_calculation!C65</f>
        <v>0</v>
      </c>
      <c r="D3" s="3">
        <f>Rural_res_calculation!D65</f>
        <v>0</v>
      </c>
      <c r="E3" s="3">
        <f>Rural_res_calculation!E65</f>
        <v>0</v>
      </c>
      <c r="F3" s="3">
        <f>Rural_res_calculation!F65</f>
        <v>0</v>
      </c>
      <c r="G3" s="3">
        <f>Rural_res_calculation!G65</f>
        <v>0</v>
      </c>
      <c r="H3" s="3">
        <f>Rural_res_calculation!H65</f>
        <v>0</v>
      </c>
      <c r="I3" s="3">
        <f>Rural_res_calculation!I65</f>
        <v>0</v>
      </c>
      <c r="J3" s="3">
        <f>Rural_res_calculation!J65</f>
        <v>0</v>
      </c>
      <c r="K3" s="3">
        <f>Rural_res_calculation!K65</f>
        <v>0</v>
      </c>
      <c r="L3" s="3">
        <f>Rural_res_calculation!L65</f>
        <v>0</v>
      </c>
      <c r="M3" s="3">
        <f>Rural_res_calculation!M65</f>
        <v>0</v>
      </c>
      <c r="N3" s="3">
        <f>Rural_res_calculation!N65</f>
        <v>0</v>
      </c>
      <c r="O3" s="3">
        <f>Rural_res_calculation!O65</f>
        <v>0</v>
      </c>
      <c r="P3" s="3">
        <f>Rural_res_calculation!P65</f>
        <v>0</v>
      </c>
      <c r="Q3" s="3">
        <f>Rural_res_calculation!Q65</f>
        <v>0</v>
      </c>
      <c r="R3" s="3">
        <f>Rural_res_calculation!R65</f>
        <v>0</v>
      </c>
      <c r="S3" s="3">
        <f>Rural_res_calculation!S65</f>
        <v>0</v>
      </c>
      <c r="T3" s="3">
        <f>Rural_res_calculation!T65</f>
        <v>0</v>
      </c>
      <c r="U3" s="3">
        <f>Rural_res_calculation!U65</f>
        <v>0</v>
      </c>
      <c r="V3" s="3">
        <f>Rural_res_calculation!V65</f>
        <v>0</v>
      </c>
      <c r="W3" s="3">
        <f>Rural_res_calculation!W65</f>
        <v>0</v>
      </c>
      <c r="X3" s="3">
        <f>Rural_res_calculation!X65</f>
        <v>0</v>
      </c>
      <c r="Y3" s="3">
        <f>Rural_res_calculation!Y65</f>
        <v>0</v>
      </c>
      <c r="Z3" s="3">
        <f>Rural_res_calculation!Z65</f>
        <v>0</v>
      </c>
      <c r="AA3" s="3">
        <f>Rural_res_calculation!AA65</f>
        <v>0</v>
      </c>
      <c r="AB3" s="3">
        <f>Rural_res_calculation!AB65</f>
        <v>0</v>
      </c>
      <c r="AC3" s="3">
        <f>Rural_res_calculation!AC65</f>
        <v>0</v>
      </c>
      <c r="AD3" s="3">
        <f>Rural_res_calculation!AD65</f>
        <v>0</v>
      </c>
      <c r="AE3" s="3">
        <f>Rural_res_calculation!AE65</f>
        <v>0</v>
      </c>
      <c r="AF3" s="3">
        <f>Rural_res_calculation!AF65</f>
        <v>0</v>
      </c>
      <c r="AG3" s="3">
        <f>Rural_res_calculation!AG65</f>
        <v>0</v>
      </c>
    </row>
    <row r="4" spans="1:35" x14ac:dyDescent="0.3">
      <c r="A4" s="1" t="s">
        <v>4</v>
      </c>
      <c r="B4" s="3">
        <f>Rural_res_calculation!B66</f>
        <v>0</v>
      </c>
      <c r="C4" s="3">
        <f>Rural_res_calculation!C66</f>
        <v>0</v>
      </c>
      <c r="D4" s="3">
        <f>Rural_res_calculation!D66</f>
        <v>0</v>
      </c>
      <c r="E4" s="3">
        <f>Rural_res_calculation!E66</f>
        <v>0</v>
      </c>
      <c r="F4" s="3">
        <f>Rural_res_calculation!F66</f>
        <v>0</v>
      </c>
      <c r="G4" s="3">
        <f>Rural_res_calculation!G66</f>
        <v>0</v>
      </c>
      <c r="H4" s="3">
        <f>Rural_res_calculation!H66</f>
        <v>0</v>
      </c>
      <c r="I4" s="3">
        <f>Rural_res_calculation!I66</f>
        <v>0</v>
      </c>
      <c r="J4" s="3">
        <f>Rural_res_calculation!J66</f>
        <v>0</v>
      </c>
      <c r="K4" s="3">
        <f>Rural_res_calculation!K66</f>
        <v>0</v>
      </c>
      <c r="L4" s="3">
        <f>Rural_res_calculation!L66</f>
        <v>0</v>
      </c>
      <c r="M4" s="3">
        <f>Rural_res_calculation!M66</f>
        <v>0</v>
      </c>
      <c r="N4" s="3">
        <f>Rural_res_calculation!N66</f>
        <v>0</v>
      </c>
      <c r="O4" s="3">
        <f>Rural_res_calculation!O66</f>
        <v>0</v>
      </c>
      <c r="P4" s="3">
        <f>Rural_res_calculation!P66</f>
        <v>0</v>
      </c>
      <c r="Q4" s="3">
        <f>Rural_res_calculation!Q66</f>
        <v>0</v>
      </c>
      <c r="R4" s="3">
        <f>Rural_res_calculation!R66</f>
        <v>0</v>
      </c>
      <c r="S4" s="3">
        <f>Rural_res_calculation!S66</f>
        <v>0</v>
      </c>
      <c r="T4" s="3">
        <f>Rural_res_calculation!T66</f>
        <v>0</v>
      </c>
      <c r="U4" s="3">
        <f>Rural_res_calculation!U66</f>
        <v>0</v>
      </c>
      <c r="V4" s="3">
        <f>Rural_res_calculation!V66</f>
        <v>0</v>
      </c>
      <c r="W4" s="3">
        <f>Rural_res_calculation!W66</f>
        <v>0</v>
      </c>
      <c r="X4" s="3">
        <f>Rural_res_calculation!X66</f>
        <v>0</v>
      </c>
      <c r="Y4" s="3">
        <f>Rural_res_calculation!Y66</f>
        <v>0</v>
      </c>
      <c r="Z4" s="3">
        <f>Rural_res_calculation!Z66</f>
        <v>0</v>
      </c>
      <c r="AA4" s="3">
        <f>Rural_res_calculation!AA66</f>
        <v>0</v>
      </c>
      <c r="AB4" s="3">
        <f>Rural_res_calculation!AB66</f>
        <v>0</v>
      </c>
      <c r="AC4" s="3">
        <f>Rural_res_calculation!AC66</f>
        <v>0</v>
      </c>
      <c r="AD4" s="3">
        <f>Rural_res_calculation!AD66</f>
        <v>0</v>
      </c>
      <c r="AE4" s="3">
        <f>Rural_res_calculation!AE66</f>
        <v>0</v>
      </c>
      <c r="AF4" s="3">
        <f>Rural_res_calculation!AF66</f>
        <v>0</v>
      </c>
      <c r="AG4" s="3">
        <f>Rural_res_calculation!AG66</f>
        <v>0</v>
      </c>
    </row>
    <row r="5" spans="1:35" x14ac:dyDescent="0.3">
      <c r="A5" s="1" t="s">
        <v>5</v>
      </c>
      <c r="B5" s="3">
        <f>Rural_res_calculation!B67</f>
        <v>0</v>
      </c>
      <c r="C5" s="3">
        <f>Rural_res_calculation!C67</f>
        <v>0</v>
      </c>
      <c r="D5" s="3">
        <f>Rural_res_calculation!D67</f>
        <v>0</v>
      </c>
      <c r="E5" s="3">
        <f>Rural_res_calculation!E67</f>
        <v>0</v>
      </c>
      <c r="F5" s="3">
        <f>Rural_res_calculation!F67</f>
        <v>0</v>
      </c>
      <c r="G5" s="3">
        <f>Rural_res_calculation!G67</f>
        <v>0</v>
      </c>
      <c r="H5" s="3">
        <f>Rural_res_calculation!H67</f>
        <v>0</v>
      </c>
      <c r="I5" s="3">
        <f>Rural_res_calculation!I67</f>
        <v>0</v>
      </c>
      <c r="J5" s="3">
        <f>Rural_res_calculation!J67</f>
        <v>0</v>
      </c>
      <c r="K5" s="3">
        <f>Rural_res_calculation!K67</f>
        <v>0</v>
      </c>
      <c r="L5" s="3">
        <f>Rural_res_calculation!L67</f>
        <v>0</v>
      </c>
      <c r="M5" s="3">
        <f>Rural_res_calculation!M67</f>
        <v>0</v>
      </c>
      <c r="N5" s="3">
        <f>Rural_res_calculation!N67</f>
        <v>0</v>
      </c>
      <c r="O5" s="3">
        <f>Rural_res_calculation!O67</f>
        <v>0</v>
      </c>
      <c r="P5" s="3">
        <f>Rural_res_calculation!P67</f>
        <v>0</v>
      </c>
      <c r="Q5" s="3">
        <f>Rural_res_calculation!Q67</f>
        <v>0</v>
      </c>
      <c r="R5" s="3">
        <f>Rural_res_calculation!R67</f>
        <v>0</v>
      </c>
      <c r="S5" s="3">
        <f>Rural_res_calculation!S67</f>
        <v>0</v>
      </c>
      <c r="T5" s="3">
        <f>Rural_res_calculation!T67</f>
        <v>0</v>
      </c>
      <c r="U5" s="3">
        <f>Rural_res_calculation!U67</f>
        <v>0</v>
      </c>
      <c r="V5" s="3">
        <f>Rural_res_calculation!V67</f>
        <v>0</v>
      </c>
      <c r="W5" s="3">
        <f>Rural_res_calculation!W67</f>
        <v>0</v>
      </c>
      <c r="X5" s="3">
        <f>Rural_res_calculation!X67</f>
        <v>0</v>
      </c>
      <c r="Y5" s="3">
        <f>Rural_res_calculation!Y67</f>
        <v>0</v>
      </c>
      <c r="Z5" s="3">
        <f>Rural_res_calculation!Z67</f>
        <v>0</v>
      </c>
      <c r="AA5" s="3">
        <f>Rural_res_calculation!AA67</f>
        <v>0</v>
      </c>
      <c r="AB5" s="3">
        <f>Rural_res_calculation!AB67</f>
        <v>0</v>
      </c>
      <c r="AC5" s="3">
        <f>Rural_res_calculation!AC67</f>
        <v>0</v>
      </c>
      <c r="AD5" s="3">
        <f>Rural_res_calculation!AD67</f>
        <v>0</v>
      </c>
      <c r="AE5" s="3">
        <f>Rural_res_calculation!AE67</f>
        <v>0</v>
      </c>
      <c r="AF5" s="3">
        <f>Rural_res_calculation!AF67</f>
        <v>0</v>
      </c>
      <c r="AG5" s="3">
        <f>Rural_res_calculation!AG67</f>
        <v>0</v>
      </c>
    </row>
    <row r="6" spans="1:35" x14ac:dyDescent="0.3">
      <c r="A6" s="1" t="s">
        <v>7</v>
      </c>
      <c r="B6" s="3">
        <f>Rural_res_calculation!B68</f>
        <v>0</v>
      </c>
      <c r="C6" s="3">
        <f>Rural_res_calculation!C68</f>
        <v>0</v>
      </c>
      <c r="D6" s="3">
        <f>Rural_res_calculation!D68</f>
        <v>0</v>
      </c>
      <c r="E6" s="3">
        <f>Rural_res_calculation!E68</f>
        <v>0</v>
      </c>
      <c r="F6" s="3">
        <f>Rural_res_calculation!F68</f>
        <v>0</v>
      </c>
      <c r="G6" s="3">
        <f>Rural_res_calculation!G68</f>
        <v>0</v>
      </c>
      <c r="H6" s="3">
        <f>Rural_res_calculation!H68</f>
        <v>0</v>
      </c>
      <c r="I6" s="3">
        <f>Rural_res_calculation!I68</f>
        <v>0</v>
      </c>
      <c r="J6" s="3">
        <f>Rural_res_calculation!J68</f>
        <v>0</v>
      </c>
      <c r="K6" s="3">
        <f>Rural_res_calculation!K68</f>
        <v>0</v>
      </c>
      <c r="L6" s="3">
        <f>Rural_res_calculation!L68</f>
        <v>0</v>
      </c>
      <c r="M6" s="3">
        <f>Rural_res_calculation!M68</f>
        <v>0</v>
      </c>
      <c r="N6" s="3">
        <f>Rural_res_calculation!N68</f>
        <v>0</v>
      </c>
      <c r="O6" s="3">
        <f>Rural_res_calculation!O68</f>
        <v>0</v>
      </c>
      <c r="P6" s="3">
        <f>Rural_res_calculation!P68</f>
        <v>0</v>
      </c>
      <c r="Q6" s="3">
        <f>Rural_res_calculation!Q68</f>
        <v>0</v>
      </c>
      <c r="R6" s="3">
        <f>Rural_res_calculation!R68</f>
        <v>0</v>
      </c>
      <c r="S6" s="3">
        <f>Rural_res_calculation!S68</f>
        <v>0</v>
      </c>
      <c r="T6" s="3">
        <f>Rural_res_calculation!T68</f>
        <v>0</v>
      </c>
      <c r="U6" s="3">
        <f>Rural_res_calculation!U68</f>
        <v>0</v>
      </c>
      <c r="V6" s="3">
        <f>Rural_res_calculation!V68</f>
        <v>0</v>
      </c>
      <c r="W6" s="3">
        <f>Rural_res_calculation!W68</f>
        <v>0</v>
      </c>
      <c r="X6" s="3">
        <f>Rural_res_calculation!X68</f>
        <v>0</v>
      </c>
      <c r="Y6" s="3">
        <f>Rural_res_calculation!Y68</f>
        <v>0</v>
      </c>
      <c r="Z6" s="3">
        <f>Rural_res_calculation!Z68</f>
        <v>0</v>
      </c>
      <c r="AA6" s="3">
        <f>Rural_res_calculation!AA68</f>
        <v>0</v>
      </c>
      <c r="AB6" s="3">
        <f>Rural_res_calculation!AB68</f>
        <v>0</v>
      </c>
      <c r="AC6" s="3">
        <f>Rural_res_calculation!AC68</f>
        <v>0</v>
      </c>
      <c r="AD6" s="3">
        <f>Rural_res_calculation!AD68</f>
        <v>0</v>
      </c>
      <c r="AE6" s="3">
        <f>Rural_res_calculation!AE68</f>
        <v>0</v>
      </c>
      <c r="AF6" s="3">
        <f>Rural_res_calculation!AF68</f>
        <v>0</v>
      </c>
      <c r="AG6" s="3">
        <f>Rural_res_calculation!AG68</f>
        <v>0</v>
      </c>
    </row>
    <row r="7" spans="1:35" x14ac:dyDescent="0.3">
      <c r="A7" s="1" t="s">
        <v>11</v>
      </c>
      <c r="B7" s="3">
        <f>Rural_res_calculation!B69</f>
        <v>0</v>
      </c>
      <c r="C7" s="3">
        <f>Rural_res_calculation!C69</f>
        <v>0</v>
      </c>
      <c r="D7" s="3">
        <f>Rural_res_calculation!D69</f>
        <v>0</v>
      </c>
      <c r="E7" s="3">
        <f>Rural_res_calculation!E69</f>
        <v>0</v>
      </c>
      <c r="F7" s="3">
        <f>Rural_res_calculation!F69</f>
        <v>0</v>
      </c>
      <c r="G7" s="3">
        <f>Rural_res_calculation!G69</f>
        <v>0</v>
      </c>
      <c r="H7" s="3">
        <f>Rural_res_calculation!H69</f>
        <v>0</v>
      </c>
      <c r="I7" s="3">
        <f>Rural_res_calculation!I69</f>
        <v>0</v>
      </c>
      <c r="J7" s="3">
        <f>Rural_res_calculation!J69</f>
        <v>0</v>
      </c>
      <c r="K7" s="3">
        <f>Rural_res_calculation!K69</f>
        <v>0</v>
      </c>
      <c r="L7" s="3">
        <f>Rural_res_calculation!L69</f>
        <v>0</v>
      </c>
      <c r="M7" s="3">
        <f>Rural_res_calculation!M69</f>
        <v>0</v>
      </c>
      <c r="N7" s="3">
        <f>Rural_res_calculation!N69</f>
        <v>0</v>
      </c>
      <c r="O7" s="3">
        <f>Rural_res_calculation!O69</f>
        <v>0</v>
      </c>
      <c r="P7" s="3">
        <f>Rural_res_calculation!P69</f>
        <v>0</v>
      </c>
      <c r="Q7" s="3">
        <f>Rural_res_calculation!Q69</f>
        <v>0</v>
      </c>
      <c r="R7" s="3">
        <f>Rural_res_calculation!R69</f>
        <v>0</v>
      </c>
      <c r="S7" s="3">
        <f>Rural_res_calculation!S69</f>
        <v>0</v>
      </c>
      <c r="T7" s="3">
        <f>Rural_res_calculation!T69</f>
        <v>0</v>
      </c>
      <c r="U7" s="3">
        <f>Rural_res_calculation!U69</f>
        <v>0</v>
      </c>
      <c r="V7" s="3">
        <f>Rural_res_calculation!V69</f>
        <v>0</v>
      </c>
      <c r="W7" s="3">
        <f>Rural_res_calculation!W69</f>
        <v>0</v>
      </c>
      <c r="X7" s="3">
        <f>Rural_res_calculation!X69</f>
        <v>0</v>
      </c>
      <c r="Y7" s="3">
        <f>Rural_res_calculation!Y69</f>
        <v>0</v>
      </c>
      <c r="Z7" s="3">
        <f>Rural_res_calculation!Z69</f>
        <v>0</v>
      </c>
      <c r="AA7" s="3">
        <f>Rural_res_calculation!AA69</f>
        <v>0</v>
      </c>
      <c r="AB7" s="3">
        <f>Rural_res_calculation!AB69</f>
        <v>0</v>
      </c>
      <c r="AC7" s="3">
        <f>Rural_res_calculation!AC69</f>
        <v>0</v>
      </c>
      <c r="AD7" s="3">
        <f>Rural_res_calculation!AD69</f>
        <v>0</v>
      </c>
      <c r="AE7" s="3">
        <f>Rural_res_calculation!AE69</f>
        <v>0</v>
      </c>
      <c r="AF7" s="3">
        <f>Rural_res_calculation!AF69</f>
        <v>0</v>
      </c>
      <c r="AG7" s="3">
        <f>Rural_res_calculation!AG69</f>
        <v>0</v>
      </c>
    </row>
    <row r="8" spans="1:35" x14ac:dyDescent="0.3">
      <c r="A8" s="1" t="s">
        <v>13</v>
      </c>
      <c r="B8" s="3">
        <f>Rural_res_calculation!B70</f>
        <v>0</v>
      </c>
      <c r="C8" s="3">
        <f>Rural_res_calculation!C70</f>
        <v>0</v>
      </c>
      <c r="D8" s="3">
        <f>Rural_res_calculation!D70</f>
        <v>0</v>
      </c>
      <c r="E8" s="3">
        <f>Rural_res_calculation!E70</f>
        <v>0</v>
      </c>
      <c r="F8" s="3">
        <f>Rural_res_calculation!F70</f>
        <v>0</v>
      </c>
      <c r="G8" s="3">
        <f>Rural_res_calculation!G70</f>
        <v>0</v>
      </c>
      <c r="H8" s="3">
        <f>Rural_res_calculation!H70</f>
        <v>0</v>
      </c>
      <c r="I8" s="3">
        <f>Rural_res_calculation!I70</f>
        <v>0</v>
      </c>
      <c r="J8" s="3">
        <f>Rural_res_calculation!J70</f>
        <v>0</v>
      </c>
      <c r="K8" s="3">
        <f>Rural_res_calculation!K70</f>
        <v>0</v>
      </c>
      <c r="L8" s="3">
        <f>Rural_res_calculation!L70</f>
        <v>0</v>
      </c>
      <c r="M8" s="3">
        <f>Rural_res_calculation!M70</f>
        <v>0</v>
      </c>
      <c r="N8" s="3">
        <f>Rural_res_calculation!N70</f>
        <v>0</v>
      </c>
      <c r="O8" s="3">
        <f>Rural_res_calculation!O70</f>
        <v>0</v>
      </c>
      <c r="P8" s="3">
        <f>Rural_res_calculation!P70</f>
        <v>0</v>
      </c>
      <c r="Q8" s="3">
        <f>Rural_res_calculation!Q70</f>
        <v>0</v>
      </c>
      <c r="R8" s="3">
        <f>Rural_res_calculation!R70</f>
        <v>0</v>
      </c>
      <c r="S8" s="3">
        <f>Rural_res_calculation!S70</f>
        <v>0</v>
      </c>
      <c r="T8" s="3">
        <f>Rural_res_calculation!T70</f>
        <v>0</v>
      </c>
      <c r="U8" s="3">
        <f>Rural_res_calculation!U70</f>
        <v>0</v>
      </c>
      <c r="V8" s="3">
        <f>Rural_res_calculation!V70</f>
        <v>0</v>
      </c>
      <c r="W8" s="3">
        <f>Rural_res_calculation!W70</f>
        <v>0</v>
      </c>
      <c r="X8" s="3">
        <f>Rural_res_calculation!X70</f>
        <v>0</v>
      </c>
      <c r="Y8" s="3">
        <f>Rural_res_calculation!Y70</f>
        <v>0</v>
      </c>
      <c r="Z8" s="3">
        <f>Rural_res_calculation!Z70</f>
        <v>0</v>
      </c>
      <c r="AA8" s="3">
        <f>Rural_res_calculation!AA70</f>
        <v>0</v>
      </c>
      <c r="AB8" s="3">
        <f>Rural_res_calculation!AB70</f>
        <v>0</v>
      </c>
      <c r="AC8" s="3">
        <f>Rural_res_calculation!AC70</f>
        <v>0</v>
      </c>
      <c r="AD8" s="3">
        <f>Rural_res_calculation!AD70</f>
        <v>0</v>
      </c>
      <c r="AE8" s="3">
        <f>Rural_res_calculation!AE70</f>
        <v>0</v>
      </c>
      <c r="AF8" s="3">
        <f>Rural_res_calculation!AF70</f>
        <v>0</v>
      </c>
      <c r="AG8" s="3">
        <f>Rural_res_calculation!AG70</f>
        <v>0</v>
      </c>
    </row>
    <row r="9" spans="1:35" x14ac:dyDescent="0.3">
      <c r="A9" s="1" t="s">
        <v>14</v>
      </c>
      <c r="B9" s="3">
        <f>Rural_res_calculation!B71</f>
        <v>0</v>
      </c>
      <c r="C9" s="3">
        <f>Rural_res_calculation!C71</f>
        <v>0</v>
      </c>
      <c r="D9" s="3">
        <f>Rural_res_calculation!D71</f>
        <v>0</v>
      </c>
      <c r="E9" s="3">
        <f>Rural_res_calculation!E71</f>
        <v>0</v>
      </c>
      <c r="F9" s="3">
        <f>Rural_res_calculation!F71</f>
        <v>0</v>
      </c>
      <c r="G9" s="3">
        <f>Rural_res_calculation!G71</f>
        <v>0</v>
      </c>
      <c r="H9" s="3">
        <f>Rural_res_calculation!H71</f>
        <v>0</v>
      </c>
      <c r="I9" s="3">
        <f>Rural_res_calculation!I71</f>
        <v>0</v>
      </c>
      <c r="J9" s="3">
        <f>Rural_res_calculation!J71</f>
        <v>0</v>
      </c>
      <c r="K9" s="3">
        <f>Rural_res_calculation!K71</f>
        <v>0</v>
      </c>
      <c r="L9" s="3">
        <f>Rural_res_calculation!L71</f>
        <v>0</v>
      </c>
      <c r="M9" s="3">
        <f>Rural_res_calculation!M71</f>
        <v>0</v>
      </c>
      <c r="N9" s="3">
        <f>Rural_res_calculation!N71</f>
        <v>0</v>
      </c>
      <c r="O9" s="3">
        <f>Rural_res_calculation!O71</f>
        <v>0</v>
      </c>
      <c r="P9" s="3">
        <f>Rural_res_calculation!P71</f>
        <v>0</v>
      </c>
      <c r="Q9" s="3">
        <f>Rural_res_calculation!Q71</f>
        <v>0</v>
      </c>
      <c r="R9" s="3">
        <f>Rural_res_calculation!R71</f>
        <v>0</v>
      </c>
      <c r="S9" s="3">
        <f>Rural_res_calculation!S71</f>
        <v>0</v>
      </c>
      <c r="T9" s="3">
        <f>Rural_res_calculation!T71</f>
        <v>0</v>
      </c>
      <c r="U9" s="3">
        <f>Rural_res_calculation!U71</f>
        <v>0</v>
      </c>
      <c r="V9" s="3">
        <f>Rural_res_calculation!V71</f>
        <v>0</v>
      </c>
      <c r="W9" s="3">
        <f>Rural_res_calculation!W71</f>
        <v>0</v>
      </c>
      <c r="X9" s="3">
        <f>Rural_res_calculation!X71</f>
        <v>0</v>
      </c>
      <c r="Y9" s="3">
        <f>Rural_res_calculation!Y71</f>
        <v>0</v>
      </c>
      <c r="Z9" s="3">
        <f>Rural_res_calculation!Z71</f>
        <v>0</v>
      </c>
      <c r="AA9" s="3">
        <f>Rural_res_calculation!AA71</f>
        <v>0</v>
      </c>
      <c r="AB9" s="3">
        <f>Rural_res_calculation!AB71</f>
        <v>0</v>
      </c>
      <c r="AC9" s="3">
        <f>Rural_res_calculation!AC71</f>
        <v>0</v>
      </c>
      <c r="AD9" s="3">
        <f>Rural_res_calculation!AD71</f>
        <v>0</v>
      </c>
      <c r="AE9" s="3">
        <f>Rural_res_calculation!AE71</f>
        <v>0</v>
      </c>
      <c r="AF9" s="3">
        <f>Rural_res_calculation!AF71</f>
        <v>0</v>
      </c>
      <c r="AG9" s="3">
        <f>Rural_res_calculation!AG71</f>
        <v>0</v>
      </c>
    </row>
    <row r="10" spans="1:35" x14ac:dyDescent="0.3">
      <c r="A10" s="1" t="s">
        <v>15</v>
      </c>
      <c r="B10" s="3">
        <f>Rural_res_calculation!B72</f>
        <v>0</v>
      </c>
      <c r="C10" s="3">
        <f>Rural_res_calculation!C72</f>
        <v>0</v>
      </c>
      <c r="D10" s="3">
        <f>Rural_res_calculation!D72</f>
        <v>0</v>
      </c>
      <c r="E10" s="3">
        <f>Rural_res_calculation!E72</f>
        <v>0</v>
      </c>
      <c r="F10" s="3">
        <f>Rural_res_calculation!F72</f>
        <v>0</v>
      </c>
      <c r="G10" s="3">
        <f>Rural_res_calculation!G72</f>
        <v>0</v>
      </c>
      <c r="H10" s="3">
        <f>Rural_res_calculation!H72</f>
        <v>0</v>
      </c>
      <c r="I10" s="3">
        <f>Rural_res_calculation!I72</f>
        <v>0</v>
      </c>
      <c r="J10" s="3">
        <f>Rural_res_calculation!J72</f>
        <v>0</v>
      </c>
      <c r="K10" s="3">
        <f>Rural_res_calculation!K72</f>
        <v>0</v>
      </c>
      <c r="L10" s="3">
        <f>Rural_res_calculation!L72</f>
        <v>0</v>
      </c>
      <c r="M10" s="3">
        <f>Rural_res_calculation!M72</f>
        <v>0</v>
      </c>
      <c r="N10" s="3">
        <f>Rural_res_calculation!N72</f>
        <v>0</v>
      </c>
      <c r="O10" s="3">
        <f>Rural_res_calculation!O72</f>
        <v>0</v>
      </c>
      <c r="P10" s="3">
        <f>Rural_res_calculation!P72</f>
        <v>0</v>
      </c>
      <c r="Q10" s="3">
        <f>Rural_res_calculation!Q72</f>
        <v>0</v>
      </c>
      <c r="R10" s="3">
        <f>Rural_res_calculation!R72</f>
        <v>0</v>
      </c>
      <c r="S10" s="3">
        <f>Rural_res_calculation!S72</f>
        <v>0</v>
      </c>
      <c r="T10" s="3">
        <f>Rural_res_calculation!T72</f>
        <v>0</v>
      </c>
      <c r="U10" s="3">
        <f>Rural_res_calculation!U72</f>
        <v>0</v>
      </c>
      <c r="V10" s="3">
        <f>Rural_res_calculation!V72</f>
        <v>0</v>
      </c>
      <c r="W10" s="3">
        <f>Rural_res_calculation!W72</f>
        <v>0</v>
      </c>
      <c r="X10" s="3">
        <f>Rural_res_calculation!X72</f>
        <v>0</v>
      </c>
      <c r="Y10" s="3">
        <f>Rural_res_calculation!Y72</f>
        <v>0</v>
      </c>
      <c r="Z10" s="3">
        <f>Rural_res_calculation!Z72</f>
        <v>0</v>
      </c>
      <c r="AA10" s="3">
        <f>Rural_res_calculation!AA72</f>
        <v>0</v>
      </c>
      <c r="AB10" s="3">
        <f>Rural_res_calculation!AB72</f>
        <v>0</v>
      </c>
      <c r="AC10" s="3">
        <f>Rural_res_calculation!AC72</f>
        <v>0</v>
      </c>
      <c r="AD10" s="3">
        <f>Rural_res_calculation!AD72</f>
        <v>0</v>
      </c>
      <c r="AE10" s="3">
        <f>Rural_res_calculation!AE72</f>
        <v>0</v>
      </c>
      <c r="AF10" s="3">
        <f>Rural_res_calculation!AF72</f>
        <v>0</v>
      </c>
      <c r="AG10" s="3">
        <f>Rural_res_calculation!AG72</f>
        <v>0</v>
      </c>
    </row>
    <row r="11" spans="1:35" x14ac:dyDescent="0.3">
      <c r="A11" s="1" t="s">
        <v>16</v>
      </c>
      <c r="B11" s="3">
        <f>Rural_res_calculation!B73</f>
        <v>0</v>
      </c>
      <c r="C11" s="3">
        <f>Rural_res_calculation!C73</f>
        <v>0</v>
      </c>
      <c r="D11" s="3">
        <f>Rural_res_calculation!D73</f>
        <v>0</v>
      </c>
      <c r="E11" s="3">
        <f>Rural_res_calculation!E73</f>
        <v>0</v>
      </c>
      <c r="F11" s="3">
        <f>Rural_res_calculation!F73</f>
        <v>0</v>
      </c>
      <c r="G11" s="3">
        <f>Rural_res_calculation!G73</f>
        <v>0</v>
      </c>
      <c r="H11" s="3">
        <f>Rural_res_calculation!H73</f>
        <v>0</v>
      </c>
      <c r="I11" s="3">
        <f>Rural_res_calculation!I73</f>
        <v>0</v>
      </c>
      <c r="J11" s="3">
        <f>Rural_res_calculation!J73</f>
        <v>0</v>
      </c>
      <c r="K11" s="3">
        <f>Rural_res_calculation!K73</f>
        <v>0</v>
      </c>
      <c r="L11" s="3">
        <f>Rural_res_calculation!L73</f>
        <v>0</v>
      </c>
      <c r="M11" s="3">
        <f>Rural_res_calculation!M73</f>
        <v>0</v>
      </c>
      <c r="N11" s="3">
        <f>Rural_res_calculation!N73</f>
        <v>0</v>
      </c>
      <c r="O11" s="3">
        <f>Rural_res_calculation!O73</f>
        <v>0</v>
      </c>
      <c r="P11" s="3">
        <f>Rural_res_calculation!P73</f>
        <v>0</v>
      </c>
      <c r="Q11" s="3">
        <f>Rural_res_calculation!Q73</f>
        <v>0</v>
      </c>
      <c r="R11" s="3">
        <f>Rural_res_calculation!R73</f>
        <v>0</v>
      </c>
      <c r="S11" s="3">
        <f>Rural_res_calculation!S73</f>
        <v>0</v>
      </c>
      <c r="T11" s="3">
        <f>Rural_res_calculation!T73</f>
        <v>0</v>
      </c>
      <c r="U11" s="3">
        <f>Rural_res_calculation!U73</f>
        <v>0</v>
      </c>
      <c r="V11" s="3">
        <f>Rural_res_calculation!V73</f>
        <v>0</v>
      </c>
      <c r="W11" s="3">
        <f>Rural_res_calculation!W73</f>
        <v>0</v>
      </c>
      <c r="X11" s="3">
        <f>Rural_res_calculation!X73</f>
        <v>0</v>
      </c>
      <c r="Y11" s="3">
        <f>Rural_res_calculation!Y73</f>
        <v>0</v>
      </c>
      <c r="Z11" s="3">
        <f>Rural_res_calculation!Z73</f>
        <v>0</v>
      </c>
      <c r="AA11" s="3">
        <f>Rural_res_calculation!AA73</f>
        <v>0</v>
      </c>
      <c r="AB11" s="3">
        <f>Rural_res_calculation!AB73</f>
        <v>0</v>
      </c>
      <c r="AC11" s="3">
        <f>Rural_res_calculation!AC73</f>
        <v>0</v>
      </c>
      <c r="AD11" s="3">
        <f>Rural_res_calculation!AD73</f>
        <v>0</v>
      </c>
      <c r="AE11" s="3">
        <f>Rural_res_calculation!AE73</f>
        <v>0</v>
      </c>
      <c r="AF11" s="3">
        <f>Rural_res_calculation!AF73</f>
        <v>0</v>
      </c>
      <c r="AG11" s="3">
        <f>Rural_res_calculation!AG73</f>
        <v>0</v>
      </c>
    </row>
  </sheetData>
  <phoneticPr fontId="10" type="noConversion"/>
  <pageMargins left="0.7" right="0.7" top="0.75" bottom="0.75" header="0.3" footer="0.3"/>
  <pageSetup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I11"/>
  <sheetViews>
    <sheetView workbookViewId="0">
      <selection activeCell="B2" sqref="B2"/>
    </sheetView>
  </sheetViews>
  <sheetFormatPr defaultRowHeight="16.5" x14ac:dyDescent="0.3"/>
  <cols>
    <col min="1" max="1" width="29.875" customWidth="1"/>
    <col min="2" max="2" width="10.625" bestFit="1" customWidth="1"/>
    <col min="3" max="4" width="9.625" bestFit="1" customWidth="1"/>
    <col min="5" max="5" width="12" bestFit="1" customWidth="1"/>
    <col min="6" max="32" width="9.625" bestFit="1" customWidth="1"/>
    <col min="33" max="33" width="11.875" customWidth="1"/>
  </cols>
  <sheetData>
    <row r="1" spans="1:35" x14ac:dyDescent="0.3">
      <c r="A1" s="1" t="s">
        <v>1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3">
      <c r="A2" s="1" t="s">
        <v>2</v>
      </c>
      <c r="B2" s="3">
        <f>Commercial_calculation!B4</f>
        <v>129000000000000</v>
      </c>
      <c r="C2" s="3">
        <f>Commercial_calculation!C4</f>
        <v>128085531122407</v>
      </c>
      <c r="D2" s="3">
        <f>Commercial_calculation!D4</f>
        <v>129221921053730.27</v>
      </c>
      <c r="E2" s="3">
        <f>Commercial_calculation!E4</f>
        <v>130255696422160.11</v>
      </c>
      <c r="F2" s="3">
        <f>Commercial_calculation!F4</f>
        <v>131297741993537.39</v>
      </c>
      <c r="G2" s="3">
        <f>Commercial_calculation!G4</f>
        <v>132348123929485.69</v>
      </c>
      <c r="H2" s="3">
        <f>Commercial_calculation!H4</f>
        <v>133406908920921.58</v>
      </c>
      <c r="I2" s="3">
        <f>Commercial_calculation!I4</f>
        <v>134474164192288.95</v>
      </c>
      <c r="J2" s="3">
        <f>Commercial_calculation!J4</f>
        <v>135549957505827.27</v>
      </c>
      <c r="K2" s="3">
        <f>Commercial_calculation!K4</f>
        <v>136634357165873.89</v>
      </c>
      <c r="L2" s="3">
        <f>Commercial_calculation!L4</f>
        <v>137727432023200.88</v>
      </c>
      <c r="M2" s="3">
        <f>Commercial_calculation!M4</f>
        <v>138829251479386.48</v>
      </c>
      <c r="N2" s="3">
        <f>Commercial_calculation!N4</f>
        <v>139939885491221.58</v>
      </c>
      <c r="O2" s="3">
        <f>Commercial_calculation!O4</f>
        <v>141059404575151.34</v>
      </c>
      <c r="P2" s="3">
        <f>Commercial_calculation!P4</f>
        <v>142187879811752.56</v>
      </c>
      <c r="Q2" s="3">
        <f>Commercial_calculation!Q4</f>
        <v>143325382850246.59</v>
      </c>
      <c r="R2" s="3">
        <f>Commercial_calculation!R4</f>
        <v>144471985913048.56</v>
      </c>
      <c r="S2" s="3">
        <f>Commercial_calculation!S4</f>
        <v>145627761800352.94</v>
      </c>
      <c r="T2" s="3">
        <f>Commercial_calculation!T4</f>
        <v>146792783894755.75</v>
      </c>
      <c r="U2" s="3">
        <f>Commercial_calculation!U4</f>
        <v>147967126165913.81</v>
      </c>
      <c r="V2" s="3">
        <f>Commercial_calculation!V4</f>
        <v>149150863175241.13</v>
      </c>
      <c r="W2" s="3">
        <f>Commercial_calculation!W4</f>
        <v>150344070080643.06</v>
      </c>
      <c r="X2" s="3">
        <f>Commercial_calculation!X4</f>
        <v>151546822641288.22</v>
      </c>
      <c r="Y2" s="3">
        <f>Commercial_calculation!Y4</f>
        <v>152759197222418.53</v>
      </c>
      <c r="Z2" s="3">
        <f>Commercial_calculation!Z4</f>
        <v>153981270800197.88</v>
      </c>
      <c r="AA2" s="3">
        <f>Commercial_calculation!AA4</f>
        <v>155213120966599.47</v>
      </c>
      <c r="AB2" s="3">
        <f>Commercial_calculation!AB4</f>
        <v>156454825934332.25</v>
      </c>
      <c r="AC2" s="3">
        <f>Commercial_calculation!AC4</f>
        <v>157706464541806.91</v>
      </c>
      <c r="AD2" s="3">
        <f>Commercial_calculation!AD4</f>
        <v>158968116258141.38</v>
      </c>
      <c r="AE2" s="3">
        <f>Commercial_calculation!AE4</f>
        <v>160239861188206.5</v>
      </c>
      <c r="AF2" s="3">
        <f>Commercial_calculation!AF4</f>
        <v>161521780077712.16</v>
      </c>
      <c r="AG2" s="3">
        <f>Commercial_calculation!AG4</f>
        <v>162813954318333.84</v>
      </c>
    </row>
    <row r="3" spans="1:35" x14ac:dyDescent="0.3">
      <c r="A3" s="1" t="s">
        <v>3</v>
      </c>
      <c r="B3" s="3">
        <f>Commercial_calculation!B5</f>
        <v>0</v>
      </c>
      <c r="C3" s="3">
        <f>Commercial_calculation!C5</f>
        <v>0</v>
      </c>
      <c r="D3" s="3">
        <f>Commercial_calculation!D5</f>
        <v>0</v>
      </c>
      <c r="E3" s="3">
        <f>Commercial_calculation!E5</f>
        <v>0</v>
      </c>
      <c r="F3" s="3">
        <f>Commercial_calculation!F5</f>
        <v>0</v>
      </c>
      <c r="G3" s="3">
        <f>Commercial_calculation!G5</f>
        <v>0</v>
      </c>
      <c r="H3" s="3">
        <f>Commercial_calculation!H5</f>
        <v>0</v>
      </c>
      <c r="I3" s="3">
        <f>Commercial_calculation!I5</f>
        <v>0</v>
      </c>
      <c r="J3" s="3">
        <f>Commercial_calculation!J5</f>
        <v>0</v>
      </c>
      <c r="K3" s="3">
        <f>Commercial_calculation!K5</f>
        <v>0</v>
      </c>
      <c r="L3" s="3">
        <f>Commercial_calculation!L5</f>
        <v>0</v>
      </c>
      <c r="M3" s="3">
        <f>Commercial_calculation!M5</f>
        <v>0</v>
      </c>
      <c r="N3" s="3">
        <f>Commercial_calculation!N5</f>
        <v>0</v>
      </c>
      <c r="O3" s="3">
        <f>Commercial_calculation!O5</f>
        <v>0</v>
      </c>
      <c r="P3" s="3">
        <f>Commercial_calculation!P5</f>
        <v>0</v>
      </c>
      <c r="Q3" s="3">
        <f>Commercial_calculation!Q5</f>
        <v>0</v>
      </c>
      <c r="R3" s="3">
        <f>Commercial_calculation!R5</f>
        <v>0</v>
      </c>
      <c r="S3" s="3">
        <f>Commercial_calculation!S5</f>
        <v>0</v>
      </c>
      <c r="T3" s="3">
        <f>Commercial_calculation!T5</f>
        <v>0</v>
      </c>
      <c r="U3" s="3">
        <f>Commercial_calculation!U5</f>
        <v>0</v>
      </c>
      <c r="V3" s="3">
        <f>Commercial_calculation!V5</f>
        <v>0</v>
      </c>
      <c r="W3" s="3">
        <f>Commercial_calculation!W5</f>
        <v>0</v>
      </c>
      <c r="X3" s="3">
        <f>Commercial_calculation!X5</f>
        <v>0</v>
      </c>
      <c r="Y3" s="3">
        <f>Commercial_calculation!Y5</f>
        <v>0</v>
      </c>
      <c r="Z3" s="3">
        <f>Commercial_calculation!Z5</f>
        <v>0</v>
      </c>
      <c r="AA3" s="3">
        <f>Commercial_calculation!AA5</f>
        <v>0</v>
      </c>
      <c r="AB3" s="3">
        <f>Commercial_calculation!AB5</f>
        <v>0</v>
      </c>
      <c r="AC3" s="3">
        <f>Commercial_calculation!AC5</f>
        <v>0</v>
      </c>
      <c r="AD3" s="3">
        <f>Commercial_calculation!AD5</f>
        <v>0</v>
      </c>
      <c r="AE3" s="3">
        <f>Commercial_calculation!AE5</f>
        <v>0</v>
      </c>
      <c r="AF3" s="3">
        <f>Commercial_calculation!AF5</f>
        <v>0</v>
      </c>
      <c r="AG3" s="3">
        <f>Commercial_calculation!AG5</f>
        <v>0</v>
      </c>
    </row>
    <row r="4" spans="1:35" x14ac:dyDescent="0.3">
      <c r="A4" s="1" t="s">
        <v>4</v>
      </c>
      <c r="B4" s="3">
        <f>Commercial_calculation!B6</f>
        <v>59200000000000</v>
      </c>
      <c r="C4" s="3">
        <f>Commercial_calculation!C6</f>
        <v>58150486891512.766</v>
      </c>
      <c r="D4" s="3">
        <f>Commercial_calculation!D6</f>
        <v>57974902110890.578</v>
      </c>
      <c r="E4" s="3">
        <f>Commercial_calculation!E6</f>
        <v>59134400153108.391</v>
      </c>
      <c r="F4" s="3">
        <f>Commercial_calculation!F6</f>
        <v>60317088156170.563</v>
      </c>
      <c r="G4" s="3">
        <f>Commercial_calculation!G6</f>
        <v>61523429919293.977</v>
      </c>
      <c r="H4" s="3">
        <f>Commercial_calculation!H6</f>
        <v>62753898517679.859</v>
      </c>
      <c r="I4" s="3">
        <f>Commercial_calculation!I6</f>
        <v>64008976488033.461</v>
      </c>
      <c r="J4" s="3">
        <f>Commercial_calculation!J6</f>
        <v>65289156017794.133</v>
      </c>
      <c r="K4" s="3">
        <f>Commercial_calculation!K6</f>
        <v>66594939138150.016</v>
      </c>
      <c r="L4" s="3">
        <f>Commercial_calculation!L6</f>
        <v>67926837920913.016</v>
      </c>
      <c r="M4" s="3">
        <f>Commercial_calculation!M6</f>
        <v>69285374679331.273</v>
      </c>
      <c r="N4" s="3">
        <f>Commercial_calculation!N6</f>
        <v>70671082172917.906</v>
      </c>
      <c r="O4" s="3">
        <f>Commercial_calculation!O6</f>
        <v>72084503816376.266</v>
      </c>
      <c r="P4" s="3">
        <f>Commercial_calculation!P6</f>
        <v>73526193892703.797</v>
      </c>
      <c r="Q4" s="3">
        <f>Commercial_calculation!Q6</f>
        <v>74996717770557.875</v>
      </c>
      <c r="R4" s="3">
        <f>Commercial_calculation!R6</f>
        <v>76496652125969.031</v>
      </c>
      <c r="S4" s="3">
        <f>Commercial_calculation!S6</f>
        <v>78026585168488.406</v>
      </c>
      <c r="T4" s="3">
        <f>Commercial_calculation!T6</f>
        <v>79587116871858.172</v>
      </c>
      <c r="U4" s="3">
        <f>Commercial_calculation!U6</f>
        <v>81178859209295.344</v>
      </c>
      <c r="V4" s="3">
        <f>Commercial_calculation!V6</f>
        <v>82802436393481.25</v>
      </c>
      <c r="W4" s="3">
        <f>Commercial_calculation!W6</f>
        <v>84458485121350.875</v>
      </c>
      <c r="X4" s="3">
        <f>Commercial_calculation!X6</f>
        <v>86147654823777.891</v>
      </c>
      <c r="Y4" s="3">
        <f>Commercial_calculation!Y6</f>
        <v>87870607920253.453</v>
      </c>
      <c r="Z4" s="3">
        <f>Commercial_calculation!Z6</f>
        <v>89628020078658.531</v>
      </c>
      <c r="AA4" s="3">
        <f>Commercial_calculation!AA6</f>
        <v>91420580480231.703</v>
      </c>
      <c r="AB4" s="3">
        <f>Commercial_calculation!AB6</f>
        <v>93248992089836.344</v>
      </c>
      <c r="AC4" s="3">
        <f>Commercial_calculation!AC6</f>
        <v>95113971931633.078</v>
      </c>
      <c r="AD4" s="3">
        <f>Commercial_calculation!AD6</f>
        <v>97016251370265.734</v>
      </c>
      <c r="AE4" s="3">
        <f>Commercial_calculation!AE6</f>
        <v>98956576397671.047</v>
      </c>
      <c r="AF4" s="3">
        <f>Commercial_calculation!AF6</f>
        <v>100935707925624.47</v>
      </c>
      <c r="AG4" s="3">
        <f>Commercial_calculation!AG6</f>
        <v>102954422084136.95</v>
      </c>
    </row>
    <row r="5" spans="1:35" x14ac:dyDescent="0.3">
      <c r="A5" s="1" t="s">
        <v>5</v>
      </c>
      <c r="B5" s="3">
        <f>Commercial_calculation!B7</f>
        <v>1740000000000</v>
      </c>
      <c r="C5" s="3">
        <f>Commercial_calculation!C7</f>
        <v>1635011946079.1394</v>
      </c>
      <c r="D5" s="3">
        <f>Commercial_calculation!D7</f>
        <v>1609349044937.332</v>
      </c>
      <c r="E5" s="3">
        <f>Commercial_calculation!E7</f>
        <v>1532100290780.3401</v>
      </c>
      <c r="F5" s="3">
        <f>Commercial_calculation!F7</f>
        <v>1458559476822.8838</v>
      </c>
      <c r="G5" s="3">
        <f>Commercial_calculation!G7</f>
        <v>1388548621935.3853</v>
      </c>
      <c r="H5" s="3">
        <f>Commercial_calculation!H7</f>
        <v>1321898288082.4868</v>
      </c>
      <c r="I5" s="3">
        <f>Commercial_calculation!I7</f>
        <v>1258447170254.5273</v>
      </c>
      <c r="J5" s="3">
        <f>Commercial_calculation!J7</f>
        <v>1198041706082.3101</v>
      </c>
      <c r="K5" s="3">
        <f>Commercial_calculation!K7</f>
        <v>1140535704190.3591</v>
      </c>
      <c r="L5" s="3">
        <f>Commercial_calculation!L7</f>
        <v>1085789990389.2218</v>
      </c>
      <c r="M5" s="3">
        <f>Commercial_calculation!M7</f>
        <v>1033672070850.5391</v>
      </c>
      <c r="N5" s="3">
        <f>Commercial_calculation!N7</f>
        <v>984055811449.71313</v>
      </c>
      <c r="O5" s="3">
        <f>Commercial_calculation!O7</f>
        <v>936821132500.12683</v>
      </c>
      <c r="P5" s="3">
        <f>Commercial_calculation!P7</f>
        <v>891853718140.12073</v>
      </c>
      <c r="Q5" s="3">
        <f>Commercial_calculation!Q7</f>
        <v>849044739669.3949</v>
      </c>
      <c r="R5" s="3">
        <f>Commercial_calculation!R7</f>
        <v>808290592165.26392</v>
      </c>
      <c r="S5" s="3">
        <f>Commercial_calculation!S7</f>
        <v>769492643741.33118</v>
      </c>
      <c r="T5" s="3">
        <f>Commercial_calculation!T7</f>
        <v>732556996841.74719</v>
      </c>
      <c r="U5" s="3">
        <f>Commercial_calculation!U7</f>
        <v>697394260993.34326</v>
      </c>
      <c r="V5" s="3">
        <f>Commercial_calculation!V7</f>
        <v>663919336465.66272</v>
      </c>
      <c r="W5" s="3">
        <f>Commercial_calculation!W7</f>
        <v>632051208315.31091</v>
      </c>
      <c r="X5" s="3">
        <f>Commercial_calculation!X7</f>
        <v>601712750316.1759</v>
      </c>
      <c r="Y5" s="3">
        <f>Commercial_calculation!Y7</f>
        <v>572830538300.99939</v>
      </c>
      <c r="Z5" s="3">
        <f>Commercial_calculation!Z7</f>
        <v>545334672462.55139</v>
      </c>
      <c r="AA5" s="3">
        <f>Commercial_calculation!AA7</f>
        <v>519158608184.34888</v>
      </c>
      <c r="AB5" s="3">
        <f>Commercial_calculation!AB7</f>
        <v>494238994991.50012</v>
      </c>
      <c r="AC5" s="3">
        <f>Commercial_calculation!AC7</f>
        <v>470515523231.90808</v>
      </c>
      <c r="AD5" s="3">
        <f>Commercial_calculation!AD7</f>
        <v>447930778116.77649</v>
      </c>
      <c r="AE5" s="3">
        <f>Commercial_calculation!AE7</f>
        <v>426430100767.1712</v>
      </c>
      <c r="AF5" s="3">
        <f>Commercial_calculation!AF7</f>
        <v>405961455930.34698</v>
      </c>
      <c r="AG5" s="3">
        <f>Commercial_calculation!AG7</f>
        <v>386475306045.69031</v>
      </c>
    </row>
    <row r="6" spans="1:35" x14ac:dyDescent="0.3">
      <c r="A6" s="1" t="s">
        <v>7</v>
      </c>
      <c r="B6" s="3">
        <f>Commercial_calculation!B8</f>
        <v>15100000000000</v>
      </c>
      <c r="C6" s="3">
        <f>Commercial_calculation!C8</f>
        <v>14511153872761.668</v>
      </c>
      <c r="D6" s="3">
        <f>Commercial_calculation!D8</f>
        <v>14617592654224.467</v>
      </c>
      <c r="E6" s="3">
        <f>Commercial_calculation!E8</f>
        <v>14880709322000.508</v>
      </c>
      <c r="F6" s="3">
        <f>Commercial_calculation!F8</f>
        <v>15148562089796.518</v>
      </c>
      <c r="G6" s="3">
        <f>Commercial_calculation!G8</f>
        <v>15421236207412.855</v>
      </c>
      <c r="H6" s="3">
        <f>Commercial_calculation!H8</f>
        <v>15698818459146.287</v>
      </c>
      <c r="I6" s="3">
        <f>Commercial_calculation!I8</f>
        <v>15981397191410.92</v>
      </c>
      <c r="J6" s="3">
        <f>Commercial_calculation!J8</f>
        <v>16269062340856.316</v>
      </c>
      <c r="K6" s="3">
        <f>Commercial_calculation!K8</f>
        <v>16561905462991.73</v>
      </c>
      <c r="L6" s="3">
        <f>Commercial_calculation!L8</f>
        <v>16860019761325.582</v>
      </c>
      <c r="M6" s="3">
        <f>Commercial_calculation!M8</f>
        <v>17163500117029.443</v>
      </c>
      <c r="N6" s="3">
        <f>Commercial_calculation!N8</f>
        <v>17472443119135.973</v>
      </c>
      <c r="O6" s="3">
        <f>Commercial_calculation!O8</f>
        <v>17786947095280.422</v>
      </c>
      <c r="P6" s="3">
        <f>Commercial_calculation!P8</f>
        <v>18107112142995.469</v>
      </c>
      <c r="Q6" s="3">
        <f>Commercial_calculation!Q8</f>
        <v>18433040161569.387</v>
      </c>
      <c r="R6" s="3">
        <f>Commercial_calculation!R8</f>
        <v>18764834884477.637</v>
      </c>
      <c r="S6" s="3">
        <f>Commercial_calculation!S8</f>
        <v>19102601912398.234</v>
      </c>
      <c r="T6" s="3">
        <f>Commercial_calculation!T8</f>
        <v>19446448746821.402</v>
      </c>
      <c r="U6" s="3">
        <f>Commercial_calculation!U8</f>
        <v>19796484824264.188</v>
      </c>
      <c r="V6" s="3">
        <f>Commercial_calculation!V8</f>
        <v>20152821551100.941</v>
      </c>
      <c r="W6" s="3">
        <f>Commercial_calculation!W8</f>
        <v>20515572339020.758</v>
      </c>
      <c r="X6" s="3">
        <f>Commercial_calculation!X8</f>
        <v>20884852641123.133</v>
      </c>
      <c r="Y6" s="3">
        <f>Commercial_calculation!Y8</f>
        <v>21260779988663.348</v>
      </c>
      <c r="Z6" s="3">
        <f>Commercial_calculation!Z8</f>
        <v>21643474028459.289</v>
      </c>
      <c r="AA6" s="3">
        <f>Commercial_calculation!AA8</f>
        <v>22033056560971.555</v>
      </c>
      <c r="AB6" s="3">
        <f>Commercial_calculation!AB8</f>
        <v>22429651579069.043</v>
      </c>
      <c r="AC6" s="3">
        <f>Commercial_calculation!AC8</f>
        <v>22833385307492.285</v>
      </c>
      <c r="AD6" s="3">
        <f>Commercial_calculation!AD8</f>
        <v>23244386243027.148</v>
      </c>
      <c r="AE6" s="3">
        <f>Commercial_calculation!AE8</f>
        <v>23662785195401.637</v>
      </c>
      <c r="AF6" s="3">
        <f>Commercial_calculation!AF8</f>
        <v>24088715328918.867</v>
      </c>
      <c r="AG6" s="3">
        <f>Commercial_calculation!AG8</f>
        <v>24522312204839.406</v>
      </c>
    </row>
    <row r="7" spans="1:35" x14ac:dyDescent="0.3">
      <c r="A7" s="1" t="s">
        <v>11</v>
      </c>
      <c r="B7" s="3">
        <f>Commercial_calculation!B9</f>
        <v>42700000000000</v>
      </c>
      <c r="C7" s="3">
        <f>Commercial_calculation!C9</f>
        <v>45560446860313.336</v>
      </c>
      <c r="D7" s="3">
        <f>Commercial_calculation!D9</f>
        <v>48873933904699.766</v>
      </c>
      <c r="E7" s="3">
        <f>Commercial_calculation!E9</f>
        <v>51073260930411.25</v>
      </c>
      <c r="F7" s="3">
        <f>Commercial_calculation!F9</f>
        <v>53371557672279.75</v>
      </c>
      <c r="G7" s="3">
        <f>Commercial_calculation!G9</f>
        <v>55773277767532.336</v>
      </c>
      <c r="H7" s="3">
        <f>Commercial_calculation!H9</f>
        <v>58283075267071.289</v>
      </c>
      <c r="I7" s="3">
        <f>Commercial_calculation!I9</f>
        <v>60905813654089.492</v>
      </c>
      <c r="J7" s="3">
        <f>Commercial_calculation!J9</f>
        <v>63646575268523.516</v>
      </c>
      <c r="K7" s="3">
        <f>Commercial_calculation!K9</f>
        <v>66510671155607.07</v>
      </c>
      <c r="L7" s="3">
        <f>Commercial_calculation!L9</f>
        <v>69503651357609.383</v>
      </c>
      <c r="M7" s="3">
        <f>Commercial_calculation!M9</f>
        <v>72631315668701.797</v>
      </c>
      <c r="N7" s="3">
        <f>Commercial_calculation!N9</f>
        <v>75899724873793.375</v>
      </c>
      <c r="O7" s="3">
        <f>Commercial_calculation!O9</f>
        <v>79315212493114.078</v>
      </c>
      <c r="P7" s="3">
        <f>Commercial_calculation!P9</f>
        <v>82884397055304.203</v>
      </c>
      <c r="Q7" s="3">
        <f>Commercial_calculation!Q9</f>
        <v>86614194922792.891</v>
      </c>
      <c r="R7" s="3">
        <f>Commercial_calculation!R9</f>
        <v>90511833694318.563</v>
      </c>
      <c r="S7" s="3">
        <f>Commercial_calculation!S9</f>
        <v>94584866210562.891</v>
      </c>
      <c r="T7" s="3">
        <f>Commercial_calculation!T9</f>
        <v>98841185190038.219</v>
      </c>
      <c r="U7" s="3">
        <f>Commercial_calculation!U9</f>
        <v>103289038523589.94</v>
      </c>
      <c r="V7" s="3">
        <f>Commercial_calculation!V9</f>
        <v>107937045257151.48</v>
      </c>
      <c r="W7" s="3">
        <f>Commercial_calculation!W9</f>
        <v>112794212293723.3</v>
      </c>
      <c r="X7" s="3">
        <f>Commercial_calculation!X9</f>
        <v>117869951846940.84</v>
      </c>
      <c r="Y7" s="3">
        <f>Commercial_calculation!Y9</f>
        <v>123174099680053.17</v>
      </c>
      <c r="Z7" s="3">
        <f>Commercial_calculation!Z9</f>
        <v>128716934165655.56</v>
      </c>
      <c r="AA7" s="3">
        <f>Commercial_calculation!AA9</f>
        <v>134509196203110.05</v>
      </c>
      <c r="AB7" s="3">
        <f>Commercial_calculation!AB9</f>
        <v>140562110032249.98</v>
      </c>
      <c r="AC7" s="3">
        <f>Commercial_calculation!AC9</f>
        <v>146887404983701.22</v>
      </c>
      <c r="AD7" s="3">
        <f>Commercial_calculation!AD9</f>
        <v>153497338207967.75</v>
      </c>
      <c r="AE7" s="3">
        <f>Commercial_calculation!AE9</f>
        <v>160404718427326.28</v>
      </c>
      <c r="AF7" s="3">
        <f>Commercial_calculation!AF9</f>
        <v>167622930756555.94</v>
      </c>
      <c r="AG7" s="3">
        <f>Commercial_calculation!AG9</f>
        <v>175165962640600.94</v>
      </c>
    </row>
    <row r="8" spans="1:35" x14ac:dyDescent="0.3">
      <c r="A8" s="1" t="s">
        <v>13</v>
      </c>
      <c r="B8" s="3">
        <f>Commercial_calculation!B10</f>
        <v>31500000000000</v>
      </c>
      <c r="C8" s="3">
        <f>Commercial_calculation!C10</f>
        <v>29616860228748.609</v>
      </c>
      <c r="D8" s="3">
        <f>Commercial_calculation!D10</f>
        <v>29151998453271.219</v>
      </c>
      <c r="E8" s="3">
        <f>Commercial_calculation!E10</f>
        <v>27752702527514.199</v>
      </c>
      <c r="F8" s="3">
        <f>Commercial_calculation!F10</f>
        <v>26420572806193.516</v>
      </c>
      <c r="G8" s="3">
        <f>Commercial_calculation!G10</f>
        <v>25152385311496.227</v>
      </c>
      <c r="H8" s="3">
        <f>Commercial_calculation!H10</f>
        <v>23945070816544.406</v>
      </c>
      <c r="I8" s="3">
        <f>Commercial_calculation!I10</f>
        <v>22795707417350.273</v>
      </c>
      <c r="J8" s="3">
        <f>Commercial_calculation!J10</f>
        <v>21701513461317.461</v>
      </c>
      <c r="K8" s="3">
        <f>Commercial_calculation!K10</f>
        <v>20659840815174.223</v>
      </c>
      <c r="L8" s="3">
        <f>Commercial_calculation!L10</f>
        <v>19668168456045.859</v>
      </c>
      <c r="M8" s="3">
        <f>Commercial_calculation!M10</f>
        <v>18724096370155.656</v>
      </c>
      <c r="N8" s="3">
        <f>Commercial_calculation!N10</f>
        <v>17825339744388.184</v>
      </c>
      <c r="O8" s="3">
        <f>Commercial_calculation!O10</f>
        <v>16969723436657.551</v>
      </c>
      <c r="P8" s="3">
        <f>Commercial_calculation!P10</f>
        <v>16155176711697.988</v>
      </c>
      <c r="Q8" s="3">
        <f>Commercial_calculation!Q10</f>
        <v>15379728229536.484</v>
      </c>
      <c r="R8" s="3">
        <f>Commercial_calculation!R10</f>
        <v>14641501274518.732</v>
      </c>
      <c r="S8" s="3">
        <f>Commercial_calculation!S10</f>
        <v>13938709213341.832</v>
      </c>
      <c r="T8" s="3">
        <f>Commercial_calculation!T10</f>
        <v>13269651171101.424</v>
      </c>
      <c r="U8" s="3">
        <f>Commercial_calculation!U10</f>
        <v>12632707914888.555</v>
      </c>
      <c r="V8" s="3">
        <f>Commercial_calculation!V10</f>
        <v>12026337934973.904</v>
      </c>
      <c r="W8" s="3">
        <f>Commercial_calculation!W10</f>
        <v>11449073714095.156</v>
      </c>
      <c r="X8" s="3">
        <f>Commercial_calculation!X10</f>
        <v>10899518175818.588</v>
      </c>
      <c r="Y8" s="3">
        <f>Commercial_calculation!Y10</f>
        <v>10376341303379.295</v>
      </c>
      <c r="Z8" s="3">
        <f>Commercial_calculation!Z10</f>
        <v>9878276920817.0879</v>
      </c>
      <c r="AA8" s="3">
        <f>Commercial_calculation!AA10</f>
        <v>9404119628617.8672</v>
      </c>
      <c r="AB8" s="3">
        <f>Commercial_calculation!AB10</f>
        <v>8952721886444.209</v>
      </c>
      <c r="AC8" s="3">
        <f>Commercial_calculation!AC10</f>
        <v>8522991235894.8867</v>
      </c>
      <c r="AD8" s="3">
        <f>Commercial_calculation!AD10</f>
        <v>8113887656571.9316</v>
      </c>
      <c r="AE8" s="3">
        <f>Commercial_calculation!AE10</f>
        <v>7724421049056.4785</v>
      </c>
      <c r="AF8" s="3">
        <f>Commercial_calculation!AF10</f>
        <v>7353648838701.7676</v>
      </c>
      <c r="AG8" s="3">
        <f>Commercial_calculation!AG10</f>
        <v>7000673694444.082</v>
      </c>
    </row>
    <row r="9" spans="1:35" x14ac:dyDescent="0.3">
      <c r="A9" s="1" t="s">
        <v>14</v>
      </c>
      <c r="B9" s="3">
        <f>Commercial_calculation!B11</f>
        <v>3900000000000</v>
      </c>
      <c r="C9" s="3">
        <f>Commercial_calculation!C11</f>
        <v>3658245906752.4121</v>
      </c>
      <c r="D9" s="3">
        <f>Commercial_calculation!D11</f>
        <v>3600826630225.0806</v>
      </c>
      <c r="E9" s="3">
        <f>Commercial_calculation!E11</f>
        <v>3427986951974.2764</v>
      </c>
      <c r="F9" s="3">
        <f>Commercial_calculation!F11</f>
        <v>3263443578279.5107</v>
      </c>
      <c r="G9" s="3">
        <f>Commercial_calculation!G11</f>
        <v>3106798286522.0942</v>
      </c>
      <c r="H9" s="3">
        <f>Commercial_calculation!H11</f>
        <v>2957671968769.0337</v>
      </c>
      <c r="I9" s="3">
        <f>Commercial_calculation!I11</f>
        <v>2815703714268.1201</v>
      </c>
      <c r="J9" s="3">
        <f>Commercial_calculation!J11</f>
        <v>2680549935983.25</v>
      </c>
      <c r="K9" s="3">
        <f>Commercial_calculation!K11</f>
        <v>2551883539056.0537</v>
      </c>
      <c r="L9" s="3">
        <f>Commercial_calculation!L11</f>
        <v>2429393129181.3628</v>
      </c>
      <c r="M9" s="3">
        <f>Commercial_calculation!M11</f>
        <v>2312782258980.6572</v>
      </c>
      <c r="N9" s="3">
        <f>Commercial_calculation!N11</f>
        <v>2201768710549.5854</v>
      </c>
      <c r="O9" s="3">
        <f>Commercial_calculation!O11</f>
        <v>2096083812443.2053</v>
      </c>
      <c r="P9" s="3">
        <f>Commercial_calculation!P11</f>
        <v>1995471789445.9314</v>
      </c>
      <c r="Q9" s="3">
        <f>Commercial_calculation!Q11</f>
        <v>1899689143552.5266</v>
      </c>
      <c r="R9" s="3">
        <f>Commercial_calculation!R11</f>
        <v>1808504064662.0054</v>
      </c>
      <c r="S9" s="3">
        <f>Commercial_calculation!S11</f>
        <v>1721695869558.229</v>
      </c>
      <c r="T9" s="3">
        <f>Commercial_calculation!T11</f>
        <v>1639054467819.4338</v>
      </c>
      <c r="U9" s="3">
        <f>Commercial_calculation!U11</f>
        <v>1560379853364.1008</v>
      </c>
      <c r="V9" s="3">
        <f>Commercial_calculation!V11</f>
        <v>1485481620402.624</v>
      </c>
      <c r="W9" s="3">
        <f>Commercial_calculation!W11</f>
        <v>1414178502623.2981</v>
      </c>
      <c r="X9" s="3">
        <f>Commercial_calculation!X11</f>
        <v>1346297934497.3796</v>
      </c>
      <c r="Y9" s="3">
        <f>Commercial_calculation!Y11</f>
        <v>1281675633641.5054</v>
      </c>
      <c r="Z9" s="3">
        <f>Commercial_calculation!Z11</f>
        <v>1220155203226.7131</v>
      </c>
      <c r="AA9" s="3">
        <f>Commercial_calculation!AA11</f>
        <v>1161587753471.8308</v>
      </c>
      <c r="AB9" s="3">
        <f>Commercial_calculation!AB11</f>
        <v>1105831541305.1829</v>
      </c>
      <c r="AC9" s="3">
        <f>Commercial_calculation!AC11</f>
        <v>1052751627322.5341</v>
      </c>
      <c r="AD9" s="3">
        <f>Commercial_calculation!AD11</f>
        <v>1002219549211.0524</v>
      </c>
      <c r="AE9" s="3">
        <f>Commercial_calculation!AE11</f>
        <v>954113010848.92175</v>
      </c>
      <c r="AF9" s="3">
        <f>Commercial_calculation!AF11</f>
        <v>908315586328.17346</v>
      </c>
      <c r="AG9" s="3">
        <f>Commercial_calculation!AG11</f>
        <v>864716438184.42114</v>
      </c>
    </row>
    <row r="10" spans="1:35" x14ac:dyDescent="0.3">
      <c r="A10" s="1" t="s">
        <v>15</v>
      </c>
      <c r="B10" s="3">
        <f>Commercial_calculation!B12</f>
        <v>19000000000000</v>
      </c>
      <c r="C10" s="3">
        <f>Commercial_calculation!C12</f>
        <v>17835815247411.25</v>
      </c>
      <c r="D10" s="3">
        <f>Commercial_calculation!D12</f>
        <v>17555866978791.26</v>
      </c>
      <c r="E10" s="3">
        <f>Commercial_calculation!E12</f>
        <v>16713185363809.279</v>
      </c>
      <c r="F10" s="3">
        <f>Commercial_calculation!F12</f>
        <v>15910952466346.434</v>
      </c>
      <c r="G10" s="3">
        <f>Commercial_calculation!G12</f>
        <v>15147226747961.805</v>
      </c>
      <c r="H10" s="3">
        <f>Commercial_calculation!H12</f>
        <v>14420159864059.637</v>
      </c>
      <c r="I10" s="3">
        <f>Commercial_calculation!I12</f>
        <v>13727992190584.773</v>
      </c>
      <c r="J10" s="3">
        <f>Commercial_calculation!J12</f>
        <v>13069048565436.703</v>
      </c>
      <c r="K10" s="3">
        <f>Commercial_calculation!K12</f>
        <v>12441734234295.74</v>
      </c>
      <c r="L10" s="3">
        <f>Commercial_calculation!L12</f>
        <v>11844530991049.545</v>
      </c>
      <c r="M10" s="3">
        <f>Commercial_calculation!M12</f>
        <v>11275993503479.166</v>
      </c>
      <c r="N10" s="3">
        <f>Commercial_calculation!N12</f>
        <v>10734745815312.166</v>
      </c>
      <c r="O10" s="3">
        <f>Commercial_calculation!O12</f>
        <v>10219478016177.182</v>
      </c>
      <c r="P10" s="3">
        <f>Commercial_calculation!P12</f>
        <v>9728943071400.6758</v>
      </c>
      <c r="Q10" s="3">
        <f>Commercial_calculation!Q12</f>
        <v>9261953803973.4434</v>
      </c>
      <c r="R10" s="3">
        <f>Commercial_calculation!R12</f>
        <v>8817380021382.7168</v>
      </c>
      <c r="S10" s="3">
        <f>Commercial_calculation!S12</f>
        <v>8394145780356.3457</v>
      </c>
      <c r="T10" s="3">
        <f>Commercial_calculation!T12</f>
        <v>7991226782899.2412</v>
      </c>
      <c r="U10" s="3">
        <f>Commercial_calculation!U12</f>
        <v>7607647897320.0771</v>
      </c>
      <c r="V10" s="3">
        <f>Commercial_calculation!V12</f>
        <v>7242480798248.7129</v>
      </c>
      <c r="W10" s="3">
        <f>Commercial_calculation!W12</f>
        <v>6894841719932.7744</v>
      </c>
      <c r="X10" s="3">
        <f>Commercial_calculation!X12</f>
        <v>6563889317376.001</v>
      </c>
      <c r="Y10" s="3">
        <f>Commercial_calculation!Y12</f>
        <v>6248822630141.9531</v>
      </c>
      <c r="Z10" s="3">
        <f>Commercial_calculation!Z12</f>
        <v>5948879143895.1387</v>
      </c>
      <c r="AA10" s="3">
        <f>Commercial_calculation!AA12</f>
        <v>5663332944988.1719</v>
      </c>
      <c r="AB10" s="3">
        <f>Commercial_calculation!AB12</f>
        <v>5391492963628.7393</v>
      </c>
      <c r="AC10" s="3">
        <f>Commercial_calculation!AC12</f>
        <v>5132701301374.5596</v>
      </c>
      <c r="AD10" s="3">
        <f>Commercial_calculation!AD12</f>
        <v>4886331638908.5801</v>
      </c>
      <c r="AE10" s="3">
        <f>Commercial_calculation!AE12</f>
        <v>4651787720240.9678</v>
      </c>
      <c r="AF10" s="3">
        <f>Commercial_calculation!AF12</f>
        <v>4428501909669.4014</v>
      </c>
      <c r="AG10" s="3">
        <f>Commercial_calculation!AG12</f>
        <v>4215933818005.27</v>
      </c>
    </row>
    <row r="11" spans="1:35" x14ac:dyDescent="0.3">
      <c r="A11" s="1" t="s">
        <v>16</v>
      </c>
      <c r="B11" s="3">
        <f>Commercial_calculation!B13</f>
        <v>0</v>
      </c>
      <c r="C11" s="3">
        <f>Commercial_calculation!C13</f>
        <v>0</v>
      </c>
      <c r="D11" s="3">
        <f>Commercial_calculation!D13</f>
        <v>0</v>
      </c>
      <c r="E11" s="3">
        <f>Commercial_calculation!E13</f>
        <v>0</v>
      </c>
      <c r="F11" s="3">
        <f>Commercial_calculation!F13</f>
        <v>0</v>
      </c>
      <c r="G11" s="3">
        <f>Commercial_calculation!G13</f>
        <v>0</v>
      </c>
      <c r="H11" s="3">
        <f>Commercial_calculation!H13</f>
        <v>0</v>
      </c>
      <c r="I11" s="3">
        <f>Commercial_calculation!I13</f>
        <v>0</v>
      </c>
      <c r="J11" s="3">
        <f>Commercial_calculation!J13</f>
        <v>0</v>
      </c>
      <c r="K11" s="3">
        <f>Commercial_calculation!K13</f>
        <v>0</v>
      </c>
      <c r="L11" s="3">
        <f>Commercial_calculation!L13</f>
        <v>0</v>
      </c>
      <c r="M11" s="3">
        <f>Commercial_calculation!M13</f>
        <v>0</v>
      </c>
      <c r="N11" s="3">
        <f>Commercial_calculation!N13</f>
        <v>0</v>
      </c>
      <c r="O11" s="3">
        <f>Commercial_calculation!O13</f>
        <v>0</v>
      </c>
      <c r="P11" s="3">
        <f>Commercial_calculation!P13</f>
        <v>0</v>
      </c>
      <c r="Q11" s="3">
        <f>Commercial_calculation!Q13</f>
        <v>0</v>
      </c>
      <c r="R11" s="3">
        <f>Commercial_calculation!R13</f>
        <v>0</v>
      </c>
      <c r="S11" s="3">
        <f>Commercial_calculation!S13</f>
        <v>0</v>
      </c>
      <c r="T11" s="3">
        <f>Commercial_calculation!T13</f>
        <v>0</v>
      </c>
      <c r="U11" s="3">
        <f>Commercial_calculation!U13</f>
        <v>0</v>
      </c>
      <c r="V11" s="3">
        <f>Commercial_calculation!V13</f>
        <v>0</v>
      </c>
      <c r="W11" s="3">
        <f>Commercial_calculation!W13</f>
        <v>0</v>
      </c>
      <c r="X11" s="3">
        <f>Commercial_calculation!X13</f>
        <v>0</v>
      </c>
      <c r="Y11" s="3">
        <f>Commercial_calculation!Y13</f>
        <v>0</v>
      </c>
      <c r="Z11" s="3">
        <f>Commercial_calculation!Z13</f>
        <v>0</v>
      </c>
      <c r="AA11" s="3">
        <f>Commercial_calculation!AA13</f>
        <v>0</v>
      </c>
      <c r="AB11" s="3">
        <f>Commercial_calculation!AB13</f>
        <v>0</v>
      </c>
      <c r="AC11" s="3">
        <f>Commercial_calculation!AC13</f>
        <v>0</v>
      </c>
      <c r="AD11" s="3">
        <f>Commercial_calculation!AD13</f>
        <v>0</v>
      </c>
      <c r="AE11" s="3">
        <f>Commercial_calculation!AE13</f>
        <v>0</v>
      </c>
      <c r="AF11" s="3">
        <f>Commercial_calculation!AF13</f>
        <v>0</v>
      </c>
      <c r="AG11" s="3">
        <f>Commercial_calculation!AG13</f>
        <v>0</v>
      </c>
    </row>
  </sheetData>
  <phoneticPr fontId="10" type="noConversion"/>
  <pageMargins left="0.7" right="0.7" top="0.75" bottom="0.75" header="0.3" footer="0.3"/>
  <pageSetup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I11"/>
  <sheetViews>
    <sheetView workbookViewId="0">
      <selection activeCell="B2" sqref="B2"/>
    </sheetView>
  </sheetViews>
  <sheetFormatPr defaultRowHeight="16.5" x14ac:dyDescent="0.3"/>
  <cols>
    <col min="1" max="1" width="29.875" customWidth="1"/>
    <col min="2" max="2" width="9.75" bestFit="1" customWidth="1"/>
    <col min="3" max="33" width="9.625" bestFit="1" customWidth="1"/>
  </cols>
  <sheetData>
    <row r="1" spans="1:35" x14ac:dyDescent="0.3">
      <c r="A1" s="1" t="s">
        <v>1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3">
      <c r="A2" s="1" t="s">
        <v>2</v>
      </c>
      <c r="B2" s="3">
        <f>Commercial_calculation!B16</f>
        <v>181000000000000</v>
      </c>
      <c r="C2" s="3">
        <f>Commercial_calculation!C16</f>
        <v>178932270756877.25</v>
      </c>
      <c r="D2" s="3">
        <f>Commercial_calculation!D16</f>
        <v>180518473873199.38</v>
      </c>
      <c r="E2" s="3">
        <f>Commercial_calculation!E16</f>
        <v>181962621664184.97</v>
      </c>
      <c r="F2" s="3">
        <f>Commercial_calculation!F16</f>
        <v>183418322637498.44</v>
      </c>
      <c r="G2" s="3">
        <f>Commercial_calculation!G16</f>
        <v>184885669218598.44</v>
      </c>
      <c r="H2" s="3">
        <f>Commercial_calculation!H16</f>
        <v>186364754572347.22</v>
      </c>
      <c r="I2" s="3">
        <f>Commercial_calculation!I16</f>
        <v>187855672608926</v>
      </c>
      <c r="J2" s="3">
        <f>Commercial_calculation!J16</f>
        <v>189358517989797.41</v>
      </c>
      <c r="K2" s="3">
        <f>Commercial_calculation!K16</f>
        <v>190873386133715.78</v>
      </c>
      <c r="L2" s="3">
        <f>Commercial_calculation!L16</f>
        <v>192400373222785.5</v>
      </c>
      <c r="M2" s="3">
        <f>Commercial_calculation!M16</f>
        <v>193939576208567.78</v>
      </c>
      <c r="N2" s="3">
        <f>Commercial_calculation!N16</f>
        <v>195491092818236.31</v>
      </c>
      <c r="O2" s="3">
        <f>Commercial_calculation!O16</f>
        <v>197055021560782.22</v>
      </c>
      <c r="P2" s="3">
        <f>Commercial_calculation!P16</f>
        <v>198631461733268.47</v>
      </c>
      <c r="Q2" s="3">
        <f>Commercial_calculation!Q16</f>
        <v>200220513427134.63</v>
      </c>
      <c r="R2" s="3">
        <f>Commercial_calculation!R16</f>
        <v>201822277534551.72</v>
      </c>
      <c r="S2" s="3">
        <f>Commercial_calculation!S16</f>
        <v>203436855754828.13</v>
      </c>
      <c r="T2" s="3">
        <f>Commercial_calculation!T16</f>
        <v>205064350600866.75</v>
      </c>
      <c r="U2" s="3">
        <f>Commercial_calculation!U16</f>
        <v>206704865405673.69</v>
      </c>
      <c r="V2" s="3">
        <f>Commercial_calculation!V16</f>
        <v>208358504328919.09</v>
      </c>
      <c r="W2" s="3">
        <f>Commercial_calculation!W16</f>
        <v>210025372363550.44</v>
      </c>
      <c r="X2" s="3">
        <f>Commercial_calculation!X16</f>
        <v>211705575342458.84</v>
      </c>
      <c r="Y2" s="3">
        <f>Commercial_calculation!Y16</f>
        <v>213399219945198.53</v>
      </c>
      <c r="Z2" s="3">
        <f>Commercial_calculation!Z16</f>
        <v>215106413704760.13</v>
      </c>
      <c r="AA2" s="3">
        <f>Commercial_calculation!AA16</f>
        <v>216827265014398.22</v>
      </c>
      <c r="AB2" s="3">
        <f>Commercial_calculation!AB16</f>
        <v>218561883134513.41</v>
      </c>
      <c r="AC2" s="3">
        <f>Commercial_calculation!AC16</f>
        <v>220310378199589.5</v>
      </c>
      <c r="AD2" s="3">
        <f>Commercial_calculation!AD16</f>
        <v>222072861225186.22</v>
      </c>
      <c r="AE2" s="3">
        <f>Commercial_calculation!AE16</f>
        <v>223849444114987.72</v>
      </c>
      <c r="AF2" s="3">
        <f>Commercial_calculation!AF16</f>
        <v>225640239667907.63</v>
      </c>
      <c r="AG2" s="3">
        <f>Commercial_calculation!AG16</f>
        <v>227445361585250.88</v>
      </c>
    </row>
    <row r="3" spans="1:35" x14ac:dyDescent="0.3">
      <c r="A3" s="1" t="s">
        <v>3</v>
      </c>
      <c r="B3" s="3">
        <f>Commercial_calculation!B17</f>
        <v>0</v>
      </c>
      <c r="C3" s="3">
        <f>Commercial_calculation!C17</f>
        <v>0</v>
      </c>
      <c r="D3" s="3">
        <f>Commercial_calculation!D17</f>
        <v>0</v>
      </c>
      <c r="E3" s="3">
        <f>Commercial_calculation!E17</f>
        <v>0</v>
      </c>
      <c r="F3" s="3">
        <f>Commercial_calculation!F17</f>
        <v>0</v>
      </c>
      <c r="G3" s="3">
        <f>Commercial_calculation!G17</f>
        <v>0</v>
      </c>
      <c r="H3" s="3">
        <f>Commercial_calculation!H17</f>
        <v>0</v>
      </c>
      <c r="I3" s="3">
        <f>Commercial_calculation!I17</f>
        <v>0</v>
      </c>
      <c r="J3" s="3">
        <f>Commercial_calculation!J17</f>
        <v>0</v>
      </c>
      <c r="K3" s="3">
        <f>Commercial_calculation!K17</f>
        <v>0</v>
      </c>
      <c r="L3" s="3">
        <f>Commercial_calculation!L17</f>
        <v>0</v>
      </c>
      <c r="M3" s="3">
        <f>Commercial_calculation!M17</f>
        <v>0</v>
      </c>
      <c r="N3" s="3">
        <f>Commercial_calculation!N17</f>
        <v>0</v>
      </c>
      <c r="O3" s="3">
        <f>Commercial_calculation!O17</f>
        <v>0</v>
      </c>
      <c r="P3" s="3">
        <f>Commercial_calculation!P17</f>
        <v>0</v>
      </c>
      <c r="Q3" s="3">
        <f>Commercial_calculation!Q17</f>
        <v>0</v>
      </c>
      <c r="R3" s="3">
        <f>Commercial_calculation!R17</f>
        <v>0</v>
      </c>
      <c r="S3" s="3">
        <f>Commercial_calculation!S17</f>
        <v>0</v>
      </c>
      <c r="T3" s="3">
        <f>Commercial_calculation!T17</f>
        <v>0</v>
      </c>
      <c r="U3" s="3">
        <f>Commercial_calculation!U17</f>
        <v>0</v>
      </c>
      <c r="V3" s="3">
        <f>Commercial_calculation!V17</f>
        <v>0</v>
      </c>
      <c r="W3" s="3">
        <f>Commercial_calculation!W17</f>
        <v>0</v>
      </c>
      <c r="X3" s="3">
        <f>Commercial_calculation!X17</f>
        <v>0</v>
      </c>
      <c r="Y3" s="3">
        <f>Commercial_calculation!Y17</f>
        <v>0</v>
      </c>
      <c r="Z3" s="3">
        <f>Commercial_calculation!Z17</f>
        <v>0</v>
      </c>
      <c r="AA3" s="3">
        <f>Commercial_calculation!AA17</f>
        <v>0</v>
      </c>
      <c r="AB3" s="3">
        <f>Commercial_calculation!AB17</f>
        <v>0</v>
      </c>
      <c r="AC3" s="3">
        <f>Commercial_calculation!AC17</f>
        <v>0</v>
      </c>
      <c r="AD3" s="3">
        <f>Commercial_calculation!AD17</f>
        <v>0</v>
      </c>
      <c r="AE3" s="3">
        <f>Commercial_calculation!AE17</f>
        <v>0</v>
      </c>
      <c r="AF3" s="3">
        <f>Commercial_calculation!AF17</f>
        <v>0</v>
      </c>
      <c r="AG3" s="3">
        <f>Commercial_calculation!AG17</f>
        <v>0</v>
      </c>
    </row>
    <row r="4" spans="1:35" x14ac:dyDescent="0.3">
      <c r="A4" s="1" t="s">
        <v>4</v>
      </c>
      <c r="B4" s="3">
        <f>Commercial_calculation!B18</f>
        <v>19400000000000</v>
      </c>
      <c r="C4" s="3">
        <f>Commercial_calculation!C18</f>
        <v>19015685329482.852</v>
      </c>
      <c r="D4" s="3">
        <f>Commercial_calculation!D18</f>
        <v>18958267668592.289</v>
      </c>
      <c r="E4" s="3">
        <f>Commercial_calculation!E18</f>
        <v>19337433021964.137</v>
      </c>
      <c r="F4" s="3">
        <f>Commercial_calculation!F18</f>
        <v>19724181682403.418</v>
      </c>
      <c r="G4" s="3">
        <f>Commercial_calculation!G18</f>
        <v>20118665316051.488</v>
      </c>
      <c r="H4" s="3">
        <f>Commercial_calculation!H18</f>
        <v>20521038622372.52</v>
      </c>
      <c r="I4" s="3">
        <f>Commercial_calculation!I18</f>
        <v>20931459394819.969</v>
      </c>
      <c r="J4" s="3">
        <f>Commercial_calculation!J18</f>
        <v>21350088582716.367</v>
      </c>
      <c r="K4" s="3">
        <f>Commercial_calculation!K18</f>
        <v>21777090354370.695</v>
      </c>
      <c r="L4" s="3">
        <f>Commercial_calculation!L18</f>
        <v>22212632161458.109</v>
      </c>
      <c r="M4" s="3">
        <f>Commercial_calculation!M18</f>
        <v>22656884804687.273</v>
      </c>
      <c r="N4" s="3">
        <f>Commercial_calculation!N18</f>
        <v>23110022500781.02</v>
      </c>
      <c r="O4" s="3">
        <f>Commercial_calculation!O18</f>
        <v>23572222950796.641</v>
      </c>
      <c r="P4" s="3">
        <f>Commercial_calculation!P18</f>
        <v>24043667409812.574</v>
      </c>
      <c r="Q4" s="3">
        <f>Commercial_calculation!Q18</f>
        <v>24524540758008.824</v>
      </c>
      <c r="R4" s="3">
        <f>Commercial_calculation!R18</f>
        <v>25015031573169</v>
      </c>
      <c r="S4" s="3">
        <f>Commercial_calculation!S18</f>
        <v>25515332204632.379</v>
      </c>
      <c r="T4" s="3">
        <f>Commercial_calculation!T18</f>
        <v>26025638848725.027</v>
      </c>
      <c r="U4" s="3">
        <f>Commercial_calculation!U18</f>
        <v>26546151625699.527</v>
      </c>
      <c r="V4" s="3">
        <f>Commercial_calculation!V18</f>
        <v>27077074658213.52</v>
      </c>
      <c r="W4" s="3">
        <f>Commercial_calculation!W18</f>
        <v>27618616151377.789</v>
      </c>
      <c r="X4" s="3">
        <f>Commercial_calculation!X18</f>
        <v>28170988474405.344</v>
      </c>
      <c r="Y4" s="3">
        <f>Commercial_calculation!Y18</f>
        <v>28734408243893.449</v>
      </c>
      <c r="Z4" s="3">
        <f>Commercial_calculation!Z18</f>
        <v>29309096408771.32</v>
      </c>
      <c r="AA4" s="3">
        <f>Commercial_calculation!AA18</f>
        <v>29895278336946.746</v>
      </c>
      <c r="AB4" s="3">
        <f>Commercial_calculation!AB18</f>
        <v>30493183903685.68</v>
      </c>
      <c r="AC4" s="3">
        <f>Commercial_calculation!AC18</f>
        <v>31103047581759.395</v>
      </c>
      <c r="AD4" s="3">
        <f>Commercial_calculation!AD18</f>
        <v>31725108533394.582</v>
      </c>
      <c r="AE4" s="3">
        <f>Commercial_calculation!AE18</f>
        <v>32359610704062.473</v>
      </c>
      <c r="AF4" s="3">
        <f>Commercial_calculation!AF18</f>
        <v>33006802918143.723</v>
      </c>
      <c r="AG4" s="3">
        <f>Commercial_calculation!AG18</f>
        <v>33666938976506.598</v>
      </c>
    </row>
    <row r="5" spans="1:35" x14ac:dyDescent="0.3">
      <c r="A5" s="1" t="s">
        <v>5</v>
      </c>
      <c r="B5" s="3">
        <f>Commercial_calculation!B19</f>
        <v>0</v>
      </c>
      <c r="C5" s="3">
        <f>Commercial_calculation!C19</f>
        <v>0</v>
      </c>
      <c r="D5" s="3">
        <f>Commercial_calculation!D19</f>
        <v>0</v>
      </c>
      <c r="E5" s="3">
        <f>Commercial_calculation!E19</f>
        <v>0</v>
      </c>
      <c r="F5" s="3">
        <f>Commercial_calculation!F19</f>
        <v>0</v>
      </c>
      <c r="G5" s="3">
        <f>Commercial_calculation!G19</f>
        <v>0</v>
      </c>
      <c r="H5" s="3">
        <f>Commercial_calculation!H19</f>
        <v>0</v>
      </c>
      <c r="I5" s="3">
        <f>Commercial_calculation!I19</f>
        <v>0</v>
      </c>
      <c r="J5" s="3">
        <f>Commercial_calculation!J19</f>
        <v>0</v>
      </c>
      <c r="K5" s="3">
        <f>Commercial_calculation!K19</f>
        <v>0</v>
      </c>
      <c r="L5" s="3">
        <f>Commercial_calculation!L19</f>
        <v>0</v>
      </c>
      <c r="M5" s="3">
        <f>Commercial_calculation!M19</f>
        <v>0</v>
      </c>
      <c r="N5" s="3">
        <f>Commercial_calculation!N19</f>
        <v>0</v>
      </c>
      <c r="O5" s="3">
        <f>Commercial_calculation!O19</f>
        <v>0</v>
      </c>
      <c r="P5" s="3">
        <f>Commercial_calculation!P19</f>
        <v>0</v>
      </c>
      <c r="Q5" s="3">
        <f>Commercial_calculation!Q19</f>
        <v>0</v>
      </c>
      <c r="R5" s="3">
        <f>Commercial_calculation!R19</f>
        <v>0</v>
      </c>
      <c r="S5" s="3">
        <f>Commercial_calculation!S19</f>
        <v>0</v>
      </c>
      <c r="T5" s="3">
        <f>Commercial_calculation!T19</f>
        <v>0</v>
      </c>
      <c r="U5" s="3">
        <f>Commercial_calculation!U19</f>
        <v>0</v>
      </c>
      <c r="V5" s="3">
        <f>Commercial_calculation!V19</f>
        <v>0</v>
      </c>
      <c r="W5" s="3">
        <f>Commercial_calculation!W19</f>
        <v>0</v>
      </c>
      <c r="X5" s="3">
        <f>Commercial_calculation!X19</f>
        <v>0</v>
      </c>
      <c r="Y5" s="3">
        <f>Commercial_calculation!Y19</f>
        <v>0</v>
      </c>
      <c r="Z5" s="3">
        <f>Commercial_calculation!Z19</f>
        <v>0</v>
      </c>
      <c r="AA5" s="3">
        <f>Commercial_calculation!AA19</f>
        <v>0</v>
      </c>
      <c r="AB5" s="3">
        <f>Commercial_calculation!AB19</f>
        <v>0</v>
      </c>
      <c r="AC5" s="3">
        <f>Commercial_calculation!AC19</f>
        <v>0</v>
      </c>
      <c r="AD5" s="3">
        <f>Commercial_calculation!AD19</f>
        <v>0</v>
      </c>
      <c r="AE5" s="3">
        <f>Commercial_calculation!AE19</f>
        <v>0</v>
      </c>
      <c r="AF5" s="3">
        <f>Commercial_calculation!AF19</f>
        <v>0</v>
      </c>
      <c r="AG5" s="3">
        <f>Commercial_calculation!AG19</f>
        <v>0</v>
      </c>
    </row>
    <row r="6" spans="1:35" x14ac:dyDescent="0.3">
      <c r="A6" s="1" t="s">
        <v>7</v>
      </c>
      <c r="B6" s="3">
        <f>Commercial_calculation!B20</f>
        <v>1790000000000</v>
      </c>
      <c r="C6" s="3">
        <f>Commercial_calculation!C20</f>
        <v>1719234027238.3359</v>
      </c>
      <c r="D6" s="3">
        <f>Commercial_calculation!D20</f>
        <v>1731844545775.5361</v>
      </c>
      <c r="E6" s="3">
        <f>Commercial_calculation!E20</f>
        <v>1763017747599.4958</v>
      </c>
      <c r="F6" s="3">
        <f>Commercial_calculation!F20</f>
        <v>1794752067056.2869</v>
      </c>
      <c r="G6" s="3">
        <f>Commercial_calculation!G20</f>
        <v>1827057604263.3</v>
      </c>
      <c r="H6" s="3">
        <f>Commercial_calculation!H20</f>
        <v>1859944641140.0396</v>
      </c>
      <c r="I6" s="3">
        <f>Commercial_calculation!I20</f>
        <v>1893423644680.5603</v>
      </c>
      <c r="J6" s="3">
        <f>Commercial_calculation!J20</f>
        <v>1927505270284.8103</v>
      </c>
      <c r="K6" s="3">
        <f>Commercial_calculation!K20</f>
        <v>1962200365149.937</v>
      </c>
      <c r="L6" s="3">
        <f>Commercial_calculation!L20</f>
        <v>1997519971722.636</v>
      </c>
      <c r="M6" s="3">
        <f>Commercial_calculation!M20</f>
        <v>2033475331213.6436</v>
      </c>
      <c r="N6" s="3">
        <f>Commercial_calculation!N20</f>
        <v>2070077887175.4893</v>
      </c>
      <c r="O6" s="3">
        <f>Commercial_calculation!O20</f>
        <v>2107339289144.6482</v>
      </c>
      <c r="P6" s="3">
        <f>Commercial_calculation!P20</f>
        <v>2145271396349.252</v>
      </c>
      <c r="Q6" s="3">
        <f>Commercial_calculation!Q20</f>
        <v>2183886281483.5386</v>
      </c>
      <c r="R6" s="3">
        <f>Commercial_calculation!R20</f>
        <v>2223196234550.2422</v>
      </c>
      <c r="S6" s="3">
        <f>Commercial_calculation!S20</f>
        <v>2263213766772.1465</v>
      </c>
      <c r="T6" s="3">
        <f>Commercial_calculation!T20</f>
        <v>2303951614574.0449</v>
      </c>
      <c r="U6" s="3">
        <f>Commercial_calculation!U20</f>
        <v>2345422743636.3779</v>
      </c>
      <c r="V6" s="3">
        <f>Commercial_calculation!V20</f>
        <v>2387640353021.833</v>
      </c>
      <c r="W6" s="3">
        <f>Commercial_calculation!W20</f>
        <v>2430617879376.2261</v>
      </c>
      <c r="X6" s="3">
        <f>Commercial_calculation!X20</f>
        <v>2474369001204.998</v>
      </c>
      <c r="Y6" s="3">
        <f>Commercial_calculation!Y20</f>
        <v>2518907643226.688</v>
      </c>
      <c r="Z6" s="3">
        <f>Commercial_calculation!Z20</f>
        <v>2564247980804.7686</v>
      </c>
      <c r="AA6" s="3">
        <f>Commercial_calculation!AA20</f>
        <v>2610404444459.2544</v>
      </c>
      <c r="AB6" s="3">
        <f>Commercial_calculation!AB20</f>
        <v>2657391724459.521</v>
      </c>
      <c r="AC6" s="3">
        <f>Commercial_calculation!AC20</f>
        <v>2705224775499.7925</v>
      </c>
      <c r="AD6" s="3">
        <f>Commercial_calculation!AD20</f>
        <v>2753918821458.7886</v>
      </c>
      <c r="AE6" s="3">
        <f>Commercial_calculation!AE20</f>
        <v>2803489360245.0469</v>
      </c>
      <c r="AF6" s="3">
        <f>Commercial_calculation!AF20</f>
        <v>2853952168729.458</v>
      </c>
      <c r="AG6" s="3">
        <f>Commercial_calculation!AG20</f>
        <v>2905323307766.5884</v>
      </c>
    </row>
    <row r="7" spans="1:35" x14ac:dyDescent="0.3">
      <c r="A7" s="1" t="s">
        <v>11</v>
      </c>
      <c r="B7" s="3">
        <f>Commercial_calculation!B21</f>
        <v>208000000000</v>
      </c>
      <c r="C7" s="3">
        <f>Commercial_calculation!C21</f>
        <v>222246082245.43088</v>
      </c>
      <c r="D7" s="3">
        <f>Commercial_calculation!D21</f>
        <v>238409433681.46222</v>
      </c>
      <c r="E7" s="3">
        <f>Commercial_calculation!E21</f>
        <v>249137858197.12799</v>
      </c>
      <c r="F7" s="3">
        <f>Commercial_calculation!F21</f>
        <v>260349061815.99872</v>
      </c>
      <c r="G7" s="3">
        <f>Commercial_calculation!G21</f>
        <v>272064769597.71863</v>
      </c>
      <c r="H7" s="3">
        <f>Commercial_calculation!H21</f>
        <v>284307684229.61597</v>
      </c>
      <c r="I7" s="3">
        <f>Commercial_calculation!I21</f>
        <v>297101530019.94867</v>
      </c>
      <c r="J7" s="3">
        <f>Commercial_calculation!J21</f>
        <v>310471098870.84631</v>
      </c>
      <c r="K7" s="3">
        <f>Commercial_calculation!K21</f>
        <v>324442298320.03436</v>
      </c>
      <c r="L7" s="3">
        <f>Commercial_calculation!L21</f>
        <v>339042201744.43591</v>
      </c>
      <c r="M7" s="3">
        <f>Commercial_calculation!M21</f>
        <v>354299100822.93549</v>
      </c>
      <c r="N7" s="3">
        <f>Commercial_calculation!N21</f>
        <v>370242560359.96753</v>
      </c>
      <c r="O7" s="3">
        <f>Commercial_calculation!O21</f>
        <v>386903475576.16602</v>
      </c>
      <c r="P7" s="3">
        <f>Commercial_calculation!P21</f>
        <v>404314131977.09344</v>
      </c>
      <c r="Q7" s="3">
        <f>Commercial_calculation!Q21</f>
        <v>422508267916.06262</v>
      </c>
      <c r="R7" s="3">
        <f>Commercial_calculation!R21</f>
        <v>441521139972.2854</v>
      </c>
      <c r="S7" s="3">
        <f>Commercial_calculation!S21</f>
        <v>461389591271.03821</v>
      </c>
      <c r="T7" s="3">
        <f>Commercial_calculation!T21</f>
        <v>482152122878.23492</v>
      </c>
      <c r="U7" s="3">
        <f>Commercial_calculation!U21</f>
        <v>503848968407.75543</v>
      </c>
      <c r="V7" s="3">
        <f>Commercial_calculation!V21</f>
        <v>526522171986.10437</v>
      </c>
      <c r="W7" s="3">
        <f>Commercial_calculation!W21</f>
        <v>550215669725.479</v>
      </c>
      <c r="X7" s="3">
        <f>Commercial_calculation!X21</f>
        <v>574975374863.12549</v>
      </c>
      <c r="Y7" s="3">
        <f>Commercial_calculation!Y21</f>
        <v>600849266731.96606</v>
      </c>
      <c r="Z7" s="3">
        <f>Commercial_calculation!Z21</f>
        <v>627887483734.90454</v>
      </c>
      <c r="AA7" s="3">
        <f>Commercial_calculation!AA21</f>
        <v>656142420502.97522</v>
      </c>
      <c r="AB7" s="3">
        <f>Commercial_calculation!AB21</f>
        <v>685668829425.60901</v>
      </c>
      <c r="AC7" s="3">
        <f>Commercial_calculation!AC21</f>
        <v>716523926749.76135</v>
      </c>
      <c r="AD7" s="3">
        <f>Commercial_calculation!AD21</f>
        <v>748767503453.50061</v>
      </c>
      <c r="AE7" s="3">
        <f>Commercial_calculation!AE21</f>
        <v>782462041108.90808</v>
      </c>
      <c r="AF7" s="3">
        <f>Commercial_calculation!AF21</f>
        <v>817672832958.80884</v>
      </c>
      <c r="AG7" s="3">
        <f>Commercial_calculation!AG21</f>
        <v>854468110441.9552</v>
      </c>
    </row>
    <row r="8" spans="1:35" x14ac:dyDescent="0.3">
      <c r="A8" s="1" t="s">
        <v>13</v>
      </c>
      <c r="B8" s="3">
        <f>Commercial_calculation!B22</f>
        <v>0</v>
      </c>
      <c r="C8" s="3">
        <f>Commercial_calculation!C22</f>
        <v>0</v>
      </c>
      <c r="D8" s="3">
        <f>Commercial_calculation!D22</f>
        <v>0</v>
      </c>
      <c r="E8" s="3">
        <f>Commercial_calculation!E22</f>
        <v>0</v>
      </c>
      <c r="F8" s="3">
        <f>Commercial_calculation!F22</f>
        <v>0</v>
      </c>
      <c r="G8" s="3">
        <f>Commercial_calculation!G22</f>
        <v>0</v>
      </c>
      <c r="H8" s="3">
        <f>Commercial_calculation!H22</f>
        <v>0</v>
      </c>
      <c r="I8" s="3">
        <f>Commercial_calculation!I22</f>
        <v>0</v>
      </c>
      <c r="J8" s="3">
        <f>Commercial_calculation!J22</f>
        <v>0</v>
      </c>
      <c r="K8" s="3">
        <f>Commercial_calculation!K22</f>
        <v>0</v>
      </c>
      <c r="L8" s="3">
        <f>Commercial_calculation!L22</f>
        <v>0</v>
      </c>
      <c r="M8" s="3">
        <f>Commercial_calculation!M22</f>
        <v>0</v>
      </c>
      <c r="N8" s="3">
        <f>Commercial_calculation!N22</f>
        <v>0</v>
      </c>
      <c r="O8" s="3">
        <f>Commercial_calculation!O22</f>
        <v>0</v>
      </c>
      <c r="P8" s="3">
        <f>Commercial_calculation!P22</f>
        <v>0</v>
      </c>
      <c r="Q8" s="3">
        <f>Commercial_calculation!Q22</f>
        <v>0</v>
      </c>
      <c r="R8" s="3">
        <f>Commercial_calculation!R22</f>
        <v>0</v>
      </c>
      <c r="S8" s="3">
        <f>Commercial_calculation!S22</f>
        <v>0</v>
      </c>
      <c r="T8" s="3">
        <f>Commercial_calculation!T22</f>
        <v>0</v>
      </c>
      <c r="U8" s="3">
        <f>Commercial_calculation!U22</f>
        <v>0</v>
      </c>
      <c r="V8" s="3">
        <f>Commercial_calculation!V22</f>
        <v>0</v>
      </c>
      <c r="W8" s="3">
        <f>Commercial_calculation!W22</f>
        <v>0</v>
      </c>
      <c r="X8" s="3">
        <f>Commercial_calculation!X22</f>
        <v>0</v>
      </c>
      <c r="Y8" s="3">
        <f>Commercial_calculation!Y22</f>
        <v>0</v>
      </c>
      <c r="Z8" s="3">
        <f>Commercial_calculation!Z22</f>
        <v>0</v>
      </c>
      <c r="AA8" s="3">
        <f>Commercial_calculation!AA22</f>
        <v>0</v>
      </c>
      <c r="AB8" s="3">
        <f>Commercial_calculation!AB22</f>
        <v>0</v>
      </c>
      <c r="AC8" s="3">
        <f>Commercial_calculation!AC22</f>
        <v>0</v>
      </c>
      <c r="AD8" s="3">
        <f>Commercial_calculation!AD22</f>
        <v>0</v>
      </c>
      <c r="AE8" s="3">
        <f>Commercial_calculation!AE22</f>
        <v>0</v>
      </c>
      <c r="AF8" s="3">
        <f>Commercial_calculation!AF22</f>
        <v>0</v>
      </c>
      <c r="AG8" s="3">
        <f>Commercial_calculation!AG22</f>
        <v>0</v>
      </c>
    </row>
    <row r="9" spans="1:35" x14ac:dyDescent="0.3">
      <c r="A9" s="1" t="s">
        <v>14</v>
      </c>
      <c r="B9" s="3">
        <f>Commercial_calculation!B23</f>
        <v>0</v>
      </c>
      <c r="C9" s="3">
        <f>Commercial_calculation!C23</f>
        <v>0</v>
      </c>
      <c r="D9" s="3">
        <f>Commercial_calculation!D23</f>
        <v>0</v>
      </c>
      <c r="E9" s="3">
        <f>Commercial_calculation!E23</f>
        <v>0</v>
      </c>
      <c r="F9" s="3">
        <f>Commercial_calculation!F23</f>
        <v>0</v>
      </c>
      <c r="G9" s="3">
        <f>Commercial_calculation!G23</f>
        <v>0</v>
      </c>
      <c r="H9" s="3">
        <f>Commercial_calculation!H23</f>
        <v>0</v>
      </c>
      <c r="I9" s="3">
        <f>Commercial_calculation!I23</f>
        <v>0</v>
      </c>
      <c r="J9" s="3">
        <f>Commercial_calculation!J23</f>
        <v>0</v>
      </c>
      <c r="K9" s="3">
        <f>Commercial_calculation!K23</f>
        <v>0</v>
      </c>
      <c r="L9" s="3">
        <f>Commercial_calculation!L23</f>
        <v>0</v>
      </c>
      <c r="M9" s="3">
        <f>Commercial_calculation!M23</f>
        <v>0</v>
      </c>
      <c r="N9" s="3">
        <f>Commercial_calculation!N23</f>
        <v>0</v>
      </c>
      <c r="O9" s="3">
        <f>Commercial_calculation!O23</f>
        <v>0</v>
      </c>
      <c r="P9" s="3">
        <f>Commercial_calculation!P23</f>
        <v>0</v>
      </c>
      <c r="Q9" s="3">
        <f>Commercial_calculation!Q23</f>
        <v>0</v>
      </c>
      <c r="R9" s="3">
        <f>Commercial_calculation!R23</f>
        <v>0</v>
      </c>
      <c r="S9" s="3">
        <f>Commercial_calculation!S23</f>
        <v>0</v>
      </c>
      <c r="T9" s="3">
        <f>Commercial_calculation!T23</f>
        <v>0</v>
      </c>
      <c r="U9" s="3">
        <f>Commercial_calculation!U23</f>
        <v>0</v>
      </c>
      <c r="V9" s="3">
        <f>Commercial_calculation!V23</f>
        <v>0</v>
      </c>
      <c r="W9" s="3">
        <f>Commercial_calculation!W23</f>
        <v>0</v>
      </c>
      <c r="X9" s="3">
        <f>Commercial_calculation!X23</f>
        <v>0</v>
      </c>
      <c r="Y9" s="3">
        <f>Commercial_calculation!Y23</f>
        <v>0</v>
      </c>
      <c r="Z9" s="3">
        <f>Commercial_calculation!Z23</f>
        <v>0</v>
      </c>
      <c r="AA9" s="3">
        <f>Commercial_calculation!AA23</f>
        <v>0</v>
      </c>
      <c r="AB9" s="3">
        <f>Commercial_calculation!AB23</f>
        <v>0</v>
      </c>
      <c r="AC9" s="3">
        <f>Commercial_calculation!AC23</f>
        <v>0</v>
      </c>
      <c r="AD9" s="3">
        <f>Commercial_calculation!AD23</f>
        <v>0</v>
      </c>
      <c r="AE9" s="3">
        <f>Commercial_calculation!AE23</f>
        <v>0</v>
      </c>
      <c r="AF9" s="3">
        <f>Commercial_calculation!AF23</f>
        <v>0</v>
      </c>
      <c r="AG9" s="3">
        <f>Commercial_calculation!AG23</f>
        <v>0</v>
      </c>
    </row>
    <row r="10" spans="1:35" x14ac:dyDescent="0.3">
      <c r="A10" s="1" t="s">
        <v>15</v>
      </c>
      <c r="B10" s="3">
        <f>Commercial_calculation!B24</f>
        <v>318000000000</v>
      </c>
      <c r="C10" s="3">
        <f>Commercial_calculation!C24</f>
        <v>298632318918.56421</v>
      </c>
      <c r="D10" s="3">
        <f>Commercial_calculation!D24</f>
        <v>293945031038.7821</v>
      </c>
      <c r="E10" s="3">
        <f>Commercial_calculation!E24</f>
        <v>279835669548.92053</v>
      </c>
      <c r="F10" s="3">
        <f>Commercial_calculation!F24</f>
        <v>266403557410.57233</v>
      </c>
      <c r="G10" s="3">
        <f>Commercial_calculation!G24</f>
        <v>253616186654.86484</v>
      </c>
      <c r="H10" s="3">
        <f>Commercial_calculation!H24</f>
        <v>241442609695.4313</v>
      </c>
      <c r="I10" s="3">
        <f>Commercial_calculation!I24</f>
        <v>229853364430.0506</v>
      </c>
      <c r="J10" s="3">
        <f>Commercial_calculation!J24</f>
        <v>218820402937.40817</v>
      </c>
      <c r="K10" s="3">
        <f>Commercial_calculation!K24</f>
        <v>208317023596.41257</v>
      </c>
      <c r="L10" s="3">
        <f>Commercial_calculation!L24</f>
        <v>198317806463.78476</v>
      </c>
      <c r="M10" s="3">
        <f>Commercial_calculation!M24</f>
        <v>188798551753.52307</v>
      </c>
      <c r="N10" s="3">
        <f>Commercial_calculation!N24</f>
        <v>179736221269.35394</v>
      </c>
      <c r="O10" s="3">
        <f>Commercial_calculation!O24</f>
        <v>171108882648.42496</v>
      </c>
      <c r="P10" s="3">
        <f>Commercial_calculation!P24</f>
        <v>162895656281.30054</v>
      </c>
      <c r="Q10" s="3">
        <f>Commercial_calculation!Q24</f>
        <v>155076664779.7981</v>
      </c>
      <c r="R10" s="3">
        <f>Commercial_calculation!R24</f>
        <v>147632984870.36777</v>
      </c>
      <c r="S10" s="3">
        <f>Commercial_calculation!S24</f>
        <v>140546601596.59012</v>
      </c>
      <c r="T10" s="3">
        <f>Commercial_calculation!T24</f>
        <v>133800364719.95378</v>
      </c>
      <c r="U10" s="3">
        <f>Commercial_calculation!U24</f>
        <v>127377947213.396</v>
      </c>
      <c r="V10" s="3">
        <f>Commercial_calculation!V24</f>
        <v>121263805747.15298</v>
      </c>
      <c r="W10" s="3">
        <f>Commercial_calculation!W24</f>
        <v>115443143071.28964</v>
      </c>
      <c r="X10" s="3">
        <f>Commercial_calculation!X24</f>
        <v>109901872203.86774</v>
      </c>
      <c r="Y10" s="3">
        <f>Commercial_calculation!Y24</f>
        <v>104626582338.08208</v>
      </c>
      <c r="Z10" s="3">
        <f>Commercial_calculation!Z24</f>
        <v>99604506385.854126</v>
      </c>
      <c r="AA10" s="3">
        <f>Commercial_calculation!AA24</f>
        <v>94823490079.33313</v>
      </c>
      <c r="AB10" s="3">
        <f>Commercial_calculation!AB24</f>
        <v>90271962555.525131</v>
      </c>
      <c r="AC10" s="3">
        <f>Commercial_calculation!AC24</f>
        <v>85938908352.859924</v>
      </c>
      <c r="AD10" s="3">
        <f>Commercial_calculation!AD24</f>
        <v>81813840751.922638</v>
      </c>
      <c r="AE10" s="3">
        <f>Commercial_calculation!AE24</f>
        <v>77886776395.830353</v>
      </c>
      <c r="AF10" s="3">
        <f>Commercial_calculation!AF24</f>
        <v>74148211128.83049</v>
      </c>
      <c r="AG10" s="3">
        <f>Commercial_calculation!AG24</f>
        <v>70589096994.646622</v>
      </c>
    </row>
    <row r="11" spans="1:35" x14ac:dyDescent="0.3">
      <c r="A11" s="1" t="s">
        <v>16</v>
      </c>
      <c r="B11" s="3">
        <f>Commercial_calculation!B25</f>
        <v>0</v>
      </c>
      <c r="C11" s="3">
        <f>Commercial_calculation!C25</f>
        <v>0</v>
      </c>
      <c r="D11" s="3">
        <f>Commercial_calculation!D25</f>
        <v>0</v>
      </c>
      <c r="E11" s="3">
        <f>Commercial_calculation!E25</f>
        <v>0</v>
      </c>
      <c r="F11" s="3">
        <f>Commercial_calculation!F25</f>
        <v>0</v>
      </c>
      <c r="G11" s="3">
        <f>Commercial_calculation!G25</f>
        <v>0</v>
      </c>
      <c r="H11" s="3">
        <f>Commercial_calculation!H25</f>
        <v>0</v>
      </c>
      <c r="I11" s="3">
        <f>Commercial_calculation!I25</f>
        <v>0</v>
      </c>
      <c r="J11" s="3">
        <f>Commercial_calculation!J25</f>
        <v>0</v>
      </c>
      <c r="K11" s="3">
        <f>Commercial_calculation!K25</f>
        <v>0</v>
      </c>
      <c r="L11" s="3">
        <f>Commercial_calculation!L25</f>
        <v>0</v>
      </c>
      <c r="M11" s="3">
        <f>Commercial_calculation!M25</f>
        <v>0</v>
      </c>
      <c r="N11" s="3">
        <f>Commercial_calculation!N25</f>
        <v>0</v>
      </c>
      <c r="O11" s="3">
        <f>Commercial_calculation!O25</f>
        <v>0</v>
      </c>
      <c r="P11" s="3">
        <f>Commercial_calculation!P25</f>
        <v>0</v>
      </c>
      <c r="Q11" s="3">
        <f>Commercial_calculation!Q25</f>
        <v>0</v>
      </c>
      <c r="R11" s="3">
        <f>Commercial_calculation!R25</f>
        <v>0</v>
      </c>
      <c r="S11" s="3">
        <f>Commercial_calculation!S25</f>
        <v>0</v>
      </c>
      <c r="T11" s="3">
        <f>Commercial_calculation!T25</f>
        <v>0</v>
      </c>
      <c r="U11" s="3">
        <f>Commercial_calculation!U25</f>
        <v>0</v>
      </c>
      <c r="V11" s="3">
        <f>Commercial_calculation!V25</f>
        <v>0</v>
      </c>
      <c r="W11" s="3">
        <f>Commercial_calculation!W25</f>
        <v>0</v>
      </c>
      <c r="X11" s="3">
        <f>Commercial_calculation!X25</f>
        <v>0</v>
      </c>
      <c r="Y11" s="3">
        <f>Commercial_calculation!Y25</f>
        <v>0</v>
      </c>
      <c r="Z11" s="3">
        <f>Commercial_calculation!Z25</f>
        <v>0</v>
      </c>
      <c r="AA11" s="3">
        <f>Commercial_calculation!AA25</f>
        <v>0</v>
      </c>
      <c r="AB11" s="3">
        <f>Commercial_calculation!AB25</f>
        <v>0</v>
      </c>
      <c r="AC11" s="3">
        <f>Commercial_calculation!AC25</f>
        <v>0</v>
      </c>
      <c r="AD11" s="3">
        <f>Commercial_calculation!AD25</f>
        <v>0</v>
      </c>
      <c r="AE11" s="3">
        <f>Commercial_calculation!AE25</f>
        <v>0</v>
      </c>
      <c r="AF11" s="3">
        <f>Commercial_calculation!AF25</f>
        <v>0</v>
      </c>
      <c r="AG11" s="3">
        <f>Commercial_calculation!AG25</f>
        <v>0</v>
      </c>
    </row>
  </sheetData>
  <phoneticPr fontId="10" type="noConversion"/>
  <pageMargins left="0.7" right="0.7" top="0.75" bottom="0.75" header="0.3" footer="0.3"/>
  <pageSetup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3"/>
  </sheetPr>
  <dimension ref="A1:AI11"/>
  <sheetViews>
    <sheetView workbookViewId="0">
      <selection activeCell="B2" sqref="B2"/>
    </sheetView>
  </sheetViews>
  <sheetFormatPr defaultRowHeight="16.5" x14ac:dyDescent="0.3"/>
  <cols>
    <col min="1" max="1" width="29.875" customWidth="1"/>
    <col min="2" max="2" width="9.75" bestFit="1" customWidth="1"/>
    <col min="3" max="33" width="9.625" bestFit="1" customWidth="1"/>
  </cols>
  <sheetData>
    <row r="1" spans="1:35" x14ac:dyDescent="0.3">
      <c r="A1" s="1" t="s">
        <v>1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3">
      <c r="A2" s="1" t="s">
        <v>2</v>
      </c>
      <c r="B2" s="3">
        <f>Commercial_calculation!B40</f>
        <v>111000000000000</v>
      </c>
      <c r="C2" s="3">
        <f>Commercial_calculation!C40</f>
        <v>109852244589602.05</v>
      </c>
      <c r="D2" s="3">
        <f>Commercial_calculation!D40</f>
        <v>110827334647082.92</v>
      </c>
      <c r="E2" s="3">
        <f>Commercial_calculation!E40</f>
        <v>111713953324259.59</v>
      </c>
      <c r="F2" s="3">
        <f>Commercial_calculation!F40</f>
        <v>112607664950853.67</v>
      </c>
      <c r="G2" s="3">
        <f>Commercial_calculation!G40</f>
        <v>113508526270460.5</v>
      </c>
      <c r="H2" s="3">
        <f>Commercial_calculation!H40</f>
        <v>114416594480624.19</v>
      </c>
      <c r="I2" s="3">
        <f>Commercial_calculation!I40</f>
        <v>115331927236469.19</v>
      </c>
      <c r="J2" s="3">
        <f>Commercial_calculation!J40</f>
        <v>116254582654360.94</v>
      </c>
      <c r="K2" s="3">
        <f>Commercial_calculation!K40</f>
        <v>117184619315595.83</v>
      </c>
      <c r="L2" s="3">
        <f>Commercial_calculation!L40</f>
        <v>118122096270120.59</v>
      </c>
      <c r="M2" s="3">
        <f>Commercial_calculation!M40</f>
        <v>119067073040281.56</v>
      </c>
      <c r="N2" s="3">
        <f>Commercial_calculation!N40</f>
        <v>120019609624603.81</v>
      </c>
      <c r="O2" s="3">
        <f>Commercial_calculation!O40</f>
        <v>120979766501600.64</v>
      </c>
      <c r="P2" s="3">
        <f>Commercial_calculation!P40</f>
        <v>121947604633613.45</v>
      </c>
      <c r="Q2" s="3">
        <f>Commercial_calculation!Q40</f>
        <v>122923185470682.36</v>
      </c>
      <c r="R2" s="3">
        <f>Commercial_calculation!R40</f>
        <v>123906570954447.81</v>
      </c>
      <c r="S2" s="3">
        <f>Commercial_calculation!S40</f>
        <v>124897823522083.39</v>
      </c>
      <c r="T2" s="3">
        <f>Commercial_calculation!T40</f>
        <v>125897006110260.06</v>
      </c>
      <c r="U2" s="3">
        <f>Commercial_calculation!U40</f>
        <v>126904182159142.14</v>
      </c>
      <c r="V2" s="3">
        <f>Commercial_calculation!V40</f>
        <v>127919415616415.28</v>
      </c>
      <c r="W2" s="3">
        <f>Commercial_calculation!W40</f>
        <v>128942770941346.61</v>
      </c>
      <c r="X2" s="3">
        <f>Commercial_calculation!X40</f>
        <v>129974313108877.39</v>
      </c>
      <c r="Y2" s="3">
        <f>Commercial_calculation!Y40</f>
        <v>131014107613748.41</v>
      </c>
      <c r="Z2" s="3">
        <f>Commercial_calculation!Z40</f>
        <v>132062220474658.39</v>
      </c>
      <c r="AA2" s="3">
        <f>Commercial_calculation!AA40</f>
        <v>133118718238455.66</v>
      </c>
      <c r="AB2" s="3">
        <f>Commercial_calculation!AB40</f>
        <v>134183667984363.3</v>
      </c>
      <c r="AC2" s="3">
        <f>Commercial_calculation!AC40</f>
        <v>135257137328238.2</v>
      </c>
      <c r="AD2" s="3">
        <f>Commercial_calculation!AD40</f>
        <v>136339194426864.11</v>
      </c>
      <c r="AE2" s="3">
        <f>Commercial_calculation!AE40</f>
        <v>137429907982279.02</v>
      </c>
      <c r="AF2" s="3">
        <f>Commercial_calculation!AF40</f>
        <v>138529347246137.25</v>
      </c>
      <c r="AG2" s="3">
        <f>Commercial_calculation!AG40</f>
        <v>139637582024106.34</v>
      </c>
    </row>
    <row r="3" spans="1:35" x14ac:dyDescent="0.3">
      <c r="A3" s="1" t="s">
        <v>3</v>
      </c>
      <c r="B3" s="3">
        <f>Commercial_calculation!B41</f>
        <v>0</v>
      </c>
      <c r="C3" s="3">
        <f>Commercial_calculation!C41</f>
        <v>0</v>
      </c>
      <c r="D3" s="3">
        <f>Commercial_calculation!D41</f>
        <v>0</v>
      </c>
      <c r="E3" s="3">
        <f>Commercial_calculation!E41</f>
        <v>0</v>
      </c>
      <c r="F3" s="3">
        <f>Commercial_calculation!F41</f>
        <v>0</v>
      </c>
      <c r="G3" s="3">
        <f>Commercial_calculation!G41</f>
        <v>0</v>
      </c>
      <c r="H3" s="3">
        <f>Commercial_calculation!H41</f>
        <v>0</v>
      </c>
      <c r="I3" s="3">
        <f>Commercial_calculation!I41</f>
        <v>0</v>
      </c>
      <c r="J3" s="3">
        <f>Commercial_calculation!J41</f>
        <v>0</v>
      </c>
      <c r="K3" s="3">
        <f>Commercial_calculation!K41</f>
        <v>0</v>
      </c>
      <c r="L3" s="3">
        <f>Commercial_calculation!L41</f>
        <v>0</v>
      </c>
      <c r="M3" s="3">
        <f>Commercial_calculation!M41</f>
        <v>0</v>
      </c>
      <c r="N3" s="3">
        <f>Commercial_calculation!N41</f>
        <v>0</v>
      </c>
      <c r="O3" s="3">
        <f>Commercial_calculation!O41</f>
        <v>0</v>
      </c>
      <c r="P3" s="3">
        <f>Commercial_calculation!P41</f>
        <v>0</v>
      </c>
      <c r="Q3" s="3">
        <f>Commercial_calculation!Q41</f>
        <v>0</v>
      </c>
      <c r="R3" s="3">
        <f>Commercial_calculation!R41</f>
        <v>0</v>
      </c>
      <c r="S3" s="3">
        <f>Commercial_calculation!S41</f>
        <v>0</v>
      </c>
      <c r="T3" s="3">
        <f>Commercial_calculation!T41</f>
        <v>0</v>
      </c>
      <c r="U3" s="3">
        <f>Commercial_calculation!U41</f>
        <v>0</v>
      </c>
      <c r="V3" s="3">
        <f>Commercial_calculation!V41</f>
        <v>0</v>
      </c>
      <c r="W3" s="3">
        <f>Commercial_calculation!W41</f>
        <v>0</v>
      </c>
      <c r="X3" s="3">
        <f>Commercial_calculation!X41</f>
        <v>0</v>
      </c>
      <c r="Y3" s="3">
        <f>Commercial_calculation!Y41</f>
        <v>0</v>
      </c>
      <c r="Z3" s="3">
        <f>Commercial_calculation!Z41</f>
        <v>0</v>
      </c>
      <c r="AA3" s="3">
        <f>Commercial_calculation!AA41</f>
        <v>0</v>
      </c>
      <c r="AB3" s="3">
        <f>Commercial_calculation!AB41</f>
        <v>0</v>
      </c>
      <c r="AC3" s="3">
        <f>Commercial_calculation!AC41</f>
        <v>0</v>
      </c>
      <c r="AD3" s="3">
        <f>Commercial_calculation!AD41</f>
        <v>0</v>
      </c>
      <c r="AE3" s="3">
        <f>Commercial_calculation!AE41</f>
        <v>0</v>
      </c>
      <c r="AF3" s="3">
        <f>Commercial_calculation!AF41</f>
        <v>0</v>
      </c>
      <c r="AG3" s="3">
        <f>Commercial_calculation!AG41</f>
        <v>0</v>
      </c>
    </row>
    <row r="4" spans="1:35" x14ac:dyDescent="0.3">
      <c r="A4" s="1" t="s">
        <v>4</v>
      </c>
      <c r="B4" s="3">
        <f>Commercial_calculation!B42</f>
        <v>0</v>
      </c>
      <c r="C4" s="3">
        <f>Commercial_calculation!C42</f>
        <v>0</v>
      </c>
      <c r="D4" s="3">
        <f>Commercial_calculation!D42</f>
        <v>0</v>
      </c>
      <c r="E4" s="3">
        <f>Commercial_calculation!E42</f>
        <v>0</v>
      </c>
      <c r="F4" s="3">
        <f>Commercial_calculation!F42</f>
        <v>0</v>
      </c>
      <c r="G4" s="3">
        <f>Commercial_calculation!G42</f>
        <v>0</v>
      </c>
      <c r="H4" s="3">
        <f>Commercial_calculation!H42</f>
        <v>0</v>
      </c>
      <c r="I4" s="3">
        <f>Commercial_calculation!I42</f>
        <v>0</v>
      </c>
      <c r="J4" s="3">
        <f>Commercial_calculation!J42</f>
        <v>0</v>
      </c>
      <c r="K4" s="3">
        <f>Commercial_calculation!K42</f>
        <v>0</v>
      </c>
      <c r="L4" s="3">
        <f>Commercial_calculation!L42</f>
        <v>0</v>
      </c>
      <c r="M4" s="3">
        <f>Commercial_calculation!M42</f>
        <v>0</v>
      </c>
      <c r="N4" s="3">
        <f>Commercial_calculation!N42</f>
        <v>0</v>
      </c>
      <c r="O4" s="3">
        <f>Commercial_calculation!O42</f>
        <v>0</v>
      </c>
      <c r="P4" s="3">
        <f>Commercial_calculation!P42</f>
        <v>0</v>
      </c>
      <c r="Q4" s="3">
        <f>Commercial_calculation!Q42</f>
        <v>0</v>
      </c>
      <c r="R4" s="3">
        <f>Commercial_calculation!R42</f>
        <v>0</v>
      </c>
      <c r="S4" s="3">
        <f>Commercial_calculation!S42</f>
        <v>0</v>
      </c>
      <c r="T4" s="3">
        <f>Commercial_calculation!T42</f>
        <v>0</v>
      </c>
      <c r="U4" s="3">
        <f>Commercial_calculation!U42</f>
        <v>0</v>
      </c>
      <c r="V4" s="3">
        <f>Commercial_calculation!V42</f>
        <v>0</v>
      </c>
      <c r="W4" s="3">
        <f>Commercial_calculation!W42</f>
        <v>0</v>
      </c>
      <c r="X4" s="3">
        <f>Commercial_calculation!X42</f>
        <v>0</v>
      </c>
      <c r="Y4" s="3">
        <f>Commercial_calculation!Y42</f>
        <v>0</v>
      </c>
      <c r="Z4" s="3">
        <f>Commercial_calculation!Z42</f>
        <v>0</v>
      </c>
      <c r="AA4" s="3">
        <f>Commercial_calculation!AA42</f>
        <v>0</v>
      </c>
      <c r="AB4" s="3">
        <f>Commercial_calculation!AB42</f>
        <v>0</v>
      </c>
      <c r="AC4" s="3">
        <f>Commercial_calculation!AC42</f>
        <v>0</v>
      </c>
      <c r="AD4" s="3">
        <f>Commercial_calculation!AD42</f>
        <v>0</v>
      </c>
      <c r="AE4" s="3">
        <f>Commercial_calculation!AE42</f>
        <v>0</v>
      </c>
      <c r="AF4" s="3">
        <f>Commercial_calculation!AF42</f>
        <v>0</v>
      </c>
      <c r="AG4" s="3">
        <f>Commercial_calculation!AG42</f>
        <v>0</v>
      </c>
    </row>
    <row r="5" spans="1:35" x14ac:dyDescent="0.3">
      <c r="A5" s="1" t="s">
        <v>5</v>
      </c>
      <c r="B5" s="3">
        <f>Commercial_calculation!B43</f>
        <v>0</v>
      </c>
      <c r="C5" s="3">
        <f>Commercial_calculation!C43</f>
        <v>0</v>
      </c>
      <c r="D5" s="3">
        <f>Commercial_calculation!D43</f>
        <v>0</v>
      </c>
      <c r="E5" s="3">
        <f>Commercial_calculation!E43</f>
        <v>0</v>
      </c>
      <c r="F5" s="3">
        <f>Commercial_calculation!F43</f>
        <v>0</v>
      </c>
      <c r="G5" s="3">
        <f>Commercial_calculation!G43</f>
        <v>0</v>
      </c>
      <c r="H5" s="3">
        <f>Commercial_calculation!H43</f>
        <v>0</v>
      </c>
      <c r="I5" s="3">
        <f>Commercial_calculation!I43</f>
        <v>0</v>
      </c>
      <c r="J5" s="3">
        <f>Commercial_calculation!J43</f>
        <v>0</v>
      </c>
      <c r="K5" s="3">
        <f>Commercial_calculation!K43</f>
        <v>0</v>
      </c>
      <c r="L5" s="3">
        <f>Commercial_calculation!L43</f>
        <v>0</v>
      </c>
      <c r="M5" s="3">
        <f>Commercial_calculation!M43</f>
        <v>0</v>
      </c>
      <c r="N5" s="3">
        <f>Commercial_calculation!N43</f>
        <v>0</v>
      </c>
      <c r="O5" s="3">
        <f>Commercial_calculation!O43</f>
        <v>0</v>
      </c>
      <c r="P5" s="3">
        <f>Commercial_calculation!P43</f>
        <v>0</v>
      </c>
      <c r="Q5" s="3">
        <f>Commercial_calculation!Q43</f>
        <v>0</v>
      </c>
      <c r="R5" s="3">
        <f>Commercial_calculation!R43</f>
        <v>0</v>
      </c>
      <c r="S5" s="3">
        <f>Commercial_calculation!S43</f>
        <v>0</v>
      </c>
      <c r="T5" s="3">
        <f>Commercial_calculation!T43</f>
        <v>0</v>
      </c>
      <c r="U5" s="3">
        <f>Commercial_calculation!U43</f>
        <v>0</v>
      </c>
      <c r="V5" s="3">
        <f>Commercial_calculation!V43</f>
        <v>0</v>
      </c>
      <c r="W5" s="3">
        <f>Commercial_calculation!W43</f>
        <v>0</v>
      </c>
      <c r="X5" s="3">
        <f>Commercial_calculation!X43</f>
        <v>0</v>
      </c>
      <c r="Y5" s="3">
        <f>Commercial_calculation!Y43</f>
        <v>0</v>
      </c>
      <c r="Z5" s="3">
        <f>Commercial_calculation!Z43</f>
        <v>0</v>
      </c>
      <c r="AA5" s="3">
        <f>Commercial_calculation!AA43</f>
        <v>0</v>
      </c>
      <c r="AB5" s="3">
        <f>Commercial_calculation!AB43</f>
        <v>0</v>
      </c>
      <c r="AC5" s="3">
        <f>Commercial_calculation!AC43</f>
        <v>0</v>
      </c>
      <c r="AD5" s="3">
        <f>Commercial_calculation!AD43</f>
        <v>0</v>
      </c>
      <c r="AE5" s="3">
        <f>Commercial_calculation!AE43</f>
        <v>0</v>
      </c>
      <c r="AF5" s="3">
        <f>Commercial_calculation!AF43</f>
        <v>0</v>
      </c>
      <c r="AG5" s="3">
        <f>Commercial_calculation!AG43</f>
        <v>0</v>
      </c>
    </row>
    <row r="6" spans="1:35" x14ac:dyDescent="0.3">
      <c r="A6" s="1" t="s">
        <v>7</v>
      </c>
      <c r="B6" s="3">
        <f>Commercial_calculation!B44</f>
        <v>0</v>
      </c>
      <c r="C6" s="3">
        <f>Commercial_calculation!C44</f>
        <v>0</v>
      </c>
      <c r="D6" s="3">
        <f>Commercial_calculation!D44</f>
        <v>0</v>
      </c>
      <c r="E6" s="3">
        <f>Commercial_calculation!E44</f>
        <v>0</v>
      </c>
      <c r="F6" s="3">
        <f>Commercial_calculation!F44</f>
        <v>0</v>
      </c>
      <c r="G6" s="3">
        <f>Commercial_calculation!G44</f>
        <v>0</v>
      </c>
      <c r="H6" s="3">
        <f>Commercial_calculation!H44</f>
        <v>0</v>
      </c>
      <c r="I6" s="3">
        <f>Commercial_calculation!I44</f>
        <v>0</v>
      </c>
      <c r="J6" s="3">
        <f>Commercial_calculation!J44</f>
        <v>0</v>
      </c>
      <c r="K6" s="3">
        <f>Commercial_calculation!K44</f>
        <v>0</v>
      </c>
      <c r="L6" s="3">
        <f>Commercial_calculation!L44</f>
        <v>0</v>
      </c>
      <c r="M6" s="3">
        <f>Commercial_calculation!M44</f>
        <v>0</v>
      </c>
      <c r="N6" s="3">
        <f>Commercial_calculation!N44</f>
        <v>0</v>
      </c>
      <c r="O6" s="3">
        <f>Commercial_calculation!O44</f>
        <v>0</v>
      </c>
      <c r="P6" s="3">
        <f>Commercial_calculation!P44</f>
        <v>0</v>
      </c>
      <c r="Q6" s="3">
        <f>Commercial_calculation!Q44</f>
        <v>0</v>
      </c>
      <c r="R6" s="3">
        <f>Commercial_calculation!R44</f>
        <v>0</v>
      </c>
      <c r="S6" s="3">
        <f>Commercial_calculation!S44</f>
        <v>0</v>
      </c>
      <c r="T6" s="3">
        <f>Commercial_calculation!T44</f>
        <v>0</v>
      </c>
      <c r="U6" s="3">
        <f>Commercial_calculation!U44</f>
        <v>0</v>
      </c>
      <c r="V6" s="3">
        <f>Commercial_calculation!V44</f>
        <v>0</v>
      </c>
      <c r="W6" s="3">
        <f>Commercial_calculation!W44</f>
        <v>0</v>
      </c>
      <c r="X6" s="3">
        <f>Commercial_calculation!X44</f>
        <v>0</v>
      </c>
      <c r="Y6" s="3">
        <f>Commercial_calculation!Y44</f>
        <v>0</v>
      </c>
      <c r="Z6" s="3">
        <f>Commercial_calculation!Z44</f>
        <v>0</v>
      </c>
      <c r="AA6" s="3">
        <f>Commercial_calculation!AA44</f>
        <v>0</v>
      </c>
      <c r="AB6" s="3">
        <f>Commercial_calculation!AB44</f>
        <v>0</v>
      </c>
      <c r="AC6" s="3">
        <f>Commercial_calculation!AC44</f>
        <v>0</v>
      </c>
      <c r="AD6" s="3">
        <f>Commercial_calculation!AD44</f>
        <v>0</v>
      </c>
      <c r="AE6" s="3">
        <f>Commercial_calculation!AE44</f>
        <v>0</v>
      </c>
      <c r="AF6" s="3">
        <f>Commercial_calculation!AF44</f>
        <v>0</v>
      </c>
      <c r="AG6" s="3">
        <f>Commercial_calculation!AG44</f>
        <v>0</v>
      </c>
    </row>
    <row r="7" spans="1:35" x14ac:dyDescent="0.3">
      <c r="A7" s="1" t="s">
        <v>11</v>
      </c>
      <c r="B7" s="3">
        <f>Commercial_calculation!B45</f>
        <v>3470000000000</v>
      </c>
      <c r="C7" s="3">
        <f>Commercial_calculation!C45</f>
        <v>3704101370757.1816</v>
      </c>
      <c r="D7" s="3">
        <f>Commercial_calculation!D45</f>
        <v>3973490561357.7036</v>
      </c>
      <c r="E7" s="3">
        <f>Commercial_calculation!E45</f>
        <v>4152297636618.7998</v>
      </c>
      <c r="F7" s="3">
        <f>Commercial_calculation!F45</f>
        <v>4339151030266.6455</v>
      </c>
      <c r="G7" s="3">
        <f>Commercial_calculation!G45</f>
        <v>4534412826628.6445</v>
      </c>
      <c r="H7" s="3">
        <f>Commercial_calculation!H45</f>
        <v>4738461403826.9336</v>
      </c>
      <c r="I7" s="3">
        <f>Commercial_calculation!I45</f>
        <v>4951692166999.1455</v>
      </c>
      <c r="J7" s="3">
        <f>Commercial_calculation!J45</f>
        <v>5174518314514.1064</v>
      </c>
      <c r="K7" s="3">
        <f>Commercial_calculation!K45</f>
        <v>5407371638667.2412</v>
      </c>
      <c r="L7" s="3">
        <f>Commercial_calculation!L45</f>
        <v>5650703362407.2666</v>
      </c>
      <c r="M7" s="3">
        <f>Commercial_calculation!M45</f>
        <v>5904985013715.5928</v>
      </c>
      <c r="N7" s="3">
        <f>Commercial_calculation!N45</f>
        <v>6170709339332.7939</v>
      </c>
      <c r="O7" s="3">
        <f>Commercial_calculation!O45</f>
        <v>6448391259602.7695</v>
      </c>
      <c r="P7" s="3">
        <f>Commercial_calculation!P45</f>
        <v>6738568866284.8936</v>
      </c>
      <c r="Q7" s="3">
        <f>Commercial_calculation!Q45</f>
        <v>7041804465267.7129</v>
      </c>
      <c r="R7" s="3">
        <f>Commercial_calculation!R45</f>
        <v>7358685666204.7598</v>
      </c>
      <c r="S7" s="3">
        <f>Commercial_calculation!S45</f>
        <v>7689826521183.9736</v>
      </c>
      <c r="T7" s="3">
        <f>Commercial_calculation!T45</f>
        <v>8035868714637.252</v>
      </c>
      <c r="U7" s="3">
        <f>Commercial_calculation!U45</f>
        <v>8397482806795.9277</v>
      </c>
      <c r="V7" s="3">
        <f>Commercial_calculation!V45</f>
        <v>8775369533101.7441</v>
      </c>
      <c r="W7" s="3">
        <f>Commercial_calculation!W45</f>
        <v>9170261162091.3223</v>
      </c>
      <c r="X7" s="3">
        <f>Commercial_calculation!X45</f>
        <v>9582922914385.4316</v>
      </c>
      <c r="Y7" s="3">
        <f>Commercial_calculation!Y45</f>
        <v>10014154445532.775</v>
      </c>
      <c r="Z7" s="3">
        <f>Commercial_calculation!Z45</f>
        <v>10464791395581.75</v>
      </c>
      <c r="AA7" s="3">
        <f>Commercial_calculation!AA45</f>
        <v>10935707008382.928</v>
      </c>
      <c r="AB7" s="3">
        <f>Commercial_calculation!AB45</f>
        <v>11427813823760.158</v>
      </c>
      <c r="AC7" s="3">
        <f>Commercial_calculation!AC45</f>
        <v>11942065445829.365</v>
      </c>
      <c r="AD7" s="3">
        <f>Commercial_calculation!AD45</f>
        <v>12479458390891.686</v>
      </c>
      <c r="AE7" s="3">
        <f>Commercial_calculation!AE45</f>
        <v>13041034018481.811</v>
      </c>
      <c r="AF7" s="3">
        <f>Commercial_calculation!AF45</f>
        <v>13627880549313.49</v>
      </c>
      <c r="AG7" s="3">
        <f>Commercial_calculation!AG45</f>
        <v>14241135174032.596</v>
      </c>
    </row>
    <row r="8" spans="1:35" x14ac:dyDescent="0.3">
      <c r="A8" s="1" t="s">
        <v>13</v>
      </c>
      <c r="B8" s="3">
        <f>Commercial_calculation!B46</f>
        <v>0</v>
      </c>
      <c r="C8" s="3">
        <f>Commercial_calculation!C46</f>
        <v>0</v>
      </c>
      <c r="D8" s="3">
        <f>Commercial_calculation!D46</f>
        <v>0</v>
      </c>
      <c r="E8" s="3">
        <f>Commercial_calculation!E46</f>
        <v>0</v>
      </c>
      <c r="F8" s="3">
        <f>Commercial_calculation!F46</f>
        <v>0</v>
      </c>
      <c r="G8" s="3">
        <f>Commercial_calculation!G46</f>
        <v>0</v>
      </c>
      <c r="H8" s="3">
        <f>Commercial_calculation!H46</f>
        <v>0</v>
      </c>
      <c r="I8" s="3">
        <f>Commercial_calculation!I46</f>
        <v>0</v>
      </c>
      <c r="J8" s="3">
        <f>Commercial_calculation!J46</f>
        <v>0</v>
      </c>
      <c r="K8" s="3">
        <f>Commercial_calculation!K46</f>
        <v>0</v>
      </c>
      <c r="L8" s="3">
        <f>Commercial_calculation!L46</f>
        <v>0</v>
      </c>
      <c r="M8" s="3">
        <f>Commercial_calculation!M46</f>
        <v>0</v>
      </c>
      <c r="N8" s="3">
        <f>Commercial_calculation!N46</f>
        <v>0</v>
      </c>
      <c r="O8" s="3">
        <f>Commercial_calculation!O46</f>
        <v>0</v>
      </c>
      <c r="P8" s="3">
        <f>Commercial_calculation!P46</f>
        <v>0</v>
      </c>
      <c r="Q8" s="3">
        <f>Commercial_calculation!Q46</f>
        <v>0</v>
      </c>
      <c r="R8" s="3">
        <f>Commercial_calculation!R46</f>
        <v>0</v>
      </c>
      <c r="S8" s="3">
        <f>Commercial_calculation!S46</f>
        <v>0</v>
      </c>
      <c r="T8" s="3">
        <f>Commercial_calculation!T46</f>
        <v>0</v>
      </c>
      <c r="U8" s="3">
        <f>Commercial_calculation!U46</f>
        <v>0</v>
      </c>
      <c r="V8" s="3">
        <f>Commercial_calculation!V46</f>
        <v>0</v>
      </c>
      <c r="W8" s="3">
        <f>Commercial_calculation!W46</f>
        <v>0</v>
      </c>
      <c r="X8" s="3">
        <f>Commercial_calculation!X46</f>
        <v>0</v>
      </c>
      <c r="Y8" s="3">
        <f>Commercial_calculation!Y46</f>
        <v>0</v>
      </c>
      <c r="Z8" s="3">
        <f>Commercial_calculation!Z46</f>
        <v>0</v>
      </c>
      <c r="AA8" s="3">
        <f>Commercial_calculation!AA46</f>
        <v>0</v>
      </c>
      <c r="AB8" s="3">
        <f>Commercial_calculation!AB46</f>
        <v>0</v>
      </c>
      <c r="AC8" s="3">
        <f>Commercial_calculation!AC46</f>
        <v>0</v>
      </c>
      <c r="AD8" s="3">
        <f>Commercial_calculation!AD46</f>
        <v>0</v>
      </c>
      <c r="AE8" s="3">
        <f>Commercial_calculation!AE46</f>
        <v>0</v>
      </c>
      <c r="AF8" s="3">
        <f>Commercial_calculation!AF46</f>
        <v>0</v>
      </c>
      <c r="AG8" s="3">
        <f>Commercial_calculation!AG46</f>
        <v>0</v>
      </c>
    </row>
    <row r="9" spans="1:35" x14ac:dyDescent="0.3">
      <c r="A9" s="1" t="s">
        <v>14</v>
      </c>
      <c r="B9" s="3">
        <f>Commercial_calculation!B47</f>
        <v>0</v>
      </c>
      <c r="C9" s="3">
        <f>Commercial_calculation!C47</f>
        <v>0</v>
      </c>
      <c r="D9" s="3">
        <f>Commercial_calculation!D47</f>
        <v>0</v>
      </c>
      <c r="E9" s="3">
        <f>Commercial_calculation!E47</f>
        <v>0</v>
      </c>
      <c r="F9" s="3">
        <f>Commercial_calculation!F47</f>
        <v>0</v>
      </c>
      <c r="G9" s="3">
        <f>Commercial_calculation!G47</f>
        <v>0</v>
      </c>
      <c r="H9" s="3">
        <f>Commercial_calculation!H47</f>
        <v>0</v>
      </c>
      <c r="I9" s="3">
        <f>Commercial_calculation!I47</f>
        <v>0</v>
      </c>
      <c r="J9" s="3">
        <f>Commercial_calculation!J47</f>
        <v>0</v>
      </c>
      <c r="K9" s="3">
        <f>Commercial_calculation!K47</f>
        <v>0</v>
      </c>
      <c r="L9" s="3">
        <f>Commercial_calculation!L47</f>
        <v>0</v>
      </c>
      <c r="M9" s="3">
        <f>Commercial_calculation!M47</f>
        <v>0</v>
      </c>
      <c r="N9" s="3">
        <f>Commercial_calculation!N47</f>
        <v>0</v>
      </c>
      <c r="O9" s="3">
        <f>Commercial_calculation!O47</f>
        <v>0</v>
      </c>
      <c r="P9" s="3">
        <f>Commercial_calculation!P47</f>
        <v>0</v>
      </c>
      <c r="Q9" s="3">
        <f>Commercial_calculation!Q47</f>
        <v>0</v>
      </c>
      <c r="R9" s="3">
        <f>Commercial_calculation!R47</f>
        <v>0</v>
      </c>
      <c r="S9" s="3">
        <f>Commercial_calculation!S47</f>
        <v>0</v>
      </c>
      <c r="T9" s="3">
        <f>Commercial_calculation!T47</f>
        <v>0</v>
      </c>
      <c r="U9" s="3">
        <f>Commercial_calculation!U47</f>
        <v>0</v>
      </c>
      <c r="V9" s="3">
        <f>Commercial_calculation!V47</f>
        <v>0</v>
      </c>
      <c r="W9" s="3">
        <f>Commercial_calculation!W47</f>
        <v>0</v>
      </c>
      <c r="X9" s="3">
        <f>Commercial_calculation!X47</f>
        <v>0</v>
      </c>
      <c r="Y9" s="3">
        <f>Commercial_calculation!Y47</f>
        <v>0</v>
      </c>
      <c r="Z9" s="3">
        <f>Commercial_calculation!Z47</f>
        <v>0</v>
      </c>
      <c r="AA9" s="3">
        <f>Commercial_calculation!AA47</f>
        <v>0</v>
      </c>
      <c r="AB9" s="3">
        <f>Commercial_calculation!AB47</f>
        <v>0</v>
      </c>
      <c r="AC9" s="3">
        <f>Commercial_calculation!AC47</f>
        <v>0</v>
      </c>
      <c r="AD9" s="3">
        <f>Commercial_calculation!AD47</f>
        <v>0</v>
      </c>
      <c r="AE9" s="3">
        <f>Commercial_calculation!AE47</f>
        <v>0</v>
      </c>
      <c r="AF9" s="3">
        <f>Commercial_calculation!AF47</f>
        <v>0</v>
      </c>
      <c r="AG9" s="3">
        <f>Commercial_calculation!AG47</f>
        <v>0</v>
      </c>
    </row>
    <row r="10" spans="1:35" x14ac:dyDescent="0.3">
      <c r="A10" s="1" t="s">
        <v>15</v>
      </c>
      <c r="B10" s="3">
        <f>Commercial_calculation!B48</f>
        <v>0</v>
      </c>
      <c r="C10" s="3">
        <f>Commercial_calculation!C48</f>
        <v>0</v>
      </c>
      <c r="D10" s="3">
        <f>Commercial_calculation!D48</f>
        <v>0</v>
      </c>
      <c r="E10" s="3">
        <f>Commercial_calculation!E48</f>
        <v>0</v>
      </c>
      <c r="F10" s="3">
        <f>Commercial_calculation!F48</f>
        <v>0</v>
      </c>
      <c r="G10" s="3">
        <f>Commercial_calculation!G48</f>
        <v>0</v>
      </c>
      <c r="H10" s="3">
        <f>Commercial_calculation!H48</f>
        <v>0</v>
      </c>
      <c r="I10" s="3">
        <f>Commercial_calculation!I48</f>
        <v>0</v>
      </c>
      <c r="J10" s="3">
        <f>Commercial_calculation!J48</f>
        <v>0</v>
      </c>
      <c r="K10" s="3">
        <f>Commercial_calculation!K48</f>
        <v>0</v>
      </c>
      <c r="L10" s="3">
        <f>Commercial_calculation!L48</f>
        <v>0</v>
      </c>
      <c r="M10" s="3">
        <f>Commercial_calculation!M48</f>
        <v>0</v>
      </c>
      <c r="N10" s="3">
        <f>Commercial_calculation!N48</f>
        <v>0</v>
      </c>
      <c r="O10" s="3">
        <f>Commercial_calculation!O48</f>
        <v>0</v>
      </c>
      <c r="P10" s="3">
        <f>Commercial_calculation!P48</f>
        <v>0</v>
      </c>
      <c r="Q10" s="3">
        <f>Commercial_calculation!Q48</f>
        <v>0</v>
      </c>
      <c r="R10" s="3">
        <f>Commercial_calculation!R48</f>
        <v>0</v>
      </c>
      <c r="S10" s="3">
        <f>Commercial_calculation!S48</f>
        <v>0</v>
      </c>
      <c r="T10" s="3">
        <f>Commercial_calculation!T48</f>
        <v>0</v>
      </c>
      <c r="U10" s="3">
        <f>Commercial_calculation!U48</f>
        <v>0</v>
      </c>
      <c r="V10" s="3">
        <f>Commercial_calculation!V48</f>
        <v>0</v>
      </c>
      <c r="W10" s="3">
        <f>Commercial_calculation!W48</f>
        <v>0</v>
      </c>
      <c r="X10" s="3">
        <f>Commercial_calculation!X48</f>
        <v>0</v>
      </c>
      <c r="Y10" s="3">
        <f>Commercial_calculation!Y48</f>
        <v>0</v>
      </c>
      <c r="Z10" s="3">
        <f>Commercial_calculation!Z48</f>
        <v>0</v>
      </c>
      <c r="AA10" s="3">
        <f>Commercial_calculation!AA48</f>
        <v>0</v>
      </c>
      <c r="AB10" s="3">
        <f>Commercial_calculation!AB48</f>
        <v>0</v>
      </c>
      <c r="AC10" s="3">
        <f>Commercial_calculation!AC48</f>
        <v>0</v>
      </c>
      <c r="AD10" s="3">
        <f>Commercial_calculation!AD48</f>
        <v>0</v>
      </c>
      <c r="AE10" s="3">
        <f>Commercial_calculation!AE48</f>
        <v>0</v>
      </c>
      <c r="AF10" s="3">
        <f>Commercial_calculation!AF48</f>
        <v>0</v>
      </c>
      <c r="AG10" s="3">
        <f>Commercial_calculation!AG48</f>
        <v>0</v>
      </c>
    </row>
    <row r="11" spans="1:35" x14ac:dyDescent="0.3">
      <c r="A11" s="1" t="s">
        <v>16</v>
      </c>
      <c r="B11" s="3">
        <f>Commercial_calculation!B49</f>
        <v>0</v>
      </c>
      <c r="C11" s="3">
        <f>Commercial_calculation!C49</f>
        <v>0</v>
      </c>
      <c r="D11" s="3">
        <f>Commercial_calculation!D49</f>
        <v>0</v>
      </c>
      <c r="E11" s="3">
        <f>Commercial_calculation!E49</f>
        <v>0</v>
      </c>
      <c r="F11" s="3">
        <f>Commercial_calculation!F49</f>
        <v>0</v>
      </c>
      <c r="G11" s="3">
        <f>Commercial_calculation!G49</f>
        <v>0</v>
      </c>
      <c r="H11" s="3">
        <f>Commercial_calculation!H49</f>
        <v>0</v>
      </c>
      <c r="I11" s="3">
        <f>Commercial_calculation!I49</f>
        <v>0</v>
      </c>
      <c r="J11" s="3">
        <f>Commercial_calculation!J49</f>
        <v>0</v>
      </c>
      <c r="K11" s="3">
        <f>Commercial_calculation!K49</f>
        <v>0</v>
      </c>
      <c r="L11" s="3">
        <f>Commercial_calculation!L49</f>
        <v>0</v>
      </c>
      <c r="M11" s="3">
        <f>Commercial_calculation!M49</f>
        <v>0</v>
      </c>
      <c r="N11" s="3">
        <f>Commercial_calculation!N49</f>
        <v>0</v>
      </c>
      <c r="O11" s="3">
        <f>Commercial_calculation!O49</f>
        <v>0</v>
      </c>
      <c r="P11" s="3">
        <f>Commercial_calculation!P49</f>
        <v>0</v>
      </c>
      <c r="Q11" s="3">
        <f>Commercial_calculation!Q49</f>
        <v>0</v>
      </c>
      <c r="R11" s="3">
        <f>Commercial_calculation!R49</f>
        <v>0</v>
      </c>
      <c r="S11" s="3">
        <f>Commercial_calculation!S49</f>
        <v>0</v>
      </c>
      <c r="T11" s="3">
        <f>Commercial_calculation!T49</f>
        <v>0</v>
      </c>
      <c r="U11" s="3">
        <f>Commercial_calculation!U49</f>
        <v>0</v>
      </c>
      <c r="V11" s="3">
        <f>Commercial_calculation!V49</f>
        <v>0</v>
      </c>
      <c r="W11" s="3">
        <f>Commercial_calculation!W49</f>
        <v>0</v>
      </c>
      <c r="X11" s="3">
        <f>Commercial_calculation!X49</f>
        <v>0</v>
      </c>
      <c r="Y11" s="3">
        <f>Commercial_calculation!Y49</f>
        <v>0</v>
      </c>
      <c r="Z11" s="3">
        <f>Commercial_calculation!Z49</f>
        <v>0</v>
      </c>
      <c r="AA11" s="3">
        <f>Commercial_calculation!AA49</f>
        <v>0</v>
      </c>
      <c r="AB11" s="3">
        <f>Commercial_calculation!AB49</f>
        <v>0</v>
      </c>
      <c r="AC11" s="3">
        <f>Commercial_calculation!AC49</f>
        <v>0</v>
      </c>
      <c r="AD11" s="3">
        <f>Commercial_calculation!AD49</f>
        <v>0</v>
      </c>
      <c r="AE11" s="3">
        <f>Commercial_calculation!AE49</f>
        <v>0</v>
      </c>
      <c r="AF11" s="3">
        <f>Commercial_calculation!AF49</f>
        <v>0</v>
      </c>
      <c r="AG11" s="3">
        <f>Commercial_calculation!AG49</f>
        <v>0</v>
      </c>
    </row>
  </sheetData>
  <phoneticPr fontId="10" type="noConversion"/>
  <pageMargins left="0.7" right="0.7" top="0.75" bottom="0.75" header="0.3" footer="0.3"/>
  <pageSetup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I11"/>
  <sheetViews>
    <sheetView zoomScale="80" zoomScaleNormal="80" workbookViewId="0">
      <selection activeCell="B2" sqref="B2"/>
    </sheetView>
  </sheetViews>
  <sheetFormatPr defaultRowHeight="16.5" x14ac:dyDescent="0.3"/>
  <cols>
    <col min="1" max="1" width="29.875" customWidth="1"/>
    <col min="2" max="33" width="10.125" customWidth="1"/>
  </cols>
  <sheetData>
    <row r="1" spans="1:35" x14ac:dyDescent="0.3">
      <c r="A1" s="1" t="s">
        <v>1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3">
      <c r="A2" s="1" t="s">
        <v>2</v>
      </c>
      <c r="B2" s="3">
        <f>Commercial_calculation!B52</f>
        <v>79700000000000</v>
      </c>
      <c r="C2" s="3">
        <f>Commercial_calculation!C52</f>
        <v>78959313632808.156</v>
      </c>
      <c r="D2" s="3">
        <f>Commercial_calculation!D52</f>
        <v>79661110893788.578</v>
      </c>
      <c r="E2" s="3">
        <f>Commercial_calculation!E52</f>
        <v>80298399780938.891</v>
      </c>
      <c r="F2" s="3">
        <f>Commercial_calculation!F52</f>
        <v>80940786979186.406</v>
      </c>
      <c r="G2" s="3">
        <f>Commercial_calculation!G52</f>
        <v>81588313275019.891</v>
      </c>
      <c r="H2" s="3">
        <f>Commercial_calculation!H52</f>
        <v>82241019781220.047</v>
      </c>
      <c r="I2" s="3">
        <f>Commercial_calculation!I52</f>
        <v>82898947939469.813</v>
      </c>
      <c r="J2" s="3">
        <f>Commercial_calculation!J52</f>
        <v>83562139522985.578</v>
      </c>
      <c r="K2" s="3">
        <f>Commercial_calculation!K52</f>
        <v>84230636639169.469</v>
      </c>
      <c r="L2" s="3">
        <f>Commercial_calculation!L52</f>
        <v>84904481732282.828</v>
      </c>
      <c r="M2" s="3">
        <f>Commercial_calculation!M52</f>
        <v>85583717586141.094</v>
      </c>
      <c r="N2" s="3">
        <f>Commercial_calculation!N52</f>
        <v>86268387326830.219</v>
      </c>
      <c r="O2" s="3">
        <f>Commercial_calculation!O52</f>
        <v>86958534425444.859</v>
      </c>
      <c r="P2" s="3">
        <f>Commercial_calculation!P52</f>
        <v>87654202700848.422</v>
      </c>
      <c r="Q2" s="3">
        <f>Commercial_calculation!Q52</f>
        <v>88355436322455.203</v>
      </c>
      <c r="R2" s="3">
        <f>Commercial_calculation!R52</f>
        <v>89062279813034.844</v>
      </c>
      <c r="S2" s="3">
        <f>Commercial_calculation!S52</f>
        <v>89774778051539.125</v>
      </c>
      <c r="T2" s="3">
        <f>Commercial_calculation!T52</f>
        <v>90492976275951.438</v>
      </c>
      <c r="U2" s="3">
        <f>Commercial_calculation!U52</f>
        <v>91216920086159.047</v>
      </c>
      <c r="V2" s="3">
        <f>Commercial_calculation!V52</f>
        <v>91946655446848.313</v>
      </c>
      <c r="W2" s="3">
        <f>Commercial_calculation!W52</f>
        <v>92682228690423.094</v>
      </c>
      <c r="X2" s="3">
        <f>Commercial_calculation!X52</f>
        <v>93423686519946.484</v>
      </c>
      <c r="Y2" s="3">
        <f>Commercial_calculation!Y52</f>
        <v>94171076012106.063</v>
      </c>
      <c r="Z2" s="3">
        <f>Commercial_calculation!Z52</f>
        <v>94924444620202.906</v>
      </c>
      <c r="AA2" s="3">
        <f>Commercial_calculation!AA52</f>
        <v>95683840177164.531</v>
      </c>
      <c r="AB2" s="3">
        <f>Commercial_calculation!AB52</f>
        <v>96449310898581.844</v>
      </c>
      <c r="AC2" s="3">
        <f>Commercial_calculation!AC52</f>
        <v>97220905385770.5</v>
      </c>
      <c r="AD2" s="3">
        <f>Commercial_calculation!AD52</f>
        <v>97998672628856.672</v>
      </c>
      <c r="AE2" s="3">
        <f>Commercial_calculation!AE52</f>
        <v>98782662009887.531</v>
      </c>
      <c r="AF2" s="3">
        <f>Commercial_calculation!AF52</f>
        <v>99572923305966.625</v>
      </c>
      <c r="AG2" s="3">
        <f>Commercial_calculation!AG52</f>
        <v>100369506692414.36</v>
      </c>
    </row>
    <row r="3" spans="1:35" x14ac:dyDescent="0.3">
      <c r="A3" s="1" t="s">
        <v>3</v>
      </c>
      <c r="B3" s="3">
        <f>Commercial_calculation!B53</f>
        <v>0</v>
      </c>
      <c r="C3" s="3">
        <f>Commercial_calculation!C53</f>
        <v>0</v>
      </c>
      <c r="D3" s="3">
        <f>Commercial_calculation!D53</f>
        <v>0</v>
      </c>
      <c r="E3" s="3">
        <f>Commercial_calculation!E53</f>
        <v>0</v>
      </c>
      <c r="F3" s="3">
        <f>Commercial_calculation!F53</f>
        <v>0</v>
      </c>
      <c r="G3" s="3">
        <f>Commercial_calculation!G53</f>
        <v>0</v>
      </c>
      <c r="H3" s="3">
        <f>Commercial_calculation!H53</f>
        <v>0</v>
      </c>
      <c r="I3" s="3">
        <f>Commercial_calculation!I53</f>
        <v>0</v>
      </c>
      <c r="J3" s="3">
        <f>Commercial_calculation!J53</f>
        <v>0</v>
      </c>
      <c r="K3" s="3">
        <f>Commercial_calculation!K53</f>
        <v>0</v>
      </c>
      <c r="L3" s="3">
        <f>Commercial_calculation!L53</f>
        <v>0</v>
      </c>
      <c r="M3" s="3">
        <f>Commercial_calculation!M53</f>
        <v>0</v>
      </c>
      <c r="N3" s="3">
        <f>Commercial_calculation!N53</f>
        <v>0</v>
      </c>
      <c r="O3" s="3">
        <f>Commercial_calculation!O53</f>
        <v>0</v>
      </c>
      <c r="P3" s="3">
        <f>Commercial_calculation!P53</f>
        <v>0</v>
      </c>
      <c r="Q3" s="3">
        <f>Commercial_calculation!Q53</f>
        <v>0</v>
      </c>
      <c r="R3" s="3">
        <f>Commercial_calculation!R53</f>
        <v>0</v>
      </c>
      <c r="S3" s="3">
        <f>Commercial_calculation!S53</f>
        <v>0</v>
      </c>
      <c r="T3" s="3">
        <f>Commercial_calculation!T53</f>
        <v>0</v>
      </c>
      <c r="U3" s="3">
        <f>Commercial_calculation!U53</f>
        <v>0</v>
      </c>
      <c r="V3" s="3">
        <f>Commercial_calculation!V53</f>
        <v>0</v>
      </c>
      <c r="W3" s="3">
        <f>Commercial_calculation!W53</f>
        <v>0</v>
      </c>
      <c r="X3" s="3">
        <f>Commercial_calculation!X53</f>
        <v>0</v>
      </c>
      <c r="Y3" s="3">
        <f>Commercial_calculation!Y53</f>
        <v>0</v>
      </c>
      <c r="Z3" s="3">
        <f>Commercial_calculation!Z53</f>
        <v>0</v>
      </c>
      <c r="AA3" s="3">
        <f>Commercial_calculation!AA53</f>
        <v>0</v>
      </c>
      <c r="AB3" s="3">
        <f>Commercial_calculation!AB53</f>
        <v>0</v>
      </c>
      <c r="AC3" s="3">
        <f>Commercial_calculation!AC53</f>
        <v>0</v>
      </c>
      <c r="AD3" s="3">
        <f>Commercial_calculation!AD53</f>
        <v>0</v>
      </c>
      <c r="AE3" s="3">
        <f>Commercial_calculation!AE53</f>
        <v>0</v>
      </c>
      <c r="AF3" s="3">
        <f>Commercial_calculation!AF53</f>
        <v>0</v>
      </c>
      <c r="AG3" s="3">
        <f>Commercial_calculation!AG53</f>
        <v>0</v>
      </c>
    </row>
    <row r="4" spans="1:35" x14ac:dyDescent="0.3">
      <c r="A4" s="1" t="s">
        <v>4</v>
      </c>
      <c r="B4" s="3">
        <f>Commercial_calculation!B54</f>
        <v>68600000000000</v>
      </c>
      <c r="C4" s="3">
        <f>Commercial_calculation!C54</f>
        <v>67399361079004.43</v>
      </c>
      <c r="D4" s="3">
        <f>Commercial_calculation!D54</f>
        <v>67195849420517.18</v>
      </c>
      <c r="E4" s="3">
        <f>Commercial_calculation!E54</f>
        <v>68539766408927.523</v>
      </c>
      <c r="F4" s="3">
        <f>Commercial_calculation!F54</f>
        <v>69910561737106.078</v>
      </c>
      <c r="G4" s="3">
        <f>Commercial_calculation!G54</f>
        <v>71308772971848.203</v>
      </c>
      <c r="H4" s="3">
        <f>Commercial_calculation!H54</f>
        <v>72734948431285.172</v>
      </c>
      <c r="I4" s="3">
        <f>Commercial_calculation!I54</f>
        <v>74189647399910.875</v>
      </c>
      <c r="J4" s="3">
        <f>Commercial_calculation!J54</f>
        <v>75673440347909.094</v>
      </c>
      <c r="K4" s="3">
        <f>Commercial_calculation!K54</f>
        <v>77186909154867.281</v>
      </c>
      <c r="L4" s="3">
        <f>Commercial_calculation!L54</f>
        <v>78730647337964.625</v>
      </c>
      <c r="M4" s="3">
        <f>Commercial_calculation!M54</f>
        <v>80305260284723.922</v>
      </c>
      <c r="N4" s="3">
        <f>Commercial_calculation!N54</f>
        <v>81911365490418.406</v>
      </c>
      <c r="O4" s="3">
        <f>Commercial_calculation!O54</f>
        <v>83549592800226.781</v>
      </c>
      <c r="P4" s="3">
        <f>Commercial_calculation!P54</f>
        <v>85220584656231.313</v>
      </c>
      <c r="Q4" s="3">
        <f>Commercial_calculation!Q54</f>
        <v>86924996349355.938</v>
      </c>
      <c r="R4" s="3">
        <f>Commercial_calculation!R54</f>
        <v>88663496276343.063</v>
      </c>
      <c r="S4" s="3">
        <f>Commercial_calculation!S54</f>
        <v>90436766201869.922</v>
      </c>
      <c r="T4" s="3">
        <f>Commercial_calculation!T54</f>
        <v>92245501525907.328</v>
      </c>
      <c r="U4" s="3">
        <f>Commercial_calculation!U54</f>
        <v>94090411556425.469</v>
      </c>
      <c r="V4" s="3">
        <f>Commercial_calculation!V54</f>
        <v>95972219787553.984</v>
      </c>
      <c r="W4" s="3">
        <f>Commercial_calculation!W54</f>
        <v>97891664183305.063</v>
      </c>
      <c r="X4" s="3">
        <f>Commercial_calculation!X54</f>
        <v>99849497466971.172</v>
      </c>
      <c r="Y4" s="3">
        <f>Commercial_calculation!Y54</f>
        <v>101846487416310.59</v>
      </c>
      <c r="Z4" s="3">
        <f>Commercial_calculation!Z54</f>
        <v>103883417164636.81</v>
      </c>
      <c r="AA4" s="3">
        <f>Commercial_calculation!AA54</f>
        <v>105961085507929.55</v>
      </c>
      <c r="AB4" s="3">
        <f>Commercial_calculation!AB54</f>
        <v>108080307218088.14</v>
      </c>
      <c r="AC4" s="3">
        <f>Commercial_calculation!AC54</f>
        <v>110241913362449.91</v>
      </c>
      <c r="AD4" s="3">
        <f>Commercial_calculation!AD54</f>
        <v>112446751629698.91</v>
      </c>
      <c r="AE4" s="3">
        <f>Commercial_calculation!AE54</f>
        <v>114695686662292.89</v>
      </c>
      <c r="AF4" s="3">
        <f>Commercial_calculation!AF54</f>
        <v>116989600395538.75</v>
      </c>
      <c r="AG4" s="3">
        <f>Commercial_calculation!AG54</f>
        <v>119329392403449.53</v>
      </c>
    </row>
    <row r="5" spans="1:35" x14ac:dyDescent="0.3">
      <c r="A5" s="1" t="s">
        <v>5</v>
      </c>
      <c r="B5" s="3">
        <f>Commercial_calculation!B55</f>
        <v>549000000000</v>
      </c>
      <c r="C5" s="3">
        <f>Commercial_calculation!C55</f>
        <v>515140750134.52344</v>
      </c>
      <c r="D5" s="3">
        <f>Commercial_calculation!D55</f>
        <v>507055178541.89917</v>
      </c>
      <c r="E5" s="3">
        <f>Commercial_calculation!E55</f>
        <v>482716529971.888</v>
      </c>
      <c r="F5" s="3">
        <f>Commercial_calculation!F55</f>
        <v>459546136533.23737</v>
      </c>
      <c r="G5" s="3">
        <f>Commercial_calculation!G55</f>
        <v>437487921979.64197</v>
      </c>
      <c r="H5" s="3">
        <f>Commercial_calculation!H55</f>
        <v>416488501724.61914</v>
      </c>
      <c r="I5" s="3">
        <f>Commercial_calculation!I55</f>
        <v>396497053641.8374</v>
      </c>
      <c r="J5" s="3">
        <f>Commercial_calculation!J55</f>
        <v>377465195067.02917</v>
      </c>
      <c r="K5" s="3">
        <f>Commercial_calculation!K55</f>
        <v>359346865703.81177</v>
      </c>
      <c r="L5" s="3">
        <f>Commercial_calculation!L55</f>
        <v>342098216150.02881</v>
      </c>
      <c r="M5" s="3">
        <f>Commercial_calculation!M55</f>
        <v>325677501774.82739</v>
      </c>
      <c r="N5" s="3">
        <f>Commercial_calculation!N55</f>
        <v>310044981689.63568</v>
      </c>
      <c r="O5" s="3">
        <f>Commercial_calculation!O55</f>
        <v>295162822568.53314</v>
      </c>
      <c r="P5" s="3">
        <f>Commercial_calculation!P55</f>
        <v>280995007085.24353</v>
      </c>
      <c r="Q5" s="3">
        <f>Commercial_calculation!Q55</f>
        <v>267507246745.15182</v>
      </c>
      <c r="R5" s="3">
        <f>Commercial_calculation!R55</f>
        <v>254666898901.38452</v>
      </c>
      <c r="S5" s="3">
        <f>Commercial_calculation!S55</f>
        <v>242442887754.11804</v>
      </c>
      <c r="T5" s="3">
        <f>Commercial_calculation!T55</f>
        <v>230805629141.92038</v>
      </c>
      <c r="U5" s="3">
        <f>Commercial_calculation!U55</f>
        <v>219726958943.10818</v>
      </c>
      <c r="V5" s="3">
        <f>Commercial_calculation!V55</f>
        <v>209180064913.83899</v>
      </c>
      <c r="W5" s="3">
        <f>Commercial_calculation!W55</f>
        <v>199139421797.9747</v>
      </c>
      <c r="X5" s="3">
        <f>Commercial_calculation!X55</f>
        <v>189580729551.67191</v>
      </c>
      <c r="Y5" s="3">
        <f>Commercial_calculation!Y55</f>
        <v>180480854533.19165</v>
      </c>
      <c r="Z5" s="3">
        <f>Commercial_calculation!Z55</f>
        <v>171817773515.59845</v>
      </c>
      <c r="AA5" s="3">
        <f>Commercial_calculation!AA55</f>
        <v>163570520386.84973</v>
      </c>
      <c r="AB5" s="3">
        <f>Commercial_calculation!AB55</f>
        <v>155719135408.28094</v>
      </c>
      <c r="AC5" s="3">
        <f>Commercial_calculation!AC55</f>
        <v>148244616908.68344</v>
      </c>
      <c r="AD5" s="3">
        <f>Commercial_calculation!AD55</f>
        <v>141128875297.06662</v>
      </c>
      <c r="AE5" s="3">
        <f>Commercial_calculation!AE55</f>
        <v>134354689282.80742</v>
      </c>
      <c r="AF5" s="3">
        <f>Commercial_calculation!AF55</f>
        <v>127905664197.23265</v>
      </c>
      <c r="AG5" s="3">
        <f>Commercial_calculation!AG55</f>
        <v>121766192315.76547</v>
      </c>
    </row>
    <row r="6" spans="1:35" x14ac:dyDescent="0.3">
      <c r="A6" s="1" t="s">
        <v>7</v>
      </c>
      <c r="B6" s="3">
        <f>Commercial_calculation!B56</f>
        <v>0</v>
      </c>
      <c r="C6" s="3">
        <f>Commercial_calculation!C56</f>
        <v>0</v>
      </c>
      <c r="D6" s="3">
        <f>Commercial_calculation!D56</f>
        <v>0</v>
      </c>
      <c r="E6" s="3">
        <f>Commercial_calculation!E56</f>
        <v>0</v>
      </c>
      <c r="F6" s="3">
        <f>Commercial_calculation!F56</f>
        <v>0</v>
      </c>
      <c r="G6" s="3">
        <f>Commercial_calculation!G56</f>
        <v>0</v>
      </c>
      <c r="H6" s="3">
        <f>Commercial_calculation!H56</f>
        <v>0</v>
      </c>
      <c r="I6" s="3">
        <f>Commercial_calculation!I56</f>
        <v>0</v>
      </c>
      <c r="J6" s="3">
        <f>Commercial_calculation!J56</f>
        <v>0</v>
      </c>
      <c r="K6" s="3">
        <f>Commercial_calculation!K56</f>
        <v>0</v>
      </c>
      <c r="L6" s="3">
        <f>Commercial_calculation!L56</f>
        <v>0</v>
      </c>
      <c r="M6" s="3">
        <f>Commercial_calculation!M56</f>
        <v>0</v>
      </c>
      <c r="N6" s="3">
        <f>Commercial_calculation!N56</f>
        <v>0</v>
      </c>
      <c r="O6" s="3">
        <f>Commercial_calculation!O56</f>
        <v>0</v>
      </c>
      <c r="P6" s="3">
        <f>Commercial_calculation!P56</f>
        <v>0</v>
      </c>
      <c r="Q6" s="3">
        <f>Commercial_calculation!Q56</f>
        <v>0</v>
      </c>
      <c r="R6" s="3">
        <f>Commercial_calculation!R56</f>
        <v>0</v>
      </c>
      <c r="S6" s="3">
        <f>Commercial_calculation!S56</f>
        <v>0</v>
      </c>
      <c r="T6" s="3">
        <f>Commercial_calculation!T56</f>
        <v>0</v>
      </c>
      <c r="U6" s="3">
        <f>Commercial_calculation!U56</f>
        <v>0</v>
      </c>
      <c r="V6" s="3">
        <f>Commercial_calculation!V56</f>
        <v>0</v>
      </c>
      <c r="W6" s="3">
        <f>Commercial_calculation!W56</f>
        <v>0</v>
      </c>
      <c r="X6" s="3">
        <f>Commercial_calculation!X56</f>
        <v>0</v>
      </c>
      <c r="Y6" s="3">
        <f>Commercial_calculation!Y56</f>
        <v>0</v>
      </c>
      <c r="Z6" s="3">
        <f>Commercial_calculation!Z56</f>
        <v>0</v>
      </c>
      <c r="AA6" s="3">
        <f>Commercial_calculation!AA56</f>
        <v>0</v>
      </c>
      <c r="AB6" s="3">
        <f>Commercial_calculation!AB56</f>
        <v>0</v>
      </c>
      <c r="AC6" s="3">
        <f>Commercial_calculation!AC56</f>
        <v>0</v>
      </c>
      <c r="AD6" s="3">
        <f>Commercial_calculation!AD56</f>
        <v>0</v>
      </c>
      <c r="AE6" s="3">
        <f>Commercial_calculation!AE56</f>
        <v>0</v>
      </c>
      <c r="AF6" s="3">
        <f>Commercial_calculation!AF56</f>
        <v>0</v>
      </c>
      <c r="AG6" s="3">
        <f>Commercial_calculation!AG56</f>
        <v>0</v>
      </c>
    </row>
    <row r="7" spans="1:35" x14ac:dyDescent="0.3">
      <c r="A7" s="1" t="s">
        <v>11</v>
      </c>
      <c r="B7" s="3">
        <f>Commercial_calculation!B57</f>
        <v>6660000000000</v>
      </c>
      <c r="C7" s="3">
        <f>Commercial_calculation!C57</f>
        <v>7111874631853.7881</v>
      </c>
      <c r="D7" s="3">
        <f>Commercial_calculation!D57</f>
        <v>7629101877806.791</v>
      </c>
      <c r="E7" s="3">
        <f>Commercial_calculation!E57</f>
        <v>7972411462308.0957</v>
      </c>
      <c r="F7" s="3">
        <f>Commercial_calculation!F57</f>
        <v>8331169978111.959</v>
      </c>
      <c r="G7" s="3">
        <f>Commercial_calculation!G57</f>
        <v>8706072627126.9961</v>
      </c>
      <c r="H7" s="3">
        <f>Commercial_calculation!H57</f>
        <v>9097845895347.7109</v>
      </c>
      <c r="I7" s="3">
        <f>Commercial_calculation!I57</f>
        <v>9507248960638.3574</v>
      </c>
      <c r="J7" s="3">
        <f>Commercial_calculation!J57</f>
        <v>9935075163867.082</v>
      </c>
      <c r="K7" s="3">
        <f>Commercial_calculation!K57</f>
        <v>10382153546241.1</v>
      </c>
      <c r="L7" s="3">
        <f>Commercial_calculation!L57</f>
        <v>10849350455821.949</v>
      </c>
      <c r="M7" s="3">
        <f>Commercial_calculation!M57</f>
        <v>11337571226333.936</v>
      </c>
      <c r="N7" s="3">
        <f>Commercial_calculation!N57</f>
        <v>11847761931518.961</v>
      </c>
      <c r="O7" s="3">
        <f>Commercial_calculation!O57</f>
        <v>12380911218437.313</v>
      </c>
      <c r="P7" s="3">
        <f>Commercial_calculation!P57</f>
        <v>12938052223266.99</v>
      </c>
      <c r="Q7" s="3">
        <f>Commercial_calculation!Q57</f>
        <v>13520264573314.004</v>
      </c>
      <c r="R7" s="3">
        <f>Commercial_calculation!R57</f>
        <v>14128676479113.133</v>
      </c>
      <c r="S7" s="3">
        <f>Commercial_calculation!S57</f>
        <v>14764466920673.223</v>
      </c>
      <c r="T7" s="3">
        <f>Commercial_calculation!T57</f>
        <v>15428867932103.518</v>
      </c>
      <c r="U7" s="3">
        <f>Commercial_calculation!U57</f>
        <v>16123166989048.174</v>
      </c>
      <c r="V7" s="3">
        <f>Commercial_calculation!V57</f>
        <v>16848709503555.34</v>
      </c>
      <c r="W7" s="3">
        <f>Commercial_calculation!W57</f>
        <v>17606901431215.328</v>
      </c>
      <c r="X7" s="3">
        <f>Commercial_calculation!X57</f>
        <v>18399211995620.016</v>
      </c>
      <c r="Y7" s="3">
        <f>Commercial_calculation!Y57</f>
        <v>19227176535422.914</v>
      </c>
      <c r="Z7" s="3">
        <f>Commercial_calculation!Z57</f>
        <v>20092399479516.945</v>
      </c>
      <c r="AA7" s="3">
        <f>Commercial_calculation!AA57</f>
        <v>20996557456095.207</v>
      </c>
      <c r="AB7" s="3">
        <f>Commercial_calculation!AB57</f>
        <v>21941402541619.488</v>
      </c>
      <c r="AC7" s="3">
        <f>Commercial_calculation!AC57</f>
        <v>22928765655992.363</v>
      </c>
      <c r="AD7" s="3">
        <f>Commercial_calculation!AD57</f>
        <v>23960560110512.02</v>
      </c>
      <c r="AE7" s="3">
        <f>Commercial_calculation!AE57</f>
        <v>25038785315485.059</v>
      </c>
      <c r="AF7" s="3">
        <f>Commercial_calculation!AF57</f>
        <v>26165530654681.883</v>
      </c>
      <c r="AG7" s="3">
        <f>Commercial_calculation!AG57</f>
        <v>27342979534142.566</v>
      </c>
    </row>
    <row r="8" spans="1:35" x14ac:dyDescent="0.3">
      <c r="A8" s="1" t="s">
        <v>13</v>
      </c>
      <c r="B8" s="3">
        <f>Commercial_calculation!B58</f>
        <v>3840000000000</v>
      </c>
      <c r="C8" s="3">
        <f>Commercial_calculation!C58</f>
        <v>3605985250941.6631</v>
      </c>
      <c r="D8" s="3">
        <f>Commercial_calculation!D58</f>
        <v>3549386249793.2939</v>
      </c>
      <c r="E8" s="3">
        <f>Commercial_calculation!E58</f>
        <v>3379015709803.2158</v>
      </c>
      <c r="F8" s="3">
        <f>Commercial_calculation!F58</f>
        <v>3216822955732.6611</v>
      </c>
      <c r="G8" s="3">
        <f>Commercial_calculation!G58</f>
        <v>3062415453857.4932</v>
      </c>
      <c r="H8" s="3">
        <f>Commercial_calculation!H58</f>
        <v>2915419512072.3335</v>
      </c>
      <c r="I8" s="3">
        <f>Commercial_calculation!I58</f>
        <v>2775479375492.8613</v>
      </c>
      <c r="J8" s="3">
        <f>Commercial_calculation!J58</f>
        <v>2642256365469.2041</v>
      </c>
      <c r="K8" s="3">
        <f>Commercial_calculation!K58</f>
        <v>2515428059926.6821</v>
      </c>
      <c r="L8" s="3">
        <f>Commercial_calculation!L58</f>
        <v>2394687513050.2012</v>
      </c>
      <c r="M8" s="3">
        <f>Commercial_calculation!M58</f>
        <v>2279742512423.7915</v>
      </c>
      <c r="N8" s="3">
        <f>Commercial_calculation!N58</f>
        <v>2170314871827.4495</v>
      </c>
      <c r="O8" s="3">
        <f>Commercial_calculation!O58</f>
        <v>2066139757979.7317</v>
      </c>
      <c r="P8" s="3">
        <f>Commercial_calculation!P58</f>
        <v>1966965049596.7046</v>
      </c>
      <c r="Q8" s="3">
        <f>Commercial_calculation!Q58</f>
        <v>1872550727216.0627</v>
      </c>
      <c r="R8" s="3">
        <f>Commercial_calculation!R58</f>
        <v>1782668292309.6917</v>
      </c>
      <c r="S8" s="3">
        <f>Commercial_calculation!S58</f>
        <v>1697100214278.8264</v>
      </c>
      <c r="T8" s="3">
        <f>Commercial_calculation!T58</f>
        <v>1615639403993.4426</v>
      </c>
      <c r="U8" s="3">
        <f>Commercial_calculation!U58</f>
        <v>1538088712601.7573</v>
      </c>
      <c r="V8" s="3">
        <f>Commercial_calculation!V58</f>
        <v>1464260454396.8728</v>
      </c>
      <c r="W8" s="3">
        <f>Commercial_calculation!W58</f>
        <v>1393975952585.8228</v>
      </c>
      <c r="X8" s="3">
        <f>Commercial_calculation!X58</f>
        <v>1327065106861.7031</v>
      </c>
      <c r="Y8" s="3">
        <f>Commercial_calculation!Y58</f>
        <v>1263365981732.3413</v>
      </c>
      <c r="Z8" s="3">
        <f>Commercial_calculation!Z58</f>
        <v>1202724414609.189</v>
      </c>
      <c r="AA8" s="3">
        <f>Commercial_calculation!AA58</f>
        <v>1144993642707.9478</v>
      </c>
      <c r="AB8" s="3">
        <f>Commercial_calculation!AB58</f>
        <v>1090033947857.9662</v>
      </c>
      <c r="AC8" s="3">
        <f>Commercial_calculation!AC58</f>
        <v>1037712318360.7838</v>
      </c>
      <c r="AD8" s="3">
        <f>Commercial_calculation!AD58</f>
        <v>987902127079.46619</v>
      </c>
      <c r="AE8" s="3">
        <f>Commercial_calculation!AE58</f>
        <v>940482824979.65173</v>
      </c>
      <c r="AF8" s="3">
        <f>Commercial_calculation!AF58</f>
        <v>895339649380.62842</v>
      </c>
      <c r="AG8" s="3">
        <f>Commercial_calculation!AG58</f>
        <v>852363346210.35828</v>
      </c>
    </row>
    <row r="9" spans="1:35" x14ac:dyDescent="0.3">
      <c r="A9" s="1" t="s">
        <v>14</v>
      </c>
      <c r="B9" s="3">
        <f>Commercial_calculation!B59</f>
        <v>318000000000</v>
      </c>
      <c r="C9" s="3">
        <f>Commercial_calculation!C59</f>
        <v>298632318918.56433</v>
      </c>
      <c r="D9" s="3">
        <f>Commercial_calculation!D59</f>
        <v>293945031038.7821</v>
      </c>
      <c r="E9" s="3">
        <f>Commercial_calculation!E59</f>
        <v>279835669548.92053</v>
      </c>
      <c r="F9" s="3">
        <f>Commercial_calculation!F59</f>
        <v>266403557410.57233</v>
      </c>
      <c r="G9" s="3">
        <f>Commercial_calculation!G59</f>
        <v>253616186654.86484</v>
      </c>
      <c r="H9" s="3">
        <f>Commercial_calculation!H59</f>
        <v>241442609695.4313</v>
      </c>
      <c r="I9" s="3">
        <f>Commercial_calculation!I59</f>
        <v>229853364430.0506</v>
      </c>
      <c r="J9" s="3">
        <f>Commercial_calculation!J59</f>
        <v>218820402937.40817</v>
      </c>
      <c r="K9" s="3">
        <f>Commercial_calculation!K59</f>
        <v>208317023596.41257</v>
      </c>
      <c r="L9" s="3">
        <f>Commercial_calculation!L59</f>
        <v>198317806463.78476</v>
      </c>
      <c r="M9" s="3">
        <f>Commercial_calculation!M59</f>
        <v>188798551753.52307</v>
      </c>
      <c r="N9" s="3">
        <f>Commercial_calculation!N59</f>
        <v>179736221269.35394</v>
      </c>
      <c r="O9" s="3">
        <f>Commercial_calculation!O59</f>
        <v>171108882648.42496</v>
      </c>
      <c r="P9" s="3">
        <f>Commercial_calculation!P59</f>
        <v>162895656281.30054</v>
      </c>
      <c r="Q9" s="3">
        <f>Commercial_calculation!Q59</f>
        <v>155076664779.7981</v>
      </c>
      <c r="R9" s="3">
        <f>Commercial_calculation!R59</f>
        <v>147632984870.36777</v>
      </c>
      <c r="S9" s="3">
        <f>Commercial_calculation!S59</f>
        <v>140546601596.59012</v>
      </c>
      <c r="T9" s="3">
        <f>Commercial_calculation!T59</f>
        <v>133800364719.95378</v>
      </c>
      <c r="U9" s="3">
        <f>Commercial_calculation!U59</f>
        <v>127377947213.396</v>
      </c>
      <c r="V9" s="3">
        <f>Commercial_calculation!V59</f>
        <v>121263805747.15298</v>
      </c>
      <c r="W9" s="3">
        <f>Commercial_calculation!W59</f>
        <v>115443143071.28964</v>
      </c>
      <c r="X9" s="3">
        <f>Commercial_calculation!X59</f>
        <v>109901872203.86774</v>
      </c>
      <c r="Y9" s="3">
        <f>Commercial_calculation!Y59</f>
        <v>104626582338.08208</v>
      </c>
      <c r="Z9" s="3">
        <f>Commercial_calculation!Z59</f>
        <v>99604506385.854126</v>
      </c>
      <c r="AA9" s="3">
        <f>Commercial_calculation!AA59</f>
        <v>94823490079.33313</v>
      </c>
      <c r="AB9" s="3">
        <f>Commercial_calculation!AB59</f>
        <v>90271962555.525131</v>
      </c>
      <c r="AC9" s="3">
        <f>Commercial_calculation!AC59</f>
        <v>85938908352.859924</v>
      </c>
      <c r="AD9" s="3">
        <f>Commercial_calculation!AD59</f>
        <v>81813840751.922638</v>
      </c>
      <c r="AE9" s="3">
        <f>Commercial_calculation!AE59</f>
        <v>77886776395.830353</v>
      </c>
      <c r="AF9" s="3">
        <f>Commercial_calculation!AF59</f>
        <v>74148211128.83049</v>
      </c>
      <c r="AG9" s="3">
        <f>Commercial_calculation!AG59</f>
        <v>70589096994.646622</v>
      </c>
    </row>
    <row r="10" spans="1:35" x14ac:dyDescent="0.3">
      <c r="A10" s="1" t="s">
        <v>15</v>
      </c>
      <c r="B10" s="3">
        <f>Commercial_calculation!B60</f>
        <v>60000000000000</v>
      </c>
      <c r="C10" s="3">
        <f>Commercial_calculation!C60</f>
        <v>56307123732095.281</v>
      </c>
      <c r="D10" s="3">
        <f>Commercial_calculation!D60</f>
        <v>55423335602362.352</v>
      </c>
      <c r="E10" s="3">
        <f>Commercial_calculation!E60</f>
        <v>52763015493448.953</v>
      </c>
      <c r="F10" s="3">
        <f>Commercial_calculation!F60</f>
        <v>50230390749763.398</v>
      </c>
      <c r="G10" s="3">
        <f>Commercial_calculation!G60</f>
        <v>47819331993774.75</v>
      </c>
      <c r="H10" s="3">
        <f>Commercial_calculation!H60</f>
        <v>45524004058073.563</v>
      </c>
      <c r="I10" s="3">
        <f>Commercial_calculation!I60</f>
        <v>43338851863286.031</v>
      </c>
      <c r="J10" s="3">
        <f>Commercial_calculation!J60</f>
        <v>41258586973848.297</v>
      </c>
      <c r="K10" s="3">
        <f>Commercial_calculation!K60</f>
        <v>39278174799103.578</v>
      </c>
      <c r="L10" s="3">
        <f>Commercial_calculation!L60</f>
        <v>37392822408746.602</v>
      </c>
      <c r="M10" s="3">
        <f>Commercial_calculation!M60</f>
        <v>35597966933126.766</v>
      </c>
      <c r="N10" s="3">
        <f>Commercial_calculation!N60</f>
        <v>33889264520336.68</v>
      </c>
      <c r="O10" s="3">
        <f>Commercial_calculation!O60</f>
        <v>32262579823360.52</v>
      </c>
      <c r="P10" s="3">
        <f>Commercial_calculation!P60</f>
        <v>30713975991839.215</v>
      </c>
      <c r="Q10" s="3">
        <f>Commercial_calculation!Q60</f>
        <v>29239705144230.93</v>
      </c>
      <c r="R10" s="3">
        <f>Commercial_calculation!R60</f>
        <v>27836199297307.844</v>
      </c>
      <c r="S10" s="3">
        <f>Commercial_calculation!S60</f>
        <v>26500061731037.066</v>
      </c>
      <c r="T10" s="3">
        <f>Commercial_calculation!T60</f>
        <v>25228058767947.285</v>
      </c>
      <c r="U10" s="3">
        <f>Commercial_calculation!U60</f>
        <v>24017111947085.813</v>
      </c>
      <c r="V10" s="3">
        <f>Commercial_calculation!V60</f>
        <v>22864290573625.691</v>
      </c>
      <c r="W10" s="3">
        <f>Commercial_calculation!W60</f>
        <v>21766804626091.656</v>
      </c>
      <c r="X10" s="3">
        <f>Commercial_calculation!X60</f>
        <v>20721998004039.254</v>
      </c>
      <c r="Y10" s="3">
        <f>Commercial_calculation!Y60</f>
        <v>19727342099845.367</v>
      </c>
      <c r="Z10" s="3">
        <f>Commercial_calculation!Z60</f>
        <v>18780429679052.789</v>
      </c>
      <c r="AA10" s="3">
        <f>Commercial_calculation!AA60</f>
        <v>17878969054458.254</v>
      </c>
      <c r="AB10" s="3">
        <f>Commercial_calculation!AB60</f>
        <v>17020778539844.258</v>
      </c>
      <c r="AC10" s="3">
        <f>Commercial_calculation!AC60</f>
        <v>16203781169931.732</v>
      </c>
      <c r="AD10" s="3">
        <f>Commercial_calculation!AD60</f>
        <v>15425999673775.008</v>
      </c>
      <c r="AE10" s="3">
        <f>Commercial_calculation!AE60</f>
        <v>14685551689433.807</v>
      </c>
      <c r="AF10" s="3">
        <f>Commercial_calculation!AF60</f>
        <v>13980645208340.982</v>
      </c>
      <c r="AG10" s="3">
        <f>Commercial_calculation!AG60</f>
        <v>13309574238340.615</v>
      </c>
    </row>
    <row r="11" spans="1:35" x14ac:dyDescent="0.3">
      <c r="A11" s="1" t="s">
        <v>16</v>
      </c>
      <c r="B11" s="3">
        <f>Commercial_calculation!B61</f>
        <v>0</v>
      </c>
      <c r="C11" s="3">
        <f>Commercial_calculation!C61</f>
        <v>0</v>
      </c>
      <c r="D11" s="3">
        <f>Commercial_calculation!D61</f>
        <v>0</v>
      </c>
      <c r="E11" s="3">
        <f>Commercial_calculation!E61</f>
        <v>0</v>
      </c>
      <c r="F11" s="3">
        <f>Commercial_calculation!F61</f>
        <v>0</v>
      </c>
      <c r="G11" s="3">
        <f>Commercial_calculation!G61</f>
        <v>0</v>
      </c>
      <c r="H11" s="3">
        <f>Commercial_calculation!H61</f>
        <v>0</v>
      </c>
      <c r="I11" s="3">
        <f>Commercial_calculation!I61</f>
        <v>0</v>
      </c>
      <c r="J11" s="3">
        <f>Commercial_calculation!J61</f>
        <v>0</v>
      </c>
      <c r="K11" s="3">
        <f>Commercial_calculation!K61</f>
        <v>0</v>
      </c>
      <c r="L11" s="3">
        <f>Commercial_calculation!L61</f>
        <v>0</v>
      </c>
      <c r="M11" s="3">
        <f>Commercial_calculation!M61</f>
        <v>0</v>
      </c>
      <c r="N11" s="3">
        <f>Commercial_calculation!N61</f>
        <v>0</v>
      </c>
      <c r="O11" s="3">
        <f>Commercial_calculation!O61</f>
        <v>0</v>
      </c>
      <c r="P11" s="3">
        <f>Commercial_calculation!P61</f>
        <v>0</v>
      </c>
      <c r="Q11" s="3">
        <f>Commercial_calculation!Q61</f>
        <v>0</v>
      </c>
      <c r="R11" s="3">
        <f>Commercial_calculation!R61</f>
        <v>0</v>
      </c>
      <c r="S11" s="3">
        <f>Commercial_calculation!S61</f>
        <v>0</v>
      </c>
      <c r="T11" s="3">
        <f>Commercial_calculation!T61</f>
        <v>0</v>
      </c>
      <c r="U11" s="3">
        <f>Commercial_calculation!U61</f>
        <v>0</v>
      </c>
      <c r="V11" s="3">
        <f>Commercial_calculation!V61</f>
        <v>0</v>
      </c>
      <c r="W11" s="3">
        <f>Commercial_calculation!W61</f>
        <v>0</v>
      </c>
      <c r="X11" s="3">
        <f>Commercial_calculation!X61</f>
        <v>0</v>
      </c>
      <c r="Y11" s="3">
        <f>Commercial_calculation!Y61</f>
        <v>0</v>
      </c>
      <c r="Z11" s="3">
        <f>Commercial_calculation!Z61</f>
        <v>0</v>
      </c>
      <c r="AA11" s="3">
        <f>Commercial_calculation!AA61</f>
        <v>0</v>
      </c>
      <c r="AB11" s="3">
        <f>Commercial_calculation!AB61</f>
        <v>0</v>
      </c>
      <c r="AC11" s="3">
        <f>Commercial_calculation!AC61</f>
        <v>0</v>
      </c>
      <c r="AD11" s="3">
        <f>Commercial_calculation!AD61</f>
        <v>0</v>
      </c>
      <c r="AE11" s="3">
        <f>Commercial_calculation!AE61</f>
        <v>0</v>
      </c>
      <c r="AF11" s="3">
        <f>Commercial_calculation!AF61</f>
        <v>0</v>
      </c>
      <c r="AG11" s="3">
        <f>Commercial_calculation!AG61</f>
        <v>0</v>
      </c>
    </row>
  </sheetData>
  <phoneticPr fontId="10" type="noConversion"/>
  <pageMargins left="0.7" right="0.7" top="0.75" bottom="0.75" header="0.3" footer="0.3"/>
  <pageSetup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/>
  </sheetPr>
  <dimension ref="A1:AI11"/>
  <sheetViews>
    <sheetView topLeftCell="H1" workbookViewId="0">
      <selection activeCell="J2" sqref="J2"/>
    </sheetView>
  </sheetViews>
  <sheetFormatPr defaultRowHeight="16.5" x14ac:dyDescent="0.3"/>
  <cols>
    <col min="1" max="1" width="29.875" customWidth="1"/>
    <col min="2" max="33" width="9.875" customWidth="1"/>
  </cols>
  <sheetData>
    <row r="1" spans="1:35" x14ac:dyDescent="0.3">
      <c r="A1" s="1" t="s">
        <v>1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3">
      <c r="A2" s="1" t="s">
        <v>2</v>
      </c>
      <c r="B2" s="3">
        <f>Commercial_calculation!B64</f>
        <v>68100000000000</v>
      </c>
      <c r="C2" s="3">
        <f>Commercial_calculation!C64</f>
        <v>67518903420123.07</v>
      </c>
      <c r="D2" s="3">
        <f>Commercial_calculation!D64</f>
        <v>68119493654016.609</v>
      </c>
      <c r="E2" s="3">
        <f>Commercial_calculation!E64</f>
        <v>68664449603248.742</v>
      </c>
      <c r="F2" s="3">
        <f>Commercial_calculation!F64</f>
        <v>69213765200074.734</v>
      </c>
      <c r="G2" s="3">
        <f>Commercial_calculation!G64</f>
        <v>69767475321675.336</v>
      </c>
      <c r="H2" s="3">
        <f>Commercial_calculation!H64</f>
        <v>70325615124248.742</v>
      </c>
      <c r="I2" s="3">
        <f>Commercial_calculation!I64</f>
        <v>70888220045242.734</v>
      </c>
      <c r="J2" s="3">
        <f>Commercial_calculation!J64</f>
        <v>71455325805604.672</v>
      </c>
      <c r="K2" s="3">
        <f>Commercial_calculation!K64</f>
        <v>72026968412049.516</v>
      </c>
      <c r="L2" s="3">
        <f>Commercial_calculation!L64</f>
        <v>72603184159345.906</v>
      </c>
      <c r="M2" s="3">
        <f>Commercial_calculation!M64</f>
        <v>73184009632620.672</v>
      </c>
      <c r="N2" s="3">
        <f>Commercial_calculation!N64</f>
        <v>73769481709681.641</v>
      </c>
      <c r="O2" s="3">
        <f>Commercial_calculation!O64</f>
        <v>74359637563359.094</v>
      </c>
      <c r="P2" s="3">
        <f>Commercial_calculation!P64</f>
        <v>74954514663865.969</v>
      </c>
      <c r="Q2" s="3">
        <f>Commercial_calculation!Q64</f>
        <v>75554150781176.891</v>
      </c>
      <c r="R2" s="3">
        <f>Commercial_calculation!R64</f>
        <v>76158583987426.313</v>
      </c>
      <c r="S2" s="3">
        <f>Commercial_calculation!S64</f>
        <v>76767852659325.719</v>
      </c>
      <c r="T2" s="3">
        <f>Commercial_calculation!T64</f>
        <v>77381995480600.328</v>
      </c>
      <c r="U2" s="3">
        <f>Commercial_calculation!U64</f>
        <v>78001051444445.125</v>
      </c>
      <c r="V2" s="3">
        <f>Commercial_calculation!V64</f>
        <v>78625059856000.688</v>
      </c>
      <c r="W2" s="3">
        <f>Commercial_calculation!W64</f>
        <v>79254060334848.688</v>
      </c>
      <c r="X2" s="3">
        <f>Commercial_calculation!X64</f>
        <v>79888092817527.484</v>
      </c>
      <c r="Y2" s="3">
        <f>Commercial_calculation!Y64</f>
        <v>80527197560067.703</v>
      </c>
      <c r="Z2" s="3">
        <f>Commercial_calculation!Z64</f>
        <v>81171415140548.25</v>
      </c>
      <c r="AA2" s="3">
        <f>Commercial_calculation!AA64</f>
        <v>81820786461672.641</v>
      </c>
      <c r="AB2" s="3">
        <f>Commercial_calculation!AB64</f>
        <v>82475352753366.016</v>
      </c>
      <c r="AC2" s="3">
        <f>Commercial_calculation!AC64</f>
        <v>83135155575392.938</v>
      </c>
      <c r="AD2" s="3">
        <f>Commercial_calculation!AD64</f>
        <v>83800236819996.078</v>
      </c>
      <c r="AE2" s="3">
        <f>Commercial_calculation!AE64</f>
        <v>84470638714556.047</v>
      </c>
      <c r="AF2" s="3">
        <f>Commercial_calculation!AF64</f>
        <v>85146403824272.5</v>
      </c>
      <c r="AG2" s="3">
        <f>Commercial_calculation!AG64</f>
        <v>85827575054866.688</v>
      </c>
    </row>
    <row r="3" spans="1:35" x14ac:dyDescent="0.3">
      <c r="A3" s="1" t="s">
        <v>3</v>
      </c>
      <c r="B3" s="3">
        <f>Commercial_calculation!B65</f>
        <v>0</v>
      </c>
      <c r="C3" s="3">
        <f>Commercial_calculation!C65</f>
        <v>0</v>
      </c>
      <c r="D3" s="3">
        <f>Commercial_calculation!D65</f>
        <v>0</v>
      </c>
      <c r="E3" s="3">
        <f>Commercial_calculation!E65</f>
        <v>0</v>
      </c>
      <c r="F3" s="3">
        <f>Commercial_calculation!F65</f>
        <v>0</v>
      </c>
      <c r="G3" s="3">
        <f>Commercial_calculation!G65</f>
        <v>0</v>
      </c>
      <c r="H3" s="3">
        <f>Commercial_calculation!H65</f>
        <v>0</v>
      </c>
      <c r="I3" s="3">
        <f>Commercial_calculation!I65</f>
        <v>0</v>
      </c>
      <c r="J3" s="3">
        <f>Commercial_calculation!J65</f>
        <v>0</v>
      </c>
      <c r="K3" s="3">
        <f>Commercial_calculation!K65</f>
        <v>0</v>
      </c>
      <c r="L3" s="3">
        <f>Commercial_calculation!L65</f>
        <v>0</v>
      </c>
      <c r="M3" s="3">
        <f>Commercial_calculation!M65</f>
        <v>0</v>
      </c>
      <c r="N3" s="3">
        <f>Commercial_calculation!N65</f>
        <v>0</v>
      </c>
      <c r="O3" s="3">
        <f>Commercial_calculation!O65</f>
        <v>0</v>
      </c>
      <c r="P3" s="3">
        <f>Commercial_calculation!P65</f>
        <v>0</v>
      </c>
      <c r="Q3" s="3">
        <f>Commercial_calculation!Q65</f>
        <v>0</v>
      </c>
      <c r="R3" s="3">
        <f>Commercial_calculation!R65</f>
        <v>0</v>
      </c>
      <c r="S3" s="3">
        <f>Commercial_calculation!S65</f>
        <v>0</v>
      </c>
      <c r="T3" s="3">
        <f>Commercial_calculation!T65</f>
        <v>0</v>
      </c>
      <c r="U3" s="3">
        <f>Commercial_calculation!U65</f>
        <v>0</v>
      </c>
      <c r="V3" s="3">
        <f>Commercial_calculation!V65</f>
        <v>0</v>
      </c>
      <c r="W3" s="3">
        <f>Commercial_calculation!W65</f>
        <v>0</v>
      </c>
      <c r="X3" s="3">
        <f>Commercial_calculation!X65</f>
        <v>0</v>
      </c>
      <c r="Y3" s="3">
        <f>Commercial_calculation!Y65</f>
        <v>0</v>
      </c>
      <c r="Z3" s="3">
        <f>Commercial_calculation!Z65</f>
        <v>0</v>
      </c>
      <c r="AA3" s="3">
        <f>Commercial_calculation!AA65</f>
        <v>0</v>
      </c>
      <c r="AB3" s="3">
        <f>Commercial_calculation!AB65</f>
        <v>0</v>
      </c>
      <c r="AC3" s="3">
        <f>Commercial_calculation!AC65</f>
        <v>0</v>
      </c>
      <c r="AD3" s="3">
        <f>Commercial_calculation!AD65</f>
        <v>0</v>
      </c>
      <c r="AE3" s="3">
        <f>Commercial_calculation!AE65</f>
        <v>0</v>
      </c>
      <c r="AF3" s="3">
        <f>Commercial_calculation!AF65</f>
        <v>0</v>
      </c>
      <c r="AG3" s="3">
        <f>Commercial_calculation!AG65</f>
        <v>0</v>
      </c>
    </row>
    <row r="4" spans="1:35" x14ac:dyDescent="0.3">
      <c r="A4" s="1" t="s">
        <v>4</v>
      </c>
      <c r="B4" s="3">
        <f>Commercial_calculation!B66</f>
        <v>0</v>
      </c>
      <c r="C4" s="3">
        <f>Commercial_calculation!C66</f>
        <v>0</v>
      </c>
      <c r="D4" s="3">
        <f>Commercial_calculation!D66</f>
        <v>0</v>
      </c>
      <c r="E4" s="3">
        <f>Commercial_calculation!E66</f>
        <v>0</v>
      </c>
      <c r="F4" s="3">
        <f>Commercial_calculation!F66</f>
        <v>0</v>
      </c>
      <c r="G4" s="3">
        <f>Commercial_calculation!G66</f>
        <v>0</v>
      </c>
      <c r="H4" s="3">
        <f>Commercial_calculation!H66</f>
        <v>0</v>
      </c>
      <c r="I4" s="3">
        <f>Commercial_calculation!I66</f>
        <v>0</v>
      </c>
      <c r="J4" s="3">
        <f>Commercial_calculation!J66</f>
        <v>0</v>
      </c>
      <c r="K4" s="3">
        <f>Commercial_calculation!K66</f>
        <v>0</v>
      </c>
      <c r="L4" s="3">
        <f>Commercial_calculation!L66</f>
        <v>0</v>
      </c>
      <c r="M4" s="3">
        <f>Commercial_calculation!M66</f>
        <v>0</v>
      </c>
      <c r="N4" s="3">
        <f>Commercial_calculation!N66</f>
        <v>0</v>
      </c>
      <c r="O4" s="3">
        <f>Commercial_calculation!O66</f>
        <v>0</v>
      </c>
      <c r="P4" s="3">
        <f>Commercial_calculation!P66</f>
        <v>0</v>
      </c>
      <c r="Q4" s="3">
        <f>Commercial_calculation!Q66</f>
        <v>0</v>
      </c>
      <c r="R4" s="3">
        <f>Commercial_calculation!R66</f>
        <v>0</v>
      </c>
      <c r="S4" s="3">
        <f>Commercial_calculation!S66</f>
        <v>0</v>
      </c>
      <c r="T4" s="3">
        <f>Commercial_calculation!T66</f>
        <v>0</v>
      </c>
      <c r="U4" s="3">
        <f>Commercial_calculation!U66</f>
        <v>0</v>
      </c>
      <c r="V4" s="3">
        <f>Commercial_calculation!V66</f>
        <v>0</v>
      </c>
      <c r="W4" s="3">
        <f>Commercial_calculation!W66</f>
        <v>0</v>
      </c>
      <c r="X4" s="3">
        <f>Commercial_calculation!X66</f>
        <v>0</v>
      </c>
      <c r="Y4" s="3">
        <f>Commercial_calculation!Y66</f>
        <v>0</v>
      </c>
      <c r="Z4" s="3">
        <f>Commercial_calculation!Z66</f>
        <v>0</v>
      </c>
      <c r="AA4" s="3">
        <f>Commercial_calculation!AA66</f>
        <v>0</v>
      </c>
      <c r="AB4" s="3">
        <f>Commercial_calculation!AB66</f>
        <v>0</v>
      </c>
      <c r="AC4" s="3">
        <f>Commercial_calculation!AC66</f>
        <v>0</v>
      </c>
      <c r="AD4" s="3">
        <f>Commercial_calculation!AD66</f>
        <v>0</v>
      </c>
      <c r="AE4" s="3">
        <f>Commercial_calculation!AE66</f>
        <v>0</v>
      </c>
      <c r="AF4" s="3">
        <f>Commercial_calculation!AF66</f>
        <v>0</v>
      </c>
      <c r="AG4" s="3">
        <f>Commercial_calculation!AG66</f>
        <v>0</v>
      </c>
    </row>
    <row r="5" spans="1:35" x14ac:dyDescent="0.3">
      <c r="A5" s="1" t="s">
        <v>5</v>
      </c>
      <c r="B5" s="3">
        <f>Commercial_calculation!B67</f>
        <v>0</v>
      </c>
      <c r="C5" s="3">
        <f>Commercial_calculation!C67</f>
        <v>0</v>
      </c>
      <c r="D5" s="3">
        <f>Commercial_calculation!D67</f>
        <v>0</v>
      </c>
      <c r="E5" s="3">
        <f>Commercial_calculation!E67</f>
        <v>0</v>
      </c>
      <c r="F5" s="3">
        <f>Commercial_calculation!F67</f>
        <v>0</v>
      </c>
      <c r="G5" s="3">
        <f>Commercial_calculation!G67</f>
        <v>0</v>
      </c>
      <c r="H5" s="3">
        <f>Commercial_calculation!H67</f>
        <v>0</v>
      </c>
      <c r="I5" s="3">
        <f>Commercial_calculation!I67</f>
        <v>0</v>
      </c>
      <c r="J5" s="3">
        <f>Commercial_calculation!J67</f>
        <v>0</v>
      </c>
      <c r="K5" s="3">
        <f>Commercial_calculation!K67</f>
        <v>0</v>
      </c>
      <c r="L5" s="3">
        <f>Commercial_calculation!L67</f>
        <v>0</v>
      </c>
      <c r="M5" s="3">
        <f>Commercial_calculation!M67</f>
        <v>0</v>
      </c>
      <c r="N5" s="3">
        <f>Commercial_calculation!N67</f>
        <v>0</v>
      </c>
      <c r="O5" s="3">
        <f>Commercial_calculation!O67</f>
        <v>0</v>
      </c>
      <c r="P5" s="3">
        <f>Commercial_calculation!P67</f>
        <v>0</v>
      </c>
      <c r="Q5" s="3">
        <f>Commercial_calculation!Q67</f>
        <v>0</v>
      </c>
      <c r="R5" s="3">
        <f>Commercial_calculation!R67</f>
        <v>0</v>
      </c>
      <c r="S5" s="3">
        <f>Commercial_calculation!S67</f>
        <v>0</v>
      </c>
      <c r="T5" s="3">
        <f>Commercial_calculation!T67</f>
        <v>0</v>
      </c>
      <c r="U5" s="3">
        <f>Commercial_calculation!U67</f>
        <v>0</v>
      </c>
      <c r="V5" s="3">
        <f>Commercial_calculation!V67</f>
        <v>0</v>
      </c>
      <c r="W5" s="3">
        <f>Commercial_calculation!W67</f>
        <v>0</v>
      </c>
      <c r="X5" s="3">
        <f>Commercial_calculation!X67</f>
        <v>0</v>
      </c>
      <c r="Y5" s="3">
        <f>Commercial_calculation!Y67</f>
        <v>0</v>
      </c>
      <c r="Z5" s="3">
        <f>Commercial_calculation!Z67</f>
        <v>0</v>
      </c>
      <c r="AA5" s="3">
        <f>Commercial_calculation!AA67</f>
        <v>0</v>
      </c>
      <c r="AB5" s="3">
        <f>Commercial_calculation!AB67</f>
        <v>0</v>
      </c>
      <c r="AC5" s="3">
        <f>Commercial_calculation!AC67</f>
        <v>0</v>
      </c>
      <c r="AD5" s="3">
        <f>Commercial_calculation!AD67</f>
        <v>0</v>
      </c>
      <c r="AE5" s="3">
        <f>Commercial_calculation!AE67</f>
        <v>0</v>
      </c>
      <c r="AF5" s="3">
        <f>Commercial_calculation!AF67</f>
        <v>0</v>
      </c>
      <c r="AG5" s="3">
        <f>Commercial_calculation!AG67</f>
        <v>0</v>
      </c>
    </row>
    <row r="6" spans="1:35" x14ac:dyDescent="0.3">
      <c r="A6" s="1" t="s">
        <v>7</v>
      </c>
      <c r="B6" s="3">
        <f>Commercial_calculation!B68</f>
        <v>0</v>
      </c>
      <c r="C6" s="3">
        <f>Commercial_calculation!C68</f>
        <v>0</v>
      </c>
      <c r="D6" s="3">
        <f>Commercial_calculation!D68</f>
        <v>0</v>
      </c>
      <c r="E6" s="3">
        <f>Commercial_calculation!E68</f>
        <v>0</v>
      </c>
      <c r="F6" s="3">
        <f>Commercial_calculation!F68</f>
        <v>0</v>
      </c>
      <c r="G6" s="3">
        <f>Commercial_calculation!G68</f>
        <v>0</v>
      </c>
      <c r="H6" s="3">
        <f>Commercial_calculation!H68</f>
        <v>0</v>
      </c>
      <c r="I6" s="3">
        <f>Commercial_calculation!I68</f>
        <v>0</v>
      </c>
      <c r="J6" s="3">
        <f>Commercial_calculation!J68</f>
        <v>0</v>
      </c>
      <c r="K6" s="3">
        <f>Commercial_calculation!K68</f>
        <v>0</v>
      </c>
      <c r="L6" s="3">
        <f>Commercial_calculation!L68</f>
        <v>0</v>
      </c>
      <c r="M6" s="3">
        <f>Commercial_calculation!M68</f>
        <v>0</v>
      </c>
      <c r="N6" s="3">
        <f>Commercial_calculation!N68</f>
        <v>0</v>
      </c>
      <c r="O6" s="3">
        <f>Commercial_calculation!O68</f>
        <v>0</v>
      </c>
      <c r="P6" s="3">
        <f>Commercial_calculation!P68</f>
        <v>0</v>
      </c>
      <c r="Q6" s="3">
        <f>Commercial_calculation!Q68</f>
        <v>0</v>
      </c>
      <c r="R6" s="3">
        <f>Commercial_calculation!R68</f>
        <v>0</v>
      </c>
      <c r="S6" s="3">
        <f>Commercial_calculation!S68</f>
        <v>0</v>
      </c>
      <c r="T6" s="3">
        <f>Commercial_calculation!T68</f>
        <v>0</v>
      </c>
      <c r="U6" s="3">
        <f>Commercial_calculation!U68</f>
        <v>0</v>
      </c>
      <c r="V6" s="3">
        <f>Commercial_calculation!V68</f>
        <v>0</v>
      </c>
      <c r="W6" s="3">
        <f>Commercial_calculation!W68</f>
        <v>0</v>
      </c>
      <c r="X6" s="3">
        <f>Commercial_calculation!X68</f>
        <v>0</v>
      </c>
      <c r="Y6" s="3">
        <f>Commercial_calculation!Y68</f>
        <v>0</v>
      </c>
      <c r="Z6" s="3">
        <f>Commercial_calculation!Z68</f>
        <v>0</v>
      </c>
      <c r="AA6" s="3">
        <f>Commercial_calculation!AA68</f>
        <v>0</v>
      </c>
      <c r="AB6" s="3">
        <f>Commercial_calculation!AB68</f>
        <v>0</v>
      </c>
      <c r="AC6" s="3">
        <f>Commercial_calculation!AC68</f>
        <v>0</v>
      </c>
      <c r="AD6" s="3">
        <f>Commercial_calculation!AD68</f>
        <v>0</v>
      </c>
      <c r="AE6" s="3">
        <f>Commercial_calculation!AE68</f>
        <v>0</v>
      </c>
      <c r="AF6" s="3">
        <f>Commercial_calculation!AF68</f>
        <v>0</v>
      </c>
      <c r="AG6" s="3">
        <f>Commercial_calculation!AG68</f>
        <v>0</v>
      </c>
    </row>
    <row r="7" spans="1:35" x14ac:dyDescent="0.3">
      <c r="A7" s="1" t="s">
        <v>11</v>
      </c>
      <c r="B7" s="3">
        <f>Commercial_calculation!B69</f>
        <v>139000000000</v>
      </c>
      <c r="C7" s="3">
        <f>Commercial_calculation!C69</f>
        <v>148164054830.28726</v>
      </c>
      <c r="D7" s="3">
        <f>Commercial_calculation!D69</f>
        <v>158939622454.30817</v>
      </c>
      <c r="E7" s="3">
        <f>Commercial_calculation!E69</f>
        <v>166091905464.75201</v>
      </c>
      <c r="F7" s="3">
        <f>Commercial_calculation!F69</f>
        <v>173566041210.66583</v>
      </c>
      <c r="G7" s="3">
        <f>Commercial_calculation!G69</f>
        <v>181376513065.14578</v>
      </c>
      <c r="H7" s="3">
        <f>Commercial_calculation!H69</f>
        <v>189538456153.07733</v>
      </c>
      <c r="I7" s="3">
        <f>Commercial_calculation!I69</f>
        <v>198067686679.96579</v>
      </c>
      <c r="J7" s="3">
        <f>Commercial_calculation!J69</f>
        <v>206980732580.56424</v>
      </c>
      <c r="K7" s="3">
        <f>Commercial_calculation!K69</f>
        <v>216294865546.68961</v>
      </c>
      <c r="L7" s="3">
        <f>Commercial_calculation!L69</f>
        <v>226028134496.29062</v>
      </c>
      <c r="M7" s="3">
        <f>Commercial_calculation!M69</f>
        <v>236199400548.62369</v>
      </c>
      <c r="N7" s="3">
        <f>Commercial_calculation!N69</f>
        <v>246828373573.31174</v>
      </c>
      <c r="O7" s="3">
        <f>Commercial_calculation!O69</f>
        <v>257935650384.11075</v>
      </c>
      <c r="P7" s="3">
        <f>Commercial_calculation!P69</f>
        <v>269542754651.39572</v>
      </c>
      <c r="Q7" s="3">
        <f>Commercial_calculation!Q69</f>
        <v>281672178610.7085</v>
      </c>
      <c r="R7" s="3">
        <f>Commercial_calculation!R69</f>
        <v>294347426648.19037</v>
      </c>
      <c r="S7" s="3">
        <f>Commercial_calculation!S69</f>
        <v>307593060847.35889</v>
      </c>
      <c r="T7" s="3">
        <f>Commercial_calculation!T69</f>
        <v>321434748585.48999</v>
      </c>
      <c r="U7" s="3">
        <f>Commercial_calculation!U69</f>
        <v>335899312271.83704</v>
      </c>
      <c r="V7" s="3">
        <f>Commercial_calculation!V69</f>
        <v>351014781324.0697</v>
      </c>
      <c r="W7" s="3">
        <f>Commercial_calculation!W69</f>
        <v>366810446483.65283</v>
      </c>
      <c r="X7" s="3">
        <f>Commercial_calculation!X69</f>
        <v>383316916575.41718</v>
      </c>
      <c r="Y7" s="3">
        <f>Commercial_calculation!Y69</f>
        <v>400566177821.31091</v>
      </c>
      <c r="Z7" s="3">
        <f>Commercial_calculation!Z69</f>
        <v>418591655823.2699</v>
      </c>
      <c r="AA7" s="3">
        <f>Commercial_calculation!AA69</f>
        <v>437428280335.31702</v>
      </c>
      <c r="AB7" s="3">
        <f>Commercial_calculation!AB69</f>
        <v>457112552950.40625</v>
      </c>
      <c r="AC7" s="3">
        <f>Commercial_calculation!AC69</f>
        <v>477682617833.1745</v>
      </c>
      <c r="AD7" s="3">
        <f>Commercial_calculation!AD69</f>
        <v>499178335635.6673</v>
      </c>
      <c r="AE7" s="3">
        <f>Commercial_calculation!AE69</f>
        <v>521641360739.27228</v>
      </c>
      <c r="AF7" s="3">
        <f>Commercial_calculation!AF69</f>
        <v>545115221972.53949</v>
      </c>
      <c r="AG7" s="3">
        <f>Commercial_calculation!AG69</f>
        <v>569645406961.30371</v>
      </c>
    </row>
    <row r="8" spans="1:35" x14ac:dyDescent="0.3">
      <c r="A8" s="1" t="s">
        <v>13</v>
      </c>
      <c r="B8" s="3">
        <f>Commercial_calculation!B70</f>
        <v>0</v>
      </c>
      <c r="C8" s="3">
        <f>Commercial_calculation!C70</f>
        <v>0</v>
      </c>
      <c r="D8" s="3">
        <f>Commercial_calculation!D70</f>
        <v>0</v>
      </c>
      <c r="E8" s="3">
        <f>Commercial_calculation!E70</f>
        <v>0</v>
      </c>
      <c r="F8" s="3">
        <f>Commercial_calculation!F70</f>
        <v>0</v>
      </c>
      <c r="G8" s="3">
        <f>Commercial_calculation!G70</f>
        <v>0</v>
      </c>
      <c r="H8" s="3">
        <f>Commercial_calculation!H70</f>
        <v>0</v>
      </c>
      <c r="I8" s="3">
        <f>Commercial_calculation!I70</f>
        <v>0</v>
      </c>
      <c r="J8" s="3">
        <f>Commercial_calculation!J70</f>
        <v>0</v>
      </c>
      <c r="K8" s="3">
        <f>Commercial_calculation!K70</f>
        <v>0</v>
      </c>
      <c r="L8" s="3">
        <f>Commercial_calculation!L70</f>
        <v>0</v>
      </c>
      <c r="M8" s="3">
        <f>Commercial_calculation!M70</f>
        <v>0</v>
      </c>
      <c r="N8" s="3">
        <f>Commercial_calculation!N70</f>
        <v>0</v>
      </c>
      <c r="O8" s="3">
        <f>Commercial_calculation!O70</f>
        <v>0</v>
      </c>
      <c r="P8" s="3">
        <f>Commercial_calculation!P70</f>
        <v>0</v>
      </c>
      <c r="Q8" s="3">
        <f>Commercial_calculation!Q70</f>
        <v>0</v>
      </c>
      <c r="R8" s="3">
        <f>Commercial_calculation!R70</f>
        <v>0</v>
      </c>
      <c r="S8" s="3">
        <f>Commercial_calculation!S70</f>
        <v>0</v>
      </c>
      <c r="T8" s="3">
        <f>Commercial_calculation!T70</f>
        <v>0</v>
      </c>
      <c r="U8" s="3">
        <f>Commercial_calculation!U70</f>
        <v>0</v>
      </c>
      <c r="V8" s="3">
        <f>Commercial_calculation!V70</f>
        <v>0</v>
      </c>
      <c r="W8" s="3">
        <f>Commercial_calculation!W70</f>
        <v>0</v>
      </c>
      <c r="X8" s="3">
        <f>Commercial_calculation!X70</f>
        <v>0</v>
      </c>
      <c r="Y8" s="3">
        <f>Commercial_calculation!Y70</f>
        <v>0</v>
      </c>
      <c r="Z8" s="3">
        <f>Commercial_calculation!Z70</f>
        <v>0</v>
      </c>
      <c r="AA8" s="3">
        <f>Commercial_calculation!AA70</f>
        <v>0</v>
      </c>
      <c r="AB8" s="3">
        <f>Commercial_calculation!AB70</f>
        <v>0</v>
      </c>
      <c r="AC8" s="3">
        <f>Commercial_calculation!AC70</f>
        <v>0</v>
      </c>
      <c r="AD8" s="3">
        <f>Commercial_calculation!AD70</f>
        <v>0</v>
      </c>
      <c r="AE8" s="3">
        <f>Commercial_calculation!AE70</f>
        <v>0</v>
      </c>
      <c r="AF8" s="3">
        <f>Commercial_calculation!AF70</f>
        <v>0</v>
      </c>
      <c r="AG8" s="3">
        <f>Commercial_calculation!AG70</f>
        <v>0</v>
      </c>
    </row>
    <row r="9" spans="1:35" x14ac:dyDescent="0.3">
      <c r="A9" s="1" t="s">
        <v>14</v>
      </c>
      <c r="B9" s="3">
        <f>Commercial_calculation!B71</f>
        <v>0</v>
      </c>
      <c r="C9" s="3">
        <f>Commercial_calculation!C71</f>
        <v>0</v>
      </c>
      <c r="D9" s="3">
        <f>Commercial_calculation!D71</f>
        <v>0</v>
      </c>
      <c r="E9" s="3">
        <f>Commercial_calculation!E71</f>
        <v>0</v>
      </c>
      <c r="F9" s="3">
        <f>Commercial_calculation!F71</f>
        <v>0</v>
      </c>
      <c r="G9" s="3">
        <f>Commercial_calculation!G71</f>
        <v>0</v>
      </c>
      <c r="H9" s="3">
        <f>Commercial_calculation!H71</f>
        <v>0</v>
      </c>
      <c r="I9" s="3">
        <f>Commercial_calculation!I71</f>
        <v>0</v>
      </c>
      <c r="J9" s="3">
        <f>Commercial_calculation!J71</f>
        <v>0</v>
      </c>
      <c r="K9" s="3">
        <f>Commercial_calculation!K71</f>
        <v>0</v>
      </c>
      <c r="L9" s="3">
        <f>Commercial_calculation!L71</f>
        <v>0</v>
      </c>
      <c r="M9" s="3">
        <f>Commercial_calculation!M71</f>
        <v>0</v>
      </c>
      <c r="N9" s="3">
        <f>Commercial_calculation!N71</f>
        <v>0</v>
      </c>
      <c r="O9" s="3">
        <f>Commercial_calculation!O71</f>
        <v>0</v>
      </c>
      <c r="P9" s="3">
        <f>Commercial_calculation!P71</f>
        <v>0</v>
      </c>
      <c r="Q9" s="3">
        <f>Commercial_calculation!Q71</f>
        <v>0</v>
      </c>
      <c r="R9" s="3">
        <f>Commercial_calculation!R71</f>
        <v>0</v>
      </c>
      <c r="S9" s="3">
        <f>Commercial_calculation!S71</f>
        <v>0</v>
      </c>
      <c r="T9" s="3">
        <f>Commercial_calculation!T71</f>
        <v>0</v>
      </c>
      <c r="U9" s="3">
        <f>Commercial_calculation!U71</f>
        <v>0</v>
      </c>
      <c r="V9" s="3">
        <f>Commercial_calculation!V71</f>
        <v>0</v>
      </c>
      <c r="W9" s="3">
        <f>Commercial_calculation!W71</f>
        <v>0</v>
      </c>
      <c r="X9" s="3">
        <f>Commercial_calculation!X71</f>
        <v>0</v>
      </c>
      <c r="Y9" s="3">
        <f>Commercial_calculation!Y71</f>
        <v>0</v>
      </c>
      <c r="Z9" s="3">
        <f>Commercial_calculation!Z71</f>
        <v>0</v>
      </c>
      <c r="AA9" s="3">
        <f>Commercial_calculation!AA71</f>
        <v>0</v>
      </c>
      <c r="AB9" s="3">
        <f>Commercial_calculation!AB71</f>
        <v>0</v>
      </c>
      <c r="AC9" s="3">
        <f>Commercial_calculation!AC71</f>
        <v>0</v>
      </c>
      <c r="AD9" s="3">
        <f>Commercial_calculation!AD71</f>
        <v>0</v>
      </c>
      <c r="AE9" s="3">
        <f>Commercial_calculation!AE71</f>
        <v>0</v>
      </c>
      <c r="AF9" s="3">
        <f>Commercial_calculation!AF71</f>
        <v>0</v>
      </c>
      <c r="AG9" s="3">
        <f>Commercial_calculation!AG71</f>
        <v>0</v>
      </c>
    </row>
    <row r="10" spans="1:35" x14ac:dyDescent="0.3">
      <c r="A10" s="1" t="s">
        <v>15</v>
      </c>
      <c r="B10" s="3">
        <f>Commercial_calculation!B72</f>
        <v>0</v>
      </c>
      <c r="C10" s="3">
        <f>Commercial_calculation!C72</f>
        <v>0</v>
      </c>
      <c r="D10" s="3">
        <f>Commercial_calculation!D72</f>
        <v>0</v>
      </c>
      <c r="E10" s="3">
        <f>Commercial_calculation!E72</f>
        <v>0</v>
      </c>
      <c r="F10" s="3">
        <f>Commercial_calculation!F72</f>
        <v>0</v>
      </c>
      <c r="G10" s="3">
        <f>Commercial_calculation!G72</f>
        <v>0</v>
      </c>
      <c r="H10" s="3">
        <f>Commercial_calculation!H72</f>
        <v>0</v>
      </c>
      <c r="I10" s="3">
        <f>Commercial_calculation!I72</f>
        <v>0</v>
      </c>
      <c r="J10" s="3">
        <f>Commercial_calculation!J72</f>
        <v>0</v>
      </c>
      <c r="K10" s="3">
        <f>Commercial_calculation!K72</f>
        <v>0</v>
      </c>
      <c r="L10" s="3">
        <f>Commercial_calculation!L72</f>
        <v>0</v>
      </c>
      <c r="M10" s="3">
        <f>Commercial_calculation!M72</f>
        <v>0</v>
      </c>
      <c r="N10" s="3">
        <f>Commercial_calculation!N72</f>
        <v>0</v>
      </c>
      <c r="O10" s="3">
        <f>Commercial_calculation!O72</f>
        <v>0</v>
      </c>
      <c r="P10" s="3">
        <f>Commercial_calculation!P72</f>
        <v>0</v>
      </c>
      <c r="Q10" s="3">
        <f>Commercial_calculation!Q72</f>
        <v>0</v>
      </c>
      <c r="R10" s="3">
        <f>Commercial_calculation!R72</f>
        <v>0</v>
      </c>
      <c r="S10" s="3">
        <f>Commercial_calculation!S72</f>
        <v>0</v>
      </c>
      <c r="T10" s="3">
        <f>Commercial_calculation!T72</f>
        <v>0</v>
      </c>
      <c r="U10" s="3">
        <f>Commercial_calculation!U72</f>
        <v>0</v>
      </c>
      <c r="V10" s="3">
        <f>Commercial_calculation!V72</f>
        <v>0</v>
      </c>
      <c r="W10" s="3">
        <f>Commercial_calculation!W72</f>
        <v>0</v>
      </c>
      <c r="X10" s="3">
        <f>Commercial_calculation!X72</f>
        <v>0</v>
      </c>
      <c r="Y10" s="3">
        <f>Commercial_calculation!Y72</f>
        <v>0</v>
      </c>
      <c r="Z10" s="3">
        <f>Commercial_calculation!Z72</f>
        <v>0</v>
      </c>
      <c r="AA10" s="3">
        <f>Commercial_calculation!AA72</f>
        <v>0</v>
      </c>
      <c r="AB10" s="3">
        <f>Commercial_calculation!AB72</f>
        <v>0</v>
      </c>
      <c r="AC10" s="3">
        <f>Commercial_calculation!AC72</f>
        <v>0</v>
      </c>
      <c r="AD10" s="3">
        <f>Commercial_calculation!AD72</f>
        <v>0</v>
      </c>
      <c r="AE10" s="3">
        <f>Commercial_calculation!AE72</f>
        <v>0</v>
      </c>
      <c r="AF10" s="3">
        <f>Commercial_calculation!AF72</f>
        <v>0</v>
      </c>
      <c r="AG10" s="3">
        <f>Commercial_calculation!AG72</f>
        <v>0</v>
      </c>
    </row>
    <row r="11" spans="1:35" x14ac:dyDescent="0.3">
      <c r="A11" s="1" t="s">
        <v>16</v>
      </c>
      <c r="B11" s="3">
        <f>Commercial_calculation!B73</f>
        <v>0</v>
      </c>
      <c r="C11" s="3">
        <f>Commercial_calculation!C73</f>
        <v>0</v>
      </c>
      <c r="D11" s="3">
        <f>Commercial_calculation!D73</f>
        <v>0</v>
      </c>
      <c r="E11" s="3">
        <f>Commercial_calculation!E73</f>
        <v>0</v>
      </c>
      <c r="F11" s="3">
        <f>Commercial_calculation!F73</f>
        <v>0</v>
      </c>
      <c r="G11" s="3">
        <f>Commercial_calculation!G73</f>
        <v>0</v>
      </c>
      <c r="H11" s="3">
        <f>Commercial_calculation!H73</f>
        <v>0</v>
      </c>
      <c r="I11" s="3">
        <f>Commercial_calculation!I73</f>
        <v>0</v>
      </c>
      <c r="J11" s="3">
        <f>Commercial_calculation!J73</f>
        <v>0</v>
      </c>
      <c r="K11" s="3">
        <f>Commercial_calculation!K73</f>
        <v>0</v>
      </c>
      <c r="L11" s="3">
        <f>Commercial_calculation!L73</f>
        <v>0</v>
      </c>
      <c r="M11" s="3">
        <f>Commercial_calculation!M73</f>
        <v>0</v>
      </c>
      <c r="N11" s="3">
        <f>Commercial_calculation!N73</f>
        <v>0</v>
      </c>
      <c r="O11" s="3">
        <f>Commercial_calculation!O73</f>
        <v>0</v>
      </c>
      <c r="P11" s="3">
        <f>Commercial_calculation!P73</f>
        <v>0</v>
      </c>
      <c r="Q11" s="3">
        <f>Commercial_calculation!Q73</f>
        <v>0</v>
      </c>
      <c r="R11" s="3">
        <f>Commercial_calculation!R73</f>
        <v>0</v>
      </c>
      <c r="S11" s="3">
        <f>Commercial_calculation!S73</f>
        <v>0</v>
      </c>
      <c r="T11" s="3">
        <f>Commercial_calculation!T73</f>
        <v>0</v>
      </c>
      <c r="U11" s="3">
        <f>Commercial_calculation!U73</f>
        <v>0</v>
      </c>
      <c r="V11" s="3">
        <f>Commercial_calculation!V73</f>
        <v>0</v>
      </c>
      <c r="W11" s="3">
        <f>Commercial_calculation!W73</f>
        <v>0</v>
      </c>
      <c r="X11" s="3">
        <f>Commercial_calculation!X73</f>
        <v>0</v>
      </c>
      <c r="Y11" s="3">
        <f>Commercial_calculation!Y73</f>
        <v>0</v>
      </c>
      <c r="Z11" s="3">
        <f>Commercial_calculation!Z73</f>
        <v>0</v>
      </c>
      <c r="AA11" s="3">
        <f>Commercial_calculation!AA73</f>
        <v>0</v>
      </c>
      <c r="AB11" s="3">
        <f>Commercial_calculation!AB73</f>
        <v>0</v>
      </c>
      <c r="AC11" s="3">
        <f>Commercial_calculation!AC73</f>
        <v>0</v>
      </c>
      <c r="AD11" s="3">
        <f>Commercial_calculation!AD73</f>
        <v>0</v>
      </c>
      <c r="AE11" s="3">
        <f>Commercial_calculation!AE73</f>
        <v>0</v>
      </c>
      <c r="AF11" s="3">
        <f>Commercial_calculation!AF73</f>
        <v>0</v>
      </c>
      <c r="AG11" s="3">
        <f>Commercial_calculation!AG73</f>
        <v>0</v>
      </c>
    </row>
  </sheetData>
  <phoneticPr fontId="10" type="noConversion"/>
  <pageMargins left="0.7" right="0.7" top="0.75" bottom="0.75" header="0.3" footer="0.3"/>
  <pageSetup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5169B-F9CD-4E65-A74E-F6E3167B281E}">
  <sheetPr>
    <tabColor theme="3"/>
  </sheetPr>
  <dimension ref="A1:AI11"/>
  <sheetViews>
    <sheetView topLeftCell="A2" workbookViewId="0">
      <selection activeCell="C9" sqref="C9"/>
    </sheetView>
  </sheetViews>
  <sheetFormatPr defaultRowHeight="16.5" x14ac:dyDescent="0.3"/>
  <cols>
    <col min="1" max="1" width="29.875" customWidth="1"/>
    <col min="2" max="33" width="9.875" customWidth="1"/>
  </cols>
  <sheetData>
    <row r="1" spans="1:35" x14ac:dyDescent="0.3">
      <c r="A1" s="1" t="s">
        <v>1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  <c r="AH1" s="1"/>
      <c r="AI1" s="1"/>
    </row>
    <row r="2" spans="1:35" x14ac:dyDescent="0.3">
      <c r="A2" s="1" t="s">
        <v>2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</row>
    <row r="3" spans="1:35" x14ac:dyDescent="0.3">
      <c r="A3" s="1" t="s">
        <v>3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</row>
    <row r="4" spans="1:35" x14ac:dyDescent="0.3">
      <c r="A4" s="1" t="s">
        <v>4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</row>
    <row r="5" spans="1:35" x14ac:dyDescent="0.3">
      <c r="A5" s="1" t="s">
        <v>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</row>
    <row r="6" spans="1:35" x14ac:dyDescent="0.3">
      <c r="A6" s="1" t="s">
        <v>7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</row>
    <row r="7" spans="1:35" x14ac:dyDescent="0.3">
      <c r="A7" s="1" t="s">
        <v>11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</row>
    <row r="8" spans="1:35" x14ac:dyDescent="0.3">
      <c r="A8" s="1" t="s">
        <v>13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5" x14ac:dyDescent="0.3">
      <c r="A9" s="1" t="s">
        <v>14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</row>
    <row r="10" spans="1:35" x14ac:dyDescent="0.3">
      <c r="A10" s="1" t="s">
        <v>15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</row>
    <row r="11" spans="1:35" x14ac:dyDescent="0.3">
      <c r="A11" s="1" t="s">
        <v>16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</row>
  </sheetData>
  <phoneticPr fontId="10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067CE8-66FC-4A82-9FEE-D70C99A00400}"/>
</file>

<file path=customXml/itemProps2.xml><?xml version="1.0" encoding="utf-8"?>
<ds:datastoreItem xmlns:ds="http://schemas.openxmlformats.org/officeDocument/2006/customXml" ds:itemID="{6140F724-F8FB-439D-89B3-32751B1C3108}"/>
</file>

<file path=customXml/itemProps3.xml><?xml version="1.0" encoding="utf-8"?>
<ds:datastoreItem xmlns:ds="http://schemas.openxmlformats.org/officeDocument/2006/customXml" ds:itemID="{BA998932-B428-4066-9723-C265089B8E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26</vt:i4>
      </vt:variant>
      <vt:variant>
        <vt:lpstr>이름 지정된 범위</vt:lpstr>
      </vt:variant>
      <vt:variant>
        <vt:i4>4</vt:i4>
      </vt:variant>
    </vt:vector>
  </HeadingPairs>
  <TitlesOfParts>
    <vt:vector size="30" baseType="lpstr">
      <vt:lpstr>About</vt:lpstr>
      <vt:lpstr>SYCEU</vt:lpstr>
      <vt:lpstr>2020</vt:lpstr>
      <vt:lpstr>2021</vt:lpstr>
      <vt:lpstr>Forecast</vt:lpstr>
      <vt:lpstr>Snapshot2040</vt:lpstr>
      <vt:lpstr>2019-2021</vt:lpstr>
      <vt:lpstr>Commercial_calculation</vt:lpstr>
      <vt:lpstr>Urban_res_calculation</vt:lpstr>
      <vt:lpstr>Rural_res_calculation</vt:lpstr>
      <vt:lpstr>BCEU-urban-residential-heating</vt:lpstr>
      <vt:lpstr>BCEU-urban-residential-cooling</vt:lpstr>
      <vt:lpstr>BCEU-urban-residential-lighting</vt:lpstr>
      <vt:lpstr>BCEU-urban-residential-appl</vt:lpstr>
      <vt:lpstr>BCEU-urban-residential-other</vt:lpstr>
      <vt:lpstr>BCEU-rural-residential-heating</vt:lpstr>
      <vt:lpstr>BCEU-rural-residential-cooling</vt:lpstr>
      <vt:lpstr>BCEU-rural-residential-lighting</vt:lpstr>
      <vt:lpstr>BCEU-rural-residential-appl</vt:lpstr>
      <vt:lpstr>BCEU-rural-residential-other</vt:lpstr>
      <vt:lpstr>BCEU-commercial-heating</vt:lpstr>
      <vt:lpstr>BCEU-commercial-cooling</vt:lpstr>
      <vt:lpstr>BCEU-commercial-lighting</vt:lpstr>
      <vt:lpstr>BCEU-commercial-appl</vt:lpstr>
      <vt:lpstr>BCEU-commercial-other</vt:lpstr>
      <vt:lpstr>BCEU-all-envelope</vt:lpstr>
      <vt:lpstr>Fraction_coal</vt:lpstr>
      <vt:lpstr>Percent_rural</vt:lpstr>
      <vt:lpstr>Percent_urban</vt:lpstr>
      <vt:lpstr>quadrillion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Hyojin</cp:lastModifiedBy>
  <dcterms:created xsi:type="dcterms:W3CDTF">2014-04-18T00:48:59Z</dcterms:created>
  <dcterms:modified xsi:type="dcterms:W3CDTF">2025-01-21T09:24:34Z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