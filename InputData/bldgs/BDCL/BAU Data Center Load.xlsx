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2026\01.EPS\05.EPS고도화\01.EPS 4.0.5 update\v4.0.5\bldgs\BDCL\"/>
    </mc:Choice>
  </mc:AlternateContent>
  <xr:revisionPtr revIDLastSave="0" documentId="13_ncr:1_{98B84D26-9A9B-4F00-8285-CE31D0B10098}" xr6:coauthVersionLast="47" xr6:coauthVersionMax="47" xr10:uidLastSave="{00000000-0000-0000-0000-000000000000}"/>
  <bookViews>
    <workbookView xWindow="19090" yWindow="-2630" windowWidth="25820" windowHeight="15500" xr2:uid="{830B57CD-8285-4D1F-952A-1EF9B1C9271A}"/>
  </bookViews>
  <sheets>
    <sheet name="About" sheetId="2" r:id="rId1"/>
    <sheet name="데이터센터 전력수요_history" sheetId="12" r:id="rId2"/>
    <sheet name="데이터센터 전력수요_제11차 전기본" sheetId="3" r:id="rId3"/>
    <sheet name="데이터센터 전력수요_not use" sheetId="4" r:id="rId4"/>
    <sheet name="Baseline" sheetId="1" r:id="rId5"/>
    <sheet name="Scenarios_issuebrief" sheetId="15" r:id="rId6"/>
    <sheet name="BDCL-low" sheetId="6" r:id="rId7"/>
    <sheet name="BDCL-mid" sheetId="7" r:id="rId8"/>
    <sheet name="BDCL-high" sheetId="8" r:id="rId9"/>
  </sheets>
  <externalReferences>
    <externalReference r:id="rId10"/>
  </externalReferences>
  <definedNames>
    <definedName name="Fraction_coal">[1]About!$C$53</definedName>
    <definedName name="gal_per_barrel">#REF!</definedName>
    <definedName name="Percent_rural">[1]About!$A$75</definedName>
    <definedName name="Percent_urban">[1]About!$A$74</definedName>
    <definedName name="quadrillion">[1]About!$B$77</definedName>
    <definedName name="Table4">#REF!</definedName>
    <definedName name="Table4_1">#REF!</definedName>
    <definedName name="Table4_1_22">#REF!</definedName>
    <definedName name="Table4_22">#REF!</definedName>
    <definedName name="Table4_A">#REF!</definedName>
    <definedName name="Table4_A_22">#REF!</definedName>
    <definedName name="Table5">#REF!</definedName>
    <definedName name="Table5_1">#REF!</definedName>
    <definedName name="Table5_1_22">#REF!</definedName>
    <definedName name="Table5_22">#REF!</definedName>
    <definedName name="Table5_A">#REF!</definedName>
    <definedName name="Table5_A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4" i="15" l="1"/>
  <c r="B53" i="15"/>
  <c r="B52" i="15"/>
  <c r="B51" i="15"/>
  <c r="B50" i="15"/>
  <c r="B49" i="15" a="1"/>
  <c r="B49" i="15" s="1"/>
  <c r="B48" i="15"/>
  <c r="B47" i="15" a="1"/>
  <c r="B47" i="15" s="1"/>
  <c r="B46" i="15" a="1"/>
  <c r="B46" i="15" s="1"/>
  <c r="R40" i="15" l="1"/>
  <c r="Q43" i="15"/>
  <c r="Q42" i="15"/>
  <c r="Q41" i="15"/>
  <c r="P43" i="15"/>
  <c r="P42" i="15"/>
  <c r="P41" i="15"/>
  <c r="O43" i="15"/>
  <c r="O42" i="15"/>
  <c r="O41" i="15"/>
  <c r="N43" i="15"/>
  <c r="N42" i="15"/>
  <c r="N41" i="15"/>
  <c r="M43" i="15"/>
  <c r="M42" i="15"/>
  <c r="M41" i="15"/>
  <c r="E40" i="15"/>
  <c r="B32" i="15"/>
  <c r="J42" i="15" s="1"/>
  <c r="B26" i="15"/>
  <c r="B24" i="15"/>
  <c r="B16" i="15"/>
  <c r="B14" i="15"/>
  <c r="B15" i="15" s="1"/>
  <c r="B6" i="12"/>
  <c r="B12" i="12" s="1"/>
  <c r="D4" i="12" s="1"/>
  <c r="C4" i="12" s="1"/>
  <c r="C13" i="1" s="1"/>
  <c r="C40" i="15" s="1"/>
  <c r="B24" i="1"/>
  <c r="E13" i="1"/>
  <c r="E14" i="1"/>
  <c r="C6" i="1"/>
  <c r="L15" i="1" s="1"/>
  <c r="D6" i="1"/>
  <c r="V15" i="1" s="1"/>
  <c r="E6" i="1"/>
  <c r="AF15" i="1" s="1"/>
  <c r="F6" i="1"/>
  <c r="B6" i="1"/>
  <c r="E15" i="1" s="1"/>
  <c r="D4" i="1"/>
  <c r="I14" i="1" s="1"/>
  <c r="E4" i="1"/>
  <c r="L14" i="1" s="1"/>
  <c r="F4" i="1"/>
  <c r="R14" i="1" s="1"/>
  <c r="G4" i="1"/>
  <c r="T14" i="1" s="1"/>
  <c r="C4" i="1"/>
  <c r="G14" i="1" s="1"/>
  <c r="D3" i="1"/>
  <c r="I13" i="1" s="1"/>
  <c r="I27" i="1" s="1"/>
  <c r="E3" i="1"/>
  <c r="L13" i="1" s="1"/>
  <c r="L40" i="15" s="1"/>
  <c r="D3" i="3"/>
  <c r="C3" i="1" s="1"/>
  <c r="G13" i="1" s="1"/>
  <c r="G40" i="15" s="1"/>
  <c r="E3" i="3"/>
  <c r="F3" i="3"/>
  <c r="G3" i="3"/>
  <c r="F3" i="1" s="1"/>
  <c r="R13" i="1" s="1"/>
  <c r="R27" i="1" s="1"/>
  <c r="H3" i="3"/>
  <c r="G3" i="1" s="1"/>
  <c r="T13" i="1" s="1"/>
  <c r="T28" i="1" s="1"/>
  <c r="H43" i="15" l="1"/>
  <c r="I41" i="15"/>
  <c r="J43" i="15"/>
  <c r="I42" i="15"/>
  <c r="T40" i="15"/>
  <c r="K41" i="15"/>
  <c r="K42" i="15"/>
  <c r="K43" i="15"/>
  <c r="I40" i="15"/>
  <c r="H41" i="15"/>
  <c r="H42" i="15"/>
  <c r="AF40" i="15"/>
  <c r="W40" i="15"/>
  <c r="X40" i="15"/>
  <c r="AB40" i="15"/>
  <c r="Z40" i="15"/>
  <c r="U40" i="15"/>
  <c r="AA40" i="15"/>
  <c r="B21" i="15"/>
  <c r="AE40" i="15"/>
  <c r="V40" i="15"/>
  <c r="AD40" i="15"/>
  <c r="Y40" i="15"/>
  <c r="AC40" i="15"/>
  <c r="I43" i="15"/>
  <c r="J41" i="15"/>
  <c r="L43" i="15"/>
  <c r="L42" i="15"/>
  <c r="L41" i="15"/>
  <c r="G28" i="1"/>
  <c r="C15" i="1"/>
  <c r="C28" i="1"/>
  <c r="C27" i="1"/>
  <c r="C29" i="1"/>
  <c r="D13" i="1"/>
  <c r="D40" i="15" s="1"/>
  <c r="C14" i="1"/>
  <c r="R29" i="1"/>
  <c r="R28" i="1"/>
  <c r="L28" i="1"/>
  <c r="I28" i="1"/>
  <c r="T27" i="1"/>
  <c r="T29" i="1"/>
  <c r="I29" i="1"/>
  <c r="G29" i="1"/>
  <c r="G27" i="1"/>
  <c r="B4" i="12"/>
  <c r="B13" i="1" s="1"/>
  <c r="B40" i="15" s="1"/>
  <c r="E27" i="1"/>
  <c r="E29" i="1"/>
  <c r="E28" i="1"/>
  <c r="L29" i="1"/>
  <c r="L27" i="1"/>
  <c r="K13" i="1"/>
  <c r="K40" i="15" s="1"/>
  <c r="K15" i="1"/>
  <c r="H3" i="1"/>
  <c r="AA15" i="1"/>
  <c r="Q13" i="1"/>
  <c r="Q40" i="15" s="1"/>
  <c r="H14" i="1"/>
  <c r="Q15" i="1"/>
  <c r="AE15" i="1"/>
  <c r="AD15" i="1"/>
  <c r="AC15" i="1"/>
  <c r="AB15" i="1"/>
  <c r="P15" i="1"/>
  <c r="H13" i="1"/>
  <c r="H40" i="15" s="1"/>
  <c r="F13" i="1"/>
  <c r="F40" i="15" s="1"/>
  <c r="S13" i="1"/>
  <c r="S40" i="15" s="1"/>
  <c r="M13" i="1"/>
  <c r="M40" i="15" s="1"/>
  <c r="U15" i="1"/>
  <c r="S14" i="1"/>
  <c r="K14" i="1"/>
  <c r="P14" i="1"/>
  <c r="O14" i="1"/>
  <c r="M14" i="1"/>
  <c r="Q14" i="1"/>
  <c r="N14" i="1"/>
  <c r="R15" i="1"/>
  <c r="S15" i="1"/>
  <c r="H15" i="1"/>
  <c r="F15" i="1"/>
  <c r="I15" i="1"/>
  <c r="J13" i="1"/>
  <c r="J40" i="15" s="1"/>
  <c r="G15" i="1"/>
  <c r="J15" i="1"/>
  <c r="F14" i="1"/>
  <c r="H4" i="1"/>
  <c r="U14" i="1" s="1"/>
  <c r="M15" i="1"/>
  <c r="N15" i="1"/>
  <c r="O15" i="1"/>
  <c r="T15" i="1"/>
  <c r="W15" i="1"/>
  <c r="X15" i="1"/>
  <c r="Y15" i="1"/>
  <c r="Z15" i="1"/>
  <c r="J14" i="1"/>
  <c r="P13" i="1"/>
  <c r="P40" i="15" s="1"/>
  <c r="N13" i="1"/>
  <c r="N40" i="15" s="1"/>
  <c r="O13" i="1"/>
  <c r="O40" i="15" s="1"/>
  <c r="B14" i="1" l="1"/>
  <c r="U13" i="1"/>
  <c r="U29" i="1" s="1"/>
  <c r="B17" i="15"/>
  <c r="B29" i="15"/>
  <c r="W38" i="15" s="1"/>
  <c r="W2" i="8" s="1"/>
  <c r="B28" i="15"/>
  <c r="AC37" i="15" s="1"/>
  <c r="AC2" i="7" s="1"/>
  <c r="B27" i="15"/>
  <c r="U36" i="15" s="1"/>
  <c r="U2" i="6" s="1"/>
  <c r="D14" i="1"/>
  <c r="D29" i="1"/>
  <c r="D27" i="1"/>
  <c r="D15" i="1"/>
  <c r="D28" i="1"/>
  <c r="B15" i="1"/>
  <c r="B27" i="1"/>
  <c r="B28" i="1"/>
  <c r="B29" i="1"/>
  <c r="Q28" i="1"/>
  <c r="Q27" i="1"/>
  <c r="Q29" i="1"/>
  <c r="M28" i="1"/>
  <c r="M27" i="1"/>
  <c r="M29" i="1"/>
  <c r="J27" i="1"/>
  <c r="J29" i="1"/>
  <c r="J28" i="1"/>
  <c r="U28" i="1"/>
  <c r="O28" i="1"/>
  <c r="O27" i="1"/>
  <c r="O29" i="1"/>
  <c r="S28" i="1"/>
  <c r="S27" i="1"/>
  <c r="S29" i="1"/>
  <c r="N28" i="1"/>
  <c r="N27" i="1"/>
  <c r="N29" i="1"/>
  <c r="K27" i="1"/>
  <c r="K29" i="1"/>
  <c r="K28" i="1"/>
  <c r="P28" i="1"/>
  <c r="P27" i="1"/>
  <c r="P29" i="1"/>
  <c r="F27" i="1"/>
  <c r="F29" i="1"/>
  <c r="F28" i="1"/>
  <c r="H27" i="1"/>
  <c r="H29" i="1"/>
  <c r="H28" i="1"/>
  <c r="V14" i="1"/>
  <c r="V13" i="1"/>
  <c r="AA36" i="15" l="1"/>
  <c r="AA2" i="6" s="1"/>
  <c r="AA38" i="15"/>
  <c r="AA2" i="8" s="1"/>
  <c r="AE37" i="15"/>
  <c r="AE2" i="7" s="1"/>
  <c r="Y37" i="15"/>
  <c r="Y2" i="7" s="1"/>
  <c r="U37" i="15"/>
  <c r="U2" i="7" s="1"/>
  <c r="U38" i="15"/>
  <c r="U2" i="8" s="1"/>
  <c r="AA37" i="15"/>
  <c r="AA2" i="7" s="1"/>
  <c r="Z38" i="15"/>
  <c r="Z2" i="8" s="1"/>
  <c r="Y38" i="15"/>
  <c r="Y2" i="8" s="1"/>
  <c r="AE38" i="15"/>
  <c r="AE2" i="8" s="1"/>
  <c r="Z37" i="15"/>
  <c r="Z2" i="7" s="1"/>
  <c r="V38" i="15"/>
  <c r="V2" i="8" s="1"/>
  <c r="AF38" i="15"/>
  <c r="AF2" i="8" s="1"/>
  <c r="AF37" i="15"/>
  <c r="AF2" i="7" s="1"/>
  <c r="AE36" i="15"/>
  <c r="AE2" i="6" s="1"/>
  <c r="Y36" i="15"/>
  <c r="Y2" i="6" s="1"/>
  <c r="U27" i="1"/>
  <c r="Z36" i="15"/>
  <c r="Z2" i="6" s="1"/>
  <c r="AB37" i="15"/>
  <c r="AB2" i="7" s="1"/>
  <c r="AD37" i="15"/>
  <c r="AD2" i="7" s="1"/>
  <c r="AB38" i="15"/>
  <c r="AB2" i="8" s="1"/>
  <c r="W36" i="15"/>
  <c r="W2" i="6" s="1"/>
  <c r="AB36" i="15"/>
  <c r="AB2" i="6" s="1"/>
  <c r="V36" i="15"/>
  <c r="V2" i="6" s="1"/>
  <c r="W37" i="15"/>
  <c r="W2" i="7" s="1"/>
  <c r="J36" i="15"/>
  <c r="J2" i="6" s="1"/>
  <c r="V37" i="15"/>
  <c r="M36" i="15"/>
  <c r="M2" i="6" s="1"/>
  <c r="D36" i="15"/>
  <c r="D2" i="6" s="1"/>
  <c r="O36" i="15"/>
  <c r="O2" i="6" s="1"/>
  <c r="E36" i="15"/>
  <c r="E2" i="6" s="1"/>
  <c r="Q36" i="15"/>
  <c r="Q2" i="6" s="1"/>
  <c r="R36" i="15"/>
  <c r="R2" i="6" s="1"/>
  <c r="P36" i="15"/>
  <c r="P2" i="6" s="1"/>
  <c r="S36" i="15"/>
  <c r="S2" i="6" s="1"/>
  <c r="K36" i="15"/>
  <c r="K2" i="6" s="1"/>
  <c r="I36" i="15"/>
  <c r="I2" i="6" s="1"/>
  <c r="N36" i="15"/>
  <c r="N2" i="6" s="1"/>
  <c r="T36" i="15"/>
  <c r="T2" i="6" s="1"/>
  <c r="G36" i="15"/>
  <c r="G2" i="6" s="1"/>
  <c r="F36" i="15"/>
  <c r="F2" i="6" s="1"/>
  <c r="C36" i="15"/>
  <c r="C2" i="6" s="1"/>
  <c r="B36" i="15"/>
  <c r="H36" i="15"/>
  <c r="H2" i="6" s="1"/>
  <c r="AF36" i="15"/>
  <c r="AF2" i="6" s="1"/>
  <c r="V2" i="7"/>
  <c r="R38" i="15"/>
  <c r="R2" i="8" s="1"/>
  <c r="O38" i="15"/>
  <c r="O2" i="8" s="1"/>
  <c r="C38" i="15"/>
  <c r="C2" i="8" s="1"/>
  <c r="J38" i="15"/>
  <c r="J2" i="8" s="1"/>
  <c r="H38" i="15"/>
  <c r="H2" i="8" s="1"/>
  <c r="K38" i="15"/>
  <c r="K2" i="8" s="1"/>
  <c r="B38" i="15"/>
  <c r="B2" i="8" s="1"/>
  <c r="D38" i="15"/>
  <c r="D2" i="8" s="1"/>
  <c r="M38" i="15"/>
  <c r="M2" i="8" s="1"/>
  <c r="S38" i="15"/>
  <c r="S2" i="8" s="1"/>
  <c r="F38" i="15"/>
  <c r="F2" i="8" s="1"/>
  <c r="Q38" i="15"/>
  <c r="Q2" i="8" s="1"/>
  <c r="G38" i="15"/>
  <c r="G2" i="8" s="1"/>
  <c r="P38" i="15"/>
  <c r="P2" i="8" s="1"/>
  <c r="E38" i="15"/>
  <c r="E2" i="8" s="1"/>
  <c r="T38" i="15"/>
  <c r="T2" i="8" s="1"/>
  <c r="N38" i="15"/>
  <c r="N2" i="8" s="1"/>
  <c r="I38" i="15"/>
  <c r="I2" i="8" s="1"/>
  <c r="X36" i="15"/>
  <c r="X2" i="6" s="1"/>
  <c r="AC38" i="15"/>
  <c r="AC2" i="8" s="1"/>
  <c r="G37" i="15"/>
  <c r="G2" i="7" s="1"/>
  <c r="J37" i="15"/>
  <c r="J2" i="7" s="1"/>
  <c r="Q37" i="15"/>
  <c r="Q2" i="7" s="1"/>
  <c r="E37" i="15"/>
  <c r="E2" i="7" s="1"/>
  <c r="B37" i="15"/>
  <c r="H37" i="15"/>
  <c r="H2" i="7" s="1"/>
  <c r="D37" i="15"/>
  <c r="D2" i="7" s="1"/>
  <c r="K37" i="15"/>
  <c r="K2" i="7" s="1"/>
  <c r="N37" i="15"/>
  <c r="N2" i="7" s="1"/>
  <c r="I37" i="15"/>
  <c r="I2" i="7" s="1"/>
  <c r="M37" i="15"/>
  <c r="M2" i="7" s="1"/>
  <c r="C37" i="15"/>
  <c r="C2" i="7" s="1"/>
  <c r="P37" i="15"/>
  <c r="P2" i="7" s="1"/>
  <c r="R37" i="15"/>
  <c r="R2" i="7" s="1"/>
  <c r="O37" i="15"/>
  <c r="O2" i="7" s="1"/>
  <c r="F37" i="15"/>
  <c r="F2" i="7" s="1"/>
  <c r="S37" i="15"/>
  <c r="S2" i="7" s="1"/>
  <c r="T37" i="15"/>
  <c r="T2" i="7" s="1"/>
  <c r="AD38" i="15"/>
  <c r="AD2" i="8" s="1"/>
  <c r="X38" i="15"/>
  <c r="X2" i="8" s="1"/>
  <c r="L36" i="15"/>
  <c r="L2" i="6" s="1"/>
  <c r="AC36" i="15"/>
  <c r="AC2" i="6" s="1"/>
  <c r="X37" i="15"/>
  <c r="X2" i="7" s="1"/>
  <c r="AD36" i="15"/>
  <c r="AD2" i="6" s="1"/>
  <c r="L38" i="15"/>
  <c r="L2" i="8" s="1"/>
  <c r="L37" i="15"/>
  <c r="L2" i="7" s="1"/>
  <c r="V27" i="1"/>
  <c r="V29" i="1"/>
  <c r="V28" i="1"/>
  <c r="W14" i="1"/>
  <c r="W13" i="1"/>
  <c r="B2" i="6" l="1"/>
  <c r="B2" i="7"/>
  <c r="W27" i="1"/>
  <c r="W29" i="1"/>
  <c r="W28" i="1"/>
  <c r="X13" i="1"/>
  <c r="X14" i="1"/>
  <c r="X27" i="1" l="1"/>
  <c r="X29" i="1"/>
  <c r="X28" i="1"/>
  <c r="Y14" i="1"/>
  <c r="Y13" i="1"/>
  <c r="Y27" i="1" l="1"/>
  <c r="Y29" i="1"/>
  <c r="Y28" i="1"/>
  <c r="Z14" i="1"/>
  <c r="Z13" i="1"/>
  <c r="Z27" i="1" l="1"/>
  <c r="Z29" i="1"/>
  <c r="Z28" i="1"/>
  <c r="AA13" i="1"/>
  <c r="AA14" i="1"/>
  <c r="AA27" i="1" l="1"/>
  <c r="AA29" i="1"/>
  <c r="AA28" i="1"/>
  <c r="AB14" i="1"/>
  <c r="AB13" i="1"/>
  <c r="AB27" i="1" l="1"/>
  <c r="AB29" i="1"/>
  <c r="AB28" i="1"/>
  <c r="AC14" i="1"/>
  <c r="AC13" i="1"/>
  <c r="AC27" i="1" l="1"/>
  <c r="AC29" i="1"/>
  <c r="AC28" i="1"/>
  <c r="AD14" i="1"/>
  <c r="AD13" i="1"/>
  <c r="AD28" i="1" l="1"/>
  <c r="AD27" i="1"/>
  <c r="AD29" i="1"/>
  <c r="AE13" i="1"/>
  <c r="AE14" i="1"/>
  <c r="AE28" i="1" l="1"/>
  <c r="AE27" i="1"/>
  <c r="AE29" i="1"/>
  <c r="AF14" i="1"/>
  <c r="AF13" i="1"/>
  <c r="AF28" i="1" l="1"/>
  <c r="AF27" i="1"/>
  <c r="AF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<sst xmlns="http://schemas.openxmlformats.org/spreadsheetml/2006/main" count="261" uniqueCount="227">
  <si>
    <t>Sources:</t>
  </si>
  <si>
    <t>BDCL BAU Data Center Load</t>
  </si>
  <si>
    <t>* (참고) '23년 데이터센터 전력수요 실적 : 전력소비량 기준 5.0TWh, 최대전력 기준 0.6GW</t>
  </si>
  <si>
    <t>전체</t>
  </si>
  <si>
    <t>추세 대비 증분 ('추가수요')</t>
  </si>
  <si>
    <t>하계 최대전력
(GW)</t>
  </si>
  <si>
    <t>중성장 시나리오</t>
    <phoneticPr fontId="6" type="noConversion"/>
  </si>
  <si>
    <t>저성장 시나리오</t>
    <phoneticPr fontId="6" type="noConversion"/>
  </si>
  <si>
    <t>모형수요(추세수요)</t>
    <phoneticPr fontId="6" type="noConversion"/>
  </si>
  <si>
    <t>38년</t>
  </si>
  <si>
    <t>36년</t>
  </si>
  <si>
    <t>30년</t>
  </si>
  <si>
    <t>27년</t>
  </si>
  <si>
    <t>25년</t>
  </si>
  <si>
    <t>구분</t>
  </si>
  <si>
    <t>&lt; 데이터센터 전력수요 영향 전망 결과 &gt;</t>
  </si>
  <si>
    <t>대형</t>
  </si>
  <si>
    <t>중형</t>
  </si>
  <si>
    <t>소형</t>
  </si>
  <si>
    <t>총</t>
  </si>
  <si>
    <t>전망 기간 전체
(2023~2060)</t>
  </si>
  <si>
    <t>2050~2060</t>
  </si>
  <si>
    <t>2040~2050</t>
  </si>
  <si>
    <t>2030~2040</t>
  </si>
  <si>
    <t>2023~2030</t>
  </si>
  <si>
    <t>기간별
연평균 증가율(%)</t>
  </si>
  <si>
    <t>전력 수요(TWh)</t>
  </si>
  <si>
    <t>〈표 3-9〉　고성장(AI 가속) 시나리오 전망</t>
    <phoneticPr fontId="6" type="noConversion"/>
  </si>
  <si>
    <t>연평균 증가율(%)</t>
  </si>
  <si>
    <t>〈표 3-8〉　기준 전망 결과</t>
  </si>
  <si>
    <t>low</t>
  </si>
  <si>
    <t>mid</t>
  </si>
  <si>
    <t>high</t>
  </si>
  <si>
    <t>Year</t>
  </si>
  <si>
    <t>electricity (MWh)</t>
  </si>
  <si>
    <t>① Raw Data — Electricity Demand Forecasts by Scenario</t>
  </si>
  <si>
    <t>Electricity Demand (TWh)</t>
  </si>
  <si>
    <t>② Linear Interpolation — Annual Electricity Demand Estimates by Scenario</t>
  </si>
  <si>
    <t>• Interim years between anchor points are estimated via linear interpolation (FORECAST.LINEAR) for Low, Mid, and High scenarios</t>
  </si>
  <si>
    <t>• Low &amp; Mid scenarios: No forecasts available beyond 2038 → Post-2038 values extrapolated to 2050 using the CAGR observed between 2036 and 2038</t>
  </si>
  <si>
    <t>③ End-Use Energy Allocation — Data Center Electricity Demand by Category (for BCEU)</t>
  </si>
  <si>
    <t>• Based on Korea Energy Economics Institute (KEEI) report: Cooling 18.5%, Server / Computing 61.0%, Other 20.5%</t>
  </si>
  <si>
    <t>Data Center End-Use</t>
  </si>
  <si>
    <t>Cooling</t>
  </si>
  <si>
    <t>Computing</t>
  </si>
  <si>
    <t>Other</t>
  </si>
  <si>
    <t>Share (%)</t>
  </si>
  <si>
    <t>Post-2038 CAGR</t>
  </si>
  <si>
    <t>23</t>
  </si>
  <si>
    <t>25</t>
  </si>
  <si>
    <t>27</t>
  </si>
  <si>
    <t>30</t>
  </si>
  <si>
    <t>36</t>
  </si>
  <si>
    <t>38</t>
  </si>
  <si>
    <t xml:space="preserve">Notes </t>
    <phoneticPr fontId="2" type="noConversion"/>
  </si>
  <si>
    <t>Ministry of Trade, Industry and Energy (MOTIE)</t>
  </si>
  <si>
    <t>Table 3-9. High-Growth (AI Acceleration) Scenario Projections</t>
  </si>
  <si>
    <t>https://www.data.go.kr/data/15127315/fileData.do#tab-layer-openapi</t>
  </si>
  <si>
    <t>전력소비량
(TWh)</t>
    <phoneticPr fontId="2" type="noConversion"/>
  </si>
  <si>
    <t>데이터센터 이용률 역산</t>
  </si>
  <si>
    <t>2022년도 전력소비량 추정</t>
  </si>
  <si>
    <t>항목</t>
  </si>
  <si>
    <t>데이터센터 수 (개)</t>
  </si>
  <si>
    <t>전력수요 (MW)</t>
  </si>
  <si>
    <t>전력소비량 (TWh)</t>
  </si>
  <si>
    <t>이용률 (2023년 실측 기준)</t>
  </si>
  <si>
    <t>← 2023년 실측으로 역산</t>
  </si>
  <si>
    <t>추정치 (TWh)</t>
  </si>
  <si>
    <t>= 전력수요(MW) xd7 8,760h xd7 이용률 xf7 10⁶</t>
  </si>
  <si>
    <t>참고자료</t>
  </si>
  <si>
    <t>[1] 산업통상자원부 보도자료 — 2022년도 데이터센터 현황</t>
  </si>
  <si>
    <t>2022년 9월 기준 147개 데이터센터의 전력수요는 1,762 MW</t>
  </si>
  <si>
    <t>[2] 공공데이터 — 2023년도 데이터센터 현황</t>
  </si>
  <si>
    <t>한국전력공사_데이터센터 전기공급 현황 (2023년 기준 150개, 1,986 MW)</t>
  </si>
  <si>
    <t>[3] 국회입법조사처 (2024.5.21) — AI혁명에 부응한 선제적 전력공급 전력량 확충 긴요</t>
  </si>
  <si>
    <t>Status of Electricity Supply to Data Centers</t>
  </si>
  <si>
    <t>Korea Open Government Data Portal</t>
  </si>
  <si>
    <t>Korea Electric Power Corporation (KEPCO)_Status of Electricity Supply to Data Centers</t>
  </si>
  <si>
    <t xml:space="preserve">     'Low &amp; Mid scenarios: No forecasts available beyond 2038'</t>
  </si>
  <si>
    <t>Low &amp; Mid &amp; Hight Scenarios</t>
    <phoneticPr fontId="6" type="noConversion"/>
  </si>
  <si>
    <t>NEXT Group Issue Brief</t>
    <phoneticPr fontId="2" type="noConversion"/>
  </si>
  <si>
    <t>12 page) table 4.2030-2035 Korea AIDC demand scenarios</t>
    <phoneticPr fontId="2" type="noConversion"/>
  </si>
  <si>
    <t>Baseline Scenario</t>
    <phoneticPr fontId="6" type="noConversion"/>
  </si>
  <si>
    <t>low -&gt; Baseline</t>
    <phoneticPr fontId="2" type="noConversion"/>
  </si>
  <si>
    <t>11th Basic Plan for Electricity Supply and Demand</t>
  </si>
  <si>
    <t>Plan-realization = anchor × normalized GW trajectory. Anchor = 12th Basic Plan 2040 total (100.6 TWh) − baseline (14.50 TWh) = 86.10 TWh; the trajectory shape s(y) comes from NEXT Group Issue Brief Table 4, normalized to 2035 = 1.</t>
  </si>
  <si>
    <t>Series scaling (from Issue Brief 2030/2035 GW figures): low ×0.20, mid ×1 (Korea–US strategic cooperation, treated as the BAU/mid case), high ×1.60.</t>
  </si>
  <si>
    <t>Ramp shape: 0 through 2025; 2026–2030 follows a power curve (exponent k=2.538, calibrated to the megaproject roadmap's 2029/2030 waypoints); 2031–2035 linear to the 2035 anchor; 2036–2050 frozen (no announced projects beyond 2035).</t>
  </si>
  <si>
    <t xml:space="preserve">Total demand = baseline trend + plan-realization component. </t>
    <phoneticPr fontId="2" type="noConversion"/>
  </si>
  <si>
    <t>Baseline trend follows the 11th Basic Plan's low-growth (model-demand) series (2020–2038 original values, frozen thereafter rather than extrapolated with an unsupported 8% CAGR).</t>
  </si>
  <si>
    <t xml:space="preserve">Open items: unconfirmed whether the 12th Plan's Aug. re-forecast revised the baseline; whether Issue Brief Table 4 capacity is cumulative or operating; whether the 11th Plan low scenario is truly unadjusted model demand. </t>
    <phoneticPr fontId="2" type="noConversion"/>
  </si>
  <si>
    <t>Full derivation on the Scenarios_issuebrief sheet.</t>
  </si>
  <si>
    <t>Data Center Demand v2 — 11th Basic Plan Mid-Growth (Baseline) + NEXT Group Issue Brief (Plan-Realisation)</t>
  </si>
  <si>
    <t>Created 2026-09-01 · This sheet feeds BDCL-low / -mid / -high · ★No GW→TWh conversion — only dimensionless ratios (shape, scenario spread) are taken from the brief</t>
  </si>
  <si>
    <t>[① Issue Brief Table 4 — Domestic AI Data Center Demand (GW, IT Load)]</t>
  </si>
  <si>
    <t>Confirmed-Demand-Centred · 2030 (GW)</t>
  </si>
  <si>
    <t>Confirmed-Demand-Centred · 2035 (GW)</t>
  </si>
  <si>
    <t>Korea-US AI Strategic Cooperation · 2030 (GW)</t>
  </si>
  <si>
    <t>Korea-US AI Strategic Cooperation · 2035 (GW)</t>
  </si>
  <si>
    <t>Plan-Realisation · 2030 (GW)</t>
  </si>
  <si>
    <t>Plan-Realisation · 2035 (GW)</t>
  </si>
  <si>
    <t>Plan-Realisation · 2029 Waypoint (GW)</t>
  </si>
  <si>
    <t>[② Baseline Trend — 11th Basic Plan Low-Growth (Model Demand). Original through 2038, frozen thereafter]</t>
  </si>
  <si>
    <t>Baseline 2038 (TWh)  ← End year of the 11th Plan period</t>
  </si>
  <si>
    <t>Baseline 2039–2050 (Frozen)</t>
  </si>
  <si>
    <t>(Reference) Baseline CAGR 2023–2038</t>
  </si>
  <si>
    <t>(Reference, unused) EI's Post-2038 CAGR</t>
  </si>
  <si>
    <t>[③ TWh Level of the Plan-Realisation Component — Gap between the 12th Plan's August Re-forecast and the Baseline]</t>
  </si>
  <si>
    <t>12th Plan Total Data Center Demand 2040 (TWh)</t>
  </si>
  <si>
    <t>★ Plan-Realisation Component 2040 (TWh)</t>
  </si>
  <si>
    <t>[④ Scenario Spread — Brief's GW Ratios. Dimensionless, so valid regardless of the GW definition]</t>
  </si>
  <si>
    <t>Low multiplier = Confirmed Demand 2035 ÷ Korea-US Cooperation 2035</t>
  </si>
  <si>
    <t>Mid multiplier (base)</t>
  </si>
  <si>
    <t>High multiplier = Plan-Realisation 2035 ÷ Korea-US Cooperation 2035</t>
  </si>
  <si>
    <t>Plan-Realisation Anchor, Low (TWh)</t>
  </si>
  <si>
    <t>Plan-Realisation Anchor, Mid (TWh)</t>
  </si>
  <si>
    <t>Plan-Realisation Anchor, High (TWh)</t>
  </si>
  <si>
    <t>[⑤ Ramp Shape — Brief's GW Trajectory Normalised to 2035 = 1]</t>
  </si>
  <si>
    <t>Entry Shape Exponent k (2026–2030)</t>
  </si>
  <si>
    <t>[⑥ Annual Results (TWh) — Rows 36, 37, 38 feed the BDCL csv]</t>
  </si>
  <si>
    <t>Low  = Baseline + Confirmed-Demand-Centred</t>
  </si>
  <si>
    <t>Mid  = Baseline + Korea-US AI Strategic Cooperation   ★Model in use (DCLGA=0)</t>
  </si>
  <si>
    <t>High = Baseline + Plan-Realisation</t>
  </si>
  <si>
    <t>Baseline Trend (11th Plan Low-Growth · Frozen after 2038)</t>
  </si>
  <si>
    <t>Shape s(y) Low — Reference</t>
  </si>
  <si>
    <t>Shape s(y) Mid — Reference</t>
  </si>
  <si>
    <t>Shape s(y) High — Reference</t>
  </si>
  <si>
    <t>[Validation Checks]</t>
  </si>
  <si>
    <t>Monotonicity: Low ≤ Mid ≤ High (entire range)</t>
  </si>
  <si>
    <t>Baseline 2020–2038 matches original Scenarios row 13</t>
  </si>
  <si>
    <t>Baseline 2039–2050 frozen (= 2038 value)</t>
  </si>
  <si>
    <t>2020–2025 = Baseline unchanged (plan component = 0)</t>
  </si>
  <si>
    <t>★ Mid 2040 = 12th Plan total 100.60 (keeps the 847.3 reconciliation)</t>
  </si>
  <si>
    <t>s(2025)=0 · s(2035)=1 (all 3 series)</t>
  </si>
  <si>
    <t>Entry shape reproduces the published waypoint (High s2029/s2030 = 8.4/14.8)</t>
  </si>
  <si>
    <t>Plan-realisation component frozen after 2036</t>
  </si>
  <si>
    <t>Positive across the entire range</t>
  </si>
  <si>
    <t>Assumes realisation only of signed anchor-customer contracts, the national AI computing centre, and in-group compute</t>
  </si>
  <si>
    <t>0.2 GW of additional completions after 2030</t>
  </si>
  <si>
    <t>Confirmed demand 2.3 + one UAE-style ~5 GW cooperation deal. Rated 'fairly optimistic' by the brief</t>
  </si>
  <si>
    <t>Confirmed demand 2.5 + cumulative cooperation of 10 GW</t>
  </si>
  <si>
    <t>Mega-project roadmap ≥14.37 GW + 428 MW from separate companies</t>
  </si>
  <si>
    <t>Mega-project 18.4 GW (incl. SK's additional capacity) + 1.2 GW from separate companies</t>
  </si>
  <si>
    <t>Mega-project roadmap: '8.4 GW by 2029' — the only published interim point; used solely to back-derive the shape</t>
  </si>
  <si>
    <t>Scenarios sheet row 13 = 11th Basic Plan for Electricity Supply and Demand, low-growth = model (trend) demand. The original has only six anchor points — 2023, 2025, 2027, 2030, 2036, 2038 (Scenarios!row 11: 'Low &amp; Mid scenarios: No forecasts available beyond 2038')</t>
  </si>
  <si>
    <t>★Since the 11th Plan period ends in 2038, no extrapolation is made beyond it — the 2038 value is held constant</t>
  </si>
  <si>
    <t>★The original sheet extrapolated 2039–2050 at this fixed growth rate (of the form =T13*(1+H3)). This is mechanical padding, not an 11th Plan forecast, so it is not used</t>
  </si>
  <si>
    <t>2026-08-20 Steering Committee re-forecast. Includes the mega-project AIDC</t>
  </si>
  <si>
    <t>= 12th Plan total − Baseline (2040, frozen value). Treated as the increment the August re-forecast layered on top of the baseline. ★Risk: if the re-forecast also revised the baseline rather than just adding the mega-project, this gap is not a pure plan-realisation figure</t>
  </si>
  <si>
    <t>Based on the brief's terminal year (2035). On a 2030 basis it would be 0.315</t>
  </si>
  <si>
    <t>Pairs the Korea-US Cooperation series with the 12th Plan re-forecast</t>
  </si>
  <si>
    <t>s(y) ∝ ((y−2025)/5)^k. Back-solved so the curve passes through the published waypoint 8.4/14.8 = 0.568 → k≈2.54. A linear k=1 would imply 1.5 GW already operating in 2026, inconsistent with a 3–5 year construction-to-operation lead time</t>
  </si>
  <si>
    <t>[Rationale]</t>
  </si>
  <si>
    <t>0. Structure</t>
  </si>
  <si>
    <t xml:space="preserve">   Total(y) = Baseline Trend(y) + Plan-Realisation(y)</t>
  </si>
  <si>
    <t xml:space="preserve">     Baseline trend = 11th Basic Plan low-growth (model demand), referenced from Scenarios!row 13.</t>
  </si>
  <si>
    <t xml:space="preserve">                   2020–2038 is the original series; 2039–2050 is frozen at the 2038 value.</t>
  </si>
  <si>
    <t xml:space="preserve">     Plan-realisation = Anchor × s(y).  Anchor = 12th Plan total 100.6 − Baseline 14.50 = 86.10 TWh</t>
  </si>
  <si>
    <t xml:space="preserve">                   s(y) = Issue Brief Table 4's GW trajectory, normalised to 2035 = 1.</t>
  </si>
  <si>
    <t xml:space="preserve">   The dividing line is not 'is it AI' but 'is it an announced plan' —</t>
  </si>
  <si>
    <t xml:space="preserve">   Organic growth from unannounced, small-scale AI data centres sits inside the baseline trend.</t>
  </si>
  <si>
    <t>1. Why the baseline is set to the 11th Plan's low-growth series</t>
  </si>
  <si>
    <t xml:space="preserve">   · The 11th Plan's low series corresponds to model (trend) demand — a trend line with no applied/planned capacity layered on.</t>
  </si>
  <si>
    <t xml:space="preserve">     Mid/high already embed growth expectations, risking double-counting with the brief's plan-realisation component.</t>
  </si>
  <si>
    <t xml:space="preserve">   · It is the official government forecast predating the mega-project announcement (2026-06), so it does not overlap in time with the brief.</t>
  </si>
  <si>
    <t xml:space="preserve">   · Actual year-by-year values exist in the source, so no CAGR interpolation assumption is needed.</t>
  </si>
  <si>
    <t>1-1. ★ Why cut off and freeze at 2038</t>
  </si>
  <si>
    <t xml:space="preserve">   The Scenarios sheet, row 11, states it directly —</t>
  </si>
  <si>
    <t xml:space="preserve">   The original anchors (rows 2–4) are only six points — 2023, 2025, 2027, 2030, 2036, 2038 — and</t>
  </si>
  <si>
    <t xml:space="preserve">   low = 5.0 / 5.5 / 6.4 / 8.0 / 12.5 / 14.5 TWh. This is because the 11th Basic Plan for Electricity Supply and Demand's</t>
  </si>
  <si>
    <t xml:space="preserve">   planning horizon ends in 2038.</t>
  </si>
  <si>
    <t xml:space="preserve">   2039–2050 was filled in by EI using a fixed 'Post-2038 CAGR' of 8% (=T13*(1+H3)), and</t>
  </si>
  <si>
    <t xml:space="preserve">   is not an 11th Plan forecast in its own right — the same as how the 12th Plan's April working-draft xlsx fills 2041–2050</t>
  </si>
  <si>
    <t xml:space="preserve">   mechanically at +1.242%. For that reason it is not used; the 2038 value is held instead.</t>
  </si>
  <si>
    <t xml:space="preserve">   → As a result, the total reaches 100.60 in 2038 and is flat thereafter.</t>
  </si>
  <si>
    <t xml:space="preserve">     The plan-realisation component stops at 2035 and the baseline stops at 2038 — each at its own source's horizon.</t>
  </si>
  <si>
    <t>1-2. Baseline candidates considered but not adopted (2040, TWh)</t>
  </si>
  <si>
    <t xml:space="preserve">       11th Plan mid-growth   34.09  — shrinks the plan component to 66.51, narrowing the band. Too high for a pure trend</t>
  </si>
  <si>
    <t xml:space="preserve">       12th Plan April draft    26.50  — timing is right (just before the mega-project) but it is only a single 2040 point,</t>
  </si>
  <si>
    <t xml:space="preserve">                             and secondary data relayed via internal tool logs. Would still require assuming an annual shape</t>
  </si>
  <si>
    <t xml:space="preserve">       KEEI high-growth   59.80  — already embeds AI growth, double-counting with the brief</t>
  </si>
  <si>
    <t xml:space="preserve">   ※ Discarded value 15.70 — an earlier draft labelled this '12th Plan model (trend) demand' (=100.6−84.9), but</t>
  </si>
  <si>
    <t xml:space="preserve">     the source of 84.9 could not be found in the internal tool logs, and it was even lower than the 11th Plan's low-growth figure.</t>
  </si>
  <si>
    <t>2. ★★ No GW → TWh conversion is performed</t>
  </si>
  <si>
    <t xml:space="preserve">   The brief provides only capacity (GW, IT load) and does not disclose PUE or utilisation rate.</t>
  </si>
  <si>
    <t xml:space="preserve">   Conversion is not actually needed to build the trajectory, however —</t>
  </si>
  <si>
    <t xml:space="preserve">     · Shape (when, how fast)   → GW(y)/GW(2035). Dimensionless</t>
  </si>
  <si>
    <t xml:space="preserve">     · Scenario spread (low/high multipliers) → ratio of GW to GW. Dimensionless</t>
  </si>
  <si>
    <t xml:space="preserve">     · Level (absolute TWh)             → the gap between the 12th Plan's 100.6 and the baseline's 14.50 = 86.10</t>
  </si>
  <si>
    <t xml:space="preserve">   The ratios hold regardless of the brief's GW definition (IT load, contracted capacity, or peak demand).</t>
  </si>
  <si>
    <t xml:space="preserve">   The only assumption needed is that all three scenarios share the same definition, since they come from the same table and column.</t>
  </si>
  <si>
    <t>3. Series assignment — one source per series</t>
  </si>
  <si>
    <t xml:space="preserve">   Low  Confirmed-Demand-Centred   2030  2.3 GW · 2035  2.5 GW   → multiplier 0.20</t>
  </si>
  <si>
    <t xml:space="preserve">   Mid  Korea-US Strategic Cooperation   2030  7.3 GW · 2035 12.5 GW   → multiplier 1 (base)  ★DCLGA=0</t>
  </si>
  <si>
    <t xml:space="preserve">   High Plan-Realisation       2030 14.8 GW · 2035 20.0 GW   → multiplier 1.60</t>
  </si>
  <si>
    <t xml:space="preserve">   ★ The brief rates Korea-US cooperation as 'fairly optimistic.' The rationale for treating it as BAU (mid) is that</t>
  </si>
  <si>
    <t xml:space="preserve">     this series is comparable in scale to the 12th Plan re-forecast (12.5 GW ↔ 10.8 GW reflected in the 12th Plan).</t>
  </si>
  <si>
    <t xml:space="preserve">     The composition differs, though — Korea-US cooperation is UAE-style foreign investment attraction, while the 12th Plan's phase 1 is domestic corporate investment plans.</t>
  </si>
  <si>
    <t xml:space="preserve">   ★ The multiplier reference year is the brief's terminal year, 2035. On a 2030 basis, low would be 0.315 and high 2.027.</t>
  </si>
  <si>
    <t>4. Ramp shape (★assumption — the only assumption remaining in this sheet)</t>
  </si>
  <si>
    <t xml:space="preserve">   2020–2025  Plan-realisation = 0 → Total = Baseline (11th Plan mid-growth) unchanged. Pre-construction/pre-operation</t>
  </si>
  <si>
    <t xml:space="preserve">   2026–2030  s(y) = (GW2030/GW2035) × ((y−2025)/5)^k,  k = 2.538</t>
  </si>
  <si>
    <t xml:space="preserve">              k is back-solved from the only published interim waypoint — the mega-project roadmap's</t>
  </si>
  <si>
    <t xml:space="preserve">              '8.4 GW by 2029 / ≥14.37 GW by 2030' (8.4/14.8 = 0.568)</t>
  </si>
  <si>
    <t xml:space="preserve">              is solved so the curve passes through it, i.e. (4/5)^k = 0.568. This produces a back-loaded shape.</t>
  </si>
  <si>
    <t xml:space="preserve">              The same k is used across all three series — shape comes from one source, level is set by the anchor.</t>
  </si>
  <si>
    <t xml:space="preserve">   2031–2035  Linear between the 2030 and 2035 anchors (no published waypoint exists in this range)</t>
  </si>
  <si>
    <t xml:space="preserve">   2036–2050  ★Plan-realisation frozen. The list of announced projects covered by the brief ends in 2035,</t>
  </si>
  <si>
    <t xml:space="preserve">              so there is nothing further to layer on beyond that.</t>
  </si>
  <si>
    <t xml:space="preserve">              The baseline trend grows per the original 11th Plan through 2038 and is then frozen (see Section 1-1).</t>
  </si>
  <si>
    <t>5. Difference from v1 (12th Plan anchor version) — same 2040 level, different arrival timing</t>
  </si>
  <si>
    <t xml:space="preserve">   Mid 2040 = 100.60, identical to v1 → keeps the 847.3 total reconciliation and the semiconductor figure of 78.51 unchanged.</t>
  </si>
  <si>
    <t xml:space="preserve">   What changes is the interim path. Since the brief's roadmap front-loads before 2030, v2 runs well ahead.</t>
  </si>
  <si>
    <t xml:space="preserve">   See rows 36–38 for the actual values.</t>
  </si>
  <si>
    <t>6. Changes from the original</t>
  </si>
  <si>
    <t xml:space="preserve">   One new sheet + re-linking of BDCL-low/mid/high row 2 + added sources on the About sheet.</t>
  </si>
  <si>
    <t xml:space="preserve">   ★ To revert to v1, change the BDCL-low/mid/high row 2 references</t>
  </si>
  <si>
    <t xml:space="preserve">     to 'Scenarios_12차_260831'!&lt;column&gt;26/27/28.</t>
  </si>
  <si>
    <t>7. Open items</t>
  </si>
  <si>
    <t xml:space="preserve">   · Unconfirmed whether the 12th Plan's August re-forecast also revised the baseline → if so, 66.51 is not a pure plan-realisation figure</t>
  </si>
  <si>
    <t xml:space="preserve">   · Unconfirmed whether the brief's Table 4 represents 'cumulative completed capacity' or 'operating capacity'</t>
  </si>
  <si>
    <t xml:space="preserve">   · Whether the 11th Plan's low-growth series is truly 'model demand' needs to be re-verified against the original 11th Plan text</t>
  </si>
  <si>
    <t xml:space="preserve">   · The 2039–2050 freeze is a stand-in for 'no data available.' Replace it once the finalised 12th Plan provides post-2041 figures</t>
  </si>
  <si>
    <t xml:space="preserve">   · To raise the baseline, change B14's reference row to Scenarios!row 14 (mid-growth)</t>
  </si>
  <si>
    <t xml:space="preserve">   · The original 12th Plan PDF has not been obtained — 100.6 comes via secondary sources</t>
  </si>
  <si>
    <t xml:space="preserve">   'Scenarios_12차_260831,' 'Scenarios,' and all '데이터센터 전력수요_*' sheets are unchanged.</t>
  </si>
  <si>
    <t>Between Ambition and Reality: Reassessing AIDC Demand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</si>
</sst>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.0"/>
    <numFmt numFmtId="177" formatCode="0.0_ "/>
    <numFmt numFmtId="178" formatCode="0.0_);[Red]\(0.0\)"/>
    <numFmt numFmtId="179" formatCode="_-* #,##0.0_-;\-* #,##0.0_-;_-* &quot;-&quot;_-;_-@_-"/>
    <numFmt numFmtId="180" formatCode="0.0%"/>
    <numFmt numFmtId="181" formatCode="0.0000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i/>
      <sz val="9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1"/>
      <color rgb="FF1F3864"/>
      <name val="맑은 고딕"/>
      <family val="2"/>
      <charset val="129"/>
      <scheme val="minor"/>
    </font>
    <font>
      <i/>
      <sz val="10"/>
      <color rgb="FF40404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sz val="11"/>
      <color rgb="FF595959"/>
      <name val="맑은 고딕"/>
      <family val="2"/>
      <charset val="129"/>
      <scheme val="minor"/>
    </font>
    <font>
      <sz val="11"/>
      <color rgb="FF0563C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1" tint="0.499984740745262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F4F8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EEF2F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</cellStyleXfs>
  <cellXfs count="101">
    <xf numFmtId="0" fontId="0" fillId="0" borderId="0" xfId="0">
      <alignment vertical="center"/>
    </xf>
    <xf numFmtId="0" fontId="3" fillId="0" borderId="0" xfId="2"/>
    <xf numFmtId="0" fontId="4" fillId="0" borderId="0" xfId="2" applyFont="1"/>
    <xf numFmtId="0" fontId="5" fillId="0" borderId="0" xfId="2" applyFont="1"/>
    <xf numFmtId="0" fontId="3" fillId="0" borderId="0" xfId="2" applyAlignment="1">
      <alignment horizontal="left"/>
    </xf>
    <xf numFmtId="0" fontId="5" fillId="2" borderId="0" xfId="2" applyFont="1" applyFill="1"/>
    <xf numFmtId="176" fontId="3" fillId="3" borderId="1" xfId="2" applyNumberFormat="1" applyFill="1" applyBorder="1" applyAlignment="1">
      <alignment horizontal="center" vertical="center"/>
    </xf>
    <xf numFmtId="176" fontId="3" fillId="3" borderId="2" xfId="2" applyNumberFormat="1" applyFill="1" applyBorder="1" applyAlignment="1">
      <alignment horizontal="center" vertical="center"/>
    </xf>
    <xf numFmtId="0" fontId="3" fillId="3" borderId="2" xfId="2" applyFill="1" applyBorder="1" applyAlignment="1">
      <alignment horizontal="center" vertical="center"/>
    </xf>
    <xf numFmtId="176" fontId="3" fillId="5" borderId="4" xfId="2" applyNumberFormat="1" applyFill="1" applyBorder="1" applyAlignment="1">
      <alignment horizontal="center" vertical="center"/>
    </xf>
    <xf numFmtId="176" fontId="3" fillId="5" borderId="5" xfId="2" applyNumberFormat="1" applyFill="1" applyBorder="1" applyAlignment="1">
      <alignment horizontal="center" vertical="center"/>
    </xf>
    <xf numFmtId="0" fontId="3" fillId="5" borderId="5" xfId="2" applyFill="1" applyBorder="1" applyAlignment="1">
      <alignment horizontal="center" vertical="center"/>
    </xf>
    <xf numFmtId="176" fontId="3" fillId="3" borderId="4" xfId="2" applyNumberFormat="1" applyFill="1" applyBorder="1" applyAlignment="1">
      <alignment horizontal="center" vertical="center"/>
    </xf>
    <xf numFmtId="176" fontId="3" fillId="3" borderId="5" xfId="2" applyNumberFormat="1" applyFill="1" applyBorder="1" applyAlignment="1">
      <alignment horizontal="center" vertical="center"/>
    </xf>
    <xf numFmtId="0" fontId="3" fillId="3" borderId="5" xfId="2" applyFill="1" applyBorder="1" applyAlignment="1">
      <alignment horizontal="center" vertical="center"/>
    </xf>
    <xf numFmtId="177" fontId="5" fillId="6" borderId="9" xfId="2" quotePrefix="1" applyNumberFormat="1" applyFont="1" applyFill="1" applyBorder="1" applyAlignment="1">
      <alignment horizontal="center" vertical="center"/>
    </xf>
    <xf numFmtId="177" fontId="5" fillId="6" borderId="10" xfId="2" quotePrefix="1" applyNumberFormat="1" applyFont="1" applyFill="1" applyBorder="1" applyAlignment="1">
      <alignment horizontal="center" vertical="center"/>
    </xf>
    <xf numFmtId="0" fontId="5" fillId="6" borderId="10" xfId="2" applyFont="1" applyFill="1" applyBorder="1" applyAlignment="1">
      <alignment horizontal="center" vertical="center"/>
    </xf>
    <xf numFmtId="0" fontId="5" fillId="6" borderId="12" xfId="2" quotePrefix="1" applyFont="1" applyFill="1" applyBorder="1" applyAlignment="1">
      <alignment horizontal="center" vertical="center"/>
    </xf>
    <xf numFmtId="0" fontId="5" fillId="6" borderId="13" xfId="2" quotePrefix="1" applyFont="1" applyFill="1" applyBorder="1" applyAlignment="1">
      <alignment horizontal="center" vertical="center"/>
    </xf>
    <xf numFmtId="176" fontId="3" fillId="0" borderId="1" xfId="2" applyNumberFormat="1" applyBorder="1" applyAlignment="1">
      <alignment horizontal="center" vertical="center"/>
    </xf>
    <xf numFmtId="176" fontId="3" fillId="0" borderId="2" xfId="2" applyNumberFormat="1" applyBorder="1" applyAlignment="1">
      <alignment horizontal="center" vertical="center"/>
    </xf>
    <xf numFmtId="49" fontId="3" fillId="0" borderId="3" xfId="2" applyNumberFormat="1" applyBorder="1" applyAlignment="1">
      <alignment horizontal="center" vertical="center"/>
    </xf>
    <xf numFmtId="176" fontId="3" fillId="0" borderId="4" xfId="2" applyNumberFormat="1" applyBorder="1" applyAlignment="1">
      <alignment horizontal="center" vertical="center"/>
    </xf>
    <xf numFmtId="176" fontId="3" fillId="0" borderId="5" xfId="2" applyNumberFormat="1" applyBorder="1" applyAlignment="1">
      <alignment horizontal="center" vertical="center"/>
    </xf>
    <xf numFmtId="49" fontId="3" fillId="0" borderId="6" xfId="2" applyNumberFormat="1" applyBorder="1" applyAlignment="1">
      <alignment horizontal="center" vertical="center"/>
    </xf>
    <xf numFmtId="0" fontId="8" fillId="8" borderId="4" xfId="2" applyFont="1" applyFill="1" applyBorder="1" applyAlignment="1">
      <alignment horizontal="center" vertical="center" wrapText="1"/>
    </xf>
    <xf numFmtId="0" fontId="8" fillId="8" borderId="5" xfId="2" applyFont="1" applyFill="1" applyBorder="1" applyAlignment="1">
      <alignment horizontal="center" vertical="center" wrapText="1"/>
    </xf>
    <xf numFmtId="0" fontId="8" fillId="8" borderId="6" xfId="2" applyFont="1" applyFill="1" applyBorder="1" applyAlignment="1">
      <alignment horizontal="center" vertical="center" wrapText="1"/>
    </xf>
    <xf numFmtId="0" fontId="8" fillId="8" borderId="12" xfId="2" applyFont="1" applyFill="1" applyBorder="1" applyAlignment="1">
      <alignment horizontal="center" vertical="center"/>
    </xf>
    <xf numFmtId="0" fontId="8" fillId="8" borderId="13" xfId="2" applyFont="1" applyFill="1" applyBorder="1" applyAlignment="1">
      <alignment horizontal="center" vertical="center"/>
    </xf>
    <xf numFmtId="0" fontId="8" fillId="8" borderId="14" xfId="2" applyFont="1" applyFill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178" fontId="0" fillId="0" borderId="5" xfId="0" applyNumberFormat="1" applyBorder="1" applyAlignment="1"/>
    <xf numFmtId="0" fontId="0" fillId="0" borderId="5" xfId="0" applyBorder="1">
      <alignment vertical="center"/>
    </xf>
    <xf numFmtId="0" fontId="5" fillId="6" borderId="5" xfId="2" quotePrefix="1" applyFont="1" applyFill="1" applyBorder="1" applyAlignment="1">
      <alignment horizontal="center" vertical="center"/>
    </xf>
    <xf numFmtId="0" fontId="8" fillId="8" borderId="5" xfId="2" applyFont="1" applyFill="1" applyBorder="1" applyAlignment="1">
      <alignment horizontal="center" vertical="center"/>
    </xf>
    <xf numFmtId="0" fontId="0" fillId="10" borderId="5" xfId="0" applyFill="1" applyBorder="1">
      <alignment vertical="center"/>
    </xf>
    <xf numFmtId="0" fontId="0" fillId="11" borderId="5" xfId="0" applyFill="1" applyBorder="1">
      <alignment vertical="center"/>
    </xf>
    <xf numFmtId="179" fontId="0" fillId="9" borderId="5" xfId="1" applyNumberFormat="1" applyFont="1" applyFill="1" applyBorder="1">
      <alignment vertical="center"/>
    </xf>
    <xf numFmtId="179" fontId="0" fillId="0" borderId="5" xfId="1" applyNumberFormat="1" applyFont="1" applyBorder="1">
      <alignment vertical="center"/>
    </xf>
    <xf numFmtId="179" fontId="0" fillId="10" borderId="5" xfId="1" applyNumberFormat="1" applyFont="1" applyFill="1" applyBorder="1">
      <alignment vertical="center"/>
    </xf>
    <xf numFmtId="179" fontId="0" fillId="11" borderId="5" xfId="1" applyNumberFormat="1" applyFont="1" applyFill="1" applyBorder="1">
      <alignment vertical="center"/>
    </xf>
    <xf numFmtId="0" fontId="5" fillId="6" borderId="15" xfId="2" applyFont="1" applyFill="1" applyBorder="1" applyAlignment="1">
      <alignment horizontal="center" vertical="center"/>
    </xf>
    <xf numFmtId="178" fontId="0" fillId="0" borderId="0" xfId="0" applyNumberFormat="1" applyAlignment="1"/>
    <xf numFmtId="43" fontId="0" fillId="0" borderId="5" xfId="0" applyNumberFormat="1" applyBorder="1">
      <alignment vertical="center"/>
    </xf>
    <xf numFmtId="0" fontId="11" fillId="5" borderId="0" xfId="0" applyFont="1" applyFill="1">
      <alignment vertical="center"/>
    </xf>
    <xf numFmtId="178" fontId="11" fillId="5" borderId="0" xfId="0" applyNumberFormat="1" applyFont="1" applyFill="1" applyAlignment="1"/>
    <xf numFmtId="0" fontId="0" fillId="0" borderId="5" xfId="0" quotePrefix="1" applyBorder="1">
      <alignment vertical="center"/>
    </xf>
    <xf numFmtId="0" fontId="12" fillId="0" borderId="0" xfId="2" applyFont="1"/>
    <xf numFmtId="0" fontId="10" fillId="12" borderId="0" xfId="0" applyFont="1" applyFill="1">
      <alignment vertical="center"/>
    </xf>
    <xf numFmtId="0" fontId="0" fillId="12" borderId="0" xfId="0" applyFill="1">
      <alignment vertical="center"/>
    </xf>
    <xf numFmtId="178" fontId="10" fillId="12" borderId="0" xfId="0" applyNumberFormat="1" applyFont="1" applyFill="1" applyAlignment="1"/>
    <xf numFmtId="0" fontId="15" fillId="13" borderId="0" xfId="0" applyFont="1" applyFill="1">
      <alignment vertical="center"/>
    </xf>
    <xf numFmtId="0" fontId="15" fillId="1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4" borderId="0" xfId="0" applyFill="1">
      <alignment vertical="center"/>
    </xf>
    <xf numFmtId="2" fontId="0" fillId="14" borderId="0" xfId="0" applyNumberFormat="1" applyFill="1" applyAlignment="1">
      <alignment horizontal="center" vertical="center"/>
    </xf>
    <xf numFmtId="0" fontId="10" fillId="7" borderId="0" xfId="0" applyFont="1" applyFill="1">
      <alignment vertical="center"/>
    </xf>
    <xf numFmtId="0" fontId="0" fillId="15" borderId="0" xfId="0" applyFill="1">
      <alignment vertical="center"/>
    </xf>
    <xf numFmtId="0" fontId="0" fillId="7" borderId="0" xfId="0" applyFill="1">
      <alignment vertical="center"/>
    </xf>
    <xf numFmtId="180" fontId="0" fillId="7" borderId="0" xfId="0" applyNumberFormat="1" applyFill="1" applyAlignment="1">
      <alignment horizontal="center" vertical="center"/>
    </xf>
    <xf numFmtId="0" fontId="16" fillId="7" borderId="0" xfId="0" applyFont="1" applyFill="1">
      <alignment vertical="center"/>
    </xf>
    <xf numFmtId="2" fontId="0" fillId="15" borderId="0" xfId="0" applyNumberFormat="1" applyFill="1" applyAlignment="1">
      <alignment horizontal="center" vertical="center"/>
    </xf>
    <xf numFmtId="0" fontId="16" fillId="0" borderId="0" xfId="0" quotePrefix="1" applyFont="1">
      <alignment vertical="center"/>
    </xf>
    <xf numFmtId="0" fontId="14" fillId="4" borderId="0" xfId="0" applyFont="1" applyFill="1">
      <alignment vertical="center"/>
    </xf>
    <xf numFmtId="0" fontId="17" fillId="0" borderId="0" xfId="0" applyFont="1">
      <alignment vertical="center"/>
    </xf>
    <xf numFmtId="2" fontId="0" fillId="0" borderId="0" xfId="0" applyNumberForma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8" fillId="0" borderId="0" xfId="0" applyFont="1">
      <alignment vertical="center"/>
    </xf>
    <xf numFmtId="0" fontId="0" fillId="0" borderId="0" xfId="0" quotePrefix="1">
      <alignment vertical="center"/>
    </xf>
    <xf numFmtId="0" fontId="0" fillId="16" borderId="0" xfId="0" applyFill="1">
      <alignment vertical="center"/>
    </xf>
    <xf numFmtId="181" fontId="0" fillId="0" borderId="0" xfId="0" applyNumberFormat="1">
      <alignment vertical="center"/>
    </xf>
    <xf numFmtId="2" fontId="0" fillId="16" borderId="0" xfId="0" applyNumberFormat="1" applyFill="1">
      <alignment vertical="center"/>
    </xf>
    <xf numFmtId="1" fontId="13" fillId="0" borderId="0" xfId="0" applyNumberFormat="1" applyFont="1">
      <alignment vertical="center"/>
    </xf>
    <xf numFmtId="11" fontId="4" fillId="16" borderId="0" xfId="2" applyNumberFormat="1" applyFont="1" applyFill="1"/>
    <xf numFmtId="2" fontId="0" fillId="0" borderId="0" xfId="0" applyNumberFormat="1">
      <alignment vertical="center"/>
    </xf>
    <xf numFmtId="0" fontId="3" fillId="5" borderId="0" xfId="2" applyFill="1"/>
    <xf numFmtId="0" fontId="3" fillId="5" borderId="0" xfId="2" applyFill="1" applyAlignment="1">
      <alignment horizontal="left"/>
    </xf>
    <xf numFmtId="178" fontId="19" fillId="0" borderId="5" xfId="0" applyNumberFormat="1" applyFont="1" applyBorder="1" applyAlignment="1"/>
    <xf numFmtId="0" fontId="19" fillId="9" borderId="5" xfId="0" applyFont="1" applyFill="1" applyBorder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7" fillId="0" borderId="0" xfId="2" applyFont="1"/>
    <xf numFmtId="0" fontId="5" fillId="4" borderId="11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5" fillId="7" borderId="0" xfId="2" applyFont="1" applyFill="1" applyAlignment="1">
      <alignment horizontal="center" vertical="center"/>
    </xf>
    <xf numFmtId="0" fontId="3" fillId="0" borderId="0" xfId="2"/>
    <xf numFmtId="0" fontId="5" fillId="6" borderId="14" xfId="2" applyFont="1" applyFill="1" applyBorder="1" applyAlignment="1">
      <alignment horizontal="center" vertical="center"/>
    </xf>
    <xf numFmtId="0" fontId="5" fillId="6" borderId="13" xfId="2" applyFont="1" applyFill="1" applyBorder="1" applyAlignment="1">
      <alignment horizontal="center" vertical="center"/>
    </xf>
    <xf numFmtId="0" fontId="3" fillId="0" borderId="5" xfId="2" applyBorder="1"/>
    <xf numFmtId="0" fontId="5" fillId="4" borderId="6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3" fillId="0" borderId="2" xfId="2" applyBorder="1"/>
    <xf numFmtId="0" fontId="9" fillId="0" borderId="0" xfId="2" applyFont="1" applyAlignment="1">
      <alignment horizontal="center"/>
    </xf>
    <xf numFmtId="49" fontId="9" fillId="0" borderId="0" xfId="2" applyNumberFormat="1" applyFont="1" applyAlignment="1">
      <alignment horizontal="center" vertical="center"/>
    </xf>
    <xf numFmtId="49" fontId="3" fillId="0" borderId="0" xfId="2" applyNumberFormat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72293619-52CC-469D-8B47-A0B24ED328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58</xdr:row>
      <xdr:rowOff>47625</xdr:rowOff>
    </xdr:from>
    <xdr:to>
      <xdr:col>1</xdr:col>
      <xdr:colOff>428980</xdr:colOff>
      <xdr:row>69</xdr:row>
      <xdr:rowOff>105105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17FE1E-4981-4496-BD1B-D86D3AA26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7800975"/>
          <a:ext cx="2543530" cy="2362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28575</xdr:rowOff>
    </xdr:from>
    <xdr:to>
      <xdr:col>3</xdr:col>
      <xdr:colOff>76200</xdr:colOff>
      <xdr:row>34</xdr:row>
      <xdr:rowOff>69912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5D3BF22-FFF8-4A65-A747-54A53483A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57775"/>
          <a:ext cx="4438650" cy="2136837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6</xdr:row>
      <xdr:rowOff>19050</xdr:rowOff>
    </xdr:from>
    <xdr:to>
      <xdr:col>4</xdr:col>
      <xdr:colOff>981076</xdr:colOff>
      <xdr:row>9</xdr:row>
      <xdr:rowOff>98524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ACE8AD-A980-4C2E-A72C-DF2EA1E99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9576" y="1276350"/>
          <a:ext cx="3486150" cy="70812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</xdr:row>
      <xdr:rowOff>47625</xdr:rowOff>
    </xdr:from>
    <xdr:to>
      <xdr:col>4</xdr:col>
      <xdr:colOff>180975</xdr:colOff>
      <xdr:row>19</xdr:row>
      <xdr:rowOff>175414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9BE0DC6-EBF2-4CDB-8720-6949A4888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2771775"/>
          <a:ext cx="5000625" cy="13850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419100</xdr:colOff>
      <xdr:row>10</xdr:row>
      <xdr:rowOff>47625</xdr:rowOff>
    </xdr:from>
    <xdr:ext cx="5992061" cy="3296110"/>
    <xdr:pic>
      <xdr:nvPicPr>
        <xdr:cNvPr id="2" name="그림 1">
          <a:extLst>
            <a:ext uri="{FF2B5EF4-FFF2-40B4-BE49-F238E27FC236}">
              <a16:creationId xmlns:a16="http://schemas.microsoft.com/office/drawing/2014/main" id="{9BAD87F2-0FDC-4821-9B4F-1A150C1A9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2143125"/>
          <a:ext cx="5992061" cy="329611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10</xdr:row>
      <xdr:rowOff>0</xdr:rowOff>
    </xdr:from>
    <xdr:ext cx="5430008" cy="7878274"/>
    <xdr:pic>
      <xdr:nvPicPr>
        <xdr:cNvPr id="3" name="그림 2">
          <a:extLst>
            <a:ext uri="{FF2B5EF4-FFF2-40B4-BE49-F238E27FC236}">
              <a16:creationId xmlns:a16="http://schemas.microsoft.com/office/drawing/2014/main" id="{43D5E5E9-787C-4846-AF41-F08D4AAAB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2095500"/>
          <a:ext cx="5430008" cy="787827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561975</xdr:colOff>
      <xdr:row>12</xdr:row>
      <xdr:rowOff>266700</xdr:rowOff>
    </xdr:from>
    <xdr:ext cx="4582164" cy="2676899"/>
    <xdr:pic>
      <xdr:nvPicPr>
        <xdr:cNvPr id="2" name="그림 1">
          <a:extLst>
            <a:ext uri="{FF2B5EF4-FFF2-40B4-BE49-F238E27FC236}">
              <a16:creationId xmlns:a16="http://schemas.microsoft.com/office/drawing/2014/main" id="{8DB32EAB-2B45-48F5-95C6-155D4744A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575" y="2724150"/>
          <a:ext cx="4582164" cy="2676899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</xdr:row>
      <xdr:rowOff>0</xdr:rowOff>
    </xdr:from>
    <xdr:ext cx="4248743" cy="2734057"/>
    <xdr:pic>
      <xdr:nvPicPr>
        <xdr:cNvPr id="3" name="그림 2">
          <a:extLst>
            <a:ext uri="{FF2B5EF4-FFF2-40B4-BE49-F238E27FC236}">
              <a16:creationId xmlns:a16="http://schemas.microsoft.com/office/drawing/2014/main" id="{6800B8F8-0BD6-4CF7-900C-063DCDB75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209550"/>
          <a:ext cx="4248743" cy="273405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29</xdr:row>
      <xdr:rowOff>171450</xdr:rowOff>
    </xdr:from>
    <xdr:ext cx="4247032" cy="2991388"/>
    <xdr:pic>
      <xdr:nvPicPr>
        <xdr:cNvPr id="2" name="그림 1">
          <a:extLst>
            <a:ext uri="{FF2B5EF4-FFF2-40B4-BE49-F238E27FC236}">
              <a16:creationId xmlns:a16="http://schemas.microsoft.com/office/drawing/2014/main" id="{F7A2D5BF-4DBD-4C54-946F-E79187B44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1" y="6248400"/>
          <a:ext cx="4247032" cy="299138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bldgs\BCEU\BAU%20Components%20Energy%20Use.xlsx" TargetMode="External"/><Relationship Id="rId1" Type="http://schemas.openxmlformats.org/officeDocument/2006/relationships/externalLinkPath" Target="file:///C:\Users\MeganMahajan\Documents\eps-us\InputData\bldgs\BCEU\BAU%20Components%20Energy%20U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Source Data&gt;"/>
      <sheetName val="RECS HC2.1"/>
      <sheetName val="Table_4._Residential_Sector_Key"/>
      <sheetName val="AEO 2025 Table 5"/>
      <sheetName val="AEO 2023 Table 5"/>
      <sheetName val="AEO Data Center Load"/>
      <sheetName val="Water and Waste"/>
      <sheetName val="Calcs&gt;"/>
      <sheetName val="Crosswalk AEO to EPS Summary"/>
      <sheetName val="Calculations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  <sheetName val="BCEU-all-envelope"/>
    </sheetNames>
    <sheetDataSet>
      <sheetData sheetId="0">
        <row r="53">
          <cell r="C53">
            <v>0.04</v>
          </cell>
        </row>
        <row r="74">
          <cell r="A74">
            <v>0.81308184246741677</v>
          </cell>
        </row>
        <row r="75">
          <cell r="A75">
            <v>0.18691815753258317</v>
          </cell>
        </row>
        <row r="77">
          <cell r="B77">
            <v>1000000000000000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8" row="8">
    <wetp:webextensionref xmlns:r="http://schemas.openxmlformats.org/officeDocument/2006/relationships" r:id="rId1"/>
  </wetp:taskpane>
  <wetp:taskpane dockstate="right" visibility="0" width="591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AC9AECA-E685-456C-8B46-260F09C3AF7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7e096c4-8cd7-46d9-8004-42ddefc64ee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7A45D82-08C6-4C1D-9E82-6BE6CC4AB36B}">
  <we:reference id="11d7cf85-ae5a-43b8-bc58-1e1a151cce24" version="1.0.0.1" store="EXCatalog" storeType="EXCatalog"/>
  <we:alternateReferences>
    <we:reference id="WA200010725" version="1.0.0.1" store="ko-KR" storeType="OMEX"/>
  </we:alternateReferences>
  <we:properties>
    <we:property name="claude.fileId" value="&quot;669cd0b8-d74e-414c-9a3c-d4a0ffb354d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3675-CA2C-4D72-A63F-57FEEDE72D7F}">
  <dimension ref="A1:M31"/>
  <sheetViews>
    <sheetView tabSelected="1" workbookViewId="0">
      <selection activeCell="G6" sqref="G6"/>
    </sheetView>
  </sheetViews>
  <sheetFormatPr defaultColWidth="9" defaultRowHeight="17" x14ac:dyDescent="0.45"/>
  <cols>
    <col min="1" max="1" width="9" style="1"/>
    <col min="2" max="2" width="37.58203125" style="1" customWidth="1"/>
    <col min="3" max="16384" width="9" style="1"/>
  </cols>
  <sheetData>
    <row r="1" spans="1:13" x14ac:dyDescent="0.45">
      <c r="A1" s="1" t="s">
        <v>1</v>
      </c>
    </row>
    <row r="3" spans="1:13" x14ac:dyDescent="0.45">
      <c r="A3" s="3" t="s">
        <v>0</v>
      </c>
      <c r="B3" s="5" t="s">
        <v>79</v>
      </c>
      <c r="M3" s="3"/>
    </row>
    <row r="4" spans="1:13" x14ac:dyDescent="0.45">
      <c r="B4" s="4" t="s">
        <v>226</v>
      </c>
    </row>
    <row r="5" spans="1:13" x14ac:dyDescent="0.45">
      <c r="B5" s="4">
        <v>2026</v>
      </c>
      <c r="M5" s="80"/>
    </row>
    <row r="6" spans="1:13" x14ac:dyDescent="0.45">
      <c r="B6" s="4" t="s">
        <v>80</v>
      </c>
      <c r="M6" s="80"/>
    </row>
    <row r="7" spans="1:13" x14ac:dyDescent="0.45">
      <c r="B7" s="80" t="s">
        <v>81</v>
      </c>
    </row>
    <row r="8" spans="1:13" x14ac:dyDescent="0.45">
      <c r="M8" s="80"/>
    </row>
    <row r="10" spans="1:13" x14ac:dyDescent="0.45">
      <c r="B10" s="5" t="s">
        <v>82</v>
      </c>
    </row>
    <row r="11" spans="1:13" x14ac:dyDescent="0.45">
      <c r="B11" s="1" t="s">
        <v>55</v>
      </c>
    </row>
    <row r="12" spans="1:13" x14ac:dyDescent="0.45">
      <c r="B12" s="4">
        <v>2024</v>
      </c>
    </row>
    <row r="13" spans="1:13" x14ac:dyDescent="0.45">
      <c r="B13" s="81" t="s">
        <v>84</v>
      </c>
    </row>
    <row r="14" spans="1:13" x14ac:dyDescent="0.45">
      <c r="B14" s="4" t="s">
        <v>56</v>
      </c>
    </row>
    <row r="17" spans="1:2" x14ac:dyDescent="0.45">
      <c r="B17" s="5" t="s">
        <v>75</v>
      </c>
    </row>
    <row r="18" spans="1:2" x14ac:dyDescent="0.45">
      <c r="B18" s="1" t="s">
        <v>76</v>
      </c>
    </row>
    <row r="19" spans="1:2" x14ac:dyDescent="0.45">
      <c r="B19" s="4">
        <v>2023</v>
      </c>
    </row>
    <row r="20" spans="1:2" x14ac:dyDescent="0.45">
      <c r="B20" s="1" t="s">
        <v>77</v>
      </c>
    </row>
    <row r="21" spans="1:2" x14ac:dyDescent="0.45">
      <c r="B21" s="1" t="s">
        <v>57</v>
      </c>
    </row>
    <row r="24" spans="1:2" x14ac:dyDescent="0.45">
      <c r="A24" s="3" t="s">
        <v>54</v>
      </c>
    </row>
    <row r="25" spans="1:2" x14ac:dyDescent="0.45">
      <c r="A25" s="1" t="s">
        <v>88</v>
      </c>
    </row>
    <row r="26" spans="1:2" x14ac:dyDescent="0.45">
      <c r="A26" s="1" t="s">
        <v>89</v>
      </c>
    </row>
    <row r="27" spans="1:2" x14ac:dyDescent="0.45">
      <c r="A27" s="1" t="s">
        <v>85</v>
      </c>
    </row>
    <row r="28" spans="1:2" x14ac:dyDescent="0.45">
      <c r="A28" s="1" t="s">
        <v>86</v>
      </c>
    </row>
    <row r="29" spans="1:2" x14ac:dyDescent="0.45">
      <c r="A29" s="1" t="s">
        <v>87</v>
      </c>
    </row>
    <row r="30" spans="1:2" x14ac:dyDescent="0.45">
      <c r="A30" s="1" t="s">
        <v>90</v>
      </c>
    </row>
    <row r="31" spans="1:2" x14ac:dyDescent="0.45">
      <c r="A31" s="49" t="s">
        <v>91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6335-A4D1-4B12-9828-C98D5418875A}">
  <dimension ref="A1:E40"/>
  <sheetViews>
    <sheetView topLeftCell="A19" workbookViewId="0">
      <selection activeCell="C31" sqref="C31"/>
    </sheetView>
  </sheetViews>
  <sheetFormatPr defaultRowHeight="17" x14ac:dyDescent="0.45"/>
  <cols>
    <col min="1" max="1" width="29.75" customWidth="1"/>
    <col min="2" max="2" width="6.5" bestFit="1" customWidth="1"/>
    <col min="3" max="3" width="21" customWidth="1"/>
    <col min="4" max="4" width="6.25" bestFit="1" customWidth="1"/>
    <col min="5" max="5" width="23.58203125" bestFit="1" customWidth="1"/>
  </cols>
  <sheetData>
    <row r="1" spans="1:5" x14ac:dyDescent="0.45">
      <c r="A1" s="54" t="s">
        <v>61</v>
      </c>
      <c r="B1" s="54">
        <v>2020</v>
      </c>
      <c r="C1" s="54">
        <v>2021</v>
      </c>
      <c r="D1" s="54">
        <v>2022</v>
      </c>
      <c r="E1" s="54">
        <v>2023</v>
      </c>
    </row>
    <row r="2" spans="1:5" x14ac:dyDescent="0.45">
      <c r="A2" s="55" t="s">
        <v>62</v>
      </c>
      <c r="B2" s="55"/>
      <c r="C2" s="55"/>
      <c r="D2" s="56">
        <v>147</v>
      </c>
      <c r="E2" s="56">
        <v>150</v>
      </c>
    </row>
    <row r="3" spans="1:5" x14ac:dyDescent="0.45">
      <c r="A3" t="s">
        <v>63</v>
      </c>
      <c r="D3" s="57">
        <v>1764</v>
      </c>
      <c r="E3" s="57">
        <v>1986</v>
      </c>
    </row>
    <row r="4" spans="1:5" x14ac:dyDescent="0.45">
      <c r="A4" s="58" t="s">
        <v>64</v>
      </c>
      <c r="B4" s="59">
        <f>_xlfn.FORECAST.LINEAR(B1,D4:E4,D1:E1)</f>
        <v>3.3232628398789075</v>
      </c>
      <c r="C4" s="59">
        <f>_xlfn.FORECAST.LINEAR(C1,D4:E4,D1:E1)</f>
        <v>3.8821752265860141</v>
      </c>
      <c r="D4" s="59">
        <f>B12</f>
        <v>4.4410876132930506</v>
      </c>
      <c r="E4" s="59">
        <v>5</v>
      </c>
    </row>
    <row r="6" spans="1:5" x14ac:dyDescent="0.45">
      <c r="A6" s="60" t="s">
        <v>59</v>
      </c>
      <c r="B6" s="63">
        <f>(E4*10^6)/(E3*8760)</f>
        <v>0.28739992734529834</v>
      </c>
      <c r="C6" s="62"/>
      <c r="D6" s="62"/>
      <c r="E6" s="64" t="s">
        <v>66</v>
      </c>
    </row>
    <row r="7" spans="1:5" x14ac:dyDescent="0.45">
      <c r="A7" s="61" t="s">
        <v>65</v>
      </c>
    </row>
    <row r="11" spans="1:5" x14ac:dyDescent="0.45">
      <c r="A11" s="60" t="s">
        <v>60</v>
      </c>
    </row>
    <row r="12" spans="1:5" x14ac:dyDescent="0.45">
      <c r="A12" s="61" t="s">
        <v>67</v>
      </c>
      <c r="B12" s="65">
        <f>D3*8760*B6/(10^6)</f>
        <v>4.4410876132930506</v>
      </c>
      <c r="C12" s="66" t="s">
        <v>68</v>
      </c>
    </row>
    <row r="13" spans="1:5" x14ac:dyDescent="0.45">
      <c r="B13" s="69"/>
      <c r="C13" s="66"/>
    </row>
    <row r="14" spans="1:5" x14ac:dyDescent="0.45">
      <c r="B14" s="69"/>
      <c r="C14" s="66"/>
    </row>
    <row r="15" spans="1:5" x14ac:dyDescent="0.45">
      <c r="B15" s="69"/>
      <c r="C15" s="66"/>
    </row>
    <row r="16" spans="1:5" x14ac:dyDescent="0.45">
      <c r="B16" s="69"/>
      <c r="C16" s="66"/>
    </row>
    <row r="17" spans="1:3" x14ac:dyDescent="0.45">
      <c r="B17" s="69"/>
      <c r="C17" s="66"/>
    </row>
    <row r="18" spans="1:3" x14ac:dyDescent="0.45">
      <c r="B18" s="69"/>
      <c r="C18" s="66"/>
    </row>
    <row r="19" spans="1:3" x14ac:dyDescent="0.45">
      <c r="B19" s="69"/>
      <c r="C19" s="66"/>
    </row>
    <row r="20" spans="1:3" x14ac:dyDescent="0.45">
      <c r="B20" s="69"/>
      <c r="C20" s="66"/>
    </row>
    <row r="22" spans="1:3" x14ac:dyDescent="0.45">
      <c r="A22" s="53" t="s">
        <v>69</v>
      </c>
    </row>
    <row r="23" spans="1:3" x14ac:dyDescent="0.45">
      <c r="A23" s="67" t="s">
        <v>70</v>
      </c>
    </row>
    <row r="24" spans="1:3" x14ac:dyDescent="0.45">
      <c r="A24" t="s">
        <v>71</v>
      </c>
    </row>
    <row r="36" spans="1:1" x14ac:dyDescent="0.45">
      <c r="A36" s="67" t="s">
        <v>72</v>
      </c>
    </row>
    <row r="37" spans="1:1" x14ac:dyDescent="0.45">
      <c r="A37" s="68" t="s">
        <v>57</v>
      </c>
    </row>
    <row r="38" spans="1:1" x14ac:dyDescent="0.45">
      <c r="A38" t="s">
        <v>73</v>
      </c>
    </row>
    <row r="40" spans="1:1" x14ac:dyDescent="0.45">
      <c r="A40" s="67" t="s">
        <v>74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CDD3-E612-4EFD-B989-7F9F6F078F7A}">
  <dimension ref="A1:I9"/>
  <sheetViews>
    <sheetView workbookViewId="0">
      <selection activeCell="A3" sqref="A3:A5"/>
    </sheetView>
  </sheetViews>
  <sheetFormatPr defaultColWidth="9" defaultRowHeight="17" x14ac:dyDescent="0.45"/>
  <cols>
    <col min="1" max="1" width="13.33203125" style="1" customWidth="1"/>
    <col min="2" max="2" width="0.58203125" style="1" customWidth="1"/>
    <col min="3" max="3" width="28.33203125" style="1" customWidth="1"/>
    <col min="4" max="8" width="9.08203125" style="1" customWidth="1"/>
    <col min="9" max="16384" width="9" style="1"/>
  </cols>
  <sheetData>
    <row r="1" spans="1:9" ht="24" customHeight="1" thickBot="1" x14ac:dyDescent="0.5">
      <c r="A1" s="90" t="s">
        <v>15</v>
      </c>
      <c r="B1" s="91"/>
      <c r="C1" s="91"/>
      <c r="D1" s="91"/>
      <c r="E1" s="91"/>
      <c r="F1" s="91"/>
      <c r="G1" s="91"/>
      <c r="H1" s="91"/>
    </row>
    <row r="2" spans="1:9" ht="22" customHeight="1" x14ac:dyDescent="0.45">
      <c r="A2" s="92" t="s">
        <v>14</v>
      </c>
      <c r="B2" s="93"/>
      <c r="C2" s="93"/>
      <c r="D2" s="19" t="s">
        <v>13</v>
      </c>
      <c r="E2" s="19" t="s">
        <v>12</v>
      </c>
      <c r="F2" s="19" t="s">
        <v>11</v>
      </c>
      <c r="G2" s="19" t="s">
        <v>10</v>
      </c>
      <c r="H2" s="18" t="s">
        <v>9</v>
      </c>
    </row>
    <row r="3" spans="1:9" ht="22" customHeight="1" x14ac:dyDescent="0.45">
      <c r="A3" s="87" t="s">
        <v>58</v>
      </c>
      <c r="B3" s="17"/>
      <c r="C3" s="17" t="s">
        <v>8</v>
      </c>
      <c r="D3" s="16">
        <f>D5-D4</f>
        <v>5.4999999999999991</v>
      </c>
      <c r="E3" s="16">
        <f>E5-E4</f>
        <v>6.4</v>
      </c>
      <c r="F3" s="16">
        <f>F5-F4</f>
        <v>8</v>
      </c>
      <c r="G3" s="16">
        <f>G5-G4</f>
        <v>12.499999999999998</v>
      </c>
      <c r="H3" s="15">
        <f>H5-H4</f>
        <v>14.5</v>
      </c>
      <c r="I3" s="1" t="s">
        <v>7</v>
      </c>
    </row>
    <row r="4" spans="1:9" ht="28" customHeight="1" x14ac:dyDescent="0.45">
      <c r="A4" s="88"/>
      <c r="B4" s="94"/>
      <c r="C4" s="11" t="s">
        <v>4</v>
      </c>
      <c r="D4" s="10">
        <v>2.7</v>
      </c>
      <c r="E4" s="10">
        <v>8.4</v>
      </c>
      <c r="F4" s="10">
        <v>10</v>
      </c>
      <c r="G4" s="10">
        <v>13.9</v>
      </c>
      <c r="H4" s="9">
        <v>15.5</v>
      </c>
    </row>
    <row r="5" spans="1:9" ht="28" customHeight="1" x14ac:dyDescent="0.45">
      <c r="A5" s="89"/>
      <c r="B5" s="94"/>
      <c r="C5" s="14" t="s">
        <v>3</v>
      </c>
      <c r="D5" s="13">
        <v>8.1999999999999993</v>
      </c>
      <c r="E5" s="13">
        <v>14.8</v>
      </c>
      <c r="F5" s="13">
        <v>18</v>
      </c>
      <c r="G5" s="13">
        <v>26.4</v>
      </c>
      <c r="H5" s="12">
        <v>30</v>
      </c>
      <c r="I5" s="1" t="s">
        <v>6</v>
      </c>
    </row>
    <row r="6" spans="1:9" ht="28" customHeight="1" x14ac:dyDescent="0.45">
      <c r="A6" s="95" t="s">
        <v>5</v>
      </c>
      <c r="B6" s="94"/>
      <c r="C6" s="11" t="s">
        <v>4</v>
      </c>
      <c r="D6" s="10">
        <v>0.5</v>
      </c>
      <c r="E6" s="10">
        <v>1.5</v>
      </c>
      <c r="F6" s="10">
        <v>2.2999999999999998</v>
      </c>
      <c r="G6" s="10">
        <v>3.9</v>
      </c>
      <c r="H6" s="9">
        <v>4.4000000000000004</v>
      </c>
    </row>
    <row r="7" spans="1:9" ht="28" customHeight="1" thickBot="1" x14ac:dyDescent="0.5">
      <c r="A7" s="96"/>
      <c r="B7" s="97"/>
      <c r="C7" s="8" t="s">
        <v>3</v>
      </c>
      <c r="D7" s="7">
        <v>1.2</v>
      </c>
      <c r="E7" s="7">
        <v>2.2999999999999998</v>
      </c>
      <c r="F7" s="7">
        <v>3.3</v>
      </c>
      <c r="G7" s="7">
        <v>5.4</v>
      </c>
      <c r="H7" s="6">
        <v>6.2</v>
      </c>
    </row>
    <row r="9" spans="1:9" ht="18" customHeight="1" x14ac:dyDescent="0.45">
      <c r="A9" s="86" t="s">
        <v>2</v>
      </c>
      <c r="B9" s="86"/>
      <c r="C9" s="86"/>
      <c r="D9" s="86"/>
      <c r="E9" s="86"/>
      <c r="F9" s="86"/>
      <c r="G9" s="86"/>
      <c r="H9" s="86"/>
    </row>
  </sheetData>
  <mergeCells count="7">
    <mergeCell ref="A9:H9"/>
    <mergeCell ref="A3:A5"/>
    <mergeCell ref="A1:H1"/>
    <mergeCell ref="A2:C2"/>
    <mergeCell ref="B4:B5"/>
    <mergeCell ref="A6:A7"/>
    <mergeCell ref="B6:B7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1AE3-9FF1-437B-BF08-A222E93C4FDA}">
  <dimension ref="A1:F23"/>
  <sheetViews>
    <sheetView workbookViewId="0">
      <selection activeCell="B14" sqref="B14:F14"/>
    </sheetView>
  </sheetViews>
  <sheetFormatPr defaultColWidth="9" defaultRowHeight="17" x14ac:dyDescent="0.45"/>
  <cols>
    <col min="1" max="1" width="13.33203125" style="1" customWidth="1"/>
    <col min="2" max="5" width="12" style="1" customWidth="1"/>
    <col min="6" max="6" width="18.75" style="1" customWidth="1"/>
    <col min="7" max="16384" width="9" style="1"/>
  </cols>
  <sheetData>
    <row r="1" spans="1:6" ht="26.15" customHeight="1" thickBot="1" x14ac:dyDescent="0.5">
      <c r="A1" s="98" t="s">
        <v>29</v>
      </c>
      <c r="B1" s="91"/>
      <c r="C1" s="91"/>
      <c r="D1" s="91"/>
      <c r="E1" s="91"/>
      <c r="F1" s="91"/>
    </row>
    <row r="2" spans="1:6" ht="22" customHeight="1" x14ac:dyDescent="0.45">
      <c r="A2" s="31" t="s">
        <v>26</v>
      </c>
      <c r="B2" s="30">
        <v>2023</v>
      </c>
      <c r="C2" s="30">
        <v>2030</v>
      </c>
      <c r="D2" s="30">
        <v>2040</v>
      </c>
      <c r="E2" s="30">
        <v>2050</v>
      </c>
      <c r="F2" s="29">
        <v>2060</v>
      </c>
    </row>
    <row r="3" spans="1:6" ht="22" customHeight="1" x14ac:dyDescent="0.45">
      <c r="A3" s="25" t="s">
        <v>19</v>
      </c>
      <c r="B3" s="24">
        <v>5</v>
      </c>
      <c r="C3" s="24">
        <v>13.8</v>
      </c>
      <c r="D3" s="24">
        <v>31.6</v>
      </c>
      <c r="E3" s="24">
        <v>49.9</v>
      </c>
      <c r="F3" s="23">
        <v>65.400000000000006</v>
      </c>
    </row>
    <row r="4" spans="1:6" ht="22" customHeight="1" x14ac:dyDescent="0.45">
      <c r="A4" s="25" t="s">
        <v>18</v>
      </c>
      <c r="B4" s="24">
        <v>0.8</v>
      </c>
      <c r="C4" s="24">
        <v>2.1</v>
      </c>
      <c r="D4" s="24">
        <v>5.5</v>
      </c>
      <c r="E4" s="24">
        <v>10.8</v>
      </c>
      <c r="F4" s="23">
        <v>16.5</v>
      </c>
    </row>
    <row r="5" spans="1:6" ht="22" customHeight="1" x14ac:dyDescent="0.45">
      <c r="A5" s="25" t="s">
        <v>17</v>
      </c>
      <c r="B5" s="24">
        <v>1.8</v>
      </c>
      <c r="C5" s="24">
        <v>4.8</v>
      </c>
      <c r="D5" s="24">
        <v>11.2</v>
      </c>
      <c r="E5" s="24">
        <v>17.5</v>
      </c>
      <c r="F5" s="23">
        <v>22.6</v>
      </c>
    </row>
    <row r="6" spans="1:6" ht="22" customHeight="1" x14ac:dyDescent="0.45">
      <c r="A6" s="25" t="s">
        <v>16</v>
      </c>
      <c r="B6" s="24">
        <v>2.4</v>
      </c>
      <c r="C6" s="24">
        <v>6.9</v>
      </c>
      <c r="D6" s="24">
        <v>14.8</v>
      </c>
      <c r="E6" s="24">
        <v>21.6</v>
      </c>
      <c r="F6" s="23">
        <v>26.3</v>
      </c>
    </row>
    <row r="7" spans="1:6" ht="36" customHeight="1" x14ac:dyDescent="0.45">
      <c r="A7" s="28" t="s">
        <v>28</v>
      </c>
      <c r="B7" s="27" t="s">
        <v>24</v>
      </c>
      <c r="C7" s="27" t="s">
        <v>23</v>
      </c>
      <c r="D7" s="27" t="s">
        <v>22</v>
      </c>
      <c r="E7" s="27" t="s">
        <v>21</v>
      </c>
      <c r="F7" s="26" t="s">
        <v>20</v>
      </c>
    </row>
    <row r="8" spans="1:6" ht="22" customHeight="1" x14ac:dyDescent="0.45">
      <c r="A8" s="25" t="s">
        <v>19</v>
      </c>
      <c r="B8" s="24">
        <v>15.5</v>
      </c>
      <c r="C8" s="24">
        <v>8.6</v>
      </c>
      <c r="D8" s="24">
        <v>4.7</v>
      </c>
      <c r="E8" s="24">
        <v>2.7</v>
      </c>
      <c r="F8" s="23">
        <v>7.2</v>
      </c>
    </row>
    <row r="9" spans="1:6" ht="22" customHeight="1" x14ac:dyDescent="0.45">
      <c r="A9" s="25" t="s">
        <v>18</v>
      </c>
      <c r="B9" s="24">
        <v>14.4</v>
      </c>
      <c r="C9" s="24">
        <v>10.199999999999999</v>
      </c>
      <c r="D9" s="24">
        <v>6.9</v>
      </c>
      <c r="E9" s="24">
        <v>4.3</v>
      </c>
      <c r="F9" s="23">
        <v>8.5</v>
      </c>
    </row>
    <row r="10" spans="1:6" ht="22" customHeight="1" x14ac:dyDescent="0.45">
      <c r="A10" s="25" t="s">
        <v>17</v>
      </c>
      <c r="B10" s="24">
        <v>14.9</v>
      </c>
      <c r="C10" s="24">
        <v>8.9</v>
      </c>
      <c r="D10" s="24">
        <v>4.5999999999999996</v>
      </c>
      <c r="E10" s="24">
        <v>2.6</v>
      </c>
      <c r="F10" s="23">
        <v>7</v>
      </c>
    </row>
    <row r="11" spans="1:6" ht="22" customHeight="1" thickBot="1" x14ac:dyDescent="0.5">
      <c r="A11" s="22" t="s">
        <v>16</v>
      </c>
      <c r="B11" s="21">
        <v>16.399999999999999</v>
      </c>
      <c r="C11" s="21">
        <v>7.9</v>
      </c>
      <c r="D11" s="21">
        <v>3.8</v>
      </c>
      <c r="E11" s="21">
        <v>2</v>
      </c>
      <c r="F11" s="20">
        <v>6.7</v>
      </c>
    </row>
    <row r="13" spans="1:6" ht="26.15" customHeight="1" thickBot="1" x14ac:dyDescent="0.5">
      <c r="A13" s="99" t="s">
        <v>27</v>
      </c>
      <c r="B13" s="100"/>
      <c r="C13" s="100"/>
      <c r="D13" s="100"/>
      <c r="E13" s="100"/>
      <c r="F13" s="100"/>
    </row>
    <row r="14" spans="1:6" ht="22" customHeight="1" x14ac:dyDescent="0.45">
      <c r="A14" s="31" t="s">
        <v>26</v>
      </c>
      <c r="B14" s="30">
        <v>2023</v>
      </c>
      <c r="C14" s="30">
        <v>2030</v>
      </c>
      <c r="D14" s="30">
        <v>2040</v>
      </c>
      <c r="E14" s="30">
        <v>2050</v>
      </c>
      <c r="F14" s="29">
        <v>2060</v>
      </c>
    </row>
    <row r="15" spans="1:6" ht="22" customHeight="1" x14ac:dyDescent="0.45">
      <c r="A15" s="25" t="s">
        <v>19</v>
      </c>
      <c r="B15" s="24">
        <v>5</v>
      </c>
      <c r="C15" s="24">
        <v>20.9</v>
      </c>
      <c r="D15" s="24">
        <v>59.8</v>
      </c>
      <c r="E15" s="24">
        <v>101.4</v>
      </c>
      <c r="F15" s="23">
        <v>134.80000000000001</v>
      </c>
    </row>
    <row r="16" spans="1:6" ht="22" customHeight="1" x14ac:dyDescent="0.45">
      <c r="A16" s="25" t="s">
        <v>18</v>
      </c>
      <c r="B16" s="24">
        <v>0.8</v>
      </c>
      <c r="C16" s="24">
        <v>3.2</v>
      </c>
      <c r="D16" s="24">
        <v>11.1</v>
      </c>
      <c r="E16" s="24">
        <v>23.2</v>
      </c>
      <c r="F16" s="23">
        <v>35.299999999999997</v>
      </c>
    </row>
    <row r="17" spans="1:6" ht="22" customHeight="1" x14ac:dyDescent="0.45">
      <c r="A17" s="25" t="s">
        <v>17</v>
      </c>
      <c r="B17" s="24">
        <v>1.8</v>
      </c>
      <c r="C17" s="24">
        <v>6.9</v>
      </c>
      <c r="D17" s="24">
        <v>20.399999999999999</v>
      </c>
      <c r="E17" s="24">
        <v>34.5</v>
      </c>
      <c r="F17" s="23">
        <v>45.4</v>
      </c>
    </row>
    <row r="18" spans="1:6" ht="22" customHeight="1" x14ac:dyDescent="0.45">
      <c r="A18" s="25" t="s">
        <v>16</v>
      </c>
      <c r="B18" s="24">
        <v>2.4</v>
      </c>
      <c r="C18" s="24">
        <v>10.8</v>
      </c>
      <c r="D18" s="24">
        <v>28.3</v>
      </c>
      <c r="E18" s="24">
        <v>43.7</v>
      </c>
      <c r="F18" s="23">
        <v>54.1</v>
      </c>
    </row>
    <row r="19" spans="1:6" ht="36" customHeight="1" x14ac:dyDescent="0.45">
      <c r="A19" s="28" t="s">
        <v>25</v>
      </c>
      <c r="B19" s="27" t="s">
        <v>24</v>
      </c>
      <c r="C19" s="27" t="s">
        <v>23</v>
      </c>
      <c r="D19" s="27" t="s">
        <v>22</v>
      </c>
      <c r="E19" s="27" t="s">
        <v>21</v>
      </c>
      <c r="F19" s="26" t="s">
        <v>20</v>
      </c>
    </row>
    <row r="20" spans="1:6" ht="22" customHeight="1" x14ac:dyDescent="0.45">
      <c r="A20" s="25" t="s">
        <v>19</v>
      </c>
      <c r="B20" s="24">
        <v>22.5</v>
      </c>
      <c r="C20" s="24">
        <v>11.1</v>
      </c>
      <c r="D20" s="24">
        <v>5.4</v>
      </c>
      <c r="E20" s="24">
        <v>2.9</v>
      </c>
      <c r="F20" s="23">
        <v>9.3000000000000007</v>
      </c>
    </row>
    <row r="21" spans="1:6" ht="22" customHeight="1" x14ac:dyDescent="0.45">
      <c r="A21" s="25" t="s">
        <v>18</v>
      </c>
      <c r="B21" s="24">
        <v>21.4</v>
      </c>
      <c r="C21" s="24">
        <v>13.3</v>
      </c>
      <c r="D21" s="24">
        <v>7.6</v>
      </c>
      <c r="E21" s="24">
        <v>4.3</v>
      </c>
      <c r="F21" s="23">
        <v>10.7</v>
      </c>
    </row>
    <row r="22" spans="1:6" ht="22" customHeight="1" x14ac:dyDescent="0.45">
      <c r="A22" s="25" t="s">
        <v>17</v>
      </c>
      <c r="B22" s="24">
        <v>20.9</v>
      </c>
      <c r="C22" s="24">
        <v>11.5</v>
      </c>
      <c r="D22" s="24">
        <v>5.4</v>
      </c>
      <c r="E22" s="24">
        <v>2.8</v>
      </c>
      <c r="F22" s="23">
        <v>9.1</v>
      </c>
    </row>
    <row r="23" spans="1:6" ht="22" customHeight="1" thickBot="1" x14ac:dyDescent="0.5">
      <c r="A23" s="22" t="s">
        <v>16</v>
      </c>
      <c r="B23" s="21">
        <v>24</v>
      </c>
      <c r="C23" s="21">
        <v>10.1</v>
      </c>
      <c r="D23" s="21">
        <v>4.4000000000000004</v>
      </c>
      <c r="E23" s="21">
        <v>2.2000000000000002</v>
      </c>
      <c r="F23" s="20">
        <v>8.8000000000000007</v>
      </c>
    </row>
  </sheetData>
  <mergeCells count="2">
    <mergeCell ref="A1:F1"/>
    <mergeCell ref="A13:F13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CCD3-5280-489A-A646-5A664A90A910}">
  <dimension ref="A1:AF29"/>
  <sheetViews>
    <sheetView workbookViewId="0">
      <selection activeCell="I6" sqref="I6"/>
    </sheetView>
  </sheetViews>
  <sheetFormatPr defaultRowHeight="17" x14ac:dyDescent="0.45"/>
  <cols>
    <col min="1" max="1" width="27.75" customWidth="1"/>
    <col min="8" max="8" width="10.5" customWidth="1"/>
  </cols>
  <sheetData>
    <row r="1" spans="1:32" s="51" customFormat="1" x14ac:dyDescent="0.45">
      <c r="A1" s="50" t="s">
        <v>35</v>
      </c>
    </row>
    <row r="2" spans="1:32" x14ac:dyDescent="0.45">
      <c r="A2" s="32" t="s">
        <v>36</v>
      </c>
      <c r="B2" s="48" t="s">
        <v>48</v>
      </c>
      <c r="C2" s="35" t="s">
        <v>49</v>
      </c>
      <c r="D2" s="35" t="s">
        <v>50</v>
      </c>
      <c r="E2" s="35" t="s">
        <v>51</v>
      </c>
      <c r="F2" s="35" t="s">
        <v>52</v>
      </c>
      <c r="G2" s="35" t="s">
        <v>53</v>
      </c>
      <c r="H2" s="43" t="s">
        <v>47</v>
      </c>
    </row>
    <row r="3" spans="1:32" x14ac:dyDescent="0.45">
      <c r="A3" s="82" t="s">
        <v>83</v>
      </c>
      <c r="B3" s="83">
        <v>5</v>
      </c>
      <c r="C3" s="83">
        <f>'데이터센터 전력수요_제11차 전기본'!D3</f>
        <v>5.4999999999999991</v>
      </c>
      <c r="D3" s="83">
        <f>'데이터센터 전력수요_제11차 전기본'!E3</f>
        <v>6.4</v>
      </c>
      <c r="E3" s="83">
        <f>'데이터센터 전력수요_제11차 전기본'!F3</f>
        <v>8</v>
      </c>
      <c r="F3" s="83">
        <f>'데이터센터 전력수요_제11차 전기본'!G3</f>
        <v>12.499999999999998</v>
      </c>
      <c r="G3" s="83">
        <f>'데이터센터 전력수요_제11차 전기본'!H3</f>
        <v>14.5</v>
      </c>
      <c r="H3" s="84">
        <f>(G3/F3)^(1/2)-1</f>
        <v>7.703296142690097E-2</v>
      </c>
    </row>
    <row r="4" spans="1:32" x14ac:dyDescent="0.45">
      <c r="A4" s="33" t="s">
        <v>31</v>
      </c>
      <c r="B4" s="37">
        <v>5</v>
      </c>
      <c r="C4" s="37">
        <f>'데이터센터 전력수요_제11차 전기본'!D5</f>
        <v>8.1999999999999993</v>
      </c>
      <c r="D4" s="37">
        <f>'데이터센터 전력수요_제11차 전기본'!E5</f>
        <v>14.8</v>
      </c>
      <c r="E4" s="37">
        <f>'데이터센터 전력수요_제11차 전기본'!F5</f>
        <v>18</v>
      </c>
      <c r="F4" s="37">
        <f>'데이터센터 전력수요_제11차 전기본'!G5</f>
        <v>26.4</v>
      </c>
      <c r="G4" s="37">
        <f>'데이터센터 전력수요_제11차 전기본'!H5</f>
        <v>30</v>
      </c>
      <c r="H4">
        <f>(G4/F4)^(1/2)-1</f>
        <v>6.6003581778052212E-2</v>
      </c>
    </row>
    <row r="5" spans="1:32" x14ac:dyDescent="0.45">
      <c r="A5" s="32" t="s">
        <v>36</v>
      </c>
      <c r="B5" s="36">
        <v>2023</v>
      </c>
      <c r="C5" s="36">
        <v>2030</v>
      </c>
      <c r="D5" s="36">
        <v>2040</v>
      </c>
      <c r="E5" s="36">
        <v>2050</v>
      </c>
      <c r="F5" s="36">
        <v>2060</v>
      </c>
      <c r="G5" s="34"/>
    </row>
    <row r="6" spans="1:32" x14ac:dyDescent="0.45">
      <c r="A6" s="33" t="s">
        <v>32</v>
      </c>
      <c r="B6" s="38">
        <f>'데이터센터 전력수요_not use'!B15</f>
        <v>5</v>
      </c>
      <c r="C6" s="38">
        <f>'데이터센터 전력수요_not use'!C15</f>
        <v>20.9</v>
      </c>
      <c r="D6" s="38">
        <f>'데이터센터 전력수요_not use'!D15</f>
        <v>59.8</v>
      </c>
      <c r="E6" s="38">
        <f>'데이터센터 전력수요_not use'!E15</f>
        <v>101.4</v>
      </c>
      <c r="F6" s="38">
        <f>'데이터센터 전력수요_not use'!F15</f>
        <v>134.80000000000001</v>
      </c>
      <c r="G6" s="34"/>
    </row>
    <row r="9" spans="1:32" s="51" customFormat="1" x14ac:dyDescent="0.45">
      <c r="A9" s="50" t="s">
        <v>37</v>
      </c>
    </row>
    <row r="10" spans="1:32" x14ac:dyDescent="0.45">
      <c r="A10" s="46" t="s">
        <v>38</v>
      </c>
    </row>
    <row r="11" spans="1:32" x14ac:dyDescent="0.45">
      <c r="A11" s="46" t="s">
        <v>39</v>
      </c>
    </row>
    <row r="12" spans="1:32" x14ac:dyDescent="0.45">
      <c r="A12" s="32" t="s">
        <v>36</v>
      </c>
      <c r="B12" s="70">
        <v>2020</v>
      </c>
      <c r="C12" s="70">
        <v>2021</v>
      </c>
      <c r="D12" s="70">
        <v>2022</v>
      </c>
      <c r="E12" s="34">
        <v>2023</v>
      </c>
      <c r="F12" s="34">
        <v>2024</v>
      </c>
      <c r="G12" s="34">
        <v>2025</v>
      </c>
      <c r="H12" s="34">
        <v>2026</v>
      </c>
      <c r="I12" s="34">
        <v>2027</v>
      </c>
      <c r="J12" s="34">
        <v>2028</v>
      </c>
      <c r="K12" s="34">
        <v>2029</v>
      </c>
      <c r="L12" s="34">
        <v>2030</v>
      </c>
      <c r="M12" s="34">
        <v>2031</v>
      </c>
      <c r="N12" s="34">
        <v>2032</v>
      </c>
      <c r="O12" s="34">
        <v>2033</v>
      </c>
      <c r="P12" s="34">
        <v>2034</v>
      </c>
      <c r="Q12" s="34">
        <v>2035</v>
      </c>
      <c r="R12" s="34">
        <v>2036</v>
      </c>
      <c r="S12" s="34">
        <v>2037</v>
      </c>
      <c r="T12" s="34">
        <v>2038</v>
      </c>
      <c r="U12" s="34">
        <v>2039</v>
      </c>
      <c r="V12" s="34">
        <v>2040</v>
      </c>
      <c r="W12" s="34">
        <v>2041</v>
      </c>
      <c r="X12" s="34">
        <v>2042</v>
      </c>
      <c r="Y12" s="34">
        <v>2043</v>
      </c>
      <c r="Z12" s="34">
        <v>2044</v>
      </c>
      <c r="AA12" s="34">
        <v>2045</v>
      </c>
      <c r="AB12" s="34">
        <v>2046</v>
      </c>
      <c r="AC12" s="34">
        <v>2047</v>
      </c>
      <c r="AD12" s="34">
        <v>2048</v>
      </c>
      <c r="AE12" s="34">
        <v>2049</v>
      </c>
      <c r="AF12" s="34">
        <v>2050</v>
      </c>
    </row>
    <row r="13" spans="1:32" x14ac:dyDescent="0.45">
      <c r="A13" s="33" t="s">
        <v>30</v>
      </c>
      <c r="B13" s="33">
        <f>'데이터센터 전력수요_history'!B4</f>
        <v>3.3232628398789075</v>
      </c>
      <c r="C13" s="33">
        <f>'데이터센터 전력수요_history'!C4</f>
        <v>3.8821752265860141</v>
      </c>
      <c r="D13" s="33">
        <f>'데이터센터 전력수요_history'!D4</f>
        <v>4.4410876132930506</v>
      </c>
      <c r="E13" s="39">
        <f>B3</f>
        <v>5</v>
      </c>
      <c r="F13" s="40">
        <f>_xlfn.FORECAST.LINEAR(F12, CHOOSE({1,2}, E13,G13), CHOOSE({1,2}, E12,G12))</f>
        <v>5.25</v>
      </c>
      <c r="G13" s="39">
        <f>C3</f>
        <v>5.4999999999999991</v>
      </c>
      <c r="H13" s="40">
        <f>_xlfn.FORECAST.LINEAR(H12, CHOOSE({1,2}, G13,I13), CHOOSE({1,2}, G12,I12))</f>
        <v>5.9500000000000455</v>
      </c>
      <c r="I13" s="39">
        <f>D3</f>
        <v>6.4</v>
      </c>
      <c r="J13" s="40">
        <f>_xlfn.FORECAST.LINEAR(J12, CHOOSE({1,2}, I13,L13), CHOOSE({1,2}, I12,L12))</f>
        <v>6.933333333333394</v>
      </c>
      <c r="K13" s="40">
        <f>_xlfn.FORECAST.LINEAR(K12, CHOOSE({1,2}, I13,L13), CHOOSE({1,2}, I12,L12))</f>
        <v>7.466666666666697</v>
      </c>
      <c r="L13" s="39">
        <f>E3</f>
        <v>8</v>
      </c>
      <c r="M13" s="40">
        <f>_xlfn.FORECAST.LINEAR(M12, CHOOSE({1,2}, L13,R13), CHOOSE({1,2}, L12,R12))</f>
        <v>8.75</v>
      </c>
      <c r="N13" s="40">
        <f>_xlfn.FORECAST.LINEAR(N12, CHOOSE({1,2}, L13,R13), CHOOSE({1,2}, L12,R12))</f>
        <v>9.5</v>
      </c>
      <c r="O13" s="40">
        <f>_xlfn.FORECAST.LINEAR(O12, CHOOSE({1,2}, L13,R13), CHOOSE({1,2}, L12,R12))</f>
        <v>10.25</v>
      </c>
      <c r="P13" s="40">
        <f>_xlfn.FORECAST.LINEAR(P12, CHOOSE({1,2}, L13,R13), CHOOSE({1,2}, L12,R12))</f>
        <v>11</v>
      </c>
      <c r="Q13" s="40">
        <f>_xlfn.FORECAST.LINEAR(Q12, CHOOSE({1,2}, L13,R13), CHOOSE({1,2}, L12,R12))</f>
        <v>11.75</v>
      </c>
      <c r="R13" s="39">
        <f>F3</f>
        <v>12.499999999999998</v>
      </c>
      <c r="S13" s="40">
        <f>_xlfn.FORECAST.LINEAR(S12, CHOOSE({1,2}, R13,T13), CHOOSE({1,2}, R12,T12))</f>
        <v>13.5</v>
      </c>
      <c r="T13" s="39">
        <f>G3</f>
        <v>14.5</v>
      </c>
      <c r="U13" s="40">
        <f>T13*(1+$H3)</f>
        <v>15.616977940690065</v>
      </c>
      <c r="V13" s="40">
        <f t="shared" ref="V13:AF13" si="0">U13*(1+$H3)</f>
        <v>16.820000000000007</v>
      </c>
      <c r="W13" s="40">
        <f t="shared" si="0"/>
        <v>18.115694411200483</v>
      </c>
      <c r="X13" s="40">
        <f t="shared" si="0"/>
        <v>19.511200000000017</v>
      </c>
      <c r="Y13" s="40">
        <f t="shared" si="0"/>
        <v>21.014205516992568</v>
      </c>
      <c r="Z13" s="40">
        <f t="shared" si="0"/>
        <v>22.632992000000026</v>
      </c>
      <c r="AA13" s="40">
        <f t="shared" si="0"/>
        <v>24.376478399711388</v>
      </c>
      <c r="AB13" s="40">
        <f t="shared" si="0"/>
        <v>26.25427072000004</v>
      </c>
      <c r="AC13" s="40">
        <f t="shared" si="0"/>
        <v>28.276714943665219</v>
      </c>
      <c r="AD13" s="40">
        <f t="shared" si="0"/>
        <v>30.454954035200057</v>
      </c>
      <c r="AE13" s="40">
        <f t="shared" si="0"/>
        <v>32.800989334651668</v>
      </c>
      <c r="AF13" s="40">
        <f t="shared" si="0"/>
        <v>35.327746680832078</v>
      </c>
    </row>
    <row r="14" spans="1:32" x14ac:dyDescent="0.45">
      <c r="A14" s="33" t="s">
        <v>31</v>
      </c>
      <c r="B14" s="33">
        <f>B13</f>
        <v>3.3232628398789075</v>
      </c>
      <c r="C14" s="33">
        <f>C13</f>
        <v>3.8821752265860141</v>
      </c>
      <c r="D14" s="33">
        <f>D13</f>
        <v>4.4410876132930506</v>
      </c>
      <c r="E14" s="41">
        <f>B4</f>
        <v>5</v>
      </c>
      <c r="F14" s="40">
        <f>_xlfn.FORECAST.LINEAR(F12, CHOOSE({1,2}, E14,G14), CHOOSE({1,2}, E12,G12))</f>
        <v>6.5999999999999091</v>
      </c>
      <c r="G14" s="41">
        <f>C4</f>
        <v>8.1999999999999993</v>
      </c>
      <c r="H14" s="40">
        <f>_xlfn.FORECAST.LINEAR(H12, CHOOSE({1,2}, G14,I14), CHOOSE({1,2}, G12,I12))</f>
        <v>11.5</v>
      </c>
      <c r="I14" s="41">
        <f>D4</f>
        <v>14.8</v>
      </c>
      <c r="J14" s="40">
        <f>_xlfn.FORECAST.LINEAR(J12, CHOOSE({1,2}, I14,L14), CHOOSE({1,2}, I12,L12))</f>
        <v>15.866666666666788</v>
      </c>
      <c r="K14" s="40">
        <f>_xlfn.FORECAST.LINEAR(K12, CHOOSE({1,2}, I14,L14), CHOOSE({1,2}, I12,L12))</f>
        <v>16.933333333333394</v>
      </c>
      <c r="L14" s="41">
        <f>E4</f>
        <v>18</v>
      </c>
      <c r="M14" s="40">
        <f>_xlfn.FORECAST.LINEAR(M12, CHOOSE({1,2}, L14,R14), CHOOSE({1,2}, L12,R12))</f>
        <v>19.399999999999636</v>
      </c>
      <c r="N14" s="40">
        <f>_xlfn.FORECAST.LINEAR(N12, CHOOSE({1,2}, L14,R14), CHOOSE({1,2}, L12,R12))</f>
        <v>20.799999999999727</v>
      </c>
      <c r="O14" s="40">
        <f>_xlfn.FORECAST.LINEAR(O12, CHOOSE({1,2}, L14,R14), CHOOSE({1,2}, L12,R12))</f>
        <v>22.199999999999818</v>
      </c>
      <c r="P14" s="40">
        <f>_xlfn.FORECAST.LINEAR(P12, CHOOSE({1,2}, L14,R14), CHOOSE({1,2}, L12,R12))</f>
        <v>23.599999999999909</v>
      </c>
      <c r="Q14" s="40">
        <f>_xlfn.FORECAST.LINEAR(Q12, CHOOSE({1,2}, L14,R14), CHOOSE({1,2}, L12,R12))</f>
        <v>25</v>
      </c>
      <c r="R14" s="41">
        <f>F4</f>
        <v>26.4</v>
      </c>
      <c r="S14" s="40">
        <f>_xlfn.FORECAST.LINEAR(S12, CHOOSE({1,2}, R14,T14), CHOOSE({1,2}, R12,T12))</f>
        <v>28.199999999999818</v>
      </c>
      <c r="T14" s="41">
        <f>G4</f>
        <v>30</v>
      </c>
      <c r="U14" s="40">
        <f>T14*(1+$H4)</f>
        <v>31.980107453341567</v>
      </c>
      <c r="V14" s="40">
        <f t="shared" ref="V14:AF14" si="1">U14*(1+$H4)</f>
        <v>34.090909090909093</v>
      </c>
      <c r="W14" s="40">
        <f t="shared" si="1"/>
        <v>36.341031196979053</v>
      </c>
      <c r="X14" s="40">
        <f t="shared" si="1"/>
        <v>38.739669421487605</v>
      </c>
      <c r="Y14" s="40">
        <f t="shared" si="1"/>
        <v>41.296626360203469</v>
      </c>
      <c r="Z14" s="40">
        <f t="shared" si="1"/>
        <v>44.022351615326826</v>
      </c>
      <c r="AA14" s="40">
        <f t="shared" si="1"/>
        <v>46.927984500231219</v>
      </c>
      <c r="AB14" s="40">
        <f t="shared" si="1"/>
        <v>50.025399562871399</v>
      </c>
      <c r="AC14" s="40">
        <f t="shared" si="1"/>
        <v>53.32725511389912</v>
      </c>
      <c r="AD14" s="40">
        <f t="shared" si="1"/>
        <v>56.847044957808414</v>
      </c>
      <c r="AE14" s="40">
        <f t="shared" si="1"/>
        <v>60.599153538521733</v>
      </c>
      <c r="AF14" s="40">
        <f t="shared" si="1"/>
        <v>64.59891472478229</v>
      </c>
    </row>
    <row r="15" spans="1:32" x14ac:dyDescent="0.45">
      <c r="A15" s="33" t="s">
        <v>32</v>
      </c>
      <c r="B15" s="33">
        <f>B13</f>
        <v>3.3232628398789075</v>
      </c>
      <c r="C15" s="33">
        <f>C13</f>
        <v>3.8821752265860141</v>
      </c>
      <c r="D15" s="33">
        <f>D13</f>
        <v>4.4410876132930506</v>
      </c>
      <c r="E15" s="42">
        <f>B6</f>
        <v>5</v>
      </c>
      <c r="F15" s="40">
        <f>_xlfn.FORECAST.LINEAR(F12, CHOOSE({1,2}, E15,L15), CHOOSE({1,2}, E12,L12))</f>
        <v>7.2714285714282596</v>
      </c>
      <c r="G15" s="40">
        <f>_xlfn.FORECAST.LINEAR(G12, CHOOSE({1,2}, E15,L15), CHOOSE({1,2}, E12,L12))</f>
        <v>9.5428571428565192</v>
      </c>
      <c r="H15" s="40">
        <f>_xlfn.FORECAST.LINEAR(H12, CHOOSE({1,2}, E15,L15), CHOOSE({1,2}, E12,L12))</f>
        <v>11.814285714284779</v>
      </c>
      <c r="I15" s="40">
        <f>_xlfn.FORECAST.LINEAR(I12, CHOOSE({1,2}, E15,L15), CHOOSE({1,2}, E12,L12))</f>
        <v>14.085714285713948</v>
      </c>
      <c r="J15" s="40">
        <f>_xlfn.FORECAST.LINEAR(J12, CHOOSE({1,2}, E15,L15), CHOOSE({1,2}, E12,L12))</f>
        <v>16.357142857142208</v>
      </c>
      <c r="K15" s="40">
        <f>_xlfn.FORECAST.LINEAR(K12, CHOOSE({1,2}, E15,L15), CHOOSE({1,2}, E12,L12))</f>
        <v>18.628571428570467</v>
      </c>
      <c r="L15" s="42">
        <f>C6</f>
        <v>20.9</v>
      </c>
      <c r="M15" s="40">
        <f>_xlfn.FORECAST.LINEAR(M12, CHOOSE({1,2}, L15,V15), CHOOSE({1,2}, L12,V12))</f>
        <v>24.789999999999964</v>
      </c>
      <c r="N15" s="40">
        <f>_xlfn.FORECAST.LINEAR(N12, CHOOSE({1,2}, L15,V15), CHOOSE({1,2}, L12,V12))</f>
        <v>28.680000000000291</v>
      </c>
      <c r="O15" s="40">
        <f>_xlfn.FORECAST.LINEAR(O12, CHOOSE({1,2}, L15,V15), CHOOSE({1,2}, L12,V12))</f>
        <v>32.569999999999709</v>
      </c>
      <c r="P15" s="40">
        <f>_xlfn.FORECAST.LINEAR(P12, CHOOSE({1,2}, L15,V15), CHOOSE({1,2}, L12,V12))</f>
        <v>36.460000000000036</v>
      </c>
      <c r="Q15" s="40">
        <f>_xlfn.FORECAST.LINEAR(Q12, CHOOSE({1,2}, L15,V15), CHOOSE({1,2}, L12,V12))</f>
        <v>40.350000000000364</v>
      </c>
      <c r="R15" s="40">
        <f>_xlfn.FORECAST.LINEAR(R12, CHOOSE({1,2}, L15,V15), CHOOSE({1,2}, L12,V12))</f>
        <v>44.239999999999782</v>
      </c>
      <c r="S15" s="40">
        <f>_xlfn.FORECAST.LINEAR(S12, CHOOSE({1,2}, L15,V15), CHOOSE({1,2}, L12,V12))</f>
        <v>48.130000000000109</v>
      </c>
      <c r="T15" s="40">
        <f>_xlfn.FORECAST.LINEAR(T12, CHOOSE({1,2}, L15,V15), CHOOSE({1,2}, L12,V12))</f>
        <v>52.020000000000437</v>
      </c>
      <c r="U15" s="40">
        <f>_xlfn.FORECAST.LINEAR(U12, CHOOSE({1,2}, L15,V15), CHOOSE({1,2}, L12,V12))</f>
        <v>55.909999999999854</v>
      </c>
      <c r="V15" s="42">
        <f>D6</f>
        <v>59.8</v>
      </c>
      <c r="W15" s="40">
        <f>_xlfn.FORECAST.LINEAR(W12, CHOOSE({1,2}, V15,AF15), CHOOSE({1,2}, V12,AF12))</f>
        <v>63.959999999999127</v>
      </c>
      <c r="X15" s="40">
        <f>_xlfn.FORECAST.LINEAR(X12, CHOOSE({1,2}, V15,AF15), CHOOSE({1,2}, V12,AF12))</f>
        <v>68.1200000000008</v>
      </c>
      <c r="Y15" s="40">
        <f>_xlfn.FORECAST.LINEAR(Y12, CHOOSE({1,2}, V15,AF15), CHOOSE({1,2}, V12,AF12))</f>
        <v>72.280000000000655</v>
      </c>
      <c r="Z15" s="40">
        <f>_xlfn.FORECAST.LINEAR(Z12, CHOOSE({1,2}, V15,AF15), CHOOSE({1,2}, V12,AF12))</f>
        <v>76.440000000000509</v>
      </c>
      <c r="AA15" s="40">
        <f>_xlfn.FORECAST.LINEAR(AA12, CHOOSE({1,2}, V15,AF15), CHOOSE({1,2}, V12,AF12))</f>
        <v>80.600000000000364</v>
      </c>
      <c r="AB15" s="40">
        <f>_xlfn.FORECAST.LINEAR(AB12, CHOOSE({1,2}, V15,AF15), CHOOSE({1,2}, V12,AF12))</f>
        <v>84.760000000000218</v>
      </c>
      <c r="AC15" s="40">
        <f>_xlfn.FORECAST.LINEAR(AC12, CHOOSE({1,2}, V15,AF15), CHOOSE({1,2}, V12,AF12))</f>
        <v>88.920000000000073</v>
      </c>
      <c r="AD15" s="40">
        <f>_xlfn.FORECAST.LINEAR(AD12, CHOOSE({1,2}, V15,AF15), CHOOSE({1,2}, V12,AF12))</f>
        <v>93.079999999999927</v>
      </c>
      <c r="AE15" s="40">
        <f>_xlfn.FORECAST.LINEAR(AE12, CHOOSE({1,2}, V15,AF15), CHOOSE({1,2}, V12,AF12))</f>
        <v>97.239999999999782</v>
      </c>
      <c r="AF15" s="42">
        <f>E6</f>
        <v>101.4</v>
      </c>
    </row>
    <row r="18" spans="1:32" s="51" customFormat="1" x14ac:dyDescent="0.45">
      <c r="A18" s="52" t="s">
        <v>40</v>
      </c>
    </row>
    <row r="19" spans="1:32" x14ac:dyDescent="0.45">
      <c r="A19" s="47" t="s">
        <v>41</v>
      </c>
    </row>
    <row r="20" spans="1:32" x14ac:dyDescent="0.45">
      <c r="A20" s="44"/>
    </row>
    <row r="21" spans="1:32" x14ac:dyDescent="0.45">
      <c r="A21" s="33" t="s">
        <v>42</v>
      </c>
      <c r="B21" s="34" t="s">
        <v>46</v>
      </c>
    </row>
    <row r="22" spans="1:32" x14ac:dyDescent="0.45">
      <c r="A22" s="34" t="s">
        <v>43</v>
      </c>
      <c r="B22" s="34">
        <v>0.185</v>
      </c>
    </row>
    <row r="23" spans="1:32" x14ac:dyDescent="0.45">
      <c r="A23" s="34" t="s">
        <v>44</v>
      </c>
      <c r="B23" s="34">
        <v>0.61</v>
      </c>
    </row>
    <row r="24" spans="1:32" x14ac:dyDescent="0.45">
      <c r="A24" s="34" t="s">
        <v>45</v>
      </c>
      <c r="B24" s="34">
        <f>1-SUM(B22:B23)</f>
        <v>0.20500000000000007</v>
      </c>
    </row>
    <row r="26" spans="1:32" x14ac:dyDescent="0.45">
      <c r="A26" s="32" t="s">
        <v>36</v>
      </c>
      <c r="B26" s="70">
        <v>2020</v>
      </c>
      <c r="C26" s="70">
        <v>2021</v>
      </c>
      <c r="D26" s="70">
        <v>2022</v>
      </c>
      <c r="E26" s="34">
        <v>2023</v>
      </c>
      <c r="F26" s="34">
        <v>2024</v>
      </c>
      <c r="G26" s="34">
        <v>2025</v>
      </c>
      <c r="H26" s="34">
        <v>2026</v>
      </c>
      <c r="I26" s="34">
        <v>2027</v>
      </c>
      <c r="J26" s="34">
        <v>2028</v>
      </c>
      <c r="K26" s="34">
        <v>2029</v>
      </c>
      <c r="L26" s="34">
        <v>2030</v>
      </c>
      <c r="M26" s="34">
        <v>2031</v>
      </c>
      <c r="N26" s="34">
        <v>2032</v>
      </c>
      <c r="O26" s="34">
        <v>2033</v>
      </c>
      <c r="P26" s="34">
        <v>2034</v>
      </c>
      <c r="Q26" s="34">
        <v>2035</v>
      </c>
      <c r="R26" s="34">
        <v>2036</v>
      </c>
      <c r="S26" s="34">
        <v>2037</v>
      </c>
      <c r="T26" s="34">
        <v>2038</v>
      </c>
      <c r="U26" s="34">
        <v>2039</v>
      </c>
      <c r="V26" s="34">
        <v>2040</v>
      </c>
      <c r="W26" s="34">
        <v>2041</v>
      </c>
      <c r="X26" s="34">
        <v>2042</v>
      </c>
      <c r="Y26" s="34">
        <v>2043</v>
      </c>
      <c r="Z26" s="34">
        <v>2044</v>
      </c>
      <c r="AA26" s="34">
        <v>2045</v>
      </c>
      <c r="AB26" s="34">
        <v>2046</v>
      </c>
      <c r="AC26" s="34">
        <v>2047</v>
      </c>
      <c r="AD26" s="34">
        <v>2048</v>
      </c>
      <c r="AE26" s="34">
        <v>2049</v>
      </c>
      <c r="AF26" s="34">
        <v>2050</v>
      </c>
    </row>
    <row r="27" spans="1:32" x14ac:dyDescent="0.45">
      <c r="A27" s="34" t="s">
        <v>43</v>
      </c>
      <c r="B27" s="45">
        <f t="shared" ref="B27:D27" si="2">B$13*$B22</f>
        <v>0.61480362537759792</v>
      </c>
      <c r="C27" s="45">
        <f t="shared" si="2"/>
        <v>0.71820241691841258</v>
      </c>
      <c r="D27" s="45">
        <f t="shared" si="2"/>
        <v>0.82160120845921436</v>
      </c>
      <c r="E27" s="45">
        <f t="shared" ref="E27:AF27" si="3">E$13*$B22</f>
        <v>0.92500000000000004</v>
      </c>
      <c r="F27" s="45">
        <f t="shared" si="3"/>
        <v>0.97124999999999995</v>
      </c>
      <c r="G27" s="45">
        <f t="shared" si="3"/>
        <v>1.0174999999999998</v>
      </c>
      <c r="H27" s="45">
        <f t="shared" si="3"/>
        <v>1.1007500000000083</v>
      </c>
      <c r="I27" s="45">
        <f t="shared" si="3"/>
        <v>1.1839999999999999</v>
      </c>
      <c r="J27" s="45">
        <f t="shared" si="3"/>
        <v>1.2826666666666779</v>
      </c>
      <c r="K27" s="45">
        <f t="shared" si="3"/>
        <v>1.3813333333333389</v>
      </c>
      <c r="L27" s="45">
        <f t="shared" si="3"/>
        <v>1.48</v>
      </c>
      <c r="M27" s="45">
        <f t="shared" si="3"/>
        <v>1.6187499999999999</v>
      </c>
      <c r="N27" s="45">
        <f t="shared" si="3"/>
        <v>1.7575000000000001</v>
      </c>
      <c r="O27" s="45">
        <f t="shared" si="3"/>
        <v>1.89625</v>
      </c>
      <c r="P27" s="45">
        <f t="shared" si="3"/>
        <v>2.0350000000000001</v>
      </c>
      <c r="Q27" s="45">
        <f t="shared" si="3"/>
        <v>2.1737500000000001</v>
      </c>
      <c r="R27" s="45">
        <f t="shared" si="3"/>
        <v>2.3124999999999996</v>
      </c>
      <c r="S27" s="45">
        <f t="shared" si="3"/>
        <v>2.4975000000000001</v>
      </c>
      <c r="T27" s="45">
        <f t="shared" si="3"/>
        <v>2.6825000000000001</v>
      </c>
      <c r="U27" s="45">
        <f t="shared" si="3"/>
        <v>2.8891409190276618</v>
      </c>
      <c r="V27" s="45">
        <f t="shared" si="3"/>
        <v>3.1117000000000012</v>
      </c>
      <c r="W27" s="45">
        <f t="shared" si="3"/>
        <v>3.3514034660720893</v>
      </c>
      <c r="X27" s="45">
        <f t="shared" si="3"/>
        <v>3.6095720000000031</v>
      </c>
      <c r="Y27" s="45">
        <f t="shared" si="3"/>
        <v>3.8876280206436249</v>
      </c>
      <c r="Z27" s="45">
        <f t="shared" si="3"/>
        <v>4.1871035200000044</v>
      </c>
      <c r="AA27" s="45">
        <f t="shared" si="3"/>
        <v>4.5096485039466065</v>
      </c>
      <c r="AB27" s="45">
        <f t="shared" si="3"/>
        <v>4.8570400832000074</v>
      </c>
      <c r="AC27" s="45">
        <f t="shared" si="3"/>
        <v>5.2311922645780653</v>
      </c>
      <c r="AD27" s="45">
        <f t="shared" si="3"/>
        <v>5.6341664965120106</v>
      </c>
      <c r="AE27" s="45">
        <f t="shared" si="3"/>
        <v>6.0681830269105586</v>
      </c>
      <c r="AF27" s="45">
        <f t="shared" si="3"/>
        <v>6.5356331359539341</v>
      </c>
    </row>
    <row r="28" spans="1:32" x14ac:dyDescent="0.45">
      <c r="A28" s="34" t="s">
        <v>44</v>
      </c>
      <c r="B28" s="45">
        <f t="shared" ref="B28:D28" si="4">B$13*$B23</f>
        <v>2.0271903323261333</v>
      </c>
      <c r="C28" s="45">
        <f t="shared" si="4"/>
        <v>2.3681268882174686</v>
      </c>
      <c r="D28" s="45">
        <f t="shared" si="4"/>
        <v>2.7090634441087609</v>
      </c>
      <c r="E28" s="45">
        <f t="shared" ref="E28:AF28" si="5">E$13*$B23</f>
        <v>3.05</v>
      </c>
      <c r="F28" s="45">
        <f t="shared" si="5"/>
        <v>3.2025000000000001</v>
      </c>
      <c r="G28" s="45">
        <f t="shared" si="5"/>
        <v>3.3549999999999995</v>
      </c>
      <c r="H28" s="45">
        <f t="shared" si="5"/>
        <v>3.6295000000000277</v>
      </c>
      <c r="I28" s="45">
        <f t="shared" si="5"/>
        <v>3.9039999999999999</v>
      </c>
      <c r="J28" s="45">
        <f t="shared" si="5"/>
        <v>4.2293333333333702</v>
      </c>
      <c r="K28" s="45">
        <f t="shared" si="5"/>
        <v>4.5546666666666846</v>
      </c>
      <c r="L28" s="45">
        <f t="shared" si="5"/>
        <v>4.88</v>
      </c>
      <c r="M28" s="45">
        <f t="shared" si="5"/>
        <v>5.3374999999999995</v>
      </c>
      <c r="N28" s="45">
        <f t="shared" si="5"/>
        <v>5.7949999999999999</v>
      </c>
      <c r="O28" s="45">
        <f t="shared" si="5"/>
        <v>6.2524999999999995</v>
      </c>
      <c r="P28" s="45">
        <f t="shared" si="5"/>
        <v>6.71</v>
      </c>
      <c r="Q28" s="45">
        <f t="shared" si="5"/>
        <v>7.1674999999999995</v>
      </c>
      <c r="R28" s="45">
        <f t="shared" si="5"/>
        <v>7.6249999999999991</v>
      </c>
      <c r="S28" s="45">
        <f t="shared" si="5"/>
        <v>8.2349999999999994</v>
      </c>
      <c r="T28" s="45">
        <f t="shared" si="5"/>
        <v>8.8450000000000006</v>
      </c>
      <c r="U28" s="45">
        <f t="shared" si="5"/>
        <v>9.5263565438209401</v>
      </c>
      <c r="V28" s="45">
        <f t="shared" si="5"/>
        <v>10.260200000000005</v>
      </c>
      <c r="W28" s="45">
        <f t="shared" si="5"/>
        <v>11.050573590832295</v>
      </c>
      <c r="X28" s="45">
        <f t="shared" si="5"/>
        <v>11.90183200000001</v>
      </c>
      <c r="Y28" s="45">
        <f t="shared" si="5"/>
        <v>12.818665365365467</v>
      </c>
      <c r="Z28" s="45">
        <f t="shared" si="5"/>
        <v>13.806125120000015</v>
      </c>
      <c r="AA28" s="45">
        <f t="shared" si="5"/>
        <v>14.869651823823947</v>
      </c>
      <c r="AB28" s="45">
        <f t="shared" si="5"/>
        <v>16.015105139200024</v>
      </c>
      <c r="AC28" s="45">
        <f t="shared" si="5"/>
        <v>17.248796115635784</v>
      </c>
      <c r="AD28" s="45">
        <f t="shared" si="5"/>
        <v>18.577521961472033</v>
      </c>
      <c r="AE28" s="45">
        <f t="shared" si="5"/>
        <v>20.008603494137517</v>
      </c>
      <c r="AF28" s="45">
        <f t="shared" si="5"/>
        <v>21.549925475307568</v>
      </c>
    </row>
    <row r="29" spans="1:32" x14ac:dyDescent="0.45">
      <c r="A29" s="34" t="s">
        <v>45</v>
      </c>
      <c r="B29" s="45">
        <f t="shared" ref="B29:D29" si="6">B$13*$B24</f>
        <v>0.68126888217517623</v>
      </c>
      <c r="C29" s="45">
        <f t="shared" si="6"/>
        <v>0.79584592145013322</v>
      </c>
      <c r="D29" s="45">
        <f t="shared" si="6"/>
        <v>0.91042296072507567</v>
      </c>
      <c r="E29" s="45">
        <f t="shared" ref="E29:AF29" si="7">E$13*$B24</f>
        <v>1.0250000000000004</v>
      </c>
      <c r="F29" s="45">
        <f t="shared" si="7"/>
        <v>1.0762500000000004</v>
      </c>
      <c r="G29" s="45">
        <f t="shared" si="7"/>
        <v>1.1275000000000002</v>
      </c>
      <c r="H29" s="45">
        <f t="shared" si="7"/>
        <v>1.2197500000000097</v>
      </c>
      <c r="I29" s="45">
        <f t="shared" si="7"/>
        <v>1.3120000000000005</v>
      </c>
      <c r="J29" s="45">
        <f t="shared" si="7"/>
        <v>1.4213333333333462</v>
      </c>
      <c r="K29" s="45">
        <f t="shared" si="7"/>
        <v>1.5306666666666735</v>
      </c>
      <c r="L29" s="45">
        <f t="shared" si="7"/>
        <v>1.6400000000000006</v>
      </c>
      <c r="M29" s="45">
        <f t="shared" si="7"/>
        <v>1.7937500000000006</v>
      </c>
      <c r="N29" s="45">
        <f t="shared" si="7"/>
        <v>1.9475000000000007</v>
      </c>
      <c r="O29" s="45">
        <f t="shared" si="7"/>
        <v>2.1012500000000007</v>
      </c>
      <c r="P29" s="45">
        <f t="shared" si="7"/>
        <v>2.2550000000000008</v>
      </c>
      <c r="Q29" s="45">
        <f t="shared" si="7"/>
        <v>2.4087500000000008</v>
      </c>
      <c r="R29" s="45">
        <f t="shared" si="7"/>
        <v>2.5625000000000004</v>
      </c>
      <c r="S29" s="45">
        <f t="shared" si="7"/>
        <v>2.767500000000001</v>
      </c>
      <c r="T29" s="45">
        <f t="shared" si="7"/>
        <v>2.972500000000001</v>
      </c>
      <c r="U29" s="45">
        <f t="shared" si="7"/>
        <v>3.2014804778414643</v>
      </c>
      <c r="V29" s="45">
        <f t="shared" si="7"/>
        <v>3.4481000000000028</v>
      </c>
      <c r="W29" s="45">
        <f t="shared" si="7"/>
        <v>3.7137173542961004</v>
      </c>
      <c r="X29" s="45">
        <f t="shared" si="7"/>
        <v>3.9997960000000048</v>
      </c>
      <c r="Y29" s="45">
        <f t="shared" si="7"/>
        <v>4.3079121309834782</v>
      </c>
      <c r="Z29" s="45">
        <f t="shared" si="7"/>
        <v>4.639763360000007</v>
      </c>
      <c r="AA29" s="45">
        <f t="shared" si="7"/>
        <v>4.9971780719408363</v>
      </c>
      <c r="AB29" s="45">
        <f t="shared" si="7"/>
        <v>5.3821254976000104</v>
      </c>
      <c r="AC29" s="45">
        <f t="shared" si="7"/>
        <v>5.7967265634513723</v>
      </c>
      <c r="AD29" s="45">
        <f t="shared" si="7"/>
        <v>6.2432655772160137</v>
      </c>
      <c r="AE29" s="45">
        <f t="shared" si="7"/>
        <v>6.7242028136035943</v>
      </c>
      <c r="AF29" s="45">
        <f t="shared" si="7"/>
        <v>7.2421880695705783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BC6E-892D-4488-8297-CA76933E1C45}">
  <sheetPr>
    <tabColor rgb="FFFFFF00"/>
  </sheetPr>
  <dimension ref="A1:AF139"/>
  <sheetViews>
    <sheetView workbookViewId="0">
      <selection activeCell="A57" sqref="A57:A139"/>
    </sheetView>
  </sheetViews>
  <sheetFormatPr defaultRowHeight="17" x14ac:dyDescent="0.45"/>
  <cols>
    <col min="1" max="1" width="48.58203125" customWidth="1"/>
    <col min="2" max="3" width="12.58203125" customWidth="1"/>
    <col min="4" max="32" width="9.58203125" customWidth="1"/>
  </cols>
  <sheetData>
    <row r="1" spans="1:3" ht="17.5" x14ac:dyDescent="0.45">
      <c r="A1" s="72" t="s">
        <v>92</v>
      </c>
    </row>
    <row r="2" spans="1:3" x14ac:dyDescent="0.45">
      <c r="A2" t="s">
        <v>93</v>
      </c>
    </row>
    <row r="4" spans="1:3" x14ac:dyDescent="0.45">
      <c r="A4" s="71" t="s">
        <v>94</v>
      </c>
    </row>
    <row r="5" spans="1:3" x14ac:dyDescent="0.45">
      <c r="A5" t="s">
        <v>95</v>
      </c>
      <c r="B5" s="74">
        <v>2.2999999999999998</v>
      </c>
      <c r="C5" t="s">
        <v>137</v>
      </c>
    </row>
    <row r="6" spans="1:3" x14ac:dyDescent="0.45">
      <c r="A6" t="s">
        <v>96</v>
      </c>
      <c r="B6" s="74">
        <v>2.5</v>
      </c>
      <c r="C6" t="s">
        <v>138</v>
      </c>
    </row>
    <row r="7" spans="1:3" x14ac:dyDescent="0.45">
      <c r="A7" t="s">
        <v>97</v>
      </c>
      <c r="B7" s="74">
        <v>7.3</v>
      </c>
      <c r="C7" t="s">
        <v>139</v>
      </c>
    </row>
    <row r="8" spans="1:3" x14ac:dyDescent="0.45">
      <c r="A8" t="s">
        <v>98</v>
      </c>
      <c r="B8" s="74">
        <v>12.5</v>
      </c>
      <c r="C8" t="s">
        <v>140</v>
      </c>
    </row>
    <row r="9" spans="1:3" x14ac:dyDescent="0.45">
      <c r="A9" t="s">
        <v>99</v>
      </c>
      <c r="B9" s="74">
        <v>14.8</v>
      </c>
      <c r="C9" t="s">
        <v>141</v>
      </c>
    </row>
    <row r="10" spans="1:3" x14ac:dyDescent="0.45">
      <c r="A10" t="s">
        <v>100</v>
      </c>
      <c r="B10" s="74">
        <v>20</v>
      </c>
      <c r="C10" t="s">
        <v>142</v>
      </c>
    </row>
    <row r="11" spans="1:3" x14ac:dyDescent="0.45">
      <c r="A11" t="s">
        <v>101</v>
      </c>
      <c r="B11" s="74">
        <v>8.4</v>
      </c>
      <c r="C11" t="s">
        <v>143</v>
      </c>
    </row>
    <row r="13" spans="1:3" x14ac:dyDescent="0.45">
      <c r="A13" s="71" t="s">
        <v>102</v>
      </c>
    </row>
    <row r="14" spans="1:3" x14ac:dyDescent="0.45">
      <c r="A14" t="s">
        <v>103</v>
      </c>
      <c r="B14">
        <f>Baseline!T13</f>
        <v>14.5</v>
      </c>
      <c r="C14" t="s">
        <v>144</v>
      </c>
    </row>
    <row r="15" spans="1:3" x14ac:dyDescent="0.45">
      <c r="A15" t="s">
        <v>104</v>
      </c>
      <c r="B15">
        <f>B14</f>
        <v>14.5</v>
      </c>
      <c r="C15" t="s">
        <v>145</v>
      </c>
    </row>
    <row r="16" spans="1:3" x14ac:dyDescent="0.45">
      <c r="A16" t="s">
        <v>105</v>
      </c>
      <c r="B16">
        <f>(Baseline!T13/Baseline!E13)^(1/15)-1</f>
        <v>7.3560522912360149E-2</v>
      </c>
    </row>
    <row r="17" spans="1:3" x14ac:dyDescent="0.45">
      <c r="A17" t="s">
        <v>106</v>
      </c>
      <c r="B17">
        <f>Baseline!H3</f>
        <v>7.703296142690097E-2</v>
      </c>
      <c r="C17" t="s">
        <v>146</v>
      </c>
    </row>
    <row r="19" spans="1:3" x14ac:dyDescent="0.45">
      <c r="A19" s="71" t="s">
        <v>107</v>
      </c>
    </row>
    <row r="20" spans="1:3" x14ac:dyDescent="0.45">
      <c r="A20" t="s">
        <v>108</v>
      </c>
      <c r="B20" s="74">
        <v>100.6</v>
      </c>
      <c r="C20" t="s">
        <v>147</v>
      </c>
    </row>
    <row r="21" spans="1:3" x14ac:dyDescent="0.45">
      <c r="A21" t="s">
        <v>109</v>
      </c>
      <c r="B21">
        <f>B20-B15</f>
        <v>86.1</v>
      </c>
      <c r="C21" s="73" t="s">
        <v>148</v>
      </c>
    </row>
    <row r="23" spans="1:3" x14ac:dyDescent="0.45">
      <c r="A23" s="71" t="s">
        <v>110</v>
      </c>
    </row>
    <row r="24" spans="1:3" x14ac:dyDescent="0.45">
      <c r="A24" t="s">
        <v>111</v>
      </c>
      <c r="B24">
        <f>B6/B8</f>
        <v>0.2</v>
      </c>
      <c r="C24" t="s">
        <v>149</v>
      </c>
    </row>
    <row r="25" spans="1:3" x14ac:dyDescent="0.45">
      <c r="A25" t="s">
        <v>112</v>
      </c>
      <c r="B25" s="74">
        <v>1</v>
      </c>
      <c r="C25" t="s">
        <v>150</v>
      </c>
    </row>
    <row r="26" spans="1:3" x14ac:dyDescent="0.45">
      <c r="A26" t="s">
        <v>113</v>
      </c>
      <c r="B26">
        <f>B10/B8</f>
        <v>1.6</v>
      </c>
    </row>
    <row r="27" spans="1:3" x14ac:dyDescent="0.45">
      <c r="A27" t="s">
        <v>114</v>
      </c>
      <c r="B27">
        <f>B21*B24</f>
        <v>17.22</v>
      </c>
    </row>
    <row r="28" spans="1:3" x14ac:dyDescent="0.45">
      <c r="A28" t="s">
        <v>115</v>
      </c>
      <c r="B28">
        <f>B21*B25</f>
        <v>86.1</v>
      </c>
    </row>
    <row r="29" spans="1:3" x14ac:dyDescent="0.45">
      <c r="A29" t="s">
        <v>116</v>
      </c>
      <c r="B29">
        <f>B21*B26</f>
        <v>137.76</v>
      </c>
    </row>
    <row r="31" spans="1:3" x14ac:dyDescent="0.45">
      <c r="A31" s="71" t="s">
        <v>117</v>
      </c>
    </row>
    <row r="32" spans="1:3" x14ac:dyDescent="0.45">
      <c r="A32" t="s">
        <v>118</v>
      </c>
      <c r="B32">
        <f>LN(B11/B9)/LN(4/5)</f>
        <v>2.5382560758982309</v>
      </c>
      <c r="C32" t="s">
        <v>151</v>
      </c>
    </row>
    <row r="34" spans="1:32" x14ac:dyDescent="0.45">
      <c r="A34" s="71" t="s">
        <v>119</v>
      </c>
    </row>
    <row r="35" spans="1:32" x14ac:dyDescent="0.45">
      <c r="A35" s="71" t="s">
        <v>33</v>
      </c>
      <c r="B35" s="77">
        <v>2020</v>
      </c>
      <c r="C35" s="77">
        <v>2021</v>
      </c>
      <c r="D35" s="77">
        <v>2022</v>
      </c>
      <c r="E35" s="77">
        <v>2023</v>
      </c>
      <c r="F35" s="77">
        <v>2024</v>
      </c>
      <c r="G35" s="77">
        <v>2025</v>
      </c>
      <c r="H35" s="77">
        <v>2026</v>
      </c>
      <c r="I35" s="77">
        <v>2027</v>
      </c>
      <c r="J35" s="77">
        <v>2028</v>
      </c>
      <c r="K35" s="77">
        <v>2029</v>
      </c>
      <c r="L35" s="77">
        <v>2030</v>
      </c>
      <c r="M35" s="77">
        <v>2031</v>
      </c>
      <c r="N35" s="77">
        <v>2032</v>
      </c>
      <c r="O35" s="77">
        <v>2033</v>
      </c>
      <c r="P35" s="77">
        <v>2034</v>
      </c>
      <c r="Q35" s="77">
        <v>2035</v>
      </c>
      <c r="R35" s="77">
        <v>2036</v>
      </c>
      <c r="S35" s="77">
        <v>2037</v>
      </c>
      <c r="T35" s="77">
        <v>2038</v>
      </c>
      <c r="U35" s="77">
        <v>2039</v>
      </c>
      <c r="V35" s="77">
        <v>2040</v>
      </c>
      <c r="W35" s="77">
        <v>2041</v>
      </c>
      <c r="X35" s="77">
        <v>2042</v>
      </c>
      <c r="Y35" s="77">
        <v>2043</v>
      </c>
      <c r="Z35" s="77">
        <v>2044</v>
      </c>
      <c r="AA35" s="77">
        <v>2045</v>
      </c>
      <c r="AB35" s="77">
        <v>2046</v>
      </c>
      <c r="AC35" s="77">
        <v>2047</v>
      </c>
      <c r="AD35" s="77">
        <v>2048</v>
      </c>
      <c r="AE35" s="77">
        <v>2049</v>
      </c>
      <c r="AF35" s="77">
        <v>2050</v>
      </c>
    </row>
    <row r="36" spans="1:32" x14ac:dyDescent="0.45">
      <c r="A36" t="s">
        <v>120</v>
      </c>
      <c r="B36" s="76">
        <f t="shared" ref="B36:AF36" si="0">B40+B41*$B$27</f>
        <v>3.3232628398789075</v>
      </c>
      <c r="C36" s="76">
        <f t="shared" si="0"/>
        <v>3.8821752265860141</v>
      </c>
      <c r="D36" s="76">
        <f t="shared" si="0"/>
        <v>4.4410876132930506</v>
      </c>
      <c r="E36" s="76">
        <f t="shared" si="0"/>
        <v>5</v>
      </c>
      <c r="F36" s="76">
        <f t="shared" si="0"/>
        <v>5.25</v>
      </c>
      <c r="G36" s="76">
        <f t="shared" si="0"/>
        <v>5.4999999999999991</v>
      </c>
      <c r="H36" s="76">
        <f t="shared" si="0"/>
        <v>6.216474781077773</v>
      </c>
      <c r="I36" s="76">
        <f t="shared" si="0"/>
        <v>7.9479157871033621</v>
      </c>
      <c r="J36" s="76">
        <f t="shared" si="0"/>
        <v>11.265568643884658</v>
      </c>
      <c r="K36" s="76">
        <f t="shared" si="0"/>
        <v>16.458299099099129</v>
      </c>
      <c r="L36" s="76">
        <f t="shared" si="0"/>
        <v>23.842399999999998</v>
      </c>
      <c r="M36" s="76">
        <f t="shared" si="0"/>
        <v>24.867919999999998</v>
      </c>
      <c r="N36" s="76">
        <f t="shared" si="0"/>
        <v>25.893439999999998</v>
      </c>
      <c r="O36" s="76">
        <f t="shared" si="0"/>
        <v>26.918959999999998</v>
      </c>
      <c r="P36" s="76">
        <f t="shared" si="0"/>
        <v>27.944479999999999</v>
      </c>
      <c r="Q36" s="76">
        <f t="shared" si="0"/>
        <v>28.97</v>
      </c>
      <c r="R36" s="76">
        <f t="shared" si="0"/>
        <v>29.72</v>
      </c>
      <c r="S36" s="76">
        <f t="shared" si="0"/>
        <v>30.72</v>
      </c>
      <c r="T36" s="76">
        <f t="shared" si="0"/>
        <v>31.72</v>
      </c>
      <c r="U36" s="76">
        <f t="shared" si="0"/>
        <v>31.72</v>
      </c>
      <c r="V36" s="76">
        <f t="shared" si="0"/>
        <v>31.72</v>
      </c>
      <c r="W36" s="76">
        <f t="shared" si="0"/>
        <v>31.72</v>
      </c>
      <c r="X36" s="76">
        <f t="shared" si="0"/>
        <v>31.72</v>
      </c>
      <c r="Y36" s="76">
        <f t="shared" si="0"/>
        <v>31.72</v>
      </c>
      <c r="Z36" s="76">
        <f t="shared" si="0"/>
        <v>31.72</v>
      </c>
      <c r="AA36" s="76">
        <f t="shared" si="0"/>
        <v>31.72</v>
      </c>
      <c r="AB36" s="76">
        <f t="shared" si="0"/>
        <v>31.72</v>
      </c>
      <c r="AC36" s="76">
        <f t="shared" si="0"/>
        <v>31.72</v>
      </c>
      <c r="AD36" s="76">
        <f t="shared" si="0"/>
        <v>31.72</v>
      </c>
      <c r="AE36" s="76">
        <f t="shared" si="0"/>
        <v>31.72</v>
      </c>
      <c r="AF36" s="76">
        <f t="shared" si="0"/>
        <v>31.72</v>
      </c>
    </row>
    <row r="37" spans="1:32" x14ac:dyDescent="0.45">
      <c r="A37" t="s">
        <v>121</v>
      </c>
      <c r="B37" s="76">
        <f t="shared" ref="B37:AF37" si="1">B40+B42*$B$28</f>
        <v>3.3232628398789075</v>
      </c>
      <c r="C37" s="76">
        <f t="shared" si="1"/>
        <v>3.8821752265860141</v>
      </c>
      <c r="D37" s="76">
        <f t="shared" si="1"/>
        <v>4.4410876132930506</v>
      </c>
      <c r="E37" s="76">
        <f t="shared" si="1"/>
        <v>5</v>
      </c>
      <c r="F37" s="76">
        <f t="shared" si="1"/>
        <v>5.25</v>
      </c>
      <c r="G37" s="76">
        <f t="shared" si="1"/>
        <v>5.4999999999999991</v>
      </c>
      <c r="H37" s="76">
        <f t="shared" si="1"/>
        <v>6.7957677834206578</v>
      </c>
      <c r="I37" s="76">
        <f t="shared" si="1"/>
        <v>11.312950106893279</v>
      </c>
      <c r="J37" s="76">
        <f t="shared" si="1"/>
        <v>20.683471492909145</v>
      </c>
      <c r="K37" s="76">
        <f t="shared" si="1"/>
        <v>36.00532612612615</v>
      </c>
      <c r="L37" s="76">
        <f t="shared" si="1"/>
        <v>58.282399999999996</v>
      </c>
      <c r="M37" s="76">
        <f t="shared" si="1"/>
        <v>66.195920000000001</v>
      </c>
      <c r="N37" s="76">
        <f t="shared" si="1"/>
        <v>74.109439999999992</v>
      </c>
      <c r="O37" s="76">
        <f t="shared" si="1"/>
        <v>82.022959999999998</v>
      </c>
      <c r="P37" s="76">
        <f t="shared" si="1"/>
        <v>89.936480000000003</v>
      </c>
      <c r="Q37" s="76">
        <f t="shared" si="1"/>
        <v>97.85</v>
      </c>
      <c r="R37" s="76">
        <f t="shared" si="1"/>
        <v>98.6</v>
      </c>
      <c r="S37" s="76">
        <f t="shared" si="1"/>
        <v>99.6</v>
      </c>
      <c r="T37" s="76">
        <f t="shared" si="1"/>
        <v>100.6</v>
      </c>
      <c r="U37" s="76">
        <f t="shared" si="1"/>
        <v>100.6</v>
      </c>
      <c r="V37" s="76">
        <f t="shared" si="1"/>
        <v>100.6</v>
      </c>
      <c r="W37" s="76">
        <f t="shared" si="1"/>
        <v>100.6</v>
      </c>
      <c r="X37" s="76">
        <f t="shared" si="1"/>
        <v>100.6</v>
      </c>
      <c r="Y37" s="76">
        <f t="shared" si="1"/>
        <v>100.6</v>
      </c>
      <c r="Z37" s="76">
        <f t="shared" si="1"/>
        <v>100.6</v>
      </c>
      <c r="AA37" s="76">
        <f t="shared" si="1"/>
        <v>100.6</v>
      </c>
      <c r="AB37" s="76">
        <f t="shared" si="1"/>
        <v>100.6</v>
      </c>
      <c r="AC37" s="76">
        <f t="shared" si="1"/>
        <v>100.6</v>
      </c>
      <c r="AD37" s="76">
        <f t="shared" si="1"/>
        <v>100.6</v>
      </c>
      <c r="AE37" s="76">
        <f t="shared" si="1"/>
        <v>100.6</v>
      </c>
      <c r="AF37" s="76">
        <f t="shared" si="1"/>
        <v>100.6</v>
      </c>
    </row>
    <row r="38" spans="1:32" x14ac:dyDescent="0.45">
      <c r="A38" t="s">
        <v>122</v>
      </c>
      <c r="B38" s="76">
        <f t="shared" ref="B38:AF38" si="2">B40+B43*$B$29</f>
        <v>3.3232628398789075</v>
      </c>
      <c r="C38" s="76">
        <f t="shared" si="2"/>
        <v>3.8821752265860141</v>
      </c>
      <c r="D38" s="76">
        <f t="shared" si="2"/>
        <v>4.4410876132930506</v>
      </c>
      <c r="E38" s="76">
        <f t="shared" si="2"/>
        <v>5</v>
      </c>
      <c r="F38" s="76">
        <f t="shared" si="2"/>
        <v>5.25</v>
      </c>
      <c r="G38" s="76">
        <f t="shared" si="2"/>
        <v>5.4999999999999991</v>
      </c>
      <c r="H38" s="76">
        <f t="shared" si="2"/>
        <v>7.664707286934985</v>
      </c>
      <c r="I38" s="76">
        <f t="shared" si="2"/>
        <v>16.360501586578156</v>
      </c>
      <c r="J38" s="76">
        <f t="shared" si="2"/>
        <v>34.810325766445878</v>
      </c>
      <c r="K38" s="76">
        <f t="shared" si="2"/>
        <v>65.325866666666684</v>
      </c>
      <c r="L38" s="76">
        <f t="shared" si="2"/>
        <v>109.94239999999999</v>
      </c>
      <c r="M38" s="76">
        <f t="shared" si="2"/>
        <v>117.85592</v>
      </c>
      <c r="N38" s="76">
        <f t="shared" si="2"/>
        <v>125.76943999999999</v>
      </c>
      <c r="O38" s="76">
        <f t="shared" si="2"/>
        <v>133.68296000000001</v>
      </c>
      <c r="P38" s="76">
        <f t="shared" si="2"/>
        <v>141.59648000000001</v>
      </c>
      <c r="Q38" s="76">
        <f t="shared" si="2"/>
        <v>149.51</v>
      </c>
      <c r="R38" s="76">
        <f t="shared" si="2"/>
        <v>150.26</v>
      </c>
      <c r="S38" s="76">
        <f t="shared" si="2"/>
        <v>151.26</v>
      </c>
      <c r="T38" s="76">
        <f t="shared" si="2"/>
        <v>152.26</v>
      </c>
      <c r="U38" s="76">
        <f t="shared" si="2"/>
        <v>152.26</v>
      </c>
      <c r="V38" s="76">
        <f t="shared" si="2"/>
        <v>152.26</v>
      </c>
      <c r="W38" s="76">
        <f t="shared" si="2"/>
        <v>152.26</v>
      </c>
      <c r="X38" s="76">
        <f t="shared" si="2"/>
        <v>152.26</v>
      </c>
      <c r="Y38" s="76">
        <f t="shared" si="2"/>
        <v>152.26</v>
      </c>
      <c r="Z38" s="76">
        <f t="shared" si="2"/>
        <v>152.26</v>
      </c>
      <c r="AA38" s="76">
        <f t="shared" si="2"/>
        <v>152.26</v>
      </c>
      <c r="AB38" s="76">
        <f t="shared" si="2"/>
        <v>152.26</v>
      </c>
      <c r="AC38" s="76">
        <f t="shared" si="2"/>
        <v>152.26</v>
      </c>
      <c r="AD38" s="76">
        <f t="shared" si="2"/>
        <v>152.26</v>
      </c>
      <c r="AE38" s="76">
        <f t="shared" si="2"/>
        <v>152.26</v>
      </c>
      <c r="AF38" s="76">
        <f t="shared" si="2"/>
        <v>152.26</v>
      </c>
    </row>
    <row r="40" spans="1:32" x14ac:dyDescent="0.45">
      <c r="A40" t="s">
        <v>123</v>
      </c>
      <c r="B40" s="79">
        <f>Baseline!B13</f>
        <v>3.3232628398789075</v>
      </c>
      <c r="C40" s="79">
        <f>Baseline!C13</f>
        <v>3.8821752265860141</v>
      </c>
      <c r="D40" s="79">
        <f>Baseline!D13</f>
        <v>4.4410876132930506</v>
      </c>
      <c r="E40" s="79">
        <f>Baseline!E13</f>
        <v>5</v>
      </c>
      <c r="F40" s="79">
        <f>Baseline!F13</f>
        <v>5.25</v>
      </c>
      <c r="G40" s="79">
        <f>Baseline!G13</f>
        <v>5.4999999999999991</v>
      </c>
      <c r="H40" s="79">
        <f>Baseline!H13</f>
        <v>5.9500000000000455</v>
      </c>
      <c r="I40" s="79">
        <f>Baseline!I13</f>
        <v>6.4</v>
      </c>
      <c r="J40" s="79">
        <f>Baseline!J13</f>
        <v>6.933333333333394</v>
      </c>
      <c r="K40" s="79">
        <f>Baseline!K13</f>
        <v>7.466666666666697</v>
      </c>
      <c r="L40" s="79">
        <f>Baseline!L13</f>
        <v>8</v>
      </c>
      <c r="M40" s="79">
        <f>Baseline!M13</f>
        <v>8.75</v>
      </c>
      <c r="N40" s="79">
        <f>Baseline!N13</f>
        <v>9.5</v>
      </c>
      <c r="O40" s="79">
        <f>Baseline!O13</f>
        <v>10.25</v>
      </c>
      <c r="P40" s="79">
        <f>Baseline!P13</f>
        <v>11</v>
      </c>
      <c r="Q40" s="79">
        <f>Baseline!Q13</f>
        <v>11.75</v>
      </c>
      <c r="R40" s="79">
        <f>Baseline!R13</f>
        <v>12.499999999999998</v>
      </c>
      <c r="S40" s="79">
        <f>Baseline!S13</f>
        <v>13.5</v>
      </c>
      <c r="T40" s="79">
        <f>Baseline!T13</f>
        <v>14.5</v>
      </c>
      <c r="U40" s="79">
        <f t="shared" ref="U40:AF40" si="3">$B$15</f>
        <v>14.5</v>
      </c>
      <c r="V40" s="79">
        <f t="shared" si="3"/>
        <v>14.5</v>
      </c>
      <c r="W40" s="79">
        <f t="shared" si="3"/>
        <v>14.5</v>
      </c>
      <c r="X40" s="79">
        <f t="shared" si="3"/>
        <v>14.5</v>
      </c>
      <c r="Y40" s="79">
        <f t="shared" si="3"/>
        <v>14.5</v>
      </c>
      <c r="Z40" s="79">
        <f t="shared" si="3"/>
        <v>14.5</v>
      </c>
      <c r="AA40" s="79">
        <f t="shared" si="3"/>
        <v>14.5</v>
      </c>
      <c r="AB40" s="79">
        <f t="shared" si="3"/>
        <v>14.5</v>
      </c>
      <c r="AC40" s="79">
        <f t="shared" si="3"/>
        <v>14.5</v>
      </c>
      <c r="AD40" s="79">
        <f t="shared" si="3"/>
        <v>14.5</v>
      </c>
      <c r="AE40" s="79">
        <f t="shared" si="3"/>
        <v>14.5</v>
      </c>
      <c r="AF40" s="79">
        <f t="shared" si="3"/>
        <v>14.5</v>
      </c>
    </row>
    <row r="41" spans="1:32" x14ac:dyDescent="0.45">
      <c r="A41" t="s">
        <v>124</v>
      </c>
      <c r="B41" s="75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f>($B$5/$B$6)*((2026-2025)/5)^$B$32</f>
        <v>1.547472596270192E-2</v>
      </c>
      <c r="I41" s="75">
        <f>($B$5/$B$6)*((2027-2025)/5)^$B$32</f>
        <v>8.9890579971159235E-2</v>
      </c>
      <c r="J41" s="75">
        <f>($B$5/$B$6)*((2028-2025)/5)^$B$32</f>
        <v>0.25158160920739048</v>
      </c>
      <c r="K41" s="75">
        <f>($B$5/$B$6)*((2029-2025)/5)^$B$32</f>
        <v>0.52216216216216205</v>
      </c>
      <c r="L41" s="75">
        <f>($B$5/$B$6)*((2030-2025)/5)^$B$32</f>
        <v>0.91999999999999993</v>
      </c>
      <c r="M41" s="75">
        <f>($B$5+($B$6-$B$5)*(2031-2030)/5)/$B$6</f>
        <v>0.93599999999999994</v>
      </c>
      <c r="N41" s="75">
        <f>($B$5+($B$6-$B$5)*(2032-2030)/5)/$B$6</f>
        <v>0.95199999999999996</v>
      </c>
      <c r="O41" s="75">
        <f>($B$5+($B$6-$B$5)*(2033-2030)/5)/$B$6</f>
        <v>0.96799999999999997</v>
      </c>
      <c r="P41" s="75">
        <f>($B$5+($B$6-$B$5)*(2034-2030)/5)/$B$6</f>
        <v>0.98399999999999999</v>
      </c>
      <c r="Q41" s="75">
        <f>($B$5+($B$6-$B$5)*(2035-2030)/5)/$B$6</f>
        <v>1</v>
      </c>
      <c r="R41" s="75">
        <v>1</v>
      </c>
      <c r="S41" s="75">
        <v>1</v>
      </c>
      <c r="T41" s="75">
        <v>1</v>
      </c>
      <c r="U41" s="75">
        <v>1</v>
      </c>
      <c r="V41" s="75">
        <v>1</v>
      </c>
      <c r="W41" s="75">
        <v>1</v>
      </c>
      <c r="X41" s="75">
        <v>1</v>
      </c>
      <c r="Y41" s="75">
        <v>1</v>
      </c>
      <c r="Z41" s="75">
        <v>1</v>
      </c>
      <c r="AA41" s="75">
        <v>1</v>
      </c>
      <c r="AB41" s="75">
        <v>1</v>
      </c>
      <c r="AC41" s="75">
        <v>1</v>
      </c>
      <c r="AD41" s="75">
        <v>1</v>
      </c>
      <c r="AE41" s="75">
        <v>1</v>
      </c>
      <c r="AF41" s="75">
        <v>1</v>
      </c>
    </row>
    <row r="42" spans="1:32" x14ac:dyDescent="0.45">
      <c r="A42" t="s">
        <v>125</v>
      </c>
      <c r="B42" s="75">
        <v>0</v>
      </c>
      <c r="C42" s="75">
        <v>0</v>
      </c>
      <c r="D42" s="75">
        <v>0</v>
      </c>
      <c r="E42" s="75">
        <v>0</v>
      </c>
      <c r="F42" s="75">
        <v>0</v>
      </c>
      <c r="G42" s="75">
        <v>0</v>
      </c>
      <c r="H42" s="75">
        <f>($B$7/$B$8)*((2026-2025)/5)^$B$32</f>
        <v>9.8230869154542627E-3</v>
      </c>
      <c r="I42" s="75">
        <f>($B$7/$B$8)*((2027-2025)/5)^$B$32</f>
        <v>5.7060976851257605E-2</v>
      </c>
      <c r="J42" s="75">
        <f>($B$7/$B$8)*((2028-2025)/5)^$B$32</f>
        <v>0.15969963019251746</v>
      </c>
      <c r="K42" s="75">
        <f>($B$7/$B$8)*((2029-2025)/5)^$B$32</f>
        <v>0.33145945945945943</v>
      </c>
      <c r="L42" s="75">
        <f>($B$7/$B$8)*((2030-2025)/5)^$B$32</f>
        <v>0.58399999999999996</v>
      </c>
      <c r="M42" s="75">
        <f>($B$7+($B$8-$B$7)*(2031-2030)/5)/$B$8</f>
        <v>0.66720000000000002</v>
      </c>
      <c r="N42" s="75">
        <f>($B$7+($B$8-$B$7)*(2032-2030)/5)/$B$8</f>
        <v>0.75039999999999996</v>
      </c>
      <c r="O42" s="75">
        <f>($B$7+($B$8-$B$7)*(2033-2030)/5)/$B$8</f>
        <v>0.83360000000000001</v>
      </c>
      <c r="P42" s="75">
        <f>($B$7+($B$8-$B$7)*(2034-2030)/5)/$B$8</f>
        <v>0.91680000000000006</v>
      </c>
      <c r="Q42" s="75">
        <f>($B$7+($B$8-$B$7)*(2035-2030)/5)/$B$8</f>
        <v>1</v>
      </c>
      <c r="R42" s="75">
        <v>1</v>
      </c>
      <c r="S42" s="75">
        <v>1</v>
      </c>
      <c r="T42" s="75">
        <v>1</v>
      </c>
      <c r="U42" s="75">
        <v>1</v>
      </c>
      <c r="V42" s="75">
        <v>1</v>
      </c>
      <c r="W42" s="75">
        <v>1</v>
      </c>
      <c r="X42" s="75">
        <v>1</v>
      </c>
      <c r="Y42" s="75">
        <v>1</v>
      </c>
      <c r="Z42" s="75">
        <v>1</v>
      </c>
      <c r="AA42" s="75">
        <v>1</v>
      </c>
      <c r="AB42" s="75">
        <v>1</v>
      </c>
      <c r="AC42" s="75">
        <v>1</v>
      </c>
      <c r="AD42" s="75">
        <v>1</v>
      </c>
      <c r="AE42" s="75">
        <v>1</v>
      </c>
      <c r="AF42" s="75">
        <v>1</v>
      </c>
    </row>
    <row r="43" spans="1:32" x14ac:dyDescent="0.45">
      <c r="A43" t="s">
        <v>126</v>
      </c>
      <c r="B43" s="75">
        <v>0</v>
      </c>
      <c r="C43" s="75">
        <v>0</v>
      </c>
      <c r="D43" s="75">
        <v>0</v>
      </c>
      <c r="E43" s="75">
        <v>0</v>
      </c>
      <c r="F43" s="75">
        <v>0</v>
      </c>
      <c r="G43" s="75">
        <v>0</v>
      </c>
      <c r="H43" s="75">
        <f>($B$9/$B$10)*((2026-2025)/5)^$B$32</f>
        <v>1.2447062187390676E-2</v>
      </c>
      <c r="I43" s="75">
        <f>($B$9/$B$10)*((2027-2025)/5)^$B$32</f>
        <v>7.2303292585497655E-2</v>
      </c>
      <c r="J43" s="75">
        <f>($B$9/$B$10)*((2028-2025)/5)^$B$32</f>
        <v>0.20235912044942281</v>
      </c>
      <c r="K43" s="75">
        <f>($B$9/$B$10)*((2029-2025)/5)^$B$32</f>
        <v>0.42</v>
      </c>
      <c r="L43" s="75">
        <f>($B$9/$B$10)*((2030-2025)/5)^$B$32</f>
        <v>0.74</v>
      </c>
      <c r="M43" s="75">
        <f>($B$9+($B$10-$B$9)*(2031-2030)/5)/$B$10</f>
        <v>0.79200000000000004</v>
      </c>
      <c r="N43" s="75">
        <f>($B$9+($B$10-$B$9)*(2032-2030)/5)/$B$10</f>
        <v>0.84399999999999997</v>
      </c>
      <c r="O43" s="75">
        <f>($B$9+($B$10-$B$9)*(2033-2030)/5)/$B$10</f>
        <v>0.89600000000000013</v>
      </c>
      <c r="P43" s="75">
        <f>($B$9+($B$10-$B$9)*(2034-2030)/5)/$B$10</f>
        <v>0.94800000000000006</v>
      </c>
      <c r="Q43" s="75">
        <f>($B$9+($B$10-$B$9)*(2035-2030)/5)/$B$10</f>
        <v>1</v>
      </c>
      <c r="R43" s="75">
        <v>1</v>
      </c>
      <c r="S43" s="75">
        <v>1</v>
      </c>
      <c r="T43" s="75">
        <v>1</v>
      </c>
      <c r="U43" s="75">
        <v>1</v>
      </c>
      <c r="V43" s="75">
        <v>1</v>
      </c>
      <c r="W43" s="75">
        <v>1</v>
      </c>
      <c r="X43" s="75">
        <v>1</v>
      </c>
      <c r="Y43" s="75">
        <v>1</v>
      </c>
      <c r="Z43" s="75">
        <v>1</v>
      </c>
      <c r="AA43" s="75">
        <v>1</v>
      </c>
      <c r="AB43" s="75">
        <v>1</v>
      </c>
      <c r="AC43" s="75">
        <v>1</v>
      </c>
      <c r="AD43" s="75">
        <v>1</v>
      </c>
      <c r="AE43" s="75">
        <v>1</v>
      </c>
      <c r="AF43" s="75">
        <v>1</v>
      </c>
    </row>
    <row r="45" spans="1:32" x14ac:dyDescent="0.45">
      <c r="A45" s="71" t="s">
        <v>127</v>
      </c>
    </row>
    <row r="46" spans="1:32" x14ac:dyDescent="0.45">
      <c r="A46" t="s">
        <v>128</v>
      </c>
      <c r="B46" t="str" cm="1">
        <f t="array" ref="B46">IF(AND(SUMPRODUCT(--(B36:AF36&gt;B37:AF37+0.000001))=0,SUMPRODUCT(--(B37:AF37&gt;B38:AF38+0.000001))=0),"OK","★Inversion detected")</f>
        <v>OK</v>
      </c>
    </row>
    <row r="47" spans="1:32" x14ac:dyDescent="0.45">
      <c r="A47" t="s">
        <v>129</v>
      </c>
      <c r="B47" t="str" cm="1">
        <f t="array" ref="B47">IF(SUMPRODUCT(ABS(B40:T40-Baseline!B13:T13))&lt;0.000001,"OK","★Mismatch")</f>
        <v>OK</v>
      </c>
    </row>
    <row r="48" spans="1:32" x14ac:dyDescent="0.45">
      <c r="A48" t="s">
        <v>130</v>
      </c>
      <c r="B48" t="str">
        <f>IF(AND(MIN(U40:AF40)=T40,MAX(U40:AF40)=T40),"OK","★Mismatch")</f>
        <v>OK</v>
      </c>
    </row>
    <row r="49" spans="1:2" x14ac:dyDescent="0.45">
      <c r="A49" t="s">
        <v>131</v>
      </c>
      <c r="B49" t="str" cm="1">
        <f t="array" ref="B49">IF(SUMPRODUCT(ABS(B37:G37-B40:G40))&lt;0.000001,"OK","★Mismatch")</f>
        <v>OK</v>
      </c>
    </row>
    <row r="50" spans="1:2" x14ac:dyDescent="0.45">
      <c r="A50" t="s">
        <v>132</v>
      </c>
      <c r="B50" t="str">
        <f>IF(ABS(V37-B20)&lt;0.001,"OK","★Mismatch")</f>
        <v>OK</v>
      </c>
    </row>
    <row r="51" spans="1:2" x14ac:dyDescent="0.45">
      <c r="A51" t="s">
        <v>133</v>
      </c>
      <c r="B51" t="str">
        <f>IF(AND(MAX(G41:G43)=0,ABS(MIN(Q41:Q43)-1)&lt;0.000001,ABS(MAX(Q41:Q43)-1)&lt;0.000001),"OK","★Mismatch")</f>
        <v>OK</v>
      </c>
    </row>
    <row r="52" spans="1:2" x14ac:dyDescent="0.45">
      <c r="A52" t="s">
        <v>134</v>
      </c>
      <c r="B52" t="str">
        <f>IF(ABS(K43/L43-B11/B9)&lt;0.000001,"OK","★Mismatch")</f>
        <v>OK</v>
      </c>
    </row>
    <row r="53" spans="1:2" x14ac:dyDescent="0.45">
      <c r="A53" t="s">
        <v>135</v>
      </c>
      <c r="B53" t="str">
        <f>IF(ABS(AF42-Q42)&lt;0.000001,"OK","★Mismatch")</f>
        <v>OK</v>
      </c>
    </row>
    <row r="54" spans="1:2" x14ac:dyDescent="0.45">
      <c r="A54" t="s">
        <v>136</v>
      </c>
      <c r="B54" t="str">
        <f>IF(MIN(B36:AF38)&gt;0,"OK","★Negative value detected")</f>
        <v>OK</v>
      </c>
    </row>
    <row r="56" spans="1:2" x14ac:dyDescent="0.45">
      <c r="A56" s="71" t="s">
        <v>152</v>
      </c>
    </row>
    <row r="57" spans="1:2" x14ac:dyDescent="0.45">
      <c r="A57" s="85" t="s">
        <v>153</v>
      </c>
    </row>
    <row r="58" spans="1:2" x14ac:dyDescent="0.45">
      <c r="A58" s="85" t="s">
        <v>154</v>
      </c>
    </row>
    <row r="59" spans="1:2" x14ac:dyDescent="0.45">
      <c r="A59" s="85" t="s">
        <v>155</v>
      </c>
    </row>
    <row r="60" spans="1:2" x14ac:dyDescent="0.45">
      <c r="A60" s="85" t="s">
        <v>156</v>
      </c>
    </row>
    <row r="61" spans="1:2" x14ac:dyDescent="0.45">
      <c r="A61" s="85" t="s">
        <v>157</v>
      </c>
    </row>
    <row r="62" spans="1:2" x14ac:dyDescent="0.45">
      <c r="A62" s="85" t="s">
        <v>158</v>
      </c>
    </row>
    <row r="63" spans="1:2" x14ac:dyDescent="0.45">
      <c r="A63" s="85" t="s">
        <v>159</v>
      </c>
    </row>
    <row r="64" spans="1:2" x14ac:dyDescent="0.45">
      <c r="A64" s="85" t="s">
        <v>160</v>
      </c>
    </row>
    <row r="65" spans="1:1" x14ac:dyDescent="0.45">
      <c r="A65" s="85"/>
    </row>
    <row r="66" spans="1:1" x14ac:dyDescent="0.45">
      <c r="A66" s="85" t="s">
        <v>161</v>
      </c>
    </row>
    <row r="67" spans="1:1" x14ac:dyDescent="0.45">
      <c r="A67" s="85" t="s">
        <v>162</v>
      </c>
    </row>
    <row r="68" spans="1:1" x14ac:dyDescent="0.45">
      <c r="A68" s="85" t="s">
        <v>163</v>
      </c>
    </row>
    <row r="69" spans="1:1" x14ac:dyDescent="0.45">
      <c r="A69" s="85" t="s">
        <v>164</v>
      </c>
    </row>
    <row r="70" spans="1:1" x14ac:dyDescent="0.45">
      <c r="A70" s="85" t="s">
        <v>165</v>
      </c>
    </row>
    <row r="71" spans="1:1" x14ac:dyDescent="0.45">
      <c r="A71" s="85"/>
    </row>
    <row r="72" spans="1:1" x14ac:dyDescent="0.45">
      <c r="A72" s="85" t="s">
        <v>166</v>
      </c>
    </row>
    <row r="73" spans="1:1" x14ac:dyDescent="0.45">
      <c r="A73" s="85" t="s">
        <v>167</v>
      </c>
    </row>
    <row r="74" spans="1:1" x14ac:dyDescent="0.45">
      <c r="A74" s="85" t="s">
        <v>78</v>
      </c>
    </row>
    <row r="75" spans="1:1" x14ac:dyDescent="0.45">
      <c r="A75" s="85" t="s">
        <v>168</v>
      </c>
    </row>
    <row r="76" spans="1:1" x14ac:dyDescent="0.45">
      <c r="A76" s="85" t="s">
        <v>169</v>
      </c>
    </row>
    <row r="77" spans="1:1" x14ac:dyDescent="0.45">
      <c r="A77" s="85" t="s">
        <v>170</v>
      </c>
    </row>
    <row r="78" spans="1:1" x14ac:dyDescent="0.45">
      <c r="A78" s="85" t="s">
        <v>171</v>
      </c>
    </row>
    <row r="79" spans="1:1" x14ac:dyDescent="0.45">
      <c r="A79" s="85" t="s">
        <v>172</v>
      </c>
    </row>
    <row r="80" spans="1:1" x14ac:dyDescent="0.45">
      <c r="A80" s="85" t="s">
        <v>173</v>
      </c>
    </row>
    <row r="81" spans="1:1" x14ac:dyDescent="0.45">
      <c r="A81" s="85" t="s">
        <v>174</v>
      </c>
    </row>
    <row r="82" spans="1:1" x14ac:dyDescent="0.45">
      <c r="A82" s="85" t="s">
        <v>175</v>
      </c>
    </row>
    <row r="83" spans="1:1" x14ac:dyDescent="0.45">
      <c r="A83" s="85"/>
    </row>
    <row r="84" spans="1:1" x14ac:dyDescent="0.45">
      <c r="A84" s="85" t="s">
        <v>176</v>
      </c>
    </row>
    <row r="85" spans="1:1" x14ac:dyDescent="0.45">
      <c r="A85" s="85" t="s">
        <v>177</v>
      </c>
    </row>
    <row r="86" spans="1:1" x14ac:dyDescent="0.45">
      <c r="A86" s="85" t="s">
        <v>178</v>
      </c>
    </row>
    <row r="87" spans="1:1" x14ac:dyDescent="0.45">
      <c r="A87" s="85" t="s">
        <v>179</v>
      </c>
    </row>
    <row r="88" spans="1:1" x14ac:dyDescent="0.45">
      <c r="A88" s="85" t="s">
        <v>180</v>
      </c>
    </row>
    <row r="89" spans="1:1" x14ac:dyDescent="0.45">
      <c r="A89" s="85" t="s">
        <v>181</v>
      </c>
    </row>
    <row r="90" spans="1:1" x14ac:dyDescent="0.45">
      <c r="A90" s="85" t="s">
        <v>182</v>
      </c>
    </row>
    <row r="91" spans="1:1" x14ac:dyDescent="0.45">
      <c r="A91" s="85"/>
    </row>
    <row r="92" spans="1:1" x14ac:dyDescent="0.45">
      <c r="A92" s="85" t="s">
        <v>183</v>
      </c>
    </row>
    <row r="93" spans="1:1" x14ac:dyDescent="0.45">
      <c r="A93" s="85" t="s">
        <v>184</v>
      </c>
    </row>
    <row r="94" spans="1:1" x14ac:dyDescent="0.45">
      <c r="A94" s="85" t="s">
        <v>185</v>
      </c>
    </row>
    <row r="95" spans="1:1" x14ac:dyDescent="0.45">
      <c r="A95" s="85" t="s">
        <v>186</v>
      </c>
    </row>
    <row r="96" spans="1:1" x14ac:dyDescent="0.45">
      <c r="A96" s="85" t="s">
        <v>187</v>
      </c>
    </row>
    <row r="97" spans="1:1" x14ac:dyDescent="0.45">
      <c r="A97" s="85" t="s">
        <v>188</v>
      </c>
    </row>
    <row r="98" spans="1:1" x14ac:dyDescent="0.45">
      <c r="A98" s="85" t="s">
        <v>189</v>
      </c>
    </row>
    <row r="99" spans="1:1" x14ac:dyDescent="0.45">
      <c r="A99" s="85" t="s">
        <v>190</v>
      </c>
    </row>
    <row r="100" spans="1:1" x14ac:dyDescent="0.45">
      <c r="A100" s="85"/>
    </row>
    <row r="101" spans="1:1" x14ac:dyDescent="0.45">
      <c r="A101" s="85" t="s">
        <v>191</v>
      </c>
    </row>
    <row r="102" spans="1:1" x14ac:dyDescent="0.45">
      <c r="A102" s="85" t="s">
        <v>192</v>
      </c>
    </row>
    <row r="103" spans="1:1" x14ac:dyDescent="0.45">
      <c r="A103" s="85" t="s">
        <v>193</v>
      </c>
    </row>
    <row r="104" spans="1:1" x14ac:dyDescent="0.45">
      <c r="A104" s="85" t="s">
        <v>194</v>
      </c>
    </row>
    <row r="105" spans="1:1" x14ac:dyDescent="0.45">
      <c r="A105" s="85" t="s">
        <v>195</v>
      </c>
    </row>
    <row r="106" spans="1:1" x14ac:dyDescent="0.45">
      <c r="A106" s="85" t="s">
        <v>196</v>
      </c>
    </row>
    <row r="107" spans="1:1" x14ac:dyDescent="0.45">
      <c r="A107" s="85" t="s">
        <v>197</v>
      </c>
    </row>
    <row r="108" spans="1:1" x14ac:dyDescent="0.45">
      <c r="A108" s="85" t="s">
        <v>198</v>
      </c>
    </row>
    <row r="109" spans="1:1" x14ac:dyDescent="0.45">
      <c r="A109" s="85"/>
    </row>
    <row r="110" spans="1:1" x14ac:dyDescent="0.45">
      <c r="A110" s="85" t="s">
        <v>199</v>
      </c>
    </row>
    <row r="111" spans="1:1" x14ac:dyDescent="0.45">
      <c r="A111" s="85" t="s">
        <v>200</v>
      </c>
    </row>
    <row r="112" spans="1:1" x14ac:dyDescent="0.45">
      <c r="A112" s="85" t="s">
        <v>201</v>
      </c>
    </row>
    <row r="113" spans="1:1" x14ac:dyDescent="0.45">
      <c r="A113" s="85" t="s">
        <v>202</v>
      </c>
    </row>
    <row r="114" spans="1:1" x14ac:dyDescent="0.45">
      <c r="A114" s="85" t="s">
        <v>203</v>
      </c>
    </row>
    <row r="115" spans="1:1" x14ac:dyDescent="0.45">
      <c r="A115" s="85" t="s">
        <v>204</v>
      </c>
    </row>
    <row r="116" spans="1:1" x14ac:dyDescent="0.45">
      <c r="A116" s="85" t="s">
        <v>205</v>
      </c>
    </row>
    <row r="117" spans="1:1" x14ac:dyDescent="0.45">
      <c r="A117" s="85" t="s">
        <v>206</v>
      </c>
    </row>
    <row r="118" spans="1:1" x14ac:dyDescent="0.45">
      <c r="A118" s="85" t="s">
        <v>207</v>
      </c>
    </row>
    <row r="119" spans="1:1" x14ac:dyDescent="0.45">
      <c r="A119" s="85" t="s">
        <v>208</v>
      </c>
    </row>
    <row r="120" spans="1:1" x14ac:dyDescent="0.45">
      <c r="A120" s="85" t="s">
        <v>209</v>
      </c>
    </row>
    <row r="121" spans="1:1" x14ac:dyDescent="0.45">
      <c r="A121" s="85"/>
    </row>
    <row r="122" spans="1:1" x14ac:dyDescent="0.45">
      <c r="A122" s="85" t="s">
        <v>210</v>
      </c>
    </row>
    <row r="123" spans="1:1" x14ac:dyDescent="0.45">
      <c r="A123" s="85" t="s">
        <v>211</v>
      </c>
    </row>
    <row r="124" spans="1:1" x14ac:dyDescent="0.45">
      <c r="A124" s="85" t="s">
        <v>212</v>
      </c>
    </row>
    <row r="125" spans="1:1" x14ac:dyDescent="0.45">
      <c r="A125" s="85" t="s">
        <v>213</v>
      </c>
    </row>
    <row r="126" spans="1:1" x14ac:dyDescent="0.45">
      <c r="A126" s="85"/>
    </row>
    <row r="127" spans="1:1" x14ac:dyDescent="0.45">
      <c r="A127" s="85" t="s">
        <v>214</v>
      </c>
    </row>
    <row r="128" spans="1:1" x14ac:dyDescent="0.45">
      <c r="A128" s="85" t="s">
        <v>215</v>
      </c>
    </row>
    <row r="129" spans="1:1" x14ac:dyDescent="0.45">
      <c r="A129" s="85" t="s">
        <v>225</v>
      </c>
    </row>
    <row r="130" spans="1:1" x14ac:dyDescent="0.45">
      <c r="A130" s="85" t="s">
        <v>216</v>
      </c>
    </row>
    <row r="131" spans="1:1" x14ac:dyDescent="0.45">
      <c r="A131" s="85" t="s">
        <v>217</v>
      </c>
    </row>
    <row r="132" spans="1:1" x14ac:dyDescent="0.45">
      <c r="A132" s="85"/>
    </row>
    <row r="133" spans="1:1" x14ac:dyDescent="0.45">
      <c r="A133" s="85" t="s">
        <v>218</v>
      </c>
    </row>
    <row r="134" spans="1:1" x14ac:dyDescent="0.45">
      <c r="A134" s="85" t="s">
        <v>219</v>
      </c>
    </row>
    <row r="135" spans="1:1" x14ac:dyDescent="0.45">
      <c r="A135" s="85" t="s">
        <v>220</v>
      </c>
    </row>
    <row r="136" spans="1:1" x14ac:dyDescent="0.45">
      <c r="A136" s="85" t="s">
        <v>221</v>
      </c>
    </row>
    <row r="137" spans="1:1" x14ac:dyDescent="0.45">
      <c r="A137" s="85" t="s">
        <v>222</v>
      </c>
    </row>
    <row r="138" spans="1:1" x14ac:dyDescent="0.45">
      <c r="A138" s="85" t="s">
        <v>223</v>
      </c>
    </row>
    <row r="139" spans="1:1" x14ac:dyDescent="0.45">
      <c r="A139" s="85" t="s">
        <v>224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743E-391C-46DB-A83A-87D6E1264FA3}">
  <sheetPr>
    <tabColor rgb="FF002060"/>
  </sheetPr>
  <dimension ref="A1:AF2"/>
  <sheetViews>
    <sheetView workbookViewId="0">
      <selection activeCell="Y2" sqref="Y2"/>
    </sheetView>
  </sheetViews>
  <sheetFormatPr defaultColWidth="9" defaultRowHeight="17" x14ac:dyDescent="0.45"/>
  <cols>
    <col min="1" max="1" width="15.5" style="1" customWidth="1"/>
    <col min="2" max="2" width="9.25" style="1" bestFit="1" customWidth="1"/>
    <col min="3" max="16384" width="9" style="1"/>
  </cols>
  <sheetData>
    <row r="1" spans="1:32" x14ac:dyDescent="0.45">
      <c r="A1" s="1" t="s">
        <v>33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45">
      <c r="A2" s="2" t="s">
        <v>34</v>
      </c>
      <c r="B2" s="78">
        <f>Scenarios_issuebrief!B36*10^6</f>
        <v>3323262.8398789074</v>
      </c>
      <c r="C2" s="78">
        <f>Scenarios_issuebrief!C36*10^6</f>
        <v>3882175.226586014</v>
      </c>
      <c r="D2" s="78">
        <f>Scenarios_issuebrief!D36*10^6</f>
        <v>4441087.6132930508</v>
      </c>
      <c r="E2" s="78">
        <f>Scenarios_issuebrief!E36*10^6</f>
        <v>5000000</v>
      </c>
      <c r="F2" s="78">
        <f>Scenarios_issuebrief!F36*10^6</f>
        <v>5250000</v>
      </c>
      <c r="G2" s="78">
        <f>Scenarios_issuebrief!G36*10^6</f>
        <v>5499999.9999999991</v>
      </c>
      <c r="H2" s="78">
        <f>Scenarios_issuebrief!H36*10^6</f>
        <v>6216474.7810777733</v>
      </c>
      <c r="I2" s="78">
        <f>Scenarios_issuebrief!I36*10^6</f>
        <v>7947915.7871033624</v>
      </c>
      <c r="J2" s="78">
        <f>Scenarios_issuebrief!J36*10^6</f>
        <v>11265568.643884657</v>
      </c>
      <c r="K2" s="78">
        <f>Scenarios_issuebrief!K36*10^6</f>
        <v>16458299.099099129</v>
      </c>
      <c r="L2" s="78">
        <f>Scenarios_issuebrief!L36*10^6</f>
        <v>23842399.999999996</v>
      </c>
      <c r="M2" s="78">
        <f>Scenarios_issuebrief!M36*10^6</f>
        <v>24867919.999999996</v>
      </c>
      <c r="N2" s="78">
        <f>Scenarios_issuebrief!N36*10^6</f>
        <v>25893440</v>
      </c>
      <c r="O2" s="78">
        <f>Scenarios_issuebrief!O36*10^6</f>
        <v>26918960</v>
      </c>
      <c r="P2" s="78">
        <f>Scenarios_issuebrief!P36*10^6</f>
        <v>27944480</v>
      </c>
      <c r="Q2" s="78">
        <f>Scenarios_issuebrief!Q36*10^6</f>
        <v>28970000</v>
      </c>
      <c r="R2" s="78">
        <f>Scenarios_issuebrief!R36*10^6</f>
        <v>29720000</v>
      </c>
      <c r="S2" s="78">
        <f>Scenarios_issuebrief!S36*10^6</f>
        <v>30720000</v>
      </c>
      <c r="T2" s="78">
        <f>Scenarios_issuebrief!T36*10^6</f>
        <v>31720000</v>
      </c>
      <c r="U2" s="78">
        <f>Scenarios_issuebrief!U36*10^6</f>
        <v>31720000</v>
      </c>
      <c r="V2" s="78">
        <f>Scenarios_issuebrief!V36*10^6</f>
        <v>31720000</v>
      </c>
      <c r="W2" s="78">
        <f>Scenarios_issuebrief!W36*10^6</f>
        <v>31720000</v>
      </c>
      <c r="X2" s="78">
        <f>Scenarios_issuebrief!X36*10^6</f>
        <v>31720000</v>
      </c>
      <c r="Y2" s="78">
        <f>Scenarios_issuebrief!Y36*10^6</f>
        <v>31720000</v>
      </c>
      <c r="Z2" s="78">
        <f>Scenarios_issuebrief!Z36*10^6</f>
        <v>31720000</v>
      </c>
      <c r="AA2" s="78">
        <f>Scenarios_issuebrief!AA36*10^6</f>
        <v>31720000</v>
      </c>
      <c r="AB2" s="78">
        <f>Scenarios_issuebrief!AB36*10^6</f>
        <v>31720000</v>
      </c>
      <c r="AC2" s="78">
        <f>Scenarios_issuebrief!AC36*10^6</f>
        <v>31720000</v>
      </c>
      <c r="AD2" s="78">
        <f>Scenarios_issuebrief!AD36*10^6</f>
        <v>31720000</v>
      </c>
      <c r="AE2" s="78">
        <f>Scenarios_issuebrief!AE36*10^6</f>
        <v>31720000</v>
      </c>
      <c r="AF2" s="78">
        <f>Scenarios_issuebrief!AF36*10^6</f>
        <v>31720000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D806-7555-439D-8941-6C381895BBC9}">
  <sheetPr>
    <tabColor rgb="FF002060"/>
  </sheetPr>
  <dimension ref="A1:AF2"/>
  <sheetViews>
    <sheetView workbookViewId="0">
      <selection activeCell="B2" sqref="B2"/>
    </sheetView>
  </sheetViews>
  <sheetFormatPr defaultColWidth="9" defaultRowHeight="17" x14ac:dyDescent="0.45"/>
  <cols>
    <col min="1" max="1" width="15.5" style="1" customWidth="1"/>
    <col min="2" max="2" width="9.25" style="1" bestFit="1" customWidth="1"/>
    <col min="3" max="4" width="9" style="1"/>
    <col min="5" max="5" width="9.25" style="1" bestFit="1" customWidth="1"/>
    <col min="6" max="16384" width="9" style="1"/>
  </cols>
  <sheetData>
    <row r="1" spans="1:32" x14ac:dyDescent="0.45">
      <c r="A1" s="1" t="s">
        <v>33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45">
      <c r="A2" s="2" t="s">
        <v>34</v>
      </c>
      <c r="B2" s="78">
        <f>Scenarios_issuebrief!B37*10^6</f>
        <v>3323262.8398789074</v>
      </c>
      <c r="C2" s="78">
        <f>Scenarios_issuebrief!C37*10^6</f>
        <v>3882175.226586014</v>
      </c>
      <c r="D2" s="78">
        <f>Scenarios_issuebrief!D37*10^6</f>
        <v>4441087.6132930508</v>
      </c>
      <c r="E2" s="78">
        <f>Scenarios_issuebrief!E37*10^6</f>
        <v>5000000</v>
      </c>
      <c r="F2" s="78">
        <f>Scenarios_issuebrief!F37*10^6</f>
        <v>5250000</v>
      </c>
      <c r="G2" s="78">
        <f>Scenarios_issuebrief!G37*10^6</f>
        <v>5499999.9999999991</v>
      </c>
      <c r="H2" s="78">
        <f>Scenarios_issuebrief!H37*10^6</f>
        <v>6795767.7834206577</v>
      </c>
      <c r="I2" s="78">
        <f>Scenarios_issuebrief!I37*10^6</f>
        <v>11312950.106893279</v>
      </c>
      <c r="J2" s="78">
        <f>Scenarios_issuebrief!J37*10^6</f>
        <v>20683471.492909145</v>
      </c>
      <c r="K2" s="78">
        <f>Scenarios_issuebrief!K37*10^6</f>
        <v>36005326.126126148</v>
      </c>
      <c r="L2" s="78">
        <f>Scenarios_issuebrief!L37*10^6</f>
        <v>58282399.999999993</v>
      </c>
      <c r="M2" s="78">
        <f>Scenarios_issuebrief!M37*10^6</f>
        <v>66195920</v>
      </c>
      <c r="N2" s="78">
        <f>Scenarios_issuebrief!N37*10^6</f>
        <v>74109439.999999985</v>
      </c>
      <c r="O2" s="78">
        <f>Scenarios_issuebrief!O37*10^6</f>
        <v>82022960</v>
      </c>
      <c r="P2" s="78">
        <f>Scenarios_issuebrief!P37*10^6</f>
        <v>89936480</v>
      </c>
      <c r="Q2" s="78">
        <f>Scenarios_issuebrief!Q37*10^6</f>
        <v>97850000</v>
      </c>
      <c r="R2" s="78">
        <f>Scenarios_issuebrief!R37*10^6</f>
        <v>98600000</v>
      </c>
      <c r="S2" s="78">
        <f>Scenarios_issuebrief!S37*10^6</f>
        <v>99600000</v>
      </c>
      <c r="T2" s="78">
        <f>Scenarios_issuebrief!T37*10^6</f>
        <v>100600000</v>
      </c>
      <c r="U2" s="78">
        <f>Scenarios_issuebrief!U37*10^6</f>
        <v>100600000</v>
      </c>
      <c r="V2" s="78">
        <f>Scenarios_issuebrief!V37*10^6</f>
        <v>100600000</v>
      </c>
      <c r="W2" s="78">
        <f>Scenarios_issuebrief!W37*10^6</f>
        <v>100600000</v>
      </c>
      <c r="X2" s="78">
        <f>Scenarios_issuebrief!X37*10^6</f>
        <v>100600000</v>
      </c>
      <c r="Y2" s="78">
        <f>Scenarios_issuebrief!Y37*10^6</f>
        <v>100600000</v>
      </c>
      <c r="Z2" s="78">
        <f>Scenarios_issuebrief!Z37*10^6</f>
        <v>100600000</v>
      </c>
      <c r="AA2" s="78">
        <f>Scenarios_issuebrief!AA37*10^6</f>
        <v>100600000</v>
      </c>
      <c r="AB2" s="78">
        <f>Scenarios_issuebrief!AB37*10^6</f>
        <v>100600000</v>
      </c>
      <c r="AC2" s="78">
        <f>Scenarios_issuebrief!AC37*10^6</f>
        <v>100600000</v>
      </c>
      <c r="AD2" s="78">
        <f>Scenarios_issuebrief!AD37*10^6</f>
        <v>100600000</v>
      </c>
      <c r="AE2" s="78">
        <f>Scenarios_issuebrief!AE37*10^6</f>
        <v>100600000</v>
      </c>
      <c r="AF2" s="78">
        <f>Scenarios_issuebrief!AF37*10^6</f>
        <v>100600000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1BE0-8645-441C-BC13-0CB67C1553BC}">
  <sheetPr>
    <tabColor rgb="FF002060"/>
  </sheetPr>
  <dimension ref="A1:AF2"/>
  <sheetViews>
    <sheetView workbookViewId="0">
      <selection activeCell="B2" sqref="B2"/>
    </sheetView>
  </sheetViews>
  <sheetFormatPr defaultColWidth="9" defaultRowHeight="17" x14ac:dyDescent="0.45"/>
  <cols>
    <col min="1" max="1" width="15.5" style="1" customWidth="1"/>
    <col min="2" max="5" width="9.25" style="1" bestFit="1" customWidth="1"/>
    <col min="6" max="16384" width="9" style="1"/>
  </cols>
  <sheetData>
    <row r="1" spans="1:32" x14ac:dyDescent="0.45">
      <c r="A1" s="1" t="s">
        <v>33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45">
      <c r="A2" s="2" t="s">
        <v>34</v>
      </c>
      <c r="B2" s="78">
        <f>Scenarios_issuebrief!B38*10^6</f>
        <v>3323262.8398789074</v>
      </c>
      <c r="C2" s="78">
        <f>Scenarios_issuebrief!C38*10^6</f>
        <v>3882175.226586014</v>
      </c>
      <c r="D2" s="78">
        <f>Scenarios_issuebrief!D38*10^6</f>
        <v>4441087.6132930508</v>
      </c>
      <c r="E2" s="78">
        <f>Scenarios_issuebrief!E38*10^6</f>
        <v>5000000</v>
      </c>
      <c r="F2" s="78">
        <f>Scenarios_issuebrief!F38*10^6</f>
        <v>5250000</v>
      </c>
      <c r="G2" s="78">
        <f>Scenarios_issuebrief!G38*10^6</f>
        <v>5499999.9999999991</v>
      </c>
      <c r="H2" s="78">
        <f>Scenarios_issuebrief!H38*10^6</f>
        <v>7664707.2869349848</v>
      </c>
      <c r="I2" s="78">
        <f>Scenarios_issuebrief!I38*10^6</f>
        <v>16360501.586578157</v>
      </c>
      <c r="J2" s="78">
        <f>Scenarios_issuebrief!J38*10^6</f>
        <v>34810325.766445875</v>
      </c>
      <c r="K2" s="78">
        <f>Scenarios_issuebrief!K38*10^6</f>
        <v>65325866.666666687</v>
      </c>
      <c r="L2" s="78">
        <f>Scenarios_issuebrief!L38*10^6</f>
        <v>109942399.99999999</v>
      </c>
      <c r="M2" s="78">
        <f>Scenarios_issuebrief!M38*10^6</f>
        <v>117855920</v>
      </c>
      <c r="N2" s="78">
        <f>Scenarios_issuebrief!N38*10^6</f>
        <v>125769439.99999999</v>
      </c>
      <c r="O2" s="78">
        <f>Scenarios_issuebrief!O38*10^6</f>
        <v>133682960.00000001</v>
      </c>
      <c r="P2" s="78">
        <f>Scenarios_issuebrief!P38*10^6</f>
        <v>141596480</v>
      </c>
      <c r="Q2" s="78">
        <f>Scenarios_issuebrief!Q38*10^6</f>
        <v>149510000</v>
      </c>
      <c r="R2" s="78">
        <f>Scenarios_issuebrief!R38*10^6</f>
        <v>150260000</v>
      </c>
      <c r="S2" s="78">
        <f>Scenarios_issuebrief!S38*10^6</f>
        <v>151260000</v>
      </c>
      <c r="T2" s="78">
        <f>Scenarios_issuebrief!T38*10^6</f>
        <v>152260000</v>
      </c>
      <c r="U2" s="78">
        <f>Scenarios_issuebrief!U38*10^6</f>
        <v>152260000</v>
      </c>
      <c r="V2" s="78">
        <f>Scenarios_issuebrief!V38*10^6</f>
        <v>152260000</v>
      </c>
      <c r="W2" s="78">
        <f>Scenarios_issuebrief!W38*10^6</f>
        <v>152260000</v>
      </c>
      <c r="X2" s="78">
        <f>Scenarios_issuebrief!X38*10^6</f>
        <v>152260000</v>
      </c>
      <c r="Y2" s="78">
        <f>Scenarios_issuebrief!Y38*10^6</f>
        <v>152260000</v>
      </c>
      <c r="Z2" s="78">
        <f>Scenarios_issuebrief!Z38*10^6</f>
        <v>152260000</v>
      </c>
      <c r="AA2" s="78">
        <f>Scenarios_issuebrief!AA38*10^6</f>
        <v>152260000</v>
      </c>
      <c r="AB2" s="78">
        <f>Scenarios_issuebrief!AB38*10^6</f>
        <v>152260000</v>
      </c>
      <c r="AC2" s="78">
        <f>Scenarios_issuebrief!AC38*10^6</f>
        <v>152260000</v>
      </c>
      <c r="AD2" s="78">
        <f>Scenarios_issuebrief!AD38*10^6</f>
        <v>152260000</v>
      </c>
      <c r="AE2" s="78">
        <f>Scenarios_issuebrief!AE38*10^6</f>
        <v>152260000</v>
      </c>
      <c r="AF2" s="78">
        <f>Scenarios_issuebrief!AF38*10^6</f>
        <v>152260000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About</vt:lpstr>
      <vt:lpstr>데이터센터 전력수요_history</vt:lpstr>
      <vt:lpstr>데이터센터 전력수요_제11차 전기본</vt:lpstr>
      <vt:lpstr>데이터센터 전력수요_not use</vt:lpstr>
      <vt:lpstr>Baseline</vt:lpstr>
      <vt:lpstr>Scenarios_issuebrief</vt:lpstr>
      <vt:lpstr>BDCL-low</vt:lpstr>
      <vt:lpstr>BDCL-mid</vt:lpstr>
      <vt:lpstr>BDCL-high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공용계정2</dc:creator>
  <cp:lastModifiedBy>김주혜</cp:lastModifiedBy>
  <dcterms:created xsi:type="dcterms:W3CDTF">2026-04-16T04:52:26Z</dcterms:created>
  <dcterms:modified xsi:type="dcterms:W3CDTF">2026-09-22T08:51:42Z</dcterms:modified>
</cp:coreProperties>
</file>