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내 드라이브\2026\01.EPS\05.EPS고도화\01.EPS 4.0.5 update\v4.0.5\bldgs\BDCL\"/>
    </mc:Choice>
  </mc:AlternateContent>
  <xr:revisionPtr revIDLastSave="0" documentId="13_ncr:1_{7B7AEA8F-754A-42DF-8433-473377FD762B}" xr6:coauthVersionLast="47" xr6:coauthVersionMax="47" xr10:uidLastSave="{00000000-0000-0000-0000-000000000000}"/>
  <bookViews>
    <workbookView xWindow="-120" yWindow="-120" windowWidth="29040" windowHeight="15720" xr2:uid="{830B57CD-8285-4D1F-952A-1EF9B1C9271A}"/>
  </bookViews>
  <sheets>
    <sheet name="About" sheetId="2" r:id="rId1"/>
    <sheet name="데이터센터 전력수요_history" sheetId="12" r:id="rId2"/>
    <sheet name="데이터센터 전력수요_lowmid" sheetId="3" r:id="rId3"/>
    <sheet name="데이터센터 전력수요_high" sheetId="4" r:id="rId4"/>
    <sheet name="Scenarios" sheetId="1" r:id="rId5"/>
    <sheet name="BDCL-low" sheetId="6" r:id="rId6"/>
    <sheet name="BDCL-mid" sheetId="7" r:id="rId7"/>
    <sheet name="BDCL-high" sheetId="8" r:id="rId8"/>
  </sheets>
  <externalReferences>
    <externalReference r:id="rId9"/>
  </externalReferences>
  <definedNames>
    <definedName name="Fraction_coal">[1]About!$C$53</definedName>
    <definedName name="gal_per_barrel">#REF!</definedName>
    <definedName name="Percent_rural">[1]About!$A$75</definedName>
    <definedName name="Percent_urban">[1]About!$A$74</definedName>
    <definedName name="quadrillion">[1]About!$B$77</definedName>
    <definedName name="Table4">#REF!</definedName>
    <definedName name="Table4_1">#REF!</definedName>
    <definedName name="Table4_1_22">#REF!</definedName>
    <definedName name="Table4_22">#REF!</definedName>
    <definedName name="Table4_A">#REF!</definedName>
    <definedName name="Table4_A_22">#REF!</definedName>
    <definedName name="Table5">#REF!</definedName>
    <definedName name="Table5_1">#REF!</definedName>
    <definedName name="Table5_1_22">#REF!</definedName>
    <definedName name="Table5_22">#REF!</definedName>
    <definedName name="Table5_A">#REF!</definedName>
    <definedName name="Table5_A_2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  <c r="C27" i="1"/>
  <c r="D27" i="1"/>
  <c r="B28" i="1"/>
  <c r="C28" i="1"/>
  <c r="D28" i="1"/>
  <c r="B29" i="1"/>
  <c r="C29" i="1"/>
  <c r="D29" i="1"/>
  <c r="B2" i="6"/>
  <c r="C2" i="6"/>
  <c r="D2" i="6"/>
  <c r="D15" i="1"/>
  <c r="D2" i="8" s="1"/>
  <c r="C13" i="1"/>
  <c r="C15" i="1" s="1"/>
  <c r="C2" i="8" s="1"/>
  <c r="D13" i="1"/>
  <c r="D14" i="1" s="1"/>
  <c r="D2" i="7" s="1"/>
  <c r="B13" i="1"/>
  <c r="B15" i="1" s="1"/>
  <c r="B2" i="8" s="1"/>
  <c r="B6" i="12"/>
  <c r="B12" i="12" s="1"/>
  <c r="D4" i="12" s="1"/>
  <c r="C4" i="12" s="1"/>
  <c r="B24" i="1"/>
  <c r="E13" i="1"/>
  <c r="E2" i="6" s="1"/>
  <c r="E14" i="1"/>
  <c r="E2" i="7" s="1"/>
  <c r="C6" i="1"/>
  <c r="L15" i="1" s="1"/>
  <c r="L2" i="8" s="1"/>
  <c r="D6" i="1"/>
  <c r="V15" i="1" s="1"/>
  <c r="E6" i="1"/>
  <c r="AF15" i="1" s="1"/>
  <c r="F6" i="1"/>
  <c r="B6" i="1"/>
  <c r="E15" i="1" s="1"/>
  <c r="E2" i="8" s="1"/>
  <c r="D4" i="1"/>
  <c r="I14" i="1" s="1"/>
  <c r="E4" i="1"/>
  <c r="L14" i="1" s="1"/>
  <c r="F4" i="1"/>
  <c r="R14" i="1" s="1"/>
  <c r="R2" i="7" s="1"/>
  <c r="G4" i="1"/>
  <c r="T14" i="1" s="1"/>
  <c r="C4" i="1"/>
  <c r="G14" i="1" s="1"/>
  <c r="G2" i="7" s="1"/>
  <c r="D3" i="1"/>
  <c r="I13" i="1" s="1"/>
  <c r="I27" i="1" s="1"/>
  <c r="E3" i="1"/>
  <c r="L13" i="1" s="1"/>
  <c r="L2" i="6" s="1"/>
  <c r="F3" i="1"/>
  <c r="R13" i="1" s="1"/>
  <c r="R27" i="1" s="1"/>
  <c r="G3" i="1"/>
  <c r="T13" i="1" s="1"/>
  <c r="T28" i="1" s="1"/>
  <c r="C3" i="1"/>
  <c r="G13" i="1" s="1"/>
  <c r="G28" i="1" s="1"/>
  <c r="D3" i="3"/>
  <c r="E3" i="3"/>
  <c r="F3" i="3"/>
  <c r="G3" i="3"/>
  <c r="H3" i="3"/>
  <c r="B14" i="1" l="1"/>
  <c r="B2" i="7" s="1"/>
  <c r="C14" i="1"/>
  <c r="C2" i="7" s="1"/>
  <c r="R29" i="1"/>
  <c r="R28" i="1"/>
  <c r="L28" i="1"/>
  <c r="I28" i="1"/>
  <c r="T27" i="1"/>
  <c r="T29" i="1"/>
  <c r="I29" i="1"/>
  <c r="G29" i="1"/>
  <c r="G27" i="1"/>
  <c r="B4" i="12"/>
  <c r="E27" i="1"/>
  <c r="E29" i="1"/>
  <c r="E28" i="1"/>
  <c r="L29" i="1"/>
  <c r="L27" i="1"/>
  <c r="K13" i="1"/>
  <c r="K15" i="1"/>
  <c r="K2" i="8" s="1"/>
  <c r="H3" i="1"/>
  <c r="I2" i="6"/>
  <c r="AA15" i="1"/>
  <c r="AA2" i="8" s="1"/>
  <c r="AF2" i="8"/>
  <c r="Q13" i="1"/>
  <c r="H14" i="1"/>
  <c r="H2" i="7" s="1"/>
  <c r="I2" i="7"/>
  <c r="V2" i="8"/>
  <c r="Q15" i="1"/>
  <c r="Q2" i="8" s="1"/>
  <c r="AE15" i="1"/>
  <c r="AE2" i="8" s="1"/>
  <c r="AD15" i="1"/>
  <c r="AD2" i="8" s="1"/>
  <c r="AC15" i="1"/>
  <c r="AC2" i="8" s="1"/>
  <c r="AB15" i="1"/>
  <c r="AB2" i="8" s="1"/>
  <c r="P15" i="1"/>
  <c r="P2" i="8" s="1"/>
  <c r="H13" i="1"/>
  <c r="F13" i="1"/>
  <c r="G2" i="6"/>
  <c r="S13" i="1"/>
  <c r="U13" i="1"/>
  <c r="T2" i="6"/>
  <c r="M13" i="1"/>
  <c r="R2" i="6"/>
  <c r="U15" i="1"/>
  <c r="U2" i="8" s="1"/>
  <c r="S14" i="1"/>
  <c r="S2" i="7" s="1"/>
  <c r="T2" i="7"/>
  <c r="K14" i="1"/>
  <c r="K2" i="7" s="1"/>
  <c r="L2" i="7"/>
  <c r="P14" i="1"/>
  <c r="P2" i="7" s="1"/>
  <c r="O14" i="1"/>
  <c r="O2" i="7" s="1"/>
  <c r="M14" i="1"/>
  <c r="M2" i="7" s="1"/>
  <c r="Q14" i="1"/>
  <c r="Q2" i="7" s="1"/>
  <c r="N14" i="1"/>
  <c r="N2" i="7" s="1"/>
  <c r="R15" i="1"/>
  <c r="R2" i="8" s="1"/>
  <c r="S15" i="1"/>
  <c r="S2" i="8" s="1"/>
  <c r="H15" i="1"/>
  <c r="H2" i="8" s="1"/>
  <c r="F15" i="1"/>
  <c r="F2" i="8" s="1"/>
  <c r="I15" i="1"/>
  <c r="I2" i="8" s="1"/>
  <c r="J13" i="1"/>
  <c r="G15" i="1"/>
  <c r="G2" i="8" s="1"/>
  <c r="J15" i="1"/>
  <c r="J2" i="8" s="1"/>
  <c r="F14" i="1"/>
  <c r="F2" i="7" s="1"/>
  <c r="H4" i="1"/>
  <c r="U14" i="1" s="1"/>
  <c r="M15" i="1"/>
  <c r="M2" i="8" s="1"/>
  <c r="N15" i="1"/>
  <c r="N2" i="8" s="1"/>
  <c r="O15" i="1"/>
  <c r="O2" i="8" s="1"/>
  <c r="T15" i="1"/>
  <c r="T2" i="8" s="1"/>
  <c r="W15" i="1"/>
  <c r="W2" i="8" s="1"/>
  <c r="X15" i="1"/>
  <c r="X2" i="8" s="1"/>
  <c r="Y15" i="1"/>
  <c r="Y2" i="8" s="1"/>
  <c r="Z15" i="1"/>
  <c r="Z2" i="8" s="1"/>
  <c r="J14" i="1"/>
  <c r="J2" i="7" s="1"/>
  <c r="P13" i="1"/>
  <c r="N13" i="1"/>
  <c r="O13" i="1"/>
  <c r="Q2" i="6" l="1"/>
  <c r="Q28" i="1"/>
  <c r="Q27" i="1"/>
  <c r="Q29" i="1"/>
  <c r="M2" i="6"/>
  <c r="M28" i="1"/>
  <c r="M27" i="1"/>
  <c r="M29" i="1"/>
  <c r="J2" i="6"/>
  <c r="J27" i="1"/>
  <c r="J29" i="1"/>
  <c r="J28" i="1"/>
  <c r="U27" i="1"/>
  <c r="U29" i="1"/>
  <c r="U28" i="1"/>
  <c r="O2" i="6"/>
  <c r="O28" i="1"/>
  <c r="O27" i="1"/>
  <c r="O29" i="1"/>
  <c r="S2" i="6"/>
  <c r="S28" i="1"/>
  <c r="S27" i="1"/>
  <c r="S29" i="1"/>
  <c r="N2" i="6"/>
  <c r="N28" i="1"/>
  <c r="N27" i="1"/>
  <c r="N29" i="1"/>
  <c r="K2" i="6"/>
  <c r="K27" i="1"/>
  <c r="K29" i="1"/>
  <c r="K28" i="1"/>
  <c r="P2" i="6"/>
  <c r="P28" i="1"/>
  <c r="P27" i="1"/>
  <c r="P29" i="1"/>
  <c r="F2" i="6"/>
  <c r="F27" i="1"/>
  <c r="F29" i="1"/>
  <c r="F28" i="1"/>
  <c r="H2" i="6"/>
  <c r="H27" i="1"/>
  <c r="H29" i="1"/>
  <c r="H28" i="1"/>
  <c r="V14" i="1"/>
  <c r="U2" i="7"/>
  <c r="V13" i="1"/>
  <c r="U2" i="6"/>
  <c r="V27" i="1" l="1"/>
  <c r="V29" i="1"/>
  <c r="V28" i="1"/>
  <c r="W14" i="1"/>
  <c r="V2" i="7"/>
  <c r="V2" i="6"/>
  <c r="W13" i="1"/>
  <c r="W27" i="1" l="1"/>
  <c r="W29" i="1"/>
  <c r="W28" i="1"/>
  <c r="W2" i="6"/>
  <c r="X13" i="1"/>
  <c r="W2" i="7"/>
  <c r="X14" i="1"/>
  <c r="X27" i="1" l="1"/>
  <c r="X29" i="1"/>
  <c r="X28" i="1"/>
  <c r="Y14" i="1"/>
  <c r="X2" i="7"/>
  <c r="X2" i="6"/>
  <c r="Y13" i="1"/>
  <c r="Y27" i="1" l="1"/>
  <c r="Y29" i="1"/>
  <c r="Y28" i="1"/>
  <c r="Y2" i="7"/>
  <c r="Z14" i="1"/>
  <c r="Z13" i="1"/>
  <c r="Y2" i="6"/>
  <c r="Z27" i="1" l="1"/>
  <c r="Z29" i="1"/>
  <c r="Z28" i="1"/>
  <c r="Z2" i="6"/>
  <c r="AA13" i="1"/>
  <c r="Z2" i="7"/>
  <c r="AA14" i="1"/>
  <c r="AA27" i="1" l="1"/>
  <c r="AA29" i="1"/>
  <c r="AA28" i="1"/>
  <c r="AB14" i="1"/>
  <c r="AA2" i="7"/>
  <c r="AB13" i="1"/>
  <c r="AA2" i="6"/>
  <c r="AB27" i="1" l="1"/>
  <c r="AB29" i="1"/>
  <c r="AB28" i="1"/>
  <c r="AC14" i="1"/>
  <c r="AB2" i="7"/>
  <c r="AC13" i="1"/>
  <c r="AB2" i="6"/>
  <c r="AC27" i="1" l="1"/>
  <c r="AC29" i="1"/>
  <c r="AC28" i="1"/>
  <c r="AD14" i="1"/>
  <c r="AC2" i="7"/>
  <c r="AD13" i="1"/>
  <c r="AC2" i="6"/>
  <c r="AD28" i="1" l="1"/>
  <c r="AD27" i="1"/>
  <c r="AD29" i="1"/>
  <c r="AE13" i="1"/>
  <c r="AD2" i="6"/>
  <c r="AE14" i="1"/>
  <c r="AD2" i="7"/>
  <c r="AE28" i="1" l="1"/>
  <c r="AE27" i="1"/>
  <c r="AE29" i="1"/>
  <c r="AF14" i="1"/>
  <c r="AF2" i="7" s="1"/>
  <c r="AE2" i="7"/>
  <c r="AF13" i="1"/>
  <c r="AE2" i="6"/>
  <c r="AF2" i="6" l="1"/>
  <c r="AF28" i="1"/>
  <c r="AF27" i="1"/>
  <c r="AF29" i="1"/>
</calcChain>
</file>

<file path=xl/sharedStrings.xml><?xml version="1.0" encoding="utf-8"?>
<sst xmlns="http://schemas.openxmlformats.org/spreadsheetml/2006/main" count="127" uniqueCount="93">
  <si>
    <t>This data center load is removed from bldgs/BCEU.</t>
  </si>
  <si>
    <t>High Scenario</t>
    <phoneticPr fontId="6" type="noConversion"/>
  </si>
  <si>
    <t>Low &amp; Mid Demand Scenarios</t>
    <phoneticPr fontId="6" type="noConversion"/>
  </si>
  <si>
    <t>Sources:</t>
  </si>
  <si>
    <t>BDCL BAU Data Center Load</t>
  </si>
  <si>
    <t>* (참고) '23년 데이터센터 전력수요 실적 : 전력소비량 기준 5.0TWh, 최대전력 기준 0.6GW</t>
  </si>
  <si>
    <t>전체</t>
  </si>
  <si>
    <t>추세 대비 증분 ('추가수요')</t>
  </si>
  <si>
    <t>하계 최대전력
(GW)</t>
  </si>
  <si>
    <t>중성장 시나리오</t>
    <phoneticPr fontId="6" type="noConversion"/>
  </si>
  <si>
    <t>저성장 시나리오</t>
    <phoneticPr fontId="6" type="noConversion"/>
  </si>
  <si>
    <t>모형수요(추세수요)</t>
    <phoneticPr fontId="6" type="noConversion"/>
  </si>
  <si>
    <t>38년</t>
  </si>
  <si>
    <t>36년</t>
  </si>
  <si>
    <t>30년</t>
  </si>
  <si>
    <t>27년</t>
  </si>
  <si>
    <t>25년</t>
  </si>
  <si>
    <t>구분</t>
  </si>
  <si>
    <t>&lt; 데이터센터 전력수요 영향 전망 결과 &gt;</t>
  </si>
  <si>
    <t>대형</t>
  </si>
  <si>
    <t>중형</t>
  </si>
  <si>
    <t>소형</t>
  </si>
  <si>
    <t>총</t>
  </si>
  <si>
    <t>전망 기간 전체
(2023~2060)</t>
  </si>
  <si>
    <t>2050~2060</t>
  </si>
  <si>
    <t>2040~2050</t>
  </si>
  <si>
    <t>2030~2040</t>
  </si>
  <si>
    <t>2023~2030</t>
  </si>
  <si>
    <t>기간별
연평균 증가율(%)</t>
  </si>
  <si>
    <t>전력 수요(TWh)</t>
  </si>
  <si>
    <t>〈표 3-9〉　고성장(AI 가속) 시나리오 전망</t>
    <phoneticPr fontId="6" type="noConversion"/>
  </si>
  <si>
    <t>연평균 증가율(%)</t>
  </si>
  <si>
    <t>〈표 3-8〉　기준 전망 결과</t>
  </si>
  <si>
    <t>low</t>
  </si>
  <si>
    <t>mid</t>
  </si>
  <si>
    <t>high</t>
  </si>
  <si>
    <t>Year</t>
  </si>
  <si>
    <t>electricity (MWh)</t>
  </si>
  <si>
    <t>① Raw Data — Electricity Demand Forecasts by Scenario</t>
  </si>
  <si>
    <t>Electricity Demand (TWh)</t>
  </si>
  <si>
    <t>② Linear Interpolation — Annual Electricity Demand Estimates by Scenario</t>
  </si>
  <si>
    <t>• Interim years between anchor points are estimated via linear interpolation (FORECAST.LINEAR) for Low, Mid, and High scenarios</t>
  </si>
  <si>
    <t>• Low &amp; Mid scenarios: No forecasts available beyond 2038 → Post-2038 values extrapolated to 2050 using the CAGR observed between 2036 and 2038</t>
  </si>
  <si>
    <t>③ End-Use Energy Allocation — Data Center Electricity Demand by Category (for BCEU)</t>
  </si>
  <si>
    <t>• Based on Korea Energy Economics Institute (KEEI) report: Cooling 18.5%, Server / Computing 61.0%, Other 20.5%</t>
  </si>
  <si>
    <t>Data Center End-Use</t>
  </si>
  <si>
    <t>Cooling</t>
  </si>
  <si>
    <t>Computing</t>
  </si>
  <si>
    <t>Other</t>
  </si>
  <si>
    <t>Share (%)</t>
  </si>
  <si>
    <t>Post-2038 CAGR</t>
  </si>
  <si>
    <t>23</t>
  </si>
  <si>
    <t>25</t>
  </si>
  <si>
    <t>27</t>
  </si>
  <si>
    <t>30</t>
  </si>
  <si>
    <t>36</t>
  </si>
  <si>
    <t>38</t>
  </si>
  <si>
    <t xml:space="preserve">Notes </t>
    <phoneticPr fontId="2" type="noConversion"/>
  </si>
  <si>
    <t xml:space="preserve">End-use electricity demand is further disaggregated into three functional categories — cooling, computing, and other — based on the KEEI sectoral allocation ratios (18.5%, 61.0%, and 20.5%, respectively). </t>
    <phoneticPr fontId="2" type="noConversion"/>
  </si>
  <si>
    <t>These disaggregated estimates feed directly into the BCEU calculation.</t>
  </si>
  <si>
    <t>Annual electricity demand estimates are derived from scenario-specific anchor forecasts sourced from three institutions:</t>
    <phoneticPr fontId="2" type="noConversion"/>
  </si>
  <si>
    <t>For years between anchor points, values are linearly interpolated using FORECAST.LINEAR. Where anchor forecasts are unavailable beyond 2038 (low and mid scenarios),</t>
    <phoneticPr fontId="2" type="noConversion"/>
  </si>
  <si>
    <t xml:space="preserve"> the compound annual growth rate (CAGR) observed between 2036 and 2038 is applied to extrapolate values through 2050.</t>
  </si>
  <si>
    <t>MOTIE's 11th Basic Plan for Electricity Supply and Demand (low and mid scenarios) and KEEI's report on AI-driven data center energy implications (high scenario).</t>
    <phoneticPr fontId="2" type="noConversion"/>
  </si>
  <si>
    <t>Ministry of Trade, Industry and Energy (MOTIE)</t>
  </si>
  <si>
    <t>11th Basic Plan for Electricity Supply and Demand (2024–2038)</t>
  </si>
  <si>
    <t>Ref. 1: Sector-level baseline demand forecasts; Ref. 6: Methodology for assessing data center electricity demand impacts</t>
  </si>
  <si>
    <t>Korea Energy Economics Institute (KEEI)</t>
  </si>
  <si>
    <t>Energy Consumption Implications of AI-Driven Data Center Growth in Korea</t>
  </si>
  <si>
    <t>Table 3-9. High-Growth (AI Acceleration) Scenario Projections</t>
  </si>
  <si>
    <t>https://www.data.go.kr/data/15127315/fileData.do#tab-layer-openapi</t>
  </si>
  <si>
    <t>전력소비량
(TWh)</t>
    <phoneticPr fontId="2" type="noConversion"/>
  </si>
  <si>
    <t>데이터센터 이용률 역산</t>
  </si>
  <si>
    <t>2022년도 전력소비량 추정</t>
  </si>
  <si>
    <t xml:space="preserve">In the absence of an official time series for Korean data center electricity consumption (TWh) during 2020–2022, </t>
    <phoneticPr fontId="2" type="noConversion"/>
  </si>
  <si>
    <t>historical values were back-calculated from observed indicators (number of facilities, contracted capacity in MW) anchored to the 2023 baseline of 5 TWh from the 11th Basic Plan for Electricity Supply and Demand.</t>
  </si>
  <si>
    <t>항목</t>
  </si>
  <si>
    <t>데이터센터 수 (개)</t>
  </si>
  <si>
    <t>전력수요 (MW)</t>
  </si>
  <si>
    <t>전력소비량 (TWh)</t>
  </si>
  <si>
    <t>이용률 (2023년 실측 기준)</t>
  </si>
  <si>
    <t>← 2023년 실측으로 역산</t>
  </si>
  <si>
    <t>추정치 (TWh)</t>
  </si>
  <si>
    <t>= 전력수요(MW) xd7 8,760h xd7 이용률 xf7 10⁶</t>
  </si>
  <si>
    <t>참고자료</t>
  </si>
  <si>
    <t>[1] 산업통상자원부 보도자료 — 2022년도 데이터센터 현황</t>
  </si>
  <si>
    <t>2022년 9월 기준 147개 데이터센터의 전력수요는 1,762 MW</t>
  </si>
  <si>
    <t>[2] 공공데이터 — 2023년도 데이터센터 현황</t>
  </si>
  <si>
    <t>한국전력공사_데이터센터 전기공급 현황 (2023년 기준 150개, 1,986 MW)</t>
  </si>
  <si>
    <t>[3] 국회입법조사처 (2024.5.21) — AI혁명에 부응한 선제적 전력공급 전력량 확충 긴요</t>
  </si>
  <si>
    <t>Status of Electricity Supply to Data Centers</t>
  </si>
  <si>
    <t>Korea Open Government Data Portal</t>
  </si>
  <si>
    <t>Korea Electric Power Corporation (KEPCO)_Status of Electricity Supply to Data Centers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</si>
</sst>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0.0"/>
    <numFmt numFmtId="177" formatCode="0.0_ "/>
    <numFmt numFmtId="178" formatCode="0.0_);[Red]\(0.0\)"/>
    <numFmt numFmtId="179" formatCode="_-* #,##0.0_-;\-* #,##0.0_-;_-* &quot;-&quot;_-;_-@_-"/>
    <numFmt numFmtId="184" formatCode="0.0%"/>
  </numFmts>
  <fonts count="1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9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11"/>
      <color rgb="FF1F3864"/>
      <name val="맑은 고딕"/>
      <family val="2"/>
      <charset val="129"/>
      <scheme val="minor"/>
    </font>
    <font>
      <i/>
      <sz val="10"/>
      <color rgb="FF40404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2"/>
      <charset val="129"/>
      <scheme val="minor"/>
    </font>
    <font>
      <sz val="11"/>
      <color rgb="FF595959"/>
      <name val="맑은 고딕"/>
      <family val="2"/>
      <charset val="129"/>
      <scheme val="minor"/>
    </font>
    <font>
      <sz val="11"/>
      <color rgb="FF0563C1"/>
      <name val="맑은 고딕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2F4F8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EEF2F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</cellStyleXfs>
  <cellXfs count="91">
    <xf numFmtId="0" fontId="0" fillId="0" borderId="0" xfId="0">
      <alignment vertical="center"/>
    </xf>
    <xf numFmtId="0" fontId="3" fillId="0" borderId="0" xfId="2"/>
    <xf numFmtId="0" fontId="4" fillId="0" borderId="0" xfId="2" applyFont="1"/>
    <xf numFmtId="0" fontId="5" fillId="0" borderId="0" xfId="2" applyFont="1"/>
    <xf numFmtId="0" fontId="3" fillId="0" borderId="0" xfId="2" applyAlignment="1">
      <alignment horizontal="left"/>
    </xf>
    <xf numFmtId="0" fontId="5" fillId="2" borderId="0" xfId="2" applyFont="1" applyFill="1"/>
    <xf numFmtId="176" fontId="3" fillId="3" borderId="1" xfId="2" applyNumberFormat="1" applyFill="1" applyBorder="1" applyAlignment="1">
      <alignment horizontal="center" vertical="center"/>
    </xf>
    <xf numFmtId="176" fontId="3" fillId="3" borderId="2" xfId="2" applyNumberFormat="1" applyFill="1" applyBorder="1" applyAlignment="1">
      <alignment horizontal="center" vertical="center"/>
    </xf>
    <xf numFmtId="0" fontId="3" fillId="3" borderId="2" xfId="2" applyFill="1" applyBorder="1" applyAlignment="1">
      <alignment horizontal="center" vertical="center"/>
    </xf>
    <xf numFmtId="176" fontId="3" fillId="5" borderId="4" xfId="2" applyNumberFormat="1" applyFill="1" applyBorder="1" applyAlignment="1">
      <alignment horizontal="center" vertical="center"/>
    </xf>
    <xf numFmtId="176" fontId="3" fillId="5" borderId="5" xfId="2" applyNumberFormat="1" applyFill="1" applyBorder="1" applyAlignment="1">
      <alignment horizontal="center" vertical="center"/>
    </xf>
    <xf numFmtId="0" fontId="3" fillId="5" borderId="5" xfId="2" applyFill="1" applyBorder="1" applyAlignment="1">
      <alignment horizontal="center" vertical="center"/>
    </xf>
    <xf numFmtId="176" fontId="3" fillId="3" borderId="4" xfId="2" applyNumberFormat="1" applyFill="1" applyBorder="1" applyAlignment="1">
      <alignment horizontal="center" vertical="center"/>
    </xf>
    <xf numFmtId="176" fontId="3" fillId="3" borderId="5" xfId="2" applyNumberFormat="1" applyFill="1" applyBorder="1" applyAlignment="1">
      <alignment horizontal="center" vertical="center"/>
    </xf>
    <xf numFmtId="0" fontId="3" fillId="3" borderId="5" xfId="2" applyFill="1" applyBorder="1" applyAlignment="1">
      <alignment horizontal="center" vertical="center"/>
    </xf>
    <xf numFmtId="177" fontId="5" fillId="6" borderId="9" xfId="2" quotePrefix="1" applyNumberFormat="1" applyFont="1" applyFill="1" applyBorder="1" applyAlignment="1">
      <alignment horizontal="center" vertical="center"/>
    </xf>
    <xf numFmtId="177" fontId="5" fillId="6" borderId="10" xfId="2" quotePrefix="1" applyNumberFormat="1" applyFont="1" applyFill="1" applyBorder="1" applyAlignment="1">
      <alignment horizontal="center" vertical="center"/>
    </xf>
    <xf numFmtId="0" fontId="5" fillId="6" borderId="10" xfId="2" applyFont="1" applyFill="1" applyBorder="1" applyAlignment="1">
      <alignment horizontal="center" vertical="center"/>
    </xf>
    <xf numFmtId="0" fontId="5" fillId="6" borderId="12" xfId="2" quotePrefix="1" applyFont="1" applyFill="1" applyBorder="1" applyAlignment="1">
      <alignment horizontal="center" vertical="center"/>
    </xf>
    <xf numFmtId="0" fontId="5" fillId="6" borderId="13" xfId="2" quotePrefix="1" applyFont="1" applyFill="1" applyBorder="1" applyAlignment="1">
      <alignment horizontal="center" vertical="center"/>
    </xf>
    <xf numFmtId="176" fontId="3" fillId="0" borderId="1" xfId="2" applyNumberFormat="1" applyBorder="1" applyAlignment="1">
      <alignment horizontal="center" vertical="center"/>
    </xf>
    <xf numFmtId="176" fontId="3" fillId="0" borderId="2" xfId="2" applyNumberFormat="1" applyBorder="1" applyAlignment="1">
      <alignment horizontal="center" vertical="center"/>
    </xf>
    <xf numFmtId="49" fontId="3" fillId="0" borderId="3" xfId="2" applyNumberFormat="1" applyBorder="1" applyAlignment="1">
      <alignment horizontal="center" vertical="center"/>
    </xf>
    <xf numFmtId="176" fontId="3" fillId="0" borderId="4" xfId="2" applyNumberFormat="1" applyBorder="1" applyAlignment="1">
      <alignment horizontal="center" vertical="center"/>
    </xf>
    <xf numFmtId="176" fontId="3" fillId="0" borderId="5" xfId="2" applyNumberFormat="1" applyBorder="1" applyAlignment="1">
      <alignment horizontal="center" vertical="center"/>
    </xf>
    <xf numFmtId="49" fontId="3" fillId="0" borderId="6" xfId="2" applyNumberFormat="1" applyBorder="1" applyAlignment="1">
      <alignment horizontal="center" vertical="center"/>
    </xf>
    <xf numFmtId="0" fontId="8" fillId="8" borderId="4" xfId="2" applyFont="1" applyFill="1" applyBorder="1" applyAlignment="1">
      <alignment horizontal="center" vertical="center" wrapText="1"/>
    </xf>
    <xf numFmtId="0" fontId="8" fillId="8" borderId="5" xfId="2" applyFont="1" applyFill="1" applyBorder="1" applyAlignment="1">
      <alignment horizontal="center" vertical="center" wrapText="1"/>
    </xf>
    <xf numFmtId="0" fontId="8" fillId="8" borderId="6" xfId="2" applyFont="1" applyFill="1" applyBorder="1" applyAlignment="1">
      <alignment horizontal="center" vertical="center" wrapText="1"/>
    </xf>
    <xf numFmtId="0" fontId="8" fillId="8" borderId="12" xfId="2" applyFont="1" applyFill="1" applyBorder="1" applyAlignment="1">
      <alignment horizontal="center" vertical="center"/>
    </xf>
    <xf numFmtId="0" fontId="8" fillId="8" borderId="13" xfId="2" applyFont="1" applyFill="1" applyBorder="1" applyAlignment="1">
      <alignment horizontal="center" vertical="center"/>
    </xf>
    <xf numFmtId="0" fontId="8" fillId="8" borderId="14" xfId="2" applyFont="1" applyFill="1" applyBorder="1" applyAlignment="1">
      <alignment horizontal="center" vertical="center"/>
    </xf>
    <xf numFmtId="178" fontId="5" fillId="0" borderId="5" xfId="0" applyNumberFormat="1" applyFont="1" applyBorder="1" applyAlignment="1">
      <alignment horizontal="center" vertical="center"/>
    </xf>
    <xf numFmtId="178" fontId="0" fillId="0" borderId="5" xfId="0" applyNumberFormat="1" applyBorder="1" applyAlignment="1"/>
    <xf numFmtId="0" fontId="0" fillId="0" borderId="5" xfId="0" applyBorder="1">
      <alignment vertical="center"/>
    </xf>
    <xf numFmtId="0" fontId="5" fillId="6" borderId="5" xfId="2" quotePrefix="1" applyFont="1" applyFill="1" applyBorder="1" applyAlignment="1">
      <alignment horizontal="center" vertical="center"/>
    </xf>
    <xf numFmtId="0" fontId="8" fillId="8" borderId="5" xfId="2" applyFont="1" applyFill="1" applyBorder="1" applyAlignment="1">
      <alignment horizontal="center" vertical="center"/>
    </xf>
    <xf numFmtId="0" fontId="0" fillId="9" borderId="5" xfId="0" applyFill="1" applyBorder="1">
      <alignment vertical="center"/>
    </xf>
    <xf numFmtId="0" fontId="0" fillId="10" borderId="5" xfId="0" applyFill="1" applyBorder="1">
      <alignment vertical="center"/>
    </xf>
    <xf numFmtId="0" fontId="0" fillId="11" borderId="5" xfId="0" applyFill="1" applyBorder="1">
      <alignment vertical="center"/>
    </xf>
    <xf numFmtId="179" fontId="0" fillId="9" borderId="5" xfId="1" applyNumberFormat="1" applyFont="1" applyFill="1" applyBorder="1">
      <alignment vertical="center"/>
    </xf>
    <xf numFmtId="179" fontId="0" fillId="0" borderId="5" xfId="1" applyNumberFormat="1" applyFont="1" applyBorder="1">
      <alignment vertical="center"/>
    </xf>
    <xf numFmtId="179" fontId="0" fillId="10" borderId="5" xfId="1" applyNumberFormat="1" applyFont="1" applyFill="1" applyBorder="1">
      <alignment vertical="center"/>
    </xf>
    <xf numFmtId="179" fontId="0" fillId="11" borderId="5" xfId="1" applyNumberFormat="1" applyFont="1" applyFill="1" applyBorder="1">
      <alignment vertical="center"/>
    </xf>
    <xf numFmtId="0" fontId="5" fillId="6" borderId="15" xfId="2" applyFont="1" applyFill="1" applyBorder="1" applyAlignment="1">
      <alignment horizontal="center" vertical="center"/>
    </xf>
    <xf numFmtId="11" fontId="4" fillId="0" borderId="0" xfId="2" applyNumberFormat="1" applyFont="1"/>
    <xf numFmtId="178" fontId="0" fillId="0" borderId="0" xfId="0" applyNumberFormat="1" applyAlignment="1"/>
    <xf numFmtId="43" fontId="0" fillId="0" borderId="5" xfId="0" applyNumberFormat="1" applyBorder="1">
      <alignment vertical="center"/>
    </xf>
    <xf numFmtId="0" fontId="11" fillId="5" borderId="0" xfId="0" applyFont="1" applyFill="1">
      <alignment vertical="center"/>
    </xf>
    <xf numFmtId="178" fontId="11" fillId="5" borderId="0" xfId="0" applyNumberFormat="1" applyFont="1" applyFill="1" applyAlignment="1"/>
    <xf numFmtId="0" fontId="0" fillId="0" borderId="5" xfId="0" quotePrefix="1" applyBorder="1">
      <alignment vertical="center"/>
    </xf>
    <xf numFmtId="0" fontId="13" fillId="0" borderId="0" xfId="2" applyFont="1"/>
    <xf numFmtId="0" fontId="12" fillId="0" borderId="0" xfId="2" applyFont="1"/>
    <xf numFmtId="0" fontId="10" fillId="12" borderId="0" xfId="0" applyFont="1" applyFill="1">
      <alignment vertical="center"/>
    </xf>
    <xf numFmtId="0" fontId="0" fillId="12" borderId="0" xfId="0" applyFill="1">
      <alignment vertical="center"/>
    </xf>
    <xf numFmtId="178" fontId="10" fillId="12" borderId="0" xfId="0" applyNumberFormat="1" applyFont="1" applyFill="1" applyAlignment="1"/>
    <xf numFmtId="0" fontId="7" fillId="0" borderId="0" xfId="2" applyFont="1"/>
    <xf numFmtId="0" fontId="5" fillId="4" borderId="11" xfId="2" applyFont="1" applyFill="1" applyBorder="1" applyAlignment="1">
      <alignment horizontal="center" vertical="center" wrapText="1"/>
    </xf>
    <xf numFmtId="0" fontId="5" fillId="4" borderId="8" xfId="2" applyFont="1" applyFill="1" applyBorder="1" applyAlignment="1">
      <alignment horizontal="center" vertical="center" wrapText="1"/>
    </xf>
    <xf numFmtId="0" fontId="5" fillId="4" borderId="7" xfId="2" applyFont="1" applyFill="1" applyBorder="1" applyAlignment="1">
      <alignment horizontal="center" vertical="center" wrapText="1"/>
    </xf>
    <xf numFmtId="0" fontId="5" fillId="7" borderId="0" xfId="2" applyFont="1" applyFill="1" applyAlignment="1">
      <alignment horizontal="center" vertical="center"/>
    </xf>
    <xf numFmtId="0" fontId="3" fillId="0" borderId="0" xfId="2"/>
    <xf numFmtId="0" fontId="5" fillId="6" borderId="14" xfId="2" applyFont="1" applyFill="1" applyBorder="1" applyAlignment="1">
      <alignment horizontal="center" vertical="center"/>
    </xf>
    <xf numFmtId="0" fontId="5" fillId="6" borderId="13" xfId="2" applyFont="1" applyFill="1" applyBorder="1" applyAlignment="1">
      <alignment horizontal="center" vertical="center"/>
    </xf>
    <xf numFmtId="0" fontId="3" fillId="0" borderId="5" xfId="2" applyBorder="1"/>
    <xf numFmtId="0" fontId="5" fillId="4" borderId="6" xfId="2" applyFont="1" applyFill="1" applyBorder="1" applyAlignment="1">
      <alignment horizontal="center" vertical="center" wrapText="1"/>
    </xf>
    <xf numFmtId="0" fontId="5" fillId="4" borderId="3" xfId="2" applyFont="1" applyFill="1" applyBorder="1" applyAlignment="1">
      <alignment horizontal="center" vertical="center" wrapText="1"/>
    </xf>
    <xf numFmtId="0" fontId="3" fillId="0" borderId="2" xfId="2" applyBorder="1"/>
    <xf numFmtId="0" fontId="9" fillId="0" borderId="0" xfId="2" applyFont="1" applyAlignment="1">
      <alignment horizontal="center"/>
    </xf>
    <xf numFmtId="49" fontId="9" fillId="0" borderId="0" xfId="2" applyNumberFormat="1" applyFont="1" applyAlignment="1">
      <alignment horizontal="center" vertical="center"/>
    </xf>
    <xf numFmtId="49" fontId="3" fillId="0" borderId="0" xfId="2" applyNumberFormat="1" applyAlignment="1">
      <alignment horizontal="center" vertical="center"/>
    </xf>
    <xf numFmtId="0" fontId="15" fillId="13" borderId="0" xfId="0" applyFont="1" applyFill="1">
      <alignment vertical="center"/>
    </xf>
    <xf numFmtId="0" fontId="15" fillId="13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4" borderId="0" xfId="0" applyFill="1">
      <alignment vertical="center"/>
    </xf>
    <xf numFmtId="2" fontId="0" fillId="14" borderId="0" xfId="0" applyNumberFormat="1" applyFill="1" applyAlignment="1">
      <alignment horizontal="center" vertical="center"/>
    </xf>
    <xf numFmtId="0" fontId="10" fillId="7" borderId="0" xfId="0" applyFont="1" applyFill="1">
      <alignment vertical="center"/>
    </xf>
    <xf numFmtId="0" fontId="0" fillId="15" borderId="0" xfId="0" applyFill="1">
      <alignment vertical="center"/>
    </xf>
    <xf numFmtId="0" fontId="0" fillId="7" borderId="0" xfId="0" applyFill="1">
      <alignment vertical="center"/>
    </xf>
    <xf numFmtId="184" fontId="0" fillId="7" borderId="0" xfId="0" applyNumberFormat="1" applyFill="1" applyAlignment="1">
      <alignment horizontal="center" vertical="center"/>
    </xf>
    <xf numFmtId="0" fontId="16" fillId="7" borderId="0" xfId="0" applyFont="1" applyFill="1">
      <alignment vertical="center"/>
    </xf>
    <xf numFmtId="2" fontId="0" fillId="15" borderId="0" xfId="0" applyNumberFormat="1" applyFill="1" applyAlignment="1">
      <alignment horizontal="center" vertical="center"/>
    </xf>
    <xf numFmtId="0" fontId="16" fillId="0" borderId="0" xfId="0" quotePrefix="1" applyFont="1">
      <alignment vertical="center"/>
    </xf>
    <xf numFmtId="0" fontId="14" fillId="4" borderId="0" xfId="0" applyFont="1" applyFill="1">
      <alignment vertical="center"/>
    </xf>
    <xf numFmtId="0" fontId="17" fillId="0" borderId="0" xfId="0" applyFont="1">
      <alignment vertical="center"/>
    </xf>
    <xf numFmtId="0" fontId="0" fillId="0" borderId="0" xfId="0" applyFill="1">
      <alignment vertical="center"/>
    </xf>
    <xf numFmtId="2" fontId="0" fillId="0" borderId="0" xfId="0" applyNumberFormat="1" applyFill="1" applyAlignment="1">
      <alignment horizontal="center" vertical="center"/>
    </xf>
    <xf numFmtId="0" fontId="16" fillId="0" borderId="0" xfId="0" quotePrefix="1" applyFont="1" applyFill="1">
      <alignment vertical="center"/>
    </xf>
    <xf numFmtId="0" fontId="5" fillId="0" borderId="5" xfId="0" applyNumberFormat="1" applyFont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표준 2" xfId="2" xr:uid="{72293619-52CC-469D-8B47-A0B24ED328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58</xdr:row>
      <xdr:rowOff>47625</xdr:rowOff>
    </xdr:from>
    <xdr:to>
      <xdr:col>1</xdr:col>
      <xdr:colOff>428980</xdr:colOff>
      <xdr:row>69</xdr:row>
      <xdr:rowOff>105105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817FE1E-4981-4496-BD1B-D86D3AA264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7800975"/>
          <a:ext cx="2543530" cy="23625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28575</xdr:rowOff>
    </xdr:from>
    <xdr:to>
      <xdr:col>3</xdr:col>
      <xdr:colOff>76200</xdr:colOff>
      <xdr:row>34</xdr:row>
      <xdr:rowOff>69912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5D3BF22-FFF8-4A65-A747-54A53483A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057775"/>
          <a:ext cx="4438650" cy="2136837"/>
        </a:xfrm>
        <a:prstGeom prst="rect">
          <a:avLst/>
        </a:prstGeom>
      </xdr:spPr>
    </xdr:pic>
    <xdr:clientData/>
  </xdr:twoCellAnchor>
  <xdr:twoCellAnchor editAs="oneCell">
    <xdr:from>
      <xdr:col>1</xdr:col>
      <xdr:colOff>66676</xdr:colOff>
      <xdr:row>6</xdr:row>
      <xdr:rowOff>19050</xdr:rowOff>
    </xdr:from>
    <xdr:to>
      <xdr:col>4</xdr:col>
      <xdr:colOff>981076</xdr:colOff>
      <xdr:row>9</xdr:row>
      <xdr:rowOff>98524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BACE8AD-A980-4C2E-A72C-DF2EA1E99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19576" y="1276350"/>
          <a:ext cx="3486150" cy="70812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13</xdr:row>
      <xdr:rowOff>47625</xdr:rowOff>
    </xdr:from>
    <xdr:to>
      <xdr:col>4</xdr:col>
      <xdr:colOff>180975</xdr:colOff>
      <xdr:row>19</xdr:row>
      <xdr:rowOff>175414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59BE0DC6-EBF2-4CDB-8720-6949A4888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" y="2771775"/>
          <a:ext cx="5000625" cy="13850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419100</xdr:colOff>
      <xdr:row>10</xdr:row>
      <xdr:rowOff>47625</xdr:rowOff>
    </xdr:from>
    <xdr:ext cx="5992061" cy="3296110"/>
    <xdr:pic>
      <xdr:nvPicPr>
        <xdr:cNvPr id="2" name="그림 1">
          <a:extLst>
            <a:ext uri="{FF2B5EF4-FFF2-40B4-BE49-F238E27FC236}">
              <a16:creationId xmlns:a16="http://schemas.microsoft.com/office/drawing/2014/main" id="{9BAD87F2-0FDC-4821-9B4F-1A150C1A9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33900" y="2143125"/>
          <a:ext cx="5992061" cy="3296110"/>
        </a:xfrm>
        <a:prstGeom prst="rect">
          <a:avLst/>
        </a:prstGeom>
      </xdr:spPr>
    </xdr:pic>
    <xdr:clientData/>
  </xdr:oneCellAnchor>
  <xdr:oneCellAnchor>
    <xdr:from>
      <xdr:col>0</xdr:col>
      <xdr:colOff>142875</xdr:colOff>
      <xdr:row>10</xdr:row>
      <xdr:rowOff>0</xdr:rowOff>
    </xdr:from>
    <xdr:ext cx="5430008" cy="7878274"/>
    <xdr:pic>
      <xdr:nvPicPr>
        <xdr:cNvPr id="3" name="그림 2">
          <a:extLst>
            <a:ext uri="{FF2B5EF4-FFF2-40B4-BE49-F238E27FC236}">
              <a16:creationId xmlns:a16="http://schemas.microsoft.com/office/drawing/2014/main" id="{43D5E5E9-787C-4846-AF41-F08D4AAAB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" y="2095500"/>
          <a:ext cx="5430008" cy="787827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561975</xdr:colOff>
      <xdr:row>12</xdr:row>
      <xdr:rowOff>266700</xdr:rowOff>
    </xdr:from>
    <xdr:ext cx="4582164" cy="2676899"/>
    <xdr:pic>
      <xdr:nvPicPr>
        <xdr:cNvPr id="2" name="그림 1">
          <a:extLst>
            <a:ext uri="{FF2B5EF4-FFF2-40B4-BE49-F238E27FC236}">
              <a16:creationId xmlns:a16="http://schemas.microsoft.com/office/drawing/2014/main" id="{8DB32EAB-2B45-48F5-95C6-155D4744A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62575" y="2724150"/>
          <a:ext cx="4582164" cy="2676899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1</xdr:row>
      <xdr:rowOff>0</xdr:rowOff>
    </xdr:from>
    <xdr:ext cx="4248743" cy="2734057"/>
    <xdr:pic>
      <xdr:nvPicPr>
        <xdr:cNvPr id="3" name="그림 2">
          <a:extLst>
            <a:ext uri="{FF2B5EF4-FFF2-40B4-BE49-F238E27FC236}">
              <a16:creationId xmlns:a16="http://schemas.microsoft.com/office/drawing/2014/main" id="{6800B8F8-0BD6-4CF7-900C-063DCDB75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209550"/>
          <a:ext cx="4248743" cy="273405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29</xdr:row>
      <xdr:rowOff>171450</xdr:rowOff>
    </xdr:from>
    <xdr:ext cx="4247032" cy="2991388"/>
    <xdr:pic>
      <xdr:nvPicPr>
        <xdr:cNvPr id="2" name="그림 1">
          <a:extLst>
            <a:ext uri="{FF2B5EF4-FFF2-40B4-BE49-F238E27FC236}">
              <a16:creationId xmlns:a16="http://schemas.microsoft.com/office/drawing/2014/main" id="{F7A2D5BF-4DBD-4C54-946F-E79187B44D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1" y="6248400"/>
          <a:ext cx="4247032" cy="299138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file:///C:\Users\MeganMahajan\Documents\eps-us\InputData\bldgs\BCEU\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AC9AECA-E685-456C-8B46-260F09C3AF7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7e096c4-8cd7-46d9-8004-42ddefc64ee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3675-CA2C-4D72-A63F-57FEEDE72D7F}">
  <dimension ref="A1:B40"/>
  <sheetViews>
    <sheetView tabSelected="1" workbookViewId="0">
      <selection activeCell="J19" sqref="J19"/>
    </sheetView>
  </sheetViews>
  <sheetFormatPr defaultRowHeight="16.5" x14ac:dyDescent="0.3"/>
  <cols>
    <col min="1" max="1" width="9" style="1"/>
    <col min="2" max="2" width="34" style="1" customWidth="1"/>
    <col min="3" max="16384" width="9" style="1"/>
  </cols>
  <sheetData>
    <row r="1" spans="1:2" x14ac:dyDescent="0.3">
      <c r="A1" s="1" t="s">
        <v>4</v>
      </c>
    </row>
    <row r="3" spans="1:2" x14ac:dyDescent="0.3">
      <c r="A3" s="3" t="s">
        <v>3</v>
      </c>
      <c r="B3" s="5" t="s">
        <v>2</v>
      </c>
    </row>
    <row r="4" spans="1:2" x14ac:dyDescent="0.3">
      <c r="B4" s="4" t="s">
        <v>64</v>
      </c>
    </row>
    <row r="5" spans="1:2" x14ac:dyDescent="0.3">
      <c r="B5" s="4">
        <v>2025</v>
      </c>
    </row>
    <row r="6" spans="1:2" x14ac:dyDescent="0.3">
      <c r="B6" s="4" t="s">
        <v>65</v>
      </c>
    </row>
    <row r="7" spans="1:2" x14ac:dyDescent="0.3">
      <c r="B7" s="4" t="s">
        <v>66</v>
      </c>
    </row>
    <row r="10" spans="1:2" x14ac:dyDescent="0.3">
      <c r="B10" s="5" t="s">
        <v>1</v>
      </c>
    </row>
    <row r="11" spans="1:2" x14ac:dyDescent="0.3">
      <c r="B11" s="1" t="s">
        <v>67</v>
      </c>
    </row>
    <row r="12" spans="1:2" x14ac:dyDescent="0.3">
      <c r="B12" s="4">
        <v>2025</v>
      </c>
    </row>
    <row r="13" spans="1:2" x14ac:dyDescent="0.3">
      <c r="B13" s="4" t="s">
        <v>68</v>
      </c>
    </row>
    <row r="14" spans="1:2" x14ac:dyDescent="0.3">
      <c r="B14" s="4" t="s">
        <v>69</v>
      </c>
    </row>
    <row r="17" spans="1:2" x14ac:dyDescent="0.3">
      <c r="B17" s="5" t="s">
        <v>90</v>
      </c>
    </row>
    <row r="18" spans="1:2" x14ac:dyDescent="0.3">
      <c r="B18" s="1" t="s">
        <v>91</v>
      </c>
    </row>
    <row r="19" spans="1:2" x14ac:dyDescent="0.3">
      <c r="B19" s="1">
        <v>2023</v>
      </c>
    </row>
    <row r="20" spans="1:2" x14ac:dyDescent="0.3">
      <c r="B20" s="1" t="s">
        <v>92</v>
      </c>
    </row>
    <row r="21" spans="1:2" x14ac:dyDescent="0.3">
      <c r="B21" s="1" t="s">
        <v>70</v>
      </c>
    </row>
    <row r="24" spans="1:2" x14ac:dyDescent="0.3">
      <c r="A24" s="3" t="s">
        <v>57</v>
      </c>
    </row>
    <row r="25" spans="1:2" x14ac:dyDescent="0.3">
      <c r="A25" t="s">
        <v>74</v>
      </c>
    </row>
    <row r="26" spans="1:2" x14ac:dyDescent="0.3">
      <c r="A26" s="52" t="s">
        <v>75</v>
      </c>
    </row>
    <row r="27" spans="1:2" x14ac:dyDescent="0.3">
      <c r="A27" s="52" t="s">
        <v>60</v>
      </c>
    </row>
    <row r="28" spans="1:2" x14ac:dyDescent="0.3">
      <c r="A28" s="52" t="s">
        <v>63</v>
      </c>
    </row>
    <row r="29" spans="1:2" x14ac:dyDescent="0.3">
      <c r="A29" s="52" t="s">
        <v>61</v>
      </c>
    </row>
    <row r="30" spans="1:2" x14ac:dyDescent="0.3">
      <c r="A30" s="52" t="s">
        <v>62</v>
      </c>
    </row>
    <row r="31" spans="1:2" x14ac:dyDescent="0.3">
      <c r="A31" s="52" t="s">
        <v>58</v>
      </c>
    </row>
    <row r="32" spans="1:2" x14ac:dyDescent="0.3">
      <c r="A32" s="1" t="s">
        <v>59</v>
      </c>
    </row>
    <row r="34" spans="1:1" x14ac:dyDescent="0.3">
      <c r="A34" s="1" t="s">
        <v>0</v>
      </c>
    </row>
    <row r="40" spans="1:1" x14ac:dyDescent="0.3">
      <c r="A40" s="5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6335-A4D1-4B12-9828-C98D5418875A}">
  <dimension ref="A1:E40"/>
  <sheetViews>
    <sheetView workbookViewId="0">
      <selection activeCell="C31" sqref="C31"/>
    </sheetView>
  </sheetViews>
  <sheetFormatPr defaultRowHeight="16.5" x14ac:dyDescent="0.3"/>
  <cols>
    <col min="1" max="1" width="29.75" customWidth="1"/>
    <col min="2" max="2" width="6.5" bestFit="1" customWidth="1"/>
    <col min="3" max="3" width="21" customWidth="1"/>
    <col min="4" max="4" width="6.25" bestFit="1" customWidth="1"/>
    <col min="5" max="5" width="23.625" bestFit="1" customWidth="1"/>
  </cols>
  <sheetData>
    <row r="1" spans="1:5" x14ac:dyDescent="0.3">
      <c r="A1" s="72" t="s">
        <v>76</v>
      </c>
      <c r="B1" s="72">
        <v>2020</v>
      </c>
      <c r="C1" s="72">
        <v>2021</v>
      </c>
      <c r="D1" s="72">
        <v>2022</v>
      </c>
      <c r="E1" s="72">
        <v>2023</v>
      </c>
    </row>
    <row r="2" spans="1:5" x14ac:dyDescent="0.3">
      <c r="A2" s="73" t="s">
        <v>77</v>
      </c>
      <c r="B2" s="73"/>
      <c r="C2" s="73"/>
      <c r="D2" s="74">
        <v>147</v>
      </c>
      <c r="E2" s="74">
        <v>150</v>
      </c>
    </row>
    <row r="3" spans="1:5" x14ac:dyDescent="0.3">
      <c r="A3" t="s">
        <v>78</v>
      </c>
      <c r="D3" s="75">
        <v>1764</v>
      </c>
      <c r="E3" s="75">
        <v>1986</v>
      </c>
    </row>
    <row r="4" spans="1:5" x14ac:dyDescent="0.3">
      <c r="A4" s="76" t="s">
        <v>79</v>
      </c>
      <c r="B4" s="77">
        <f>_xlfn.FORECAST.LINEAR(B1,D4:E4,D1:E1)</f>
        <v>3.3232628398789075</v>
      </c>
      <c r="C4" s="77">
        <f>_xlfn.FORECAST.LINEAR(C1,D4:E4,D1:E1)</f>
        <v>3.8821752265860141</v>
      </c>
      <c r="D4" s="77">
        <f>B12</f>
        <v>4.4410876132930506</v>
      </c>
      <c r="E4" s="77">
        <v>5</v>
      </c>
    </row>
    <row r="6" spans="1:5" x14ac:dyDescent="0.3">
      <c r="A6" s="78" t="s">
        <v>72</v>
      </c>
      <c r="B6" s="81">
        <f>(E4*10^6)/(E3*8760)</f>
        <v>0.28739992734529834</v>
      </c>
      <c r="C6" s="80"/>
      <c r="D6" s="80"/>
      <c r="E6" s="82" t="s">
        <v>81</v>
      </c>
    </row>
    <row r="7" spans="1:5" x14ac:dyDescent="0.3">
      <c r="A7" s="79" t="s">
        <v>80</v>
      </c>
    </row>
    <row r="11" spans="1:5" x14ac:dyDescent="0.3">
      <c r="A11" s="78" t="s">
        <v>73</v>
      </c>
    </row>
    <row r="12" spans="1:5" x14ac:dyDescent="0.3">
      <c r="A12" s="79" t="s">
        <v>82</v>
      </c>
      <c r="B12" s="83">
        <f>D3*8760*B6/(10^6)</f>
        <v>4.4410876132930506</v>
      </c>
      <c r="C12" s="84" t="s">
        <v>83</v>
      </c>
    </row>
    <row r="13" spans="1:5" s="87" customFormat="1" x14ac:dyDescent="0.3">
      <c r="B13" s="88"/>
      <c r="C13" s="89"/>
    </row>
    <row r="14" spans="1:5" s="87" customFormat="1" x14ac:dyDescent="0.3">
      <c r="B14" s="88"/>
      <c r="C14" s="89"/>
    </row>
    <row r="15" spans="1:5" s="87" customFormat="1" x14ac:dyDescent="0.3">
      <c r="B15" s="88"/>
      <c r="C15" s="89"/>
    </row>
    <row r="16" spans="1:5" s="87" customFormat="1" x14ac:dyDescent="0.3">
      <c r="B16" s="88"/>
      <c r="C16" s="89"/>
    </row>
    <row r="17" spans="1:3" s="87" customFormat="1" x14ac:dyDescent="0.3">
      <c r="B17" s="88"/>
      <c r="C17" s="89"/>
    </row>
    <row r="18" spans="1:3" s="87" customFormat="1" x14ac:dyDescent="0.3">
      <c r="B18" s="88"/>
      <c r="C18" s="89"/>
    </row>
    <row r="19" spans="1:3" s="87" customFormat="1" x14ac:dyDescent="0.3">
      <c r="B19" s="88"/>
      <c r="C19" s="89"/>
    </row>
    <row r="20" spans="1:3" s="87" customFormat="1" x14ac:dyDescent="0.3">
      <c r="B20" s="88"/>
      <c r="C20" s="89"/>
    </row>
    <row r="22" spans="1:3" x14ac:dyDescent="0.3">
      <c r="A22" s="71" t="s">
        <v>84</v>
      </c>
    </row>
    <row r="23" spans="1:3" x14ac:dyDescent="0.3">
      <c r="A23" s="85" t="s">
        <v>85</v>
      </c>
    </row>
    <row r="24" spans="1:3" x14ac:dyDescent="0.3">
      <c r="A24" t="s">
        <v>86</v>
      </c>
    </row>
    <row r="36" spans="1:1" x14ac:dyDescent="0.3">
      <c r="A36" s="85" t="s">
        <v>87</v>
      </c>
    </row>
    <row r="37" spans="1:1" x14ac:dyDescent="0.3">
      <c r="A37" s="86" t="s">
        <v>70</v>
      </c>
    </row>
    <row r="38" spans="1:1" x14ac:dyDescent="0.3">
      <c r="A38" t="s">
        <v>88</v>
      </c>
    </row>
    <row r="40" spans="1:1" x14ac:dyDescent="0.3">
      <c r="A40" s="85" t="s">
        <v>89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CDD3-E612-4EFD-B989-7F9F6F078F7A}">
  <dimension ref="A1:I9"/>
  <sheetViews>
    <sheetView workbookViewId="0">
      <selection activeCell="A3" sqref="A3:A5"/>
    </sheetView>
  </sheetViews>
  <sheetFormatPr defaultRowHeight="16.5" x14ac:dyDescent="0.3"/>
  <cols>
    <col min="1" max="1" width="13.375" style="1" customWidth="1"/>
    <col min="2" max="2" width="0.625" style="1" customWidth="1"/>
    <col min="3" max="3" width="28.375" style="1" customWidth="1"/>
    <col min="4" max="8" width="9.125" style="1" customWidth="1"/>
    <col min="9" max="16384" width="9" style="1"/>
  </cols>
  <sheetData>
    <row r="1" spans="1:9" ht="24" customHeight="1" thickBot="1" x14ac:dyDescent="0.35">
      <c r="A1" s="60" t="s">
        <v>18</v>
      </c>
      <c r="B1" s="61"/>
      <c r="C1" s="61"/>
      <c r="D1" s="61"/>
      <c r="E1" s="61"/>
      <c r="F1" s="61"/>
      <c r="G1" s="61"/>
      <c r="H1" s="61"/>
    </row>
    <row r="2" spans="1:9" ht="21.95" customHeight="1" x14ac:dyDescent="0.3">
      <c r="A2" s="62" t="s">
        <v>17</v>
      </c>
      <c r="B2" s="63"/>
      <c r="C2" s="63"/>
      <c r="D2" s="19" t="s">
        <v>16</v>
      </c>
      <c r="E2" s="19" t="s">
        <v>15</v>
      </c>
      <c r="F2" s="19" t="s">
        <v>14</v>
      </c>
      <c r="G2" s="19" t="s">
        <v>13</v>
      </c>
      <c r="H2" s="18" t="s">
        <v>12</v>
      </c>
    </row>
    <row r="3" spans="1:9" ht="21.95" customHeight="1" x14ac:dyDescent="0.3">
      <c r="A3" s="57" t="s">
        <v>71</v>
      </c>
      <c r="B3" s="17"/>
      <c r="C3" s="17" t="s">
        <v>11</v>
      </c>
      <c r="D3" s="16">
        <f>D5-D4</f>
        <v>5.4999999999999991</v>
      </c>
      <c r="E3" s="16">
        <f>E5-E4</f>
        <v>6.4</v>
      </c>
      <c r="F3" s="16">
        <f>F5-F4</f>
        <v>8</v>
      </c>
      <c r="G3" s="16">
        <f>G5-G4</f>
        <v>12.499999999999998</v>
      </c>
      <c r="H3" s="15">
        <f>H5-H4</f>
        <v>14.5</v>
      </c>
      <c r="I3" s="1" t="s">
        <v>10</v>
      </c>
    </row>
    <row r="4" spans="1:9" ht="27.95" customHeight="1" x14ac:dyDescent="0.3">
      <c r="A4" s="58"/>
      <c r="B4" s="64"/>
      <c r="C4" s="11" t="s">
        <v>7</v>
      </c>
      <c r="D4" s="10">
        <v>2.7</v>
      </c>
      <c r="E4" s="10">
        <v>8.4</v>
      </c>
      <c r="F4" s="10">
        <v>10</v>
      </c>
      <c r="G4" s="10">
        <v>13.9</v>
      </c>
      <c r="H4" s="9">
        <v>15.5</v>
      </c>
    </row>
    <row r="5" spans="1:9" ht="27.95" customHeight="1" x14ac:dyDescent="0.3">
      <c r="A5" s="59"/>
      <c r="B5" s="64"/>
      <c r="C5" s="14" t="s">
        <v>6</v>
      </c>
      <c r="D5" s="13">
        <v>8.1999999999999993</v>
      </c>
      <c r="E5" s="13">
        <v>14.8</v>
      </c>
      <c r="F5" s="13">
        <v>18</v>
      </c>
      <c r="G5" s="13">
        <v>26.4</v>
      </c>
      <c r="H5" s="12">
        <v>30</v>
      </c>
      <c r="I5" s="1" t="s">
        <v>9</v>
      </c>
    </row>
    <row r="6" spans="1:9" ht="27.95" customHeight="1" x14ac:dyDescent="0.3">
      <c r="A6" s="65" t="s">
        <v>8</v>
      </c>
      <c r="B6" s="64"/>
      <c r="C6" s="11" t="s">
        <v>7</v>
      </c>
      <c r="D6" s="10">
        <v>0.5</v>
      </c>
      <c r="E6" s="10">
        <v>1.5</v>
      </c>
      <c r="F6" s="10">
        <v>2.2999999999999998</v>
      </c>
      <c r="G6" s="10">
        <v>3.9</v>
      </c>
      <c r="H6" s="9">
        <v>4.4000000000000004</v>
      </c>
    </row>
    <row r="7" spans="1:9" ht="27.95" customHeight="1" thickBot="1" x14ac:dyDescent="0.35">
      <c r="A7" s="66"/>
      <c r="B7" s="67"/>
      <c r="C7" s="8" t="s">
        <v>6</v>
      </c>
      <c r="D7" s="7">
        <v>1.2</v>
      </c>
      <c r="E7" s="7">
        <v>2.2999999999999998</v>
      </c>
      <c r="F7" s="7">
        <v>3.3</v>
      </c>
      <c r="G7" s="7">
        <v>5.4</v>
      </c>
      <c r="H7" s="6">
        <v>6.2</v>
      </c>
    </row>
    <row r="9" spans="1:9" ht="18" customHeight="1" x14ac:dyDescent="0.3">
      <c r="A9" s="56" t="s">
        <v>5</v>
      </c>
      <c r="B9" s="56"/>
      <c r="C9" s="56"/>
      <c r="D9" s="56"/>
      <c r="E9" s="56"/>
      <c r="F9" s="56"/>
      <c r="G9" s="56"/>
      <c r="H9" s="56"/>
    </row>
  </sheetData>
  <mergeCells count="7">
    <mergeCell ref="A9:H9"/>
    <mergeCell ref="A3:A5"/>
    <mergeCell ref="A1:H1"/>
    <mergeCell ref="A2:C2"/>
    <mergeCell ref="B4:B5"/>
    <mergeCell ref="A6:A7"/>
    <mergeCell ref="B6:B7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31AE3-9FF1-437B-BF08-A222E93C4FDA}">
  <dimension ref="A1:F23"/>
  <sheetViews>
    <sheetView workbookViewId="0">
      <selection activeCell="B14" sqref="B14:F14"/>
    </sheetView>
  </sheetViews>
  <sheetFormatPr defaultRowHeight="16.5" x14ac:dyDescent="0.3"/>
  <cols>
    <col min="1" max="1" width="13.375" style="1" customWidth="1"/>
    <col min="2" max="5" width="12" style="1" customWidth="1"/>
    <col min="6" max="6" width="18.75" style="1" customWidth="1"/>
    <col min="7" max="16384" width="9" style="1"/>
  </cols>
  <sheetData>
    <row r="1" spans="1:6" ht="26.1" customHeight="1" thickBot="1" x14ac:dyDescent="0.35">
      <c r="A1" s="68" t="s">
        <v>32</v>
      </c>
      <c r="B1" s="61"/>
      <c r="C1" s="61"/>
      <c r="D1" s="61"/>
      <c r="E1" s="61"/>
      <c r="F1" s="61"/>
    </row>
    <row r="2" spans="1:6" ht="21.95" customHeight="1" x14ac:dyDescent="0.3">
      <c r="A2" s="31" t="s">
        <v>29</v>
      </c>
      <c r="B2" s="30">
        <v>2023</v>
      </c>
      <c r="C2" s="30">
        <v>2030</v>
      </c>
      <c r="D2" s="30">
        <v>2040</v>
      </c>
      <c r="E2" s="30">
        <v>2050</v>
      </c>
      <c r="F2" s="29">
        <v>2060</v>
      </c>
    </row>
    <row r="3" spans="1:6" ht="21.95" customHeight="1" x14ac:dyDescent="0.3">
      <c r="A3" s="25" t="s">
        <v>22</v>
      </c>
      <c r="B3" s="24">
        <v>5</v>
      </c>
      <c r="C3" s="24">
        <v>13.8</v>
      </c>
      <c r="D3" s="24">
        <v>31.6</v>
      </c>
      <c r="E3" s="24">
        <v>49.9</v>
      </c>
      <c r="F3" s="23">
        <v>65.400000000000006</v>
      </c>
    </row>
    <row r="4" spans="1:6" ht="21.95" customHeight="1" x14ac:dyDescent="0.3">
      <c r="A4" s="25" t="s">
        <v>21</v>
      </c>
      <c r="B4" s="24">
        <v>0.8</v>
      </c>
      <c r="C4" s="24">
        <v>2.1</v>
      </c>
      <c r="D4" s="24">
        <v>5.5</v>
      </c>
      <c r="E4" s="24">
        <v>10.8</v>
      </c>
      <c r="F4" s="23">
        <v>16.5</v>
      </c>
    </row>
    <row r="5" spans="1:6" ht="21.95" customHeight="1" x14ac:dyDescent="0.3">
      <c r="A5" s="25" t="s">
        <v>20</v>
      </c>
      <c r="B5" s="24">
        <v>1.8</v>
      </c>
      <c r="C5" s="24">
        <v>4.8</v>
      </c>
      <c r="D5" s="24">
        <v>11.2</v>
      </c>
      <c r="E5" s="24">
        <v>17.5</v>
      </c>
      <c r="F5" s="23">
        <v>22.6</v>
      </c>
    </row>
    <row r="6" spans="1:6" ht="21.95" customHeight="1" x14ac:dyDescent="0.3">
      <c r="A6" s="25" t="s">
        <v>19</v>
      </c>
      <c r="B6" s="24">
        <v>2.4</v>
      </c>
      <c r="C6" s="24">
        <v>6.9</v>
      </c>
      <c r="D6" s="24">
        <v>14.8</v>
      </c>
      <c r="E6" s="24">
        <v>21.6</v>
      </c>
      <c r="F6" s="23">
        <v>26.3</v>
      </c>
    </row>
    <row r="7" spans="1:6" ht="36" customHeight="1" x14ac:dyDescent="0.3">
      <c r="A7" s="28" t="s">
        <v>31</v>
      </c>
      <c r="B7" s="27" t="s">
        <v>27</v>
      </c>
      <c r="C7" s="27" t="s">
        <v>26</v>
      </c>
      <c r="D7" s="27" t="s">
        <v>25</v>
      </c>
      <c r="E7" s="27" t="s">
        <v>24</v>
      </c>
      <c r="F7" s="26" t="s">
        <v>23</v>
      </c>
    </row>
    <row r="8" spans="1:6" ht="21.95" customHeight="1" x14ac:dyDescent="0.3">
      <c r="A8" s="25" t="s">
        <v>22</v>
      </c>
      <c r="B8" s="24">
        <v>15.5</v>
      </c>
      <c r="C8" s="24">
        <v>8.6</v>
      </c>
      <c r="D8" s="24">
        <v>4.7</v>
      </c>
      <c r="E8" s="24">
        <v>2.7</v>
      </c>
      <c r="F8" s="23">
        <v>7.2</v>
      </c>
    </row>
    <row r="9" spans="1:6" ht="21.95" customHeight="1" x14ac:dyDescent="0.3">
      <c r="A9" s="25" t="s">
        <v>21</v>
      </c>
      <c r="B9" s="24">
        <v>14.4</v>
      </c>
      <c r="C9" s="24">
        <v>10.199999999999999</v>
      </c>
      <c r="D9" s="24">
        <v>6.9</v>
      </c>
      <c r="E9" s="24">
        <v>4.3</v>
      </c>
      <c r="F9" s="23">
        <v>8.5</v>
      </c>
    </row>
    <row r="10" spans="1:6" ht="21.95" customHeight="1" x14ac:dyDescent="0.3">
      <c r="A10" s="25" t="s">
        <v>20</v>
      </c>
      <c r="B10" s="24">
        <v>14.9</v>
      </c>
      <c r="C10" s="24">
        <v>8.9</v>
      </c>
      <c r="D10" s="24">
        <v>4.5999999999999996</v>
      </c>
      <c r="E10" s="24">
        <v>2.6</v>
      </c>
      <c r="F10" s="23">
        <v>7</v>
      </c>
    </row>
    <row r="11" spans="1:6" ht="21.95" customHeight="1" thickBot="1" x14ac:dyDescent="0.35">
      <c r="A11" s="22" t="s">
        <v>19</v>
      </c>
      <c r="B11" s="21">
        <v>16.399999999999999</v>
      </c>
      <c r="C11" s="21">
        <v>7.9</v>
      </c>
      <c r="D11" s="21">
        <v>3.8</v>
      </c>
      <c r="E11" s="21">
        <v>2</v>
      </c>
      <c r="F11" s="20">
        <v>6.7</v>
      </c>
    </row>
    <row r="13" spans="1:6" ht="26.1" customHeight="1" thickBot="1" x14ac:dyDescent="0.35">
      <c r="A13" s="69" t="s">
        <v>30</v>
      </c>
      <c r="B13" s="70"/>
      <c r="C13" s="70"/>
      <c r="D13" s="70"/>
      <c r="E13" s="70"/>
      <c r="F13" s="70"/>
    </row>
    <row r="14" spans="1:6" ht="21.95" customHeight="1" x14ac:dyDescent="0.3">
      <c r="A14" s="31" t="s">
        <v>29</v>
      </c>
      <c r="B14" s="30">
        <v>2023</v>
      </c>
      <c r="C14" s="30">
        <v>2030</v>
      </c>
      <c r="D14" s="30">
        <v>2040</v>
      </c>
      <c r="E14" s="30">
        <v>2050</v>
      </c>
      <c r="F14" s="29">
        <v>2060</v>
      </c>
    </row>
    <row r="15" spans="1:6" ht="21.95" customHeight="1" x14ac:dyDescent="0.3">
      <c r="A15" s="25" t="s">
        <v>22</v>
      </c>
      <c r="B15" s="24">
        <v>5</v>
      </c>
      <c r="C15" s="24">
        <v>20.9</v>
      </c>
      <c r="D15" s="24">
        <v>59.8</v>
      </c>
      <c r="E15" s="24">
        <v>101.4</v>
      </c>
      <c r="F15" s="23">
        <v>134.80000000000001</v>
      </c>
    </row>
    <row r="16" spans="1:6" ht="21.95" customHeight="1" x14ac:dyDescent="0.3">
      <c r="A16" s="25" t="s">
        <v>21</v>
      </c>
      <c r="B16" s="24">
        <v>0.8</v>
      </c>
      <c r="C16" s="24">
        <v>3.2</v>
      </c>
      <c r="D16" s="24">
        <v>11.1</v>
      </c>
      <c r="E16" s="24">
        <v>23.2</v>
      </c>
      <c r="F16" s="23">
        <v>35.299999999999997</v>
      </c>
    </row>
    <row r="17" spans="1:6" ht="21.95" customHeight="1" x14ac:dyDescent="0.3">
      <c r="A17" s="25" t="s">
        <v>20</v>
      </c>
      <c r="B17" s="24">
        <v>1.8</v>
      </c>
      <c r="C17" s="24">
        <v>6.9</v>
      </c>
      <c r="D17" s="24">
        <v>20.399999999999999</v>
      </c>
      <c r="E17" s="24">
        <v>34.5</v>
      </c>
      <c r="F17" s="23">
        <v>45.4</v>
      </c>
    </row>
    <row r="18" spans="1:6" ht="21.95" customHeight="1" x14ac:dyDescent="0.3">
      <c r="A18" s="25" t="s">
        <v>19</v>
      </c>
      <c r="B18" s="24">
        <v>2.4</v>
      </c>
      <c r="C18" s="24">
        <v>10.8</v>
      </c>
      <c r="D18" s="24">
        <v>28.3</v>
      </c>
      <c r="E18" s="24">
        <v>43.7</v>
      </c>
      <c r="F18" s="23">
        <v>54.1</v>
      </c>
    </row>
    <row r="19" spans="1:6" ht="36" customHeight="1" x14ac:dyDescent="0.3">
      <c r="A19" s="28" t="s">
        <v>28</v>
      </c>
      <c r="B19" s="27" t="s">
        <v>27</v>
      </c>
      <c r="C19" s="27" t="s">
        <v>26</v>
      </c>
      <c r="D19" s="27" t="s">
        <v>25</v>
      </c>
      <c r="E19" s="27" t="s">
        <v>24</v>
      </c>
      <c r="F19" s="26" t="s">
        <v>23</v>
      </c>
    </row>
    <row r="20" spans="1:6" ht="21.95" customHeight="1" x14ac:dyDescent="0.3">
      <c r="A20" s="25" t="s">
        <v>22</v>
      </c>
      <c r="B20" s="24">
        <v>22.5</v>
      </c>
      <c r="C20" s="24">
        <v>11.1</v>
      </c>
      <c r="D20" s="24">
        <v>5.4</v>
      </c>
      <c r="E20" s="24">
        <v>2.9</v>
      </c>
      <c r="F20" s="23">
        <v>9.3000000000000007</v>
      </c>
    </row>
    <row r="21" spans="1:6" ht="21.95" customHeight="1" x14ac:dyDescent="0.3">
      <c r="A21" s="25" t="s">
        <v>21</v>
      </c>
      <c r="B21" s="24">
        <v>21.4</v>
      </c>
      <c r="C21" s="24">
        <v>13.3</v>
      </c>
      <c r="D21" s="24">
        <v>7.6</v>
      </c>
      <c r="E21" s="24">
        <v>4.3</v>
      </c>
      <c r="F21" s="23">
        <v>10.7</v>
      </c>
    </row>
    <row r="22" spans="1:6" ht="21.95" customHeight="1" x14ac:dyDescent="0.3">
      <c r="A22" s="25" t="s">
        <v>20</v>
      </c>
      <c r="B22" s="24">
        <v>20.9</v>
      </c>
      <c r="C22" s="24">
        <v>11.5</v>
      </c>
      <c r="D22" s="24">
        <v>5.4</v>
      </c>
      <c r="E22" s="24">
        <v>2.8</v>
      </c>
      <c r="F22" s="23">
        <v>9.1</v>
      </c>
    </row>
    <row r="23" spans="1:6" ht="21.95" customHeight="1" thickBot="1" x14ac:dyDescent="0.35">
      <c r="A23" s="22" t="s">
        <v>19</v>
      </c>
      <c r="B23" s="21">
        <v>24</v>
      </c>
      <c r="C23" s="21">
        <v>10.1</v>
      </c>
      <c r="D23" s="21">
        <v>4.4000000000000004</v>
      </c>
      <c r="E23" s="21">
        <v>2.2000000000000002</v>
      </c>
      <c r="F23" s="20">
        <v>8.8000000000000007</v>
      </c>
    </row>
  </sheetData>
  <mergeCells count="2">
    <mergeCell ref="A1:F1"/>
    <mergeCell ref="A13:F13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CCD3-5280-489A-A646-5A664A90A910}">
  <dimension ref="A1:AF29"/>
  <sheetViews>
    <sheetView topLeftCell="A13" workbookViewId="0">
      <selection activeCell="G41" sqref="G41"/>
    </sheetView>
  </sheetViews>
  <sheetFormatPr defaultRowHeight="16.5" x14ac:dyDescent="0.3"/>
  <cols>
    <col min="1" max="1" width="27.75" customWidth="1"/>
    <col min="8" max="8" width="10.5" customWidth="1"/>
  </cols>
  <sheetData>
    <row r="1" spans="1:32" s="54" customFormat="1" x14ac:dyDescent="0.3">
      <c r="A1" s="53" t="s">
        <v>38</v>
      </c>
    </row>
    <row r="2" spans="1:32" x14ac:dyDescent="0.3">
      <c r="A2" s="32" t="s">
        <v>39</v>
      </c>
      <c r="B2" s="50" t="s">
        <v>51</v>
      </c>
      <c r="C2" s="35" t="s">
        <v>52</v>
      </c>
      <c r="D2" s="35" t="s">
        <v>53</v>
      </c>
      <c r="E2" s="35" t="s">
        <v>54</v>
      </c>
      <c r="F2" s="35" t="s">
        <v>55</v>
      </c>
      <c r="G2" s="35" t="s">
        <v>56</v>
      </c>
      <c r="H2" s="44" t="s">
        <v>50</v>
      </c>
    </row>
    <row r="3" spans="1:32" x14ac:dyDescent="0.3">
      <c r="A3" s="33" t="s">
        <v>33</v>
      </c>
      <c r="B3" s="37">
        <v>5</v>
      </c>
      <c r="C3" s="37">
        <f>'데이터센터 전력수요_lowmid'!D3</f>
        <v>5.4999999999999991</v>
      </c>
      <c r="D3" s="37">
        <f>'데이터센터 전력수요_lowmid'!E3</f>
        <v>6.4</v>
      </c>
      <c r="E3" s="37">
        <f>'데이터센터 전력수요_lowmid'!F3</f>
        <v>8</v>
      </c>
      <c r="F3" s="37">
        <f>'데이터센터 전력수요_lowmid'!G3</f>
        <v>12.499999999999998</v>
      </c>
      <c r="G3" s="37">
        <f>'데이터센터 전력수요_lowmid'!H3</f>
        <v>14.5</v>
      </c>
      <c r="H3">
        <f>(G3/F3)^(1/2)-1</f>
        <v>7.703296142690097E-2</v>
      </c>
    </row>
    <row r="4" spans="1:32" x14ac:dyDescent="0.3">
      <c r="A4" s="33" t="s">
        <v>34</v>
      </c>
      <c r="B4" s="38">
        <v>5</v>
      </c>
      <c r="C4" s="38">
        <f>'데이터센터 전력수요_lowmid'!D5</f>
        <v>8.1999999999999993</v>
      </c>
      <c r="D4" s="38">
        <f>'데이터센터 전력수요_lowmid'!E5</f>
        <v>14.8</v>
      </c>
      <c r="E4" s="38">
        <f>'데이터센터 전력수요_lowmid'!F5</f>
        <v>18</v>
      </c>
      <c r="F4" s="38">
        <f>'데이터센터 전력수요_lowmid'!G5</f>
        <v>26.4</v>
      </c>
      <c r="G4" s="38">
        <f>'데이터센터 전력수요_lowmid'!H5</f>
        <v>30</v>
      </c>
      <c r="H4">
        <f>(G4/F4)^(1/2)-1</f>
        <v>6.6003581778052212E-2</v>
      </c>
    </row>
    <row r="5" spans="1:32" x14ac:dyDescent="0.3">
      <c r="A5" s="32" t="s">
        <v>39</v>
      </c>
      <c r="B5" s="36">
        <v>2023</v>
      </c>
      <c r="C5" s="36">
        <v>2030</v>
      </c>
      <c r="D5" s="36">
        <v>2040</v>
      </c>
      <c r="E5" s="36">
        <v>2050</v>
      </c>
      <c r="F5" s="36">
        <v>2060</v>
      </c>
      <c r="G5" s="34"/>
    </row>
    <row r="6" spans="1:32" x14ac:dyDescent="0.3">
      <c r="A6" s="33" t="s">
        <v>35</v>
      </c>
      <c r="B6" s="39">
        <f>'데이터센터 전력수요_high'!B15</f>
        <v>5</v>
      </c>
      <c r="C6" s="39">
        <f>'데이터센터 전력수요_high'!C15</f>
        <v>20.9</v>
      </c>
      <c r="D6" s="39">
        <f>'데이터센터 전력수요_high'!D15</f>
        <v>59.8</v>
      </c>
      <c r="E6" s="39">
        <f>'데이터센터 전력수요_high'!E15</f>
        <v>101.4</v>
      </c>
      <c r="F6" s="39">
        <f>'데이터센터 전력수요_high'!F15</f>
        <v>134.80000000000001</v>
      </c>
      <c r="G6" s="34"/>
    </row>
    <row r="9" spans="1:32" s="54" customFormat="1" x14ac:dyDescent="0.3">
      <c r="A9" s="53" t="s">
        <v>40</v>
      </c>
    </row>
    <row r="10" spans="1:32" x14ac:dyDescent="0.3">
      <c r="A10" s="48" t="s">
        <v>41</v>
      </c>
    </row>
    <row r="11" spans="1:32" x14ac:dyDescent="0.3">
      <c r="A11" s="48" t="s">
        <v>42</v>
      </c>
    </row>
    <row r="12" spans="1:32" x14ac:dyDescent="0.3">
      <c r="A12" s="32" t="s">
        <v>39</v>
      </c>
      <c r="B12" s="90">
        <v>2020</v>
      </c>
      <c r="C12" s="90">
        <v>2021</v>
      </c>
      <c r="D12" s="90">
        <v>2022</v>
      </c>
      <c r="E12" s="34">
        <v>2023</v>
      </c>
      <c r="F12" s="34">
        <v>2024</v>
      </c>
      <c r="G12" s="34">
        <v>2025</v>
      </c>
      <c r="H12" s="34">
        <v>2026</v>
      </c>
      <c r="I12" s="34">
        <v>2027</v>
      </c>
      <c r="J12" s="34">
        <v>2028</v>
      </c>
      <c r="K12" s="34">
        <v>2029</v>
      </c>
      <c r="L12" s="34">
        <v>2030</v>
      </c>
      <c r="M12" s="34">
        <v>2031</v>
      </c>
      <c r="N12" s="34">
        <v>2032</v>
      </c>
      <c r="O12" s="34">
        <v>2033</v>
      </c>
      <c r="P12" s="34">
        <v>2034</v>
      </c>
      <c r="Q12" s="34">
        <v>2035</v>
      </c>
      <c r="R12" s="34">
        <v>2036</v>
      </c>
      <c r="S12" s="34">
        <v>2037</v>
      </c>
      <c r="T12" s="34">
        <v>2038</v>
      </c>
      <c r="U12" s="34">
        <v>2039</v>
      </c>
      <c r="V12" s="34">
        <v>2040</v>
      </c>
      <c r="W12" s="34">
        <v>2041</v>
      </c>
      <c r="X12" s="34">
        <v>2042</v>
      </c>
      <c r="Y12" s="34">
        <v>2043</v>
      </c>
      <c r="Z12" s="34">
        <v>2044</v>
      </c>
      <c r="AA12" s="34">
        <v>2045</v>
      </c>
      <c r="AB12" s="34">
        <v>2046</v>
      </c>
      <c r="AC12" s="34">
        <v>2047</v>
      </c>
      <c r="AD12" s="34">
        <v>2048</v>
      </c>
      <c r="AE12" s="34">
        <v>2049</v>
      </c>
      <c r="AF12" s="34">
        <v>2050</v>
      </c>
    </row>
    <row r="13" spans="1:32" x14ac:dyDescent="0.3">
      <c r="A13" s="33" t="s">
        <v>33</v>
      </c>
      <c r="B13" s="33">
        <f>'데이터센터 전력수요_history'!B4</f>
        <v>3.3232628398789075</v>
      </c>
      <c r="C13" s="33">
        <f>'데이터센터 전력수요_history'!C4</f>
        <v>3.8821752265860141</v>
      </c>
      <c r="D13" s="33">
        <f>'데이터센터 전력수요_history'!D4</f>
        <v>4.4410876132930506</v>
      </c>
      <c r="E13" s="40">
        <f>B3</f>
        <v>5</v>
      </c>
      <c r="F13" s="41">
        <f>_xlfn.FORECAST.LINEAR(F12, CHOOSE({1,2}, E13,G13), CHOOSE({1,2}, E12,G12))</f>
        <v>5.25</v>
      </c>
      <c r="G13" s="40">
        <f>C3</f>
        <v>5.4999999999999991</v>
      </c>
      <c r="H13" s="41">
        <f>_xlfn.FORECAST.LINEAR(H12, CHOOSE({1,2}, G13,I13), CHOOSE({1,2}, G12,I12))</f>
        <v>5.9500000000000455</v>
      </c>
      <c r="I13" s="40">
        <f>D3</f>
        <v>6.4</v>
      </c>
      <c r="J13" s="41">
        <f>_xlfn.FORECAST.LINEAR(J12, CHOOSE({1,2}, I13,L13), CHOOSE({1,2}, I12,L12))</f>
        <v>6.933333333333394</v>
      </c>
      <c r="K13" s="41">
        <f>_xlfn.FORECAST.LINEAR(K12, CHOOSE({1,2}, I13,L13), CHOOSE({1,2}, I12,L12))</f>
        <v>7.466666666666697</v>
      </c>
      <c r="L13" s="40">
        <f>E3</f>
        <v>8</v>
      </c>
      <c r="M13" s="41">
        <f>_xlfn.FORECAST.LINEAR(M12, CHOOSE({1,2}, L13,R13), CHOOSE({1,2}, L12,R12))</f>
        <v>8.75</v>
      </c>
      <c r="N13" s="41">
        <f>_xlfn.FORECAST.LINEAR(N12, CHOOSE({1,2}, L13,R13), CHOOSE({1,2}, L12,R12))</f>
        <v>9.5</v>
      </c>
      <c r="O13" s="41">
        <f>_xlfn.FORECAST.LINEAR(O12, CHOOSE({1,2}, L13,R13), CHOOSE({1,2}, L12,R12))</f>
        <v>10.25</v>
      </c>
      <c r="P13" s="41">
        <f>_xlfn.FORECAST.LINEAR(P12, CHOOSE({1,2}, L13,R13), CHOOSE({1,2}, L12,R12))</f>
        <v>11</v>
      </c>
      <c r="Q13" s="41">
        <f>_xlfn.FORECAST.LINEAR(Q12, CHOOSE({1,2}, L13,R13), CHOOSE({1,2}, L12,R12))</f>
        <v>11.75</v>
      </c>
      <c r="R13" s="40">
        <f>F3</f>
        <v>12.499999999999998</v>
      </c>
      <c r="S13" s="41">
        <f>_xlfn.FORECAST.LINEAR(S12, CHOOSE({1,2}, R13,T13), CHOOSE({1,2}, R12,T12))</f>
        <v>13.5</v>
      </c>
      <c r="T13" s="40">
        <f>G3</f>
        <v>14.5</v>
      </c>
      <c r="U13" s="41">
        <f>T13*(1+$H3)</f>
        <v>15.616977940690065</v>
      </c>
      <c r="V13" s="41">
        <f t="shared" ref="V13:AF13" si="0">U13*(1+$H3)</f>
        <v>16.820000000000007</v>
      </c>
      <c r="W13" s="41">
        <f t="shared" si="0"/>
        <v>18.115694411200483</v>
      </c>
      <c r="X13" s="41">
        <f t="shared" si="0"/>
        <v>19.511200000000017</v>
      </c>
      <c r="Y13" s="41">
        <f t="shared" si="0"/>
        <v>21.014205516992568</v>
      </c>
      <c r="Z13" s="41">
        <f t="shared" si="0"/>
        <v>22.632992000000026</v>
      </c>
      <c r="AA13" s="41">
        <f t="shared" si="0"/>
        <v>24.376478399711388</v>
      </c>
      <c r="AB13" s="41">
        <f t="shared" si="0"/>
        <v>26.25427072000004</v>
      </c>
      <c r="AC13" s="41">
        <f t="shared" si="0"/>
        <v>28.276714943665219</v>
      </c>
      <c r="AD13" s="41">
        <f t="shared" si="0"/>
        <v>30.454954035200057</v>
      </c>
      <c r="AE13" s="41">
        <f t="shared" si="0"/>
        <v>32.800989334651668</v>
      </c>
      <c r="AF13" s="41">
        <f t="shared" si="0"/>
        <v>35.327746680832078</v>
      </c>
    </row>
    <row r="14" spans="1:32" x14ac:dyDescent="0.3">
      <c r="A14" s="33" t="s">
        <v>34</v>
      </c>
      <c r="B14" s="33">
        <f>B13</f>
        <v>3.3232628398789075</v>
      </c>
      <c r="C14" s="33">
        <f>C13</f>
        <v>3.8821752265860141</v>
      </c>
      <c r="D14" s="33">
        <f>D13</f>
        <v>4.4410876132930506</v>
      </c>
      <c r="E14" s="42">
        <f>B4</f>
        <v>5</v>
      </c>
      <c r="F14" s="41">
        <f>_xlfn.FORECAST.LINEAR(F12, CHOOSE({1,2}, E14,G14), CHOOSE({1,2}, E12,G12))</f>
        <v>6.5999999999999091</v>
      </c>
      <c r="G14" s="42">
        <f>C4</f>
        <v>8.1999999999999993</v>
      </c>
      <c r="H14" s="41">
        <f>_xlfn.FORECAST.LINEAR(H12, CHOOSE({1,2}, G14,I14), CHOOSE({1,2}, G12,I12))</f>
        <v>11.5</v>
      </c>
      <c r="I14" s="42">
        <f>D4</f>
        <v>14.8</v>
      </c>
      <c r="J14" s="41">
        <f>_xlfn.FORECAST.LINEAR(J12, CHOOSE({1,2}, I14,L14), CHOOSE({1,2}, I12,L12))</f>
        <v>15.866666666666788</v>
      </c>
      <c r="K14" s="41">
        <f>_xlfn.FORECAST.LINEAR(K12, CHOOSE({1,2}, I14,L14), CHOOSE({1,2}, I12,L12))</f>
        <v>16.933333333333394</v>
      </c>
      <c r="L14" s="42">
        <f>E4</f>
        <v>18</v>
      </c>
      <c r="M14" s="41">
        <f>_xlfn.FORECAST.LINEAR(M12, CHOOSE({1,2}, L14,R14), CHOOSE({1,2}, L12,R12))</f>
        <v>19.399999999999636</v>
      </c>
      <c r="N14" s="41">
        <f>_xlfn.FORECAST.LINEAR(N12, CHOOSE({1,2}, L14,R14), CHOOSE({1,2}, L12,R12))</f>
        <v>20.799999999999727</v>
      </c>
      <c r="O14" s="41">
        <f>_xlfn.FORECAST.LINEAR(O12, CHOOSE({1,2}, L14,R14), CHOOSE({1,2}, L12,R12))</f>
        <v>22.199999999999818</v>
      </c>
      <c r="P14" s="41">
        <f>_xlfn.FORECAST.LINEAR(P12, CHOOSE({1,2}, L14,R14), CHOOSE({1,2}, L12,R12))</f>
        <v>23.599999999999909</v>
      </c>
      <c r="Q14" s="41">
        <f>_xlfn.FORECAST.LINEAR(Q12, CHOOSE({1,2}, L14,R14), CHOOSE({1,2}, L12,R12))</f>
        <v>25</v>
      </c>
      <c r="R14" s="42">
        <f>F4</f>
        <v>26.4</v>
      </c>
      <c r="S14" s="41">
        <f>_xlfn.FORECAST.LINEAR(S12, CHOOSE({1,2}, R14,T14), CHOOSE({1,2}, R12,T12))</f>
        <v>28.199999999999818</v>
      </c>
      <c r="T14" s="42">
        <f>G4</f>
        <v>30</v>
      </c>
      <c r="U14" s="41">
        <f>T14*(1+$H4)</f>
        <v>31.980107453341567</v>
      </c>
      <c r="V14" s="41">
        <f t="shared" ref="V14:AF14" si="1">U14*(1+$H4)</f>
        <v>34.090909090909093</v>
      </c>
      <c r="W14" s="41">
        <f t="shared" si="1"/>
        <v>36.341031196979053</v>
      </c>
      <c r="X14" s="41">
        <f t="shared" si="1"/>
        <v>38.739669421487605</v>
      </c>
      <c r="Y14" s="41">
        <f t="shared" si="1"/>
        <v>41.296626360203469</v>
      </c>
      <c r="Z14" s="41">
        <f t="shared" si="1"/>
        <v>44.022351615326826</v>
      </c>
      <c r="AA14" s="41">
        <f t="shared" si="1"/>
        <v>46.927984500231219</v>
      </c>
      <c r="AB14" s="41">
        <f t="shared" si="1"/>
        <v>50.025399562871399</v>
      </c>
      <c r="AC14" s="41">
        <f t="shared" si="1"/>
        <v>53.32725511389912</v>
      </c>
      <c r="AD14" s="41">
        <f t="shared" si="1"/>
        <v>56.847044957808414</v>
      </c>
      <c r="AE14" s="41">
        <f t="shared" si="1"/>
        <v>60.599153538521733</v>
      </c>
      <c r="AF14" s="41">
        <f t="shared" si="1"/>
        <v>64.59891472478229</v>
      </c>
    </row>
    <row r="15" spans="1:32" x14ac:dyDescent="0.3">
      <c r="A15" s="33" t="s">
        <v>35</v>
      </c>
      <c r="B15" s="33">
        <f>B13</f>
        <v>3.3232628398789075</v>
      </c>
      <c r="C15" s="33">
        <f>C13</f>
        <v>3.8821752265860141</v>
      </c>
      <c r="D15" s="33">
        <f>D13</f>
        <v>4.4410876132930506</v>
      </c>
      <c r="E15" s="43">
        <f>B6</f>
        <v>5</v>
      </c>
      <c r="F15" s="41">
        <f>_xlfn.FORECAST.LINEAR(F12, CHOOSE({1,2}, E15,L15), CHOOSE({1,2}, E12,L12))</f>
        <v>7.2714285714282596</v>
      </c>
      <c r="G15" s="41">
        <f>_xlfn.FORECAST.LINEAR(G12, CHOOSE({1,2}, E15,L15), CHOOSE({1,2}, E12,L12))</f>
        <v>9.5428571428565192</v>
      </c>
      <c r="H15" s="41">
        <f>_xlfn.FORECAST.LINEAR(H12, CHOOSE({1,2}, E15,L15), CHOOSE({1,2}, E12,L12))</f>
        <v>11.814285714284779</v>
      </c>
      <c r="I15" s="41">
        <f>_xlfn.FORECAST.LINEAR(I12, CHOOSE({1,2}, E15,L15), CHOOSE({1,2}, E12,L12))</f>
        <v>14.085714285713948</v>
      </c>
      <c r="J15" s="41">
        <f>_xlfn.FORECAST.LINEAR(J12, CHOOSE({1,2}, E15,L15), CHOOSE({1,2}, E12,L12))</f>
        <v>16.357142857142208</v>
      </c>
      <c r="K15" s="41">
        <f>_xlfn.FORECAST.LINEAR(K12, CHOOSE({1,2}, E15,L15), CHOOSE({1,2}, E12,L12))</f>
        <v>18.628571428570467</v>
      </c>
      <c r="L15" s="43">
        <f>C6</f>
        <v>20.9</v>
      </c>
      <c r="M15" s="41">
        <f>_xlfn.FORECAST.LINEAR(M12, CHOOSE({1,2}, L15,V15), CHOOSE({1,2}, L12,V12))</f>
        <v>24.789999999999964</v>
      </c>
      <c r="N15" s="41">
        <f>_xlfn.FORECAST.LINEAR(N12, CHOOSE({1,2}, L15,V15), CHOOSE({1,2}, L12,V12))</f>
        <v>28.680000000000291</v>
      </c>
      <c r="O15" s="41">
        <f>_xlfn.FORECAST.LINEAR(O12, CHOOSE({1,2}, L15,V15), CHOOSE({1,2}, L12,V12))</f>
        <v>32.569999999999709</v>
      </c>
      <c r="P15" s="41">
        <f>_xlfn.FORECAST.LINEAR(P12, CHOOSE({1,2}, L15,V15), CHOOSE({1,2}, L12,V12))</f>
        <v>36.460000000000036</v>
      </c>
      <c r="Q15" s="41">
        <f>_xlfn.FORECAST.LINEAR(Q12, CHOOSE({1,2}, L15,V15), CHOOSE({1,2}, L12,V12))</f>
        <v>40.350000000000364</v>
      </c>
      <c r="R15" s="41">
        <f>_xlfn.FORECAST.LINEAR(R12, CHOOSE({1,2}, L15,V15), CHOOSE({1,2}, L12,V12))</f>
        <v>44.239999999999782</v>
      </c>
      <c r="S15" s="41">
        <f>_xlfn.FORECAST.LINEAR(S12, CHOOSE({1,2}, L15,V15), CHOOSE({1,2}, L12,V12))</f>
        <v>48.130000000000109</v>
      </c>
      <c r="T15" s="41">
        <f>_xlfn.FORECAST.LINEAR(T12, CHOOSE({1,2}, L15,V15), CHOOSE({1,2}, L12,V12))</f>
        <v>52.020000000000437</v>
      </c>
      <c r="U15" s="41">
        <f>_xlfn.FORECAST.LINEAR(U12, CHOOSE({1,2}, L15,V15), CHOOSE({1,2}, L12,V12))</f>
        <v>55.909999999999854</v>
      </c>
      <c r="V15" s="43">
        <f>D6</f>
        <v>59.8</v>
      </c>
      <c r="W15" s="41">
        <f>_xlfn.FORECAST.LINEAR(W12, CHOOSE({1,2}, V15,AF15), CHOOSE({1,2}, V12,AF12))</f>
        <v>63.959999999999127</v>
      </c>
      <c r="X15" s="41">
        <f>_xlfn.FORECAST.LINEAR(X12, CHOOSE({1,2}, V15,AF15), CHOOSE({1,2}, V12,AF12))</f>
        <v>68.1200000000008</v>
      </c>
      <c r="Y15" s="41">
        <f>_xlfn.FORECAST.LINEAR(Y12, CHOOSE({1,2}, V15,AF15), CHOOSE({1,2}, V12,AF12))</f>
        <v>72.280000000000655</v>
      </c>
      <c r="Z15" s="41">
        <f>_xlfn.FORECAST.LINEAR(Z12, CHOOSE({1,2}, V15,AF15), CHOOSE({1,2}, V12,AF12))</f>
        <v>76.440000000000509</v>
      </c>
      <c r="AA15" s="41">
        <f>_xlfn.FORECAST.LINEAR(AA12, CHOOSE({1,2}, V15,AF15), CHOOSE({1,2}, V12,AF12))</f>
        <v>80.600000000000364</v>
      </c>
      <c r="AB15" s="41">
        <f>_xlfn.FORECAST.LINEAR(AB12, CHOOSE({1,2}, V15,AF15), CHOOSE({1,2}, V12,AF12))</f>
        <v>84.760000000000218</v>
      </c>
      <c r="AC15" s="41">
        <f>_xlfn.FORECAST.LINEAR(AC12, CHOOSE({1,2}, V15,AF15), CHOOSE({1,2}, V12,AF12))</f>
        <v>88.920000000000073</v>
      </c>
      <c r="AD15" s="41">
        <f>_xlfn.FORECAST.LINEAR(AD12, CHOOSE({1,2}, V15,AF15), CHOOSE({1,2}, V12,AF12))</f>
        <v>93.079999999999927</v>
      </c>
      <c r="AE15" s="41">
        <f>_xlfn.FORECAST.LINEAR(AE12, CHOOSE({1,2}, V15,AF15), CHOOSE({1,2}, V12,AF12))</f>
        <v>97.239999999999782</v>
      </c>
      <c r="AF15" s="43">
        <f>E6</f>
        <v>101.4</v>
      </c>
    </row>
    <row r="18" spans="1:32" s="54" customFormat="1" x14ac:dyDescent="0.3">
      <c r="A18" s="55" t="s">
        <v>43</v>
      </c>
    </row>
    <row r="19" spans="1:32" x14ac:dyDescent="0.25">
      <c r="A19" s="49" t="s">
        <v>44</v>
      </c>
    </row>
    <row r="20" spans="1:32" x14ac:dyDescent="0.3">
      <c r="A20" s="46"/>
    </row>
    <row r="21" spans="1:32" x14ac:dyDescent="0.3">
      <c r="A21" s="33" t="s">
        <v>45</v>
      </c>
      <c r="B21" s="34" t="s">
        <v>49</v>
      </c>
    </row>
    <row r="22" spans="1:32" x14ac:dyDescent="0.3">
      <c r="A22" s="34" t="s">
        <v>46</v>
      </c>
      <c r="B22" s="34">
        <v>0.185</v>
      </c>
    </row>
    <row r="23" spans="1:32" x14ac:dyDescent="0.3">
      <c r="A23" s="34" t="s">
        <v>47</v>
      </c>
      <c r="B23" s="34">
        <v>0.61</v>
      </c>
    </row>
    <row r="24" spans="1:32" x14ac:dyDescent="0.3">
      <c r="A24" s="34" t="s">
        <v>48</v>
      </c>
      <c r="B24" s="34">
        <f>1-SUM(B22:B23)</f>
        <v>0.20500000000000007</v>
      </c>
    </row>
    <row r="26" spans="1:32" x14ac:dyDescent="0.3">
      <c r="A26" s="32" t="s">
        <v>39</v>
      </c>
      <c r="B26" s="90">
        <v>2020</v>
      </c>
      <c r="C26" s="90">
        <v>2021</v>
      </c>
      <c r="D26" s="90">
        <v>2022</v>
      </c>
      <c r="E26" s="34">
        <v>2023</v>
      </c>
      <c r="F26" s="34">
        <v>2024</v>
      </c>
      <c r="G26" s="34">
        <v>2025</v>
      </c>
      <c r="H26" s="34">
        <v>2026</v>
      </c>
      <c r="I26" s="34">
        <v>2027</v>
      </c>
      <c r="J26" s="34">
        <v>2028</v>
      </c>
      <c r="K26" s="34">
        <v>2029</v>
      </c>
      <c r="L26" s="34">
        <v>2030</v>
      </c>
      <c r="M26" s="34">
        <v>2031</v>
      </c>
      <c r="N26" s="34">
        <v>2032</v>
      </c>
      <c r="O26" s="34">
        <v>2033</v>
      </c>
      <c r="P26" s="34">
        <v>2034</v>
      </c>
      <c r="Q26" s="34">
        <v>2035</v>
      </c>
      <c r="R26" s="34">
        <v>2036</v>
      </c>
      <c r="S26" s="34">
        <v>2037</v>
      </c>
      <c r="T26" s="34">
        <v>2038</v>
      </c>
      <c r="U26" s="34">
        <v>2039</v>
      </c>
      <c r="V26" s="34">
        <v>2040</v>
      </c>
      <c r="W26" s="34">
        <v>2041</v>
      </c>
      <c r="X26" s="34">
        <v>2042</v>
      </c>
      <c r="Y26" s="34">
        <v>2043</v>
      </c>
      <c r="Z26" s="34">
        <v>2044</v>
      </c>
      <c r="AA26" s="34">
        <v>2045</v>
      </c>
      <c r="AB26" s="34">
        <v>2046</v>
      </c>
      <c r="AC26" s="34">
        <v>2047</v>
      </c>
      <c r="AD26" s="34">
        <v>2048</v>
      </c>
      <c r="AE26" s="34">
        <v>2049</v>
      </c>
      <c r="AF26" s="34">
        <v>2050</v>
      </c>
    </row>
    <row r="27" spans="1:32" x14ac:dyDescent="0.3">
      <c r="A27" s="34" t="s">
        <v>46</v>
      </c>
      <c r="B27" s="47">
        <f t="shared" ref="B27:D27" si="2">B$13*$B22</f>
        <v>0.61480362537759792</v>
      </c>
      <c r="C27" s="47">
        <f t="shared" si="2"/>
        <v>0.71820241691841258</v>
      </c>
      <c r="D27" s="47">
        <f t="shared" si="2"/>
        <v>0.82160120845921436</v>
      </c>
      <c r="E27" s="47">
        <f>E$13*$B22</f>
        <v>0.92500000000000004</v>
      </c>
      <c r="F27" s="47">
        <f>F$13*$B22</f>
        <v>0.97124999999999995</v>
      </c>
      <c r="G27" s="47">
        <f>G$13*$B22</f>
        <v>1.0174999999999998</v>
      </c>
      <c r="H27" s="47">
        <f>H$13*$B22</f>
        <v>1.1007500000000083</v>
      </c>
      <c r="I27" s="47">
        <f>I$13*$B22</f>
        <v>1.1839999999999999</v>
      </c>
      <c r="J27" s="47">
        <f>J$13*$B22</f>
        <v>1.2826666666666779</v>
      </c>
      <c r="K27" s="47">
        <f>K$13*$B22</f>
        <v>1.3813333333333389</v>
      </c>
      <c r="L27" s="47">
        <f>L$13*$B22</f>
        <v>1.48</v>
      </c>
      <c r="M27" s="47">
        <f>M$13*$B22</f>
        <v>1.6187499999999999</v>
      </c>
      <c r="N27" s="47">
        <f>N$13*$B22</f>
        <v>1.7575000000000001</v>
      </c>
      <c r="O27" s="47">
        <f>O$13*$B22</f>
        <v>1.89625</v>
      </c>
      <c r="P27" s="47">
        <f>P$13*$B22</f>
        <v>2.0350000000000001</v>
      </c>
      <c r="Q27" s="47">
        <f>Q$13*$B22</f>
        <v>2.1737500000000001</v>
      </c>
      <c r="R27" s="47">
        <f>R$13*$B22</f>
        <v>2.3124999999999996</v>
      </c>
      <c r="S27" s="47">
        <f>S$13*$B22</f>
        <v>2.4975000000000001</v>
      </c>
      <c r="T27" s="47">
        <f>T$13*$B22</f>
        <v>2.6825000000000001</v>
      </c>
      <c r="U27" s="47">
        <f>U$13*$B22</f>
        <v>2.8891409190276618</v>
      </c>
      <c r="V27" s="47">
        <f>V$13*$B22</f>
        <v>3.1117000000000012</v>
      </c>
      <c r="W27" s="47">
        <f>W$13*$B22</f>
        <v>3.3514034660720893</v>
      </c>
      <c r="X27" s="47">
        <f>X$13*$B22</f>
        <v>3.6095720000000031</v>
      </c>
      <c r="Y27" s="47">
        <f>Y$13*$B22</f>
        <v>3.8876280206436249</v>
      </c>
      <c r="Z27" s="47">
        <f>Z$13*$B22</f>
        <v>4.1871035200000044</v>
      </c>
      <c r="AA27" s="47">
        <f>AA$13*$B22</f>
        <v>4.5096485039466065</v>
      </c>
      <c r="AB27" s="47">
        <f>AB$13*$B22</f>
        <v>4.8570400832000074</v>
      </c>
      <c r="AC27" s="47">
        <f>AC$13*$B22</f>
        <v>5.2311922645780653</v>
      </c>
      <c r="AD27" s="47">
        <f>AD$13*$B22</f>
        <v>5.6341664965120106</v>
      </c>
      <c r="AE27" s="47">
        <f>AE$13*$B22</f>
        <v>6.0681830269105586</v>
      </c>
      <c r="AF27" s="47">
        <f>AF$13*$B22</f>
        <v>6.5356331359539341</v>
      </c>
    </row>
    <row r="28" spans="1:32" x14ac:dyDescent="0.3">
      <c r="A28" s="34" t="s">
        <v>47</v>
      </c>
      <c r="B28" s="47">
        <f t="shared" ref="B28:D28" si="3">B$13*$B23</f>
        <v>2.0271903323261333</v>
      </c>
      <c r="C28" s="47">
        <f t="shared" si="3"/>
        <v>2.3681268882174686</v>
      </c>
      <c r="D28" s="47">
        <f t="shared" si="3"/>
        <v>2.7090634441087609</v>
      </c>
      <c r="E28" s="47">
        <f>E$13*$B23</f>
        <v>3.05</v>
      </c>
      <c r="F28" s="47">
        <f>F$13*$B23</f>
        <v>3.2025000000000001</v>
      </c>
      <c r="G28" s="47">
        <f>G$13*$B23</f>
        <v>3.3549999999999995</v>
      </c>
      <c r="H28" s="47">
        <f>H$13*$B23</f>
        <v>3.6295000000000277</v>
      </c>
      <c r="I28" s="47">
        <f>I$13*$B23</f>
        <v>3.9039999999999999</v>
      </c>
      <c r="J28" s="47">
        <f>J$13*$B23</f>
        <v>4.2293333333333702</v>
      </c>
      <c r="K28" s="47">
        <f>K$13*$B23</f>
        <v>4.5546666666666846</v>
      </c>
      <c r="L28" s="47">
        <f>L$13*$B23</f>
        <v>4.88</v>
      </c>
      <c r="M28" s="47">
        <f>M$13*$B23</f>
        <v>5.3374999999999995</v>
      </c>
      <c r="N28" s="47">
        <f>N$13*$B23</f>
        <v>5.7949999999999999</v>
      </c>
      <c r="O28" s="47">
        <f>O$13*$B23</f>
        <v>6.2524999999999995</v>
      </c>
      <c r="P28" s="47">
        <f>P$13*$B23</f>
        <v>6.71</v>
      </c>
      <c r="Q28" s="47">
        <f>Q$13*$B23</f>
        <v>7.1674999999999995</v>
      </c>
      <c r="R28" s="47">
        <f>R$13*$B23</f>
        <v>7.6249999999999991</v>
      </c>
      <c r="S28" s="47">
        <f>S$13*$B23</f>
        <v>8.2349999999999994</v>
      </c>
      <c r="T28" s="47">
        <f>T$13*$B23</f>
        <v>8.8450000000000006</v>
      </c>
      <c r="U28" s="47">
        <f>U$13*$B23</f>
        <v>9.5263565438209401</v>
      </c>
      <c r="V28" s="47">
        <f>V$13*$B23</f>
        <v>10.260200000000005</v>
      </c>
      <c r="W28" s="47">
        <f>W$13*$B23</f>
        <v>11.050573590832295</v>
      </c>
      <c r="X28" s="47">
        <f>X$13*$B23</f>
        <v>11.90183200000001</v>
      </c>
      <c r="Y28" s="47">
        <f>Y$13*$B23</f>
        <v>12.818665365365467</v>
      </c>
      <c r="Z28" s="47">
        <f>Z$13*$B23</f>
        <v>13.806125120000015</v>
      </c>
      <c r="AA28" s="47">
        <f>AA$13*$B23</f>
        <v>14.869651823823947</v>
      </c>
      <c r="AB28" s="47">
        <f>AB$13*$B23</f>
        <v>16.015105139200024</v>
      </c>
      <c r="AC28" s="47">
        <f>AC$13*$B23</f>
        <v>17.248796115635784</v>
      </c>
      <c r="AD28" s="47">
        <f>AD$13*$B23</f>
        <v>18.577521961472033</v>
      </c>
      <c r="AE28" s="47">
        <f>AE$13*$B23</f>
        <v>20.008603494137517</v>
      </c>
      <c r="AF28" s="47">
        <f>AF$13*$B23</f>
        <v>21.549925475307568</v>
      </c>
    </row>
    <row r="29" spans="1:32" x14ac:dyDescent="0.3">
      <c r="A29" s="34" t="s">
        <v>48</v>
      </c>
      <c r="B29" s="47">
        <f t="shared" ref="B29:D29" si="4">B$13*$B24</f>
        <v>0.68126888217517623</v>
      </c>
      <c r="C29" s="47">
        <f t="shared" si="4"/>
        <v>0.79584592145013322</v>
      </c>
      <c r="D29" s="47">
        <f t="shared" si="4"/>
        <v>0.91042296072507567</v>
      </c>
      <c r="E29" s="47">
        <f>E$13*$B24</f>
        <v>1.0250000000000004</v>
      </c>
      <c r="F29" s="47">
        <f>F$13*$B24</f>
        <v>1.0762500000000004</v>
      </c>
      <c r="G29" s="47">
        <f>G$13*$B24</f>
        <v>1.1275000000000002</v>
      </c>
      <c r="H29" s="47">
        <f>H$13*$B24</f>
        <v>1.2197500000000097</v>
      </c>
      <c r="I29" s="47">
        <f>I$13*$B24</f>
        <v>1.3120000000000005</v>
      </c>
      <c r="J29" s="47">
        <f>J$13*$B24</f>
        <v>1.4213333333333462</v>
      </c>
      <c r="K29" s="47">
        <f>K$13*$B24</f>
        <v>1.5306666666666735</v>
      </c>
      <c r="L29" s="47">
        <f>L$13*$B24</f>
        <v>1.6400000000000006</v>
      </c>
      <c r="M29" s="47">
        <f>M$13*$B24</f>
        <v>1.7937500000000006</v>
      </c>
      <c r="N29" s="47">
        <f>N$13*$B24</f>
        <v>1.9475000000000007</v>
      </c>
      <c r="O29" s="47">
        <f>O$13*$B24</f>
        <v>2.1012500000000007</v>
      </c>
      <c r="P29" s="47">
        <f>P$13*$B24</f>
        <v>2.2550000000000008</v>
      </c>
      <c r="Q29" s="47">
        <f>Q$13*$B24</f>
        <v>2.4087500000000008</v>
      </c>
      <c r="R29" s="47">
        <f>R$13*$B24</f>
        <v>2.5625000000000004</v>
      </c>
      <c r="S29" s="47">
        <f>S$13*$B24</f>
        <v>2.767500000000001</v>
      </c>
      <c r="T29" s="47">
        <f>T$13*$B24</f>
        <v>2.972500000000001</v>
      </c>
      <c r="U29" s="47">
        <f>U$13*$B24</f>
        <v>3.2014804778414643</v>
      </c>
      <c r="V29" s="47">
        <f>V$13*$B24</f>
        <v>3.4481000000000028</v>
      </c>
      <c r="W29" s="47">
        <f>W$13*$B24</f>
        <v>3.7137173542961004</v>
      </c>
      <c r="X29" s="47">
        <f>X$13*$B24</f>
        <v>3.9997960000000048</v>
      </c>
      <c r="Y29" s="47">
        <f>Y$13*$B24</f>
        <v>4.3079121309834782</v>
      </c>
      <c r="Z29" s="47">
        <f>Z$13*$B24</f>
        <v>4.639763360000007</v>
      </c>
      <c r="AA29" s="47">
        <f>AA$13*$B24</f>
        <v>4.9971780719408363</v>
      </c>
      <c r="AB29" s="47">
        <f>AB$13*$B24</f>
        <v>5.3821254976000104</v>
      </c>
      <c r="AC29" s="47">
        <f>AC$13*$B24</f>
        <v>5.7967265634513723</v>
      </c>
      <c r="AD29" s="47">
        <f>AD$13*$B24</f>
        <v>6.2432655772160137</v>
      </c>
      <c r="AE29" s="47">
        <f>AE$13*$B24</f>
        <v>6.7242028136035943</v>
      </c>
      <c r="AF29" s="47">
        <f>AF$13*$B24</f>
        <v>7.2421880695705783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743E-391C-46DB-A83A-87D6E1264FA3}">
  <sheetPr>
    <tabColor rgb="FF002060"/>
  </sheetPr>
  <dimension ref="A1:AF2"/>
  <sheetViews>
    <sheetView workbookViewId="0">
      <selection activeCell="B2" sqref="B2"/>
    </sheetView>
  </sheetViews>
  <sheetFormatPr defaultRowHeight="16.5" x14ac:dyDescent="0.3"/>
  <cols>
    <col min="1" max="1" width="15.5" style="1" customWidth="1"/>
    <col min="2" max="2" width="9.25" style="1" bestFit="1" customWidth="1"/>
    <col min="3" max="16384" width="9" style="1"/>
  </cols>
  <sheetData>
    <row r="1" spans="1:32" x14ac:dyDescent="0.3">
      <c r="A1" s="1" t="s">
        <v>36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">
      <c r="A2" s="2" t="s">
        <v>37</v>
      </c>
      <c r="B2" s="45">
        <f>Scenarios!B13*10^6</f>
        <v>3323262.8398789074</v>
      </c>
      <c r="C2" s="45">
        <f>Scenarios!C13*10^6</f>
        <v>3882175.226586014</v>
      </c>
      <c r="D2" s="45">
        <f>Scenarios!D13*10^6</f>
        <v>4441087.6132930508</v>
      </c>
      <c r="E2" s="45">
        <f>Scenarios!E13*10^6</f>
        <v>5000000</v>
      </c>
      <c r="F2" s="45">
        <f>Scenarios!F13*10^6</f>
        <v>5250000</v>
      </c>
      <c r="G2" s="45">
        <f>Scenarios!G13*10^6</f>
        <v>5499999.9999999991</v>
      </c>
      <c r="H2" s="45">
        <f>Scenarios!H13*10^6</f>
        <v>5950000.0000000456</v>
      </c>
      <c r="I2" s="45">
        <f>Scenarios!I13*10^6</f>
        <v>6400000</v>
      </c>
      <c r="J2" s="45">
        <f>Scenarios!J13*10^6</f>
        <v>6933333.3333333936</v>
      </c>
      <c r="K2" s="45">
        <f>Scenarios!K13*10^6</f>
        <v>7466666.6666666968</v>
      </c>
      <c r="L2" s="45">
        <f>Scenarios!L13*10^6</f>
        <v>8000000</v>
      </c>
      <c r="M2" s="45">
        <f>Scenarios!M13*10^6</f>
        <v>8750000</v>
      </c>
      <c r="N2" s="45">
        <f>Scenarios!N13*10^6</f>
        <v>9500000</v>
      </c>
      <c r="O2" s="45">
        <f>Scenarios!O13*10^6</f>
        <v>10250000</v>
      </c>
      <c r="P2" s="45">
        <f>Scenarios!P13*10^6</f>
        <v>11000000</v>
      </c>
      <c r="Q2" s="45">
        <f>Scenarios!Q13*10^6</f>
        <v>11750000</v>
      </c>
      <c r="R2" s="45">
        <f>Scenarios!R13*10^6</f>
        <v>12499999.999999998</v>
      </c>
      <c r="S2" s="45">
        <f>Scenarios!S13*10^6</f>
        <v>13500000</v>
      </c>
      <c r="T2" s="45">
        <f>Scenarios!T13*10^6</f>
        <v>14500000</v>
      </c>
      <c r="U2" s="45">
        <f>Scenarios!U13*10^6</f>
        <v>15616977.940690065</v>
      </c>
      <c r="V2" s="45">
        <f>Scenarios!V13*10^6</f>
        <v>16820000.000000007</v>
      </c>
      <c r="W2" s="45">
        <f>Scenarios!W13*10^6</f>
        <v>18115694.411200482</v>
      </c>
      <c r="X2" s="45">
        <f>Scenarios!X13*10^6</f>
        <v>19511200.000000015</v>
      </c>
      <c r="Y2" s="45">
        <f>Scenarios!Y13*10^6</f>
        <v>21014205.516992569</v>
      </c>
      <c r="Z2" s="45">
        <f>Scenarios!Z13*10^6</f>
        <v>22632992.000000026</v>
      </c>
      <c r="AA2" s="45">
        <f>Scenarios!AA13*10^6</f>
        <v>24376478.399711389</v>
      </c>
      <c r="AB2" s="45">
        <f>Scenarios!AB13*10^6</f>
        <v>26254270.72000004</v>
      </c>
      <c r="AC2" s="45">
        <f>Scenarios!AC13*10^6</f>
        <v>28276714.943665218</v>
      </c>
      <c r="AD2" s="45">
        <f>Scenarios!AD13*10^6</f>
        <v>30454954.035200056</v>
      </c>
      <c r="AE2" s="45">
        <f>Scenarios!AE13*10^6</f>
        <v>32800989.334651668</v>
      </c>
      <c r="AF2" s="45">
        <f>Scenarios!AF13*10^6</f>
        <v>35327746.680832081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D806-7555-439D-8941-6C381895BBC9}">
  <sheetPr>
    <tabColor rgb="FF002060"/>
  </sheetPr>
  <dimension ref="A1:AF2"/>
  <sheetViews>
    <sheetView workbookViewId="0">
      <selection activeCell="E2" sqref="B2:E2"/>
    </sheetView>
  </sheetViews>
  <sheetFormatPr defaultRowHeight="16.5" x14ac:dyDescent="0.3"/>
  <cols>
    <col min="1" max="1" width="15.5" style="1" customWidth="1"/>
    <col min="2" max="2" width="9.25" style="1" bestFit="1" customWidth="1"/>
    <col min="3" max="4" width="9" style="1"/>
    <col min="5" max="5" width="9.25" style="1" bestFit="1" customWidth="1"/>
    <col min="6" max="16384" width="9" style="1"/>
  </cols>
  <sheetData>
    <row r="1" spans="1:32" x14ac:dyDescent="0.3">
      <c r="A1" s="1" t="s">
        <v>36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">
      <c r="A2" s="2" t="s">
        <v>37</v>
      </c>
      <c r="B2" s="45">
        <f>Scenarios!B14*10^6</f>
        <v>3323262.8398789074</v>
      </c>
      <c r="C2" s="45">
        <f>Scenarios!C14*10^6</f>
        <v>3882175.226586014</v>
      </c>
      <c r="D2" s="45">
        <f>Scenarios!D14*10^6</f>
        <v>4441087.6132930508</v>
      </c>
      <c r="E2" s="45">
        <f>Scenarios!E14*10^6</f>
        <v>5000000</v>
      </c>
      <c r="F2" s="45">
        <f>Scenarios!F14*10^6</f>
        <v>6599999.9999999087</v>
      </c>
      <c r="G2" s="45">
        <f>Scenarios!G14*10^6</f>
        <v>8199999.9999999991</v>
      </c>
      <c r="H2" s="45">
        <f>Scenarios!H14*10^6</f>
        <v>11500000</v>
      </c>
      <c r="I2" s="45">
        <f>Scenarios!I14*10^6</f>
        <v>14800000</v>
      </c>
      <c r="J2" s="45">
        <f>Scenarios!J14*10^6</f>
        <v>15866666.666666787</v>
      </c>
      <c r="K2" s="45">
        <f>Scenarios!K14*10^6</f>
        <v>16933333.333333395</v>
      </c>
      <c r="L2" s="45">
        <f>Scenarios!L14*10^6</f>
        <v>18000000</v>
      </c>
      <c r="M2" s="45">
        <f>Scenarios!M14*10^6</f>
        <v>19399999.999999635</v>
      </c>
      <c r="N2" s="45">
        <f>Scenarios!N14*10^6</f>
        <v>20799999.999999728</v>
      </c>
      <c r="O2" s="45">
        <f>Scenarios!O14*10^6</f>
        <v>22199999.999999817</v>
      </c>
      <c r="P2" s="45">
        <f>Scenarios!P14*10^6</f>
        <v>23599999.999999911</v>
      </c>
      <c r="Q2" s="45">
        <f>Scenarios!Q14*10^6</f>
        <v>25000000</v>
      </c>
      <c r="R2" s="45">
        <f>Scenarios!R14*10^6</f>
        <v>26400000</v>
      </c>
      <c r="S2" s="45">
        <f>Scenarios!S14*10^6</f>
        <v>28199999.999999817</v>
      </c>
      <c r="T2" s="45">
        <f>Scenarios!T14*10^6</f>
        <v>30000000</v>
      </c>
      <c r="U2" s="45">
        <f>Scenarios!U14*10^6</f>
        <v>31980107.453341566</v>
      </c>
      <c r="V2" s="45">
        <f>Scenarios!V14*10^6</f>
        <v>34090909.090909094</v>
      </c>
      <c r="W2" s="45">
        <f>Scenarios!W14*10^6</f>
        <v>36341031.196979053</v>
      </c>
      <c r="X2" s="45">
        <f>Scenarios!X14*10^6</f>
        <v>38739669.421487607</v>
      </c>
      <c r="Y2" s="45">
        <f>Scenarios!Y14*10^6</f>
        <v>41296626.360203467</v>
      </c>
      <c r="Z2" s="45">
        <f>Scenarios!Z14*10^6</f>
        <v>44022351.615326829</v>
      </c>
      <c r="AA2" s="45">
        <f>Scenarios!AA14*10^6</f>
        <v>46927984.500231221</v>
      </c>
      <c r="AB2" s="45">
        <f>Scenarios!AB14*10^6</f>
        <v>50025399.562871397</v>
      </c>
      <c r="AC2" s="45">
        <f>Scenarios!AC14*10^6</f>
        <v>53327255.113899119</v>
      </c>
      <c r="AD2" s="45">
        <f>Scenarios!AD14*10^6</f>
        <v>56847044.957808413</v>
      </c>
      <c r="AE2" s="45">
        <f>Scenarios!AE14*10^6</f>
        <v>60599153.538521737</v>
      </c>
      <c r="AF2" s="45">
        <f>Scenarios!AF14*10^6</f>
        <v>64598914.724782288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1BE0-8645-441C-BC13-0CB67C1553BC}">
  <sheetPr>
    <tabColor rgb="FF002060"/>
  </sheetPr>
  <dimension ref="A1:AF2"/>
  <sheetViews>
    <sheetView workbookViewId="0">
      <selection activeCell="E8" sqref="E8"/>
    </sheetView>
  </sheetViews>
  <sheetFormatPr defaultRowHeight="16.5" x14ac:dyDescent="0.3"/>
  <cols>
    <col min="1" max="1" width="15.5" style="1" customWidth="1"/>
    <col min="2" max="5" width="9.25" style="1" bestFit="1" customWidth="1"/>
    <col min="6" max="16384" width="9" style="1"/>
  </cols>
  <sheetData>
    <row r="1" spans="1:32" x14ac:dyDescent="0.3">
      <c r="A1" s="1" t="s">
        <v>36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">
      <c r="A2" s="2" t="s">
        <v>37</v>
      </c>
      <c r="B2" s="45">
        <f>Scenarios!B15*10^6</f>
        <v>3323262.8398789074</v>
      </c>
      <c r="C2" s="45">
        <f>Scenarios!C15*10^6</f>
        <v>3882175.226586014</v>
      </c>
      <c r="D2" s="45">
        <f>Scenarios!D15*10^6</f>
        <v>4441087.6132930508</v>
      </c>
      <c r="E2" s="45">
        <f>Scenarios!E15*10^6</f>
        <v>5000000</v>
      </c>
      <c r="F2" s="45">
        <f>Scenarios!F15*10^6</f>
        <v>7271428.5714282598</v>
      </c>
      <c r="G2" s="45">
        <f>Scenarios!G15*10^6</f>
        <v>9542857.1428565197</v>
      </c>
      <c r="H2" s="45">
        <f>Scenarios!H15*10^6</f>
        <v>11814285.71428478</v>
      </c>
      <c r="I2" s="45">
        <f>Scenarios!I15*10^6</f>
        <v>14085714.285713948</v>
      </c>
      <c r="J2" s="45">
        <f>Scenarios!J15*10^6</f>
        <v>16357142.857142208</v>
      </c>
      <c r="K2" s="45">
        <f>Scenarios!K15*10^6</f>
        <v>18628571.428570468</v>
      </c>
      <c r="L2" s="45">
        <f>Scenarios!L15*10^6</f>
        <v>20900000</v>
      </c>
      <c r="M2" s="45">
        <f>Scenarios!M15*10^6</f>
        <v>24789999.999999963</v>
      </c>
      <c r="N2" s="45">
        <f>Scenarios!N15*10^6</f>
        <v>28680000.000000291</v>
      </c>
      <c r="O2" s="45">
        <f>Scenarios!O15*10^6</f>
        <v>32569999.999999709</v>
      </c>
      <c r="P2" s="45">
        <f>Scenarios!P15*10^6</f>
        <v>36460000.000000037</v>
      </c>
      <c r="Q2" s="45">
        <f>Scenarios!Q15*10^6</f>
        <v>40350000.000000365</v>
      </c>
      <c r="R2" s="45">
        <f>Scenarios!R15*10^6</f>
        <v>44239999.999999784</v>
      </c>
      <c r="S2" s="45">
        <f>Scenarios!S15*10^6</f>
        <v>48130000.000000112</v>
      </c>
      <c r="T2" s="45">
        <f>Scenarios!T15*10^6</f>
        <v>52020000.00000044</v>
      </c>
      <c r="U2" s="45">
        <f>Scenarios!U15*10^6</f>
        <v>55909999.999999851</v>
      </c>
      <c r="V2" s="45">
        <f>Scenarios!V15*10^6</f>
        <v>59800000</v>
      </c>
      <c r="W2" s="45">
        <f>Scenarios!W15*10^6</f>
        <v>63959999.999999128</v>
      </c>
      <c r="X2" s="45">
        <f>Scenarios!X15*10^6</f>
        <v>68120000.000000805</v>
      </c>
      <c r="Y2" s="45">
        <f>Scenarios!Y15*10^6</f>
        <v>72280000.000000656</v>
      </c>
      <c r="Z2" s="45">
        <f>Scenarios!Z15*10^6</f>
        <v>76440000.000000507</v>
      </c>
      <c r="AA2" s="45">
        <f>Scenarios!AA15*10^6</f>
        <v>80600000.000000358</v>
      </c>
      <c r="AB2" s="45">
        <f>Scenarios!AB15*10^6</f>
        <v>84760000.000000224</v>
      </c>
      <c r="AC2" s="45">
        <f>Scenarios!AC15*10^6</f>
        <v>88920000.000000075</v>
      </c>
      <c r="AD2" s="45">
        <f>Scenarios!AD15*10^6</f>
        <v>93079999.999999925</v>
      </c>
      <c r="AE2" s="45">
        <f>Scenarios!AE15*10^6</f>
        <v>97239999.999999776</v>
      </c>
      <c r="AF2" s="45">
        <f>Scenarios!AF15*10^6</f>
        <v>101400000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About</vt:lpstr>
      <vt:lpstr>데이터센터 전력수요_history</vt:lpstr>
      <vt:lpstr>데이터센터 전력수요_lowmid</vt:lpstr>
      <vt:lpstr>데이터센터 전력수요_high</vt:lpstr>
      <vt:lpstr>Scenarios</vt:lpstr>
      <vt:lpstr>BDCL-low</vt:lpstr>
      <vt:lpstr>BDCL-mid</vt:lpstr>
      <vt:lpstr>BDCL-high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공용계정2</dc:creator>
  <cp:lastModifiedBy>공용계정2</cp:lastModifiedBy>
  <dcterms:created xsi:type="dcterms:W3CDTF">2026-04-16T04:52:26Z</dcterms:created>
  <dcterms:modified xsi:type="dcterms:W3CDTF">2026-04-24T02:30:04Z</dcterms:modified>
</cp:coreProperties>
</file>