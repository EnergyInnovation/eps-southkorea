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RobbieOrvis\Models\South Korea\Models\eps-southkorea\InputData\bldgs\BDESC\"/>
    </mc:Choice>
  </mc:AlternateContent>
  <xr:revisionPtr revIDLastSave="0" documentId="13_ncr:1_{0BE0E2E0-B0CF-4FE4-9E2A-54290F76C79B}" xr6:coauthVersionLast="47" xr6:coauthVersionMax="47" xr10:uidLastSave="{00000000-0000-0000-0000-000000000000}"/>
  <bookViews>
    <workbookView xWindow="1520" yWindow="1520" windowWidth="28800" windowHeight="15450" tabRatio="713" firstSheet="1" activeTab="4" xr2:uid="{00000000-000D-0000-FFFF-FFFF00000000}"/>
  </bookViews>
  <sheets>
    <sheet name="About" sheetId="1" r:id="rId1"/>
    <sheet name="SYDEC_2020" sheetId="2" r:id="rId2"/>
    <sheet name="SYDEC_2023" sheetId="3" r:id="rId3"/>
    <sheet name="Sheet3" sheetId="4" r:id="rId4"/>
    <sheet name="260915_분산태양광" sheetId="9" r:id="rId5"/>
    <sheet name="Calculations" sheetId="5" r:id="rId6"/>
    <sheet name="BDESC-urban-residential" sheetId="6" r:id="rId7"/>
    <sheet name="BDESC-rural-residential" sheetId="7" r:id="rId8"/>
    <sheet name="BDESC-commercial" sheetId="8" r:id="rId9"/>
  </sheets>
  <externalReferences>
    <externalReference r:id="rId10"/>
  </externalReferences>
  <definedNames>
    <definedName name="billion_kw_to_MW" localSheetId="1">#REF!</definedName>
    <definedName name="billion_kw_to_MW" localSheetId="2">#REF!</definedName>
    <definedName name="billion_kw_to_MW">About!$B$35</definedName>
    <definedName name="gigwatt_to_megawatt" localSheetId="1">#REF!</definedName>
    <definedName name="gigwatt_to_megawatt" localSheetId="2">#REF!</definedName>
    <definedName name="gigwatt_to_megawatt">About!$B$36</definedName>
    <definedName name="GW_to_MW" localSheetId="2">#REF!</definedName>
    <definedName name="GW_to_MW">#REF!</definedName>
    <definedName name="Percent_rural" localSheetId="1">#REF!</definedName>
    <definedName name="Percent_rural" localSheetId="2">#REF!</definedName>
    <definedName name="Percent_rural">About!$A$33</definedName>
    <definedName name="Percent_Urban" localSheetId="1">#REF!</definedName>
    <definedName name="Percent_Urban" localSheetId="2">#REF!</definedName>
    <definedName name="Percent_Urban">About!$A$32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1" i="9" l="1"/>
  <c r="N41" i="9" s="1"/>
  <c r="K40" i="9"/>
  <c r="N40" i="9" s="1"/>
  <c r="K39" i="9"/>
  <c r="N39" i="9" s="1"/>
  <c r="K38" i="9"/>
  <c r="K37" i="9"/>
  <c r="N37" i="9" s="1"/>
  <c r="K36" i="9"/>
  <c r="N36" i="9" s="1"/>
  <c r="K35" i="9"/>
  <c r="L35" i="9" s="1"/>
  <c r="K34" i="9"/>
  <c r="N34" i="9" s="1"/>
  <c r="K33" i="9"/>
  <c r="K32" i="9"/>
  <c r="K31" i="9"/>
  <c r="N31" i="9" s="1"/>
  <c r="K30" i="9"/>
  <c r="N30" i="9" s="1"/>
  <c r="K29" i="9"/>
  <c r="N29" i="9" s="1"/>
  <c r="G29" i="9"/>
  <c r="G34" i="9" s="1"/>
  <c r="K28" i="9"/>
  <c r="M28" i="9" s="1"/>
  <c r="G28" i="9"/>
  <c r="P28" i="9" s="1"/>
  <c r="S28" i="9" s="1"/>
  <c r="K27" i="9"/>
  <c r="L27" i="9" s="1"/>
  <c r="G27" i="9"/>
  <c r="K26" i="9"/>
  <c r="N26" i="9" s="1"/>
  <c r="G26" i="9"/>
  <c r="K25" i="9"/>
  <c r="L25" i="9" s="1"/>
  <c r="G25" i="9"/>
  <c r="K24" i="9"/>
  <c r="M24" i="9" s="1"/>
  <c r="G24" i="9"/>
  <c r="K23" i="9"/>
  <c r="N23" i="9" s="1"/>
  <c r="G23" i="9"/>
  <c r="K22" i="9"/>
  <c r="L22" i="9" s="1"/>
  <c r="G22" i="9"/>
  <c r="K21" i="9"/>
  <c r="N21" i="9" s="1"/>
  <c r="G21" i="9"/>
  <c r="K20" i="9"/>
  <c r="G20" i="9"/>
  <c r="K19" i="9"/>
  <c r="N19" i="9" s="1"/>
  <c r="G19" i="9"/>
  <c r="K18" i="9"/>
  <c r="N18" i="9" s="1"/>
  <c r="G18" i="9"/>
  <c r="K17" i="9"/>
  <c r="N17" i="9" s="1"/>
  <c r="G17" i="9"/>
  <c r="K16" i="9"/>
  <c r="N16" i="9" s="1"/>
  <c r="G16" i="9"/>
  <c r="Q16" i="9" s="1"/>
  <c r="T16" i="9" s="1"/>
  <c r="K15" i="9"/>
  <c r="L15" i="9" s="1"/>
  <c r="E15" i="9"/>
  <c r="G15" i="9" s="1"/>
  <c r="K14" i="9"/>
  <c r="E14" i="9"/>
  <c r="G14" i="9" s="1"/>
  <c r="K13" i="9"/>
  <c r="E13" i="9"/>
  <c r="G13" i="9" s="1"/>
  <c r="K12" i="9"/>
  <c r="E12" i="9"/>
  <c r="G12" i="9" s="1"/>
  <c r="K11" i="9"/>
  <c r="G11" i="9" s="1"/>
  <c r="E6" i="8"/>
  <c r="B6" i="8"/>
  <c r="B6" i="7"/>
  <c r="AW64" i="5"/>
  <c r="BB63" i="5"/>
  <c r="BA63" i="5"/>
  <c r="AZ63" i="5"/>
  <c r="AY63" i="5"/>
  <c r="AX63" i="5"/>
  <c r="AW63" i="5"/>
  <c r="AV63" i="5"/>
  <c r="BB62" i="5"/>
  <c r="BA62" i="5"/>
  <c r="AZ62" i="5"/>
  <c r="AY62" i="5"/>
  <c r="AX62" i="5"/>
  <c r="AW62" i="5"/>
  <c r="BB61" i="5"/>
  <c r="BA61" i="5"/>
  <c r="AZ61" i="5"/>
  <c r="AY61" i="5"/>
  <c r="AX61" i="5"/>
  <c r="AW61" i="5"/>
  <c r="BB60" i="5"/>
  <c r="BA60" i="5"/>
  <c r="AZ60" i="5"/>
  <c r="AY60" i="5"/>
  <c r="AX60" i="5"/>
  <c r="AW60" i="5"/>
  <c r="AV58" i="5"/>
  <c r="C58" i="5"/>
  <c r="C57" i="5"/>
  <c r="D57" i="5" s="1"/>
  <c r="C6" i="8" s="1"/>
  <c r="BB56" i="5"/>
  <c r="BA56" i="5"/>
  <c r="AZ56" i="5"/>
  <c r="AY56" i="5"/>
  <c r="AX56" i="5"/>
  <c r="AW56" i="5"/>
  <c r="BB55" i="5"/>
  <c r="BA55" i="5"/>
  <c r="AZ55" i="5"/>
  <c r="AY55" i="5"/>
  <c r="AX55" i="5"/>
  <c r="AW55" i="5"/>
  <c r="AV55" i="5"/>
  <c r="L52" i="5"/>
  <c r="M52" i="5" s="1"/>
  <c r="C37" i="5"/>
  <c r="C36" i="5"/>
  <c r="U31" i="5"/>
  <c r="V31" i="5" s="1"/>
  <c r="W31" i="5" s="1"/>
  <c r="X31" i="5" s="1"/>
  <c r="Y31" i="5" s="1"/>
  <c r="Z31" i="5" s="1"/>
  <c r="AA31" i="5" s="1"/>
  <c r="AB31" i="5" s="1"/>
  <c r="AC31" i="5" s="1"/>
  <c r="AD31" i="5" s="1"/>
  <c r="AE31" i="5" s="1"/>
  <c r="AF31" i="5" s="1"/>
  <c r="AG31" i="5" s="1"/>
  <c r="R31" i="5"/>
  <c r="S31" i="5" s="1"/>
  <c r="J31" i="5"/>
  <c r="K31" i="5" s="1"/>
  <c r="L31" i="5" s="1"/>
  <c r="M31" i="5" s="1"/>
  <c r="C17" i="5"/>
  <c r="B7" i="6" s="1"/>
  <c r="C16" i="5"/>
  <c r="D16" i="5" s="1"/>
  <c r="C6" i="6" s="1"/>
  <c r="U11" i="5"/>
  <c r="V11" i="5" s="1"/>
  <c r="W11" i="5" s="1"/>
  <c r="X11" i="5" s="1"/>
  <c r="Y11" i="5" s="1"/>
  <c r="Z11" i="5" s="1"/>
  <c r="AA11" i="5" s="1"/>
  <c r="AB11" i="5" s="1"/>
  <c r="AC11" i="5" s="1"/>
  <c r="AD11" i="5" s="1"/>
  <c r="AE11" i="5" s="1"/>
  <c r="AF11" i="5" s="1"/>
  <c r="AG11" i="5" s="1"/>
  <c r="J11" i="5"/>
  <c r="K11" i="5" s="1"/>
  <c r="L11" i="5" s="1"/>
  <c r="M11" i="5" s="1"/>
  <c r="E6" i="5"/>
  <c r="D6" i="5"/>
  <c r="C6" i="5"/>
  <c r="B6" i="5"/>
  <c r="A6" i="5"/>
  <c r="H5" i="5"/>
  <c r="G5" i="5"/>
  <c r="F5" i="5"/>
  <c r="E5" i="5"/>
  <c r="D5" i="5"/>
  <c r="C5" i="5"/>
  <c r="B5" i="5"/>
  <c r="A5" i="5"/>
  <c r="E4" i="5"/>
  <c r="D4" i="5"/>
  <c r="C4" i="5"/>
  <c r="B4" i="5"/>
  <c r="A4" i="5"/>
  <c r="H3" i="5"/>
  <c r="N31" i="5" s="1"/>
  <c r="O31" i="5" s="1"/>
  <c r="P31" i="5" s="1"/>
  <c r="Q31" i="5" s="1"/>
  <c r="G3" i="5"/>
  <c r="F3" i="5"/>
  <c r="G11" i="5" s="1"/>
  <c r="H11" i="5" s="1"/>
  <c r="I11" i="5" s="1"/>
  <c r="E3" i="5"/>
  <c r="D3" i="5"/>
  <c r="C3" i="5"/>
  <c r="B3" i="5"/>
  <c r="A3" i="5"/>
  <c r="H2" i="5"/>
  <c r="N52" i="5" s="1"/>
  <c r="O52" i="5" s="1"/>
  <c r="P52" i="5" s="1"/>
  <c r="Q52" i="5" s="1"/>
  <c r="R52" i="5" s="1"/>
  <c r="S52" i="5" s="1"/>
  <c r="T52" i="5" s="1"/>
  <c r="U52" i="5" s="1"/>
  <c r="V52" i="5" s="1"/>
  <c r="W52" i="5" s="1"/>
  <c r="X52" i="5" s="1"/>
  <c r="Y52" i="5" s="1"/>
  <c r="Z52" i="5" s="1"/>
  <c r="AA52" i="5" s="1"/>
  <c r="AB52" i="5" s="1"/>
  <c r="AC52" i="5" s="1"/>
  <c r="AD52" i="5" s="1"/>
  <c r="AE52" i="5" s="1"/>
  <c r="AF52" i="5" s="1"/>
  <c r="AG52" i="5" s="1"/>
  <c r="E2" i="5"/>
  <c r="D2" i="5"/>
  <c r="C2" i="5"/>
  <c r="B2" i="5"/>
  <c r="A2" i="5"/>
  <c r="H1" i="5"/>
  <c r="G1" i="5"/>
  <c r="F1" i="5"/>
  <c r="E1" i="5"/>
  <c r="D1" i="5"/>
  <c r="C1" i="5"/>
  <c r="B1" i="5"/>
  <c r="A1" i="5"/>
  <c r="D18" i="3"/>
  <c r="C18" i="3"/>
  <c r="B18" i="3"/>
  <c r="D17" i="3"/>
  <c r="C17" i="3"/>
  <c r="B17" i="3"/>
  <c r="D16" i="3"/>
  <c r="C16" i="3"/>
  <c r="B16" i="3"/>
  <c r="D15" i="3"/>
  <c r="C15" i="3"/>
  <c r="B15" i="3"/>
  <c r="D14" i="3"/>
  <c r="C14" i="3"/>
  <c r="B14" i="3"/>
  <c r="D13" i="3"/>
  <c r="C13" i="3"/>
  <c r="B13" i="3"/>
  <c r="D12" i="3"/>
  <c r="C12" i="3"/>
  <c r="B12" i="3"/>
  <c r="D11" i="3"/>
  <c r="C11" i="3"/>
  <c r="B11" i="3"/>
  <c r="D10" i="3"/>
  <c r="C10" i="3"/>
  <c r="B10" i="3"/>
  <c r="D9" i="3"/>
  <c r="C9" i="3"/>
  <c r="B9" i="3"/>
  <c r="D8" i="3"/>
  <c r="C8" i="3"/>
  <c r="B8" i="3"/>
  <c r="D7" i="3"/>
  <c r="F58" i="5" s="1"/>
  <c r="G58" i="5" s="1"/>
  <c r="H58" i="5" s="1"/>
  <c r="C7" i="3"/>
  <c r="F37" i="5" s="1"/>
  <c r="B7" i="3"/>
  <c r="F17" i="5" s="1"/>
  <c r="D6" i="3"/>
  <c r="F57" i="5" s="1"/>
  <c r="G57" i="5" s="1"/>
  <c r="H57" i="5" s="1"/>
  <c r="G6" i="8" s="1"/>
  <c r="C6" i="3"/>
  <c r="F36" i="5" s="1"/>
  <c r="B6" i="3"/>
  <c r="F16" i="5" s="1"/>
  <c r="D5" i="3"/>
  <c r="C5" i="3"/>
  <c r="B5" i="3"/>
  <c r="D3" i="3"/>
  <c r="C3" i="3"/>
  <c r="B3" i="3"/>
  <c r="D2" i="3"/>
  <c r="C2" i="3"/>
  <c r="B2" i="3"/>
  <c r="B35" i="1"/>
  <c r="A33" i="1"/>
  <c r="A32" i="1"/>
  <c r="H62" i="4"/>
  <c r="H6" i="5" s="1"/>
  <c r="G62" i="4"/>
  <c r="G6" i="5" s="1"/>
  <c r="F62" i="4"/>
  <c r="F6" i="5" s="1"/>
  <c r="H61" i="4"/>
  <c r="G61" i="4"/>
  <c r="F61" i="4"/>
  <c r="H60" i="4"/>
  <c r="H4" i="5" s="1"/>
  <c r="G60" i="4"/>
  <c r="G4" i="5" s="1"/>
  <c r="F60" i="4"/>
  <c r="F4" i="5" s="1"/>
  <c r="H59" i="4"/>
  <c r="G59" i="4"/>
  <c r="F59" i="4"/>
  <c r="H58" i="4"/>
  <c r="G58" i="4"/>
  <c r="G2" i="5" s="1"/>
  <c r="J52" i="5" s="1"/>
  <c r="K52" i="5" s="1"/>
  <c r="F58" i="4"/>
  <c r="F2" i="5" s="1"/>
  <c r="G52" i="5" s="1"/>
  <c r="H52" i="5" s="1"/>
  <c r="I52" i="5" s="1"/>
  <c r="N24" i="9" l="1"/>
  <c r="Q24" i="9" s="1"/>
  <c r="T24" i="9" s="1"/>
  <c r="N35" i="9"/>
  <c r="M35" i="9"/>
  <c r="Q26" i="9"/>
  <c r="T26" i="9" s="1"/>
  <c r="L18" i="9"/>
  <c r="M18" i="9"/>
  <c r="O25" i="9"/>
  <c r="R25" i="9" s="1"/>
  <c r="G36" i="9"/>
  <c r="Q36" i="9" s="1"/>
  <c r="T36" i="9" s="1"/>
  <c r="Q29" i="9"/>
  <c r="T29" i="9" s="1"/>
  <c r="G30" i="9"/>
  <c r="L36" i="9"/>
  <c r="L26" i="9"/>
  <c r="O26" i="9" s="1"/>
  <c r="R26" i="9" s="1"/>
  <c r="Q30" i="9"/>
  <c r="T30" i="9" s="1"/>
  <c r="M36" i="9"/>
  <c r="M26" i="9"/>
  <c r="P26" i="9" s="1"/>
  <c r="G31" i="9"/>
  <c r="Q31" i="9" s="1"/>
  <c r="T31" i="9" s="1"/>
  <c r="G37" i="9"/>
  <c r="Q37" i="9" s="1"/>
  <c r="T37" i="9" s="1"/>
  <c r="Q21" i="9"/>
  <c r="T21" i="9" s="1"/>
  <c r="G32" i="9"/>
  <c r="P32" i="9" s="1"/>
  <c r="S32" i="9" s="1"/>
  <c r="O27" i="9"/>
  <c r="R27" i="9" s="1"/>
  <c r="G38" i="9"/>
  <c r="M27" i="9"/>
  <c r="P27" i="9" s="1"/>
  <c r="S27" i="9" s="1"/>
  <c r="G33" i="9"/>
  <c r="N27" i="9"/>
  <c r="Q27" i="9" s="1"/>
  <c r="G39" i="9"/>
  <c r="L17" i="9"/>
  <c r="O17" i="9" s="1"/>
  <c r="R17" i="9" s="1"/>
  <c r="L34" i="9"/>
  <c r="O34" i="9" s="1"/>
  <c r="R34" i="9" s="1"/>
  <c r="G40" i="9"/>
  <c r="Q40" i="9" s="1"/>
  <c r="T40" i="9" s="1"/>
  <c r="M17" i="9"/>
  <c r="P17" i="9" s="1"/>
  <c r="S17" i="9" s="1"/>
  <c r="M34" i="9"/>
  <c r="P34" i="9" s="1"/>
  <c r="S34" i="9" s="1"/>
  <c r="L24" i="9"/>
  <c r="O24" i="9" s="1"/>
  <c r="R24" i="9" s="1"/>
  <c r="N28" i="9"/>
  <c r="Q28" i="9" s="1"/>
  <c r="T28" i="9" s="1"/>
  <c r="G41" i="9"/>
  <c r="P41" i="9" s="1"/>
  <c r="S41" i="9" s="1"/>
  <c r="E7" i="6"/>
  <c r="G17" i="5"/>
  <c r="M21" i="9"/>
  <c r="P21" i="9" s="1"/>
  <c r="S21" i="9" s="1"/>
  <c r="N15" i="9"/>
  <c r="Q15" i="9" s="1"/>
  <c r="T15" i="9" s="1"/>
  <c r="M15" i="9"/>
  <c r="P15" i="9" s="1"/>
  <c r="S15" i="9" s="1"/>
  <c r="N25" i="9"/>
  <c r="Q25" i="9" s="1"/>
  <c r="T25" i="9" s="1"/>
  <c r="L40" i="9"/>
  <c r="M25" i="9"/>
  <c r="P25" i="9" s="1"/>
  <c r="S25" i="9" s="1"/>
  <c r="N38" i="9"/>
  <c r="Q38" i="9" s="1"/>
  <c r="T38" i="9" s="1"/>
  <c r="M38" i="9"/>
  <c r="P38" i="9" s="1"/>
  <c r="S38" i="9" s="1"/>
  <c r="F6" i="8"/>
  <c r="L38" i="9"/>
  <c r="O38" i="9" s="1"/>
  <c r="R38" i="9" s="1"/>
  <c r="F7" i="8"/>
  <c r="L23" i="9"/>
  <c r="O23" i="9" s="1"/>
  <c r="R23" i="9" s="1"/>
  <c r="P40" i="9"/>
  <c r="S40" i="9" s="1"/>
  <c r="O40" i="9"/>
  <c r="R40" i="9" s="1"/>
  <c r="N12" i="9"/>
  <c r="Q12" i="9" s="1"/>
  <c r="T12" i="9" s="1"/>
  <c r="M12" i="9"/>
  <c r="P12" i="9" s="1"/>
  <c r="S12" i="9" s="1"/>
  <c r="L12" i="9"/>
  <c r="O12" i="9" s="1"/>
  <c r="R12" i="9" s="1"/>
  <c r="N32" i="9"/>
  <c r="L32" i="9"/>
  <c r="M32" i="9"/>
  <c r="M40" i="9"/>
  <c r="I57" i="5"/>
  <c r="AW57" i="5"/>
  <c r="I58" i="5"/>
  <c r="AW58" i="5"/>
  <c r="E7" i="8"/>
  <c r="G7" i="8"/>
  <c r="Q19" i="9"/>
  <c r="T19" i="9" s="1"/>
  <c r="M23" i="9"/>
  <c r="P23" i="9" s="1"/>
  <c r="S23" i="9" s="1"/>
  <c r="M19" i="9"/>
  <c r="P19" i="9" s="1"/>
  <c r="S19" i="9" s="1"/>
  <c r="L19" i="9"/>
  <c r="O19" i="9"/>
  <c r="R19" i="9" s="1"/>
  <c r="E6" i="6"/>
  <c r="G16" i="5"/>
  <c r="D36" i="5"/>
  <c r="C6" i="7" s="1"/>
  <c r="E36" i="5"/>
  <c r="D6" i="7" s="1"/>
  <c r="E6" i="7"/>
  <c r="Q17" i="9"/>
  <c r="T17" i="9" s="1"/>
  <c r="L21" i="9"/>
  <c r="O21" i="9" s="1"/>
  <c r="N14" i="9"/>
  <c r="Q14" i="9" s="1"/>
  <c r="T14" i="9" s="1"/>
  <c r="M14" i="9"/>
  <c r="P14" i="9" s="1"/>
  <c r="S14" i="9" s="1"/>
  <c r="O22" i="9"/>
  <c r="R22" i="9" s="1"/>
  <c r="D17" i="5"/>
  <c r="C7" i="6" s="1"/>
  <c r="B6" i="6"/>
  <c r="M16" i="9"/>
  <c r="P16" i="9" s="1"/>
  <c r="N20" i="9"/>
  <c r="Q20" i="9" s="1"/>
  <c r="T20" i="9" s="1"/>
  <c r="M20" i="9"/>
  <c r="P20" i="9" s="1"/>
  <c r="S20" i="9" s="1"/>
  <c r="M22" i="9"/>
  <c r="P22" i="9" s="1"/>
  <c r="S22" i="9" s="1"/>
  <c r="L41" i="9"/>
  <c r="O41" i="9" s="1"/>
  <c r="R41" i="9" s="1"/>
  <c r="L20" i="9"/>
  <c r="O20" i="9" s="1"/>
  <c r="R20" i="9" s="1"/>
  <c r="N22" i="9"/>
  <c r="Q22" i="9" s="1"/>
  <c r="T22" i="9" s="1"/>
  <c r="N33" i="9"/>
  <c r="Q33" i="9" s="1"/>
  <c r="T33" i="9" s="1"/>
  <c r="M33" i="9"/>
  <c r="P33" i="9" s="1"/>
  <c r="S33" i="9" s="1"/>
  <c r="L39" i="9"/>
  <c r="M41" i="9"/>
  <c r="E57" i="5"/>
  <c r="D6" i="8" s="1"/>
  <c r="Q34" i="9"/>
  <c r="T34" i="9" s="1"/>
  <c r="E16" i="5"/>
  <c r="D6" i="6" s="1"/>
  <c r="G31" i="5"/>
  <c r="H31" i="5" s="1"/>
  <c r="I31" i="5" s="1"/>
  <c r="L33" i="9"/>
  <c r="O33" i="9" s="1"/>
  <c r="R33" i="9" s="1"/>
  <c r="M37" i="9"/>
  <c r="L37" i="9"/>
  <c r="M39" i="9"/>
  <c r="P39" i="9" s="1"/>
  <c r="S39" i="9" s="1"/>
  <c r="L14" i="9"/>
  <c r="O14" i="9" s="1"/>
  <c r="R14" i="9" s="1"/>
  <c r="L16" i="9"/>
  <c r="O16" i="9" s="1"/>
  <c r="R16" i="9" s="1"/>
  <c r="E58" i="5"/>
  <c r="D7" i="8" s="1"/>
  <c r="D58" i="5"/>
  <c r="C7" i="8" s="1"/>
  <c r="B7" i="8"/>
  <c r="N11" i="9"/>
  <c r="Q11" i="9" s="1"/>
  <c r="T11" i="9" s="1"/>
  <c r="M11" i="9"/>
  <c r="P11" i="9" s="1"/>
  <c r="S11" i="9" s="1"/>
  <c r="P24" i="9"/>
  <c r="S24" i="9" s="1"/>
  <c r="Q18" i="9"/>
  <c r="T18" i="9" s="1"/>
  <c r="P18" i="9"/>
  <c r="S18" i="9" s="1"/>
  <c r="O39" i="9"/>
  <c r="R39" i="9" s="1"/>
  <c r="L11" i="9"/>
  <c r="O11" i="9" s="1"/>
  <c r="R11" i="9" s="1"/>
  <c r="O18" i="9"/>
  <c r="R18" i="9" s="1"/>
  <c r="Q39" i="9"/>
  <c r="T39" i="9" s="1"/>
  <c r="E17" i="5"/>
  <c r="D7" i="6" s="1"/>
  <c r="N11" i="5"/>
  <c r="O11" i="5" s="1"/>
  <c r="P11" i="5" s="1"/>
  <c r="Q11" i="5" s="1"/>
  <c r="R11" i="5" s="1"/>
  <c r="S11" i="5" s="1"/>
  <c r="N13" i="9"/>
  <c r="Q13" i="9" s="1"/>
  <c r="T13" i="9" s="1"/>
  <c r="M13" i="9"/>
  <c r="P13" i="9" s="1"/>
  <c r="S13" i="9" s="1"/>
  <c r="G37" i="5"/>
  <c r="E7" i="7"/>
  <c r="B7" i="7"/>
  <c r="E37" i="5"/>
  <c r="D7" i="7" s="1"/>
  <c r="D37" i="5"/>
  <c r="C7" i="7" s="1"/>
  <c r="L13" i="9"/>
  <c r="O13" i="9" s="1"/>
  <c r="R13" i="9" s="1"/>
  <c r="O15" i="9"/>
  <c r="R15" i="9" s="1"/>
  <c r="G35" i="9"/>
  <c r="Q23" i="9"/>
  <c r="T23" i="9" s="1"/>
  <c r="L31" i="9"/>
  <c r="L30" i="9"/>
  <c r="M31" i="9"/>
  <c r="L29" i="9"/>
  <c r="O29" i="9" s="1"/>
  <c r="R29" i="9" s="1"/>
  <c r="M30" i="9"/>
  <c r="L28" i="9"/>
  <c r="O28" i="9" s="1"/>
  <c r="R28" i="9" s="1"/>
  <c r="M29" i="9"/>
  <c r="P29" i="9" s="1"/>
  <c r="S29" i="9" s="1"/>
  <c r="Q41" i="9" l="1"/>
  <c r="T41" i="9" s="1"/>
  <c r="X25" i="9"/>
  <c r="Q38" i="5" s="1"/>
  <c r="P8" i="7" s="1"/>
  <c r="P31" i="9"/>
  <c r="S31" i="9" s="1"/>
  <c r="O30" i="9"/>
  <c r="R30" i="9" s="1"/>
  <c r="O31" i="9"/>
  <c r="R31" i="9" s="1"/>
  <c r="W27" i="9"/>
  <c r="Q32" i="9"/>
  <c r="T32" i="9" s="1"/>
  <c r="S26" i="9"/>
  <c r="W26" i="9"/>
  <c r="R59" i="5" s="1"/>
  <c r="AY59" i="5" s="1"/>
  <c r="U34" i="9"/>
  <c r="V34" i="9" s="1"/>
  <c r="T27" i="9"/>
  <c r="X27" i="9"/>
  <c r="S38" i="5" s="1"/>
  <c r="R8" i="7" s="1"/>
  <c r="U30" i="9"/>
  <c r="V30" i="9" s="1"/>
  <c r="U27" i="9"/>
  <c r="V27" i="9" s="1"/>
  <c r="U31" i="9"/>
  <c r="V31" i="9" s="1"/>
  <c r="O37" i="9"/>
  <c r="R37" i="9" s="1"/>
  <c r="U33" i="9"/>
  <c r="V33" i="9" s="1"/>
  <c r="X18" i="9"/>
  <c r="J38" i="5" s="1"/>
  <c r="I8" i="7" s="1"/>
  <c r="O36" i="9"/>
  <c r="R36" i="9" s="1"/>
  <c r="P36" i="9"/>
  <c r="S36" i="9" s="1"/>
  <c r="O32" i="9"/>
  <c r="R32" i="9" s="1"/>
  <c r="X29" i="9"/>
  <c r="X39" i="9" s="1"/>
  <c r="AE38" i="5" s="1"/>
  <c r="AD8" i="7" s="1"/>
  <c r="P37" i="9"/>
  <c r="S37" i="9" s="1"/>
  <c r="X14" i="9"/>
  <c r="F38" i="5" s="1"/>
  <c r="E8" i="7" s="1"/>
  <c r="P30" i="9"/>
  <c r="S30" i="9" s="1"/>
  <c r="U38" i="9"/>
  <c r="V38" i="9" s="1"/>
  <c r="U11" i="9"/>
  <c r="V11" i="9" s="1"/>
  <c r="Y11" i="9" s="1"/>
  <c r="C18" i="5" s="1"/>
  <c r="B8" i="6" s="1"/>
  <c r="W11" i="9"/>
  <c r="S16" i="9"/>
  <c r="X16" i="9" s="1"/>
  <c r="H38" i="5" s="1"/>
  <c r="G8" i="7" s="1"/>
  <c r="U13" i="9"/>
  <c r="V13" i="9" s="1"/>
  <c r="Y13" i="9" s="1"/>
  <c r="E18" i="5" s="1"/>
  <c r="D8" i="6" s="1"/>
  <c r="W13" i="9"/>
  <c r="X15" i="9"/>
  <c r="G38" i="5" s="1"/>
  <c r="F8" i="7" s="1"/>
  <c r="X11" i="9"/>
  <c r="C38" i="5" s="1"/>
  <c r="B8" i="7" s="1"/>
  <c r="X13" i="9"/>
  <c r="E38" i="5" s="1"/>
  <c r="D8" i="7" s="1"/>
  <c r="U12" i="9"/>
  <c r="V12" i="9" s="1"/>
  <c r="Y12" i="9" s="1"/>
  <c r="D18" i="5" s="1"/>
  <c r="C8" i="6" s="1"/>
  <c r="W12" i="9"/>
  <c r="R21" i="9"/>
  <c r="W20" i="9"/>
  <c r="U20" i="9"/>
  <c r="V20" i="9" s="1"/>
  <c r="Y20" i="9" s="1"/>
  <c r="L18" i="5" s="1"/>
  <c r="K8" i="6" s="1"/>
  <c r="H37" i="5"/>
  <c r="F7" i="7"/>
  <c r="U19" i="9"/>
  <c r="V19" i="9" s="1"/>
  <c r="Y19" i="9" s="1"/>
  <c r="K18" i="5" s="1"/>
  <c r="J8" i="6" s="1"/>
  <c r="W19" i="9"/>
  <c r="X12" i="9"/>
  <c r="D38" i="5" s="1"/>
  <c r="C8" i="7" s="1"/>
  <c r="U40" i="9"/>
  <c r="V40" i="9" s="1"/>
  <c r="U41" i="9"/>
  <c r="V41" i="9" s="1"/>
  <c r="X24" i="9"/>
  <c r="P38" i="5" s="1"/>
  <c r="O8" i="7" s="1"/>
  <c r="G36" i="5"/>
  <c r="S59" i="5"/>
  <c r="R8" i="8" s="1"/>
  <c r="X20" i="9"/>
  <c r="L38" i="5" s="1"/>
  <c r="K8" i="7" s="1"/>
  <c r="W22" i="9"/>
  <c r="U22" i="9"/>
  <c r="V22" i="9" s="1"/>
  <c r="Y22" i="9" s="1"/>
  <c r="N18" i="5" s="1"/>
  <c r="M8" i="6" s="1"/>
  <c r="X21" i="9"/>
  <c r="M38" i="5" s="1"/>
  <c r="L8" i="7" s="1"/>
  <c r="Q35" i="9"/>
  <c r="T35" i="9" s="1"/>
  <c r="P35" i="9"/>
  <c r="S35" i="9" s="1"/>
  <c r="O35" i="9"/>
  <c r="R35" i="9" s="1"/>
  <c r="U35" i="9" s="1"/>
  <c r="V35" i="9" s="1"/>
  <c r="F7" i="6"/>
  <c r="H17" i="5"/>
  <c r="H6" i="8"/>
  <c r="J57" i="5"/>
  <c r="X34" i="9"/>
  <c r="Z38" i="5" s="1"/>
  <c r="Y8" i="7" s="1"/>
  <c r="X33" i="9"/>
  <c r="Y38" i="5" s="1"/>
  <c r="X8" i="7" s="1"/>
  <c r="Y23" i="9"/>
  <c r="O18" i="5" s="1"/>
  <c r="N8" i="6" s="1"/>
  <c r="J58" i="5"/>
  <c r="H7" i="8"/>
  <c r="W14" i="9"/>
  <c r="U14" i="9"/>
  <c r="V14" i="9" s="1"/>
  <c r="Y14" i="9" s="1"/>
  <c r="F18" i="5" s="1"/>
  <c r="E8" i="6" s="1"/>
  <c r="U15" i="9"/>
  <c r="V15" i="9" s="1"/>
  <c r="Y15" i="9" s="1"/>
  <c r="G18" i="5" s="1"/>
  <c r="F8" i="6" s="1"/>
  <c r="W15" i="9"/>
  <c r="U17" i="9"/>
  <c r="V17" i="9" s="1"/>
  <c r="Y17" i="9" s="1"/>
  <c r="I18" i="5" s="1"/>
  <c r="H8" i="6" s="1"/>
  <c r="W29" i="9"/>
  <c r="U29" i="9"/>
  <c r="V29" i="9" s="1"/>
  <c r="X17" i="9"/>
  <c r="I38" i="5" s="1"/>
  <c r="H8" i="7" s="1"/>
  <c r="U39" i="9"/>
  <c r="V39" i="9" s="1"/>
  <c r="W23" i="9"/>
  <c r="U23" i="9"/>
  <c r="V23" i="9" s="1"/>
  <c r="X19" i="9"/>
  <c r="K38" i="5" s="1"/>
  <c r="J8" i="7" s="1"/>
  <c r="U18" i="9"/>
  <c r="V18" i="9" s="1"/>
  <c r="Y18" i="9" s="1"/>
  <c r="J18" i="5" s="1"/>
  <c r="I8" i="6" s="1"/>
  <c r="W18" i="9"/>
  <c r="U25" i="9"/>
  <c r="V25" i="9" s="1"/>
  <c r="Y25" i="9" s="1"/>
  <c r="Q18" i="5" s="1"/>
  <c r="P8" i="6" s="1"/>
  <c r="F6" i="6"/>
  <c r="H16" i="5"/>
  <c r="U28" i="9"/>
  <c r="V28" i="9" s="1"/>
  <c r="Y28" i="9" s="1"/>
  <c r="T18" i="5" s="1"/>
  <c r="S8" i="6" s="1"/>
  <c r="W28" i="9"/>
  <c r="U16" i="9"/>
  <c r="V16" i="9" s="1"/>
  <c r="Y16" i="9" s="1"/>
  <c r="H18" i="5" s="1"/>
  <c r="G8" i="6" s="1"/>
  <c r="W16" i="9"/>
  <c r="X28" i="9"/>
  <c r="T38" i="5" s="1"/>
  <c r="S8" i="7" s="1"/>
  <c r="W25" i="9"/>
  <c r="X22" i="9"/>
  <c r="N38" i="5" s="1"/>
  <c r="M8" i="7" s="1"/>
  <c r="W17" i="9"/>
  <c r="W24" i="9"/>
  <c r="U24" i="9"/>
  <c r="V24" i="9" s="1"/>
  <c r="Y24" i="9" s="1"/>
  <c r="P18" i="5" s="1"/>
  <c r="O8" i="6" s="1"/>
  <c r="X23" i="9"/>
  <c r="O38" i="5" s="1"/>
  <c r="N8" i="7" s="1"/>
  <c r="Y29" i="9"/>
  <c r="Q8" i="8" l="1"/>
  <c r="U32" i="9"/>
  <c r="V32" i="9" s="1"/>
  <c r="X38" i="9"/>
  <c r="AD38" i="5" s="1"/>
  <c r="AC8" i="7" s="1"/>
  <c r="X36" i="9"/>
  <c r="AB38" i="5" s="1"/>
  <c r="AA8" i="7" s="1"/>
  <c r="X32" i="9"/>
  <c r="X38" i="5" s="1"/>
  <c r="W8" i="7" s="1"/>
  <c r="U36" i="9"/>
  <c r="V36" i="9" s="1"/>
  <c r="U38" i="5"/>
  <c r="T8" i="7" s="1"/>
  <c r="X35" i="9"/>
  <c r="AA38" i="5" s="1"/>
  <c r="Z8" i="7" s="1"/>
  <c r="X37" i="9"/>
  <c r="AC38" i="5" s="1"/>
  <c r="AB8" i="7" s="1"/>
  <c r="U37" i="9"/>
  <c r="V37" i="9" s="1"/>
  <c r="X31" i="9"/>
  <c r="W38" i="5" s="1"/>
  <c r="V8" i="7" s="1"/>
  <c r="X30" i="9"/>
  <c r="V38" i="5" s="1"/>
  <c r="U8" i="7" s="1"/>
  <c r="X41" i="9"/>
  <c r="AG38" i="5" s="1"/>
  <c r="AF8" i="7" s="1"/>
  <c r="X40" i="9"/>
  <c r="AF38" i="5" s="1"/>
  <c r="AE8" i="7" s="1"/>
  <c r="Y27" i="9"/>
  <c r="X26" i="9"/>
  <c r="U26" i="9"/>
  <c r="V26" i="9" s="1"/>
  <c r="Y26" i="9" s="1"/>
  <c r="R18" i="5" s="1"/>
  <c r="Q8" i="6" s="1"/>
  <c r="N59" i="5"/>
  <c r="M8" i="8" s="1"/>
  <c r="Z22" i="9"/>
  <c r="W21" i="9"/>
  <c r="U21" i="9"/>
  <c r="V21" i="9" s="1"/>
  <c r="Y21" i="9" s="1"/>
  <c r="M18" i="5" s="1"/>
  <c r="L8" i="6" s="1"/>
  <c r="H59" i="5"/>
  <c r="Z16" i="9"/>
  <c r="K57" i="5"/>
  <c r="I6" i="8"/>
  <c r="W38" i="9"/>
  <c r="W39" i="9"/>
  <c r="W40" i="9"/>
  <c r="W41" i="9"/>
  <c r="U59" i="5"/>
  <c r="T8" i="8" s="1"/>
  <c r="W30" i="9"/>
  <c r="W36" i="9"/>
  <c r="W37" i="9"/>
  <c r="W33" i="9"/>
  <c r="W35" i="9"/>
  <c r="W32" i="9"/>
  <c r="W34" i="9"/>
  <c r="Z29" i="9"/>
  <c r="W31" i="9"/>
  <c r="Z28" i="9"/>
  <c r="T59" i="5"/>
  <c r="S8" i="8" s="1"/>
  <c r="J59" i="5"/>
  <c r="I8" i="8" s="1"/>
  <c r="Z18" i="9"/>
  <c r="K59" i="5"/>
  <c r="J8" i="8" s="1"/>
  <c r="Z19" i="9"/>
  <c r="G59" i="5"/>
  <c r="F8" i="8" s="1"/>
  <c r="Z15" i="9"/>
  <c r="D59" i="5"/>
  <c r="C8" i="8" s="1"/>
  <c r="Z12" i="9"/>
  <c r="Y40" i="9"/>
  <c r="AF18" i="5" s="1"/>
  <c r="AE8" i="6" s="1"/>
  <c r="Y41" i="9"/>
  <c r="AG18" i="5" s="1"/>
  <c r="AF8" i="6" s="1"/>
  <c r="U18" i="5"/>
  <c r="T8" i="6" s="1"/>
  <c r="Y31" i="9"/>
  <c r="W18" i="5" s="1"/>
  <c r="V8" i="6" s="1"/>
  <c r="Y32" i="9"/>
  <c r="X18" i="5" s="1"/>
  <c r="W8" i="6" s="1"/>
  <c r="Y38" i="9"/>
  <c r="AD18" i="5" s="1"/>
  <c r="AC8" i="6" s="1"/>
  <c r="Y39" i="9"/>
  <c r="AE18" i="5" s="1"/>
  <c r="AD8" i="6" s="1"/>
  <c r="Y34" i="9"/>
  <c r="Z18" i="5" s="1"/>
  <c r="Y8" i="6" s="1"/>
  <c r="Y30" i="9"/>
  <c r="V18" i="5" s="1"/>
  <c r="U8" i="6" s="1"/>
  <c r="Y36" i="9"/>
  <c r="AB18" i="5" s="1"/>
  <c r="AA8" i="6" s="1"/>
  <c r="Y33" i="9"/>
  <c r="Y18" i="5" s="1"/>
  <c r="X8" i="6" s="1"/>
  <c r="Y37" i="9"/>
  <c r="AC18" i="5" s="1"/>
  <c r="AB8" i="6" s="1"/>
  <c r="Y35" i="9"/>
  <c r="AA18" i="5" s="1"/>
  <c r="Z8" i="6" s="1"/>
  <c r="I59" i="5"/>
  <c r="H8" i="8" s="1"/>
  <c r="Z17" i="9"/>
  <c r="G6" i="6"/>
  <c r="I16" i="5"/>
  <c r="F6" i="7"/>
  <c r="H36" i="5"/>
  <c r="I17" i="5"/>
  <c r="G7" i="6"/>
  <c r="E59" i="5"/>
  <c r="D8" i="8" s="1"/>
  <c r="Z13" i="9"/>
  <c r="P59" i="5"/>
  <c r="O8" i="8" s="1"/>
  <c r="Z24" i="9"/>
  <c r="O59" i="5"/>
  <c r="N8" i="8" s="1"/>
  <c r="Z23" i="9"/>
  <c r="I37" i="5"/>
  <c r="G7" i="7"/>
  <c r="C59" i="5"/>
  <c r="Z11" i="9"/>
  <c r="F59" i="5"/>
  <c r="E8" i="8" s="1"/>
  <c r="Z14" i="9"/>
  <c r="K58" i="5"/>
  <c r="I7" i="8"/>
  <c r="Q59" i="5"/>
  <c r="P8" i="8" s="1"/>
  <c r="Z25" i="9"/>
  <c r="L59" i="5"/>
  <c r="K8" i="8" s="1"/>
  <c r="Z20" i="9"/>
  <c r="R38" i="5" l="1"/>
  <c r="Q8" i="7" s="1"/>
  <c r="Z26" i="9"/>
  <c r="S18" i="5"/>
  <c r="R8" i="6" s="1"/>
  <c r="Z27" i="9"/>
  <c r="AA59" i="5"/>
  <c r="Z8" i="8" s="1"/>
  <c r="Z35" i="9"/>
  <c r="Y59" i="5"/>
  <c r="X8" i="8" s="1"/>
  <c r="Z33" i="9"/>
  <c r="AB59" i="5"/>
  <c r="Z36" i="9"/>
  <c r="AF59" i="5"/>
  <c r="AE8" i="8" s="1"/>
  <c r="Z40" i="9"/>
  <c r="AE59" i="5"/>
  <c r="AD8" i="8" s="1"/>
  <c r="Z39" i="9"/>
  <c r="J17" i="5"/>
  <c r="H7" i="6"/>
  <c r="G6" i="7"/>
  <c r="I36" i="5"/>
  <c r="V59" i="5"/>
  <c r="U8" i="8" s="1"/>
  <c r="Z30" i="9"/>
  <c r="AC59" i="5"/>
  <c r="AB8" i="8" s="1"/>
  <c r="Z37" i="9"/>
  <c r="J16" i="5"/>
  <c r="H6" i="6"/>
  <c r="AG59" i="5"/>
  <c r="Z41" i="9"/>
  <c r="L58" i="5"/>
  <c r="J7" i="8"/>
  <c r="B8" i="8"/>
  <c r="AV59" i="5"/>
  <c r="J37" i="5"/>
  <c r="H7" i="7"/>
  <c r="G8" i="8"/>
  <c r="AW59" i="5"/>
  <c r="W59" i="5"/>
  <c r="Z31" i="9"/>
  <c r="M59" i="5"/>
  <c r="Z21" i="9"/>
  <c r="AD59" i="5"/>
  <c r="AC8" i="8" s="1"/>
  <c r="Z38" i="9"/>
  <c r="J6" i="8"/>
  <c r="L57" i="5"/>
  <c r="Z59" i="5"/>
  <c r="Y8" i="8" s="1"/>
  <c r="Z34" i="9"/>
  <c r="X59" i="5"/>
  <c r="W8" i="8" s="1"/>
  <c r="Z32" i="9"/>
  <c r="AX59" i="5" l="1"/>
  <c r="L8" i="8"/>
  <c r="J36" i="5"/>
  <c r="H6" i="7"/>
  <c r="V8" i="8"/>
  <c r="AZ59" i="5"/>
  <c r="K37" i="5"/>
  <c r="I7" i="7"/>
  <c r="K17" i="5"/>
  <c r="I7" i="6"/>
  <c r="M58" i="5"/>
  <c r="K7" i="8"/>
  <c r="BA59" i="5"/>
  <c r="AA8" i="8"/>
  <c r="AF8" i="8"/>
  <c r="BB59" i="5"/>
  <c r="K6" i="8"/>
  <c r="M57" i="5"/>
  <c r="K16" i="5"/>
  <c r="I6" i="6"/>
  <c r="N58" i="5" l="1"/>
  <c r="AX58" i="5"/>
  <c r="L7" i="8"/>
  <c r="L17" i="5"/>
  <c r="J7" i="6"/>
  <c r="L37" i="5"/>
  <c r="J7" i="7"/>
  <c r="L16" i="5"/>
  <c r="J6" i="6"/>
  <c r="L6" i="8"/>
  <c r="N57" i="5"/>
  <c r="AX57" i="5"/>
  <c r="K36" i="5"/>
  <c r="I6" i="7"/>
  <c r="M16" i="5" l="1"/>
  <c r="K6" i="6"/>
  <c r="K7" i="7"/>
  <c r="M37" i="5"/>
  <c r="K7" i="6"/>
  <c r="M17" i="5"/>
  <c r="L36" i="5"/>
  <c r="J6" i="7"/>
  <c r="M6" i="8"/>
  <c r="O57" i="5"/>
  <c r="M7" i="8"/>
  <c r="O58" i="5"/>
  <c r="N7" i="8" l="1"/>
  <c r="P58" i="5"/>
  <c r="P57" i="5"/>
  <c r="N6" i="8"/>
  <c r="K6" i="7"/>
  <c r="M36" i="5"/>
  <c r="L7" i="6"/>
  <c r="N17" i="5"/>
  <c r="L7" i="7"/>
  <c r="N37" i="5"/>
  <c r="N16" i="5"/>
  <c r="L6" i="6"/>
  <c r="O16" i="5" l="1"/>
  <c r="M6" i="6"/>
  <c r="M7" i="7"/>
  <c r="O37" i="5"/>
  <c r="O17" i="5"/>
  <c r="M7" i="6"/>
  <c r="L6" i="7"/>
  <c r="N36" i="5"/>
  <c r="O6" i="8"/>
  <c r="Q57" i="5"/>
  <c r="O7" i="8"/>
  <c r="Q58" i="5"/>
  <c r="P7" i="8" l="1"/>
  <c r="R58" i="5"/>
  <c r="R57" i="5"/>
  <c r="P6" i="8"/>
  <c r="M6" i="7"/>
  <c r="O36" i="5"/>
  <c r="P17" i="5"/>
  <c r="N7" i="6"/>
  <c r="N7" i="7"/>
  <c r="P37" i="5"/>
  <c r="N6" i="6"/>
  <c r="P16" i="5"/>
  <c r="O6" i="6" l="1"/>
  <c r="Q16" i="5"/>
  <c r="Q37" i="5"/>
  <c r="O7" i="7"/>
  <c r="Q17" i="5"/>
  <c r="O7" i="6"/>
  <c r="N6" i="7"/>
  <c r="P36" i="5"/>
  <c r="AY57" i="5"/>
  <c r="Q6" i="8"/>
  <c r="S57" i="5"/>
  <c r="Q7" i="8"/>
  <c r="AY58" i="5"/>
  <c r="S58" i="5"/>
  <c r="P6" i="6" l="1"/>
  <c r="R16" i="5"/>
  <c r="R7" i="8"/>
  <c r="T58" i="5"/>
  <c r="R6" i="8"/>
  <c r="T57" i="5"/>
  <c r="O6" i="7"/>
  <c r="Q36" i="5"/>
  <c r="R17" i="5"/>
  <c r="P7" i="6"/>
  <c r="P7" i="7"/>
  <c r="R37" i="5"/>
  <c r="Q7" i="7" l="1"/>
  <c r="S37" i="5"/>
  <c r="S17" i="5"/>
  <c r="Q7" i="6"/>
  <c r="P6" i="7"/>
  <c r="R36" i="5"/>
  <c r="S6" i="8"/>
  <c r="U57" i="5"/>
  <c r="S7" i="8"/>
  <c r="U58" i="5"/>
  <c r="Q6" i="6"/>
  <c r="S16" i="5"/>
  <c r="T6" i="8" l="1"/>
  <c r="V57" i="5"/>
  <c r="V58" i="5"/>
  <c r="T7" i="8"/>
  <c r="T17" i="5"/>
  <c r="R7" i="6"/>
  <c r="R6" i="6"/>
  <c r="T16" i="5"/>
  <c r="R7" i="7"/>
  <c r="T37" i="5"/>
  <c r="S36" i="5"/>
  <c r="Q6" i="7"/>
  <c r="T36" i="5" l="1"/>
  <c r="R6" i="7"/>
  <c r="S7" i="7"/>
  <c r="U37" i="5"/>
  <c r="S6" i="6"/>
  <c r="U16" i="5"/>
  <c r="S7" i="6"/>
  <c r="U17" i="5"/>
  <c r="U6" i="8"/>
  <c r="W57" i="5"/>
  <c r="W58" i="5"/>
  <c r="U7" i="8"/>
  <c r="AZ58" i="5" l="1"/>
  <c r="V7" i="8"/>
  <c r="X58" i="5"/>
  <c r="V6" i="8"/>
  <c r="AZ57" i="5"/>
  <c r="X57" i="5"/>
  <c r="T7" i="6"/>
  <c r="V17" i="5"/>
  <c r="V16" i="5"/>
  <c r="T6" i="6"/>
  <c r="T7" i="7"/>
  <c r="V37" i="5"/>
  <c r="U36" i="5"/>
  <c r="S6" i="7"/>
  <c r="V36" i="5" l="1"/>
  <c r="T6" i="7"/>
  <c r="U7" i="7"/>
  <c r="W37" i="5"/>
  <c r="W16" i="5"/>
  <c r="U6" i="6"/>
  <c r="U7" i="6"/>
  <c r="W17" i="5"/>
  <c r="W6" i="8"/>
  <c r="Y57" i="5"/>
  <c r="W7" i="8"/>
  <c r="Y58" i="5"/>
  <c r="X37" i="5" l="1"/>
  <c r="V7" i="7"/>
  <c r="Z58" i="5"/>
  <c r="X7" i="8"/>
  <c r="X6" i="8"/>
  <c r="Z57" i="5"/>
  <c r="V7" i="6"/>
  <c r="X17" i="5"/>
  <c r="X16" i="5"/>
  <c r="V6" i="6"/>
  <c r="U6" i="7"/>
  <c r="W36" i="5"/>
  <c r="AA58" i="5" l="1"/>
  <c r="Y7" i="8"/>
  <c r="X36" i="5"/>
  <c r="V6" i="7"/>
  <c r="Y16" i="5"/>
  <c r="W6" i="6"/>
  <c r="W7" i="6"/>
  <c r="Y17" i="5"/>
  <c r="Y6" i="8"/>
  <c r="AA57" i="5"/>
  <c r="Y37" i="5"/>
  <c r="W7" i="7"/>
  <c r="Z37" i="5" l="1"/>
  <c r="X7" i="7"/>
  <c r="Z6" i="8"/>
  <c r="AB57" i="5"/>
  <c r="X7" i="6"/>
  <c r="Z17" i="5"/>
  <c r="Z16" i="5"/>
  <c r="X6" i="6"/>
  <c r="W6" i="7"/>
  <c r="Y36" i="5"/>
  <c r="AB58" i="5"/>
  <c r="Z7" i="8"/>
  <c r="AC58" i="5" l="1"/>
  <c r="AA7" i="8"/>
  <c r="BA58" i="5"/>
  <c r="AA16" i="5"/>
  <c r="Y6" i="6"/>
  <c r="AA17" i="5"/>
  <c r="Y7" i="6"/>
  <c r="X6" i="7"/>
  <c r="Z36" i="5"/>
  <c r="AC57" i="5"/>
  <c r="AA6" i="8"/>
  <c r="BA57" i="5"/>
  <c r="AA37" i="5"/>
  <c r="Y7" i="7"/>
  <c r="AB6" i="8" l="1"/>
  <c r="AD57" i="5"/>
  <c r="AB16" i="5"/>
  <c r="Z6" i="6"/>
  <c r="Y6" i="7"/>
  <c r="AA36" i="5"/>
  <c r="AB37" i="5"/>
  <c r="Z7" i="7"/>
  <c r="AB17" i="5"/>
  <c r="Z7" i="6"/>
  <c r="AD58" i="5"/>
  <c r="AB7" i="8"/>
  <c r="AB36" i="5" l="1"/>
  <c r="Z6" i="7"/>
  <c r="AC17" i="5"/>
  <c r="AA7" i="6"/>
  <c r="AC16" i="5"/>
  <c r="AA6" i="6"/>
  <c r="AE58" i="5"/>
  <c r="AC7" i="8"/>
  <c r="AC37" i="5"/>
  <c r="AA7" i="7"/>
  <c r="AC6" i="8"/>
  <c r="AE57" i="5"/>
  <c r="AD6" i="8" l="1"/>
  <c r="AF57" i="5"/>
  <c r="AD37" i="5"/>
  <c r="AB7" i="7"/>
  <c r="AF58" i="5"/>
  <c r="AD7" i="8"/>
  <c r="AD17" i="5"/>
  <c r="AB7" i="6"/>
  <c r="AD16" i="5"/>
  <c r="AB6" i="6"/>
  <c r="AC36" i="5"/>
  <c r="AA6" i="7"/>
  <c r="AD36" i="5" l="1"/>
  <c r="AB6" i="7"/>
  <c r="AE16" i="5"/>
  <c r="AC6" i="6"/>
  <c r="AE17" i="5"/>
  <c r="AC7" i="6"/>
  <c r="AE7" i="8"/>
  <c r="AG58" i="5"/>
  <c r="AC7" i="7"/>
  <c r="AE37" i="5"/>
  <c r="AE6" i="8"/>
  <c r="AG57" i="5"/>
  <c r="AF16" i="5" l="1"/>
  <c r="AD6" i="6"/>
  <c r="AF6" i="8"/>
  <c r="BB57" i="5"/>
  <c r="AD7" i="7"/>
  <c r="AF37" i="5"/>
  <c r="AF7" i="8"/>
  <c r="BB58" i="5"/>
  <c r="AD7" i="6"/>
  <c r="AF17" i="5"/>
  <c r="AC6" i="7"/>
  <c r="AE36" i="5"/>
  <c r="AG16" i="5" l="1"/>
  <c r="AF6" i="6" s="1"/>
  <c r="AE6" i="6"/>
  <c r="AD6" i="7"/>
  <c r="AF36" i="5"/>
  <c r="AG17" i="5"/>
  <c r="AF7" i="6" s="1"/>
  <c r="AE7" i="6"/>
  <c r="AG37" i="5"/>
  <c r="AF7" i="7" s="1"/>
  <c r="AE7" i="7"/>
  <c r="AE6" i="7" l="1"/>
  <c r="AG36" i="5"/>
  <c r="AF6" i="7" s="1"/>
</calcChain>
</file>

<file path=xl/sharedStrings.xml><?xml version="1.0" encoding="utf-8"?>
<sst xmlns="http://schemas.openxmlformats.org/spreadsheetml/2006/main" count="339" uniqueCount="118">
  <si>
    <t>제 10차 전력수급기본 계획</t>
  </si>
  <si>
    <t>제11차 전력수급기본계획</t>
  </si>
  <si>
    <t>구분</t>
  </si>
  <si>
    <t>’23→’26 (3y)</t>
  </si>
  <si>
    <t>’26→’30 (4y)</t>
  </si>
  <si>
    <t>’30→’36 (6y)</t>
  </si>
  <si>
    <t>신재생 등(사업용)</t>
  </si>
  <si>
    <t>commercial</t>
  </si>
  <si>
    <t>자가용 신재생</t>
  </si>
  <si>
    <t>상용자가</t>
  </si>
  <si>
    <t>집단에너지</t>
  </si>
  <si>
    <t>합계</t>
  </si>
  <si>
    <t>BDESC BAU Distributed Electricity Source Capacity</t>
  </si>
  <si>
    <t>Sources:</t>
  </si>
  <si>
    <t>Distributed Generation and Capacity - 2021-2050</t>
  </si>
  <si>
    <t>Energy Information Administration</t>
  </si>
  <si>
    <t>Annual Energy Outlook 2022</t>
  </si>
  <si>
    <t>https://www.eia.gov/outlooks/aeo/data/browser/#/?id=30-AEO2022&amp;sourcekey=0</t>
  </si>
  <si>
    <t>https://www.eia.gov/outlooks/aeo/data/browser/#/?id=32-AEO2022&amp;cases=ref2022&amp;sourcekey=0</t>
  </si>
  <si>
    <t>Table 21 and Table 22</t>
  </si>
  <si>
    <t>Distributed Generation and Capacity - 2020</t>
  </si>
  <si>
    <t>Annual Energy Outlook 2021</t>
  </si>
  <si>
    <t>https://www.eia.gov/outlooks/aeo/data/browser/#/?id=30-AEO2021&amp;region=0-0&amp;cases=highogs&amp;start=2019&amp;end=2050&amp;f=A&amp;sourcekey=0</t>
  </si>
  <si>
    <t>https://www.eia.gov/outlooks/aeo/data/browser/#/?id=32-AEO2021&amp;region=0-0&amp;cases=highogs&amp;start=2019&amp;end=2050&amp;f=A&amp;sourcekey=0</t>
  </si>
  <si>
    <t>Urban vs. Rural Residential Households</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</si>
  <si>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</si>
  <si>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</si>
  <si>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</si>
  <si>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</si>
  <si>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Notes</t>
  </si>
  <si>
    <t>We adjust EIA's projections by the amount of distributed solar we expect to be deployed</t>
  </si>
  <si>
    <t>due to the Inflation Reduction Act (see tab for methodology).</t>
  </si>
  <si>
    <t>Urban Rural Split</t>
  </si>
  <si>
    <t>Urban</t>
  </si>
  <si>
    <t>Rural</t>
  </si>
  <si>
    <t>Conversion from billion kilowatthours to megawatthours</t>
  </si>
  <si>
    <t>Conversion from gigawatts to megawatts</t>
  </si>
  <si>
    <t>2020(MW)</t>
  </si>
  <si>
    <t>urban residential</t>
  </si>
  <si>
    <t>rural residential</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</si>
  <si>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</si>
  <si>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</si>
  <si>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</si>
  <si>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</si>
  <si>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</si>
  <si>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</si>
  <si>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</si>
  <si>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</si>
  <si>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</si>
  <si>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</si>
  <si>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</si>
  <si>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</si>
  <si>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</si>
  <si>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</si>
  <si>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</si>
  <si>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</si>
  <si>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</si>
  <si>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</si>
  <si>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</si>
  <si>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</si>
  <si>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</si>
  <si>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</si>
  <si>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</si>
  <si>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</si>
  <si>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MW</t>
  </si>
  <si>
    <t>residential</t>
  </si>
  <si>
    <t>Generating Capacity (MW)</t>
  </si>
  <si>
    <t>증가율</t>
  </si>
  <si>
    <t>BDEQ-BDESC-urban-residential</t>
  </si>
  <si>
    <t>forecast</t>
  </si>
  <si>
    <t>natural gas nonpeaker</t>
  </si>
  <si>
    <t>★260915 수정 — 근거·계산은 'NEXT_260915_분산태양광' 시트 참조 (Y열). 상류 SYDEC/증가율 체인은 solar PV 에 한해 미사용.</t>
  </si>
  <si>
    <t>BDEQ-BDESC-rural-residential</t>
  </si>
  <si>
    <t>★260915 수정 — 근거·계산은 'NEXT_260915_분산태양광' 시트 참조 (X열). 상류 SYDEC/증가율 체인은 solar PV 에 한해 미사용.</t>
  </si>
  <si>
    <t>BDEQ-BDESC-commercial</t>
  </si>
  <si>
    <t>★260915 수정 — 근거·계산은 'NEXT_260915_분산태양광' 시트 참조 (W열). 상류 SYDEC/증가율 체인은 solar PV 에 한해 미사용.</t>
  </si>
  <si>
    <t>T</t>
  </si>
  <si>
    <t>com</t>
  </si>
  <si>
    <t>rur</t>
  </si>
  <si>
    <t>urb</t>
  </si>
  <si>
    <t>Distributed (Self-Consumption) Solar PV Capacity Pathway — Rationale and Calculations</t>
  </si>
  <si>
    <t>2026-09-15 · This sheet is the source for Calculations!r18·r38·r59 (solar PV)</t>
  </si>
  <si>
    <t>What changed</t>
  </si>
  <si>
    <t>Basis by period</t>
  </si>
  <si>
    <t>Source data</t>
  </si>
  <si>
    <t>How to edit this sheet</t>
  </si>
  <si>
    <t>Replaced the distributed (self-consumption) solar PV capacity pathway — from a value fixed at 2020 → actuals (2021–24) + 11th Basic Plan for Electricity Supply and Demand self-consumption figures (2025–38) + fixed at 2038 level (2039–50).</t>
  </si>
  <si>
    <t>2020        Not modified. Since the EPS model's INITIAL TIME is 2021, this column is not used in the simulation.
2021–2024   Actuals from KEA (Korea Energy Agency) dissemination statistics. Since there is no separate 'self-consumption' line item, it is derived as (cumulative − utility/business use).
2025–2038   Self-consumption values from the 11th Basic Plan for Electricity Supply and Demand, used as-is without adjustment.
2039–2050   2038 value held flat.</t>
  </si>
  <si>
    <t>· 2021–2024 actuals: KOSIS DT_337001N_A002 「Solar Energy - Photovoltaic」, nationwide, by use, 'Utility/business use'.
                   Retrieved 2026-09-15. → Columns C·D in the table below.
· 2025–2038 plan: 11th Basic Plan for Electricity Supply and Demand, self-consumption.
                   (BPMCCS workbook, 'Renewable Energy Capacity and Generation Outlook_24~38' sheet, column L) → Column F.</t>
  </si>
  <si>
    <t>Only the blue cells (C·D·F·H·I·J) are raw data; everything else is a formula. Editing the blue cells automatically flows through to W·X·Y (final published values), and propagates through Calculations!r18·r38·r59 → BDESC-* sheets → published CSV. Column Z (check) should always equal 0.</t>
  </si>
  <si>
    <t>· Only the blue cells (C·D·F·H·I·J) are raw data. All other columns are formulas.</t>
  </si>
  <si>
    <t>· W·X·Y (final published values) are referenced by Calculations!r59(com) · r38(rur) · r18(urb). Those rows are referenced by the BDESC-* sheets, which is where the CSV is published.</t>
  </si>
  <si>
    <t>· Column Z check = sum of the final 3 values − target total. All should be 0.</t>
  </si>
  <si>
    <t>· The gray cells (share~residual for 2039–2050) are unused. That period simply copies the 2038 allocation flat, so it is flat per file too.</t>
  </si>
  <si>
    <t>Year</t>
  </si>
  <si>
    <t>Period</t>
  </si>
  <si>
    <t>Raw data — Dissemination stats actuals</t>
  </si>
  <si>
    <t>Cumulative (A)</t>
  </si>
  <si>
    <t>Utility/business use (B)</t>
  </si>
  <si>
    <t>Self-consumption = A−B</t>
  </si>
  <si>
    <t>Raw data — 11th Basic Plan</t>
  </si>
  <si>
    <t>Self-consumption</t>
  </si>
  <si>
    <t>Target total</t>
  </si>
  <si>
    <t>Pre-revision values (share source)</t>
  </si>
  <si>
    <t>Total S</t>
  </si>
  <si>
    <t>Share</t>
  </si>
  <si>
    <t>Allocation = Total × Share</t>
  </si>
  <si>
    <t>Rounded</t>
  </si>
  <si>
    <t>Residual</t>
  </si>
  <si>
    <t>Total</t>
  </si>
  <si>
    <t>Final published value</t>
  </si>
  <si>
    <t>Check</t>
  </si>
  <si>
    <t>Sum−T</t>
  </si>
  <si>
    <t>Unused</t>
  </si>
  <si>
    <t>Actual</t>
  </si>
  <si>
    <t>Plan</t>
  </si>
  <si>
    <t>Fixed</t>
  </si>
  <si>
    <t>2026-09-15 partner round 3 file adopted (260915): distributed (self-consumption) solar PV pathway replaced - KEA/KOSIS actuals 2021-24 (cumulative minus utility/business use: 2.86 -&gt; 4.62 GW), 11th Basic Plan self-consumption 2025-38 (4.85 -&gt; 12.21 GW), flat after 2038; split across urban/rural/commercial by the pre-revision shares (tab 260915_분산태양광 -&gt; Calculations rows 18/38/59 -&gt; BDESC-* tabs). Replaces the EIA-AEO-growth path that reached only 5.9 GW in 2038. Provisional: the plan's 2038 self-use figure is a target, not a projection with a documented growth driver. Solar-only change; other sources unchanged. MDSC caps (17-100 GW) do not bind.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</si>
</sst>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 #,##0.00_-;_-* &quot;-&quot;??_-;_-@_-"/>
    <numFmt numFmtId="165" formatCode="0.0%"/>
    <numFmt numFmtId="166" formatCode="0.000E+00"/>
    <numFmt numFmtId="167" formatCode="_(* #,##0_);_(* \(#,##0\);_(* &quot;-&quot;??_);_(@_)"/>
    <numFmt numFmtId="168" formatCode="0_);[Red]\(0\)"/>
    <numFmt numFmtId="169" formatCode="#,##0.###"/>
    <numFmt numFmtId="170" formatCode="#,##0.0"/>
    <numFmt numFmtId="171" formatCode="\+0;\-0;0"/>
    <numFmt numFmtId="172" formatCode="#,##0.000"/>
  </numFmts>
  <fonts count="24">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11"/>
      <color theme="1"/>
      <name val="Calibri"/>
      <family val="2"/>
      <scheme val="minor"/>
    </font>
    <font>
      <b/>
      <sz val="9"/>
      <color theme="1"/>
      <name val="Calibri"/>
      <family val="2"/>
      <scheme val="minor"/>
    </font>
    <font>
      <sz val="11"/>
      <color rgb="FFFF0000"/>
      <name val="Calibri"/>
      <family val="2"/>
      <scheme val="minor"/>
    </font>
    <font>
      <sz val="11"/>
      <color theme="0"/>
      <name val="Calibri"/>
      <family val="2"/>
      <scheme val="minor"/>
    </font>
    <font>
      <sz val="11"/>
      <color rgb="FF9C6500"/>
      <name val="Calibri"/>
      <family val="2"/>
      <scheme val="minor"/>
    </font>
    <font>
      <u/>
      <sz val="11"/>
      <color theme="10"/>
      <name val="Calibri"/>
      <family val="2"/>
      <scheme val="minor"/>
    </font>
    <font>
      <sz val="10"/>
      <color rgb="FF000000"/>
      <name val="Calibri"/>
      <family val="2"/>
      <scheme val="minor"/>
    </font>
    <font>
      <sz val="11"/>
      <color indexed="8"/>
      <name val="Calibri"/>
      <family val="2"/>
      <scheme val="minor"/>
    </font>
    <font>
      <sz val="11"/>
      <color rgb="FF000000"/>
      <name val="Calibri"/>
      <family val="2"/>
      <scheme val="minor"/>
    </font>
    <font>
      <sz val="8"/>
      <name val="Calibri"/>
      <family val="3"/>
      <charset val="129"/>
      <scheme val="minor"/>
    </font>
    <font>
      <sz val="11"/>
      <color rgb="FFFF0000"/>
      <name val="Calibri"/>
      <family val="3"/>
      <charset val="129"/>
      <scheme val="minor"/>
    </font>
    <font>
      <b/>
      <sz val="11"/>
      <color rgb="FFFF0000"/>
      <name val="Calibri"/>
      <family val="2"/>
      <scheme val="minor"/>
    </font>
    <font>
      <b/>
      <sz val="11"/>
      <color theme="1"/>
      <name val="Calibri"/>
      <family val="3"/>
      <charset val="129"/>
      <scheme val="minor"/>
    </font>
    <font>
      <b/>
      <sz val="14"/>
      <name val="맑은 고딕"/>
      <family val="3"/>
      <charset val="129"/>
    </font>
    <font>
      <sz val="9"/>
      <color rgb="FF808080"/>
      <name val="맑은 고딕"/>
      <family val="3"/>
      <charset val="129"/>
    </font>
    <font>
      <b/>
      <sz val="11"/>
      <name val="맑은 고딕"/>
      <family val="3"/>
      <charset val="129"/>
    </font>
    <font>
      <b/>
      <sz val="11"/>
      <color rgb="FFFFFFFF"/>
      <name val="맑은 고딕"/>
      <family val="3"/>
      <charset val="129"/>
    </font>
    <font>
      <sz val="9"/>
      <name val="맑은 고딕"/>
      <family val="3"/>
      <charset val="129"/>
    </font>
  </fonts>
  <fills count="21">
    <fill>
      <patternFill patternType="none"/>
    </fill>
    <fill>
      <patternFill patternType="gray125"/>
    </fill>
    <fill>
      <patternFill patternType="solid">
        <fgColor theme="0"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rgb="FFEDF2F9"/>
      </patternFill>
    </fill>
    <fill>
      <patternFill patternType="solid">
        <fgColor rgb="FFFFF2CC"/>
      </patternFill>
    </fill>
    <fill>
      <patternFill patternType="solid">
        <fgColor rgb="FF44546A"/>
      </patternFill>
    </fill>
    <fill>
      <patternFill patternType="solid">
        <fgColor rgb="FF8EA9DB"/>
      </patternFill>
    </fill>
    <fill>
      <patternFill patternType="solid">
        <fgColor rgb="FFE7E6E6"/>
      </patternFill>
    </fill>
    <fill>
      <patternFill patternType="solid">
        <fgColor rgb="FFC6EFCE"/>
      </patternFill>
    </fill>
  </fills>
  <borders count="9">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ck">
        <color theme="0"/>
      </left>
      <right style="thick">
        <color theme="0"/>
      </right>
      <top/>
      <bottom style="thin">
        <color theme="0" tint="-0.24994659260841701"/>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0">
    <xf numFmtId="0" fontId="0" fillId="0" borderId="0"/>
    <xf numFmtId="0" fontId="2" fillId="0" borderId="0"/>
    <xf numFmtId="0" fontId="3" fillId="0" borderId="1">
      <alignment wrapText="1"/>
    </xf>
    <xf numFmtId="0" fontId="5" fillId="0" borderId="0">
      <alignment horizontal="left"/>
    </xf>
    <xf numFmtId="0" fontId="3" fillId="0" borderId="2">
      <alignment wrapText="1"/>
    </xf>
    <xf numFmtId="0" fontId="2" fillId="0" borderId="3">
      <alignment wrapText="1"/>
    </xf>
    <xf numFmtId="0" fontId="2" fillId="0" borderId="4">
      <alignment wrapText="1"/>
    </xf>
    <xf numFmtId="0" fontId="2" fillId="0" borderId="0"/>
    <xf numFmtId="9" fontId="6" fillId="0" borderId="0"/>
    <xf numFmtId="0" fontId="7" fillId="0" borderId="5">
      <alignment horizontal="left" wrapText="1"/>
    </xf>
    <xf numFmtId="164" fontId="6" fillId="0" borderId="0"/>
    <xf numFmtId="0" fontId="10" fillId="3" borderId="0"/>
    <xf numFmtId="0" fontId="9" fillId="4" borderId="0"/>
    <xf numFmtId="0" fontId="9" fillId="5" borderId="0"/>
    <xf numFmtId="0" fontId="9" fillId="6" borderId="0"/>
    <xf numFmtId="0" fontId="9" fillId="7" borderId="0"/>
    <xf numFmtId="0" fontId="9" fillId="8" borderId="0"/>
    <xf numFmtId="0" fontId="9" fillId="9" borderId="0"/>
    <xf numFmtId="0" fontId="11" fillId="0" borderId="0"/>
    <xf numFmtId="0" fontId="12" fillId="0" borderId="0"/>
  </cellStyleXfs>
  <cellXfs count="73">
    <xf numFmtId="0" fontId="0" fillId="0" borderId="0" xfId="0"/>
    <xf numFmtId="0" fontId="1" fillId="0" borderId="0" xfId="0" applyFont="1"/>
    <xf numFmtId="0" fontId="0" fillId="0" borderId="0" xfId="0" applyAlignment="1">
      <alignment horizontal="left"/>
    </xf>
    <xf numFmtId="0" fontId="4" fillId="0" borderId="0" xfId="0" applyFont="1"/>
    <xf numFmtId="0" fontId="1" fillId="2" borderId="0" xfId="0" applyFont="1" applyFill="1"/>
    <xf numFmtId="165"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166" fontId="0" fillId="10" borderId="0" xfId="0" applyNumberFormat="1" applyFill="1"/>
    <xf numFmtId="10" fontId="0" fillId="0" borderId="0" xfId="0" applyNumberFormat="1"/>
    <xf numFmtId="0" fontId="11" fillId="0" borderId="0" xfId="18" applyAlignment="1">
      <alignment wrapText="1"/>
    </xf>
    <xf numFmtId="0" fontId="11" fillId="0" borderId="0" xfId="18"/>
    <xf numFmtId="11" fontId="0" fillId="0" borderId="0" xfId="0" applyNumberFormat="1"/>
    <xf numFmtId="0" fontId="13" fillId="0" borderId="0" xfId="0" applyFont="1"/>
    <xf numFmtId="0" fontId="14" fillId="0" borderId="0" xfId="0" applyFont="1" applyAlignment="1">
      <alignment vertical="center"/>
    </xf>
    <xf numFmtId="0" fontId="0" fillId="12" borderId="0" xfId="0" applyFill="1"/>
    <xf numFmtId="168" fontId="0" fillId="0" borderId="0" xfId="0" applyNumberFormat="1"/>
    <xf numFmtId="0" fontId="16" fillId="0" borderId="0" xfId="0" applyFont="1"/>
    <xf numFmtId="0" fontId="17" fillId="11" borderId="0" xfId="0" applyFont="1" applyFill="1"/>
    <xf numFmtId="0" fontId="17" fillId="0" borderId="0" xfId="0" applyFont="1"/>
    <xf numFmtId="0" fontId="0" fillId="0" borderId="0" xfId="0" applyAlignment="1">
      <alignment horizontal="right"/>
    </xf>
    <xf numFmtId="0" fontId="0" fillId="0" borderId="0" xfId="0" applyAlignment="1">
      <alignment vertical="center"/>
    </xf>
    <xf numFmtId="0" fontId="0" fillId="13" borderId="0" xfId="0" applyFill="1"/>
    <xf numFmtId="168" fontId="0" fillId="13" borderId="0" xfId="0" applyNumberFormat="1" applyFill="1"/>
    <xf numFmtId="0" fontId="4" fillId="13" borderId="0" xfId="0" applyFont="1" applyFill="1"/>
    <xf numFmtId="166" fontId="0" fillId="13" borderId="0" xfId="0" applyNumberFormat="1" applyFill="1"/>
    <xf numFmtId="0" fontId="8" fillId="13" borderId="0" xfId="0" applyFont="1" applyFill="1"/>
    <xf numFmtId="168" fontId="16" fillId="13" borderId="0" xfId="0" applyNumberFormat="1" applyFont="1" applyFill="1"/>
    <xf numFmtId="0" fontId="16" fillId="13" borderId="0" xfId="0" applyFont="1" applyFill="1"/>
    <xf numFmtId="0" fontId="18" fillId="0" borderId="0" xfId="0" applyFont="1" applyAlignment="1">
      <alignment horizontal="center" vertical="center" wrapText="1"/>
    </xf>
    <xf numFmtId="0" fontId="0" fillId="0" borderId="0" xfId="0" applyAlignment="1">
      <alignment horizontal="right" vertical="center" wrapText="1"/>
    </xf>
    <xf numFmtId="0" fontId="18" fillId="0" borderId="0" xfId="0" applyFont="1" applyAlignment="1">
      <alignment horizontal="right" vertical="center" wrapText="1"/>
    </xf>
    <xf numFmtId="0" fontId="18" fillId="0" borderId="0" xfId="0" applyFont="1" applyAlignment="1">
      <alignment vertical="center" wrapText="1"/>
    </xf>
    <xf numFmtId="10" fontId="0" fillId="0" borderId="0" xfId="8" applyNumberFormat="1" applyFont="1"/>
    <xf numFmtId="0" fontId="18" fillId="12" borderId="0" xfId="0" applyFont="1" applyFill="1" applyAlignment="1">
      <alignment horizontal="right" vertical="center" wrapText="1"/>
    </xf>
    <xf numFmtId="165" fontId="0" fillId="12" borderId="0" xfId="8" applyNumberFormat="1" applyFont="1" applyFill="1"/>
    <xf numFmtId="165" fontId="0" fillId="0" borderId="0" xfId="0" applyNumberFormat="1"/>
    <xf numFmtId="0" fontId="8" fillId="0" borderId="0" xfId="0" applyFont="1"/>
    <xf numFmtId="0" fontId="0" fillId="14" borderId="0" xfId="0" applyFill="1"/>
    <xf numFmtId="165" fontId="0" fillId="14" borderId="0" xfId="8" applyNumberFormat="1" applyFont="1" applyFill="1"/>
    <xf numFmtId="165" fontId="0" fillId="12" borderId="0" xfId="0" applyNumberFormat="1" applyFill="1"/>
    <xf numFmtId="3" fontId="0" fillId="13" borderId="0" xfId="0" applyNumberFormat="1" applyFill="1"/>
    <xf numFmtId="0" fontId="19" fillId="0" borderId="0" xfId="0" applyFont="1"/>
    <xf numFmtId="0" fontId="20" fillId="0" borderId="0" xfId="0" applyFont="1"/>
    <xf numFmtId="0" fontId="21" fillId="15" borderId="6" xfId="0" applyFont="1" applyFill="1" applyBorder="1" applyAlignment="1">
      <alignment vertical="top" wrapText="1"/>
    </xf>
    <xf numFmtId="0" fontId="22" fillId="17" borderId="6" xfId="0" applyFont="1" applyFill="1" applyBorder="1" applyAlignment="1">
      <alignment horizontal="center" vertical="center" wrapText="1"/>
    </xf>
    <xf numFmtId="0" fontId="21" fillId="18" borderId="6" xfId="0" applyFont="1" applyFill="1" applyBorder="1" applyAlignment="1">
      <alignment horizontal="center"/>
    </xf>
    <xf numFmtId="0" fontId="21" fillId="0" borderId="6" xfId="0" applyFont="1" applyBorder="1" applyAlignment="1">
      <alignment horizontal="center"/>
    </xf>
    <xf numFmtId="0" fontId="0" fillId="19" borderId="6" xfId="0" applyFill="1" applyBorder="1"/>
    <xf numFmtId="0" fontId="0" fillId="0" borderId="6" xfId="0" applyBorder="1"/>
    <xf numFmtId="169" fontId="21" fillId="0" borderId="6" xfId="0" applyNumberFormat="1" applyFont="1" applyBorder="1"/>
    <xf numFmtId="3" fontId="0" fillId="0" borderId="6" xfId="0" applyNumberFormat="1" applyBorder="1"/>
    <xf numFmtId="165" fontId="0" fillId="0" borderId="6" xfId="0" applyNumberFormat="1" applyBorder="1"/>
    <xf numFmtId="170" fontId="0" fillId="0" borderId="6" xfId="0" applyNumberFormat="1" applyBorder="1"/>
    <xf numFmtId="171" fontId="0" fillId="0" borderId="6" xfId="0" applyNumberFormat="1" applyBorder="1"/>
    <xf numFmtId="3" fontId="21" fillId="15" borderId="6" xfId="0" applyNumberFormat="1" applyFont="1" applyFill="1" applyBorder="1"/>
    <xf numFmtId="1" fontId="0" fillId="20" borderId="6" xfId="0" applyNumberFormat="1" applyFill="1" applyBorder="1"/>
    <xf numFmtId="0" fontId="0" fillId="15" borderId="6" xfId="0" applyFill="1" applyBorder="1"/>
    <xf numFmtId="172" fontId="0" fillId="0" borderId="6" xfId="0" applyNumberFormat="1" applyBorder="1"/>
    <xf numFmtId="0" fontId="0" fillId="16" borderId="6" xfId="0" applyFill="1" applyBorder="1"/>
    <xf numFmtId="165" fontId="0" fillId="19" borderId="6" xfId="0" applyNumberFormat="1" applyFill="1" applyBorder="1"/>
    <xf numFmtId="170" fontId="0" fillId="19" borderId="6" xfId="0" applyNumberFormat="1" applyFill="1" applyBorder="1"/>
    <xf numFmtId="3" fontId="0" fillId="19" borderId="6" xfId="0" applyNumberFormat="1" applyFill="1" applyBorder="1"/>
    <xf numFmtId="171" fontId="0" fillId="19" borderId="6" xfId="0" applyNumberFormat="1" applyFill="1" applyBorder="1"/>
    <xf numFmtId="0" fontId="23" fillId="0" borderId="0" xfId="0" applyFont="1" applyAlignment="1">
      <alignment vertical="top" wrapText="1"/>
    </xf>
    <xf numFmtId="0" fontId="0" fillId="0" borderId="0" xfId="0"/>
    <xf numFmtId="0" fontId="22" fillId="17" borderId="6" xfId="0" applyFont="1" applyFill="1" applyBorder="1" applyAlignment="1">
      <alignment horizontal="center" vertical="center" wrapText="1"/>
    </xf>
    <xf numFmtId="0" fontId="0" fillId="0" borderId="7" xfId="0" applyBorder="1"/>
    <xf numFmtId="0" fontId="0" fillId="0" borderId="8" xfId="0" applyBorder="1"/>
    <xf numFmtId="0" fontId="0" fillId="0" borderId="6" xfId="0" applyBorder="1" applyAlignment="1">
      <alignment vertical="top" wrapText="1"/>
    </xf>
  </cellXfs>
  <cellStyles count="20">
    <cellStyle name="60% - Accent1 2" xfId="12" xr:uid="{00000000-0005-0000-0000-00002E000000}"/>
    <cellStyle name="60% - Accent2 2" xfId="13" xr:uid="{00000000-0005-0000-0000-00002F000000}"/>
    <cellStyle name="60% - Accent3 2" xfId="14" xr:uid="{00000000-0005-0000-0000-000030000000}"/>
    <cellStyle name="60% - Accent4 2" xfId="15" xr:uid="{00000000-0005-0000-0000-000031000000}"/>
    <cellStyle name="60% - Accent5 2" xfId="16" xr:uid="{00000000-0005-0000-0000-000032000000}"/>
    <cellStyle name="60% - Accent6 2" xfId="17" xr:uid="{00000000-0005-0000-0000-000033000000}"/>
    <cellStyle name="Body: normal cell" xfId="5" xr:uid="{00000000-0005-0000-0000-000005000000}"/>
    <cellStyle name="Comma" xfId="10" builtinId="3"/>
    <cellStyle name="Font: Calibri, 9pt regular" xfId="1" xr:uid="{00000000-0005-0000-0000-000001000000}"/>
    <cellStyle name="Footnotes: top row" xfId="6" xr:uid="{00000000-0005-0000-0000-000006000000}"/>
    <cellStyle name="Header: bottom row" xfId="2" xr:uid="{00000000-0005-0000-0000-000002000000}"/>
    <cellStyle name="Header: top rows" xfId="9" xr:uid="{00000000-0005-0000-0000-000009000000}"/>
    <cellStyle name="Hyperlink" xfId="18" builtinId="8"/>
    <cellStyle name="Neutral 2" xfId="11" xr:uid="{00000000-0005-0000-0000-00002D000000}"/>
    <cellStyle name="Normal" xfId="0" builtinId="0"/>
    <cellStyle name="Normal 2" xfId="7" xr:uid="{00000000-0005-0000-0000-000007000000}"/>
    <cellStyle name="Normal 3" xfId="19" xr:uid="{00000000-0005-0000-0000-000035000000}"/>
    <cellStyle name="Parent row" xfId="4" xr:uid="{00000000-0005-0000-0000-000004000000}"/>
    <cellStyle name="Percent" xfId="8" builtinId="5"/>
    <cellStyle name="Table title"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None</a:t>
            </a:r>
          </a:p>
        </c:rich>
      </c:tx>
      <c:overlay val="0"/>
      <c:spPr>
        <a:noFill/>
        <a:ln>
          <a:noFill/>
          <a:prstDash val="solid"/>
        </a:ln>
      </c:spPr>
    </c:title>
    <c:autoTitleDeleted val="0"/>
    <c:plotArea>
      <c:layout/>
      <c:scatterChart>
        <c:scatterStyle val="smoothMarker"/>
        <c:varyColors val="0"/>
        <c:ser>
          <c:idx val="0"/>
          <c:order val="0"/>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E83E-4041-B1C5-22C561AF6547}"/>
            </c:ext>
          </c:extLst>
        </c:ser>
        <c:ser>
          <c:idx val="1"/>
          <c:order val="1"/>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0.18691815753258309</c:v>
                </c:pt>
                <c:pt idx="15">
                  <c:v>0.93459078766291603</c:v>
                </c:pt>
                <c:pt idx="16">
                  <c:v>2.4299360479235812</c:v>
                </c:pt>
                <c:pt idx="17">
                  <c:v>5.420626568444912</c:v>
                </c:pt>
                <c:pt idx="18">
                  <c:v>10.84125313688982</c:v>
                </c:pt>
                <c:pt idx="19">
                  <c:v>21.49558811624706</c:v>
                </c:pt>
                <c:pt idx="20">
                  <c:v>40.561240184570551</c:v>
                </c:pt>
                <c:pt idx="21">
                  <c:v>76.262608273293935</c:v>
                </c:pt>
                <c:pt idx="22">
                  <c:v>141.12320893710029</c:v>
                </c:pt>
                <c:pt idx="23">
                  <c:v>205.9838096009066</c:v>
                </c:pt>
                <c:pt idx="24">
                  <c:v>271.21824657977822</c:v>
                </c:pt>
                <c:pt idx="25">
                  <c:v>336.45268355864971</c:v>
                </c:pt>
                <c:pt idx="26">
                  <c:v>401.68712053752131</c:v>
                </c:pt>
                <c:pt idx="27">
                  <c:v>467.10847567392528</c:v>
                </c:pt>
                <c:pt idx="28">
                  <c:v>532.71674896786203</c:v>
                </c:pt>
                <c:pt idx="29">
                  <c:v>598.32502226179861</c:v>
                </c:pt>
                <c:pt idx="30">
                  <c:v>664.12021371326807</c:v>
                </c:pt>
                <c:pt idx="31">
                  <c:v>729.72848700720465</c:v>
                </c:pt>
              </c:numCache>
            </c:numRef>
          </c:yVal>
          <c:smooth val="1"/>
          <c:extLst>
            <c:ext xmlns:c16="http://schemas.microsoft.com/office/drawing/2014/chart" uri="{C3380CC4-5D6E-409C-BE32-E72D297353CC}">
              <c16:uniqueId val="{00000001-E83E-4041-B1C5-22C561AF6547}"/>
            </c:ext>
          </c:extLst>
        </c:ser>
        <c:ser>
          <c:idx val="2"/>
          <c:order val="2"/>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E83E-4041-B1C5-22C561AF6547}"/>
            </c:ext>
          </c:extLst>
        </c:ser>
        <c:ser>
          <c:idx val="3"/>
          <c:order val="3"/>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E83E-4041-B1C5-22C561AF6547}"/>
            </c:ext>
          </c:extLst>
        </c:ser>
        <c:ser>
          <c:idx val="4"/>
          <c:order val="4"/>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3466.5841495992868</c:v>
                </c:pt>
                <c:pt idx="2">
                  <c:v>3466.5841495992868</c:v>
                </c:pt>
                <c:pt idx="3">
                  <c:v>3466.5841495992868</c:v>
                </c:pt>
                <c:pt idx="4">
                  <c:v>3466.5841495992868</c:v>
                </c:pt>
                <c:pt idx="5">
                  <c:v>3466.5841495992868</c:v>
                </c:pt>
                <c:pt idx="6">
                  <c:v>3466.5841495992868</c:v>
                </c:pt>
                <c:pt idx="7">
                  <c:v>3466.5841495992868</c:v>
                </c:pt>
                <c:pt idx="8">
                  <c:v>3466.5841495992868</c:v>
                </c:pt>
                <c:pt idx="9">
                  <c:v>3466.5841495992868</c:v>
                </c:pt>
                <c:pt idx="10">
                  <c:v>3466.5841495992868</c:v>
                </c:pt>
                <c:pt idx="11">
                  <c:v>3466.5841495992868</c:v>
                </c:pt>
                <c:pt idx="12">
                  <c:v>3466.5841495992868</c:v>
                </c:pt>
                <c:pt idx="13">
                  <c:v>3466.5841495992868</c:v>
                </c:pt>
                <c:pt idx="14">
                  <c:v>3466.7710677568198</c:v>
                </c:pt>
                <c:pt idx="15">
                  <c:v>3467.1449040718849</c:v>
                </c:pt>
                <c:pt idx="16">
                  <c:v>3468.266413017081</c:v>
                </c:pt>
                <c:pt idx="17">
                  <c:v>3470.5094309074721</c:v>
                </c:pt>
                <c:pt idx="18">
                  <c:v>3474.434712215656</c:v>
                </c:pt>
                <c:pt idx="19">
                  <c:v>3482.2852748320252</c:v>
                </c:pt>
                <c:pt idx="20">
                  <c:v>3496.3041366469679</c:v>
                </c:pt>
                <c:pt idx="21">
                  <c:v>3522.6595968590632</c:v>
                </c:pt>
                <c:pt idx="22">
                  <c:v>3570.323727029871</c:v>
                </c:pt>
                <c:pt idx="23">
                  <c:v>3617.9878572006801</c:v>
                </c:pt>
                <c:pt idx="24">
                  <c:v>3665.8389055290208</c:v>
                </c:pt>
                <c:pt idx="25">
                  <c:v>3713.689953857363</c:v>
                </c:pt>
                <c:pt idx="26">
                  <c:v>3761.7279203432358</c:v>
                </c:pt>
                <c:pt idx="27">
                  <c:v>3809.578968671578</c:v>
                </c:pt>
                <c:pt idx="28">
                  <c:v>3857.6169351574508</c:v>
                </c:pt>
                <c:pt idx="29">
                  <c:v>3905.841819800859</c:v>
                </c:pt>
                <c:pt idx="30">
                  <c:v>3953.8797862867318</c:v>
                </c:pt>
                <c:pt idx="31">
                  <c:v>4001.9177527726051</c:v>
                </c:pt>
              </c:numCache>
            </c:numRef>
          </c:yVal>
          <c:smooth val="1"/>
          <c:extLst>
            <c:ext xmlns:c16="http://schemas.microsoft.com/office/drawing/2014/chart" uri="{C3380CC4-5D6E-409C-BE32-E72D297353CC}">
              <c16:uniqueId val="{00000004-E83E-4041-B1C5-22C561AF6547}"/>
            </c:ext>
          </c:extLst>
        </c:ser>
        <c:ser>
          <c:idx val="5"/>
          <c:order val="5"/>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5067266.576782967</c:v>
                </c:pt>
                <c:pt idx="2">
                  <c:v>6274537.3110175673</c:v>
                </c:pt>
                <c:pt idx="3">
                  <c:v>6976475.1801991425</c:v>
                </c:pt>
                <c:pt idx="4">
                  <c:v>7678381.4602120938</c:v>
                </c:pt>
                <c:pt idx="5">
                  <c:v>8211140.826519873</c:v>
                </c:pt>
                <c:pt idx="6">
                  <c:v>8717432.7686391957</c:v>
                </c:pt>
                <c:pt idx="7">
                  <c:v>9220364.2961224001</c:v>
                </c:pt>
                <c:pt idx="8">
                  <c:v>9726455.3012223747</c:v>
                </c:pt>
                <c:pt idx="9">
                  <c:v>10253668.618878011</c:v>
                </c:pt>
                <c:pt idx="10">
                  <c:v>10799933.38282199</c:v>
                </c:pt>
                <c:pt idx="11">
                  <c:v>11351032.59799239</c:v>
                </c:pt>
                <c:pt idx="12">
                  <c:v>11928031.566906819</c:v>
                </c:pt>
                <c:pt idx="13">
                  <c:v>12522975.987371489</c:v>
                </c:pt>
                <c:pt idx="14">
                  <c:v>13168064.194284789</c:v>
                </c:pt>
                <c:pt idx="15">
                  <c:v>13856440.77730106</c:v>
                </c:pt>
                <c:pt idx="16">
                  <c:v>14542076.392455271</c:v>
                </c:pt>
                <c:pt idx="17">
                  <c:v>15231391.30462236</c:v>
                </c:pt>
                <c:pt idx="18">
                  <c:v>15976628.204241879</c:v>
                </c:pt>
                <c:pt idx="19">
                  <c:v>16717822.06411398</c:v>
                </c:pt>
                <c:pt idx="20">
                  <c:v>17494974.49145956</c:v>
                </c:pt>
                <c:pt idx="21">
                  <c:v>18334848.428074151</c:v>
                </c:pt>
                <c:pt idx="22">
                  <c:v>19196765.24917024</c:v>
                </c:pt>
                <c:pt idx="23">
                  <c:v>20132632.314012788</c:v>
                </c:pt>
                <c:pt idx="24">
                  <c:v>21113687.404193319</c:v>
                </c:pt>
                <c:pt idx="25">
                  <c:v>22108643.784667689</c:v>
                </c:pt>
                <c:pt idx="26">
                  <c:v>23166872.148385011</c:v>
                </c:pt>
                <c:pt idx="27">
                  <c:v>24259898.130899381</c:v>
                </c:pt>
                <c:pt idx="28">
                  <c:v>25409064.421274189</c:v>
                </c:pt>
                <c:pt idx="29">
                  <c:v>26614275.317412779</c:v>
                </c:pt>
                <c:pt idx="30">
                  <c:v>27876463.354003079</c:v>
                </c:pt>
                <c:pt idx="31">
                  <c:v>29166770.797458109</c:v>
                </c:pt>
              </c:numCache>
            </c:numRef>
          </c:yVal>
          <c:smooth val="1"/>
          <c:extLst>
            <c:ext xmlns:c16="http://schemas.microsoft.com/office/drawing/2014/chart" uri="{C3380CC4-5D6E-409C-BE32-E72D297353CC}">
              <c16:uniqueId val="{00000005-E83E-4041-B1C5-22C561AF6547}"/>
            </c:ext>
          </c:extLst>
        </c:ser>
        <c:ser>
          <c:idx val="6"/>
          <c:order val="6"/>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E83E-4041-B1C5-22C561AF6547}"/>
            </c:ext>
          </c:extLst>
        </c:ser>
        <c:ser>
          <c:idx val="7"/>
          <c:order val="7"/>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E83E-4041-B1C5-22C561AF6547}"/>
            </c:ext>
          </c:extLst>
        </c:ser>
        <c:ser>
          <c:idx val="8"/>
          <c:order val="8"/>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E83E-4041-B1C5-22C561AF6547}"/>
            </c:ext>
          </c:extLst>
        </c:ser>
        <c:ser>
          <c:idx val="9"/>
          <c:order val="9"/>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E83E-4041-B1C5-22C561AF6547}"/>
            </c:ext>
          </c:extLst>
        </c:ser>
        <c:ser>
          <c:idx val="10"/>
          <c:order val="10"/>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E83E-4041-B1C5-22C561AF6547}"/>
            </c:ext>
          </c:extLst>
        </c:ser>
        <c:ser>
          <c:idx val="11"/>
          <c:order val="11"/>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E83E-4041-B1C5-22C561AF6547}"/>
            </c:ext>
          </c:extLst>
        </c:ser>
        <c:ser>
          <c:idx val="12"/>
          <c:order val="12"/>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E83E-4041-B1C5-22C561AF6547}"/>
            </c:ext>
          </c:extLst>
        </c:ser>
        <c:ser>
          <c:idx val="13"/>
          <c:order val="13"/>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E83E-4041-B1C5-22C561AF6547}"/>
            </c:ext>
          </c:extLst>
        </c:ser>
        <c:ser>
          <c:idx val="14"/>
          <c:order val="14"/>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E83E-4041-B1C5-22C561AF6547}"/>
            </c:ext>
          </c:extLst>
        </c:ser>
        <c:ser>
          <c:idx val="15"/>
          <c:order val="15"/>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Calculations!#REF!</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Calculations!#REF!</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E83E-4041-B1C5-22C561AF6547}"/>
            </c:ext>
          </c:extLst>
        </c:ser>
        <c:dLbls>
          <c:showLegendKey val="0"/>
          <c:showVal val="0"/>
          <c:showCatName val="0"/>
          <c:showSerName val="0"/>
          <c:showPercent val="0"/>
          <c:showBubbleSize val="0"/>
        </c:dLbls>
        <c:axId val="1761941952"/>
        <c:axId val="1767688240"/>
      </c:scatterChart>
      <c:valAx>
        <c:axId val="17619419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88240"/>
        <c:crosses val="autoZero"/>
        <c:crossBetween val="midCat"/>
      </c:valAx>
      <c:valAx>
        <c:axId val="17676882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1941952"/>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None</a:t>
            </a:r>
          </a:p>
        </c:rich>
      </c:tx>
      <c:overlay val="0"/>
      <c:spPr>
        <a:noFill/>
        <a:ln>
          <a:noFill/>
          <a:prstDash val="solid"/>
        </a:ln>
      </c:spPr>
    </c:title>
    <c:autoTitleDeleted val="0"/>
    <c:plotArea>
      <c:layout/>
      <c:scatterChart>
        <c:scatterStyle val="smoothMarker"/>
        <c:varyColors val="0"/>
        <c:ser>
          <c:idx val="0"/>
          <c:order val="0"/>
          <c:tx>
            <c:strRef>
              <c:f>Calculations!$B$13</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Calculations!$C$13:$AG$13</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0-FA2A-4D20-B0EC-155AA5278BFD}"/>
            </c:ext>
          </c:extLst>
        </c:ser>
        <c:ser>
          <c:idx val="1"/>
          <c:order val="1"/>
          <c:tx>
            <c:strRef>
              <c:f>Calculations!$B$14</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Calculations!$C$14:$AG$14</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1-FA2A-4D20-B0EC-155AA5278BFD}"/>
            </c:ext>
          </c:extLst>
        </c:ser>
        <c:ser>
          <c:idx val="2"/>
          <c:order val="2"/>
          <c:tx>
            <c:strRef>
              <c:f>Calculations!$B$15</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Calculations!$C$15:$AG$15</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2-FA2A-4D20-B0EC-155AA5278BFD}"/>
            </c:ext>
          </c:extLst>
        </c:ser>
        <c:ser>
          <c:idx val="3"/>
          <c:order val="3"/>
          <c:tx>
            <c:strRef>
              <c:f>Calculations!$B$16</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Calculations!$C$16:$AG$16</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3-FA2A-4D20-B0EC-155AA5278BFD}"/>
            </c:ext>
          </c:extLst>
        </c:ser>
        <c:ser>
          <c:idx val="4"/>
          <c:order val="4"/>
          <c:tx>
            <c:strRef>
              <c:f>Calculations!$B$17</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Calculations!$C$17:$AG$17</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4-FA2A-4D20-B0EC-155AA5278BFD}"/>
            </c:ext>
          </c:extLst>
        </c:ser>
        <c:ser>
          <c:idx val="5"/>
          <c:order val="5"/>
          <c:tx>
            <c:strRef>
              <c:f>Calculations!$B$18</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Calculations!$C$18:$AG$18</c:f>
              <c:numCache>
                <c:formatCode>#,##0</c:formatCode>
                <c:ptCount val="31"/>
                <c:pt idx="0">
                  <c:v>1377</c:v>
                </c:pt>
                <c:pt idx="1">
                  <c:v>1633</c:v>
                </c:pt>
                <c:pt idx="2">
                  <c:v>1894</c:v>
                </c:pt>
                <c:pt idx="3">
                  <c:v>2197</c:v>
                </c:pt>
                <c:pt idx="4">
                  <c:v>2663</c:v>
                </c:pt>
                <c:pt idx="5">
                  <c:v>2823</c:v>
                </c:pt>
                <c:pt idx="6">
                  <c:v>3138</c:v>
                </c:pt>
                <c:pt idx="7">
                  <c:v>3447</c:v>
                </c:pt>
                <c:pt idx="8">
                  <c:v>3764</c:v>
                </c:pt>
                <c:pt idx="9">
                  <c:v>4092</c:v>
                </c:pt>
                <c:pt idx="10">
                  <c:v>4427</c:v>
                </c:pt>
                <c:pt idx="11">
                  <c:v>4765</c:v>
                </c:pt>
                <c:pt idx="12">
                  <c:v>5111</c:v>
                </c:pt>
                <c:pt idx="13">
                  <c:v>5466</c:v>
                </c:pt>
                <c:pt idx="14">
                  <c:v>5830</c:v>
                </c:pt>
                <c:pt idx="15">
                  <c:v>6203</c:v>
                </c:pt>
                <c:pt idx="16">
                  <c:v>6585</c:v>
                </c:pt>
                <c:pt idx="17">
                  <c:v>6862</c:v>
                </c:pt>
                <c:pt idx="18">
                  <c:v>7134</c:v>
                </c:pt>
                <c:pt idx="19">
                  <c:v>7134</c:v>
                </c:pt>
                <c:pt idx="20">
                  <c:v>7134</c:v>
                </c:pt>
                <c:pt idx="21">
                  <c:v>7134</c:v>
                </c:pt>
                <c:pt idx="22">
                  <c:v>7134</c:v>
                </c:pt>
                <c:pt idx="23">
                  <c:v>7134</c:v>
                </c:pt>
                <c:pt idx="24">
                  <c:v>7134</c:v>
                </c:pt>
                <c:pt idx="25">
                  <c:v>7134</c:v>
                </c:pt>
                <c:pt idx="26">
                  <c:v>7134</c:v>
                </c:pt>
                <c:pt idx="27">
                  <c:v>7134</c:v>
                </c:pt>
                <c:pt idx="28">
                  <c:v>7134</c:v>
                </c:pt>
                <c:pt idx="29">
                  <c:v>7134</c:v>
                </c:pt>
                <c:pt idx="30">
                  <c:v>7134</c:v>
                </c:pt>
              </c:numCache>
            </c:numRef>
          </c:yVal>
          <c:smooth val="1"/>
          <c:extLst>
            <c:ext xmlns:c16="http://schemas.microsoft.com/office/drawing/2014/chart" uri="{C3380CC4-5D6E-409C-BE32-E72D297353CC}">
              <c16:uniqueId val="{00000005-FA2A-4D20-B0EC-155AA5278BFD}"/>
            </c:ext>
          </c:extLst>
        </c:ser>
        <c:ser>
          <c:idx val="6"/>
          <c:order val="6"/>
          <c:tx>
            <c:strRef>
              <c:f>Calculations!$B$19</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Calculations!$C$19:$AG$19</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6-FA2A-4D20-B0EC-155AA5278BFD}"/>
            </c:ext>
          </c:extLst>
        </c:ser>
        <c:ser>
          <c:idx val="7"/>
          <c:order val="7"/>
          <c:tx>
            <c:strRef>
              <c:f>Calculations!$B$20</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Calculations!$C$20:$AG$20</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7-FA2A-4D20-B0EC-155AA5278BFD}"/>
            </c:ext>
          </c:extLst>
        </c:ser>
        <c:ser>
          <c:idx val="8"/>
          <c:order val="8"/>
          <c:tx>
            <c:strRef>
              <c:f>Calculations!$B$21</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Calculations!$C$21:$AG$21</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8-FA2A-4D20-B0EC-155AA5278BFD}"/>
            </c:ext>
          </c:extLst>
        </c:ser>
        <c:ser>
          <c:idx val="9"/>
          <c:order val="9"/>
          <c:tx>
            <c:strRef>
              <c:f>Calculations!$B$22</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Calculations!$C$22:$AG$22</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9-FA2A-4D20-B0EC-155AA5278BFD}"/>
            </c:ext>
          </c:extLst>
        </c:ser>
        <c:ser>
          <c:idx val="10"/>
          <c:order val="10"/>
          <c:tx>
            <c:strRef>
              <c:f>Calculations!$B$23</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Calculations!$C$23:$AG$23</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A-FA2A-4D20-B0EC-155AA5278BFD}"/>
            </c:ext>
          </c:extLst>
        </c:ser>
        <c:ser>
          <c:idx val="11"/>
          <c:order val="11"/>
          <c:tx>
            <c:strRef>
              <c:f>Calculations!$B$24</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Calculations!$C$24:$AG$24</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B-FA2A-4D20-B0EC-155AA5278BFD}"/>
            </c:ext>
          </c:extLst>
        </c:ser>
        <c:ser>
          <c:idx val="12"/>
          <c:order val="12"/>
          <c:tx>
            <c:strRef>
              <c:f>Calculations!$B$25</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Calculations!$C$25:$AG$25</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C-FA2A-4D20-B0EC-155AA5278BFD}"/>
            </c:ext>
          </c:extLst>
        </c:ser>
        <c:ser>
          <c:idx val="13"/>
          <c:order val="13"/>
          <c:tx>
            <c:strRef>
              <c:f>Calculations!$B$26</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Calculations!$C$26:$AG$26</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D-FA2A-4D20-B0EC-155AA5278BFD}"/>
            </c:ext>
          </c:extLst>
        </c:ser>
        <c:ser>
          <c:idx val="14"/>
          <c:order val="14"/>
          <c:tx>
            <c:strRef>
              <c:f>Calculations!$B$27</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Calculations!$C$27:$AG$27</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E-FA2A-4D20-B0EC-155AA5278BFD}"/>
            </c:ext>
          </c:extLst>
        </c:ser>
        <c:ser>
          <c:idx val="15"/>
          <c:order val="15"/>
          <c:tx>
            <c:strRef>
              <c:f>Calculations!$B$28</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Calculations!$C$12:$AG$12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Calculations!$C$28:$AG$28</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F-FA2A-4D20-B0EC-155AA5278BFD}"/>
            </c:ext>
          </c:extLst>
        </c:ser>
        <c:dLbls>
          <c:showLegendKey val="0"/>
          <c:showVal val="0"/>
          <c:showCatName val="0"/>
          <c:showSerName val="0"/>
          <c:showPercent val="0"/>
          <c:showBubbleSize val="0"/>
        </c:dLbls>
        <c:axId val="1967449808"/>
        <c:axId val="1767680336"/>
      </c:scatterChart>
      <c:valAx>
        <c:axId val="196744980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80336"/>
        <c:crosses val="autoZero"/>
        <c:crossBetween val="midCat"/>
      </c:valAx>
      <c:valAx>
        <c:axId val="1767680336"/>
        <c:scaling>
          <c:orientation val="minMax"/>
        </c:scaling>
        <c:delete val="0"/>
        <c:axPos val="l"/>
        <c:majorGridlines>
          <c:spPr>
            <a:ln w="9525" cap="flat" cmpd="sng" algn="ctr">
              <a:solidFill>
                <a:schemeClr val="tx1">
                  <a:lumMod val="15000"/>
                  <a:lumOff val="85000"/>
                </a:schemeClr>
              </a:solidFill>
              <a:prstDash val="solid"/>
              <a:round/>
            </a:ln>
          </c:spPr>
        </c:majorGridlines>
        <c:numFmt formatCode="0_);[Red]\(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67449808"/>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None</a:t>
            </a:r>
          </a:p>
        </c:rich>
      </c:tx>
      <c:overlay val="0"/>
      <c:spPr>
        <a:noFill/>
        <a:ln>
          <a:noFill/>
          <a:prstDash val="solid"/>
        </a:ln>
      </c:spPr>
    </c:title>
    <c:autoTitleDeleted val="0"/>
    <c:plotArea>
      <c:layout/>
      <c:scatterChart>
        <c:scatterStyle val="smoothMarker"/>
        <c:varyColors val="0"/>
        <c:ser>
          <c:idx val="0"/>
          <c:order val="0"/>
          <c:tx>
            <c:strRef>
              <c:f>Calculations!$B$33</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Calculations!$C$33:$AG$33</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0-0F24-4BA4-9001-CDA1340FD7A0}"/>
            </c:ext>
          </c:extLst>
        </c:ser>
        <c:ser>
          <c:idx val="1"/>
          <c:order val="1"/>
          <c:tx>
            <c:strRef>
              <c:f>Calculations!$B$34</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Calculations!$C$34:$AG$34</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1-0F24-4BA4-9001-CDA1340FD7A0}"/>
            </c:ext>
          </c:extLst>
        </c:ser>
        <c:ser>
          <c:idx val="2"/>
          <c:order val="2"/>
          <c:tx>
            <c:strRef>
              <c:f>Calculations!$B$35</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Calculations!$C$35:$AG$35</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2-0F24-4BA4-9001-CDA1340FD7A0}"/>
            </c:ext>
          </c:extLst>
        </c:ser>
        <c:ser>
          <c:idx val="3"/>
          <c:order val="3"/>
          <c:tx>
            <c:strRef>
              <c:f>Calculations!$B$36</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Calculations!$C$36:$AG$36</c:f>
              <c:numCache>
                <c:formatCode>0_);[Red]\(0\)</c:formatCode>
                <c:ptCount val="31"/>
                <c:pt idx="0">
                  <c:v>0.09</c:v>
                </c:pt>
                <c:pt idx="1">
                  <c:v>0.09</c:v>
                </c:pt>
                <c:pt idx="2">
                  <c:v>0.09</c:v>
                </c:pt>
                <c:pt idx="3">
                  <c:v>0.09</c:v>
                </c:pt>
                <c:pt idx="4">
                  <c:v>9.922263943047599E-2</c:v>
                </c:pt>
                <c:pt idx="5">
                  <c:v>0.10939035750611388</c:v>
                </c:pt>
                <c:pt idx="6">
                  <c:v>0.1206</c:v>
                </c:pt>
                <c:pt idx="7">
                  <c:v>0.12983423832483468</c:v>
                </c:pt>
                <c:pt idx="8">
                  <c:v>0.13977553433988366</c:v>
                </c:pt>
                <c:pt idx="9">
                  <c:v>0.15047802684465644</c:v>
                </c:pt>
                <c:pt idx="10">
                  <c:v>0.16199999999999995</c:v>
                </c:pt>
                <c:pt idx="11">
                  <c:v>0.17134431007764503</c:v>
                </c:pt>
                <c:pt idx="12">
                  <c:v>0.18122760861718626</c:v>
                </c:pt>
                <c:pt idx="13">
                  <c:v>0.19168098497242755</c:v>
                </c:pt>
                <c:pt idx="14">
                  <c:v>0.20273732175990156</c:v>
                </c:pt>
                <c:pt idx="15">
                  <c:v>0.21443139829592514</c:v>
                </c:pt>
                <c:pt idx="16">
                  <c:v>0.22680000000000006</c:v>
                </c:pt>
                <c:pt idx="17">
                  <c:v>0.22680000000000006</c:v>
                </c:pt>
                <c:pt idx="18">
                  <c:v>0.22680000000000006</c:v>
                </c:pt>
                <c:pt idx="19">
                  <c:v>0.22680000000000006</c:v>
                </c:pt>
                <c:pt idx="20">
                  <c:v>0.22680000000000006</c:v>
                </c:pt>
                <c:pt idx="21">
                  <c:v>0.22680000000000006</c:v>
                </c:pt>
                <c:pt idx="22">
                  <c:v>0.22680000000000006</c:v>
                </c:pt>
                <c:pt idx="23">
                  <c:v>0.22680000000000006</c:v>
                </c:pt>
                <c:pt idx="24">
                  <c:v>0.22680000000000006</c:v>
                </c:pt>
                <c:pt idx="25">
                  <c:v>0.22680000000000006</c:v>
                </c:pt>
                <c:pt idx="26">
                  <c:v>0.22680000000000006</c:v>
                </c:pt>
                <c:pt idx="27">
                  <c:v>0.22680000000000006</c:v>
                </c:pt>
                <c:pt idx="28">
                  <c:v>0.22680000000000006</c:v>
                </c:pt>
                <c:pt idx="29">
                  <c:v>0.22680000000000006</c:v>
                </c:pt>
                <c:pt idx="30">
                  <c:v>0.22680000000000006</c:v>
                </c:pt>
              </c:numCache>
            </c:numRef>
          </c:yVal>
          <c:smooth val="1"/>
          <c:extLst>
            <c:ext xmlns:c16="http://schemas.microsoft.com/office/drawing/2014/chart" uri="{C3380CC4-5D6E-409C-BE32-E72D297353CC}">
              <c16:uniqueId val="{00000003-0F24-4BA4-9001-CDA1340FD7A0}"/>
            </c:ext>
          </c:extLst>
        </c:ser>
        <c:ser>
          <c:idx val="4"/>
          <c:order val="4"/>
          <c:tx>
            <c:strRef>
              <c:f>Calculations!$B$37</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Calculations!$C$37:$AG$37</c:f>
              <c:numCache>
                <c:formatCode>0_);[Red]\(0\)</c:formatCode>
                <c:ptCount val="31"/>
                <c:pt idx="0">
                  <c:v>8.4780999999999995</c:v>
                </c:pt>
                <c:pt idx="1">
                  <c:v>8.4780999999999995</c:v>
                </c:pt>
                <c:pt idx="2">
                  <c:v>8.4780999999999995</c:v>
                </c:pt>
                <c:pt idx="3">
                  <c:v>8.4780999999999995</c:v>
                </c:pt>
                <c:pt idx="4">
                  <c:v>9.3468828817279821</c:v>
                </c:pt>
                <c:pt idx="5">
                  <c:v>10.304693221917599</c:v>
                </c:pt>
                <c:pt idx="6">
                  <c:v>11.360653999999998</c:v>
                </c:pt>
                <c:pt idx="7">
                  <c:v>12.23052951046423</c:v>
                </c:pt>
                <c:pt idx="8">
                  <c:v>13.167010640966305</c:v>
                </c:pt>
                <c:pt idx="9">
                  <c:v>14.17519732657424</c:v>
                </c:pt>
                <c:pt idx="10">
                  <c:v>15.260579999999994</c:v>
                </c:pt>
                <c:pt idx="11">
                  <c:v>16.140824391880912</c:v>
                </c:pt>
                <c:pt idx="12">
                  <c:v>17.071842095748519</c:v>
                </c:pt>
                <c:pt idx="13">
                  <c:v>18.056561763274864</c:v>
                </c:pt>
                <c:pt idx="14">
                  <c:v>19.098080973473568</c:v>
                </c:pt>
                <c:pt idx="15">
                  <c:v>20.199675976585361</c:v>
                </c:pt>
                <c:pt idx="16">
                  <c:v>21.364812000000001</c:v>
                </c:pt>
                <c:pt idx="17">
                  <c:v>21.364812000000001</c:v>
                </c:pt>
                <c:pt idx="18">
                  <c:v>21.364812000000001</c:v>
                </c:pt>
                <c:pt idx="19">
                  <c:v>21.364812000000001</c:v>
                </c:pt>
                <c:pt idx="20">
                  <c:v>21.364812000000001</c:v>
                </c:pt>
                <c:pt idx="21">
                  <c:v>21.364812000000001</c:v>
                </c:pt>
                <c:pt idx="22">
                  <c:v>21.364812000000001</c:v>
                </c:pt>
                <c:pt idx="23">
                  <c:v>21.364812000000001</c:v>
                </c:pt>
                <c:pt idx="24">
                  <c:v>21.364812000000001</c:v>
                </c:pt>
                <c:pt idx="25">
                  <c:v>21.364812000000001</c:v>
                </c:pt>
                <c:pt idx="26">
                  <c:v>21.364812000000001</c:v>
                </c:pt>
                <c:pt idx="27">
                  <c:v>21.364812000000001</c:v>
                </c:pt>
                <c:pt idx="28">
                  <c:v>21.364812000000001</c:v>
                </c:pt>
                <c:pt idx="29">
                  <c:v>21.364812000000001</c:v>
                </c:pt>
                <c:pt idx="30">
                  <c:v>21.364812000000001</c:v>
                </c:pt>
              </c:numCache>
            </c:numRef>
          </c:yVal>
          <c:smooth val="1"/>
          <c:extLst>
            <c:ext xmlns:c16="http://schemas.microsoft.com/office/drawing/2014/chart" uri="{C3380CC4-5D6E-409C-BE32-E72D297353CC}">
              <c16:uniqueId val="{00000004-0F24-4BA4-9001-CDA1340FD7A0}"/>
            </c:ext>
          </c:extLst>
        </c:ser>
        <c:ser>
          <c:idx val="5"/>
          <c:order val="5"/>
          <c:tx>
            <c:strRef>
              <c:f>Calculations!$B$38</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Calculations!$C$38:$AG$38</c:f>
              <c:numCache>
                <c:formatCode>#,##0</c:formatCode>
                <c:ptCount val="31"/>
                <c:pt idx="0">
                  <c:v>241</c:v>
                </c:pt>
                <c:pt idx="1">
                  <c:v>286</c:v>
                </c:pt>
                <c:pt idx="2">
                  <c:v>332</c:v>
                </c:pt>
                <c:pt idx="3">
                  <c:v>384</c:v>
                </c:pt>
                <c:pt idx="4">
                  <c:v>465</c:v>
                </c:pt>
                <c:pt idx="5">
                  <c:v>494</c:v>
                </c:pt>
                <c:pt idx="6">
                  <c:v>549</c:v>
                </c:pt>
                <c:pt idx="7">
                  <c:v>602</c:v>
                </c:pt>
                <c:pt idx="8">
                  <c:v>659</c:v>
                </c:pt>
                <c:pt idx="9">
                  <c:v>715</c:v>
                </c:pt>
                <c:pt idx="10">
                  <c:v>774</c:v>
                </c:pt>
                <c:pt idx="11">
                  <c:v>833</c:v>
                </c:pt>
                <c:pt idx="12">
                  <c:v>894</c:v>
                </c:pt>
                <c:pt idx="13">
                  <c:v>956</c:v>
                </c:pt>
                <c:pt idx="14">
                  <c:v>1019</c:v>
                </c:pt>
                <c:pt idx="15">
                  <c:v>1086</c:v>
                </c:pt>
                <c:pt idx="16">
                  <c:v>1152</c:v>
                </c:pt>
                <c:pt idx="17">
                  <c:v>1201</c:v>
                </c:pt>
                <c:pt idx="18">
                  <c:v>1248</c:v>
                </c:pt>
                <c:pt idx="19">
                  <c:v>1248</c:v>
                </c:pt>
                <c:pt idx="20">
                  <c:v>1248</c:v>
                </c:pt>
                <c:pt idx="21">
                  <c:v>1248</c:v>
                </c:pt>
                <c:pt idx="22">
                  <c:v>1248</c:v>
                </c:pt>
                <c:pt idx="23">
                  <c:v>1248</c:v>
                </c:pt>
                <c:pt idx="24">
                  <c:v>1248</c:v>
                </c:pt>
                <c:pt idx="25">
                  <c:v>1248</c:v>
                </c:pt>
                <c:pt idx="26">
                  <c:v>1248</c:v>
                </c:pt>
                <c:pt idx="27">
                  <c:v>1248</c:v>
                </c:pt>
                <c:pt idx="28">
                  <c:v>1248</c:v>
                </c:pt>
                <c:pt idx="29">
                  <c:v>1248</c:v>
                </c:pt>
                <c:pt idx="30">
                  <c:v>1248</c:v>
                </c:pt>
              </c:numCache>
            </c:numRef>
          </c:yVal>
          <c:smooth val="1"/>
          <c:extLst>
            <c:ext xmlns:c16="http://schemas.microsoft.com/office/drawing/2014/chart" uri="{C3380CC4-5D6E-409C-BE32-E72D297353CC}">
              <c16:uniqueId val="{00000005-0F24-4BA4-9001-CDA1340FD7A0}"/>
            </c:ext>
          </c:extLst>
        </c:ser>
        <c:ser>
          <c:idx val="6"/>
          <c:order val="6"/>
          <c:tx>
            <c:strRef>
              <c:f>Calculations!$B$39</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Calculations!$C$39:$AG$39</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6-0F24-4BA4-9001-CDA1340FD7A0}"/>
            </c:ext>
          </c:extLst>
        </c:ser>
        <c:ser>
          <c:idx val="7"/>
          <c:order val="7"/>
          <c:tx>
            <c:strRef>
              <c:f>Calculations!$B$40</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Calculations!$C$40:$AG$40</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7-0F24-4BA4-9001-CDA1340FD7A0}"/>
            </c:ext>
          </c:extLst>
        </c:ser>
        <c:ser>
          <c:idx val="8"/>
          <c:order val="8"/>
          <c:tx>
            <c:strRef>
              <c:f>Calculations!$B$41</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Calculations!$C$41:$AG$41</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8-0F24-4BA4-9001-CDA1340FD7A0}"/>
            </c:ext>
          </c:extLst>
        </c:ser>
        <c:ser>
          <c:idx val="9"/>
          <c:order val="9"/>
          <c:tx>
            <c:strRef>
              <c:f>Calculations!$B$42</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Calculations!$C$42:$AG$42</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9-0F24-4BA4-9001-CDA1340FD7A0}"/>
            </c:ext>
          </c:extLst>
        </c:ser>
        <c:ser>
          <c:idx val="10"/>
          <c:order val="10"/>
          <c:tx>
            <c:strRef>
              <c:f>Calculations!$B$43</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Calculations!$C$43:$AG$43</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A-0F24-4BA4-9001-CDA1340FD7A0}"/>
            </c:ext>
          </c:extLst>
        </c:ser>
        <c:ser>
          <c:idx val="11"/>
          <c:order val="11"/>
          <c:tx>
            <c:strRef>
              <c:f>Calculations!$B$44</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Calculations!$C$44:$AG$44</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B-0F24-4BA4-9001-CDA1340FD7A0}"/>
            </c:ext>
          </c:extLst>
        </c:ser>
        <c:ser>
          <c:idx val="12"/>
          <c:order val="12"/>
          <c:tx>
            <c:strRef>
              <c:f>Calculations!$B$45</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Calculations!$C$45:$AG$45</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C-0F24-4BA4-9001-CDA1340FD7A0}"/>
            </c:ext>
          </c:extLst>
        </c:ser>
        <c:ser>
          <c:idx val="13"/>
          <c:order val="13"/>
          <c:tx>
            <c:strRef>
              <c:f>Calculations!$B$46</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Calculations!$C$46:$AG$46</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D-0F24-4BA4-9001-CDA1340FD7A0}"/>
            </c:ext>
          </c:extLst>
        </c:ser>
        <c:ser>
          <c:idx val="14"/>
          <c:order val="14"/>
          <c:tx>
            <c:strRef>
              <c:f>Calculations!$B$47</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Calculations!$C$47:$AG$47</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E-0F24-4BA4-9001-CDA1340FD7A0}"/>
            </c:ext>
          </c:extLst>
        </c:ser>
        <c:ser>
          <c:idx val="15"/>
          <c:order val="15"/>
          <c:tx>
            <c:strRef>
              <c:f>Calculations!$B$48</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Calculations!$C$32:$AG$32</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Calculations!$C$48:$AG$48</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F-0F24-4BA4-9001-CDA1340FD7A0}"/>
            </c:ext>
          </c:extLst>
        </c:ser>
        <c:dLbls>
          <c:showLegendKey val="0"/>
          <c:showVal val="0"/>
          <c:showCatName val="0"/>
          <c:showSerName val="0"/>
          <c:showPercent val="0"/>
          <c:showBubbleSize val="0"/>
        </c:dLbls>
        <c:axId val="1967455808"/>
        <c:axId val="1767700720"/>
      </c:scatterChart>
      <c:valAx>
        <c:axId val="196745580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700720"/>
        <c:crosses val="autoZero"/>
        <c:crossBetween val="midCat"/>
      </c:valAx>
      <c:valAx>
        <c:axId val="17677007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_);[Red]\(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67455808"/>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t>None</a:t>
            </a:r>
          </a:p>
        </c:rich>
      </c:tx>
      <c:overlay val="0"/>
      <c:spPr>
        <a:noFill/>
        <a:ln>
          <a:noFill/>
          <a:prstDash val="solid"/>
        </a:ln>
      </c:spPr>
    </c:title>
    <c:autoTitleDeleted val="0"/>
    <c:plotArea>
      <c:layout/>
      <c:scatterChart>
        <c:scatterStyle val="smoothMarker"/>
        <c:varyColors val="0"/>
        <c:ser>
          <c:idx val="0"/>
          <c:order val="0"/>
          <c:tx>
            <c:strRef>
              <c:f>Calculations!$B$54</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Calculations!$C$54:$AG$54</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0-7494-42C0-B71C-E7211CDD3275}"/>
            </c:ext>
          </c:extLst>
        </c:ser>
        <c:ser>
          <c:idx val="1"/>
          <c:order val="1"/>
          <c:tx>
            <c:strRef>
              <c:f>Calculations!$B$55</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Calculations!$C$55:$AG$55</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1-7494-42C0-B71C-E7211CDD3275}"/>
            </c:ext>
          </c:extLst>
        </c:ser>
        <c:ser>
          <c:idx val="2"/>
          <c:order val="2"/>
          <c:tx>
            <c:strRef>
              <c:f>Calculations!$B$56</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Calculations!$C$56:$AG$56</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2-7494-42C0-B71C-E7211CDD3275}"/>
            </c:ext>
          </c:extLst>
        </c:ser>
        <c:ser>
          <c:idx val="3"/>
          <c:order val="3"/>
          <c:tx>
            <c:strRef>
              <c:f>Calculations!$B$57</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Calculations!$C$57:$AG$57</c:f>
              <c:numCache>
                <c:formatCode>0_);[Red]\(0\)</c:formatCode>
                <c:ptCount val="31"/>
                <c:pt idx="0">
                  <c:v>1.4237500000000001</c:v>
                </c:pt>
                <c:pt idx="1">
                  <c:v>1.4237500000000001</c:v>
                </c:pt>
                <c:pt idx="2">
                  <c:v>1.4237500000000001</c:v>
                </c:pt>
                <c:pt idx="3">
                  <c:v>1.4237500000000001</c:v>
                </c:pt>
                <c:pt idx="4">
                  <c:v>1.5240187107018845</c:v>
                </c:pt>
                <c:pt idx="5">
                  <c:v>1.6313489240171621</c:v>
                </c:pt>
                <c:pt idx="6">
                  <c:v>1.7462379518072288</c:v>
                </c:pt>
                <c:pt idx="7">
                  <c:v>1.8598773354549423</c:v>
                </c:pt>
                <c:pt idx="8">
                  <c:v>1.9809119939003814</c:v>
                </c:pt>
                <c:pt idx="9">
                  <c:v>2.1098231871396709</c:v>
                </c:pt>
                <c:pt idx="10">
                  <c:v>2.2471234939759031</c:v>
                </c:pt>
                <c:pt idx="11">
                  <c:v>2.3609278130498867</c:v>
                </c:pt>
                <c:pt idx="12">
                  <c:v>2.480495688543717</c:v>
                </c:pt>
                <c:pt idx="13">
                  <c:v>2.6061190125654883</c:v>
                </c:pt>
                <c:pt idx="14">
                  <c:v>2.7381044599367037</c:v>
                </c:pt>
                <c:pt idx="15">
                  <c:v>2.8767742368545699</c:v>
                </c:pt>
                <c:pt idx="16">
                  <c:v>3.0224668674698787</c:v>
                </c:pt>
                <c:pt idx="17">
                  <c:v>3.1755380203006873</c:v>
                </c:pt>
                <c:pt idx="18">
                  <c:v>3.336361376499259</c:v>
                </c:pt>
                <c:pt idx="19">
                  <c:v>3.5053295420919013</c:v>
                </c:pt>
                <c:pt idx="20">
                  <c:v>3.6828550064186811</c:v>
                </c:pt>
                <c:pt idx="21">
                  <c:v>3.869371149112788</c:v>
                </c:pt>
                <c:pt idx="22">
                  <c:v>4.0653332980778067</c:v>
                </c:pt>
                <c:pt idx="23">
                  <c:v>4.2712198410456574</c:v>
                </c:pt>
                <c:pt idx="24">
                  <c:v>4.4875333934287749</c:v>
                </c:pt>
                <c:pt idx="25">
                  <c:v>4.7148020253175043</c:v>
                </c:pt>
                <c:pt idx="26">
                  <c:v>4.9535805506181045</c:v>
                </c:pt>
                <c:pt idx="27">
                  <c:v>5.2044518814784224</c:v>
                </c:pt>
                <c:pt idx="28">
                  <c:v>5.4680284513077071</c:v>
                </c:pt>
                <c:pt idx="29">
                  <c:v>5.7449537098644656</c:v>
                </c:pt>
                <c:pt idx="30">
                  <c:v>6.0359036940622159</c:v>
                </c:pt>
              </c:numCache>
            </c:numRef>
          </c:yVal>
          <c:smooth val="1"/>
          <c:extLst>
            <c:ext xmlns:c16="http://schemas.microsoft.com/office/drawing/2014/chart" uri="{C3380CC4-5D6E-409C-BE32-E72D297353CC}">
              <c16:uniqueId val="{00000003-7494-42C0-B71C-E7211CDD3275}"/>
            </c:ext>
          </c:extLst>
        </c:ser>
        <c:ser>
          <c:idx val="4"/>
          <c:order val="4"/>
          <c:tx>
            <c:strRef>
              <c:f>Calculations!$B$58</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Calculations!$C$58:$AG$58</c:f>
              <c:numCache>
                <c:formatCode>0_);[Red]\(0\)</c:formatCode>
                <c:ptCount val="31"/>
                <c:pt idx="0">
                  <c:v>4.7723199999999997</c:v>
                </c:pt>
                <c:pt idx="1">
                  <c:v>4.7723199999999997</c:v>
                </c:pt>
                <c:pt idx="2">
                  <c:v>4.7723199999999997</c:v>
                </c:pt>
                <c:pt idx="3">
                  <c:v>4.7723199999999997</c:v>
                </c:pt>
                <c:pt idx="4">
                  <c:v>5.1084143799521105</c:v>
                </c:pt>
                <c:pt idx="5">
                  <c:v>5.4681784702831129</c:v>
                </c:pt>
                <c:pt idx="6">
                  <c:v>5.8532792289156612</c:v>
                </c:pt>
                <c:pt idx="7">
                  <c:v>6.2341912593772282</c:v>
                </c:pt>
                <c:pt idx="8">
                  <c:v>6.6398917834807136</c:v>
                </c:pt>
                <c:pt idx="9">
                  <c:v>7.0719939543110737</c:v>
                </c:pt>
                <c:pt idx="10">
                  <c:v>7.5322159036144543</c:v>
                </c:pt>
                <c:pt idx="11">
                  <c:v>7.9136807871987589</c:v>
                </c:pt>
                <c:pt idx="12">
                  <c:v>8.3144647475687083</c:v>
                </c:pt>
                <c:pt idx="13">
                  <c:v>8.7355461886191588</c:v>
                </c:pt>
                <c:pt idx="14">
                  <c:v>9.1779530649658483</c:v>
                </c:pt>
                <c:pt idx="15">
                  <c:v>9.6427653914140805</c:v>
                </c:pt>
                <c:pt idx="16">
                  <c:v>10.131117879518067</c:v>
                </c:pt>
                <c:pt idx="17">
                  <c:v>10.644202707667338</c:v>
                </c:pt>
                <c:pt idx="18">
                  <c:v>11.183272431462644</c:v>
                </c:pt>
                <c:pt idx="19">
                  <c:v>11.749643041486229</c:v>
                </c:pt>
                <c:pt idx="20">
                  <c:v>12.344697175931165</c:v>
                </c:pt>
                <c:pt idx="21">
                  <c:v>12.969887495932527</c:v>
                </c:pt>
                <c:pt idx="22">
                  <c:v>13.626740231840332</c:v>
                </c:pt>
                <c:pt idx="23">
                  <c:v>14.316858909091488</c:v>
                </c:pt>
                <c:pt idx="24">
                  <c:v>15.041928262776473</c:v>
                </c:pt>
                <c:pt idx="25">
                  <c:v>15.80371835045705</c:v>
                </c:pt>
                <c:pt idx="26">
                  <c:v>16.604088873275352</c:v>
                </c:pt>
                <c:pt idx="27">
                  <c:v>17.444993715903138</c:v>
                </c:pt>
                <c:pt idx="28">
                  <c:v>18.328485716414246</c:v>
                </c:pt>
                <c:pt idx="29">
                  <c:v>19.256721677724581</c:v>
                </c:pt>
                <c:pt idx="30">
                  <c:v>20.231967632833697</c:v>
                </c:pt>
              </c:numCache>
            </c:numRef>
          </c:yVal>
          <c:smooth val="1"/>
          <c:extLst>
            <c:ext xmlns:c16="http://schemas.microsoft.com/office/drawing/2014/chart" uri="{C3380CC4-5D6E-409C-BE32-E72D297353CC}">
              <c16:uniqueId val="{00000004-7494-42C0-B71C-E7211CDD3275}"/>
            </c:ext>
          </c:extLst>
        </c:ser>
        <c:ser>
          <c:idx val="5"/>
          <c:order val="5"/>
          <c:tx>
            <c:strRef>
              <c:f>Calculations!$B$59</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Calculations!$C$59:$AG$59</c:f>
              <c:numCache>
                <c:formatCode>#,##0</c:formatCode>
                <c:ptCount val="31"/>
                <c:pt idx="0">
                  <c:v>794</c:v>
                </c:pt>
                <c:pt idx="1">
                  <c:v>942</c:v>
                </c:pt>
                <c:pt idx="2">
                  <c:v>1092</c:v>
                </c:pt>
                <c:pt idx="3">
                  <c:v>1266</c:v>
                </c:pt>
                <c:pt idx="4">
                  <c:v>1492</c:v>
                </c:pt>
                <c:pt idx="5">
                  <c:v>1535</c:v>
                </c:pt>
                <c:pt idx="6">
                  <c:v>1657</c:v>
                </c:pt>
                <c:pt idx="7">
                  <c:v>1802</c:v>
                </c:pt>
                <c:pt idx="8">
                  <c:v>1946</c:v>
                </c:pt>
                <c:pt idx="9">
                  <c:v>2092</c:v>
                </c:pt>
                <c:pt idx="10">
                  <c:v>2240</c:v>
                </c:pt>
                <c:pt idx="11">
                  <c:v>2395</c:v>
                </c:pt>
                <c:pt idx="12">
                  <c:v>2551</c:v>
                </c:pt>
                <c:pt idx="13">
                  <c:v>2710</c:v>
                </c:pt>
                <c:pt idx="14">
                  <c:v>2873</c:v>
                </c:pt>
                <c:pt idx="15">
                  <c:v>3035</c:v>
                </c:pt>
                <c:pt idx="16">
                  <c:v>3202</c:v>
                </c:pt>
                <c:pt idx="17">
                  <c:v>3506</c:v>
                </c:pt>
                <c:pt idx="18">
                  <c:v>3829</c:v>
                </c:pt>
                <c:pt idx="19">
                  <c:v>3829</c:v>
                </c:pt>
                <c:pt idx="20">
                  <c:v>3829</c:v>
                </c:pt>
                <c:pt idx="21">
                  <c:v>3829</c:v>
                </c:pt>
                <c:pt idx="22">
                  <c:v>3829</c:v>
                </c:pt>
                <c:pt idx="23">
                  <c:v>3829</c:v>
                </c:pt>
                <c:pt idx="24">
                  <c:v>3829</c:v>
                </c:pt>
                <c:pt idx="25">
                  <c:v>3829</c:v>
                </c:pt>
                <c:pt idx="26">
                  <c:v>3829</c:v>
                </c:pt>
                <c:pt idx="27">
                  <c:v>3829</c:v>
                </c:pt>
                <c:pt idx="28">
                  <c:v>3829</c:v>
                </c:pt>
                <c:pt idx="29">
                  <c:v>3829</c:v>
                </c:pt>
                <c:pt idx="30">
                  <c:v>3829</c:v>
                </c:pt>
              </c:numCache>
            </c:numRef>
          </c:yVal>
          <c:smooth val="1"/>
          <c:extLst>
            <c:ext xmlns:c16="http://schemas.microsoft.com/office/drawing/2014/chart" uri="{C3380CC4-5D6E-409C-BE32-E72D297353CC}">
              <c16:uniqueId val="{00000005-7494-42C0-B71C-E7211CDD3275}"/>
            </c:ext>
          </c:extLst>
        </c:ser>
        <c:ser>
          <c:idx val="6"/>
          <c:order val="6"/>
          <c:tx>
            <c:strRef>
              <c:f>Calculations!$B$60</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Calculations!$C$60:$AG$60</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6-7494-42C0-B71C-E7211CDD3275}"/>
            </c:ext>
          </c:extLst>
        </c:ser>
        <c:ser>
          <c:idx val="7"/>
          <c:order val="7"/>
          <c:tx>
            <c:strRef>
              <c:f>Calculations!$B$61</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Calculations!$C$61:$AG$61</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7-7494-42C0-B71C-E7211CDD3275}"/>
            </c:ext>
          </c:extLst>
        </c:ser>
        <c:ser>
          <c:idx val="8"/>
          <c:order val="8"/>
          <c:tx>
            <c:strRef>
              <c:f>Calculations!$B$62</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Calculations!$C$62:$AG$62</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8-7494-42C0-B71C-E7211CDD3275}"/>
            </c:ext>
          </c:extLst>
        </c:ser>
        <c:ser>
          <c:idx val="9"/>
          <c:order val="9"/>
          <c:tx>
            <c:strRef>
              <c:f>Calculations!$B$63</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Calculations!$C$63:$AG$63</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9-7494-42C0-B71C-E7211CDD3275}"/>
            </c:ext>
          </c:extLst>
        </c:ser>
        <c:ser>
          <c:idx val="10"/>
          <c:order val="10"/>
          <c:tx>
            <c:strRef>
              <c:f>Calculations!$B$64</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Calculations!$C$64:$AG$64</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A-7494-42C0-B71C-E7211CDD3275}"/>
            </c:ext>
          </c:extLst>
        </c:ser>
        <c:ser>
          <c:idx val="11"/>
          <c:order val="11"/>
          <c:tx>
            <c:strRef>
              <c:f>Calculations!$B$65</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Calculations!$C$65:$AG$65</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B-7494-42C0-B71C-E7211CDD3275}"/>
            </c:ext>
          </c:extLst>
        </c:ser>
        <c:ser>
          <c:idx val="12"/>
          <c:order val="12"/>
          <c:tx>
            <c:strRef>
              <c:f>Calculations!$B$66</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Calculations!$C$66:$AG$66</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C-7494-42C0-B71C-E7211CDD3275}"/>
            </c:ext>
          </c:extLst>
        </c:ser>
        <c:ser>
          <c:idx val="13"/>
          <c:order val="13"/>
          <c:tx>
            <c:strRef>
              <c:f>Calculations!$B$67</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Calculations!$C$67:$AG$67</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D-7494-42C0-B71C-E7211CDD3275}"/>
            </c:ext>
          </c:extLst>
        </c:ser>
        <c:ser>
          <c:idx val="14"/>
          <c:order val="14"/>
          <c:tx>
            <c:strRef>
              <c:f>Calculations!$B$68</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Calculations!$C$68:$AG$68</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E-7494-42C0-B71C-E7211CDD3275}"/>
            </c:ext>
          </c:extLst>
        </c:ser>
        <c:ser>
          <c:idx val="15"/>
          <c:order val="15"/>
          <c:tx>
            <c:strRef>
              <c:f>Calculations!$B$69</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Calculations!$C$53:$AG$53</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Calculations!$C$69:$AG$69</c:f>
              <c:numCache>
                <c:formatCode>0_);[Red]\(0\)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1"/>
          <c:extLst>
            <c:ext xmlns:c16="http://schemas.microsoft.com/office/drawing/2014/chart" uri="{C3380CC4-5D6E-409C-BE32-E72D297353CC}">
              <c16:uniqueId val="{0000000F-7494-42C0-B71C-E7211CDD3275}"/>
            </c:ext>
          </c:extLst>
        </c:ser>
        <c:dLbls>
          <c:showLegendKey val="0"/>
          <c:showVal val="0"/>
          <c:showCatName val="0"/>
          <c:showSerName val="0"/>
          <c:showPercent val="0"/>
          <c:showBubbleSize val="0"/>
        </c:dLbls>
        <c:axId val="2035834720"/>
        <c:axId val="1767662448"/>
      </c:scatterChart>
      <c:valAx>
        <c:axId val="203583472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62448"/>
        <c:crosses val="autoZero"/>
        <c:crossBetween val="midCat"/>
      </c:valAx>
      <c:valAx>
        <c:axId val="17676624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_);[Red]\(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35834720"/>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524915</xdr:colOff>
      <xdr:row>52</xdr:row>
      <xdr:rowOff>163410</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419100"/>
          <a:ext cx="7449590" cy="10640910"/>
        </a:xfrm>
        <a:prstGeom prst="rect">
          <a:avLst/>
        </a:prstGeom>
        <a:ln>
          <a:prstDash val="solid"/>
        </a:ln>
      </xdr:spPr>
    </xdr:pic>
    <xdr:clientData/>
  </xdr:twoCellAnchor>
  <xdr:twoCellAnchor editAs="oneCell">
    <xdr:from>
      <xdr:col>11</xdr:col>
      <xdr:colOff>0</xdr:colOff>
      <xdr:row>2</xdr:row>
      <xdr:rowOff>0</xdr:rowOff>
    </xdr:from>
    <xdr:to>
      <xdr:col>21</xdr:col>
      <xdr:colOff>677327</xdr:colOff>
      <xdr:row>52</xdr:row>
      <xdr:rowOff>163410</xdr:rowOff>
    </xdr:to>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543800" y="419100"/>
          <a:ext cx="7535327" cy="10640910"/>
        </a:xfrm>
        <a:prstGeom prst="rect">
          <a:avLst/>
        </a:prstGeom>
        <a:ln>
          <a:prstDash val="solid"/>
        </a:ln>
      </xdr:spPr>
    </xdr:pic>
    <xdr:clientData/>
  </xdr:twoCellAnchor>
  <xdr:twoCellAnchor editAs="oneCell">
    <xdr:from>
      <xdr:col>23</xdr:col>
      <xdr:colOff>0</xdr:colOff>
      <xdr:row>2</xdr:row>
      <xdr:rowOff>0</xdr:rowOff>
    </xdr:from>
    <xdr:to>
      <xdr:col>34</xdr:col>
      <xdr:colOff>67737</xdr:colOff>
      <xdr:row>50</xdr:row>
      <xdr:rowOff>106194</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5773400" y="419100"/>
          <a:ext cx="7611537" cy="1016459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33</xdr:col>
      <xdr:colOff>280985</xdr:colOff>
      <xdr:row>9</xdr:row>
      <xdr:rowOff>0</xdr:rowOff>
    </xdr:from>
    <xdr:to>
      <xdr:col>46</xdr:col>
      <xdr:colOff>628648</xdr:colOff>
      <xdr:row>10</xdr:row>
      <xdr:rowOff>85725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119061</xdr:colOff>
      <xdr:row>10</xdr:row>
      <xdr:rowOff>109535</xdr:rowOff>
    </xdr:from>
    <xdr:to>
      <xdr:col>47</xdr:col>
      <xdr:colOff>57149</xdr:colOff>
      <xdr:row>30</xdr:row>
      <xdr:rowOff>133348</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100011</xdr:colOff>
      <xdr:row>31</xdr:row>
      <xdr:rowOff>128586</xdr:rowOff>
    </xdr:from>
    <xdr:to>
      <xdr:col>46</xdr:col>
      <xdr:colOff>457199</xdr:colOff>
      <xdr:row>47</xdr:row>
      <xdr:rowOff>133349</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30614</xdr:colOff>
      <xdr:row>50</xdr:row>
      <xdr:rowOff>189818</xdr:rowOff>
    </xdr:from>
    <xdr:to>
      <xdr:col>45</xdr:col>
      <xdr:colOff>102051</xdr:colOff>
      <xdr:row>69</xdr:row>
      <xdr:rowOff>40820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KNREC"/>
      <sheetName val="KOSIS"/>
      <sheetName val="Calculations"/>
      <sheetName val="SYDEC"/>
    </sheetNames>
    <sheetDataSet>
      <sheetData sheetId="0"/>
      <sheetData sheetId="1"/>
      <sheetData sheetId="2"/>
      <sheetData sheetId="3">
        <row r="4">
          <cell r="F4">
            <v>0</v>
          </cell>
          <cell r="G4">
            <v>0</v>
          </cell>
          <cell r="H4">
            <v>0</v>
          </cell>
        </row>
        <row r="5">
          <cell r="F5">
            <v>0</v>
          </cell>
          <cell r="G5">
            <v>0</v>
          </cell>
          <cell r="H5">
            <v>0</v>
          </cell>
        </row>
        <row r="6">
          <cell r="F6">
            <v>0</v>
          </cell>
          <cell r="G6">
            <v>0</v>
          </cell>
          <cell r="H6">
            <v>0</v>
          </cell>
        </row>
        <row r="7">
          <cell r="F7">
            <v>0</v>
          </cell>
          <cell r="G7">
            <v>0.09</v>
          </cell>
          <cell r="H7">
            <v>1.4237500000000001</v>
          </cell>
        </row>
        <row r="8">
          <cell r="F8">
            <v>0</v>
          </cell>
          <cell r="G8">
            <v>8.4780999999999995</v>
          </cell>
          <cell r="H8">
            <v>4.7723199999999997</v>
          </cell>
        </row>
        <row r="9">
          <cell r="F9">
            <v>1376.5727545176001</v>
          </cell>
          <cell r="G9">
            <v>240.72332048239997</v>
          </cell>
          <cell r="H9">
            <v>794.46575500000006</v>
          </cell>
        </row>
        <row r="10">
          <cell r="F10">
            <v>0</v>
          </cell>
          <cell r="G10">
            <v>0</v>
          </cell>
          <cell r="H10">
            <v>0</v>
          </cell>
        </row>
        <row r="11">
          <cell r="F11">
            <v>0</v>
          </cell>
          <cell r="G11">
            <v>0</v>
          </cell>
          <cell r="H11">
            <v>0</v>
          </cell>
        </row>
        <row r="12">
          <cell r="F12">
            <v>0</v>
          </cell>
          <cell r="G12">
            <v>0</v>
          </cell>
          <cell r="H12">
            <v>0</v>
          </cell>
        </row>
        <row r="13">
          <cell r="F13">
            <v>0</v>
          </cell>
          <cell r="G13">
            <v>0</v>
          </cell>
          <cell r="H13">
            <v>0</v>
          </cell>
        </row>
        <row r="14">
          <cell r="F14">
            <v>0</v>
          </cell>
          <cell r="G14">
            <v>0</v>
          </cell>
          <cell r="H14">
            <v>0</v>
          </cell>
        </row>
        <row r="15">
          <cell r="F15">
            <v>0</v>
          </cell>
          <cell r="G15">
            <v>0</v>
          </cell>
          <cell r="H15">
            <v>0</v>
          </cell>
        </row>
        <row r="16">
          <cell r="F16">
            <v>0</v>
          </cell>
          <cell r="G16">
            <v>0</v>
          </cell>
          <cell r="H16">
            <v>0</v>
          </cell>
        </row>
        <row r="17">
          <cell r="F17">
            <v>0</v>
          </cell>
          <cell r="G17">
            <v>0</v>
          </cell>
          <cell r="H17">
            <v>0</v>
          </cell>
        </row>
        <row r="18">
          <cell r="F18">
            <v>0</v>
          </cell>
          <cell r="G18">
            <v>0</v>
          </cell>
          <cell r="H18">
            <v>0</v>
          </cell>
        </row>
        <row r="19">
          <cell r="F19">
            <v>0</v>
          </cell>
          <cell r="G19">
            <v>0</v>
          </cell>
          <cell r="H19">
            <v>0</v>
          </cell>
        </row>
      </sheetData>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DAF25F-02FE-4A64-8BA5-25847EF264BF}">
  <we:reference id="11d7cf85-ae5a-43b8-bc58-1e1a151cce24" version="1.0.0.1" store="EXCatalog" storeType="EXCatalog"/>
  <we:alternateReferences>
    <we:reference id="WA200010725" version="1.0.0.1" store="ko-KR" storeType="OMEX"/>
  </we:alternateReferences>
  <we:properties>
    <we:property name="claude.fileId" value="&quot;47a635dc-cb19-4bfd-bee2-1c258d8b32d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outlooks/aeo/data/browser/" TargetMode="External"/><Relationship Id="rId1" Type="http://schemas.openxmlformats.org/officeDocument/2006/relationships/hyperlink" Target="https://www.eia.gov/outlooks/aeo/data/browser/" TargetMode="External"/><Relationship Id="rId4" Type="http://schemas.openxmlformats.org/officeDocument/2006/relationships/hyperlink" Target="https://www.eia.gov/consumption/residential/data/2020/hc/xls/HC%202.1.xlsx"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workbookViewId="0"/>
  </sheetViews>
  <sheetFormatPr defaultRowHeight="14.5"/>
  <cols>
    <col min="1" max="1" width="17.08984375" customWidth="1"/>
    <col min="2" max="2" width="51" customWidth="1"/>
    <col min="4" max="4" width="14.36328125" bestFit="1" customWidth="1"/>
    <col min="5" max="5" width="10.90625" bestFit="1" customWidth="1"/>
  </cols>
  <sheetData>
    <row r="1" spans="1:2">
      <c r="A1" s="1" t="s">
        <v>12</v>
      </c>
    </row>
    <row r="2" spans="1:2">
      <c r="A2" t="s">
        <v>117</v>
      </c>
    </row>
    <row r="3" spans="1:2">
      <c r="A3" s="1" t="s">
        <v>13</v>
      </c>
      <c r="B3" s="4" t="s">
        <v>14</v>
      </c>
    </row>
    <row r="4" spans="1:2">
      <c r="B4" t="s">
        <v>15</v>
      </c>
    </row>
    <row r="5" spans="1:2">
      <c r="B5" s="2">
        <v>2022</v>
      </c>
    </row>
    <row r="6" spans="1:2">
      <c r="B6" t="s">
        <v>16</v>
      </c>
    </row>
    <row r="7" spans="1:2" ht="33" customHeight="1">
      <c r="B7" s="13" t="s">
        <v>17</v>
      </c>
    </row>
    <row r="8" spans="1:2" ht="33" customHeight="1">
      <c r="B8" s="13" t="s">
        <v>18</v>
      </c>
    </row>
    <row r="9" spans="1:2">
      <c r="B9" t="s">
        <v>19</v>
      </c>
    </row>
    <row r="11" spans="1:2">
      <c r="B11" s="4" t="s">
        <v>20</v>
      </c>
    </row>
    <row r="12" spans="1:2">
      <c r="B12" t="s">
        <v>15</v>
      </c>
    </row>
    <row r="13" spans="1:2">
      <c r="B13" s="2">
        <v>2021</v>
      </c>
    </row>
    <row r="14" spans="1:2">
      <c r="B14" t="s">
        <v>21</v>
      </c>
    </row>
    <row r="15" spans="1:2" ht="66" customHeight="1">
      <c r="B15" s="13" t="s">
        <v>22</v>
      </c>
    </row>
    <row r="16" spans="1:2" ht="66" customHeight="1">
      <c r="B16" s="13" t="s">
        <v>23</v>
      </c>
    </row>
    <row r="17" spans="1:2">
      <c r="B17" t="s">
        <v>19</v>
      </c>
    </row>
    <row r="19" spans="1:2">
      <c r="B19" s="4" t="s">
        <v>24</v>
      </c>
    </row>
    <row r="20" spans="1:2">
      <c r="B20" t="s">
        <v>15</v>
      </c>
    </row>
    <row r="21" spans="1:2">
      <c r="B21" s="2">
        <v>2020</v>
      </c>
    </row>
    <row r="22" spans="1:2">
      <c r="B22" t="s">
        <v>25</v>
      </c>
    </row>
    <row r="23" spans="1:2">
      <c r="B23" s="14" t="s">
        <v>26</v>
      </c>
    </row>
    <row r="24" spans="1:2">
      <c r="B24" s="14" t="s">
        <v>27</v>
      </c>
    </row>
    <row r="25" spans="1:2">
      <c r="B25" t="s">
        <v>28</v>
      </c>
    </row>
    <row r="27" spans="1:2">
      <c r="A27" s="1" t="s">
        <v>29</v>
      </c>
    </row>
    <row r="28" spans="1:2">
      <c r="A28" t="s">
        <v>30</v>
      </c>
    </row>
    <row r="29" spans="1:2">
      <c r="A29" t="s">
        <v>31</v>
      </c>
    </row>
    <row r="31" spans="1:2">
      <c r="A31" s="1" t="s">
        <v>32</v>
      </c>
    </row>
    <row r="32" spans="1:2">
      <c r="A32" s="5" t="e">
        <f>#REF!/SUM(#REF!,#REF!)</f>
        <v>#REF!</v>
      </c>
      <c r="B32" t="s">
        <v>33</v>
      </c>
    </row>
    <row r="33" spans="1:6">
      <c r="A33" s="5" t="e">
        <f>#REF!/SUM(#REF!,#REF!)</f>
        <v>#REF!</v>
      </c>
      <c r="B33" t="s">
        <v>34</v>
      </c>
    </row>
    <row r="35" spans="1:6" ht="66" customHeight="1">
      <c r="A35" s="7" t="s">
        <v>35</v>
      </c>
      <c r="B35">
        <f>10^6</f>
        <v>1000000</v>
      </c>
      <c r="C35" s="8"/>
      <c r="D35" s="9"/>
      <c r="E35" s="10"/>
    </row>
    <row r="36" spans="1:6">
      <c r="A36" t="s">
        <v>36</v>
      </c>
      <c r="B36">
        <v>1000</v>
      </c>
      <c r="F36" s="10"/>
    </row>
  </sheetData>
  <phoneticPr fontId="15" type="noConversion"/>
  <hyperlinks>
    <hyperlink ref="B7" r:id="rId1" location="/?id=30-AEO2022&amp;sourcekey=0" xr:uid="{00000000-0004-0000-0000-000000000000}"/>
    <hyperlink ref="B8" r:id="rId2" location="/?id=32-AEO2022&amp;cases=ref2022&amp;sourcekey=0" xr:uid="{00000000-0004-0000-0000-000001000000}"/>
    <hyperlink ref="B23" r:id="rId3" xr:uid="{00000000-0004-0000-0000-000002000000}"/>
    <hyperlink ref="B24" r:id="rId4" xr:uid="{00000000-0004-0000-0000-00000300000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
  <sheetViews>
    <sheetView workbookViewId="0">
      <selection activeCell="D35" sqref="D35"/>
    </sheetView>
  </sheetViews>
  <sheetFormatPr defaultRowHeight="14.5"/>
  <cols>
    <col min="1" max="4" width="23.36328125" customWidth="1"/>
  </cols>
  <sheetData>
    <row r="1" spans="1:4">
      <c r="A1" t="s">
        <v>37</v>
      </c>
      <c r="B1" s="23" t="s">
        <v>38</v>
      </c>
      <c r="C1" s="23" t="s">
        <v>39</v>
      </c>
      <c r="D1" s="23" t="s">
        <v>7</v>
      </c>
    </row>
    <row r="2" spans="1:4">
      <c r="A2" s="18" t="s">
        <v>40</v>
      </c>
      <c r="B2" s="19">
        <v>0</v>
      </c>
      <c r="C2" s="19">
        <v>0</v>
      </c>
      <c r="D2" s="19">
        <v>0</v>
      </c>
    </row>
    <row r="3" spans="1:4">
      <c r="A3" s="24" t="s">
        <v>41</v>
      </c>
      <c r="B3" s="19">
        <v>0</v>
      </c>
      <c r="C3" s="19">
        <v>0</v>
      </c>
      <c r="D3" s="19">
        <v>0</v>
      </c>
    </row>
    <row r="4" spans="1:4">
      <c r="A4" s="24" t="s">
        <v>42</v>
      </c>
      <c r="B4" s="19">
        <v>0</v>
      </c>
      <c r="C4" s="19">
        <v>0</v>
      </c>
      <c r="D4" s="19">
        <v>0</v>
      </c>
    </row>
    <row r="5" spans="1:4">
      <c r="A5" s="18" t="s">
        <v>43</v>
      </c>
      <c r="B5" s="19">
        <v>0</v>
      </c>
      <c r="C5" s="19">
        <v>0</v>
      </c>
      <c r="D5" s="19">
        <v>0</v>
      </c>
    </row>
    <row r="6" spans="1:4" s="20" customFormat="1">
      <c r="A6" s="29" t="s">
        <v>44</v>
      </c>
      <c r="B6" s="30">
        <v>0</v>
      </c>
      <c r="C6" s="30">
        <v>0.09</v>
      </c>
      <c r="D6" s="30">
        <v>1.4237500000000001</v>
      </c>
    </row>
    <row r="7" spans="1:4" s="20" customFormat="1">
      <c r="A7" s="29" t="s">
        <v>45</v>
      </c>
      <c r="B7" s="30">
        <v>0</v>
      </c>
      <c r="C7" s="30">
        <v>8.4780999999999995</v>
      </c>
      <c r="D7" s="30">
        <v>4.7723199999999997</v>
      </c>
    </row>
    <row r="8" spans="1:4" s="20" customFormat="1">
      <c r="A8" s="29" t="s">
        <v>46</v>
      </c>
      <c r="B8" s="30">
        <v>1376.5727545176001</v>
      </c>
      <c r="C8" s="30">
        <v>240.7233204824</v>
      </c>
      <c r="D8" s="30">
        <v>794.46575500000006</v>
      </c>
    </row>
    <row r="9" spans="1:4">
      <c r="A9" s="18" t="s">
        <v>47</v>
      </c>
      <c r="B9" s="19">
        <v>0</v>
      </c>
      <c r="C9" s="19">
        <v>0</v>
      </c>
      <c r="D9" s="19">
        <v>0</v>
      </c>
    </row>
    <row r="10" spans="1:4">
      <c r="A10" s="18" t="s">
        <v>48</v>
      </c>
      <c r="B10" s="19">
        <v>0</v>
      </c>
      <c r="C10" s="19">
        <v>0</v>
      </c>
      <c r="D10" s="19">
        <v>0</v>
      </c>
    </row>
    <row r="11" spans="1:4">
      <c r="A11" s="18" t="s">
        <v>49</v>
      </c>
      <c r="B11" s="19">
        <v>0</v>
      </c>
      <c r="C11" s="19">
        <v>0</v>
      </c>
      <c r="D11" s="19">
        <v>0</v>
      </c>
    </row>
    <row r="12" spans="1:4">
      <c r="A12" s="18" t="s">
        <v>50</v>
      </c>
      <c r="B12" s="19">
        <v>0</v>
      </c>
      <c r="C12" s="19">
        <v>0</v>
      </c>
      <c r="D12" s="19">
        <v>0</v>
      </c>
    </row>
    <row r="13" spans="1:4">
      <c r="A13" s="18" t="s">
        <v>51</v>
      </c>
      <c r="B13" s="19">
        <v>0</v>
      </c>
      <c r="C13" s="19">
        <v>0</v>
      </c>
      <c r="D13" s="19">
        <v>0</v>
      </c>
    </row>
    <row r="14" spans="1:4">
      <c r="A14" s="18" t="s">
        <v>52</v>
      </c>
      <c r="B14" s="19">
        <v>0</v>
      </c>
      <c r="C14" s="19">
        <v>0</v>
      </c>
      <c r="D14" s="19">
        <v>0</v>
      </c>
    </row>
    <row r="15" spans="1:4">
      <c r="A15" s="18" t="s">
        <v>53</v>
      </c>
      <c r="B15" s="19">
        <v>0</v>
      </c>
      <c r="C15" s="19">
        <v>0</v>
      </c>
      <c r="D15" s="19">
        <v>0</v>
      </c>
    </row>
    <row r="16" spans="1:4">
      <c r="A16" s="18" t="s">
        <v>54</v>
      </c>
      <c r="B16" s="19">
        <v>0</v>
      </c>
      <c r="C16" s="19">
        <v>0</v>
      </c>
      <c r="D16" s="19">
        <v>0</v>
      </c>
    </row>
    <row r="17" spans="1:4">
      <c r="A17" s="18" t="s">
        <v>55</v>
      </c>
      <c r="B17" s="19">
        <v>0</v>
      </c>
      <c r="C17" s="19">
        <v>0</v>
      </c>
      <c r="D17" s="19">
        <v>0</v>
      </c>
    </row>
    <row r="18" spans="1:4">
      <c r="A18" s="18" t="s">
        <v>56</v>
      </c>
      <c r="B18" s="19">
        <v>0</v>
      </c>
      <c r="C18" s="19">
        <v>0</v>
      </c>
      <c r="D18" s="19">
        <v>0</v>
      </c>
    </row>
    <row r="19" spans="1:4">
      <c r="A19" s="24" t="s">
        <v>57</v>
      </c>
      <c r="B19" s="19">
        <v>0</v>
      </c>
      <c r="C19" s="19">
        <v>0</v>
      </c>
      <c r="D19" s="19">
        <v>0</v>
      </c>
    </row>
    <row r="20" spans="1:4">
      <c r="A20" s="24" t="s">
        <v>58</v>
      </c>
      <c r="B20" s="19">
        <v>0</v>
      </c>
      <c r="C20" s="19">
        <v>0</v>
      </c>
      <c r="D20" s="19">
        <v>0</v>
      </c>
    </row>
    <row r="21" spans="1:4">
      <c r="A21" s="24" t="s">
        <v>59</v>
      </c>
      <c r="B21" s="19">
        <v>0</v>
      </c>
      <c r="C21" s="19">
        <v>0</v>
      </c>
      <c r="D21" s="19">
        <v>0</v>
      </c>
    </row>
    <row r="22" spans="1:4">
      <c r="A22" s="24" t="s">
        <v>60</v>
      </c>
      <c r="B22" s="19">
        <v>0</v>
      </c>
      <c r="C22" s="19">
        <v>0</v>
      </c>
      <c r="D22" s="19">
        <v>0</v>
      </c>
    </row>
    <row r="23" spans="1:4">
      <c r="A23" s="24" t="s">
        <v>61</v>
      </c>
      <c r="B23" s="19">
        <v>0</v>
      </c>
      <c r="C23" s="19">
        <v>0</v>
      </c>
      <c r="D23" s="19">
        <v>0</v>
      </c>
    </row>
    <row r="24" spans="1:4">
      <c r="A24" s="24" t="s">
        <v>62</v>
      </c>
      <c r="B24" s="19">
        <v>0</v>
      </c>
      <c r="C24" s="19">
        <v>0</v>
      </c>
      <c r="D24" s="19">
        <v>0</v>
      </c>
    </row>
    <row r="25" spans="1:4">
      <c r="A25" s="24" t="s">
        <v>63</v>
      </c>
      <c r="B25" s="19">
        <v>0</v>
      </c>
      <c r="C25" s="19">
        <v>0</v>
      </c>
      <c r="D25" s="19">
        <v>0</v>
      </c>
    </row>
  </sheetData>
  <phoneticPr fontId="15"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workbookViewId="0">
      <selection activeCell="J18" sqref="J18"/>
    </sheetView>
  </sheetViews>
  <sheetFormatPr defaultRowHeight="14.5"/>
  <cols>
    <col min="1" max="4" width="23.36328125" customWidth="1"/>
  </cols>
  <sheetData>
    <row r="1" spans="1:4">
      <c r="A1" t="s">
        <v>64</v>
      </c>
      <c r="B1" s="23" t="s">
        <v>38</v>
      </c>
      <c r="C1" s="23" t="s">
        <v>39</v>
      </c>
      <c r="D1" s="23" t="s">
        <v>7</v>
      </c>
    </row>
    <row r="2" spans="1:4">
      <c r="A2" s="18" t="s">
        <v>40</v>
      </c>
      <c r="B2" s="19">
        <f>[1]Calculations!F4</f>
        <v>0</v>
      </c>
      <c r="C2" s="19">
        <f>[1]Calculations!G4</f>
        <v>0</v>
      </c>
      <c r="D2" s="19">
        <f>[1]Calculations!H4</f>
        <v>0</v>
      </c>
    </row>
    <row r="3" spans="1:4">
      <c r="A3" s="24" t="s">
        <v>41</v>
      </c>
      <c r="B3" s="19">
        <f>[1]Calculations!F5</f>
        <v>0</v>
      </c>
      <c r="C3" s="19">
        <f>[1]Calculations!G5</f>
        <v>0</v>
      </c>
      <c r="D3" s="19">
        <f>[1]Calculations!H5</f>
        <v>0</v>
      </c>
    </row>
    <row r="4" spans="1:4">
      <c r="A4" s="24" t="s">
        <v>42</v>
      </c>
      <c r="B4" s="19">
        <v>0</v>
      </c>
      <c r="C4" s="19">
        <v>0</v>
      </c>
      <c r="D4" s="19">
        <v>0</v>
      </c>
    </row>
    <row r="5" spans="1:4">
      <c r="A5" s="18" t="s">
        <v>43</v>
      </c>
      <c r="B5" s="19">
        <f>[1]Calculations!F6</f>
        <v>0</v>
      </c>
      <c r="C5" s="19">
        <f>[1]Calculations!G6</f>
        <v>0</v>
      </c>
      <c r="D5" s="19">
        <f>[1]Calculations!H6</f>
        <v>0</v>
      </c>
    </row>
    <row r="6" spans="1:4">
      <c r="A6" s="29" t="s">
        <v>44</v>
      </c>
      <c r="B6" s="30">
        <f>[1]Calculations!F7</f>
        <v>0</v>
      </c>
      <c r="C6" s="30">
        <f>[1]Calculations!G7</f>
        <v>0.09</v>
      </c>
      <c r="D6" s="30">
        <f>[1]Calculations!H7</f>
        <v>1.4237500000000001</v>
      </c>
    </row>
    <row r="7" spans="1:4">
      <c r="A7" s="31" t="s">
        <v>45</v>
      </c>
      <c r="B7" s="30">
        <f>[1]Calculations!F8</f>
        <v>0</v>
      </c>
      <c r="C7" s="30">
        <f>[1]Calculations!G8</f>
        <v>8.4780999999999995</v>
      </c>
      <c r="D7" s="30">
        <f>[1]Calculations!H8</f>
        <v>4.7723199999999997</v>
      </c>
    </row>
    <row r="8" spans="1:4">
      <c r="A8" s="31" t="s">
        <v>46</v>
      </c>
      <c r="B8" s="30">
        <f>[1]Calculations!F9</f>
        <v>1376.5727545176001</v>
      </c>
      <c r="C8" s="30">
        <f>[1]Calculations!G9</f>
        <v>240.72332048239997</v>
      </c>
      <c r="D8" s="30">
        <f>[1]Calculations!H9</f>
        <v>794.46575500000006</v>
      </c>
    </row>
    <row r="9" spans="1:4">
      <c r="A9" s="18" t="s">
        <v>47</v>
      </c>
      <c r="B9" s="19">
        <f>[1]Calculations!F10</f>
        <v>0</v>
      </c>
      <c r="C9" s="19">
        <f>[1]Calculations!G10</f>
        <v>0</v>
      </c>
      <c r="D9" s="19">
        <f>[1]Calculations!H10</f>
        <v>0</v>
      </c>
    </row>
    <row r="10" spans="1:4">
      <c r="A10" s="18" t="s">
        <v>48</v>
      </c>
      <c r="B10" s="19">
        <f>[1]Calculations!F11</f>
        <v>0</v>
      </c>
      <c r="C10" s="19">
        <f>[1]Calculations!G11</f>
        <v>0</v>
      </c>
      <c r="D10" s="19">
        <f>[1]Calculations!H11</f>
        <v>0</v>
      </c>
    </row>
    <row r="11" spans="1:4">
      <c r="A11" s="18" t="s">
        <v>49</v>
      </c>
      <c r="B11" s="19">
        <f>[1]Calculations!F12</f>
        <v>0</v>
      </c>
      <c r="C11" s="19">
        <f>[1]Calculations!G12</f>
        <v>0</v>
      </c>
      <c r="D11" s="19">
        <f>[1]Calculations!H12</f>
        <v>0</v>
      </c>
    </row>
    <row r="12" spans="1:4">
      <c r="A12" s="18" t="s">
        <v>50</v>
      </c>
      <c r="B12" s="19">
        <f>[1]Calculations!F13</f>
        <v>0</v>
      </c>
      <c r="C12" s="19">
        <f>[1]Calculations!G13</f>
        <v>0</v>
      </c>
      <c r="D12" s="19">
        <f>[1]Calculations!H13</f>
        <v>0</v>
      </c>
    </row>
    <row r="13" spans="1:4">
      <c r="A13" s="18" t="s">
        <v>51</v>
      </c>
      <c r="B13" s="19">
        <f>[1]Calculations!F14</f>
        <v>0</v>
      </c>
      <c r="C13" s="19">
        <f>[1]Calculations!G14</f>
        <v>0</v>
      </c>
      <c r="D13" s="19">
        <f>[1]Calculations!H14</f>
        <v>0</v>
      </c>
    </row>
    <row r="14" spans="1:4">
      <c r="A14" s="18" t="s">
        <v>52</v>
      </c>
      <c r="B14" s="19">
        <f>[1]Calculations!F15</f>
        <v>0</v>
      </c>
      <c r="C14" s="19">
        <f>[1]Calculations!G15</f>
        <v>0</v>
      </c>
      <c r="D14" s="19">
        <f>[1]Calculations!H15</f>
        <v>0</v>
      </c>
    </row>
    <row r="15" spans="1:4">
      <c r="A15" s="18" t="s">
        <v>53</v>
      </c>
      <c r="B15" s="19">
        <f>[1]Calculations!F16</f>
        <v>0</v>
      </c>
      <c r="C15" s="19">
        <f>[1]Calculations!G16</f>
        <v>0</v>
      </c>
      <c r="D15" s="19">
        <f>[1]Calculations!H16</f>
        <v>0</v>
      </c>
    </row>
    <row r="16" spans="1:4">
      <c r="A16" s="18" t="s">
        <v>54</v>
      </c>
      <c r="B16" s="19">
        <f>[1]Calculations!F17</f>
        <v>0</v>
      </c>
      <c r="C16" s="19">
        <f>[1]Calculations!G17</f>
        <v>0</v>
      </c>
      <c r="D16" s="19">
        <f>[1]Calculations!H17</f>
        <v>0</v>
      </c>
    </row>
    <row r="17" spans="1:4">
      <c r="A17" s="18" t="s">
        <v>55</v>
      </c>
      <c r="B17" s="19">
        <f>[1]Calculations!F18</f>
        <v>0</v>
      </c>
      <c r="C17" s="19">
        <f>[1]Calculations!G18</f>
        <v>0</v>
      </c>
      <c r="D17" s="19">
        <f>[1]Calculations!H18</f>
        <v>0</v>
      </c>
    </row>
    <row r="18" spans="1:4">
      <c r="A18" s="18" t="s">
        <v>56</v>
      </c>
      <c r="B18" s="19">
        <f>[1]Calculations!F19</f>
        <v>0</v>
      </c>
      <c r="C18" s="19">
        <f>[1]Calculations!G19</f>
        <v>0</v>
      </c>
      <c r="D18" s="19">
        <f>[1]Calculations!H19</f>
        <v>0</v>
      </c>
    </row>
    <row r="19" spans="1:4">
      <c r="A19" s="24" t="s">
        <v>57</v>
      </c>
      <c r="B19" s="19">
        <v>0</v>
      </c>
      <c r="C19" s="19">
        <v>0</v>
      </c>
      <c r="D19" s="19">
        <v>0</v>
      </c>
    </row>
    <row r="20" spans="1:4">
      <c r="A20" s="24" t="s">
        <v>58</v>
      </c>
      <c r="B20" s="19">
        <v>0</v>
      </c>
      <c r="C20" s="19">
        <v>0</v>
      </c>
      <c r="D20" s="19">
        <v>0</v>
      </c>
    </row>
    <row r="21" spans="1:4">
      <c r="A21" s="24" t="s">
        <v>59</v>
      </c>
      <c r="B21" s="19">
        <v>0</v>
      </c>
      <c r="C21" s="19">
        <v>0</v>
      </c>
      <c r="D21" s="19">
        <v>0</v>
      </c>
    </row>
    <row r="22" spans="1:4">
      <c r="A22" s="24" t="s">
        <v>60</v>
      </c>
      <c r="B22" s="19">
        <v>0</v>
      </c>
      <c r="C22" s="19">
        <v>0</v>
      </c>
      <c r="D22" s="19">
        <v>0</v>
      </c>
    </row>
    <row r="23" spans="1:4">
      <c r="A23" s="24" t="s">
        <v>61</v>
      </c>
      <c r="B23" s="19">
        <v>0</v>
      </c>
      <c r="C23" s="19">
        <v>0</v>
      </c>
      <c r="D23" s="19">
        <v>0</v>
      </c>
    </row>
    <row r="24" spans="1:4">
      <c r="A24" s="24" t="s">
        <v>62</v>
      </c>
      <c r="B24" s="19">
        <v>0</v>
      </c>
      <c r="C24" s="19">
        <v>0</v>
      </c>
      <c r="D24" s="19">
        <v>0</v>
      </c>
    </row>
    <row r="25" spans="1:4">
      <c r="A25" s="24" t="s">
        <v>63</v>
      </c>
      <c r="B25" s="19">
        <v>0</v>
      </c>
      <c r="C25" s="19">
        <v>0</v>
      </c>
      <c r="D25" s="19">
        <v>0</v>
      </c>
    </row>
  </sheetData>
  <phoneticPr fontId="15" type="noConversion"/>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X62"/>
  <sheetViews>
    <sheetView topLeftCell="A43" workbookViewId="0">
      <selection activeCell="H60" sqref="H60"/>
    </sheetView>
  </sheetViews>
  <sheetFormatPr defaultRowHeight="14.5"/>
  <cols>
    <col min="1" max="1" width="18.90625" customWidth="1"/>
  </cols>
  <sheetData>
    <row r="2" spans="1:24">
      <c r="A2" t="s">
        <v>0</v>
      </c>
      <c r="X2" t="s">
        <v>1</v>
      </c>
    </row>
    <row r="57" spans="1:9" ht="33" customHeight="1">
      <c r="A57" s="32" t="s">
        <v>2</v>
      </c>
      <c r="B57" s="34">
        <v>2023</v>
      </c>
      <c r="C57" s="34">
        <v>2026</v>
      </c>
      <c r="D57" s="34">
        <v>2030</v>
      </c>
      <c r="E57" s="34">
        <v>2036</v>
      </c>
      <c r="F57" s="37" t="s">
        <v>3</v>
      </c>
      <c r="G57" s="37" t="s">
        <v>4</v>
      </c>
      <c r="H57" s="37" t="s">
        <v>5</v>
      </c>
    </row>
    <row r="58" spans="1:9">
      <c r="A58" s="35" t="s">
        <v>6</v>
      </c>
      <c r="B58" s="33">
        <v>41.5</v>
      </c>
      <c r="C58" s="33">
        <v>50.9</v>
      </c>
      <c r="D58" s="33">
        <v>65.5</v>
      </c>
      <c r="E58" s="33">
        <v>88.1</v>
      </c>
      <c r="F58" s="36">
        <f t="shared" ref="F58:H62" si="0">(C58/B58)^(1/(C$57-B$57))-1</f>
        <v>7.0425784514054124E-2</v>
      </c>
      <c r="G58" s="36">
        <f t="shared" si="0"/>
        <v>6.507668873540684E-2</v>
      </c>
      <c r="H58" s="36">
        <f t="shared" si="0"/>
        <v>5.0644443609383583E-2</v>
      </c>
      <c r="I58" t="s">
        <v>7</v>
      </c>
    </row>
    <row r="59" spans="1:9">
      <c r="A59" s="35" t="s">
        <v>8</v>
      </c>
      <c r="B59" s="33">
        <v>5</v>
      </c>
      <c r="C59" s="33">
        <v>6.7</v>
      </c>
      <c r="D59" s="33">
        <v>9</v>
      </c>
      <c r="E59" s="33">
        <v>12.6</v>
      </c>
      <c r="F59" s="36">
        <f t="shared" si="0"/>
        <v>0.10247377144973324</v>
      </c>
      <c r="G59" s="36">
        <f t="shared" si="0"/>
        <v>7.6569140338595965E-2</v>
      </c>
      <c r="H59" s="36">
        <f t="shared" si="0"/>
        <v>5.7680926405216493E-2</v>
      </c>
    </row>
    <row r="60" spans="1:9">
      <c r="A60" s="35" t="s">
        <v>9</v>
      </c>
      <c r="B60" s="33">
        <v>5.7</v>
      </c>
      <c r="C60" s="33">
        <v>6.1</v>
      </c>
      <c r="D60" s="33">
        <v>6.1</v>
      </c>
      <c r="E60" s="33">
        <v>6.1</v>
      </c>
      <c r="F60" s="36">
        <f t="shared" si="0"/>
        <v>2.2865019087619176E-2</v>
      </c>
      <c r="G60" s="36">
        <f t="shared" si="0"/>
        <v>0</v>
      </c>
      <c r="H60" s="36">
        <f t="shared" si="0"/>
        <v>0</v>
      </c>
    </row>
    <row r="61" spans="1:9">
      <c r="A61" s="35" t="s">
        <v>10</v>
      </c>
      <c r="B61" s="33">
        <v>40.700000000000003</v>
      </c>
      <c r="C61" s="33">
        <v>51.8</v>
      </c>
      <c r="D61" s="33">
        <v>56.6</v>
      </c>
      <c r="E61" s="33">
        <v>56.6</v>
      </c>
      <c r="F61" s="36">
        <f t="shared" si="0"/>
        <v>8.3706762661827083E-2</v>
      </c>
      <c r="G61" s="36">
        <f t="shared" si="0"/>
        <v>2.2401947003968914E-2</v>
      </c>
      <c r="H61" s="36">
        <f t="shared" si="0"/>
        <v>0</v>
      </c>
    </row>
    <row r="62" spans="1:9">
      <c r="A62" s="35" t="s">
        <v>11</v>
      </c>
      <c r="B62" s="33">
        <v>92.9</v>
      </c>
      <c r="C62" s="33">
        <v>115.5</v>
      </c>
      <c r="D62" s="33">
        <v>137.19999999999999</v>
      </c>
      <c r="E62" s="33">
        <v>163.4</v>
      </c>
      <c r="F62" s="36">
        <f t="shared" si="0"/>
        <v>7.5281292415575463E-2</v>
      </c>
      <c r="G62" s="36">
        <f t="shared" si="0"/>
        <v>4.3982050528710959E-2</v>
      </c>
      <c r="H62" s="36">
        <f t="shared" si="0"/>
        <v>2.9555248264960365E-2</v>
      </c>
    </row>
  </sheetData>
  <phoneticPr fontId="1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46"/>
  <sheetViews>
    <sheetView showGridLines="0" tabSelected="1" workbookViewId="0">
      <selection activeCell="E2" sqref="E2"/>
    </sheetView>
  </sheetViews>
  <sheetFormatPr defaultRowHeight="14.5"/>
  <cols>
    <col min="1" max="1" width="7" customWidth="1"/>
    <col min="2" max="2" width="8" customWidth="1"/>
    <col min="3" max="3" width="12" customWidth="1"/>
    <col min="4" max="4" width="13" customWidth="1"/>
    <col min="5" max="5" width="12" customWidth="1"/>
    <col min="6" max="6" width="10" customWidth="1"/>
    <col min="7" max="7" width="11" customWidth="1"/>
    <col min="8" max="10" width="8" customWidth="1"/>
    <col min="11" max="11" width="9" customWidth="1"/>
    <col min="12" max="14" width="8" customWidth="1"/>
    <col min="15" max="17" width="9" customWidth="1"/>
    <col min="18" max="21" width="8" customWidth="1"/>
    <col min="22" max="22" width="7" customWidth="1"/>
    <col min="23" max="26" width="8" customWidth="1"/>
  </cols>
  <sheetData>
    <row r="1" spans="1:26" ht="21">
      <c r="A1" s="45" t="s">
        <v>80</v>
      </c>
    </row>
    <row r="2" spans="1:26" ht="15">
      <c r="A2" s="46" t="s">
        <v>81</v>
      </c>
    </row>
    <row r="4" spans="1:26" ht="17.25" customHeight="1">
      <c r="A4" s="47" t="s">
        <v>82</v>
      </c>
      <c r="B4" s="72" t="s">
        <v>86</v>
      </c>
      <c r="C4" s="68"/>
      <c r="D4" s="68"/>
      <c r="E4" s="68"/>
      <c r="F4" s="68"/>
      <c r="G4" s="68"/>
      <c r="H4" s="68"/>
      <c r="I4" s="68"/>
      <c r="J4" s="68"/>
      <c r="K4" s="68"/>
      <c r="L4" s="68"/>
      <c r="M4" s="68"/>
      <c r="N4" s="68"/>
      <c r="O4" s="68"/>
      <c r="P4" s="68"/>
      <c r="Q4" s="68"/>
      <c r="R4" s="68"/>
      <c r="S4" s="68"/>
      <c r="T4" s="68"/>
      <c r="U4" s="68"/>
      <c r="V4" s="68"/>
      <c r="W4" s="68"/>
      <c r="X4" s="68"/>
      <c r="Y4" s="68"/>
      <c r="Z4" s="68"/>
    </row>
    <row r="5" spans="1:26" ht="71.25" customHeight="1">
      <c r="A5" s="47" t="s">
        <v>83</v>
      </c>
      <c r="B5" s="72" t="s">
        <v>87</v>
      </c>
      <c r="C5" s="68"/>
      <c r="D5" s="68"/>
      <c r="E5" s="68"/>
      <c r="F5" s="68"/>
      <c r="G5" s="68"/>
      <c r="H5" s="68"/>
      <c r="I5" s="68"/>
      <c r="J5" s="68"/>
      <c r="K5" s="68"/>
      <c r="L5" s="68"/>
      <c r="M5" s="68"/>
      <c r="N5" s="68"/>
      <c r="O5" s="68"/>
      <c r="P5" s="68"/>
      <c r="Q5" s="68"/>
      <c r="R5" s="68"/>
      <c r="S5" s="68"/>
      <c r="T5" s="68"/>
      <c r="U5" s="68"/>
      <c r="V5" s="68"/>
      <c r="W5" s="68"/>
      <c r="X5" s="68"/>
      <c r="Y5" s="68"/>
      <c r="Z5" s="68"/>
    </row>
    <row r="6" spans="1:26" ht="78.75" customHeight="1">
      <c r="A6" s="47" t="s">
        <v>84</v>
      </c>
      <c r="B6" s="72" t="s">
        <v>88</v>
      </c>
      <c r="C6" s="68"/>
      <c r="D6" s="68"/>
      <c r="E6" s="68"/>
      <c r="F6" s="68"/>
      <c r="G6" s="68"/>
      <c r="H6" s="68"/>
      <c r="I6" s="68"/>
      <c r="J6" s="68"/>
      <c r="K6" s="68"/>
      <c r="L6" s="68"/>
      <c r="M6" s="68"/>
      <c r="N6" s="68"/>
      <c r="O6" s="68"/>
      <c r="P6" s="68"/>
      <c r="Q6" s="68"/>
      <c r="R6" s="68"/>
      <c r="S6" s="68"/>
      <c r="T6" s="68"/>
      <c r="U6" s="68"/>
      <c r="V6" s="68"/>
      <c r="W6" s="68"/>
      <c r="X6" s="68"/>
      <c r="Y6" s="68"/>
      <c r="Z6" s="68"/>
    </row>
    <row r="7" spans="1:26" ht="17.25" customHeight="1">
      <c r="A7" s="47" t="s">
        <v>85</v>
      </c>
      <c r="B7" s="72" t="s">
        <v>89</v>
      </c>
      <c r="C7" s="68"/>
      <c r="D7" s="68"/>
      <c r="E7" s="68"/>
      <c r="F7" s="68"/>
      <c r="G7" s="68"/>
      <c r="H7" s="68"/>
      <c r="I7" s="68"/>
      <c r="J7" s="68"/>
      <c r="K7" s="68"/>
      <c r="L7" s="68"/>
      <c r="M7" s="68"/>
      <c r="N7" s="68"/>
      <c r="O7" s="68"/>
      <c r="P7" s="68"/>
      <c r="Q7" s="68"/>
      <c r="R7" s="68"/>
      <c r="S7" s="68"/>
      <c r="T7" s="68"/>
      <c r="U7" s="68"/>
      <c r="V7" s="68"/>
      <c r="W7" s="68"/>
      <c r="X7" s="68"/>
      <c r="Y7" s="68"/>
      <c r="Z7" s="68"/>
    </row>
    <row r="9" spans="1:26" ht="28" customHeight="1">
      <c r="A9" s="48" t="s">
        <v>94</v>
      </c>
      <c r="B9" s="48" t="s">
        <v>95</v>
      </c>
      <c r="C9" s="69" t="s">
        <v>96</v>
      </c>
      <c r="D9" s="70"/>
      <c r="E9" s="71"/>
      <c r="F9" s="48" t="s">
        <v>100</v>
      </c>
      <c r="G9" s="48" t="s">
        <v>102</v>
      </c>
      <c r="H9" s="69" t="s">
        <v>103</v>
      </c>
      <c r="I9" s="70"/>
      <c r="J9" s="70"/>
      <c r="K9" s="71"/>
      <c r="L9" s="69" t="s">
        <v>105</v>
      </c>
      <c r="M9" s="70"/>
      <c r="N9" s="71"/>
      <c r="O9" s="69" t="s">
        <v>106</v>
      </c>
      <c r="P9" s="70"/>
      <c r="Q9" s="71"/>
      <c r="R9" s="69" t="s">
        <v>107</v>
      </c>
      <c r="S9" s="70"/>
      <c r="T9" s="71"/>
      <c r="U9" s="69" t="s">
        <v>108</v>
      </c>
      <c r="V9" s="71"/>
      <c r="W9" s="69" t="s">
        <v>110</v>
      </c>
      <c r="X9" s="70"/>
      <c r="Y9" s="71"/>
      <c r="Z9" s="48" t="s">
        <v>111</v>
      </c>
    </row>
    <row r="10" spans="1:26" ht="17">
      <c r="A10" s="49"/>
      <c r="B10" s="49"/>
      <c r="C10" s="49" t="s">
        <v>97</v>
      </c>
      <c r="D10" s="49" t="s">
        <v>98</v>
      </c>
      <c r="E10" s="49" t="s">
        <v>99</v>
      </c>
      <c r="F10" s="49" t="s">
        <v>101</v>
      </c>
      <c r="G10" s="49" t="s">
        <v>76</v>
      </c>
      <c r="H10" s="49" t="s">
        <v>77</v>
      </c>
      <c r="I10" s="49" t="s">
        <v>78</v>
      </c>
      <c r="J10" s="49" t="s">
        <v>79</v>
      </c>
      <c r="K10" s="49" t="s">
        <v>104</v>
      </c>
      <c r="L10" s="49" t="s">
        <v>77</v>
      </c>
      <c r="M10" s="49" t="s">
        <v>78</v>
      </c>
      <c r="N10" s="49" t="s">
        <v>79</v>
      </c>
      <c r="O10" s="49" t="s">
        <v>77</v>
      </c>
      <c r="P10" s="49" t="s">
        <v>78</v>
      </c>
      <c r="Q10" s="49" t="s">
        <v>79</v>
      </c>
      <c r="R10" s="49" t="s">
        <v>77</v>
      </c>
      <c r="S10" s="49" t="s">
        <v>78</v>
      </c>
      <c r="T10" s="49" t="s">
        <v>79</v>
      </c>
      <c r="U10" s="49" t="s">
        <v>109</v>
      </c>
      <c r="V10" s="49" t="s">
        <v>108</v>
      </c>
      <c r="W10" s="49" t="s">
        <v>77</v>
      </c>
      <c r="X10" s="49" t="s">
        <v>78</v>
      </c>
      <c r="Y10" s="49" t="s">
        <v>79</v>
      </c>
      <c r="Z10" s="49" t="s">
        <v>112</v>
      </c>
    </row>
    <row r="11" spans="1:26" ht="17">
      <c r="A11" s="50">
        <v>2020</v>
      </c>
      <c r="B11" s="51" t="s">
        <v>113</v>
      </c>
      <c r="C11" s="52"/>
      <c r="D11" s="52"/>
      <c r="E11" s="52"/>
      <c r="F11" s="52"/>
      <c r="G11" s="53">
        <f>K11</f>
        <v>2412</v>
      </c>
      <c r="H11" s="54">
        <v>794</v>
      </c>
      <c r="I11" s="54">
        <v>241</v>
      </c>
      <c r="J11" s="54">
        <v>1377</v>
      </c>
      <c r="K11" s="54">
        <f t="shared" ref="K11:K41" si="0">SUM(H11:J11)</f>
        <v>2412</v>
      </c>
      <c r="L11" s="55">
        <f t="shared" ref="L11:L41" si="1">H11/$K11</f>
        <v>0.32918739635157546</v>
      </c>
      <c r="M11" s="55">
        <f t="shared" ref="M11:M41" si="2">I11/$K11</f>
        <v>9.9917081260364846E-2</v>
      </c>
      <c r="N11" s="55">
        <f t="shared" ref="N11:N41" si="3">J11/$K11</f>
        <v>0.57089552238805974</v>
      </c>
      <c r="O11" s="56">
        <f t="shared" ref="O11:O41" si="4">$G11*L11</f>
        <v>794</v>
      </c>
      <c r="P11" s="56">
        <f t="shared" ref="P11:P41" si="5">$G11*M11</f>
        <v>241</v>
      </c>
      <c r="Q11" s="56">
        <f t="shared" ref="Q11:Q41" si="6">$G11*N11</f>
        <v>1377</v>
      </c>
      <c r="R11" s="54">
        <f t="shared" ref="R11:R41" si="7">ROUND(O11,0)</f>
        <v>794</v>
      </c>
      <c r="S11" s="54">
        <f t="shared" ref="S11:S41" si="8">ROUND(P11,0)</f>
        <v>241</v>
      </c>
      <c r="T11" s="54">
        <f t="shared" ref="T11:T41" si="9">ROUND(Q11,0)</f>
        <v>1377</v>
      </c>
      <c r="U11" s="54">
        <f t="shared" ref="U11:U41" si="10">SUM(R11:T11)</f>
        <v>2412</v>
      </c>
      <c r="V11" s="57">
        <f t="shared" ref="V11:V41" si="11">ROUND(G11,0)-U11</f>
        <v>0</v>
      </c>
      <c r="W11" s="58">
        <f t="shared" ref="W11:W29" si="12">R11+IF(AND(O11&gt;=P11,O11&gt;=Q11),$V11,0)</f>
        <v>794</v>
      </c>
      <c r="X11" s="58">
        <f t="shared" ref="X11:X29" si="13">S11+IF(AND(P11&gt;O11,P11&gt;=Q11),$V11,0)</f>
        <v>241</v>
      </c>
      <c r="Y11" s="58">
        <f t="shared" ref="Y11:Y29" si="14">T11+IF(AND(Q11&gt;O11,Q11&gt;P11),$V11,0)</f>
        <v>1377</v>
      </c>
      <c r="Z11" s="59">
        <f t="shared" ref="Z11:Z41" si="15">SUM(W11:Y11)-ROUND(G11,0)</f>
        <v>0</v>
      </c>
    </row>
    <row r="12" spans="1:26" ht="17">
      <c r="A12" s="50">
        <v>2021</v>
      </c>
      <c r="B12" s="60" t="s">
        <v>114</v>
      </c>
      <c r="C12" s="61">
        <v>21199.350999999999</v>
      </c>
      <c r="D12" s="61">
        <v>18338.404999999999</v>
      </c>
      <c r="E12" s="61">
        <f>C12-D12</f>
        <v>2860.9459999999999</v>
      </c>
      <c r="F12" s="52"/>
      <c r="G12" s="53">
        <f>E12</f>
        <v>2860.9459999999999</v>
      </c>
      <c r="H12" s="54">
        <v>794</v>
      </c>
      <c r="I12" s="54">
        <v>241</v>
      </c>
      <c r="J12" s="54">
        <v>1377</v>
      </c>
      <c r="K12" s="54">
        <f t="shared" si="0"/>
        <v>2412</v>
      </c>
      <c r="L12" s="55">
        <f t="shared" si="1"/>
        <v>0.32918739635157546</v>
      </c>
      <c r="M12" s="55">
        <f t="shared" si="2"/>
        <v>9.9917081260364846E-2</v>
      </c>
      <c r="N12" s="55">
        <f t="shared" si="3"/>
        <v>0.57089552238805974</v>
      </c>
      <c r="O12" s="56">
        <f t="shared" si="4"/>
        <v>941.78736484245439</v>
      </c>
      <c r="P12" s="56">
        <f t="shared" si="5"/>
        <v>285.85737396351573</v>
      </c>
      <c r="Q12" s="56">
        <f t="shared" si="6"/>
        <v>1633.3012611940298</v>
      </c>
      <c r="R12" s="54">
        <f t="shared" si="7"/>
        <v>942</v>
      </c>
      <c r="S12" s="54">
        <f t="shared" si="8"/>
        <v>286</v>
      </c>
      <c r="T12" s="54">
        <f t="shared" si="9"/>
        <v>1633</v>
      </c>
      <c r="U12" s="54">
        <f t="shared" si="10"/>
        <v>2861</v>
      </c>
      <c r="V12" s="57">
        <f t="shared" si="11"/>
        <v>0</v>
      </c>
      <c r="W12" s="58">
        <f t="shared" si="12"/>
        <v>942</v>
      </c>
      <c r="X12" s="58">
        <f t="shared" si="13"/>
        <v>286</v>
      </c>
      <c r="Y12" s="58">
        <f t="shared" si="14"/>
        <v>1633</v>
      </c>
      <c r="Z12" s="59">
        <f t="shared" si="15"/>
        <v>0</v>
      </c>
    </row>
    <row r="13" spans="1:26" ht="17">
      <c r="A13" s="50">
        <v>2022</v>
      </c>
      <c r="B13" s="60" t="s">
        <v>114</v>
      </c>
      <c r="C13" s="61">
        <v>24369.531999999999</v>
      </c>
      <c r="D13" s="61">
        <v>21051.253000000001</v>
      </c>
      <c r="E13" s="61">
        <f>C13-D13</f>
        <v>3318.2789999999986</v>
      </c>
      <c r="F13" s="52"/>
      <c r="G13" s="53">
        <f>E13</f>
        <v>3318.2789999999986</v>
      </c>
      <c r="H13" s="54">
        <v>794</v>
      </c>
      <c r="I13" s="54">
        <v>241</v>
      </c>
      <c r="J13" s="54">
        <v>1377</v>
      </c>
      <c r="K13" s="54">
        <f t="shared" si="0"/>
        <v>2412</v>
      </c>
      <c r="L13" s="55">
        <f t="shared" si="1"/>
        <v>0.32918739635157546</v>
      </c>
      <c r="M13" s="55">
        <f t="shared" si="2"/>
        <v>9.9917081260364846E-2</v>
      </c>
      <c r="N13" s="55">
        <f t="shared" si="3"/>
        <v>0.57089552238805974</v>
      </c>
      <c r="O13" s="56">
        <f t="shared" si="4"/>
        <v>1092.3356243781091</v>
      </c>
      <c r="P13" s="56">
        <f t="shared" si="5"/>
        <v>331.55275248756209</v>
      </c>
      <c r="Q13" s="56">
        <f t="shared" si="6"/>
        <v>1894.3906231343276</v>
      </c>
      <c r="R13" s="54">
        <f t="shared" si="7"/>
        <v>1092</v>
      </c>
      <c r="S13" s="54">
        <f t="shared" si="8"/>
        <v>332</v>
      </c>
      <c r="T13" s="54">
        <f t="shared" si="9"/>
        <v>1894</v>
      </c>
      <c r="U13" s="54">
        <f t="shared" si="10"/>
        <v>3318</v>
      </c>
      <c r="V13" s="57">
        <f t="shared" si="11"/>
        <v>0</v>
      </c>
      <c r="W13" s="58">
        <f t="shared" si="12"/>
        <v>1092</v>
      </c>
      <c r="X13" s="58">
        <f t="shared" si="13"/>
        <v>332</v>
      </c>
      <c r="Y13" s="58">
        <f t="shared" si="14"/>
        <v>1894</v>
      </c>
      <c r="Z13" s="59">
        <f t="shared" si="15"/>
        <v>0</v>
      </c>
    </row>
    <row r="14" spans="1:26" ht="17">
      <c r="A14" s="50">
        <v>2023</v>
      </c>
      <c r="B14" s="60" t="s">
        <v>114</v>
      </c>
      <c r="C14" s="61">
        <v>28033.335999999999</v>
      </c>
      <c r="D14" s="61">
        <v>24186.093000000001</v>
      </c>
      <c r="E14" s="61">
        <f>C14-D14</f>
        <v>3847.2429999999986</v>
      </c>
      <c r="F14" s="52"/>
      <c r="G14" s="53">
        <f>E14</f>
        <v>3847.2429999999986</v>
      </c>
      <c r="H14" s="54">
        <v>794</v>
      </c>
      <c r="I14" s="54">
        <v>241</v>
      </c>
      <c r="J14" s="54">
        <v>1377</v>
      </c>
      <c r="K14" s="54">
        <f t="shared" si="0"/>
        <v>2412</v>
      </c>
      <c r="L14" s="55">
        <f t="shared" si="1"/>
        <v>0.32918739635157546</v>
      </c>
      <c r="M14" s="55">
        <f t="shared" si="2"/>
        <v>9.9917081260364846E-2</v>
      </c>
      <c r="N14" s="55">
        <f t="shared" si="3"/>
        <v>0.57089552238805974</v>
      </c>
      <c r="O14" s="56">
        <f t="shared" si="4"/>
        <v>1266.4639063018237</v>
      </c>
      <c r="P14" s="56">
        <f t="shared" si="5"/>
        <v>384.40529145936966</v>
      </c>
      <c r="Q14" s="56">
        <f t="shared" si="6"/>
        <v>2196.3738022388052</v>
      </c>
      <c r="R14" s="54">
        <f t="shared" si="7"/>
        <v>1266</v>
      </c>
      <c r="S14" s="54">
        <f t="shared" si="8"/>
        <v>384</v>
      </c>
      <c r="T14" s="54">
        <f t="shared" si="9"/>
        <v>2196</v>
      </c>
      <c r="U14" s="54">
        <f t="shared" si="10"/>
        <v>3846</v>
      </c>
      <c r="V14" s="57">
        <f t="shared" si="11"/>
        <v>1</v>
      </c>
      <c r="W14" s="58">
        <f t="shared" si="12"/>
        <v>1266</v>
      </c>
      <c r="X14" s="58">
        <f t="shared" si="13"/>
        <v>384</v>
      </c>
      <c r="Y14" s="58">
        <f t="shared" si="14"/>
        <v>2197</v>
      </c>
      <c r="Z14" s="59">
        <f t="shared" si="15"/>
        <v>0</v>
      </c>
    </row>
    <row r="15" spans="1:26" ht="17">
      <c r="A15" s="50">
        <v>2024</v>
      </c>
      <c r="B15" s="60" t="s">
        <v>114</v>
      </c>
      <c r="C15" s="61">
        <v>32002.587</v>
      </c>
      <c r="D15" s="61">
        <v>27382.319</v>
      </c>
      <c r="E15" s="61">
        <f>C15-D15</f>
        <v>4620.268</v>
      </c>
      <c r="F15" s="52"/>
      <c r="G15" s="53">
        <f>E15</f>
        <v>4620.268</v>
      </c>
      <c r="H15" s="54">
        <v>850</v>
      </c>
      <c r="I15" s="54">
        <v>265</v>
      </c>
      <c r="J15" s="54">
        <v>1518</v>
      </c>
      <c r="K15" s="54">
        <f t="shared" si="0"/>
        <v>2633</v>
      </c>
      <c r="L15" s="55">
        <f t="shared" si="1"/>
        <v>0.32282567413596658</v>
      </c>
      <c r="M15" s="55">
        <f t="shared" si="2"/>
        <v>0.10064565134827193</v>
      </c>
      <c r="N15" s="55">
        <f t="shared" si="3"/>
        <v>0.57652867451576151</v>
      </c>
      <c r="O15" s="56">
        <f t="shared" si="4"/>
        <v>1491.541131788834</v>
      </c>
      <c r="P15" s="56">
        <f t="shared" si="5"/>
        <v>465.00988226357765</v>
      </c>
      <c r="Q15" s="56">
        <f t="shared" si="6"/>
        <v>2663.7169859475885</v>
      </c>
      <c r="R15" s="54">
        <f t="shared" si="7"/>
        <v>1492</v>
      </c>
      <c r="S15" s="54">
        <f t="shared" si="8"/>
        <v>465</v>
      </c>
      <c r="T15" s="54">
        <f t="shared" si="9"/>
        <v>2664</v>
      </c>
      <c r="U15" s="54">
        <f t="shared" si="10"/>
        <v>4621</v>
      </c>
      <c r="V15" s="57">
        <f t="shared" si="11"/>
        <v>-1</v>
      </c>
      <c r="W15" s="58">
        <f t="shared" si="12"/>
        <v>1492</v>
      </c>
      <c r="X15" s="58">
        <f t="shared" si="13"/>
        <v>465</v>
      </c>
      <c r="Y15" s="58">
        <f t="shared" si="14"/>
        <v>2663</v>
      </c>
      <c r="Z15" s="59">
        <f t="shared" si="15"/>
        <v>0</v>
      </c>
    </row>
    <row r="16" spans="1:26" ht="17">
      <c r="A16" s="50">
        <v>2025</v>
      </c>
      <c r="B16" s="62" t="s">
        <v>115</v>
      </c>
      <c r="C16" s="52"/>
      <c r="D16" s="52"/>
      <c r="E16" s="52"/>
      <c r="F16" s="54">
        <v>4852</v>
      </c>
      <c r="G16" s="53">
        <f t="shared" ref="G16:G29" si="16">F16</f>
        <v>4852</v>
      </c>
      <c r="H16" s="54">
        <v>910</v>
      </c>
      <c r="I16" s="54">
        <v>293</v>
      </c>
      <c r="J16" s="54">
        <v>1673</v>
      </c>
      <c r="K16" s="54">
        <f t="shared" si="0"/>
        <v>2876</v>
      </c>
      <c r="L16" s="55">
        <f t="shared" si="1"/>
        <v>0.31641168289290683</v>
      </c>
      <c r="M16" s="55">
        <f t="shared" si="2"/>
        <v>0.10187760778859527</v>
      </c>
      <c r="N16" s="55">
        <f t="shared" si="3"/>
        <v>0.58171070931849789</v>
      </c>
      <c r="O16" s="56">
        <f t="shared" si="4"/>
        <v>1535.229485396384</v>
      </c>
      <c r="P16" s="56">
        <f t="shared" si="5"/>
        <v>494.31015299026421</v>
      </c>
      <c r="Q16" s="56">
        <f t="shared" si="6"/>
        <v>2822.4603616133518</v>
      </c>
      <c r="R16" s="54">
        <f t="shared" si="7"/>
        <v>1535</v>
      </c>
      <c r="S16" s="54">
        <f t="shared" si="8"/>
        <v>494</v>
      </c>
      <c r="T16" s="54">
        <f t="shared" si="9"/>
        <v>2822</v>
      </c>
      <c r="U16" s="54">
        <f t="shared" si="10"/>
        <v>4851</v>
      </c>
      <c r="V16" s="57">
        <f t="shared" si="11"/>
        <v>1</v>
      </c>
      <c r="W16" s="58">
        <f t="shared" si="12"/>
        <v>1535</v>
      </c>
      <c r="X16" s="58">
        <f t="shared" si="13"/>
        <v>494</v>
      </c>
      <c r="Y16" s="58">
        <f t="shared" si="14"/>
        <v>2823</v>
      </c>
      <c r="Z16" s="59">
        <f t="shared" si="15"/>
        <v>0</v>
      </c>
    </row>
    <row r="17" spans="1:26" ht="17">
      <c r="A17" s="50">
        <v>2026</v>
      </c>
      <c r="B17" s="62" t="s">
        <v>115</v>
      </c>
      <c r="C17" s="52"/>
      <c r="D17" s="52"/>
      <c r="E17" s="52"/>
      <c r="F17" s="54">
        <v>5344</v>
      </c>
      <c r="G17" s="53">
        <f t="shared" si="16"/>
        <v>5344</v>
      </c>
      <c r="H17" s="54">
        <v>974</v>
      </c>
      <c r="I17" s="54">
        <v>323</v>
      </c>
      <c r="J17" s="54">
        <v>1845</v>
      </c>
      <c r="K17" s="54">
        <f t="shared" si="0"/>
        <v>3142</v>
      </c>
      <c r="L17" s="55">
        <f t="shared" si="1"/>
        <v>0.30999363462762569</v>
      </c>
      <c r="M17" s="55">
        <f t="shared" si="2"/>
        <v>0.10280076384468491</v>
      </c>
      <c r="N17" s="55">
        <f t="shared" si="3"/>
        <v>0.58720560152768941</v>
      </c>
      <c r="O17" s="56">
        <f t="shared" si="4"/>
        <v>1656.6059834500318</v>
      </c>
      <c r="P17" s="56">
        <f t="shared" si="5"/>
        <v>549.3672819859961</v>
      </c>
      <c r="Q17" s="56">
        <f t="shared" si="6"/>
        <v>3138.0267345639722</v>
      </c>
      <c r="R17" s="54">
        <f t="shared" si="7"/>
        <v>1657</v>
      </c>
      <c r="S17" s="54">
        <f t="shared" si="8"/>
        <v>549</v>
      </c>
      <c r="T17" s="54">
        <f t="shared" si="9"/>
        <v>3138</v>
      </c>
      <c r="U17" s="54">
        <f t="shared" si="10"/>
        <v>5344</v>
      </c>
      <c r="V17" s="57">
        <f t="shared" si="11"/>
        <v>0</v>
      </c>
      <c r="W17" s="58">
        <f t="shared" si="12"/>
        <v>1657</v>
      </c>
      <c r="X17" s="58">
        <f t="shared" si="13"/>
        <v>549</v>
      </c>
      <c r="Y17" s="58">
        <f t="shared" si="14"/>
        <v>3138</v>
      </c>
      <c r="Z17" s="59">
        <f t="shared" si="15"/>
        <v>0</v>
      </c>
    </row>
    <row r="18" spans="1:26" ht="17">
      <c r="A18" s="50">
        <v>2027</v>
      </c>
      <c r="B18" s="62" t="s">
        <v>115</v>
      </c>
      <c r="C18" s="52"/>
      <c r="D18" s="52"/>
      <c r="E18" s="52"/>
      <c r="F18" s="54">
        <v>5851</v>
      </c>
      <c r="G18" s="53">
        <f t="shared" si="16"/>
        <v>5851</v>
      </c>
      <c r="H18" s="54">
        <v>1038</v>
      </c>
      <c r="I18" s="54">
        <v>347</v>
      </c>
      <c r="J18" s="54">
        <v>1986</v>
      </c>
      <c r="K18" s="54">
        <f t="shared" si="0"/>
        <v>3371</v>
      </c>
      <c r="L18" s="55">
        <f t="shared" si="1"/>
        <v>0.30792049836843666</v>
      </c>
      <c r="M18" s="55">
        <f t="shared" si="2"/>
        <v>0.10293681400177988</v>
      </c>
      <c r="N18" s="55">
        <f t="shared" si="3"/>
        <v>0.5891426876297835</v>
      </c>
      <c r="O18" s="56">
        <f t="shared" si="4"/>
        <v>1801.6428359537229</v>
      </c>
      <c r="P18" s="56">
        <f t="shared" si="5"/>
        <v>602.28329872441407</v>
      </c>
      <c r="Q18" s="56">
        <f t="shared" si="6"/>
        <v>3447.0738653218632</v>
      </c>
      <c r="R18" s="54">
        <f t="shared" si="7"/>
        <v>1802</v>
      </c>
      <c r="S18" s="54">
        <f t="shared" si="8"/>
        <v>602</v>
      </c>
      <c r="T18" s="54">
        <f t="shared" si="9"/>
        <v>3447</v>
      </c>
      <c r="U18" s="54">
        <f t="shared" si="10"/>
        <v>5851</v>
      </c>
      <c r="V18" s="57">
        <f t="shared" si="11"/>
        <v>0</v>
      </c>
      <c r="W18" s="58">
        <f t="shared" si="12"/>
        <v>1802</v>
      </c>
      <c r="X18" s="58">
        <f t="shared" si="13"/>
        <v>602</v>
      </c>
      <c r="Y18" s="58">
        <f t="shared" si="14"/>
        <v>3447</v>
      </c>
      <c r="Z18" s="59">
        <f t="shared" si="15"/>
        <v>0</v>
      </c>
    </row>
    <row r="19" spans="1:26" ht="17">
      <c r="A19" s="50">
        <v>2028</v>
      </c>
      <c r="B19" s="62" t="s">
        <v>115</v>
      </c>
      <c r="C19" s="52"/>
      <c r="D19" s="52"/>
      <c r="E19" s="52"/>
      <c r="F19" s="54">
        <v>6369</v>
      </c>
      <c r="G19" s="53">
        <f t="shared" si="16"/>
        <v>6369</v>
      </c>
      <c r="H19" s="54">
        <v>1105</v>
      </c>
      <c r="I19" s="54">
        <v>374</v>
      </c>
      <c r="J19" s="54">
        <v>2138</v>
      </c>
      <c r="K19" s="54">
        <f t="shared" si="0"/>
        <v>3617</v>
      </c>
      <c r="L19" s="55">
        <f t="shared" si="1"/>
        <v>0.30550179706939451</v>
      </c>
      <c r="M19" s="55">
        <f t="shared" si="2"/>
        <v>0.103400608238872</v>
      </c>
      <c r="N19" s="55">
        <f t="shared" si="3"/>
        <v>0.59109759469173351</v>
      </c>
      <c r="O19" s="56">
        <f t="shared" si="4"/>
        <v>1945.7409455349737</v>
      </c>
      <c r="P19" s="56">
        <f t="shared" si="5"/>
        <v>658.55847387337576</v>
      </c>
      <c r="Q19" s="56">
        <f t="shared" si="6"/>
        <v>3764.7005805916506</v>
      </c>
      <c r="R19" s="54">
        <f t="shared" si="7"/>
        <v>1946</v>
      </c>
      <c r="S19" s="54">
        <f t="shared" si="8"/>
        <v>659</v>
      </c>
      <c r="T19" s="54">
        <f t="shared" si="9"/>
        <v>3765</v>
      </c>
      <c r="U19" s="54">
        <f t="shared" si="10"/>
        <v>6370</v>
      </c>
      <c r="V19" s="57">
        <f t="shared" si="11"/>
        <v>-1</v>
      </c>
      <c r="W19" s="58">
        <f t="shared" si="12"/>
        <v>1946</v>
      </c>
      <c r="X19" s="58">
        <f t="shared" si="13"/>
        <v>659</v>
      </c>
      <c r="Y19" s="58">
        <f t="shared" si="14"/>
        <v>3764</v>
      </c>
      <c r="Z19" s="59">
        <f t="shared" si="15"/>
        <v>0</v>
      </c>
    </row>
    <row r="20" spans="1:26" ht="17">
      <c r="A20" s="50">
        <v>2029</v>
      </c>
      <c r="B20" s="62" t="s">
        <v>115</v>
      </c>
      <c r="C20" s="52"/>
      <c r="D20" s="52"/>
      <c r="E20" s="52"/>
      <c r="F20" s="54">
        <v>6899</v>
      </c>
      <c r="G20" s="53">
        <f t="shared" si="16"/>
        <v>6899</v>
      </c>
      <c r="H20" s="54">
        <v>1177</v>
      </c>
      <c r="I20" s="54">
        <v>402</v>
      </c>
      <c r="J20" s="54">
        <v>2302</v>
      </c>
      <c r="K20" s="54">
        <f t="shared" si="0"/>
        <v>3881</v>
      </c>
      <c r="L20" s="55">
        <f t="shared" si="1"/>
        <v>0.30327235248647255</v>
      </c>
      <c r="M20" s="55">
        <f t="shared" si="2"/>
        <v>0.1035815511466117</v>
      </c>
      <c r="N20" s="55">
        <f t="shared" si="3"/>
        <v>0.59314609636691573</v>
      </c>
      <c r="O20" s="56">
        <f t="shared" si="4"/>
        <v>2092.2759598041739</v>
      </c>
      <c r="P20" s="56">
        <f t="shared" si="5"/>
        <v>714.60912136047409</v>
      </c>
      <c r="Q20" s="56">
        <f t="shared" si="6"/>
        <v>4092.1149188353515</v>
      </c>
      <c r="R20" s="54">
        <f t="shared" si="7"/>
        <v>2092</v>
      </c>
      <c r="S20" s="54">
        <f t="shared" si="8"/>
        <v>715</v>
      </c>
      <c r="T20" s="54">
        <f t="shared" si="9"/>
        <v>4092</v>
      </c>
      <c r="U20" s="54">
        <f t="shared" si="10"/>
        <v>6899</v>
      </c>
      <c r="V20" s="57">
        <f t="shared" si="11"/>
        <v>0</v>
      </c>
      <c r="W20" s="58">
        <f t="shared" si="12"/>
        <v>2092</v>
      </c>
      <c r="X20" s="58">
        <f t="shared" si="13"/>
        <v>715</v>
      </c>
      <c r="Y20" s="58">
        <f t="shared" si="14"/>
        <v>4092</v>
      </c>
      <c r="Z20" s="59">
        <f t="shared" si="15"/>
        <v>0</v>
      </c>
    </row>
    <row r="21" spans="1:26" ht="17">
      <c r="A21" s="50">
        <v>2030</v>
      </c>
      <c r="B21" s="62" t="s">
        <v>115</v>
      </c>
      <c r="C21" s="52"/>
      <c r="D21" s="52"/>
      <c r="E21" s="52"/>
      <c r="F21" s="54">
        <v>7441</v>
      </c>
      <c r="G21" s="53">
        <f t="shared" si="16"/>
        <v>7441</v>
      </c>
      <c r="H21" s="54">
        <v>1254</v>
      </c>
      <c r="I21" s="54">
        <v>433</v>
      </c>
      <c r="J21" s="54">
        <v>2478</v>
      </c>
      <c r="K21" s="54">
        <f t="shared" si="0"/>
        <v>4165</v>
      </c>
      <c r="L21" s="55">
        <f t="shared" si="1"/>
        <v>0.30108043217286917</v>
      </c>
      <c r="M21" s="55">
        <f t="shared" si="2"/>
        <v>0.10396158463385353</v>
      </c>
      <c r="N21" s="55">
        <f t="shared" si="3"/>
        <v>0.59495798319327731</v>
      </c>
      <c r="O21" s="56">
        <f t="shared" si="4"/>
        <v>2240.3394957983196</v>
      </c>
      <c r="P21" s="56">
        <f t="shared" si="5"/>
        <v>773.57815126050411</v>
      </c>
      <c r="Q21" s="56">
        <f t="shared" si="6"/>
        <v>4427.0823529411764</v>
      </c>
      <c r="R21" s="54">
        <f t="shared" si="7"/>
        <v>2240</v>
      </c>
      <c r="S21" s="54">
        <f t="shared" si="8"/>
        <v>774</v>
      </c>
      <c r="T21" s="54">
        <f t="shared" si="9"/>
        <v>4427</v>
      </c>
      <c r="U21" s="54">
        <f t="shared" si="10"/>
        <v>7441</v>
      </c>
      <c r="V21" s="57">
        <f t="shared" si="11"/>
        <v>0</v>
      </c>
      <c r="W21" s="58">
        <f t="shared" si="12"/>
        <v>2240</v>
      </c>
      <c r="X21" s="58">
        <f t="shared" si="13"/>
        <v>774</v>
      </c>
      <c r="Y21" s="58">
        <f t="shared" si="14"/>
        <v>4427</v>
      </c>
      <c r="Z21" s="59">
        <f t="shared" si="15"/>
        <v>0</v>
      </c>
    </row>
    <row r="22" spans="1:26" ht="17">
      <c r="A22" s="50">
        <v>2031</v>
      </c>
      <c r="B22" s="62" t="s">
        <v>115</v>
      </c>
      <c r="C22" s="52"/>
      <c r="D22" s="52"/>
      <c r="E22" s="52"/>
      <c r="F22" s="54">
        <v>7993</v>
      </c>
      <c r="G22" s="53">
        <f t="shared" si="16"/>
        <v>7993</v>
      </c>
      <c r="H22" s="54">
        <v>1317</v>
      </c>
      <c r="I22" s="54">
        <v>458</v>
      </c>
      <c r="J22" s="54">
        <v>2621</v>
      </c>
      <c r="K22" s="54">
        <f t="shared" si="0"/>
        <v>4396</v>
      </c>
      <c r="L22" s="55">
        <f t="shared" si="1"/>
        <v>0.29959053685168335</v>
      </c>
      <c r="M22" s="55">
        <f t="shared" si="2"/>
        <v>0.10418562329390355</v>
      </c>
      <c r="N22" s="55">
        <f t="shared" si="3"/>
        <v>0.59622383985441307</v>
      </c>
      <c r="O22" s="56">
        <f t="shared" si="4"/>
        <v>2394.627161055505</v>
      </c>
      <c r="P22" s="56">
        <f t="shared" si="5"/>
        <v>832.75568698817108</v>
      </c>
      <c r="Q22" s="56">
        <f t="shared" si="6"/>
        <v>4765.6171519563241</v>
      </c>
      <c r="R22" s="54">
        <f t="shared" si="7"/>
        <v>2395</v>
      </c>
      <c r="S22" s="54">
        <f t="shared" si="8"/>
        <v>833</v>
      </c>
      <c r="T22" s="54">
        <f t="shared" si="9"/>
        <v>4766</v>
      </c>
      <c r="U22" s="54">
        <f t="shared" si="10"/>
        <v>7994</v>
      </c>
      <c r="V22" s="57">
        <f t="shared" si="11"/>
        <v>-1</v>
      </c>
      <c r="W22" s="58">
        <f t="shared" si="12"/>
        <v>2395</v>
      </c>
      <c r="X22" s="58">
        <f t="shared" si="13"/>
        <v>833</v>
      </c>
      <c r="Y22" s="58">
        <f t="shared" si="14"/>
        <v>4765</v>
      </c>
      <c r="Z22" s="59">
        <f t="shared" si="15"/>
        <v>0</v>
      </c>
    </row>
    <row r="23" spans="1:26" ht="17">
      <c r="A23" s="50">
        <v>2032</v>
      </c>
      <c r="B23" s="62" t="s">
        <v>115</v>
      </c>
      <c r="C23" s="52"/>
      <c r="D23" s="52"/>
      <c r="E23" s="52"/>
      <c r="F23" s="54">
        <v>8556</v>
      </c>
      <c r="G23" s="53">
        <f t="shared" si="16"/>
        <v>8556</v>
      </c>
      <c r="H23" s="54">
        <v>1384</v>
      </c>
      <c r="I23" s="54">
        <v>485</v>
      </c>
      <c r="J23" s="54">
        <v>2772</v>
      </c>
      <c r="K23" s="54">
        <f t="shared" si="0"/>
        <v>4641</v>
      </c>
      <c r="L23" s="55">
        <f t="shared" si="1"/>
        <v>0.29821159232923938</v>
      </c>
      <c r="M23" s="55">
        <f t="shared" si="2"/>
        <v>0.10450333979745745</v>
      </c>
      <c r="N23" s="55">
        <f t="shared" si="3"/>
        <v>0.59728506787330315</v>
      </c>
      <c r="O23" s="56">
        <f t="shared" si="4"/>
        <v>2551.4983839689721</v>
      </c>
      <c r="P23" s="56">
        <f t="shared" si="5"/>
        <v>894.13057530704589</v>
      </c>
      <c r="Q23" s="56">
        <f t="shared" si="6"/>
        <v>5110.3710407239814</v>
      </c>
      <c r="R23" s="54">
        <f t="shared" si="7"/>
        <v>2551</v>
      </c>
      <c r="S23" s="54">
        <f t="shared" si="8"/>
        <v>894</v>
      </c>
      <c r="T23" s="54">
        <f t="shared" si="9"/>
        <v>5110</v>
      </c>
      <c r="U23" s="54">
        <f t="shared" si="10"/>
        <v>8555</v>
      </c>
      <c r="V23" s="57">
        <f t="shared" si="11"/>
        <v>1</v>
      </c>
      <c r="W23" s="58">
        <f t="shared" si="12"/>
        <v>2551</v>
      </c>
      <c r="X23" s="58">
        <f t="shared" si="13"/>
        <v>894</v>
      </c>
      <c r="Y23" s="58">
        <f t="shared" si="14"/>
        <v>5111</v>
      </c>
      <c r="Z23" s="59">
        <f t="shared" si="15"/>
        <v>0</v>
      </c>
    </row>
    <row r="24" spans="1:26" ht="17">
      <c r="A24" s="50">
        <v>2033</v>
      </c>
      <c r="B24" s="62" t="s">
        <v>115</v>
      </c>
      <c r="C24" s="52"/>
      <c r="D24" s="52"/>
      <c r="E24" s="52"/>
      <c r="F24" s="54">
        <v>9132</v>
      </c>
      <c r="G24" s="53">
        <f t="shared" si="16"/>
        <v>9132</v>
      </c>
      <c r="H24" s="54">
        <v>1454</v>
      </c>
      <c r="I24" s="54">
        <v>513</v>
      </c>
      <c r="J24" s="54">
        <v>2932</v>
      </c>
      <c r="K24" s="54">
        <f t="shared" si="0"/>
        <v>4899</v>
      </c>
      <c r="L24" s="55">
        <f t="shared" si="1"/>
        <v>0.29679526433966114</v>
      </c>
      <c r="M24" s="55">
        <f t="shared" si="2"/>
        <v>0.10471524800979792</v>
      </c>
      <c r="N24" s="55">
        <f t="shared" si="3"/>
        <v>0.59848948765054089</v>
      </c>
      <c r="O24" s="56">
        <f t="shared" si="4"/>
        <v>2710.3343539497855</v>
      </c>
      <c r="P24" s="56">
        <f t="shared" si="5"/>
        <v>956.25964482547465</v>
      </c>
      <c r="Q24" s="56">
        <f t="shared" si="6"/>
        <v>5465.4060012247392</v>
      </c>
      <c r="R24" s="54">
        <f t="shared" si="7"/>
        <v>2710</v>
      </c>
      <c r="S24" s="54">
        <f t="shared" si="8"/>
        <v>956</v>
      </c>
      <c r="T24" s="54">
        <f t="shared" si="9"/>
        <v>5465</v>
      </c>
      <c r="U24" s="54">
        <f t="shared" si="10"/>
        <v>9131</v>
      </c>
      <c r="V24" s="57">
        <f t="shared" si="11"/>
        <v>1</v>
      </c>
      <c r="W24" s="58">
        <f t="shared" si="12"/>
        <v>2710</v>
      </c>
      <c r="X24" s="58">
        <f t="shared" si="13"/>
        <v>956</v>
      </c>
      <c r="Y24" s="58">
        <f t="shared" si="14"/>
        <v>5466</v>
      </c>
      <c r="Z24" s="59">
        <f t="shared" si="15"/>
        <v>0</v>
      </c>
    </row>
    <row r="25" spans="1:26" ht="17">
      <c r="A25" s="50">
        <v>2034</v>
      </c>
      <c r="B25" s="62" t="s">
        <v>115</v>
      </c>
      <c r="C25" s="52"/>
      <c r="D25" s="52"/>
      <c r="E25" s="52"/>
      <c r="F25" s="54">
        <v>9722</v>
      </c>
      <c r="G25" s="53">
        <f t="shared" si="16"/>
        <v>9722</v>
      </c>
      <c r="H25" s="54">
        <v>1528</v>
      </c>
      <c r="I25" s="54">
        <v>542</v>
      </c>
      <c r="J25" s="54">
        <v>3101</v>
      </c>
      <c r="K25" s="54">
        <f t="shared" si="0"/>
        <v>5171</v>
      </c>
      <c r="L25" s="55">
        <f t="shared" si="1"/>
        <v>0.2954941017211371</v>
      </c>
      <c r="M25" s="55">
        <f t="shared" si="2"/>
        <v>0.10481531618642428</v>
      </c>
      <c r="N25" s="55">
        <f t="shared" si="3"/>
        <v>0.59969058209243864</v>
      </c>
      <c r="O25" s="56">
        <f t="shared" si="4"/>
        <v>2872.7936569328949</v>
      </c>
      <c r="P25" s="56">
        <f t="shared" si="5"/>
        <v>1019.0145039644169</v>
      </c>
      <c r="Q25" s="56">
        <f t="shared" si="6"/>
        <v>5830.1918391026884</v>
      </c>
      <c r="R25" s="54">
        <f t="shared" si="7"/>
        <v>2873</v>
      </c>
      <c r="S25" s="54">
        <f t="shared" si="8"/>
        <v>1019</v>
      </c>
      <c r="T25" s="54">
        <f t="shared" si="9"/>
        <v>5830</v>
      </c>
      <c r="U25" s="54">
        <f t="shared" si="10"/>
        <v>9722</v>
      </c>
      <c r="V25" s="57">
        <f t="shared" si="11"/>
        <v>0</v>
      </c>
      <c r="W25" s="58">
        <f t="shared" si="12"/>
        <v>2873</v>
      </c>
      <c r="X25" s="58">
        <f t="shared" si="13"/>
        <v>1019</v>
      </c>
      <c r="Y25" s="58">
        <f t="shared" si="14"/>
        <v>5830</v>
      </c>
      <c r="Z25" s="59">
        <f t="shared" si="15"/>
        <v>0</v>
      </c>
    </row>
    <row r="26" spans="1:26" ht="17">
      <c r="A26" s="50">
        <v>2035</v>
      </c>
      <c r="B26" s="62" t="s">
        <v>115</v>
      </c>
      <c r="C26" s="52"/>
      <c r="D26" s="52"/>
      <c r="E26" s="52"/>
      <c r="F26" s="54">
        <v>10324</v>
      </c>
      <c r="G26" s="53">
        <f t="shared" si="16"/>
        <v>10324</v>
      </c>
      <c r="H26" s="54">
        <v>1605</v>
      </c>
      <c r="I26" s="54">
        <v>574</v>
      </c>
      <c r="J26" s="54">
        <v>3280</v>
      </c>
      <c r="K26" s="54">
        <f t="shared" si="0"/>
        <v>5459</v>
      </c>
      <c r="L26" s="55">
        <f t="shared" si="1"/>
        <v>0.29400989192159738</v>
      </c>
      <c r="M26" s="55">
        <f t="shared" si="2"/>
        <v>0.105147462905294</v>
      </c>
      <c r="N26" s="55">
        <f t="shared" si="3"/>
        <v>0.60084264517310859</v>
      </c>
      <c r="O26" s="56">
        <f t="shared" si="4"/>
        <v>3035.3581241985712</v>
      </c>
      <c r="P26" s="56">
        <f t="shared" si="5"/>
        <v>1085.5424070342553</v>
      </c>
      <c r="Q26" s="56">
        <f t="shared" si="6"/>
        <v>6203.0994687671728</v>
      </c>
      <c r="R26" s="54">
        <f t="shared" si="7"/>
        <v>3035</v>
      </c>
      <c r="S26" s="54">
        <f t="shared" si="8"/>
        <v>1086</v>
      </c>
      <c r="T26" s="54">
        <f t="shared" si="9"/>
        <v>6203</v>
      </c>
      <c r="U26" s="54">
        <f t="shared" si="10"/>
        <v>10324</v>
      </c>
      <c r="V26" s="57">
        <f t="shared" si="11"/>
        <v>0</v>
      </c>
      <c r="W26" s="58">
        <f t="shared" si="12"/>
        <v>3035</v>
      </c>
      <c r="X26" s="58">
        <f t="shared" si="13"/>
        <v>1086</v>
      </c>
      <c r="Y26" s="58">
        <f t="shared" si="14"/>
        <v>6203</v>
      </c>
      <c r="Z26" s="59">
        <f t="shared" si="15"/>
        <v>0</v>
      </c>
    </row>
    <row r="27" spans="1:26" ht="17">
      <c r="A27" s="50">
        <v>2036</v>
      </c>
      <c r="B27" s="62" t="s">
        <v>115</v>
      </c>
      <c r="C27" s="52"/>
      <c r="D27" s="52"/>
      <c r="E27" s="52"/>
      <c r="F27" s="54">
        <v>10939</v>
      </c>
      <c r="G27" s="53">
        <f t="shared" si="16"/>
        <v>10939</v>
      </c>
      <c r="H27" s="54">
        <v>1687</v>
      </c>
      <c r="I27" s="54">
        <v>607</v>
      </c>
      <c r="J27" s="54">
        <v>3469</v>
      </c>
      <c r="K27" s="54">
        <f t="shared" si="0"/>
        <v>5763</v>
      </c>
      <c r="L27" s="55">
        <f t="shared" si="1"/>
        <v>0.29272948117300018</v>
      </c>
      <c r="M27" s="55">
        <f t="shared" si="2"/>
        <v>0.10532708658684713</v>
      </c>
      <c r="N27" s="55">
        <f t="shared" si="3"/>
        <v>0.60194343224015268</v>
      </c>
      <c r="O27" s="56">
        <f t="shared" si="4"/>
        <v>3202.1677945514489</v>
      </c>
      <c r="P27" s="56">
        <f t="shared" si="5"/>
        <v>1152.1730001735207</v>
      </c>
      <c r="Q27" s="56">
        <f t="shared" si="6"/>
        <v>6584.6592052750302</v>
      </c>
      <c r="R27" s="54">
        <f t="shared" si="7"/>
        <v>3202</v>
      </c>
      <c r="S27" s="54">
        <f t="shared" si="8"/>
        <v>1152</v>
      </c>
      <c r="T27" s="54">
        <f t="shared" si="9"/>
        <v>6585</v>
      </c>
      <c r="U27" s="54">
        <f t="shared" si="10"/>
        <v>10939</v>
      </c>
      <c r="V27" s="57">
        <f t="shared" si="11"/>
        <v>0</v>
      </c>
      <c r="W27" s="58">
        <f t="shared" si="12"/>
        <v>3202</v>
      </c>
      <c r="X27" s="58">
        <f t="shared" si="13"/>
        <v>1152</v>
      </c>
      <c r="Y27" s="58">
        <f t="shared" si="14"/>
        <v>6585</v>
      </c>
      <c r="Z27" s="59">
        <f t="shared" si="15"/>
        <v>0</v>
      </c>
    </row>
    <row r="28" spans="1:26" ht="17">
      <c r="A28" s="50">
        <v>2037</v>
      </c>
      <c r="B28" s="62" t="s">
        <v>115</v>
      </c>
      <c r="C28" s="52"/>
      <c r="D28" s="52"/>
      <c r="E28" s="52"/>
      <c r="F28" s="54">
        <v>11569</v>
      </c>
      <c r="G28" s="53">
        <f t="shared" si="16"/>
        <v>11569</v>
      </c>
      <c r="H28" s="54">
        <v>1772</v>
      </c>
      <c r="I28" s="54">
        <v>607</v>
      </c>
      <c r="J28" s="54">
        <v>3469</v>
      </c>
      <c r="K28" s="54">
        <f t="shared" si="0"/>
        <v>5848</v>
      </c>
      <c r="L28" s="55">
        <f t="shared" si="1"/>
        <v>0.30300957592339262</v>
      </c>
      <c r="M28" s="55">
        <f t="shared" si="2"/>
        <v>0.10379616963064295</v>
      </c>
      <c r="N28" s="55">
        <f t="shared" si="3"/>
        <v>0.59319425444596441</v>
      </c>
      <c r="O28" s="56">
        <f t="shared" si="4"/>
        <v>3505.5177838577292</v>
      </c>
      <c r="P28" s="56">
        <f t="shared" si="5"/>
        <v>1200.8178864569084</v>
      </c>
      <c r="Q28" s="56">
        <f t="shared" si="6"/>
        <v>6862.6643296853626</v>
      </c>
      <c r="R28" s="54">
        <f t="shared" si="7"/>
        <v>3506</v>
      </c>
      <c r="S28" s="54">
        <f t="shared" si="8"/>
        <v>1201</v>
      </c>
      <c r="T28" s="54">
        <f t="shared" si="9"/>
        <v>6863</v>
      </c>
      <c r="U28" s="54">
        <f t="shared" si="10"/>
        <v>11570</v>
      </c>
      <c r="V28" s="57">
        <f t="shared" si="11"/>
        <v>-1</v>
      </c>
      <c r="W28" s="58">
        <f t="shared" si="12"/>
        <v>3506</v>
      </c>
      <c r="X28" s="58">
        <f t="shared" si="13"/>
        <v>1201</v>
      </c>
      <c r="Y28" s="58">
        <f t="shared" si="14"/>
        <v>6862</v>
      </c>
      <c r="Z28" s="59">
        <f t="shared" si="15"/>
        <v>0</v>
      </c>
    </row>
    <row r="29" spans="1:26" ht="17">
      <c r="A29" s="50">
        <v>2038</v>
      </c>
      <c r="B29" s="62" t="s">
        <v>115</v>
      </c>
      <c r="C29" s="52"/>
      <c r="D29" s="52"/>
      <c r="E29" s="52"/>
      <c r="F29" s="54">
        <v>12211</v>
      </c>
      <c r="G29" s="53">
        <f t="shared" si="16"/>
        <v>12211</v>
      </c>
      <c r="H29" s="54">
        <v>1862</v>
      </c>
      <c r="I29" s="54">
        <v>607</v>
      </c>
      <c r="J29" s="54">
        <v>3469</v>
      </c>
      <c r="K29" s="54">
        <f t="shared" si="0"/>
        <v>5938</v>
      </c>
      <c r="L29" s="55">
        <f t="shared" si="1"/>
        <v>0.31357359380262717</v>
      </c>
      <c r="M29" s="55">
        <f t="shared" si="2"/>
        <v>0.10222297069720444</v>
      </c>
      <c r="N29" s="55">
        <f t="shared" si="3"/>
        <v>0.5842034355001684</v>
      </c>
      <c r="O29" s="56">
        <f t="shared" si="4"/>
        <v>3829.0471539238802</v>
      </c>
      <c r="P29" s="56">
        <f t="shared" si="5"/>
        <v>1248.2446951835634</v>
      </c>
      <c r="Q29" s="56">
        <f t="shared" si="6"/>
        <v>7133.7081508925567</v>
      </c>
      <c r="R29" s="54">
        <f t="shared" si="7"/>
        <v>3829</v>
      </c>
      <c r="S29" s="54">
        <f t="shared" si="8"/>
        <v>1248</v>
      </c>
      <c r="T29" s="54">
        <f t="shared" si="9"/>
        <v>7134</v>
      </c>
      <c r="U29" s="54">
        <f t="shared" si="10"/>
        <v>12211</v>
      </c>
      <c r="V29" s="57">
        <f t="shared" si="11"/>
        <v>0</v>
      </c>
      <c r="W29" s="58">
        <f t="shared" si="12"/>
        <v>3829</v>
      </c>
      <c r="X29" s="58">
        <f t="shared" si="13"/>
        <v>1248</v>
      </c>
      <c r="Y29" s="58">
        <f t="shared" si="14"/>
        <v>7134</v>
      </c>
      <c r="Z29" s="59">
        <f t="shared" si="15"/>
        <v>0</v>
      </c>
    </row>
    <row r="30" spans="1:26" ht="17">
      <c r="A30" s="50">
        <v>2039</v>
      </c>
      <c r="B30" s="51" t="s">
        <v>116</v>
      </c>
      <c r="C30" s="52"/>
      <c r="D30" s="52"/>
      <c r="E30" s="52"/>
      <c r="F30" s="52"/>
      <c r="G30" s="53">
        <f t="shared" ref="G30:G41" si="17">$G$29</f>
        <v>12211</v>
      </c>
      <c r="H30" s="54">
        <v>1956</v>
      </c>
      <c r="I30" s="54">
        <v>607</v>
      </c>
      <c r="J30" s="54">
        <v>3469</v>
      </c>
      <c r="K30" s="54">
        <f t="shared" si="0"/>
        <v>6032</v>
      </c>
      <c r="L30" s="63">
        <f t="shared" si="1"/>
        <v>0.32427055702917773</v>
      </c>
      <c r="M30" s="63">
        <f t="shared" si="2"/>
        <v>0.10062997347480106</v>
      </c>
      <c r="N30" s="63">
        <f t="shared" si="3"/>
        <v>0.5750994694960212</v>
      </c>
      <c r="O30" s="64">
        <f t="shared" si="4"/>
        <v>3959.6677718832893</v>
      </c>
      <c r="P30" s="64">
        <f t="shared" si="5"/>
        <v>1228.7926061007956</v>
      </c>
      <c r="Q30" s="64">
        <f t="shared" si="6"/>
        <v>7022.5396220159146</v>
      </c>
      <c r="R30" s="65">
        <f t="shared" si="7"/>
        <v>3960</v>
      </c>
      <c r="S30" s="65">
        <f t="shared" si="8"/>
        <v>1229</v>
      </c>
      <c r="T30" s="65">
        <f t="shared" si="9"/>
        <v>7023</v>
      </c>
      <c r="U30" s="65">
        <f t="shared" si="10"/>
        <v>12212</v>
      </c>
      <c r="V30" s="66">
        <f t="shared" si="11"/>
        <v>-1</v>
      </c>
      <c r="W30" s="58">
        <f t="shared" ref="W30:Y41" si="18">W$29</f>
        <v>3829</v>
      </c>
      <c r="X30" s="58">
        <f t="shared" si="18"/>
        <v>1248</v>
      </c>
      <c r="Y30" s="58">
        <f t="shared" si="18"/>
        <v>7134</v>
      </c>
      <c r="Z30" s="59">
        <f t="shared" si="15"/>
        <v>0</v>
      </c>
    </row>
    <row r="31" spans="1:26" ht="17">
      <c r="A31" s="50">
        <v>2040</v>
      </c>
      <c r="B31" s="51" t="s">
        <v>116</v>
      </c>
      <c r="C31" s="52"/>
      <c r="D31" s="52"/>
      <c r="E31" s="52"/>
      <c r="F31" s="52"/>
      <c r="G31" s="53">
        <f t="shared" si="17"/>
        <v>12211</v>
      </c>
      <c r="H31" s="54">
        <v>2055</v>
      </c>
      <c r="I31" s="54">
        <v>607</v>
      </c>
      <c r="J31" s="54">
        <v>3469</v>
      </c>
      <c r="K31" s="54">
        <f t="shared" si="0"/>
        <v>6131</v>
      </c>
      <c r="L31" s="63">
        <f t="shared" si="1"/>
        <v>0.33518186266514433</v>
      </c>
      <c r="M31" s="63">
        <f t="shared" si="2"/>
        <v>9.9005056271407599E-2</v>
      </c>
      <c r="N31" s="63">
        <f t="shared" si="3"/>
        <v>0.56581308106344808</v>
      </c>
      <c r="O31" s="64">
        <f t="shared" si="4"/>
        <v>4092.9057250040773</v>
      </c>
      <c r="P31" s="64">
        <f t="shared" si="5"/>
        <v>1208.9507421301582</v>
      </c>
      <c r="Q31" s="64">
        <f t="shared" si="6"/>
        <v>6909.1435328657644</v>
      </c>
      <c r="R31" s="65">
        <f t="shared" si="7"/>
        <v>4093</v>
      </c>
      <c r="S31" s="65">
        <f t="shared" si="8"/>
        <v>1209</v>
      </c>
      <c r="T31" s="65">
        <f t="shared" si="9"/>
        <v>6909</v>
      </c>
      <c r="U31" s="65">
        <f t="shared" si="10"/>
        <v>12211</v>
      </c>
      <c r="V31" s="66">
        <f t="shared" si="11"/>
        <v>0</v>
      </c>
      <c r="W31" s="58">
        <f t="shared" si="18"/>
        <v>3829</v>
      </c>
      <c r="X31" s="58">
        <f t="shared" si="18"/>
        <v>1248</v>
      </c>
      <c r="Y31" s="58">
        <f t="shared" si="18"/>
        <v>7134</v>
      </c>
      <c r="Z31" s="59">
        <f t="shared" si="15"/>
        <v>0</v>
      </c>
    </row>
    <row r="32" spans="1:26" ht="17">
      <c r="A32" s="50">
        <v>2041</v>
      </c>
      <c r="B32" s="51" t="s">
        <v>116</v>
      </c>
      <c r="C32" s="52"/>
      <c r="D32" s="52"/>
      <c r="E32" s="52"/>
      <c r="F32" s="52"/>
      <c r="G32" s="53">
        <f t="shared" si="17"/>
        <v>12211</v>
      </c>
      <c r="H32" s="54">
        <v>2159</v>
      </c>
      <c r="I32" s="54">
        <v>607</v>
      </c>
      <c r="J32" s="54">
        <v>3469</v>
      </c>
      <c r="K32" s="54">
        <f t="shared" si="0"/>
        <v>6235</v>
      </c>
      <c r="L32" s="63">
        <f t="shared" si="1"/>
        <v>0.34627105052125101</v>
      </c>
      <c r="M32" s="63">
        <f t="shared" si="2"/>
        <v>9.7353648757016839E-2</v>
      </c>
      <c r="N32" s="63">
        <f t="shared" si="3"/>
        <v>0.55637530072173214</v>
      </c>
      <c r="O32" s="64">
        <f t="shared" si="4"/>
        <v>4228.3157979149964</v>
      </c>
      <c r="P32" s="64">
        <f t="shared" si="5"/>
        <v>1188.7854049719326</v>
      </c>
      <c r="Q32" s="64">
        <f t="shared" si="6"/>
        <v>6793.8987971130709</v>
      </c>
      <c r="R32" s="65">
        <f t="shared" si="7"/>
        <v>4228</v>
      </c>
      <c r="S32" s="65">
        <f t="shared" si="8"/>
        <v>1189</v>
      </c>
      <c r="T32" s="65">
        <f t="shared" si="9"/>
        <v>6794</v>
      </c>
      <c r="U32" s="65">
        <f t="shared" si="10"/>
        <v>12211</v>
      </c>
      <c r="V32" s="66">
        <f t="shared" si="11"/>
        <v>0</v>
      </c>
      <c r="W32" s="58">
        <f t="shared" si="18"/>
        <v>3829</v>
      </c>
      <c r="X32" s="58">
        <f t="shared" si="18"/>
        <v>1248</v>
      </c>
      <c r="Y32" s="58">
        <f t="shared" si="18"/>
        <v>7134</v>
      </c>
      <c r="Z32" s="59">
        <f t="shared" si="15"/>
        <v>0</v>
      </c>
    </row>
    <row r="33" spans="1:26" ht="17">
      <c r="A33" s="50">
        <v>2042</v>
      </c>
      <c r="B33" s="51" t="s">
        <v>116</v>
      </c>
      <c r="C33" s="52"/>
      <c r="D33" s="52"/>
      <c r="E33" s="52"/>
      <c r="F33" s="52"/>
      <c r="G33" s="53">
        <f t="shared" si="17"/>
        <v>12211</v>
      </c>
      <c r="H33" s="54">
        <v>2268</v>
      </c>
      <c r="I33" s="54">
        <v>607</v>
      </c>
      <c r="J33" s="54">
        <v>3469</v>
      </c>
      <c r="K33" s="54">
        <f t="shared" si="0"/>
        <v>6344</v>
      </c>
      <c r="L33" s="63">
        <f t="shared" si="1"/>
        <v>0.35750315258511978</v>
      </c>
      <c r="M33" s="63">
        <f t="shared" si="2"/>
        <v>9.5680958385876425E-2</v>
      </c>
      <c r="N33" s="63">
        <f t="shared" si="3"/>
        <v>0.5468158890290038</v>
      </c>
      <c r="O33" s="64">
        <f t="shared" si="4"/>
        <v>4365.4709962168972</v>
      </c>
      <c r="P33" s="64">
        <f t="shared" si="5"/>
        <v>1168.360182849937</v>
      </c>
      <c r="Q33" s="64">
        <f t="shared" si="6"/>
        <v>6677.1688209331651</v>
      </c>
      <c r="R33" s="65">
        <f t="shared" si="7"/>
        <v>4365</v>
      </c>
      <c r="S33" s="65">
        <f t="shared" si="8"/>
        <v>1168</v>
      </c>
      <c r="T33" s="65">
        <f t="shared" si="9"/>
        <v>6677</v>
      </c>
      <c r="U33" s="65">
        <f t="shared" si="10"/>
        <v>12210</v>
      </c>
      <c r="V33" s="66">
        <f t="shared" si="11"/>
        <v>1</v>
      </c>
      <c r="W33" s="58">
        <f t="shared" si="18"/>
        <v>3829</v>
      </c>
      <c r="X33" s="58">
        <f t="shared" si="18"/>
        <v>1248</v>
      </c>
      <c r="Y33" s="58">
        <f t="shared" si="18"/>
        <v>7134</v>
      </c>
      <c r="Z33" s="59">
        <f t="shared" si="15"/>
        <v>0</v>
      </c>
    </row>
    <row r="34" spans="1:26" ht="17">
      <c r="A34" s="50">
        <v>2043</v>
      </c>
      <c r="B34" s="51" t="s">
        <v>116</v>
      </c>
      <c r="C34" s="52"/>
      <c r="D34" s="52"/>
      <c r="E34" s="52"/>
      <c r="F34" s="52"/>
      <c r="G34" s="53">
        <f t="shared" si="17"/>
        <v>12211</v>
      </c>
      <c r="H34" s="54">
        <v>2383</v>
      </c>
      <c r="I34" s="54">
        <v>607</v>
      </c>
      <c r="J34" s="54">
        <v>3469</v>
      </c>
      <c r="K34" s="54">
        <f t="shared" si="0"/>
        <v>6459</v>
      </c>
      <c r="L34" s="63">
        <f t="shared" si="1"/>
        <v>0.36894256076792076</v>
      </c>
      <c r="M34" s="63">
        <f t="shared" si="2"/>
        <v>9.3977395881715442E-2</v>
      </c>
      <c r="N34" s="63">
        <f t="shared" si="3"/>
        <v>0.53708004335036386</v>
      </c>
      <c r="O34" s="64">
        <f t="shared" si="4"/>
        <v>4505.1576095370801</v>
      </c>
      <c r="P34" s="64">
        <f t="shared" si="5"/>
        <v>1147.5579811116272</v>
      </c>
      <c r="Q34" s="64">
        <f t="shared" si="6"/>
        <v>6558.2844093512931</v>
      </c>
      <c r="R34" s="65">
        <f t="shared" si="7"/>
        <v>4505</v>
      </c>
      <c r="S34" s="65">
        <f t="shared" si="8"/>
        <v>1148</v>
      </c>
      <c r="T34" s="65">
        <f t="shared" si="9"/>
        <v>6558</v>
      </c>
      <c r="U34" s="65">
        <f t="shared" si="10"/>
        <v>12211</v>
      </c>
      <c r="V34" s="66">
        <f t="shared" si="11"/>
        <v>0</v>
      </c>
      <c r="W34" s="58">
        <f t="shared" si="18"/>
        <v>3829</v>
      </c>
      <c r="X34" s="58">
        <f t="shared" si="18"/>
        <v>1248</v>
      </c>
      <c r="Y34" s="58">
        <f t="shared" si="18"/>
        <v>7134</v>
      </c>
      <c r="Z34" s="59">
        <f t="shared" si="15"/>
        <v>0</v>
      </c>
    </row>
    <row r="35" spans="1:26" ht="17">
      <c r="A35" s="50">
        <v>2044</v>
      </c>
      <c r="B35" s="51" t="s">
        <v>116</v>
      </c>
      <c r="C35" s="52"/>
      <c r="D35" s="52"/>
      <c r="E35" s="52"/>
      <c r="F35" s="52"/>
      <c r="G35" s="53">
        <f t="shared" si="17"/>
        <v>12211</v>
      </c>
      <c r="H35" s="54">
        <v>2504</v>
      </c>
      <c r="I35" s="54">
        <v>607</v>
      </c>
      <c r="J35" s="54">
        <v>3469</v>
      </c>
      <c r="K35" s="54">
        <f t="shared" si="0"/>
        <v>6580</v>
      </c>
      <c r="L35" s="63">
        <f t="shared" si="1"/>
        <v>0.38054711246200607</v>
      </c>
      <c r="M35" s="63">
        <f t="shared" si="2"/>
        <v>9.2249240121580547E-2</v>
      </c>
      <c r="N35" s="63">
        <f t="shared" si="3"/>
        <v>0.52720364741641335</v>
      </c>
      <c r="O35" s="64">
        <f t="shared" si="4"/>
        <v>4646.8607902735557</v>
      </c>
      <c r="P35" s="64">
        <f t="shared" si="5"/>
        <v>1126.4554711246201</v>
      </c>
      <c r="Q35" s="64">
        <f t="shared" si="6"/>
        <v>6437.6837386018233</v>
      </c>
      <c r="R35" s="65">
        <f t="shared" si="7"/>
        <v>4647</v>
      </c>
      <c r="S35" s="65">
        <f t="shared" si="8"/>
        <v>1126</v>
      </c>
      <c r="T35" s="65">
        <f t="shared" si="9"/>
        <v>6438</v>
      </c>
      <c r="U35" s="65">
        <f t="shared" si="10"/>
        <v>12211</v>
      </c>
      <c r="V35" s="66">
        <f t="shared" si="11"/>
        <v>0</v>
      </c>
      <c r="W35" s="58">
        <f t="shared" si="18"/>
        <v>3829</v>
      </c>
      <c r="X35" s="58">
        <f t="shared" si="18"/>
        <v>1248</v>
      </c>
      <c r="Y35" s="58">
        <f t="shared" si="18"/>
        <v>7134</v>
      </c>
      <c r="Z35" s="59">
        <f t="shared" si="15"/>
        <v>0</v>
      </c>
    </row>
    <row r="36" spans="1:26" ht="17">
      <c r="A36" s="50">
        <v>2045</v>
      </c>
      <c r="B36" s="51" t="s">
        <v>116</v>
      </c>
      <c r="C36" s="52"/>
      <c r="D36" s="52"/>
      <c r="E36" s="52"/>
      <c r="F36" s="52"/>
      <c r="G36" s="53">
        <f t="shared" si="17"/>
        <v>12211</v>
      </c>
      <c r="H36" s="54">
        <v>2631</v>
      </c>
      <c r="I36" s="54">
        <v>607</v>
      </c>
      <c r="J36" s="54">
        <v>3469</v>
      </c>
      <c r="K36" s="54">
        <f t="shared" si="0"/>
        <v>6707</v>
      </c>
      <c r="L36" s="63">
        <f t="shared" si="1"/>
        <v>0.39227672580885642</v>
      </c>
      <c r="M36" s="63">
        <f t="shared" si="2"/>
        <v>9.050246011629641E-2</v>
      </c>
      <c r="N36" s="63">
        <f t="shared" si="3"/>
        <v>0.51722081407484721</v>
      </c>
      <c r="O36" s="64">
        <f t="shared" si="4"/>
        <v>4790.0910988519454</v>
      </c>
      <c r="P36" s="64">
        <f t="shared" si="5"/>
        <v>1105.1255404800954</v>
      </c>
      <c r="Q36" s="64">
        <f t="shared" si="6"/>
        <v>6315.7833606679596</v>
      </c>
      <c r="R36" s="65">
        <f t="shared" si="7"/>
        <v>4790</v>
      </c>
      <c r="S36" s="65">
        <f t="shared" si="8"/>
        <v>1105</v>
      </c>
      <c r="T36" s="65">
        <f t="shared" si="9"/>
        <v>6316</v>
      </c>
      <c r="U36" s="65">
        <f t="shared" si="10"/>
        <v>12211</v>
      </c>
      <c r="V36" s="66">
        <f t="shared" si="11"/>
        <v>0</v>
      </c>
      <c r="W36" s="58">
        <f t="shared" si="18"/>
        <v>3829</v>
      </c>
      <c r="X36" s="58">
        <f t="shared" si="18"/>
        <v>1248</v>
      </c>
      <c r="Y36" s="58">
        <f t="shared" si="18"/>
        <v>7134</v>
      </c>
      <c r="Z36" s="59">
        <f t="shared" si="15"/>
        <v>0</v>
      </c>
    </row>
    <row r="37" spans="1:26" ht="17">
      <c r="A37" s="50">
        <v>2046</v>
      </c>
      <c r="B37" s="51" t="s">
        <v>116</v>
      </c>
      <c r="C37" s="52"/>
      <c r="D37" s="52"/>
      <c r="E37" s="52"/>
      <c r="F37" s="52"/>
      <c r="G37" s="53">
        <f t="shared" si="17"/>
        <v>12211</v>
      </c>
      <c r="H37" s="54">
        <v>2764</v>
      </c>
      <c r="I37" s="54">
        <v>607</v>
      </c>
      <c r="J37" s="54">
        <v>3469</v>
      </c>
      <c r="K37" s="54">
        <f t="shared" si="0"/>
        <v>6840</v>
      </c>
      <c r="L37" s="63">
        <f t="shared" si="1"/>
        <v>0.404093567251462</v>
      </c>
      <c r="M37" s="63">
        <f t="shared" si="2"/>
        <v>8.8742690058479526E-2</v>
      </c>
      <c r="N37" s="63">
        <f t="shared" si="3"/>
        <v>0.50716374269005848</v>
      </c>
      <c r="O37" s="64">
        <f t="shared" si="4"/>
        <v>4934.3865497076022</v>
      </c>
      <c r="P37" s="64">
        <f t="shared" si="5"/>
        <v>1083.6369883040934</v>
      </c>
      <c r="Q37" s="64">
        <f t="shared" si="6"/>
        <v>6192.9764619883044</v>
      </c>
      <c r="R37" s="65">
        <f t="shared" si="7"/>
        <v>4934</v>
      </c>
      <c r="S37" s="65">
        <f t="shared" si="8"/>
        <v>1084</v>
      </c>
      <c r="T37" s="65">
        <f t="shared" si="9"/>
        <v>6193</v>
      </c>
      <c r="U37" s="65">
        <f t="shared" si="10"/>
        <v>12211</v>
      </c>
      <c r="V37" s="66">
        <f t="shared" si="11"/>
        <v>0</v>
      </c>
      <c r="W37" s="58">
        <f t="shared" si="18"/>
        <v>3829</v>
      </c>
      <c r="X37" s="58">
        <f t="shared" si="18"/>
        <v>1248</v>
      </c>
      <c r="Y37" s="58">
        <f t="shared" si="18"/>
        <v>7134</v>
      </c>
      <c r="Z37" s="59">
        <f t="shared" si="15"/>
        <v>0</v>
      </c>
    </row>
    <row r="38" spans="1:26" ht="17">
      <c r="A38" s="50">
        <v>2047</v>
      </c>
      <c r="B38" s="51" t="s">
        <v>116</v>
      </c>
      <c r="C38" s="52"/>
      <c r="D38" s="52"/>
      <c r="E38" s="52"/>
      <c r="F38" s="52"/>
      <c r="G38" s="53">
        <f t="shared" si="17"/>
        <v>12211</v>
      </c>
      <c r="H38" s="54">
        <v>2904</v>
      </c>
      <c r="I38" s="54">
        <v>607</v>
      </c>
      <c r="J38" s="54">
        <v>3469</v>
      </c>
      <c r="K38" s="54">
        <f t="shared" si="0"/>
        <v>6980</v>
      </c>
      <c r="L38" s="63">
        <f t="shared" si="1"/>
        <v>0.41604584527220628</v>
      </c>
      <c r="M38" s="63">
        <f t="shared" si="2"/>
        <v>8.6962750716332374E-2</v>
      </c>
      <c r="N38" s="63">
        <f t="shared" si="3"/>
        <v>0.4969914040114613</v>
      </c>
      <c r="O38" s="64">
        <f t="shared" si="4"/>
        <v>5080.3358166189109</v>
      </c>
      <c r="P38" s="64">
        <f t="shared" si="5"/>
        <v>1061.9021489971346</v>
      </c>
      <c r="Q38" s="64">
        <f t="shared" si="6"/>
        <v>6068.7620343839535</v>
      </c>
      <c r="R38" s="65">
        <f t="shared" si="7"/>
        <v>5080</v>
      </c>
      <c r="S38" s="65">
        <f t="shared" si="8"/>
        <v>1062</v>
      </c>
      <c r="T38" s="65">
        <f t="shared" si="9"/>
        <v>6069</v>
      </c>
      <c r="U38" s="65">
        <f t="shared" si="10"/>
        <v>12211</v>
      </c>
      <c r="V38" s="66">
        <f t="shared" si="11"/>
        <v>0</v>
      </c>
      <c r="W38" s="58">
        <f t="shared" si="18"/>
        <v>3829</v>
      </c>
      <c r="X38" s="58">
        <f t="shared" si="18"/>
        <v>1248</v>
      </c>
      <c r="Y38" s="58">
        <f t="shared" si="18"/>
        <v>7134</v>
      </c>
      <c r="Z38" s="59">
        <f t="shared" si="15"/>
        <v>0</v>
      </c>
    </row>
    <row r="39" spans="1:26" ht="17">
      <c r="A39" s="50">
        <v>2048</v>
      </c>
      <c r="B39" s="51" t="s">
        <v>116</v>
      </c>
      <c r="C39" s="52"/>
      <c r="D39" s="52"/>
      <c r="E39" s="52"/>
      <c r="F39" s="52"/>
      <c r="G39" s="53">
        <f t="shared" si="17"/>
        <v>12211</v>
      </c>
      <c r="H39" s="54">
        <v>3051</v>
      </c>
      <c r="I39" s="54">
        <v>607</v>
      </c>
      <c r="J39" s="54">
        <v>3469</v>
      </c>
      <c r="K39" s="54">
        <f t="shared" si="0"/>
        <v>7127</v>
      </c>
      <c r="L39" s="63">
        <f t="shared" si="1"/>
        <v>0.42809036060053318</v>
      </c>
      <c r="M39" s="63">
        <f t="shared" si="2"/>
        <v>8.5169075347270945E-2</v>
      </c>
      <c r="N39" s="63">
        <f t="shared" si="3"/>
        <v>0.4867405640521959</v>
      </c>
      <c r="O39" s="64">
        <f t="shared" si="4"/>
        <v>5227.4113932931105</v>
      </c>
      <c r="P39" s="64">
        <f t="shared" si="5"/>
        <v>1039.9995790655255</v>
      </c>
      <c r="Q39" s="64">
        <f t="shared" si="6"/>
        <v>5943.5890276413638</v>
      </c>
      <c r="R39" s="65">
        <f t="shared" si="7"/>
        <v>5227</v>
      </c>
      <c r="S39" s="65">
        <f t="shared" si="8"/>
        <v>1040</v>
      </c>
      <c r="T39" s="65">
        <f t="shared" si="9"/>
        <v>5944</v>
      </c>
      <c r="U39" s="65">
        <f t="shared" si="10"/>
        <v>12211</v>
      </c>
      <c r="V39" s="66">
        <f t="shared" si="11"/>
        <v>0</v>
      </c>
      <c r="W39" s="58">
        <f t="shared" si="18"/>
        <v>3829</v>
      </c>
      <c r="X39" s="58">
        <f t="shared" si="18"/>
        <v>1248</v>
      </c>
      <c r="Y39" s="58">
        <f t="shared" si="18"/>
        <v>7134</v>
      </c>
      <c r="Z39" s="59">
        <f t="shared" si="15"/>
        <v>0</v>
      </c>
    </row>
    <row r="40" spans="1:26" ht="17">
      <c r="A40" s="50">
        <v>2049</v>
      </c>
      <c r="B40" s="51" t="s">
        <v>116</v>
      </c>
      <c r="C40" s="52"/>
      <c r="D40" s="52"/>
      <c r="E40" s="52"/>
      <c r="F40" s="52"/>
      <c r="G40" s="53">
        <f t="shared" si="17"/>
        <v>12211</v>
      </c>
      <c r="H40" s="54">
        <v>3206</v>
      </c>
      <c r="I40" s="54">
        <v>607</v>
      </c>
      <c r="J40" s="54">
        <v>3469</v>
      </c>
      <c r="K40" s="54">
        <f t="shared" si="0"/>
        <v>7282</v>
      </c>
      <c r="L40" s="63">
        <f t="shared" si="1"/>
        <v>0.44026366382861853</v>
      </c>
      <c r="M40" s="63">
        <f t="shared" si="2"/>
        <v>8.3356220818456464E-2</v>
      </c>
      <c r="N40" s="63">
        <f t="shared" si="3"/>
        <v>0.47638011535292502</v>
      </c>
      <c r="O40" s="64">
        <f t="shared" si="4"/>
        <v>5376.0595990112606</v>
      </c>
      <c r="P40" s="64">
        <f t="shared" si="5"/>
        <v>1017.8628124141719</v>
      </c>
      <c r="Q40" s="64">
        <f t="shared" si="6"/>
        <v>5817.077588574567</v>
      </c>
      <c r="R40" s="65">
        <f t="shared" si="7"/>
        <v>5376</v>
      </c>
      <c r="S40" s="65">
        <f t="shared" si="8"/>
        <v>1018</v>
      </c>
      <c r="T40" s="65">
        <f t="shared" si="9"/>
        <v>5817</v>
      </c>
      <c r="U40" s="65">
        <f t="shared" si="10"/>
        <v>12211</v>
      </c>
      <c r="V40" s="66">
        <f t="shared" si="11"/>
        <v>0</v>
      </c>
      <c r="W40" s="58">
        <f t="shared" si="18"/>
        <v>3829</v>
      </c>
      <c r="X40" s="58">
        <f t="shared" si="18"/>
        <v>1248</v>
      </c>
      <c r="Y40" s="58">
        <f t="shared" si="18"/>
        <v>7134</v>
      </c>
      <c r="Z40" s="59">
        <f t="shared" si="15"/>
        <v>0</v>
      </c>
    </row>
    <row r="41" spans="1:26" ht="17">
      <c r="A41" s="50">
        <v>2050</v>
      </c>
      <c r="B41" s="51" t="s">
        <v>116</v>
      </c>
      <c r="C41" s="52"/>
      <c r="D41" s="52"/>
      <c r="E41" s="52"/>
      <c r="F41" s="52"/>
      <c r="G41" s="53">
        <f t="shared" si="17"/>
        <v>12211</v>
      </c>
      <c r="H41" s="54">
        <v>3368</v>
      </c>
      <c r="I41" s="54">
        <v>607</v>
      </c>
      <c r="J41" s="54">
        <v>3469</v>
      </c>
      <c r="K41" s="54">
        <f t="shared" si="0"/>
        <v>7444</v>
      </c>
      <c r="L41" s="63">
        <f t="shared" si="1"/>
        <v>0.45244492208490061</v>
      </c>
      <c r="M41" s="63">
        <f t="shared" si="2"/>
        <v>8.1542181622783455E-2</v>
      </c>
      <c r="N41" s="63">
        <f t="shared" si="3"/>
        <v>0.46601289629231596</v>
      </c>
      <c r="O41" s="64">
        <f t="shared" si="4"/>
        <v>5524.8049435787216</v>
      </c>
      <c r="P41" s="64">
        <f t="shared" si="5"/>
        <v>995.7115797958088</v>
      </c>
      <c r="Q41" s="64">
        <f t="shared" si="6"/>
        <v>5690.4834766254698</v>
      </c>
      <c r="R41" s="65">
        <f t="shared" si="7"/>
        <v>5525</v>
      </c>
      <c r="S41" s="65">
        <f t="shared" si="8"/>
        <v>996</v>
      </c>
      <c r="T41" s="65">
        <f t="shared" si="9"/>
        <v>5690</v>
      </c>
      <c r="U41" s="65">
        <f t="shared" si="10"/>
        <v>12211</v>
      </c>
      <c r="V41" s="66">
        <f t="shared" si="11"/>
        <v>0</v>
      </c>
      <c r="W41" s="58">
        <f t="shared" si="18"/>
        <v>3829</v>
      </c>
      <c r="X41" s="58">
        <f t="shared" si="18"/>
        <v>1248</v>
      </c>
      <c r="Y41" s="58">
        <f t="shared" si="18"/>
        <v>7134</v>
      </c>
      <c r="Z41" s="59">
        <f t="shared" si="15"/>
        <v>0</v>
      </c>
    </row>
    <row r="43" spans="1:26" ht="22" customHeight="1">
      <c r="A43" s="67" t="s">
        <v>90</v>
      </c>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spans="1:26" ht="22" customHeight="1">
      <c r="A44" s="67" t="s">
        <v>91</v>
      </c>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spans="1:26" ht="22" customHeight="1">
      <c r="A45" s="67" t="s">
        <v>92</v>
      </c>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spans="1:26" ht="22" customHeight="1">
      <c r="A46" s="67" t="s">
        <v>93</v>
      </c>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sheetData>
  <mergeCells count="15">
    <mergeCell ref="A44:Z44"/>
    <mergeCell ref="A46:Z46"/>
    <mergeCell ref="H9:K9"/>
    <mergeCell ref="B4:Z4"/>
    <mergeCell ref="B5:Z5"/>
    <mergeCell ref="O9:Q9"/>
    <mergeCell ref="W9:Y9"/>
    <mergeCell ref="R9:T9"/>
    <mergeCell ref="A45:Z45"/>
    <mergeCell ref="B7:Z7"/>
    <mergeCell ref="B6:Z6"/>
    <mergeCell ref="C9:E9"/>
    <mergeCell ref="U9:V9"/>
    <mergeCell ref="L9:N9"/>
    <mergeCell ref="A43:Z43"/>
  </mergeCells>
  <phoneticPr fontId="1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70"/>
  <sheetViews>
    <sheetView topLeftCell="I1" workbookViewId="0">
      <pane ySplit="6" topLeftCell="A7" activePane="bottomLeft" state="frozen"/>
      <selection pane="bottomLeft" activeCell="U18" sqref="U18"/>
    </sheetView>
  </sheetViews>
  <sheetFormatPr defaultRowHeight="14.5"/>
  <cols>
    <col min="1" max="1" width="34" customWidth="1"/>
    <col min="2" max="2" width="18.7265625" customWidth="1"/>
    <col min="3" max="3" width="22" customWidth="1"/>
    <col min="4" max="4" width="23" customWidth="1"/>
    <col min="5" max="5" width="11.26953125" customWidth="1"/>
    <col min="6" max="6" width="11.6328125" customWidth="1"/>
    <col min="7" max="7" width="10.36328125" customWidth="1"/>
    <col min="8" max="8" width="12" customWidth="1"/>
    <col min="9" max="9" width="9.36328125" bestFit="1" customWidth="1"/>
    <col min="10" max="11" width="9.6328125" bestFit="1" customWidth="1"/>
    <col min="12" max="13" width="9.36328125" bestFit="1" customWidth="1"/>
    <col min="14" max="14" width="9.6328125" bestFit="1" customWidth="1"/>
    <col min="17" max="17" width="13" customWidth="1"/>
    <col min="18" max="18" width="14.08984375" customWidth="1"/>
    <col min="22" max="22" width="12.08984375" customWidth="1"/>
    <col min="23" max="23" width="13.6328125" customWidth="1"/>
    <col min="28" max="32" width="9.6328125" bestFit="1" customWidth="1"/>
    <col min="33" max="33" width="13" customWidth="1"/>
    <col min="47" max="47" width="11.26953125" customWidth="1"/>
    <col min="48" max="48" width="12" customWidth="1"/>
    <col min="49" max="49" width="11" customWidth="1"/>
    <col min="50" max="50" width="9.6328125" bestFit="1" customWidth="1"/>
    <col min="51" max="52" width="9.36328125" bestFit="1" customWidth="1"/>
    <col min="53" max="54" width="9.6328125" bestFit="1" customWidth="1"/>
  </cols>
  <sheetData>
    <row r="1" spans="1:33">
      <c r="A1" t="str">
        <f>Sheet3!A57</f>
        <v>구분</v>
      </c>
      <c r="B1">
        <f>Sheet3!B57</f>
        <v>2023</v>
      </c>
      <c r="C1">
        <f>Sheet3!C57</f>
        <v>2026</v>
      </c>
      <c r="D1">
        <f>Sheet3!D57</f>
        <v>2030</v>
      </c>
      <c r="E1">
        <f>Sheet3!E57</f>
        <v>2036</v>
      </c>
      <c r="F1" t="str">
        <f>Sheet3!F57</f>
        <v>’23→’26 (3y)</v>
      </c>
      <c r="G1" t="str">
        <f>Sheet3!G57</f>
        <v>’26→’30 (4y)</v>
      </c>
      <c r="H1" t="str">
        <f>Sheet3!H57</f>
        <v>’30→’36 (6y)</v>
      </c>
    </row>
    <row r="2" spans="1:33">
      <c r="A2" s="18" t="str">
        <f>Sheet3!A58</f>
        <v>신재생 등(사업용)</v>
      </c>
      <c r="B2" s="18">
        <f>Sheet3!B58</f>
        <v>41.5</v>
      </c>
      <c r="C2" s="18">
        <f>Sheet3!C58</f>
        <v>50.9</v>
      </c>
      <c r="D2" s="18">
        <f>Sheet3!D58</f>
        <v>65.5</v>
      </c>
      <c r="E2" s="18">
        <f>Sheet3!E58</f>
        <v>88.1</v>
      </c>
      <c r="F2" s="38">
        <f>Sheet3!F58</f>
        <v>7.0425784514054124E-2</v>
      </c>
      <c r="G2" s="38">
        <f>Sheet3!G58</f>
        <v>6.507668873540684E-2</v>
      </c>
      <c r="H2" s="38">
        <f>Sheet3!H58</f>
        <v>5.0644443609383583E-2</v>
      </c>
      <c r="I2" s="18" t="s">
        <v>7</v>
      </c>
    </row>
    <row r="3" spans="1:33">
      <c r="A3" s="41" t="str">
        <f>Sheet3!A59</f>
        <v>자가용 신재생</v>
      </c>
      <c r="B3" s="41">
        <f>Sheet3!B59</f>
        <v>5</v>
      </c>
      <c r="C3" s="41">
        <f>Sheet3!C59</f>
        <v>6.7</v>
      </c>
      <c r="D3" s="41">
        <f>Sheet3!D59</f>
        <v>9</v>
      </c>
      <c r="E3" s="41">
        <f>Sheet3!E59</f>
        <v>12.6</v>
      </c>
      <c r="F3" s="42">
        <f>Sheet3!F59</f>
        <v>0.10247377144973324</v>
      </c>
      <c r="G3" s="42">
        <f>Sheet3!G59</f>
        <v>7.6569140338595965E-2</v>
      </c>
      <c r="H3" s="42">
        <f>Sheet3!H59</f>
        <v>5.7680926405216493E-2</v>
      </c>
      <c r="I3" s="41" t="s">
        <v>65</v>
      </c>
    </row>
    <row r="4" spans="1:33">
      <c r="A4" t="str">
        <f>Sheet3!A60</f>
        <v>상용자가</v>
      </c>
      <c r="B4">
        <f>Sheet3!B60</f>
        <v>5.7</v>
      </c>
      <c r="C4">
        <f>Sheet3!C60</f>
        <v>6.1</v>
      </c>
      <c r="D4">
        <f>Sheet3!D60</f>
        <v>6.1</v>
      </c>
      <c r="E4">
        <f>Sheet3!E60</f>
        <v>6.1</v>
      </c>
      <c r="F4" s="5">
        <f>Sheet3!F60</f>
        <v>2.2865019087619176E-2</v>
      </c>
      <c r="G4" s="5">
        <f>Sheet3!G60</f>
        <v>0</v>
      </c>
      <c r="H4" s="5">
        <f>Sheet3!H60</f>
        <v>0</v>
      </c>
    </row>
    <row r="5" spans="1:33">
      <c r="A5" t="str">
        <f>Sheet3!A61</f>
        <v>집단에너지</v>
      </c>
      <c r="B5">
        <f>Sheet3!B61</f>
        <v>40.700000000000003</v>
      </c>
      <c r="C5">
        <f>Sheet3!C61</f>
        <v>51.8</v>
      </c>
      <c r="D5">
        <f>Sheet3!D61</f>
        <v>56.6</v>
      </c>
      <c r="E5">
        <f>Sheet3!E61</f>
        <v>56.6</v>
      </c>
      <c r="F5" s="5">
        <f>Sheet3!F61</f>
        <v>8.3706762661827083E-2</v>
      </c>
      <c r="G5" s="5">
        <f>Sheet3!G61</f>
        <v>2.2401947003968914E-2</v>
      </c>
      <c r="H5" s="5">
        <f>Sheet3!H61</f>
        <v>0</v>
      </c>
    </row>
    <row r="6" spans="1:33">
      <c r="A6" t="str">
        <f>Sheet3!A62</f>
        <v>합계</v>
      </c>
      <c r="B6">
        <f>Sheet3!B62</f>
        <v>92.9</v>
      </c>
      <c r="C6">
        <f>Sheet3!C62</f>
        <v>115.5</v>
      </c>
      <c r="D6">
        <f>Sheet3!D62</f>
        <v>137.19999999999999</v>
      </c>
      <c r="E6">
        <f>Sheet3!E62</f>
        <v>163.4</v>
      </c>
      <c r="F6" s="5">
        <f>Sheet3!F62</f>
        <v>7.5281292415575463E-2</v>
      </c>
      <c r="G6" s="5">
        <f>Sheet3!G62</f>
        <v>4.3982050528710959E-2</v>
      </c>
      <c r="H6" s="5">
        <f>Sheet3!H62</f>
        <v>2.9555248264960365E-2</v>
      </c>
    </row>
    <row r="10" spans="1:33">
      <c r="A10" s="21" t="s">
        <v>66</v>
      </c>
      <c r="G10" t="s">
        <v>67</v>
      </c>
    </row>
    <row r="11" spans="1:33">
      <c r="A11" s="22" t="s">
        <v>68</v>
      </c>
      <c r="D11" t="s">
        <v>69</v>
      </c>
      <c r="E11" t="s">
        <v>69</v>
      </c>
      <c r="G11" s="43">
        <f>F3</f>
        <v>0.10247377144973324</v>
      </c>
      <c r="H11" s="39">
        <f>G11</f>
        <v>0.10247377144973324</v>
      </c>
      <c r="I11" s="39">
        <f>H11</f>
        <v>0.10247377144973324</v>
      </c>
      <c r="J11" s="43">
        <f>G3</f>
        <v>7.6569140338595965E-2</v>
      </c>
      <c r="K11" s="39">
        <f>J11</f>
        <v>7.6569140338595965E-2</v>
      </c>
      <c r="L11" s="39">
        <f>K11</f>
        <v>7.6569140338595965E-2</v>
      </c>
      <c r="M11" s="39">
        <f>L11</f>
        <v>7.6569140338595965E-2</v>
      </c>
      <c r="N11" s="43">
        <f>H3</f>
        <v>5.7680926405216493E-2</v>
      </c>
      <c r="O11" s="39">
        <f>N11</f>
        <v>5.7680926405216493E-2</v>
      </c>
      <c r="P11" s="39">
        <f>O11</f>
        <v>5.7680926405216493E-2</v>
      </c>
      <c r="Q11" s="39">
        <f>P11</f>
        <v>5.7680926405216493E-2</v>
      </c>
      <c r="R11" s="39">
        <f>Q11</f>
        <v>5.7680926405216493E-2</v>
      </c>
      <c r="S11" s="39">
        <f>R11</f>
        <v>5.7680926405216493E-2</v>
      </c>
      <c r="T11" s="43">
        <v>0</v>
      </c>
      <c r="U11" s="39">
        <f t="shared" ref="U11:AG11" si="0">T11</f>
        <v>0</v>
      </c>
      <c r="V11" s="39">
        <f t="shared" si="0"/>
        <v>0</v>
      </c>
      <c r="W11" s="39">
        <f t="shared" si="0"/>
        <v>0</v>
      </c>
      <c r="X11" s="39">
        <f t="shared" si="0"/>
        <v>0</v>
      </c>
      <c r="Y11" s="39">
        <f t="shared" si="0"/>
        <v>0</v>
      </c>
      <c r="Z11" s="39">
        <f t="shared" si="0"/>
        <v>0</v>
      </c>
      <c r="AA11" s="39">
        <f t="shared" si="0"/>
        <v>0</v>
      </c>
      <c r="AB11" s="39">
        <f t="shared" si="0"/>
        <v>0</v>
      </c>
      <c r="AC11" s="39">
        <f t="shared" si="0"/>
        <v>0</v>
      </c>
      <c r="AD11" s="39">
        <f t="shared" si="0"/>
        <v>0</v>
      </c>
      <c r="AE11" s="39">
        <f t="shared" si="0"/>
        <v>0</v>
      </c>
      <c r="AF11" s="39">
        <f t="shared" si="0"/>
        <v>0</v>
      </c>
      <c r="AG11" s="39">
        <f t="shared" si="0"/>
        <v>0</v>
      </c>
    </row>
    <row r="12" spans="1:33">
      <c r="B12" s="1" t="s">
        <v>64</v>
      </c>
      <c r="C12">
        <v>2020</v>
      </c>
      <c r="D12">
        <v>2021</v>
      </c>
      <c r="E12">
        <v>2022</v>
      </c>
      <c r="F12">
        <v>2023</v>
      </c>
      <c r="G12">
        <v>2024</v>
      </c>
      <c r="H12">
        <v>2025</v>
      </c>
      <c r="I12">
        <v>2026</v>
      </c>
      <c r="J12">
        <v>2027</v>
      </c>
      <c r="K12">
        <v>2028</v>
      </c>
      <c r="L12">
        <v>2029</v>
      </c>
      <c r="M12">
        <v>2030</v>
      </c>
      <c r="N12">
        <v>2031</v>
      </c>
      <c r="O12">
        <v>2032</v>
      </c>
      <c r="P12">
        <v>2033</v>
      </c>
      <c r="Q12">
        <v>2034</v>
      </c>
      <c r="R12">
        <v>2035</v>
      </c>
      <c r="S12">
        <v>2036</v>
      </c>
      <c r="T12">
        <v>2037</v>
      </c>
      <c r="U12">
        <v>2038</v>
      </c>
      <c r="V12">
        <v>2039</v>
      </c>
      <c r="W12">
        <v>2040</v>
      </c>
      <c r="X12">
        <v>2041</v>
      </c>
      <c r="Y12">
        <v>2042</v>
      </c>
      <c r="Z12">
        <v>2043</v>
      </c>
      <c r="AA12">
        <v>2044</v>
      </c>
      <c r="AB12">
        <v>2045</v>
      </c>
      <c r="AC12">
        <v>2046</v>
      </c>
      <c r="AD12">
        <v>2047</v>
      </c>
      <c r="AE12">
        <v>2048</v>
      </c>
      <c r="AF12">
        <v>2049</v>
      </c>
      <c r="AG12">
        <v>2050</v>
      </c>
    </row>
    <row r="13" spans="1:33">
      <c r="B13" t="s">
        <v>40</v>
      </c>
      <c r="C13" s="19">
        <v>0</v>
      </c>
      <c r="D13" s="19">
        <v>0</v>
      </c>
      <c r="E13" s="19">
        <v>0</v>
      </c>
      <c r="F13" s="19">
        <v>0</v>
      </c>
      <c r="G13" s="19">
        <v>0</v>
      </c>
      <c r="H13" s="19">
        <v>0</v>
      </c>
      <c r="I13" s="19">
        <v>0</v>
      </c>
      <c r="J13" s="19">
        <v>0</v>
      </c>
      <c r="K13" s="19">
        <v>0</v>
      </c>
      <c r="L13" s="19">
        <v>0</v>
      </c>
      <c r="M13" s="19">
        <v>0</v>
      </c>
      <c r="N13" s="19">
        <v>0</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c r="AG13" s="19">
        <v>0</v>
      </c>
    </row>
    <row r="14" spans="1:33">
      <c r="A14" s="3"/>
      <c r="B14" t="s">
        <v>70</v>
      </c>
      <c r="C14" s="19">
        <v>0</v>
      </c>
      <c r="D14" s="19">
        <v>0</v>
      </c>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row>
    <row r="15" spans="1:33">
      <c r="B15" t="s">
        <v>43</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row>
    <row r="16" spans="1:33" s="25" customFormat="1">
      <c r="B16" s="25" t="s">
        <v>44</v>
      </c>
      <c r="C16" s="26">
        <f>SYDEC_2020!B6</f>
        <v>0</v>
      </c>
      <c r="D16" s="26">
        <f>_xlfn.FORECAST.LINEAR(D$12, CHOOSE({1,2}, $C16,$F16), CHOOSE({1,2}, $C$12,$F$12))</f>
        <v>0</v>
      </c>
      <c r="E16" s="26">
        <f>_xlfn.FORECAST.LINEAR(E$12, CHOOSE({1,2}, $C16,$F16), CHOOSE({1,2}, $C$12,$F$12))</f>
        <v>0</v>
      </c>
      <c r="F16" s="26">
        <f>SYDEC_2023!B6</f>
        <v>0</v>
      </c>
      <c r="G16" s="26">
        <f t="shared" ref="G16:AG16" si="1">F16*(1+G$11)</f>
        <v>0</v>
      </c>
      <c r="H16" s="26">
        <f t="shared" si="1"/>
        <v>0</v>
      </c>
      <c r="I16" s="26">
        <f t="shared" si="1"/>
        <v>0</v>
      </c>
      <c r="J16" s="26">
        <f t="shared" si="1"/>
        <v>0</v>
      </c>
      <c r="K16" s="26">
        <f t="shared" si="1"/>
        <v>0</v>
      </c>
      <c r="L16" s="26">
        <f t="shared" si="1"/>
        <v>0</v>
      </c>
      <c r="M16" s="26">
        <f t="shared" si="1"/>
        <v>0</v>
      </c>
      <c r="N16" s="26">
        <f t="shared" si="1"/>
        <v>0</v>
      </c>
      <c r="O16" s="26">
        <f t="shared" si="1"/>
        <v>0</v>
      </c>
      <c r="P16" s="26">
        <f t="shared" si="1"/>
        <v>0</v>
      </c>
      <c r="Q16" s="26">
        <f t="shared" si="1"/>
        <v>0</v>
      </c>
      <c r="R16" s="26">
        <f t="shared" si="1"/>
        <v>0</v>
      </c>
      <c r="S16" s="26">
        <f t="shared" si="1"/>
        <v>0</v>
      </c>
      <c r="T16" s="26">
        <f t="shared" si="1"/>
        <v>0</v>
      </c>
      <c r="U16" s="26">
        <f t="shared" si="1"/>
        <v>0</v>
      </c>
      <c r="V16" s="26">
        <f t="shared" si="1"/>
        <v>0</v>
      </c>
      <c r="W16" s="26">
        <f t="shared" si="1"/>
        <v>0</v>
      </c>
      <c r="X16" s="26">
        <f t="shared" si="1"/>
        <v>0</v>
      </c>
      <c r="Y16" s="26">
        <f t="shared" si="1"/>
        <v>0</v>
      </c>
      <c r="Z16" s="26">
        <f t="shared" si="1"/>
        <v>0</v>
      </c>
      <c r="AA16" s="26">
        <f t="shared" si="1"/>
        <v>0</v>
      </c>
      <c r="AB16" s="26">
        <f t="shared" si="1"/>
        <v>0</v>
      </c>
      <c r="AC16" s="26">
        <f t="shared" si="1"/>
        <v>0</v>
      </c>
      <c r="AD16" s="26">
        <f t="shared" si="1"/>
        <v>0</v>
      </c>
      <c r="AE16" s="26">
        <f t="shared" si="1"/>
        <v>0</v>
      </c>
      <c r="AF16" s="26">
        <f t="shared" si="1"/>
        <v>0</v>
      </c>
      <c r="AG16" s="26">
        <f t="shared" si="1"/>
        <v>0</v>
      </c>
    </row>
    <row r="17" spans="1:33" s="25" customFormat="1">
      <c r="A17" s="27"/>
      <c r="B17" s="25" t="s">
        <v>45</v>
      </c>
      <c r="C17" s="26">
        <f>SYDEC_2020!B7</f>
        <v>0</v>
      </c>
      <c r="D17" s="26">
        <f>_xlfn.FORECAST.LINEAR(D$12, CHOOSE({1,2}, $C17,$F17), CHOOSE({1,2}, $C$12,$F$12))</f>
        <v>0</v>
      </c>
      <c r="E17" s="26">
        <f>_xlfn.FORECAST.LINEAR(E$12, CHOOSE({1,2}, $C17,$F17), CHOOSE({1,2}, $C$12,$F$12))</f>
        <v>0</v>
      </c>
      <c r="F17" s="26">
        <f>SYDEC_2023!B7</f>
        <v>0</v>
      </c>
      <c r="G17" s="26">
        <f t="shared" ref="G17:AG17" si="2">F17*(1+G$11)</f>
        <v>0</v>
      </c>
      <c r="H17" s="26">
        <f t="shared" si="2"/>
        <v>0</v>
      </c>
      <c r="I17" s="26">
        <f t="shared" si="2"/>
        <v>0</v>
      </c>
      <c r="J17" s="26">
        <f t="shared" si="2"/>
        <v>0</v>
      </c>
      <c r="K17" s="26">
        <f t="shared" si="2"/>
        <v>0</v>
      </c>
      <c r="L17" s="26">
        <f t="shared" si="2"/>
        <v>0</v>
      </c>
      <c r="M17" s="26">
        <f t="shared" si="2"/>
        <v>0</v>
      </c>
      <c r="N17" s="26">
        <f t="shared" si="2"/>
        <v>0</v>
      </c>
      <c r="O17" s="26">
        <f t="shared" si="2"/>
        <v>0</v>
      </c>
      <c r="P17" s="26">
        <f t="shared" si="2"/>
        <v>0</v>
      </c>
      <c r="Q17" s="26">
        <f t="shared" si="2"/>
        <v>0</v>
      </c>
      <c r="R17" s="26">
        <f t="shared" si="2"/>
        <v>0</v>
      </c>
      <c r="S17" s="26">
        <f t="shared" si="2"/>
        <v>0</v>
      </c>
      <c r="T17" s="26">
        <f t="shared" si="2"/>
        <v>0</v>
      </c>
      <c r="U17" s="26">
        <f t="shared" si="2"/>
        <v>0</v>
      </c>
      <c r="V17" s="26">
        <f t="shared" si="2"/>
        <v>0</v>
      </c>
      <c r="W17" s="26">
        <f t="shared" si="2"/>
        <v>0</v>
      </c>
      <c r="X17" s="26">
        <f t="shared" si="2"/>
        <v>0</v>
      </c>
      <c r="Y17" s="26">
        <f t="shared" si="2"/>
        <v>0</v>
      </c>
      <c r="Z17" s="26">
        <f t="shared" si="2"/>
        <v>0</v>
      </c>
      <c r="AA17" s="26">
        <f t="shared" si="2"/>
        <v>0</v>
      </c>
      <c r="AB17" s="26">
        <f t="shared" si="2"/>
        <v>0</v>
      </c>
      <c r="AC17" s="26">
        <f t="shared" si="2"/>
        <v>0</v>
      </c>
      <c r="AD17" s="26">
        <f t="shared" si="2"/>
        <v>0</v>
      </c>
      <c r="AE17" s="26">
        <f t="shared" si="2"/>
        <v>0</v>
      </c>
      <c r="AF17" s="26">
        <f t="shared" si="2"/>
        <v>0</v>
      </c>
      <c r="AG17" s="26">
        <f t="shared" si="2"/>
        <v>0</v>
      </c>
    </row>
    <row r="18" spans="1:33" s="25" customFormat="1">
      <c r="A18" s="27" t="s">
        <v>71</v>
      </c>
      <c r="B18" s="25" t="s">
        <v>46</v>
      </c>
      <c r="C18" s="44">
        <f>'260915_분산태양광'!Y11</f>
        <v>1377</v>
      </c>
      <c r="D18" s="44">
        <f>'260915_분산태양광'!Y12</f>
        <v>1633</v>
      </c>
      <c r="E18" s="44">
        <f>'260915_분산태양광'!Y13</f>
        <v>1894</v>
      </c>
      <c r="F18" s="44">
        <f>'260915_분산태양광'!Y14</f>
        <v>2197</v>
      </c>
      <c r="G18" s="44">
        <f>'260915_분산태양광'!Y15</f>
        <v>2663</v>
      </c>
      <c r="H18" s="44">
        <f>'260915_분산태양광'!Y16</f>
        <v>2823</v>
      </c>
      <c r="I18" s="44">
        <f>'260915_분산태양광'!Y17</f>
        <v>3138</v>
      </c>
      <c r="J18" s="44">
        <f>'260915_분산태양광'!Y18</f>
        <v>3447</v>
      </c>
      <c r="K18" s="44">
        <f>'260915_분산태양광'!Y19</f>
        <v>3764</v>
      </c>
      <c r="L18" s="44">
        <f>'260915_분산태양광'!Y20</f>
        <v>4092</v>
      </c>
      <c r="M18" s="44">
        <f>'260915_분산태양광'!Y21</f>
        <v>4427</v>
      </c>
      <c r="N18" s="44">
        <f>'260915_분산태양광'!Y22</f>
        <v>4765</v>
      </c>
      <c r="O18" s="44">
        <f>'260915_분산태양광'!Y23</f>
        <v>5111</v>
      </c>
      <c r="P18" s="44">
        <f>'260915_분산태양광'!Y24</f>
        <v>5466</v>
      </c>
      <c r="Q18" s="44">
        <f>'260915_분산태양광'!Y25</f>
        <v>5830</v>
      </c>
      <c r="R18" s="44">
        <f>'260915_분산태양광'!Y26</f>
        <v>6203</v>
      </c>
      <c r="S18" s="44">
        <f>'260915_분산태양광'!Y27</f>
        <v>6585</v>
      </c>
      <c r="T18" s="44">
        <f>'260915_분산태양광'!Y28</f>
        <v>6862</v>
      </c>
      <c r="U18" s="44">
        <f>'260915_분산태양광'!Y29</f>
        <v>7134</v>
      </c>
      <c r="V18" s="44">
        <f>'260915_분산태양광'!Y30</f>
        <v>7134</v>
      </c>
      <c r="W18" s="44">
        <f>'260915_분산태양광'!Y31</f>
        <v>7134</v>
      </c>
      <c r="X18" s="44">
        <f>'260915_분산태양광'!Y32</f>
        <v>7134</v>
      </c>
      <c r="Y18" s="44">
        <f>'260915_분산태양광'!Y33</f>
        <v>7134</v>
      </c>
      <c r="Z18" s="44">
        <f>'260915_분산태양광'!Y34</f>
        <v>7134</v>
      </c>
      <c r="AA18" s="44">
        <f>'260915_분산태양광'!Y35</f>
        <v>7134</v>
      </c>
      <c r="AB18" s="44">
        <f>'260915_분산태양광'!Y36</f>
        <v>7134</v>
      </c>
      <c r="AC18" s="44">
        <f>'260915_분산태양광'!Y37</f>
        <v>7134</v>
      </c>
      <c r="AD18" s="44">
        <f>'260915_분산태양광'!Y38</f>
        <v>7134</v>
      </c>
      <c r="AE18" s="44">
        <f>'260915_분산태양광'!Y39</f>
        <v>7134</v>
      </c>
      <c r="AF18" s="44">
        <f>'260915_분산태양광'!Y40</f>
        <v>7134</v>
      </c>
      <c r="AG18" s="44">
        <f>'260915_분산태양광'!Y41</f>
        <v>7134</v>
      </c>
    </row>
    <row r="19" spans="1:33">
      <c r="B19" t="s">
        <v>47</v>
      </c>
      <c r="C19" s="19">
        <v>0</v>
      </c>
      <c r="D19" s="19">
        <v>0</v>
      </c>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row>
    <row r="20" spans="1:33">
      <c r="B20" t="s">
        <v>48</v>
      </c>
      <c r="C20" s="19">
        <v>0</v>
      </c>
      <c r="D20" s="19">
        <v>0</v>
      </c>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row>
    <row r="21" spans="1:33">
      <c r="B21" t="s">
        <v>49</v>
      </c>
      <c r="C21" s="19">
        <v>0</v>
      </c>
      <c r="D21" s="19">
        <v>0</v>
      </c>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row>
    <row r="22" spans="1:33">
      <c r="B22" t="s">
        <v>50</v>
      </c>
      <c r="C22" s="19">
        <v>0</v>
      </c>
      <c r="D22" s="19">
        <v>0</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row>
    <row r="23" spans="1:33">
      <c r="B23" t="s">
        <v>51</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0</v>
      </c>
      <c r="AD23" s="19">
        <v>0</v>
      </c>
      <c r="AE23" s="19">
        <v>0</v>
      </c>
      <c r="AF23" s="19">
        <v>0</v>
      </c>
      <c r="AG23" s="19">
        <v>0</v>
      </c>
    </row>
    <row r="24" spans="1:33">
      <c r="B24" t="s">
        <v>52</v>
      </c>
      <c r="C24" s="19">
        <v>0</v>
      </c>
      <c r="D24" s="19">
        <v>0</v>
      </c>
      <c r="E24" s="19">
        <v>0</v>
      </c>
      <c r="F24" s="19">
        <v>0</v>
      </c>
      <c r="G24" s="19">
        <v>0</v>
      </c>
      <c r="H24" s="19">
        <v>0</v>
      </c>
      <c r="I24" s="19">
        <v>0</v>
      </c>
      <c r="J24" s="19">
        <v>0</v>
      </c>
      <c r="K24" s="19">
        <v>0</v>
      </c>
      <c r="L24" s="19">
        <v>0</v>
      </c>
      <c r="M24" s="19">
        <v>0</v>
      </c>
      <c r="N24" s="19">
        <v>0</v>
      </c>
      <c r="O24" s="19">
        <v>0</v>
      </c>
      <c r="P24" s="19">
        <v>0</v>
      </c>
      <c r="Q24" s="19">
        <v>0</v>
      </c>
      <c r="R24" s="19">
        <v>0</v>
      </c>
      <c r="S24" s="19">
        <v>0</v>
      </c>
      <c r="T24" s="19">
        <v>0</v>
      </c>
      <c r="U24" s="19">
        <v>0</v>
      </c>
      <c r="V24" s="19">
        <v>0</v>
      </c>
      <c r="W24" s="19">
        <v>0</v>
      </c>
      <c r="X24" s="19">
        <v>0</v>
      </c>
      <c r="Y24" s="19">
        <v>0</v>
      </c>
      <c r="Z24" s="19">
        <v>0</v>
      </c>
      <c r="AA24" s="19">
        <v>0</v>
      </c>
      <c r="AB24" s="19">
        <v>0</v>
      </c>
      <c r="AC24" s="19">
        <v>0</v>
      </c>
      <c r="AD24" s="19">
        <v>0</v>
      </c>
      <c r="AE24" s="19">
        <v>0</v>
      </c>
      <c r="AF24" s="19">
        <v>0</v>
      </c>
      <c r="AG24" s="19">
        <v>0</v>
      </c>
    </row>
    <row r="25" spans="1:33">
      <c r="B25" t="s">
        <v>53</v>
      </c>
      <c r="C25" s="19">
        <v>0</v>
      </c>
      <c r="D25" s="19">
        <v>0</v>
      </c>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row>
    <row r="26" spans="1:33">
      <c r="B26" t="s">
        <v>54</v>
      </c>
      <c r="C26" s="19">
        <v>0</v>
      </c>
      <c r="D26" s="19">
        <v>0</v>
      </c>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row>
    <row r="27" spans="1:33">
      <c r="B27" t="s">
        <v>55</v>
      </c>
      <c r="C27" s="19">
        <v>0</v>
      </c>
      <c r="D27" s="19">
        <v>0</v>
      </c>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row>
    <row r="28" spans="1:33">
      <c r="B28" t="s">
        <v>56</v>
      </c>
      <c r="C28" s="19">
        <v>0</v>
      </c>
      <c r="D28" s="19">
        <v>0</v>
      </c>
      <c r="E28" s="19">
        <v>0</v>
      </c>
      <c r="F28" s="19">
        <v>0</v>
      </c>
      <c r="G28" s="19">
        <v>0</v>
      </c>
      <c r="H28" s="19">
        <v>0</v>
      </c>
      <c r="I28" s="19">
        <v>0</v>
      </c>
      <c r="J28" s="19">
        <v>0</v>
      </c>
      <c r="K28" s="19">
        <v>0</v>
      </c>
      <c r="L28" s="19">
        <v>0</v>
      </c>
      <c r="M28" s="19">
        <v>0</v>
      </c>
      <c r="N28" s="19">
        <v>0</v>
      </c>
      <c r="O28" s="19">
        <v>0</v>
      </c>
      <c r="P28" s="19">
        <v>0</v>
      </c>
      <c r="Q28" s="19">
        <v>0</v>
      </c>
      <c r="R28" s="19">
        <v>0</v>
      </c>
      <c r="S28" s="19">
        <v>0</v>
      </c>
      <c r="T28" s="19">
        <v>0</v>
      </c>
      <c r="U28" s="19">
        <v>0</v>
      </c>
      <c r="V28" s="19">
        <v>0</v>
      </c>
      <c r="W28" s="19">
        <v>0</v>
      </c>
      <c r="X28" s="19">
        <v>0</v>
      </c>
      <c r="Y28" s="19">
        <v>0</v>
      </c>
      <c r="Z28" s="19">
        <v>0</v>
      </c>
      <c r="AA28" s="19">
        <v>0</v>
      </c>
      <c r="AB28" s="19">
        <v>0</v>
      </c>
      <c r="AC28" s="19">
        <v>0</v>
      </c>
      <c r="AD28" s="19">
        <v>0</v>
      </c>
      <c r="AE28" s="19">
        <v>0</v>
      </c>
      <c r="AF28" s="19">
        <v>0</v>
      </c>
      <c r="AG28" s="19">
        <v>0</v>
      </c>
    </row>
    <row r="29" spans="1:33">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row>
    <row r="30" spans="1:33">
      <c r="G30" t="s">
        <v>67</v>
      </c>
    </row>
    <row r="31" spans="1:33">
      <c r="A31" s="22" t="s">
        <v>72</v>
      </c>
      <c r="D31" t="s">
        <v>69</v>
      </c>
      <c r="E31" t="s">
        <v>69</v>
      </c>
      <c r="F31" s="39"/>
      <c r="G31" s="43">
        <f>F3</f>
        <v>0.10247377144973324</v>
      </c>
      <c r="H31" s="39">
        <f>G31</f>
        <v>0.10247377144973324</v>
      </c>
      <c r="I31" s="39">
        <f>H31</f>
        <v>0.10247377144973324</v>
      </c>
      <c r="J31" s="43">
        <f>G3</f>
        <v>7.6569140338595965E-2</v>
      </c>
      <c r="K31" s="39">
        <f>J31</f>
        <v>7.6569140338595965E-2</v>
      </c>
      <c r="L31" s="39">
        <f>K31</f>
        <v>7.6569140338595965E-2</v>
      </c>
      <c r="M31" s="39">
        <f>L31</f>
        <v>7.6569140338595965E-2</v>
      </c>
      <c r="N31" s="43">
        <f>H3</f>
        <v>5.7680926405216493E-2</v>
      </c>
      <c r="O31" s="39">
        <f>N31</f>
        <v>5.7680926405216493E-2</v>
      </c>
      <c r="P31" s="39">
        <f>O31</f>
        <v>5.7680926405216493E-2</v>
      </c>
      <c r="Q31" s="39">
        <f>P31</f>
        <v>5.7680926405216493E-2</v>
      </c>
      <c r="R31" s="39">
        <f>Q31</f>
        <v>5.7680926405216493E-2</v>
      </c>
      <c r="S31" s="39">
        <f>R31</f>
        <v>5.7680926405216493E-2</v>
      </c>
      <c r="T31" s="43">
        <v>0</v>
      </c>
      <c r="U31" s="39">
        <f t="shared" ref="U31:AG31" si="3">T31</f>
        <v>0</v>
      </c>
      <c r="V31" s="39">
        <f t="shared" si="3"/>
        <v>0</v>
      </c>
      <c r="W31" s="39">
        <f t="shared" si="3"/>
        <v>0</v>
      </c>
      <c r="X31" s="39">
        <f t="shared" si="3"/>
        <v>0</v>
      </c>
      <c r="Y31" s="39">
        <f t="shared" si="3"/>
        <v>0</v>
      </c>
      <c r="Z31" s="39">
        <f t="shared" si="3"/>
        <v>0</v>
      </c>
      <c r="AA31" s="39">
        <f t="shared" si="3"/>
        <v>0</v>
      </c>
      <c r="AB31" s="39">
        <f t="shared" si="3"/>
        <v>0</v>
      </c>
      <c r="AC31" s="39">
        <f t="shared" si="3"/>
        <v>0</v>
      </c>
      <c r="AD31" s="39">
        <f t="shared" si="3"/>
        <v>0</v>
      </c>
      <c r="AE31" s="39">
        <f t="shared" si="3"/>
        <v>0</v>
      </c>
      <c r="AF31" s="39">
        <f t="shared" si="3"/>
        <v>0</v>
      </c>
      <c r="AG31" s="39">
        <f t="shared" si="3"/>
        <v>0</v>
      </c>
    </row>
    <row r="32" spans="1:33">
      <c r="B32" s="1" t="s">
        <v>64</v>
      </c>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c r="B33" t="s">
        <v>40</v>
      </c>
      <c r="C33" s="19">
        <v>0</v>
      </c>
      <c r="D33" s="19">
        <v>0</v>
      </c>
      <c r="E33" s="19">
        <v>0</v>
      </c>
      <c r="F33" s="19">
        <v>0</v>
      </c>
      <c r="G33" s="19">
        <v>0</v>
      </c>
      <c r="H33" s="19">
        <v>0</v>
      </c>
      <c r="I33" s="19">
        <v>0</v>
      </c>
      <c r="J33" s="19">
        <v>0</v>
      </c>
      <c r="K33" s="19">
        <v>0</v>
      </c>
      <c r="L33" s="19">
        <v>0</v>
      </c>
      <c r="M33" s="19">
        <v>0</v>
      </c>
      <c r="N33" s="19">
        <v>0</v>
      </c>
      <c r="O33" s="19">
        <v>0</v>
      </c>
      <c r="P33" s="19">
        <v>0</v>
      </c>
      <c r="Q33" s="19">
        <v>0</v>
      </c>
      <c r="R33" s="19">
        <v>0</v>
      </c>
      <c r="S33" s="19">
        <v>0</v>
      </c>
      <c r="T33" s="19">
        <v>0</v>
      </c>
      <c r="U33" s="19">
        <v>0</v>
      </c>
      <c r="V33" s="19">
        <v>0</v>
      </c>
      <c r="W33" s="19">
        <v>0</v>
      </c>
      <c r="X33" s="19">
        <v>0</v>
      </c>
      <c r="Y33" s="19">
        <v>0</v>
      </c>
      <c r="Z33" s="19">
        <v>0</v>
      </c>
      <c r="AA33" s="19">
        <v>0</v>
      </c>
      <c r="AB33" s="19">
        <v>0</v>
      </c>
      <c r="AC33" s="19">
        <v>0</v>
      </c>
      <c r="AD33" s="19">
        <v>0</v>
      </c>
      <c r="AE33" s="19">
        <v>0</v>
      </c>
      <c r="AF33" s="19">
        <v>0</v>
      </c>
      <c r="AG33" s="19">
        <v>0</v>
      </c>
    </row>
    <row r="34" spans="1:33">
      <c r="A34" s="3"/>
      <c r="B34" t="s">
        <v>70</v>
      </c>
      <c r="C34" s="19">
        <v>0</v>
      </c>
      <c r="D34" s="19">
        <v>0</v>
      </c>
      <c r="E34" s="19">
        <v>0</v>
      </c>
      <c r="F34" s="19">
        <v>0</v>
      </c>
      <c r="G34" s="19">
        <v>0</v>
      </c>
      <c r="H34" s="19">
        <v>0</v>
      </c>
      <c r="I34" s="19">
        <v>0</v>
      </c>
      <c r="J34" s="19">
        <v>0</v>
      </c>
      <c r="K34" s="19">
        <v>0</v>
      </c>
      <c r="L34" s="19">
        <v>0</v>
      </c>
      <c r="M34" s="19">
        <v>0</v>
      </c>
      <c r="N34" s="19">
        <v>0</v>
      </c>
      <c r="O34" s="19">
        <v>0</v>
      </c>
      <c r="P34" s="19">
        <v>0</v>
      </c>
      <c r="Q34" s="19">
        <v>0</v>
      </c>
      <c r="R34" s="19">
        <v>0</v>
      </c>
      <c r="S34" s="19">
        <v>0</v>
      </c>
      <c r="T34" s="19">
        <v>0</v>
      </c>
      <c r="U34" s="19">
        <v>0</v>
      </c>
      <c r="V34" s="19">
        <v>0</v>
      </c>
      <c r="W34" s="19">
        <v>0</v>
      </c>
      <c r="X34" s="19">
        <v>0</v>
      </c>
      <c r="Y34" s="19">
        <v>0</v>
      </c>
      <c r="Z34" s="19">
        <v>0</v>
      </c>
      <c r="AA34" s="19">
        <v>0</v>
      </c>
      <c r="AB34" s="19">
        <v>0</v>
      </c>
      <c r="AC34" s="19">
        <v>0</v>
      </c>
      <c r="AD34" s="19">
        <v>0</v>
      </c>
      <c r="AE34" s="19">
        <v>0</v>
      </c>
      <c r="AF34" s="19">
        <v>0</v>
      </c>
      <c r="AG34" s="19">
        <v>0</v>
      </c>
    </row>
    <row r="35" spans="1:33">
      <c r="B35" t="s">
        <v>43</v>
      </c>
      <c r="C35" s="19">
        <v>0</v>
      </c>
      <c r="D35" s="19">
        <v>0</v>
      </c>
      <c r="E35" s="19">
        <v>0</v>
      </c>
      <c r="F35" s="19">
        <v>0</v>
      </c>
      <c r="G35" s="19">
        <v>0</v>
      </c>
      <c r="H35" s="19">
        <v>0</v>
      </c>
      <c r="I35" s="19">
        <v>0</v>
      </c>
      <c r="J35" s="19">
        <v>0</v>
      </c>
      <c r="K35" s="19">
        <v>0</v>
      </c>
      <c r="L35" s="19">
        <v>0</v>
      </c>
      <c r="M35" s="19">
        <v>0</v>
      </c>
      <c r="N35" s="19">
        <v>0</v>
      </c>
      <c r="O35" s="19">
        <v>0</v>
      </c>
      <c r="P35" s="19">
        <v>0</v>
      </c>
      <c r="Q35" s="19">
        <v>0</v>
      </c>
      <c r="R35" s="19">
        <v>0</v>
      </c>
      <c r="S35" s="19">
        <v>0</v>
      </c>
      <c r="T35" s="19">
        <v>0</v>
      </c>
      <c r="U35" s="19">
        <v>0</v>
      </c>
      <c r="V35" s="19">
        <v>0</v>
      </c>
      <c r="W35" s="19">
        <v>0</v>
      </c>
      <c r="X35" s="19">
        <v>0</v>
      </c>
      <c r="Y35" s="19">
        <v>0</v>
      </c>
      <c r="Z35" s="19">
        <v>0</v>
      </c>
      <c r="AA35" s="19">
        <v>0</v>
      </c>
      <c r="AB35" s="19">
        <v>0</v>
      </c>
      <c r="AC35" s="19">
        <v>0</v>
      </c>
      <c r="AD35" s="19">
        <v>0</v>
      </c>
      <c r="AE35" s="19">
        <v>0</v>
      </c>
      <c r="AF35" s="19">
        <v>0</v>
      </c>
      <c r="AG35" s="19">
        <v>0</v>
      </c>
    </row>
    <row r="36" spans="1:33" s="25" customFormat="1">
      <c r="B36" s="25" t="s">
        <v>44</v>
      </c>
      <c r="C36" s="26">
        <f>SYDEC_2020!C6</f>
        <v>0.09</v>
      </c>
      <c r="D36" s="26">
        <f>_xlfn.FORECAST.LINEAR(D$32,CHOOSE({1,2}, $C36,$F36), CHOOSE({1,2}, $C$32, $F$32))</f>
        <v>0.09</v>
      </c>
      <c r="E36" s="26">
        <f>_xlfn.FORECAST.LINEAR(E$32,CHOOSE({1,2}, $C36,$F36), CHOOSE({1,2}, $C$32, $F$32))</f>
        <v>0.09</v>
      </c>
      <c r="F36" s="26">
        <f>SYDEC_2023!C6</f>
        <v>0.09</v>
      </c>
      <c r="G36" s="26">
        <f t="shared" ref="G36:AG36" si="4">F36*(1+G$31)</f>
        <v>9.922263943047599E-2</v>
      </c>
      <c r="H36" s="26">
        <f t="shared" si="4"/>
        <v>0.10939035750611388</v>
      </c>
      <c r="I36" s="26">
        <f t="shared" si="4"/>
        <v>0.1206</v>
      </c>
      <c r="J36" s="26">
        <f t="shared" si="4"/>
        <v>0.12983423832483468</v>
      </c>
      <c r="K36" s="26">
        <f t="shared" si="4"/>
        <v>0.13977553433988366</v>
      </c>
      <c r="L36" s="26">
        <f t="shared" si="4"/>
        <v>0.15047802684465644</v>
      </c>
      <c r="M36" s="26">
        <f t="shared" si="4"/>
        <v>0.16199999999999995</v>
      </c>
      <c r="N36" s="26">
        <f t="shared" si="4"/>
        <v>0.17134431007764503</v>
      </c>
      <c r="O36" s="26">
        <f t="shared" si="4"/>
        <v>0.18122760861718626</v>
      </c>
      <c r="P36" s="26">
        <f t="shared" si="4"/>
        <v>0.19168098497242755</v>
      </c>
      <c r="Q36" s="26">
        <f t="shared" si="4"/>
        <v>0.20273732175990156</v>
      </c>
      <c r="R36" s="26">
        <f t="shared" si="4"/>
        <v>0.21443139829592514</v>
      </c>
      <c r="S36" s="26">
        <f t="shared" si="4"/>
        <v>0.22680000000000006</v>
      </c>
      <c r="T36" s="26">
        <f t="shared" si="4"/>
        <v>0.22680000000000006</v>
      </c>
      <c r="U36" s="26">
        <f t="shared" si="4"/>
        <v>0.22680000000000006</v>
      </c>
      <c r="V36" s="26">
        <f t="shared" si="4"/>
        <v>0.22680000000000006</v>
      </c>
      <c r="W36" s="26">
        <f t="shared" si="4"/>
        <v>0.22680000000000006</v>
      </c>
      <c r="X36" s="26">
        <f t="shared" si="4"/>
        <v>0.22680000000000006</v>
      </c>
      <c r="Y36" s="26">
        <f t="shared" si="4"/>
        <v>0.22680000000000006</v>
      </c>
      <c r="Z36" s="26">
        <f t="shared" si="4"/>
        <v>0.22680000000000006</v>
      </c>
      <c r="AA36" s="26">
        <f t="shared" si="4"/>
        <v>0.22680000000000006</v>
      </c>
      <c r="AB36" s="26">
        <f t="shared" si="4"/>
        <v>0.22680000000000006</v>
      </c>
      <c r="AC36" s="26">
        <f t="shared" si="4"/>
        <v>0.22680000000000006</v>
      </c>
      <c r="AD36" s="26">
        <f t="shared" si="4"/>
        <v>0.22680000000000006</v>
      </c>
      <c r="AE36" s="26">
        <f t="shared" si="4"/>
        <v>0.22680000000000006</v>
      </c>
      <c r="AF36" s="26">
        <f t="shared" si="4"/>
        <v>0.22680000000000006</v>
      </c>
      <c r="AG36" s="26">
        <f t="shared" si="4"/>
        <v>0.22680000000000006</v>
      </c>
    </row>
    <row r="37" spans="1:33" s="25" customFormat="1">
      <c r="A37" s="27"/>
      <c r="B37" s="25" t="s">
        <v>45</v>
      </c>
      <c r="C37" s="26">
        <f>SYDEC_2020!C7</f>
        <v>8.4780999999999995</v>
      </c>
      <c r="D37" s="26">
        <f>_xlfn.FORECAST.LINEAR(D$32,CHOOSE({1,2}, $C37,$F37), CHOOSE({1,2}, $C$32, $F$32))</f>
        <v>8.4780999999999995</v>
      </c>
      <c r="E37" s="26">
        <f>_xlfn.FORECAST.LINEAR(E$32,CHOOSE({1,2}, $C37,$F37), CHOOSE({1,2}, $C$32, $F$32))</f>
        <v>8.4780999999999995</v>
      </c>
      <c r="F37" s="26">
        <f>SYDEC_2023!C7</f>
        <v>8.4780999999999995</v>
      </c>
      <c r="G37" s="26">
        <f t="shared" ref="G37:AG37" si="5">F37*(1+G$31)</f>
        <v>9.3468828817279821</v>
      </c>
      <c r="H37" s="26">
        <f t="shared" si="5"/>
        <v>10.304693221917599</v>
      </c>
      <c r="I37" s="26">
        <f t="shared" si="5"/>
        <v>11.360653999999998</v>
      </c>
      <c r="J37" s="26">
        <f t="shared" si="5"/>
        <v>12.23052951046423</v>
      </c>
      <c r="K37" s="26">
        <f t="shared" si="5"/>
        <v>13.167010640966305</v>
      </c>
      <c r="L37" s="26">
        <f t="shared" si="5"/>
        <v>14.17519732657424</v>
      </c>
      <c r="M37" s="26">
        <f t="shared" si="5"/>
        <v>15.260579999999994</v>
      </c>
      <c r="N37" s="26">
        <f t="shared" si="5"/>
        <v>16.140824391880912</v>
      </c>
      <c r="O37" s="26">
        <f t="shared" si="5"/>
        <v>17.071842095748519</v>
      </c>
      <c r="P37" s="26">
        <f t="shared" si="5"/>
        <v>18.056561763274864</v>
      </c>
      <c r="Q37" s="26">
        <f t="shared" si="5"/>
        <v>19.098080973473568</v>
      </c>
      <c r="R37" s="26">
        <f t="shared" si="5"/>
        <v>20.199675976585361</v>
      </c>
      <c r="S37" s="26">
        <f t="shared" si="5"/>
        <v>21.364812000000001</v>
      </c>
      <c r="T37" s="26">
        <f t="shared" si="5"/>
        <v>21.364812000000001</v>
      </c>
      <c r="U37" s="26">
        <f t="shared" si="5"/>
        <v>21.364812000000001</v>
      </c>
      <c r="V37" s="26">
        <f t="shared" si="5"/>
        <v>21.364812000000001</v>
      </c>
      <c r="W37" s="26">
        <f t="shared" si="5"/>
        <v>21.364812000000001</v>
      </c>
      <c r="X37" s="26">
        <f t="shared" si="5"/>
        <v>21.364812000000001</v>
      </c>
      <c r="Y37" s="26">
        <f t="shared" si="5"/>
        <v>21.364812000000001</v>
      </c>
      <c r="Z37" s="26">
        <f t="shared" si="5"/>
        <v>21.364812000000001</v>
      </c>
      <c r="AA37" s="26">
        <f t="shared" si="5"/>
        <v>21.364812000000001</v>
      </c>
      <c r="AB37" s="26">
        <f t="shared" si="5"/>
        <v>21.364812000000001</v>
      </c>
      <c r="AC37" s="26">
        <f t="shared" si="5"/>
        <v>21.364812000000001</v>
      </c>
      <c r="AD37" s="26">
        <f t="shared" si="5"/>
        <v>21.364812000000001</v>
      </c>
      <c r="AE37" s="26">
        <f t="shared" si="5"/>
        <v>21.364812000000001</v>
      </c>
      <c r="AF37" s="26">
        <f t="shared" si="5"/>
        <v>21.364812000000001</v>
      </c>
      <c r="AG37" s="26">
        <f t="shared" si="5"/>
        <v>21.364812000000001</v>
      </c>
    </row>
    <row r="38" spans="1:33" s="25" customFormat="1">
      <c r="A38" s="27" t="s">
        <v>73</v>
      </c>
      <c r="B38" s="25" t="s">
        <v>46</v>
      </c>
      <c r="C38" s="44">
        <f>'260915_분산태양광'!X11</f>
        <v>241</v>
      </c>
      <c r="D38" s="44">
        <f>'260915_분산태양광'!X12</f>
        <v>286</v>
      </c>
      <c r="E38" s="44">
        <f>'260915_분산태양광'!X13</f>
        <v>332</v>
      </c>
      <c r="F38" s="44">
        <f>'260915_분산태양광'!X14</f>
        <v>384</v>
      </c>
      <c r="G38" s="44">
        <f>'260915_분산태양광'!X15</f>
        <v>465</v>
      </c>
      <c r="H38" s="44">
        <f>'260915_분산태양광'!X16</f>
        <v>494</v>
      </c>
      <c r="I38" s="44">
        <f>'260915_분산태양광'!X17</f>
        <v>549</v>
      </c>
      <c r="J38" s="44">
        <f>'260915_분산태양광'!X18</f>
        <v>602</v>
      </c>
      <c r="K38" s="44">
        <f>'260915_분산태양광'!X19</f>
        <v>659</v>
      </c>
      <c r="L38" s="44">
        <f>'260915_분산태양광'!X20</f>
        <v>715</v>
      </c>
      <c r="M38" s="44">
        <f>'260915_분산태양광'!X21</f>
        <v>774</v>
      </c>
      <c r="N38" s="44">
        <f>'260915_분산태양광'!X22</f>
        <v>833</v>
      </c>
      <c r="O38" s="44">
        <f>'260915_분산태양광'!X23</f>
        <v>894</v>
      </c>
      <c r="P38" s="44">
        <f>'260915_분산태양광'!X24</f>
        <v>956</v>
      </c>
      <c r="Q38" s="44">
        <f>'260915_분산태양광'!X25</f>
        <v>1019</v>
      </c>
      <c r="R38" s="44">
        <f>'260915_분산태양광'!X26</f>
        <v>1086</v>
      </c>
      <c r="S38" s="44">
        <f>'260915_분산태양광'!X27</f>
        <v>1152</v>
      </c>
      <c r="T38" s="44">
        <f>'260915_분산태양광'!X28</f>
        <v>1201</v>
      </c>
      <c r="U38" s="44">
        <f>'260915_분산태양광'!X29</f>
        <v>1248</v>
      </c>
      <c r="V38" s="44">
        <f>'260915_분산태양광'!X30</f>
        <v>1248</v>
      </c>
      <c r="W38" s="44">
        <f>'260915_분산태양광'!X31</f>
        <v>1248</v>
      </c>
      <c r="X38" s="44">
        <f>'260915_분산태양광'!X32</f>
        <v>1248</v>
      </c>
      <c r="Y38" s="44">
        <f>'260915_분산태양광'!X33</f>
        <v>1248</v>
      </c>
      <c r="Z38" s="44">
        <f>'260915_분산태양광'!X34</f>
        <v>1248</v>
      </c>
      <c r="AA38" s="44">
        <f>'260915_분산태양광'!X35</f>
        <v>1248</v>
      </c>
      <c r="AB38" s="44">
        <f>'260915_분산태양광'!X36</f>
        <v>1248</v>
      </c>
      <c r="AC38" s="44">
        <f>'260915_분산태양광'!X37</f>
        <v>1248</v>
      </c>
      <c r="AD38" s="44">
        <f>'260915_분산태양광'!X38</f>
        <v>1248</v>
      </c>
      <c r="AE38" s="44">
        <f>'260915_분산태양광'!X39</f>
        <v>1248</v>
      </c>
      <c r="AF38" s="44">
        <f>'260915_분산태양광'!X40</f>
        <v>1248</v>
      </c>
      <c r="AG38" s="44">
        <f>'260915_분산태양광'!X41</f>
        <v>1248</v>
      </c>
    </row>
    <row r="39" spans="1:33">
      <c r="B39" t="s">
        <v>47</v>
      </c>
      <c r="C39" s="19">
        <v>0</v>
      </c>
      <c r="D39" s="19">
        <v>0</v>
      </c>
      <c r="E39" s="19">
        <v>0</v>
      </c>
      <c r="F39" s="19">
        <v>0</v>
      </c>
      <c r="G39" s="19">
        <v>0</v>
      </c>
      <c r="H39" s="19">
        <v>0</v>
      </c>
      <c r="I39" s="19">
        <v>0</v>
      </c>
      <c r="J39" s="19">
        <v>0</v>
      </c>
      <c r="K39" s="19">
        <v>0</v>
      </c>
      <c r="L39" s="19">
        <v>0</v>
      </c>
      <c r="M39" s="19">
        <v>0</v>
      </c>
      <c r="N39" s="19">
        <v>0</v>
      </c>
      <c r="O39" s="19">
        <v>0</v>
      </c>
      <c r="P39" s="19">
        <v>0</v>
      </c>
      <c r="Q39" s="19">
        <v>0</v>
      </c>
      <c r="R39" s="19">
        <v>0</v>
      </c>
      <c r="S39" s="19">
        <v>0</v>
      </c>
      <c r="T39" s="19">
        <v>0</v>
      </c>
      <c r="U39" s="19">
        <v>0</v>
      </c>
      <c r="V39" s="19">
        <v>0</v>
      </c>
      <c r="W39" s="19">
        <v>0</v>
      </c>
      <c r="X39" s="19">
        <v>0</v>
      </c>
      <c r="Y39" s="19">
        <v>0</v>
      </c>
      <c r="Z39" s="19">
        <v>0</v>
      </c>
      <c r="AA39" s="19">
        <v>0</v>
      </c>
      <c r="AB39" s="19">
        <v>0</v>
      </c>
      <c r="AC39" s="19">
        <v>0</v>
      </c>
      <c r="AD39" s="19">
        <v>0</v>
      </c>
      <c r="AE39" s="19">
        <v>0</v>
      </c>
      <c r="AF39" s="19">
        <v>0</v>
      </c>
      <c r="AG39" s="19">
        <v>0</v>
      </c>
    </row>
    <row r="40" spans="1:33">
      <c r="B40" t="s">
        <v>48</v>
      </c>
      <c r="C40" s="19">
        <v>0</v>
      </c>
      <c r="D40" s="19">
        <v>0</v>
      </c>
      <c r="E40" s="19">
        <v>0</v>
      </c>
      <c r="F40" s="19">
        <v>0</v>
      </c>
      <c r="G40" s="19">
        <v>0</v>
      </c>
      <c r="H40" s="19">
        <v>0</v>
      </c>
      <c r="I40" s="19">
        <v>0</v>
      </c>
      <c r="J40" s="19">
        <v>0</v>
      </c>
      <c r="K40" s="19">
        <v>0</v>
      </c>
      <c r="L40" s="19">
        <v>0</v>
      </c>
      <c r="M40" s="19">
        <v>0</v>
      </c>
      <c r="N40" s="19">
        <v>0</v>
      </c>
      <c r="O40" s="19">
        <v>0</v>
      </c>
      <c r="P40" s="19">
        <v>0</v>
      </c>
      <c r="Q40" s="19">
        <v>0</v>
      </c>
      <c r="R40" s="19">
        <v>0</v>
      </c>
      <c r="S40" s="19">
        <v>0</v>
      </c>
      <c r="T40" s="19">
        <v>0</v>
      </c>
      <c r="U40" s="19">
        <v>0</v>
      </c>
      <c r="V40" s="19">
        <v>0</v>
      </c>
      <c r="W40" s="19">
        <v>0</v>
      </c>
      <c r="X40" s="19">
        <v>0</v>
      </c>
      <c r="Y40" s="19">
        <v>0</v>
      </c>
      <c r="Z40" s="19">
        <v>0</v>
      </c>
      <c r="AA40" s="19">
        <v>0</v>
      </c>
      <c r="AB40" s="19">
        <v>0</v>
      </c>
      <c r="AC40" s="19">
        <v>0</v>
      </c>
      <c r="AD40" s="19">
        <v>0</v>
      </c>
      <c r="AE40" s="19">
        <v>0</v>
      </c>
      <c r="AF40" s="19">
        <v>0</v>
      </c>
      <c r="AG40" s="19">
        <v>0</v>
      </c>
    </row>
    <row r="41" spans="1:33">
      <c r="B41" t="s">
        <v>49</v>
      </c>
      <c r="C41" s="19">
        <v>0</v>
      </c>
      <c r="D41" s="19">
        <v>0</v>
      </c>
      <c r="E41" s="19">
        <v>0</v>
      </c>
      <c r="F41" s="19">
        <v>0</v>
      </c>
      <c r="G41" s="19">
        <v>0</v>
      </c>
      <c r="H41" s="19">
        <v>0</v>
      </c>
      <c r="I41" s="19">
        <v>0</v>
      </c>
      <c r="J41" s="19">
        <v>0</v>
      </c>
      <c r="K41" s="19">
        <v>0</v>
      </c>
      <c r="L41" s="19">
        <v>0</v>
      </c>
      <c r="M41" s="19">
        <v>0</v>
      </c>
      <c r="N41" s="19">
        <v>0</v>
      </c>
      <c r="O41" s="19">
        <v>0</v>
      </c>
      <c r="P41" s="19">
        <v>0</v>
      </c>
      <c r="Q41" s="19">
        <v>0</v>
      </c>
      <c r="R41" s="19">
        <v>0</v>
      </c>
      <c r="S41" s="19">
        <v>0</v>
      </c>
      <c r="T41" s="19">
        <v>0</v>
      </c>
      <c r="U41" s="19">
        <v>0</v>
      </c>
      <c r="V41" s="19">
        <v>0</v>
      </c>
      <c r="W41" s="19">
        <v>0</v>
      </c>
      <c r="X41" s="19">
        <v>0</v>
      </c>
      <c r="Y41" s="19">
        <v>0</v>
      </c>
      <c r="Z41" s="19">
        <v>0</v>
      </c>
      <c r="AA41" s="19">
        <v>0</v>
      </c>
      <c r="AB41" s="19">
        <v>0</v>
      </c>
      <c r="AC41" s="19">
        <v>0</v>
      </c>
      <c r="AD41" s="19">
        <v>0</v>
      </c>
      <c r="AE41" s="19">
        <v>0</v>
      </c>
      <c r="AF41" s="19">
        <v>0</v>
      </c>
      <c r="AG41" s="19">
        <v>0</v>
      </c>
    </row>
    <row r="42" spans="1:33">
      <c r="B42" t="s">
        <v>50</v>
      </c>
      <c r="C42" s="19">
        <v>0</v>
      </c>
      <c r="D42" s="19">
        <v>0</v>
      </c>
      <c r="E42" s="19">
        <v>0</v>
      </c>
      <c r="F42" s="19">
        <v>0</v>
      </c>
      <c r="G42" s="19">
        <v>0</v>
      </c>
      <c r="H42" s="19">
        <v>0</v>
      </c>
      <c r="I42" s="19">
        <v>0</v>
      </c>
      <c r="J42" s="19">
        <v>0</v>
      </c>
      <c r="K42" s="19">
        <v>0</v>
      </c>
      <c r="L42" s="19">
        <v>0</v>
      </c>
      <c r="M42" s="19">
        <v>0</v>
      </c>
      <c r="N42" s="19">
        <v>0</v>
      </c>
      <c r="O42" s="19">
        <v>0</v>
      </c>
      <c r="P42" s="19">
        <v>0</v>
      </c>
      <c r="Q42" s="19">
        <v>0</v>
      </c>
      <c r="R42" s="19">
        <v>0</v>
      </c>
      <c r="S42" s="19">
        <v>0</v>
      </c>
      <c r="T42" s="19">
        <v>0</v>
      </c>
      <c r="U42" s="19">
        <v>0</v>
      </c>
      <c r="V42" s="19">
        <v>0</v>
      </c>
      <c r="W42" s="19">
        <v>0</v>
      </c>
      <c r="X42" s="19">
        <v>0</v>
      </c>
      <c r="Y42" s="19">
        <v>0</v>
      </c>
      <c r="Z42" s="19">
        <v>0</v>
      </c>
      <c r="AA42" s="19">
        <v>0</v>
      </c>
      <c r="AB42" s="19">
        <v>0</v>
      </c>
      <c r="AC42" s="19">
        <v>0</v>
      </c>
      <c r="AD42" s="19">
        <v>0</v>
      </c>
      <c r="AE42" s="19">
        <v>0</v>
      </c>
      <c r="AF42" s="19">
        <v>0</v>
      </c>
      <c r="AG42" s="19">
        <v>0</v>
      </c>
    </row>
    <row r="43" spans="1:33">
      <c r="B43" t="s">
        <v>51</v>
      </c>
      <c r="C43" s="19">
        <v>0</v>
      </c>
      <c r="D43" s="19">
        <v>0</v>
      </c>
      <c r="E43" s="19">
        <v>0</v>
      </c>
      <c r="F43" s="19">
        <v>0</v>
      </c>
      <c r="G43" s="19">
        <v>0</v>
      </c>
      <c r="H43" s="19">
        <v>0</v>
      </c>
      <c r="I43" s="19">
        <v>0</v>
      </c>
      <c r="J43" s="19">
        <v>0</v>
      </c>
      <c r="K43" s="19">
        <v>0</v>
      </c>
      <c r="L43" s="19">
        <v>0</v>
      </c>
      <c r="M43" s="19">
        <v>0</v>
      </c>
      <c r="N43" s="19">
        <v>0</v>
      </c>
      <c r="O43" s="19">
        <v>0</v>
      </c>
      <c r="P43" s="19">
        <v>0</v>
      </c>
      <c r="Q43" s="19">
        <v>0</v>
      </c>
      <c r="R43" s="19">
        <v>0</v>
      </c>
      <c r="S43" s="19">
        <v>0</v>
      </c>
      <c r="T43" s="19">
        <v>0</v>
      </c>
      <c r="U43" s="19">
        <v>0</v>
      </c>
      <c r="V43" s="19">
        <v>0</v>
      </c>
      <c r="W43" s="19">
        <v>0</v>
      </c>
      <c r="X43" s="19">
        <v>0</v>
      </c>
      <c r="Y43" s="19">
        <v>0</v>
      </c>
      <c r="Z43" s="19">
        <v>0</v>
      </c>
      <c r="AA43" s="19">
        <v>0</v>
      </c>
      <c r="AB43" s="19">
        <v>0</v>
      </c>
      <c r="AC43" s="19">
        <v>0</v>
      </c>
      <c r="AD43" s="19">
        <v>0</v>
      </c>
      <c r="AE43" s="19">
        <v>0</v>
      </c>
      <c r="AF43" s="19">
        <v>0</v>
      </c>
      <c r="AG43" s="19">
        <v>0</v>
      </c>
    </row>
    <row r="44" spans="1:33">
      <c r="B44" t="s">
        <v>52</v>
      </c>
      <c r="C44" s="19">
        <v>0</v>
      </c>
      <c r="D44" s="19">
        <v>0</v>
      </c>
      <c r="E44" s="19">
        <v>0</v>
      </c>
      <c r="F44" s="19">
        <v>0</v>
      </c>
      <c r="G44" s="19">
        <v>0</v>
      </c>
      <c r="H44" s="19">
        <v>0</v>
      </c>
      <c r="I44" s="19">
        <v>0</v>
      </c>
      <c r="J44" s="19">
        <v>0</v>
      </c>
      <c r="K44" s="19">
        <v>0</v>
      </c>
      <c r="L44" s="19">
        <v>0</v>
      </c>
      <c r="M44" s="19">
        <v>0</v>
      </c>
      <c r="N44" s="19">
        <v>0</v>
      </c>
      <c r="O44" s="19">
        <v>0</v>
      </c>
      <c r="P44" s="19">
        <v>0</v>
      </c>
      <c r="Q44" s="19">
        <v>0</v>
      </c>
      <c r="R44" s="19">
        <v>0</v>
      </c>
      <c r="S44" s="19">
        <v>0</v>
      </c>
      <c r="T44" s="19">
        <v>0</v>
      </c>
      <c r="U44" s="19">
        <v>0</v>
      </c>
      <c r="V44" s="19">
        <v>0</v>
      </c>
      <c r="W44" s="19">
        <v>0</v>
      </c>
      <c r="X44" s="19">
        <v>0</v>
      </c>
      <c r="Y44" s="19">
        <v>0</v>
      </c>
      <c r="Z44" s="19">
        <v>0</v>
      </c>
      <c r="AA44" s="19">
        <v>0</v>
      </c>
      <c r="AB44" s="19">
        <v>0</v>
      </c>
      <c r="AC44" s="19">
        <v>0</v>
      </c>
      <c r="AD44" s="19">
        <v>0</v>
      </c>
      <c r="AE44" s="19">
        <v>0</v>
      </c>
      <c r="AF44" s="19">
        <v>0</v>
      </c>
      <c r="AG44" s="19">
        <v>0</v>
      </c>
    </row>
    <row r="45" spans="1:33">
      <c r="B45" t="s">
        <v>53</v>
      </c>
      <c r="C45" s="19">
        <v>0</v>
      </c>
      <c r="D45" s="19">
        <v>0</v>
      </c>
      <c r="E45" s="19">
        <v>0</v>
      </c>
      <c r="F45" s="19">
        <v>0</v>
      </c>
      <c r="G45" s="19">
        <v>0</v>
      </c>
      <c r="H45" s="19">
        <v>0</v>
      </c>
      <c r="I45" s="19">
        <v>0</v>
      </c>
      <c r="J45" s="19">
        <v>0</v>
      </c>
      <c r="K45" s="19">
        <v>0</v>
      </c>
      <c r="L45" s="19">
        <v>0</v>
      </c>
      <c r="M45" s="19">
        <v>0</v>
      </c>
      <c r="N45" s="19">
        <v>0</v>
      </c>
      <c r="O45" s="19">
        <v>0</v>
      </c>
      <c r="P45" s="19">
        <v>0</v>
      </c>
      <c r="Q45" s="19">
        <v>0</v>
      </c>
      <c r="R45" s="19">
        <v>0</v>
      </c>
      <c r="S45" s="19">
        <v>0</v>
      </c>
      <c r="T45" s="19">
        <v>0</v>
      </c>
      <c r="U45" s="19">
        <v>0</v>
      </c>
      <c r="V45" s="19">
        <v>0</v>
      </c>
      <c r="W45" s="19">
        <v>0</v>
      </c>
      <c r="X45" s="19">
        <v>0</v>
      </c>
      <c r="Y45" s="19">
        <v>0</v>
      </c>
      <c r="Z45" s="19">
        <v>0</v>
      </c>
      <c r="AA45" s="19">
        <v>0</v>
      </c>
      <c r="AB45" s="19">
        <v>0</v>
      </c>
      <c r="AC45" s="19">
        <v>0</v>
      </c>
      <c r="AD45" s="19">
        <v>0</v>
      </c>
      <c r="AE45" s="19">
        <v>0</v>
      </c>
      <c r="AF45" s="19">
        <v>0</v>
      </c>
      <c r="AG45" s="19">
        <v>0</v>
      </c>
    </row>
    <row r="46" spans="1:33">
      <c r="B46" t="s">
        <v>54</v>
      </c>
      <c r="C46" s="19">
        <v>0</v>
      </c>
      <c r="D46" s="19">
        <v>0</v>
      </c>
      <c r="E46" s="19">
        <v>0</v>
      </c>
      <c r="F46" s="19">
        <v>0</v>
      </c>
      <c r="G46" s="19">
        <v>0</v>
      </c>
      <c r="H46" s="19">
        <v>0</v>
      </c>
      <c r="I46" s="19">
        <v>0</v>
      </c>
      <c r="J46" s="19">
        <v>0</v>
      </c>
      <c r="K46" s="19">
        <v>0</v>
      </c>
      <c r="L46" s="19">
        <v>0</v>
      </c>
      <c r="M46" s="19">
        <v>0</v>
      </c>
      <c r="N46" s="19">
        <v>0</v>
      </c>
      <c r="O46" s="19">
        <v>0</v>
      </c>
      <c r="P46" s="19">
        <v>0</v>
      </c>
      <c r="Q46" s="19">
        <v>0</v>
      </c>
      <c r="R46" s="19">
        <v>0</v>
      </c>
      <c r="S46" s="19">
        <v>0</v>
      </c>
      <c r="T46" s="19">
        <v>0</v>
      </c>
      <c r="U46" s="19">
        <v>0</v>
      </c>
      <c r="V46" s="19">
        <v>0</v>
      </c>
      <c r="W46" s="19">
        <v>0</v>
      </c>
      <c r="X46" s="19">
        <v>0</v>
      </c>
      <c r="Y46" s="19">
        <v>0</v>
      </c>
      <c r="Z46" s="19">
        <v>0</v>
      </c>
      <c r="AA46" s="19">
        <v>0</v>
      </c>
      <c r="AB46" s="19">
        <v>0</v>
      </c>
      <c r="AC46" s="19">
        <v>0</v>
      </c>
      <c r="AD46" s="19">
        <v>0</v>
      </c>
      <c r="AE46" s="19">
        <v>0</v>
      </c>
      <c r="AF46" s="19">
        <v>0</v>
      </c>
      <c r="AG46" s="19">
        <v>0</v>
      </c>
    </row>
    <row r="47" spans="1:33">
      <c r="B47" t="s">
        <v>55</v>
      </c>
      <c r="C47" s="19">
        <v>0</v>
      </c>
      <c r="D47" s="19">
        <v>0</v>
      </c>
      <c r="E47" s="19">
        <v>0</v>
      </c>
      <c r="F47" s="19">
        <v>0</v>
      </c>
      <c r="G47" s="19">
        <v>0</v>
      </c>
      <c r="H47" s="19">
        <v>0</v>
      </c>
      <c r="I47" s="19">
        <v>0</v>
      </c>
      <c r="J47" s="19">
        <v>0</v>
      </c>
      <c r="K47" s="19">
        <v>0</v>
      </c>
      <c r="L47" s="19">
        <v>0</v>
      </c>
      <c r="M47" s="19">
        <v>0</v>
      </c>
      <c r="N47" s="19">
        <v>0</v>
      </c>
      <c r="O47" s="19">
        <v>0</v>
      </c>
      <c r="P47" s="19">
        <v>0</v>
      </c>
      <c r="Q47" s="19">
        <v>0</v>
      </c>
      <c r="R47" s="19">
        <v>0</v>
      </c>
      <c r="S47" s="19">
        <v>0</v>
      </c>
      <c r="T47" s="19">
        <v>0</v>
      </c>
      <c r="U47" s="19">
        <v>0</v>
      </c>
      <c r="V47" s="19">
        <v>0</v>
      </c>
      <c r="W47" s="19">
        <v>0</v>
      </c>
      <c r="X47" s="19">
        <v>0</v>
      </c>
      <c r="Y47" s="19">
        <v>0</v>
      </c>
      <c r="Z47" s="19">
        <v>0</v>
      </c>
      <c r="AA47" s="19">
        <v>0</v>
      </c>
      <c r="AB47" s="19">
        <v>0</v>
      </c>
      <c r="AC47" s="19">
        <v>0</v>
      </c>
      <c r="AD47" s="19">
        <v>0</v>
      </c>
      <c r="AE47" s="19">
        <v>0</v>
      </c>
      <c r="AF47" s="19">
        <v>0</v>
      </c>
      <c r="AG47" s="19">
        <v>0</v>
      </c>
    </row>
    <row r="48" spans="1:33">
      <c r="B48" t="s">
        <v>56</v>
      </c>
      <c r="C48" s="19">
        <v>0</v>
      </c>
      <c r="D48" s="19">
        <v>0</v>
      </c>
      <c r="E48" s="19">
        <v>0</v>
      </c>
      <c r="F48" s="19">
        <v>0</v>
      </c>
      <c r="G48" s="19">
        <v>0</v>
      </c>
      <c r="H48" s="19">
        <v>0</v>
      </c>
      <c r="I48" s="19">
        <v>0</v>
      </c>
      <c r="J48" s="19">
        <v>0</v>
      </c>
      <c r="K48" s="19">
        <v>0</v>
      </c>
      <c r="L48" s="19">
        <v>0</v>
      </c>
      <c r="M48" s="19">
        <v>0</v>
      </c>
      <c r="N48" s="19">
        <v>0</v>
      </c>
      <c r="O48" s="19">
        <v>0</v>
      </c>
      <c r="P48" s="19">
        <v>0</v>
      </c>
      <c r="Q48" s="19">
        <v>0</v>
      </c>
      <c r="R48" s="19">
        <v>0</v>
      </c>
      <c r="S48" s="19">
        <v>0</v>
      </c>
      <c r="T48" s="19">
        <v>0</v>
      </c>
      <c r="U48" s="19">
        <v>0</v>
      </c>
      <c r="V48" s="19">
        <v>0</v>
      </c>
      <c r="W48" s="19">
        <v>0</v>
      </c>
      <c r="X48" s="19">
        <v>0</v>
      </c>
      <c r="Y48" s="19">
        <v>0</v>
      </c>
      <c r="Z48" s="19">
        <v>0</v>
      </c>
      <c r="AA48" s="19">
        <v>0</v>
      </c>
      <c r="AB48" s="19">
        <v>0</v>
      </c>
      <c r="AC48" s="19">
        <v>0</v>
      </c>
      <c r="AD48" s="19">
        <v>0</v>
      </c>
      <c r="AE48" s="19">
        <v>0</v>
      </c>
      <c r="AF48" s="19">
        <v>0</v>
      </c>
      <c r="AG48" s="19">
        <v>0</v>
      </c>
    </row>
    <row r="49" spans="1:54">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row>
    <row r="51" spans="1:54">
      <c r="A51" s="21" t="s">
        <v>66</v>
      </c>
      <c r="G51" t="s">
        <v>67</v>
      </c>
    </row>
    <row r="52" spans="1:54">
      <c r="A52" s="1" t="s">
        <v>74</v>
      </c>
      <c r="D52" t="s">
        <v>69</v>
      </c>
      <c r="E52" t="s">
        <v>69</v>
      </c>
      <c r="G52" s="12">
        <f>F2</f>
        <v>7.0425784514054124E-2</v>
      </c>
      <c r="H52" s="12">
        <f>G52</f>
        <v>7.0425784514054124E-2</v>
      </c>
      <c r="I52" s="12">
        <f>H52</f>
        <v>7.0425784514054124E-2</v>
      </c>
      <c r="J52" s="12">
        <f>G2</f>
        <v>6.507668873540684E-2</v>
      </c>
      <c r="K52" s="12">
        <f>J52</f>
        <v>6.507668873540684E-2</v>
      </c>
      <c r="L52" s="12">
        <f>K52</f>
        <v>6.507668873540684E-2</v>
      </c>
      <c r="M52" s="12">
        <f>L52</f>
        <v>6.507668873540684E-2</v>
      </c>
      <c r="N52" s="12">
        <f>H2</f>
        <v>5.0644443609383583E-2</v>
      </c>
      <c r="O52" s="12">
        <f t="shared" ref="O52:AG52" si="6">N52</f>
        <v>5.0644443609383583E-2</v>
      </c>
      <c r="P52" s="12">
        <f t="shared" si="6"/>
        <v>5.0644443609383583E-2</v>
      </c>
      <c r="Q52" s="12">
        <f t="shared" si="6"/>
        <v>5.0644443609383583E-2</v>
      </c>
      <c r="R52" s="12">
        <f t="shared" si="6"/>
        <v>5.0644443609383583E-2</v>
      </c>
      <c r="S52" s="12">
        <f t="shared" si="6"/>
        <v>5.0644443609383583E-2</v>
      </c>
      <c r="T52" s="12">
        <f t="shared" si="6"/>
        <v>5.0644443609383583E-2</v>
      </c>
      <c r="U52" s="12">
        <f t="shared" si="6"/>
        <v>5.0644443609383583E-2</v>
      </c>
      <c r="V52" s="12">
        <f t="shared" si="6"/>
        <v>5.0644443609383583E-2</v>
      </c>
      <c r="W52" s="12">
        <f t="shared" si="6"/>
        <v>5.0644443609383583E-2</v>
      </c>
      <c r="X52" s="12">
        <f t="shared" si="6"/>
        <v>5.0644443609383583E-2</v>
      </c>
      <c r="Y52" s="12">
        <f t="shared" si="6"/>
        <v>5.0644443609383583E-2</v>
      </c>
      <c r="Z52" s="12">
        <f t="shared" si="6"/>
        <v>5.0644443609383583E-2</v>
      </c>
      <c r="AA52" s="12">
        <f t="shared" si="6"/>
        <v>5.0644443609383583E-2</v>
      </c>
      <c r="AB52" s="12">
        <f t="shared" si="6"/>
        <v>5.0644443609383583E-2</v>
      </c>
      <c r="AC52" s="12">
        <f t="shared" si="6"/>
        <v>5.0644443609383583E-2</v>
      </c>
      <c r="AD52" s="12">
        <f t="shared" si="6"/>
        <v>5.0644443609383583E-2</v>
      </c>
      <c r="AE52" s="12">
        <f t="shared" si="6"/>
        <v>5.0644443609383583E-2</v>
      </c>
      <c r="AF52" s="12">
        <f t="shared" si="6"/>
        <v>5.0644443609383583E-2</v>
      </c>
      <c r="AG52" s="12">
        <f t="shared" si="6"/>
        <v>5.0644443609383583E-2</v>
      </c>
    </row>
    <row r="53" spans="1:54">
      <c r="B53" s="1" t="s">
        <v>64</v>
      </c>
      <c r="C53">
        <v>2020</v>
      </c>
      <c r="D53">
        <v>2021</v>
      </c>
      <c r="E53">
        <v>2022</v>
      </c>
      <c r="F53">
        <v>2023</v>
      </c>
      <c r="G53">
        <v>2024</v>
      </c>
      <c r="H53">
        <v>2025</v>
      </c>
      <c r="I53">
        <v>2026</v>
      </c>
      <c r="J53">
        <v>2027</v>
      </c>
      <c r="K53">
        <v>2028</v>
      </c>
      <c r="L53">
        <v>2029</v>
      </c>
      <c r="M53">
        <v>2030</v>
      </c>
      <c r="N53">
        <v>2031</v>
      </c>
      <c r="O53">
        <v>2032</v>
      </c>
      <c r="P53">
        <v>2033</v>
      </c>
      <c r="Q53">
        <v>2034</v>
      </c>
      <c r="R53">
        <v>2035</v>
      </c>
      <c r="S53">
        <v>2036</v>
      </c>
      <c r="T53">
        <v>2037</v>
      </c>
      <c r="U53">
        <v>2038</v>
      </c>
      <c r="V53">
        <v>2039</v>
      </c>
      <c r="W53">
        <v>2040</v>
      </c>
      <c r="X53">
        <v>2041</v>
      </c>
      <c r="Y53">
        <v>2042</v>
      </c>
      <c r="Z53">
        <v>2043</v>
      </c>
      <c r="AA53">
        <v>2044</v>
      </c>
      <c r="AB53">
        <v>2045</v>
      </c>
      <c r="AC53">
        <v>2046</v>
      </c>
      <c r="AD53">
        <v>2047</v>
      </c>
      <c r="AE53">
        <v>2048</v>
      </c>
      <c r="AF53">
        <v>2049</v>
      </c>
      <c r="AG53">
        <v>2050</v>
      </c>
      <c r="AV53">
        <v>2020</v>
      </c>
      <c r="AW53">
        <v>2025</v>
      </c>
      <c r="AX53">
        <v>2030</v>
      </c>
      <c r="AY53">
        <v>2035</v>
      </c>
      <c r="AZ53">
        <v>2040</v>
      </c>
      <c r="BA53">
        <v>2045</v>
      </c>
      <c r="BB53">
        <v>2050</v>
      </c>
    </row>
    <row r="54" spans="1:54">
      <c r="B54" t="s">
        <v>40</v>
      </c>
      <c r="C54" s="19">
        <v>0</v>
      </c>
      <c r="D54" s="19">
        <v>0</v>
      </c>
      <c r="E54" s="19">
        <v>0</v>
      </c>
      <c r="F54" s="19">
        <v>0</v>
      </c>
      <c r="G54" s="19">
        <v>0</v>
      </c>
      <c r="H54" s="19">
        <v>0</v>
      </c>
      <c r="I54" s="19">
        <v>0</v>
      </c>
      <c r="J54" s="19">
        <v>0</v>
      </c>
      <c r="K54" s="19">
        <v>0</v>
      </c>
      <c r="L54" s="19">
        <v>0</v>
      </c>
      <c r="M54" s="19">
        <v>0</v>
      </c>
      <c r="N54" s="19">
        <v>0</v>
      </c>
      <c r="O54" s="19">
        <v>0</v>
      </c>
      <c r="P54" s="19">
        <v>0</v>
      </c>
      <c r="Q54" s="19">
        <v>0</v>
      </c>
      <c r="R54" s="19">
        <v>0</v>
      </c>
      <c r="S54" s="19">
        <v>0</v>
      </c>
      <c r="T54" s="19">
        <v>0</v>
      </c>
      <c r="U54" s="19">
        <v>0</v>
      </c>
      <c r="V54" s="19">
        <v>0</v>
      </c>
      <c r="W54" s="19">
        <v>0</v>
      </c>
      <c r="X54" s="19">
        <v>0</v>
      </c>
      <c r="Y54" s="19">
        <v>0</v>
      </c>
      <c r="Z54" s="19">
        <v>0</v>
      </c>
      <c r="AA54" s="19">
        <v>0</v>
      </c>
      <c r="AB54" s="19">
        <v>0</v>
      </c>
      <c r="AC54" s="19">
        <v>0</v>
      </c>
      <c r="AD54" s="19">
        <v>0</v>
      </c>
      <c r="AE54" s="19">
        <v>0</v>
      </c>
      <c r="AF54" s="19">
        <v>0</v>
      </c>
      <c r="AG54" s="19">
        <v>0</v>
      </c>
      <c r="AU54" t="s">
        <v>40</v>
      </c>
      <c r="AV54" s="6">
        <v>0</v>
      </c>
      <c r="AW54" s="6">
        <v>0</v>
      </c>
      <c r="AX54" s="6">
        <v>0</v>
      </c>
      <c r="AY54" s="6">
        <v>0</v>
      </c>
      <c r="AZ54" s="6">
        <v>0</v>
      </c>
      <c r="BA54" s="6">
        <v>0</v>
      </c>
      <c r="BB54" s="6">
        <v>0</v>
      </c>
    </row>
    <row r="55" spans="1:54">
      <c r="A55" s="3"/>
      <c r="B55" t="s">
        <v>70</v>
      </c>
      <c r="C55" s="19">
        <v>0</v>
      </c>
      <c r="D55" s="19">
        <v>0</v>
      </c>
      <c r="E55" s="19">
        <v>0</v>
      </c>
      <c r="F55" s="19">
        <v>0</v>
      </c>
      <c r="G55" s="19">
        <v>0</v>
      </c>
      <c r="H55" s="19">
        <v>0</v>
      </c>
      <c r="I55" s="19">
        <v>0</v>
      </c>
      <c r="J55" s="19">
        <v>0</v>
      </c>
      <c r="K55" s="19">
        <v>0</v>
      </c>
      <c r="L55" s="19">
        <v>0</v>
      </c>
      <c r="M55" s="19">
        <v>0</v>
      </c>
      <c r="N55" s="19">
        <v>0</v>
      </c>
      <c r="O55" s="19">
        <v>0</v>
      </c>
      <c r="P55" s="19">
        <v>0</v>
      </c>
      <c r="Q55" s="19">
        <v>0</v>
      </c>
      <c r="R55" s="19">
        <v>0</v>
      </c>
      <c r="S55" s="19">
        <v>0</v>
      </c>
      <c r="T55" s="19">
        <v>0</v>
      </c>
      <c r="U55" s="19">
        <v>0</v>
      </c>
      <c r="V55" s="19">
        <v>0</v>
      </c>
      <c r="W55" s="19">
        <v>0</v>
      </c>
      <c r="X55" s="19">
        <v>0</v>
      </c>
      <c r="Y55" s="19">
        <v>0</v>
      </c>
      <c r="Z55" s="19">
        <v>0</v>
      </c>
      <c r="AA55" s="19">
        <v>0</v>
      </c>
      <c r="AB55" s="19">
        <v>0</v>
      </c>
      <c r="AC55" s="19">
        <v>0</v>
      </c>
      <c r="AD55" s="19">
        <v>0</v>
      </c>
      <c r="AE55" s="19">
        <v>0</v>
      </c>
      <c r="AF55" s="19">
        <v>0</v>
      </c>
      <c r="AG55" s="19">
        <v>0</v>
      </c>
      <c r="AU55" t="s">
        <v>70</v>
      </c>
      <c r="AV55" s="11">
        <f>C55</f>
        <v>0</v>
      </c>
      <c r="AW55" s="11">
        <f t="shared" ref="AW55:AW64" si="7">H55</f>
        <v>0</v>
      </c>
      <c r="AX55" s="11">
        <f t="shared" ref="AX55:AX63" si="8">M55</f>
        <v>0</v>
      </c>
      <c r="AY55" s="11">
        <f t="shared" ref="AY55:AY63" si="9">R55</f>
        <v>0</v>
      </c>
      <c r="AZ55" s="11">
        <f t="shared" ref="AZ55:AZ63" si="10">W55</f>
        <v>0</v>
      </c>
      <c r="BA55" s="11">
        <f t="shared" ref="BA55:BA63" si="11">AB55</f>
        <v>0</v>
      </c>
      <c r="BB55" s="11">
        <f t="shared" ref="BB55:BB63" si="12">AG55</f>
        <v>0</v>
      </c>
    </row>
    <row r="56" spans="1:54">
      <c r="B56" t="s">
        <v>43</v>
      </c>
      <c r="C56" s="19">
        <v>0</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9">
        <v>0</v>
      </c>
      <c r="X56" s="19">
        <v>0</v>
      </c>
      <c r="Y56" s="19">
        <v>0</v>
      </c>
      <c r="Z56" s="19">
        <v>0</v>
      </c>
      <c r="AA56" s="19">
        <v>0</v>
      </c>
      <c r="AB56" s="19">
        <v>0</v>
      </c>
      <c r="AC56" s="19">
        <v>0</v>
      </c>
      <c r="AD56" s="19">
        <v>0</v>
      </c>
      <c r="AE56" s="19">
        <v>0</v>
      </c>
      <c r="AF56" s="19">
        <v>0</v>
      </c>
      <c r="AG56" s="19">
        <v>0</v>
      </c>
      <c r="AU56" t="s">
        <v>43</v>
      </c>
      <c r="AV56" s="6">
        <v>0</v>
      </c>
      <c r="AW56" s="6">
        <f t="shared" si="7"/>
        <v>0</v>
      </c>
      <c r="AX56" s="6">
        <f t="shared" si="8"/>
        <v>0</v>
      </c>
      <c r="AY56" s="6">
        <f t="shared" si="9"/>
        <v>0</v>
      </c>
      <c r="AZ56" s="6">
        <f t="shared" si="10"/>
        <v>0</v>
      </c>
      <c r="BA56" s="6">
        <f t="shared" si="11"/>
        <v>0</v>
      </c>
      <c r="BB56" s="6">
        <f t="shared" si="12"/>
        <v>0</v>
      </c>
    </row>
    <row r="57" spans="1:54" s="25" customFormat="1">
      <c r="B57" s="25" t="s">
        <v>44</v>
      </c>
      <c r="C57" s="26">
        <f>SYDEC_2020!D6</f>
        <v>1.4237500000000001</v>
      </c>
      <c r="D57" s="26">
        <f>_xlfn.FORECAST.LINEAR(D$53, CHOOSE({1,2}, $C57,$F57), CHOOSE({1,2}, $C$53, $F$53))</f>
        <v>1.4237500000000001</v>
      </c>
      <c r="E57" s="26">
        <f>_xlfn.FORECAST.LINEAR(E$53, CHOOSE({1,2}, $C57,$F57), CHOOSE({1,2}, $C$53, $F$53))</f>
        <v>1.4237500000000001</v>
      </c>
      <c r="F57" s="26">
        <f>SYDEC_2023!D6</f>
        <v>1.4237500000000001</v>
      </c>
      <c r="G57" s="26">
        <f t="shared" ref="G57:AG57" si="13">F57*(1+G$52)</f>
        <v>1.5240187107018845</v>
      </c>
      <c r="H57" s="26">
        <f t="shared" si="13"/>
        <v>1.6313489240171621</v>
      </c>
      <c r="I57" s="26">
        <f t="shared" si="13"/>
        <v>1.7462379518072288</v>
      </c>
      <c r="J57" s="26">
        <f t="shared" si="13"/>
        <v>1.8598773354549423</v>
      </c>
      <c r="K57" s="26">
        <f t="shared" si="13"/>
        <v>1.9809119939003814</v>
      </c>
      <c r="L57" s="26">
        <f t="shared" si="13"/>
        <v>2.1098231871396709</v>
      </c>
      <c r="M57" s="26">
        <f t="shared" si="13"/>
        <v>2.2471234939759031</v>
      </c>
      <c r="N57" s="26">
        <f t="shared" si="13"/>
        <v>2.3609278130498867</v>
      </c>
      <c r="O57" s="26">
        <f t="shared" si="13"/>
        <v>2.480495688543717</v>
      </c>
      <c r="P57" s="26">
        <f t="shared" si="13"/>
        <v>2.6061190125654883</v>
      </c>
      <c r="Q57" s="26">
        <f t="shared" si="13"/>
        <v>2.7381044599367037</v>
      </c>
      <c r="R57" s="26">
        <f t="shared" si="13"/>
        <v>2.8767742368545699</v>
      </c>
      <c r="S57" s="26">
        <f t="shared" si="13"/>
        <v>3.0224668674698787</v>
      </c>
      <c r="T57" s="26">
        <f t="shared" si="13"/>
        <v>3.1755380203006873</v>
      </c>
      <c r="U57" s="26">
        <f t="shared" si="13"/>
        <v>3.336361376499259</v>
      </c>
      <c r="V57" s="26">
        <f t="shared" si="13"/>
        <v>3.5053295420919013</v>
      </c>
      <c r="W57" s="26">
        <f t="shared" si="13"/>
        <v>3.6828550064186811</v>
      </c>
      <c r="X57" s="26">
        <f t="shared" si="13"/>
        <v>3.869371149112788</v>
      </c>
      <c r="Y57" s="26">
        <f t="shared" si="13"/>
        <v>4.0653332980778067</v>
      </c>
      <c r="Z57" s="26">
        <f t="shared" si="13"/>
        <v>4.2712198410456574</v>
      </c>
      <c r="AA57" s="26">
        <f t="shared" si="13"/>
        <v>4.4875333934287749</v>
      </c>
      <c r="AB57" s="26">
        <f t="shared" si="13"/>
        <v>4.7148020253175043</v>
      </c>
      <c r="AC57" s="26">
        <f t="shared" si="13"/>
        <v>4.9535805506181045</v>
      </c>
      <c r="AD57" s="26">
        <f t="shared" si="13"/>
        <v>5.2044518814784224</v>
      </c>
      <c r="AE57" s="26">
        <f t="shared" si="13"/>
        <v>5.4680284513077071</v>
      </c>
      <c r="AF57" s="26">
        <f t="shared" si="13"/>
        <v>5.7449537098644656</v>
      </c>
      <c r="AG57" s="26">
        <f t="shared" si="13"/>
        <v>6.0359036940622159</v>
      </c>
      <c r="AU57" s="25" t="s">
        <v>44</v>
      </c>
      <c r="AV57" s="28">
        <v>0</v>
      </c>
      <c r="AW57" s="28">
        <f t="shared" si="7"/>
        <v>1.6313489240171621</v>
      </c>
      <c r="AX57" s="28">
        <f t="shared" si="8"/>
        <v>2.2471234939759031</v>
      </c>
      <c r="AY57" s="28">
        <f t="shared" si="9"/>
        <v>2.8767742368545699</v>
      </c>
      <c r="AZ57" s="28">
        <f t="shared" si="10"/>
        <v>3.6828550064186811</v>
      </c>
      <c r="BA57" s="28">
        <f t="shared" si="11"/>
        <v>4.7148020253175043</v>
      </c>
      <c r="BB57" s="28">
        <f t="shared" si="12"/>
        <v>6.0359036940622159</v>
      </c>
    </row>
    <row r="58" spans="1:54" s="25" customFormat="1">
      <c r="A58" s="27"/>
      <c r="B58" s="25" t="s">
        <v>45</v>
      </c>
      <c r="C58" s="26">
        <f>SYDEC_2020!D7</f>
        <v>4.7723199999999997</v>
      </c>
      <c r="D58" s="26">
        <f>_xlfn.FORECAST.LINEAR(D$53, CHOOSE({1,2}, $C58,$F58), CHOOSE({1,2}, $C$53, $F$53))</f>
        <v>4.7723199999999997</v>
      </c>
      <c r="E58" s="26">
        <f>_xlfn.FORECAST.LINEAR(E$53, CHOOSE({1,2}, $C58,$F58), CHOOSE({1,2}, $C$53, $F$53))</f>
        <v>4.7723199999999997</v>
      </c>
      <c r="F58" s="26">
        <f>SYDEC_2023!D7</f>
        <v>4.7723199999999997</v>
      </c>
      <c r="G58" s="26">
        <f t="shared" ref="G58:AG58" si="14">F58*(1+G$52)</f>
        <v>5.1084143799521105</v>
      </c>
      <c r="H58" s="26">
        <f t="shared" si="14"/>
        <v>5.4681784702831129</v>
      </c>
      <c r="I58" s="26">
        <f t="shared" si="14"/>
        <v>5.8532792289156612</v>
      </c>
      <c r="J58" s="26">
        <f t="shared" si="14"/>
        <v>6.2341912593772282</v>
      </c>
      <c r="K58" s="26">
        <f t="shared" si="14"/>
        <v>6.6398917834807136</v>
      </c>
      <c r="L58" s="26">
        <f t="shared" si="14"/>
        <v>7.0719939543110737</v>
      </c>
      <c r="M58" s="26">
        <f t="shared" si="14"/>
        <v>7.5322159036144543</v>
      </c>
      <c r="N58" s="26">
        <f t="shared" si="14"/>
        <v>7.9136807871987589</v>
      </c>
      <c r="O58" s="26">
        <f t="shared" si="14"/>
        <v>8.3144647475687083</v>
      </c>
      <c r="P58" s="26">
        <f t="shared" si="14"/>
        <v>8.7355461886191588</v>
      </c>
      <c r="Q58" s="26">
        <f t="shared" si="14"/>
        <v>9.1779530649658483</v>
      </c>
      <c r="R58" s="26">
        <f t="shared" si="14"/>
        <v>9.6427653914140805</v>
      </c>
      <c r="S58" s="26">
        <f t="shared" si="14"/>
        <v>10.131117879518067</v>
      </c>
      <c r="T58" s="26">
        <f t="shared" si="14"/>
        <v>10.644202707667338</v>
      </c>
      <c r="U58" s="26">
        <f t="shared" si="14"/>
        <v>11.183272431462644</v>
      </c>
      <c r="V58" s="26">
        <f t="shared" si="14"/>
        <v>11.749643041486229</v>
      </c>
      <c r="W58" s="26">
        <f t="shared" si="14"/>
        <v>12.344697175931165</v>
      </c>
      <c r="X58" s="26">
        <f t="shared" si="14"/>
        <v>12.969887495932527</v>
      </c>
      <c r="Y58" s="26">
        <f t="shared" si="14"/>
        <v>13.626740231840332</v>
      </c>
      <c r="Z58" s="26">
        <f t="shared" si="14"/>
        <v>14.316858909091488</v>
      </c>
      <c r="AA58" s="26">
        <f t="shared" si="14"/>
        <v>15.041928262776473</v>
      </c>
      <c r="AB58" s="26">
        <f t="shared" si="14"/>
        <v>15.80371835045705</v>
      </c>
      <c r="AC58" s="26">
        <f t="shared" si="14"/>
        <v>16.604088873275352</v>
      </c>
      <c r="AD58" s="26">
        <f t="shared" si="14"/>
        <v>17.444993715903138</v>
      </c>
      <c r="AE58" s="26">
        <f t="shared" si="14"/>
        <v>18.328485716414246</v>
      </c>
      <c r="AF58" s="26">
        <f t="shared" si="14"/>
        <v>19.256721677724581</v>
      </c>
      <c r="AG58" s="26">
        <f t="shared" si="14"/>
        <v>20.231967632833697</v>
      </c>
      <c r="AU58" s="25" t="s">
        <v>45</v>
      </c>
      <c r="AV58" s="28">
        <f>C58</f>
        <v>4.7723199999999997</v>
      </c>
      <c r="AW58" s="28">
        <f t="shared" si="7"/>
        <v>5.4681784702831129</v>
      </c>
      <c r="AX58" s="28">
        <f t="shared" si="8"/>
        <v>7.5322159036144543</v>
      </c>
      <c r="AY58" s="28">
        <f t="shared" si="9"/>
        <v>9.6427653914140805</v>
      </c>
      <c r="AZ58" s="28">
        <f t="shared" si="10"/>
        <v>12.344697175931165</v>
      </c>
      <c r="BA58" s="28">
        <f t="shared" si="11"/>
        <v>15.80371835045705</v>
      </c>
      <c r="BB58" s="28">
        <f t="shared" si="12"/>
        <v>20.231967632833697</v>
      </c>
    </row>
    <row r="59" spans="1:54" s="25" customFormat="1">
      <c r="A59" s="27" t="s">
        <v>75</v>
      </c>
      <c r="B59" s="25" t="s">
        <v>46</v>
      </c>
      <c r="C59" s="44">
        <f>'260915_분산태양광'!W11</f>
        <v>794</v>
      </c>
      <c r="D59" s="44">
        <f>'260915_분산태양광'!W12</f>
        <v>942</v>
      </c>
      <c r="E59" s="44">
        <f>'260915_분산태양광'!W13</f>
        <v>1092</v>
      </c>
      <c r="F59" s="44">
        <f>'260915_분산태양광'!W14</f>
        <v>1266</v>
      </c>
      <c r="G59" s="44">
        <f>'260915_분산태양광'!W15</f>
        <v>1492</v>
      </c>
      <c r="H59" s="44">
        <f>'260915_분산태양광'!W16</f>
        <v>1535</v>
      </c>
      <c r="I59" s="44">
        <f>'260915_분산태양광'!W17</f>
        <v>1657</v>
      </c>
      <c r="J59" s="44">
        <f>'260915_분산태양광'!W18</f>
        <v>1802</v>
      </c>
      <c r="K59" s="44">
        <f>'260915_분산태양광'!W19</f>
        <v>1946</v>
      </c>
      <c r="L59" s="44">
        <f>'260915_분산태양광'!W20</f>
        <v>2092</v>
      </c>
      <c r="M59" s="44">
        <f>'260915_분산태양광'!W21</f>
        <v>2240</v>
      </c>
      <c r="N59" s="44">
        <f>'260915_분산태양광'!W22</f>
        <v>2395</v>
      </c>
      <c r="O59" s="44">
        <f>'260915_분산태양광'!W23</f>
        <v>2551</v>
      </c>
      <c r="P59" s="44">
        <f>'260915_분산태양광'!W24</f>
        <v>2710</v>
      </c>
      <c r="Q59" s="44">
        <f>'260915_분산태양광'!W25</f>
        <v>2873</v>
      </c>
      <c r="R59" s="44">
        <f>'260915_분산태양광'!W26</f>
        <v>3035</v>
      </c>
      <c r="S59" s="44">
        <f>'260915_분산태양광'!W27</f>
        <v>3202</v>
      </c>
      <c r="T59" s="44">
        <f>'260915_분산태양광'!W28</f>
        <v>3506</v>
      </c>
      <c r="U59" s="44">
        <f>'260915_분산태양광'!W29</f>
        <v>3829</v>
      </c>
      <c r="V59" s="44">
        <f>'260915_분산태양광'!W30</f>
        <v>3829</v>
      </c>
      <c r="W59" s="44">
        <f>'260915_분산태양광'!W31</f>
        <v>3829</v>
      </c>
      <c r="X59" s="44">
        <f>'260915_분산태양광'!W32</f>
        <v>3829</v>
      </c>
      <c r="Y59" s="44">
        <f>'260915_분산태양광'!W33</f>
        <v>3829</v>
      </c>
      <c r="Z59" s="44">
        <f>'260915_분산태양광'!W34</f>
        <v>3829</v>
      </c>
      <c r="AA59" s="44">
        <f>'260915_분산태양광'!W35</f>
        <v>3829</v>
      </c>
      <c r="AB59" s="44">
        <f>'260915_분산태양광'!W36</f>
        <v>3829</v>
      </c>
      <c r="AC59" s="44">
        <f>'260915_분산태양광'!W37</f>
        <v>3829</v>
      </c>
      <c r="AD59" s="44">
        <f>'260915_분산태양광'!W38</f>
        <v>3829</v>
      </c>
      <c r="AE59" s="44">
        <f>'260915_분산태양광'!W39</f>
        <v>3829</v>
      </c>
      <c r="AF59" s="44">
        <f>'260915_분산태양광'!W40</f>
        <v>3829</v>
      </c>
      <c r="AG59" s="44">
        <f>'260915_분산태양광'!W41</f>
        <v>3829</v>
      </c>
      <c r="AU59" s="25" t="s">
        <v>46</v>
      </c>
      <c r="AV59" s="28">
        <f>C59</f>
        <v>794</v>
      </c>
      <c r="AW59" s="28">
        <f t="shared" si="7"/>
        <v>1535</v>
      </c>
      <c r="AX59" s="28">
        <f t="shared" si="8"/>
        <v>2240</v>
      </c>
      <c r="AY59" s="28">
        <f t="shared" si="9"/>
        <v>3035</v>
      </c>
      <c r="AZ59" s="28">
        <f t="shared" si="10"/>
        <v>3829</v>
      </c>
      <c r="BA59" s="28">
        <f t="shared" si="11"/>
        <v>3829</v>
      </c>
      <c r="BB59" s="28">
        <f t="shared" si="12"/>
        <v>3829</v>
      </c>
    </row>
    <row r="60" spans="1:54">
      <c r="B60" t="s">
        <v>47</v>
      </c>
      <c r="C60" s="19">
        <v>0</v>
      </c>
      <c r="D60" s="19">
        <v>0</v>
      </c>
      <c r="E60" s="19">
        <v>0</v>
      </c>
      <c r="F60" s="19">
        <v>0</v>
      </c>
      <c r="G60" s="19">
        <v>0</v>
      </c>
      <c r="H60" s="19">
        <v>0</v>
      </c>
      <c r="I60" s="19">
        <v>0</v>
      </c>
      <c r="J60" s="19">
        <v>0</v>
      </c>
      <c r="K60" s="19">
        <v>0</v>
      </c>
      <c r="L60" s="19">
        <v>0</v>
      </c>
      <c r="M60" s="19">
        <v>0</v>
      </c>
      <c r="N60" s="19">
        <v>0</v>
      </c>
      <c r="O60" s="19">
        <v>0</v>
      </c>
      <c r="P60" s="19">
        <v>0</v>
      </c>
      <c r="Q60" s="19">
        <v>0</v>
      </c>
      <c r="R60" s="19">
        <v>0</v>
      </c>
      <c r="S60" s="19">
        <v>0</v>
      </c>
      <c r="T60" s="19">
        <v>0</v>
      </c>
      <c r="U60" s="19">
        <v>0</v>
      </c>
      <c r="V60" s="19">
        <v>0</v>
      </c>
      <c r="W60" s="19">
        <v>0</v>
      </c>
      <c r="X60" s="19">
        <v>0</v>
      </c>
      <c r="Y60" s="19">
        <v>0</v>
      </c>
      <c r="Z60" s="19">
        <v>0</v>
      </c>
      <c r="AA60" s="19">
        <v>0</v>
      </c>
      <c r="AB60" s="19">
        <v>0</v>
      </c>
      <c r="AC60" s="19">
        <v>0</v>
      </c>
      <c r="AD60" s="19">
        <v>0</v>
      </c>
      <c r="AE60" s="19">
        <v>0</v>
      </c>
      <c r="AF60" s="19">
        <v>0</v>
      </c>
      <c r="AG60" s="19">
        <v>0</v>
      </c>
      <c r="AU60" t="s">
        <v>47</v>
      </c>
      <c r="AV60" s="6">
        <v>0</v>
      </c>
      <c r="AW60" s="6">
        <f t="shared" si="7"/>
        <v>0</v>
      </c>
      <c r="AX60" s="6">
        <f t="shared" si="8"/>
        <v>0</v>
      </c>
      <c r="AY60" s="6">
        <f t="shared" si="9"/>
        <v>0</v>
      </c>
      <c r="AZ60" s="6">
        <f t="shared" si="10"/>
        <v>0</v>
      </c>
      <c r="BA60" s="6">
        <f t="shared" si="11"/>
        <v>0</v>
      </c>
      <c r="BB60" s="6">
        <f t="shared" si="12"/>
        <v>0</v>
      </c>
    </row>
    <row r="61" spans="1:54">
      <c r="B61" t="s">
        <v>48</v>
      </c>
      <c r="C61" s="19">
        <v>0</v>
      </c>
      <c r="D61" s="19">
        <v>0</v>
      </c>
      <c r="E61" s="19">
        <v>0</v>
      </c>
      <c r="F61" s="19">
        <v>0</v>
      </c>
      <c r="G61" s="19">
        <v>0</v>
      </c>
      <c r="H61" s="19">
        <v>0</v>
      </c>
      <c r="I61" s="19">
        <v>0</v>
      </c>
      <c r="J61" s="19">
        <v>0</v>
      </c>
      <c r="K61" s="19">
        <v>0</v>
      </c>
      <c r="L61" s="19">
        <v>0</v>
      </c>
      <c r="M61" s="19">
        <v>0</v>
      </c>
      <c r="N61" s="19">
        <v>0</v>
      </c>
      <c r="O61" s="19">
        <v>0</v>
      </c>
      <c r="P61" s="19">
        <v>0</v>
      </c>
      <c r="Q61" s="19">
        <v>0</v>
      </c>
      <c r="R61" s="19">
        <v>0</v>
      </c>
      <c r="S61" s="19">
        <v>0</v>
      </c>
      <c r="T61" s="19">
        <v>0</v>
      </c>
      <c r="U61" s="19">
        <v>0</v>
      </c>
      <c r="V61" s="19">
        <v>0</v>
      </c>
      <c r="W61" s="19">
        <v>0</v>
      </c>
      <c r="X61" s="19">
        <v>0</v>
      </c>
      <c r="Y61" s="19">
        <v>0</v>
      </c>
      <c r="Z61" s="19">
        <v>0</v>
      </c>
      <c r="AA61" s="19">
        <v>0</v>
      </c>
      <c r="AB61" s="19">
        <v>0</v>
      </c>
      <c r="AC61" s="19">
        <v>0</v>
      </c>
      <c r="AD61" s="19">
        <v>0</v>
      </c>
      <c r="AE61" s="19">
        <v>0</v>
      </c>
      <c r="AF61" s="19">
        <v>0</v>
      </c>
      <c r="AG61" s="19">
        <v>0</v>
      </c>
      <c r="AU61" t="s">
        <v>48</v>
      </c>
      <c r="AV61" s="6">
        <v>0</v>
      </c>
      <c r="AW61" s="6">
        <f t="shared" si="7"/>
        <v>0</v>
      </c>
      <c r="AX61" s="6">
        <f t="shared" si="8"/>
        <v>0</v>
      </c>
      <c r="AY61" s="6">
        <f t="shared" si="9"/>
        <v>0</v>
      </c>
      <c r="AZ61" s="6">
        <f t="shared" si="10"/>
        <v>0</v>
      </c>
      <c r="BA61" s="6">
        <f t="shared" si="11"/>
        <v>0</v>
      </c>
      <c r="BB61" s="6">
        <f t="shared" si="12"/>
        <v>0</v>
      </c>
    </row>
    <row r="62" spans="1:54">
      <c r="B62" t="s">
        <v>49</v>
      </c>
      <c r="C62" s="19">
        <v>0</v>
      </c>
      <c r="D62" s="19">
        <v>0</v>
      </c>
      <c r="E62" s="19">
        <v>0</v>
      </c>
      <c r="F62" s="19">
        <v>0</v>
      </c>
      <c r="G62" s="19">
        <v>0</v>
      </c>
      <c r="H62" s="19">
        <v>0</v>
      </c>
      <c r="I62" s="19">
        <v>0</v>
      </c>
      <c r="J62" s="19">
        <v>0</v>
      </c>
      <c r="K62" s="19">
        <v>0</v>
      </c>
      <c r="L62" s="19">
        <v>0</v>
      </c>
      <c r="M62" s="19">
        <v>0</v>
      </c>
      <c r="N62" s="19">
        <v>0</v>
      </c>
      <c r="O62" s="19">
        <v>0</v>
      </c>
      <c r="P62" s="19">
        <v>0</v>
      </c>
      <c r="Q62" s="19">
        <v>0</v>
      </c>
      <c r="R62" s="19">
        <v>0</v>
      </c>
      <c r="S62" s="19">
        <v>0</v>
      </c>
      <c r="T62" s="19">
        <v>0</v>
      </c>
      <c r="U62" s="19">
        <v>0</v>
      </c>
      <c r="V62" s="19">
        <v>0</v>
      </c>
      <c r="W62" s="19">
        <v>0</v>
      </c>
      <c r="X62" s="19">
        <v>0</v>
      </c>
      <c r="Y62" s="19">
        <v>0</v>
      </c>
      <c r="Z62" s="19">
        <v>0</v>
      </c>
      <c r="AA62" s="19">
        <v>0</v>
      </c>
      <c r="AB62" s="19">
        <v>0</v>
      </c>
      <c r="AC62" s="19">
        <v>0</v>
      </c>
      <c r="AD62" s="19">
        <v>0</v>
      </c>
      <c r="AE62" s="19">
        <v>0</v>
      </c>
      <c r="AF62" s="19">
        <v>0</v>
      </c>
      <c r="AG62" s="19">
        <v>0</v>
      </c>
      <c r="AU62" t="s">
        <v>49</v>
      </c>
      <c r="AV62" s="6">
        <v>0</v>
      </c>
      <c r="AW62" s="6">
        <f t="shared" si="7"/>
        <v>0</v>
      </c>
      <c r="AX62" s="6">
        <f t="shared" si="8"/>
        <v>0</v>
      </c>
      <c r="AY62" s="6">
        <f t="shared" si="9"/>
        <v>0</v>
      </c>
      <c r="AZ62" s="6">
        <f t="shared" si="10"/>
        <v>0</v>
      </c>
      <c r="BA62" s="6">
        <f t="shared" si="11"/>
        <v>0</v>
      </c>
      <c r="BB62" s="6">
        <f t="shared" si="12"/>
        <v>0</v>
      </c>
    </row>
    <row r="63" spans="1:54">
      <c r="A63" s="3"/>
      <c r="B63" t="s">
        <v>50</v>
      </c>
      <c r="C63" s="19">
        <v>0</v>
      </c>
      <c r="D63" s="19">
        <v>0</v>
      </c>
      <c r="E63" s="19">
        <v>0</v>
      </c>
      <c r="F63" s="19">
        <v>0</v>
      </c>
      <c r="G63" s="19">
        <v>0</v>
      </c>
      <c r="H63" s="19">
        <v>0</v>
      </c>
      <c r="I63" s="19">
        <v>0</v>
      </c>
      <c r="J63" s="19">
        <v>0</v>
      </c>
      <c r="K63" s="19">
        <v>0</v>
      </c>
      <c r="L63" s="19">
        <v>0</v>
      </c>
      <c r="M63" s="19">
        <v>0</v>
      </c>
      <c r="N63" s="19">
        <v>0</v>
      </c>
      <c r="O63" s="19">
        <v>0</v>
      </c>
      <c r="P63" s="19">
        <v>0</v>
      </c>
      <c r="Q63" s="19">
        <v>0</v>
      </c>
      <c r="R63" s="19">
        <v>0</v>
      </c>
      <c r="S63" s="19">
        <v>0</v>
      </c>
      <c r="T63" s="19">
        <v>0</v>
      </c>
      <c r="U63" s="19">
        <v>0</v>
      </c>
      <c r="V63" s="19">
        <v>0</v>
      </c>
      <c r="W63" s="19">
        <v>0</v>
      </c>
      <c r="X63" s="19">
        <v>0</v>
      </c>
      <c r="Y63" s="19">
        <v>0</v>
      </c>
      <c r="Z63" s="19">
        <v>0</v>
      </c>
      <c r="AA63" s="19">
        <v>0</v>
      </c>
      <c r="AB63" s="19">
        <v>0</v>
      </c>
      <c r="AC63" s="19">
        <v>0</v>
      </c>
      <c r="AD63" s="19">
        <v>0</v>
      </c>
      <c r="AE63" s="19">
        <v>0</v>
      </c>
      <c r="AF63" s="19">
        <v>0</v>
      </c>
      <c r="AG63" s="19">
        <v>0</v>
      </c>
      <c r="AU63" t="s">
        <v>50</v>
      </c>
      <c r="AV63" s="11">
        <f>C63</f>
        <v>0</v>
      </c>
      <c r="AW63" s="11">
        <f t="shared" si="7"/>
        <v>0</v>
      </c>
      <c r="AX63" s="11">
        <f t="shared" si="8"/>
        <v>0</v>
      </c>
      <c r="AY63" s="11">
        <f t="shared" si="9"/>
        <v>0</v>
      </c>
      <c r="AZ63" s="11">
        <f t="shared" si="10"/>
        <v>0</v>
      </c>
      <c r="BA63" s="11">
        <f t="shared" si="11"/>
        <v>0</v>
      </c>
      <c r="BB63" s="11">
        <f t="shared" si="12"/>
        <v>0</v>
      </c>
    </row>
    <row r="64" spans="1:54">
      <c r="B64" t="s">
        <v>51</v>
      </c>
      <c r="C64" s="19">
        <v>0</v>
      </c>
      <c r="D64" s="19">
        <v>0</v>
      </c>
      <c r="E64" s="19">
        <v>0</v>
      </c>
      <c r="F64" s="19">
        <v>0</v>
      </c>
      <c r="G64" s="19">
        <v>0</v>
      </c>
      <c r="H64" s="19">
        <v>0</v>
      </c>
      <c r="I64" s="19">
        <v>0</v>
      </c>
      <c r="J64" s="19">
        <v>0</v>
      </c>
      <c r="K64" s="19">
        <v>0</v>
      </c>
      <c r="L64" s="19">
        <v>0</v>
      </c>
      <c r="M64" s="19">
        <v>0</v>
      </c>
      <c r="N64" s="19">
        <v>0</v>
      </c>
      <c r="O64" s="19">
        <v>0</v>
      </c>
      <c r="P64" s="19">
        <v>0</v>
      </c>
      <c r="Q64" s="19">
        <v>0</v>
      </c>
      <c r="R64" s="19">
        <v>0</v>
      </c>
      <c r="S64" s="19">
        <v>0</v>
      </c>
      <c r="T64" s="19">
        <v>0</v>
      </c>
      <c r="U64" s="19">
        <v>0</v>
      </c>
      <c r="V64" s="19">
        <v>0</v>
      </c>
      <c r="W64" s="19">
        <v>0</v>
      </c>
      <c r="X64" s="19">
        <v>0</v>
      </c>
      <c r="Y64" s="19">
        <v>0</v>
      </c>
      <c r="Z64" s="19">
        <v>0</v>
      </c>
      <c r="AA64" s="19">
        <v>0</v>
      </c>
      <c r="AB64" s="19">
        <v>0</v>
      </c>
      <c r="AC64" s="19">
        <v>0</v>
      </c>
      <c r="AD64" s="19">
        <v>0</v>
      </c>
      <c r="AE64" s="19">
        <v>0</v>
      </c>
      <c r="AF64" s="19">
        <v>0</v>
      </c>
      <c r="AG64" s="19">
        <v>0</v>
      </c>
      <c r="AU64" t="s">
        <v>51</v>
      </c>
      <c r="AV64" s="6">
        <v>0</v>
      </c>
      <c r="AW64" s="6">
        <f t="shared" si="7"/>
        <v>0</v>
      </c>
      <c r="AX64" s="6">
        <v>0</v>
      </c>
      <c r="AY64" s="6">
        <v>0</v>
      </c>
      <c r="AZ64" s="6">
        <v>0</v>
      </c>
      <c r="BA64" s="6">
        <v>0</v>
      </c>
      <c r="BB64" s="6">
        <v>0</v>
      </c>
    </row>
    <row r="65" spans="2:54">
      <c r="B65" t="s">
        <v>52</v>
      </c>
      <c r="C65" s="19">
        <v>0</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U65" t="s">
        <v>52</v>
      </c>
      <c r="AV65" s="6">
        <v>0</v>
      </c>
      <c r="AW65" s="6">
        <v>0</v>
      </c>
      <c r="AX65" s="6">
        <v>0</v>
      </c>
      <c r="AY65" s="6">
        <v>0</v>
      </c>
      <c r="AZ65" s="6">
        <v>0</v>
      </c>
      <c r="BA65" s="6">
        <v>0</v>
      </c>
      <c r="BB65" s="6">
        <v>0</v>
      </c>
    </row>
    <row r="66" spans="2:54">
      <c r="B66" t="s">
        <v>53</v>
      </c>
      <c r="C66" s="19">
        <v>0</v>
      </c>
      <c r="D66" s="19">
        <v>0</v>
      </c>
      <c r="E66" s="19">
        <v>0</v>
      </c>
      <c r="F66" s="19">
        <v>0</v>
      </c>
      <c r="G66" s="19">
        <v>0</v>
      </c>
      <c r="H66" s="19">
        <v>0</v>
      </c>
      <c r="I66" s="19">
        <v>0</v>
      </c>
      <c r="J66" s="19">
        <v>0</v>
      </c>
      <c r="K66" s="19">
        <v>0</v>
      </c>
      <c r="L66" s="19">
        <v>0</v>
      </c>
      <c r="M66" s="19">
        <v>0</v>
      </c>
      <c r="N66" s="19">
        <v>0</v>
      </c>
      <c r="O66" s="19">
        <v>0</v>
      </c>
      <c r="P66" s="19">
        <v>0</v>
      </c>
      <c r="Q66" s="19">
        <v>0</v>
      </c>
      <c r="R66" s="19">
        <v>0</v>
      </c>
      <c r="S66" s="19">
        <v>0</v>
      </c>
      <c r="T66" s="19">
        <v>0</v>
      </c>
      <c r="U66" s="19">
        <v>0</v>
      </c>
      <c r="V66" s="19">
        <v>0</v>
      </c>
      <c r="W66" s="19">
        <v>0</v>
      </c>
      <c r="X66" s="19">
        <v>0</v>
      </c>
      <c r="Y66" s="19">
        <v>0</v>
      </c>
      <c r="Z66" s="19">
        <v>0</v>
      </c>
      <c r="AA66" s="19">
        <v>0</v>
      </c>
      <c r="AB66" s="19">
        <v>0</v>
      </c>
      <c r="AC66" s="19">
        <v>0</v>
      </c>
      <c r="AD66" s="19">
        <v>0</v>
      </c>
      <c r="AE66" s="19">
        <v>0</v>
      </c>
      <c r="AF66" s="19">
        <v>0</v>
      </c>
      <c r="AG66" s="19">
        <v>0</v>
      </c>
      <c r="AU66" t="s">
        <v>53</v>
      </c>
      <c r="AV66" s="6">
        <v>0</v>
      </c>
      <c r="AW66" s="6">
        <v>0</v>
      </c>
      <c r="AX66" s="6">
        <v>0</v>
      </c>
      <c r="AY66" s="6">
        <v>0</v>
      </c>
      <c r="AZ66" s="6">
        <v>0</v>
      </c>
      <c r="BA66" s="6">
        <v>0</v>
      </c>
      <c r="BB66" s="6">
        <v>0</v>
      </c>
    </row>
    <row r="67" spans="2:54">
      <c r="B67" t="s">
        <v>54</v>
      </c>
      <c r="C67" s="19">
        <v>0</v>
      </c>
      <c r="D67" s="19">
        <v>0</v>
      </c>
      <c r="E67" s="19">
        <v>0</v>
      </c>
      <c r="F67" s="19">
        <v>0</v>
      </c>
      <c r="G67" s="19">
        <v>0</v>
      </c>
      <c r="H67" s="19">
        <v>0</v>
      </c>
      <c r="I67" s="19">
        <v>0</v>
      </c>
      <c r="J67" s="19">
        <v>0</v>
      </c>
      <c r="K67" s="19">
        <v>0</v>
      </c>
      <c r="L67" s="19">
        <v>0</v>
      </c>
      <c r="M67" s="19">
        <v>0</v>
      </c>
      <c r="N67" s="19">
        <v>0</v>
      </c>
      <c r="O67" s="19">
        <v>0</v>
      </c>
      <c r="P67" s="19">
        <v>0</v>
      </c>
      <c r="Q67" s="19">
        <v>0</v>
      </c>
      <c r="R67" s="19">
        <v>0</v>
      </c>
      <c r="S67" s="19">
        <v>0</v>
      </c>
      <c r="T67" s="19">
        <v>0</v>
      </c>
      <c r="U67" s="19">
        <v>0</v>
      </c>
      <c r="V67" s="19">
        <v>0</v>
      </c>
      <c r="W67" s="19">
        <v>0</v>
      </c>
      <c r="X67" s="19">
        <v>0</v>
      </c>
      <c r="Y67" s="19">
        <v>0</v>
      </c>
      <c r="Z67" s="19">
        <v>0</v>
      </c>
      <c r="AA67" s="19">
        <v>0</v>
      </c>
      <c r="AB67" s="19">
        <v>0</v>
      </c>
      <c r="AC67" s="19">
        <v>0</v>
      </c>
      <c r="AD67" s="19">
        <v>0</v>
      </c>
      <c r="AE67" s="19">
        <v>0</v>
      </c>
      <c r="AF67" s="19">
        <v>0</v>
      </c>
      <c r="AG67" s="19">
        <v>0</v>
      </c>
      <c r="AU67" t="s">
        <v>54</v>
      </c>
      <c r="AV67" s="6">
        <v>0</v>
      </c>
      <c r="AW67" s="6">
        <v>0</v>
      </c>
      <c r="AX67" s="6">
        <v>0</v>
      </c>
      <c r="AY67" s="6">
        <v>0</v>
      </c>
      <c r="AZ67" s="6">
        <v>0</v>
      </c>
      <c r="BA67" s="6">
        <v>0</v>
      </c>
      <c r="BB67" s="6">
        <v>0</v>
      </c>
    </row>
    <row r="68" spans="2:54">
      <c r="B68" t="s">
        <v>55</v>
      </c>
      <c r="C68" s="19">
        <v>0</v>
      </c>
      <c r="D68" s="19">
        <v>0</v>
      </c>
      <c r="E68" s="19">
        <v>0</v>
      </c>
      <c r="F68" s="19">
        <v>0</v>
      </c>
      <c r="G68" s="19">
        <v>0</v>
      </c>
      <c r="H68" s="19">
        <v>0</v>
      </c>
      <c r="I68" s="19">
        <v>0</v>
      </c>
      <c r="J68" s="19">
        <v>0</v>
      </c>
      <c r="K68" s="19">
        <v>0</v>
      </c>
      <c r="L68" s="19">
        <v>0</v>
      </c>
      <c r="M68" s="19">
        <v>0</v>
      </c>
      <c r="N68" s="19">
        <v>0</v>
      </c>
      <c r="O68" s="19">
        <v>0</v>
      </c>
      <c r="P68" s="19">
        <v>0</v>
      </c>
      <c r="Q68" s="19">
        <v>0</v>
      </c>
      <c r="R68" s="19">
        <v>0</v>
      </c>
      <c r="S68" s="19">
        <v>0</v>
      </c>
      <c r="T68" s="19">
        <v>0</v>
      </c>
      <c r="U68" s="19">
        <v>0</v>
      </c>
      <c r="V68" s="19">
        <v>0</v>
      </c>
      <c r="W68" s="19">
        <v>0</v>
      </c>
      <c r="X68" s="19">
        <v>0</v>
      </c>
      <c r="Y68" s="19">
        <v>0</v>
      </c>
      <c r="Z68" s="19">
        <v>0</v>
      </c>
      <c r="AA68" s="19">
        <v>0</v>
      </c>
      <c r="AB68" s="19">
        <v>0</v>
      </c>
      <c r="AC68" s="19">
        <v>0</v>
      </c>
      <c r="AD68" s="19">
        <v>0</v>
      </c>
      <c r="AE68" s="19">
        <v>0</v>
      </c>
      <c r="AF68" s="19">
        <v>0</v>
      </c>
      <c r="AG68" s="19">
        <v>0</v>
      </c>
      <c r="AU68" t="s">
        <v>55</v>
      </c>
      <c r="AV68" s="6">
        <v>0</v>
      </c>
      <c r="AW68" s="6">
        <v>0</v>
      </c>
      <c r="AX68" s="6">
        <v>0</v>
      </c>
      <c r="AY68" s="6">
        <v>0</v>
      </c>
      <c r="AZ68" s="6">
        <v>0</v>
      </c>
      <c r="BA68" s="6">
        <v>0</v>
      </c>
      <c r="BB68" s="6">
        <v>0</v>
      </c>
    </row>
    <row r="69" spans="2:54">
      <c r="B69" t="s">
        <v>56</v>
      </c>
      <c r="C69" s="19">
        <v>0</v>
      </c>
      <c r="D69" s="19">
        <v>0</v>
      </c>
      <c r="E69" s="19">
        <v>0</v>
      </c>
      <c r="F69" s="19">
        <v>0</v>
      </c>
      <c r="G69" s="19">
        <v>0</v>
      </c>
      <c r="H69" s="19">
        <v>0</v>
      </c>
      <c r="I69" s="19">
        <v>0</v>
      </c>
      <c r="J69" s="19">
        <v>0</v>
      </c>
      <c r="K69" s="19">
        <v>0</v>
      </c>
      <c r="L69" s="19">
        <v>0</v>
      </c>
      <c r="M69" s="19">
        <v>0</v>
      </c>
      <c r="N69" s="19">
        <v>0</v>
      </c>
      <c r="O69" s="19">
        <v>0</v>
      </c>
      <c r="P69" s="19">
        <v>0</v>
      </c>
      <c r="Q69" s="19">
        <v>0</v>
      </c>
      <c r="R69" s="19">
        <v>0</v>
      </c>
      <c r="S69" s="19">
        <v>0</v>
      </c>
      <c r="T69" s="19">
        <v>0</v>
      </c>
      <c r="U69" s="19">
        <v>0</v>
      </c>
      <c r="V69" s="19">
        <v>0</v>
      </c>
      <c r="W69" s="19">
        <v>0</v>
      </c>
      <c r="X69" s="19">
        <v>0</v>
      </c>
      <c r="Y69" s="19">
        <v>0</v>
      </c>
      <c r="Z69" s="19">
        <v>0</v>
      </c>
      <c r="AA69" s="19">
        <v>0</v>
      </c>
      <c r="AB69" s="19">
        <v>0</v>
      </c>
      <c r="AC69" s="19">
        <v>0</v>
      </c>
      <c r="AD69" s="19">
        <v>0</v>
      </c>
      <c r="AE69" s="19">
        <v>0</v>
      </c>
      <c r="AF69" s="19">
        <v>0</v>
      </c>
      <c r="AG69" s="19">
        <v>0</v>
      </c>
      <c r="AU69" t="s">
        <v>56</v>
      </c>
      <c r="AV69" s="6">
        <v>0</v>
      </c>
      <c r="AW69" s="6">
        <v>0</v>
      </c>
      <c r="AX69" s="6">
        <v>0</v>
      </c>
      <c r="AY69" s="6">
        <v>0</v>
      </c>
      <c r="AZ69" s="6">
        <v>0</v>
      </c>
      <c r="BA69" s="6">
        <v>0</v>
      </c>
      <c r="BB69" s="6">
        <v>0</v>
      </c>
    </row>
    <row r="70" spans="2:54">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row>
  </sheetData>
  <phoneticPr fontId="15" type="noConversion"/>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25"/>
  <sheetViews>
    <sheetView workbookViewId="0">
      <selection activeCell="B30" sqref="B30"/>
    </sheetView>
  </sheetViews>
  <sheetFormatPr defaultRowHeight="14.5"/>
  <cols>
    <col min="1" max="1" width="23.36328125" customWidth="1"/>
    <col min="2" max="2" width="10.26953125" bestFit="1" customWidth="1"/>
    <col min="3" max="32" width="9.6328125" bestFit="1" customWidth="1"/>
  </cols>
  <sheetData>
    <row r="1" spans="1:32">
      <c r="A1" t="s">
        <v>64</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40</v>
      </c>
      <c r="B2" s="19">
        <v>0</v>
      </c>
      <c r="C2" s="19">
        <v>0</v>
      </c>
      <c r="D2" s="19">
        <v>0</v>
      </c>
      <c r="E2" s="19">
        <v>0</v>
      </c>
      <c r="F2" s="19">
        <v>0</v>
      </c>
      <c r="G2" s="19">
        <v>0</v>
      </c>
      <c r="H2" s="19">
        <v>0</v>
      </c>
      <c r="I2" s="19">
        <v>0</v>
      </c>
      <c r="J2" s="19">
        <v>0</v>
      </c>
      <c r="K2" s="19">
        <v>0</v>
      </c>
      <c r="L2" s="19">
        <v>0</v>
      </c>
      <c r="M2" s="19">
        <v>0</v>
      </c>
      <c r="N2" s="19">
        <v>0</v>
      </c>
      <c r="O2" s="19">
        <v>0</v>
      </c>
      <c r="P2" s="19">
        <v>0</v>
      </c>
      <c r="Q2" s="19">
        <v>0</v>
      </c>
      <c r="R2" s="19">
        <v>0</v>
      </c>
      <c r="S2" s="19">
        <v>0</v>
      </c>
      <c r="T2" s="19">
        <v>0</v>
      </c>
      <c r="U2" s="19">
        <v>0</v>
      </c>
      <c r="V2" s="19">
        <v>0</v>
      </c>
      <c r="W2" s="19">
        <v>0</v>
      </c>
      <c r="X2" s="19">
        <v>0</v>
      </c>
      <c r="Y2" s="19">
        <v>0</v>
      </c>
      <c r="Z2" s="19">
        <v>0</v>
      </c>
      <c r="AA2" s="19">
        <v>0</v>
      </c>
      <c r="AB2" s="19">
        <v>0</v>
      </c>
      <c r="AC2" s="19">
        <v>0</v>
      </c>
      <c r="AD2" s="19">
        <v>0</v>
      </c>
      <c r="AE2" s="19">
        <v>0</v>
      </c>
      <c r="AF2" s="19">
        <v>0</v>
      </c>
    </row>
    <row r="3" spans="1:32">
      <c r="A3" t="s">
        <v>41</v>
      </c>
      <c r="B3" s="19">
        <v>0</v>
      </c>
      <c r="C3" s="19">
        <v>0</v>
      </c>
      <c r="D3" s="19">
        <v>0</v>
      </c>
      <c r="E3" s="19">
        <v>0</v>
      </c>
      <c r="F3" s="19">
        <v>0</v>
      </c>
      <c r="G3" s="19">
        <v>0</v>
      </c>
      <c r="H3" s="19">
        <v>0</v>
      </c>
      <c r="I3" s="19">
        <v>0</v>
      </c>
      <c r="J3" s="19">
        <v>0</v>
      </c>
      <c r="K3" s="19">
        <v>0</v>
      </c>
      <c r="L3" s="19">
        <v>0</v>
      </c>
      <c r="M3" s="19">
        <v>0</v>
      </c>
      <c r="N3" s="19">
        <v>0</v>
      </c>
      <c r="O3" s="19">
        <v>0</v>
      </c>
      <c r="P3" s="19">
        <v>0</v>
      </c>
      <c r="Q3" s="19">
        <v>0</v>
      </c>
      <c r="R3" s="19">
        <v>0</v>
      </c>
      <c r="S3" s="19">
        <v>0</v>
      </c>
      <c r="T3" s="19">
        <v>0</v>
      </c>
      <c r="U3" s="19">
        <v>0</v>
      </c>
      <c r="V3" s="19">
        <v>0</v>
      </c>
      <c r="W3" s="19">
        <v>0</v>
      </c>
      <c r="X3" s="19">
        <v>0</v>
      </c>
      <c r="Y3" s="19">
        <v>0</v>
      </c>
      <c r="Z3" s="19">
        <v>0</v>
      </c>
      <c r="AA3" s="19">
        <v>0</v>
      </c>
      <c r="AB3" s="19">
        <v>0</v>
      </c>
      <c r="AC3" s="19">
        <v>0</v>
      </c>
      <c r="AD3" s="19">
        <v>0</v>
      </c>
      <c r="AE3" s="19">
        <v>0</v>
      </c>
      <c r="AF3" s="19">
        <v>0</v>
      </c>
    </row>
    <row r="4" spans="1:32">
      <c r="A4" t="s">
        <v>42</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v>0</v>
      </c>
    </row>
    <row r="5" spans="1:32">
      <c r="A5" t="s">
        <v>43</v>
      </c>
      <c r="B5" s="19">
        <v>0</v>
      </c>
      <c r="C5" s="19">
        <v>0</v>
      </c>
      <c r="D5" s="19">
        <v>0</v>
      </c>
      <c r="E5" s="19">
        <v>0</v>
      </c>
      <c r="F5" s="19">
        <v>0</v>
      </c>
      <c r="G5" s="19">
        <v>0</v>
      </c>
      <c r="H5" s="19">
        <v>0</v>
      </c>
      <c r="I5" s="19">
        <v>0</v>
      </c>
      <c r="J5" s="19">
        <v>0</v>
      </c>
      <c r="K5" s="19">
        <v>0</v>
      </c>
      <c r="L5" s="19">
        <v>0</v>
      </c>
      <c r="M5" s="19">
        <v>0</v>
      </c>
      <c r="N5" s="19">
        <v>0</v>
      </c>
      <c r="O5" s="19">
        <v>0</v>
      </c>
      <c r="P5" s="19">
        <v>0</v>
      </c>
      <c r="Q5" s="19">
        <v>0</v>
      </c>
      <c r="R5" s="19">
        <v>0</v>
      </c>
      <c r="S5" s="19">
        <v>0</v>
      </c>
      <c r="T5" s="19">
        <v>0</v>
      </c>
      <c r="U5" s="19">
        <v>0</v>
      </c>
      <c r="V5" s="19">
        <v>0</v>
      </c>
      <c r="W5" s="19">
        <v>0</v>
      </c>
      <c r="X5" s="19">
        <v>0</v>
      </c>
      <c r="Y5" s="19">
        <v>0</v>
      </c>
      <c r="Z5" s="19">
        <v>0</v>
      </c>
      <c r="AA5" s="19">
        <v>0</v>
      </c>
      <c r="AB5" s="19">
        <v>0</v>
      </c>
      <c r="AC5" s="19">
        <v>0</v>
      </c>
      <c r="AD5" s="19">
        <v>0</v>
      </c>
      <c r="AE5" s="19">
        <v>0</v>
      </c>
      <c r="AF5" s="19">
        <v>0</v>
      </c>
    </row>
    <row r="6" spans="1:32">
      <c r="A6" s="40" t="s">
        <v>44</v>
      </c>
      <c r="B6" s="19">
        <f>Calculations!C16</f>
        <v>0</v>
      </c>
      <c r="C6" s="19">
        <f>Calculations!D16</f>
        <v>0</v>
      </c>
      <c r="D6" s="19">
        <f>Calculations!E16</f>
        <v>0</v>
      </c>
      <c r="E6" s="19">
        <f>Calculations!F16</f>
        <v>0</v>
      </c>
      <c r="F6" s="19">
        <f>Calculations!G16</f>
        <v>0</v>
      </c>
      <c r="G6" s="19">
        <f>Calculations!H16</f>
        <v>0</v>
      </c>
      <c r="H6" s="19">
        <f>Calculations!I16</f>
        <v>0</v>
      </c>
      <c r="I6" s="19">
        <f>Calculations!J16</f>
        <v>0</v>
      </c>
      <c r="J6" s="19">
        <f>Calculations!K16</f>
        <v>0</v>
      </c>
      <c r="K6" s="19">
        <f>Calculations!L16</f>
        <v>0</v>
      </c>
      <c r="L6" s="19">
        <f>Calculations!M16</f>
        <v>0</v>
      </c>
      <c r="M6" s="19">
        <f>Calculations!N16</f>
        <v>0</v>
      </c>
      <c r="N6" s="19">
        <f>Calculations!O16</f>
        <v>0</v>
      </c>
      <c r="O6" s="19">
        <f>Calculations!P16</f>
        <v>0</v>
      </c>
      <c r="P6" s="19">
        <f>Calculations!Q16</f>
        <v>0</v>
      </c>
      <c r="Q6" s="19">
        <f>Calculations!R16</f>
        <v>0</v>
      </c>
      <c r="R6" s="19">
        <f>Calculations!S16</f>
        <v>0</v>
      </c>
      <c r="S6" s="19">
        <f>Calculations!T16</f>
        <v>0</v>
      </c>
      <c r="T6" s="19">
        <f>Calculations!U16</f>
        <v>0</v>
      </c>
      <c r="U6" s="19">
        <f>Calculations!V16</f>
        <v>0</v>
      </c>
      <c r="V6" s="19">
        <f>Calculations!W16</f>
        <v>0</v>
      </c>
      <c r="W6" s="19">
        <f>Calculations!X16</f>
        <v>0</v>
      </c>
      <c r="X6" s="19">
        <f>Calculations!Y16</f>
        <v>0</v>
      </c>
      <c r="Y6" s="19">
        <f>Calculations!Z16</f>
        <v>0</v>
      </c>
      <c r="Z6" s="19">
        <f>Calculations!AA16</f>
        <v>0</v>
      </c>
      <c r="AA6" s="19">
        <f>Calculations!AB16</f>
        <v>0</v>
      </c>
      <c r="AB6" s="19">
        <f>Calculations!AC16</f>
        <v>0</v>
      </c>
      <c r="AC6" s="19">
        <f>Calculations!AD16</f>
        <v>0</v>
      </c>
      <c r="AD6" s="19">
        <f>Calculations!AE16</f>
        <v>0</v>
      </c>
      <c r="AE6" s="19">
        <f>Calculations!AF16</f>
        <v>0</v>
      </c>
      <c r="AF6" s="19">
        <f>Calculations!AG16</f>
        <v>0</v>
      </c>
    </row>
    <row r="7" spans="1:32">
      <c r="A7" s="20" t="s">
        <v>45</v>
      </c>
      <c r="B7" s="19">
        <f>Calculations!C17</f>
        <v>0</v>
      </c>
      <c r="C7" s="19">
        <f>Calculations!D17</f>
        <v>0</v>
      </c>
      <c r="D7" s="19">
        <f>Calculations!E17</f>
        <v>0</v>
      </c>
      <c r="E7" s="19">
        <f>Calculations!F17</f>
        <v>0</v>
      </c>
      <c r="F7" s="19">
        <f>Calculations!G17</f>
        <v>0</v>
      </c>
      <c r="G7" s="19">
        <f>Calculations!H17</f>
        <v>0</v>
      </c>
      <c r="H7" s="19">
        <f>Calculations!I17</f>
        <v>0</v>
      </c>
      <c r="I7" s="19">
        <f>Calculations!J17</f>
        <v>0</v>
      </c>
      <c r="J7" s="19">
        <f>Calculations!K17</f>
        <v>0</v>
      </c>
      <c r="K7" s="19">
        <f>Calculations!L17</f>
        <v>0</v>
      </c>
      <c r="L7" s="19">
        <f>Calculations!M17</f>
        <v>0</v>
      </c>
      <c r="M7" s="19">
        <f>Calculations!N17</f>
        <v>0</v>
      </c>
      <c r="N7" s="19">
        <f>Calculations!O17</f>
        <v>0</v>
      </c>
      <c r="O7" s="19">
        <f>Calculations!P17</f>
        <v>0</v>
      </c>
      <c r="P7" s="19">
        <f>Calculations!Q17</f>
        <v>0</v>
      </c>
      <c r="Q7" s="19">
        <f>Calculations!R17</f>
        <v>0</v>
      </c>
      <c r="R7" s="19">
        <f>Calculations!S17</f>
        <v>0</v>
      </c>
      <c r="S7" s="19">
        <f>Calculations!T17</f>
        <v>0</v>
      </c>
      <c r="T7" s="19">
        <f>Calculations!U17</f>
        <v>0</v>
      </c>
      <c r="U7" s="19">
        <f>Calculations!V17</f>
        <v>0</v>
      </c>
      <c r="V7" s="19">
        <f>Calculations!W17</f>
        <v>0</v>
      </c>
      <c r="W7" s="19">
        <f>Calculations!X17</f>
        <v>0</v>
      </c>
      <c r="X7" s="19">
        <f>Calculations!Y17</f>
        <v>0</v>
      </c>
      <c r="Y7" s="19">
        <f>Calculations!Z17</f>
        <v>0</v>
      </c>
      <c r="Z7" s="19">
        <f>Calculations!AA17</f>
        <v>0</v>
      </c>
      <c r="AA7" s="19">
        <f>Calculations!AB17</f>
        <v>0</v>
      </c>
      <c r="AB7" s="19">
        <f>Calculations!AC17</f>
        <v>0</v>
      </c>
      <c r="AC7" s="19">
        <f>Calculations!AD17</f>
        <v>0</v>
      </c>
      <c r="AD7" s="19">
        <f>Calculations!AE17</f>
        <v>0</v>
      </c>
      <c r="AE7" s="19">
        <f>Calculations!AF17</f>
        <v>0</v>
      </c>
      <c r="AF7" s="19">
        <f>Calculations!AG17</f>
        <v>0</v>
      </c>
    </row>
    <row r="8" spans="1:32" s="15" customFormat="1">
      <c r="A8" s="20" t="s">
        <v>46</v>
      </c>
      <c r="B8" s="19">
        <f>Calculations!C18</f>
        <v>1377</v>
      </c>
      <c r="C8" s="19">
        <f>Calculations!D18</f>
        <v>1633</v>
      </c>
      <c r="D8" s="19">
        <f>Calculations!E18</f>
        <v>1894</v>
      </c>
      <c r="E8" s="19">
        <f>Calculations!F18</f>
        <v>2197</v>
      </c>
      <c r="F8" s="19">
        <f>Calculations!G18</f>
        <v>2663</v>
      </c>
      <c r="G8" s="19">
        <f>Calculations!H18</f>
        <v>2823</v>
      </c>
      <c r="H8" s="19">
        <f>Calculations!I18</f>
        <v>3138</v>
      </c>
      <c r="I8" s="19">
        <f>Calculations!J18</f>
        <v>3447</v>
      </c>
      <c r="J8" s="19">
        <f>Calculations!K18</f>
        <v>3764</v>
      </c>
      <c r="K8" s="19">
        <f>Calculations!L18</f>
        <v>4092</v>
      </c>
      <c r="L8" s="19">
        <f>Calculations!M18</f>
        <v>4427</v>
      </c>
      <c r="M8" s="19">
        <f>Calculations!N18</f>
        <v>4765</v>
      </c>
      <c r="N8" s="19">
        <f>Calculations!O18</f>
        <v>5111</v>
      </c>
      <c r="O8" s="19">
        <f>Calculations!P18</f>
        <v>5466</v>
      </c>
      <c r="P8" s="19">
        <f>Calculations!Q18</f>
        <v>5830</v>
      </c>
      <c r="Q8" s="19">
        <f>Calculations!R18</f>
        <v>6203</v>
      </c>
      <c r="R8" s="19">
        <f>Calculations!S18</f>
        <v>6585</v>
      </c>
      <c r="S8" s="19">
        <f>Calculations!T18</f>
        <v>6862</v>
      </c>
      <c r="T8" s="19">
        <f>Calculations!U18</f>
        <v>7134</v>
      </c>
      <c r="U8" s="19">
        <f>Calculations!V18</f>
        <v>7134</v>
      </c>
      <c r="V8" s="19">
        <f>Calculations!W18</f>
        <v>7134</v>
      </c>
      <c r="W8" s="19">
        <f>Calculations!X18</f>
        <v>7134</v>
      </c>
      <c r="X8" s="19">
        <f>Calculations!Y18</f>
        <v>7134</v>
      </c>
      <c r="Y8" s="19">
        <f>Calculations!Z18</f>
        <v>7134</v>
      </c>
      <c r="Z8" s="19">
        <f>Calculations!AA18</f>
        <v>7134</v>
      </c>
      <c r="AA8" s="19">
        <f>Calculations!AB18</f>
        <v>7134</v>
      </c>
      <c r="AB8" s="19">
        <f>Calculations!AC18</f>
        <v>7134</v>
      </c>
      <c r="AC8" s="19">
        <f>Calculations!AD18</f>
        <v>7134</v>
      </c>
      <c r="AD8" s="19">
        <f>Calculations!AE18</f>
        <v>7134</v>
      </c>
      <c r="AE8" s="19">
        <f>Calculations!AF18</f>
        <v>7134</v>
      </c>
      <c r="AF8" s="19">
        <f>Calculations!AG18</f>
        <v>7134</v>
      </c>
    </row>
    <row r="9" spans="1:32">
      <c r="A9" t="s">
        <v>47</v>
      </c>
      <c r="B9" s="19">
        <v>0</v>
      </c>
      <c r="C9" s="19">
        <v>0</v>
      </c>
      <c r="D9" s="19">
        <v>0</v>
      </c>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row>
    <row r="10" spans="1:32">
      <c r="A10" t="s">
        <v>48</v>
      </c>
      <c r="B10" s="19">
        <v>0</v>
      </c>
      <c r="C10" s="19">
        <v>0</v>
      </c>
      <c r="D10" s="19">
        <v>0</v>
      </c>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row>
    <row r="11" spans="1:32">
      <c r="A11" t="s">
        <v>49</v>
      </c>
      <c r="B11" s="19">
        <v>0</v>
      </c>
      <c r="C11" s="19">
        <v>0</v>
      </c>
      <c r="D11" s="19">
        <v>0</v>
      </c>
      <c r="E11" s="19">
        <v>0</v>
      </c>
      <c r="F11" s="19">
        <v>0</v>
      </c>
      <c r="G11" s="19">
        <v>0</v>
      </c>
      <c r="H11" s="19">
        <v>0</v>
      </c>
      <c r="I11" s="19">
        <v>0</v>
      </c>
      <c r="J11" s="19">
        <v>0</v>
      </c>
      <c r="K11" s="19">
        <v>0</v>
      </c>
      <c r="L11" s="19">
        <v>0</v>
      </c>
      <c r="M11" s="19">
        <v>0</v>
      </c>
      <c r="N11" s="19">
        <v>0</v>
      </c>
      <c r="O11" s="19">
        <v>0</v>
      </c>
      <c r="P11" s="19">
        <v>0</v>
      </c>
      <c r="Q11" s="19">
        <v>0</v>
      </c>
      <c r="R11" s="19">
        <v>0</v>
      </c>
      <c r="S11" s="19">
        <v>0</v>
      </c>
      <c r="T11" s="19">
        <v>0</v>
      </c>
      <c r="U11" s="19">
        <v>0</v>
      </c>
      <c r="V11" s="19">
        <v>0</v>
      </c>
      <c r="W11" s="19">
        <v>0</v>
      </c>
      <c r="X11" s="19">
        <v>0</v>
      </c>
      <c r="Y11" s="19">
        <v>0</v>
      </c>
      <c r="Z11" s="19">
        <v>0</v>
      </c>
      <c r="AA11" s="19">
        <v>0</v>
      </c>
      <c r="AB11" s="19">
        <v>0</v>
      </c>
      <c r="AC11" s="19">
        <v>0</v>
      </c>
      <c r="AD11" s="19">
        <v>0</v>
      </c>
      <c r="AE11" s="19">
        <v>0</v>
      </c>
      <c r="AF11" s="19">
        <v>0</v>
      </c>
    </row>
    <row r="12" spans="1:32">
      <c r="A12" t="s">
        <v>50</v>
      </c>
      <c r="B12" s="19">
        <v>0</v>
      </c>
      <c r="C12" s="19">
        <v>0</v>
      </c>
      <c r="D12" s="19">
        <v>0</v>
      </c>
      <c r="E12" s="19">
        <v>0</v>
      </c>
      <c r="F12" s="19">
        <v>0</v>
      </c>
      <c r="G12" s="19">
        <v>0</v>
      </c>
      <c r="H12" s="19">
        <v>0</v>
      </c>
      <c r="I12" s="19">
        <v>0</v>
      </c>
      <c r="J12" s="19">
        <v>0</v>
      </c>
      <c r="K12" s="19">
        <v>0</v>
      </c>
      <c r="L12" s="19">
        <v>0</v>
      </c>
      <c r="M12" s="19">
        <v>0</v>
      </c>
      <c r="N12" s="19">
        <v>0</v>
      </c>
      <c r="O12" s="19">
        <v>0</v>
      </c>
      <c r="P12" s="19">
        <v>0</v>
      </c>
      <c r="Q12" s="19">
        <v>0</v>
      </c>
      <c r="R12" s="19">
        <v>0</v>
      </c>
      <c r="S12" s="19">
        <v>0</v>
      </c>
      <c r="T12" s="19">
        <v>0</v>
      </c>
      <c r="U12" s="19">
        <v>0</v>
      </c>
      <c r="V12" s="19">
        <v>0</v>
      </c>
      <c r="W12" s="19">
        <v>0</v>
      </c>
      <c r="X12" s="19">
        <v>0</v>
      </c>
      <c r="Y12" s="19">
        <v>0</v>
      </c>
      <c r="Z12" s="19">
        <v>0</v>
      </c>
      <c r="AA12" s="19">
        <v>0</v>
      </c>
      <c r="AB12" s="19">
        <v>0</v>
      </c>
      <c r="AC12" s="19">
        <v>0</v>
      </c>
      <c r="AD12" s="19">
        <v>0</v>
      </c>
      <c r="AE12" s="19">
        <v>0</v>
      </c>
      <c r="AF12" s="19">
        <v>0</v>
      </c>
    </row>
    <row r="13" spans="1:32">
      <c r="A13" t="s">
        <v>51</v>
      </c>
      <c r="B13" s="19">
        <v>0</v>
      </c>
      <c r="C13" s="19">
        <v>0</v>
      </c>
      <c r="D13" s="19">
        <v>0</v>
      </c>
      <c r="E13" s="19">
        <v>0</v>
      </c>
      <c r="F13" s="19">
        <v>0</v>
      </c>
      <c r="G13" s="19">
        <v>0</v>
      </c>
      <c r="H13" s="19">
        <v>0</v>
      </c>
      <c r="I13" s="19">
        <v>0</v>
      </c>
      <c r="J13" s="19">
        <v>0</v>
      </c>
      <c r="K13" s="19">
        <v>0</v>
      </c>
      <c r="L13" s="19">
        <v>0</v>
      </c>
      <c r="M13" s="19">
        <v>0</v>
      </c>
      <c r="N13" s="19">
        <v>0</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row>
    <row r="14" spans="1:32">
      <c r="A14" t="s">
        <v>52</v>
      </c>
      <c r="B14" s="19">
        <v>0</v>
      </c>
      <c r="C14" s="19">
        <v>0</v>
      </c>
      <c r="D14" s="19">
        <v>0</v>
      </c>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row>
    <row r="15" spans="1:32">
      <c r="A15" t="s">
        <v>53</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row>
    <row r="16" spans="1:32">
      <c r="A16" t="s">
        <v>54</v>
      </c>
      <c r="B16" s="19">
        <v>0</v>
      </c>
      <c r="C16" s="19">
        <v>0</v>
      </c>
      <c r="D16" s="19">
        <v>0</v>
      </c>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row>
    <row r="17" spans="1:32">
      <c r="A17" t="s">
        <v>55</v>
      </c>
      <c r="B17" s="19">
        <v>0</v>
      </c>
      <c r="C17" s="19">
        <v>0</v>
      </c>
      <c r="D17" s="19">
        <v>0</v>
      </c>
      <c r="E17" s="19">
        <v>0</v>
      </c>
      <c r="F17" s="19">
        <v>0</v>
      </c>
      <c r="G17" s="19">
        <v>0</v>
      </c>
      <c r="H17" s="19">
        <v>0</v>
      </c>
      <c r="I17" s="19">
        <v>0</v>
      </c>
      <c r="J17" s="19">
        <v>0</v>
      </c>
      <c r="K17" s="19">
        <v>0</v>
      </c>
      <c r="L17" s="19">
        <v>0</v>
      </c>
      <c r="M17" s="19">
        <v>0</v>
      </c>
      <c r="N17" s="19">
        <v>0</v>
      </c>
      <c r="O17" s="19">
        <v>0</v>
      </c>
      <c r="P17" s="19">
        <v>0</v>
      </c>
      <c r="Q17" s="19">
        <v>0</v>
      </c>
      <c r="R17" s="19">
        <v>0</v>
      </c>
      <c r="S17" s="19">
        <v>0</v>
      </c>
      <c r="T17" s="19">
        <v>0</v>
      </c>
      <c r="U17" s="19">
        <v>0</v>
      </c>
      <c r="V17" s="19">
        <v>0</v>
      </c>
      <c r="W17" s="19">
        <v>0</v>
      </c>
      <c r="X17" s="19">
        <v>0</v>
      </c>
      <c r="Y17" s="19">
        <v>0</v>
      </c>
      <c r="Z17" s="19">
        <v>0</v>
      </c>
      <c r="AA17" s="19">
        <v>0</v>
      </c>
      <c r="AB17" s="19">
        <v>0</v>
      </c>
      <c r="AC17" s="19">
        <v>0</v>
      </c>
      <c r="AD17" s="19">
        <v>0</v>
      </c>
      <c r="AE17" s="19">
        <v>0</v>
      </c>
      <c r="AF17" s="19">
        <v>0</v>
      </c>
    </row>
    <row r="18" spans="1:32">
      <c r="A18" t="s">
        <v>56</v>
      </c>
      <c r="B18" s="19">
        <v>0</v>
      </c>
      <c r="C18" s="19">
        <v>0</v>
      </c>
      <c r="D18" s="19">
        <v>0</v>
      </c>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row>
    <row r="19" spans="1:32">
      <c r="A19" s="16" t="s">
        <v>57</v>
      </c>
      <c r="B19" s="19">
        <v>0</v>
      </c>
      <c r="C19" s="19">
        <v>0</v>
      </c>
      <c r="D19" s="19">
        <v>0</v>
      </c>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row>
    <row r="20" spans="1:32">
      <c r="A20" s="16" t="s">
        <v>58</v>
      </c>
      <c r="B20" s="19">
        <v>0</v>
      </c>
      <c r="C20" s="19">
        <v>0</v>
      </c>
      <c r="D20" s="19">
        <v>0</v>
      </c>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row>
    <row r="21" spans="1:32">
      <c r="A21" s="16" t="s">
        <v>59</v>
      </c>
      <c r="B21" s="19">
        <v>0</v>
      </c>
      <c r="C21" s="19">
        <v>0</v>
      </c>
      <c r="D21" s="19">
        <v>0</v>
      </c>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row>
    <row r="22" spans="1:32">
      <c r="A22" s="16" t="s">
        <v>60</v>
      </c>
      <c r="B22" s="19">
        <v>0</v>
      </c>
      <c r="C22" s="19">
        <v>0</v>
      </c>
      <c r="D22" s="19">
        <v>0</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row>
    <row r="23" spans="1:32">
      <c r="A23" s="16" t="s">
        <v>61</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0</v>
      </c>
      <c r="AD23" s="19">
        <v>0</v>
      </c>
      <c r="AE23" s="19">
        <v>0</v>
      </c>
      <c r="AF23" s="19">
        <v>0</v>
      </c>
    </row>
    <row r="24" spans="1:32">
      <c r="A24" s="17" t="s">
        <v>62</v>
      </c>
      <c r="B24" s="19">
        <v>0</v>
      </c>
      <c r="C24" s="19">
        <v>0</v>
      </c>
      <c r="D24" s="19">
        <v>0</v>
      </c>
      <c r="E24" s="19">
        <v>0</v>
      </c>
      <c r="F24" s="19">
        <v>0</v>
      </c>
      <c r="G24" s="19">
        <v>0</v>
      </c>
      <c r="H24" s="19">
        <v>0</v>
      </c>
      <c r="I24" s="19">
        <v>0</v>
      </c>
      <c r="J24" s="19">
        <v>0</v>
      </c>
      <c r="K24" s="19">
        <v>0</v>
      </c>
      <c r="L24" s="19">
        <v>0</v>
      </c>
      <c r="M24" s="19">
        <v>0</v>
      </c>
      <c r="N24" s="19">
        <v>0</v>
      </c>
      <c r="O24" s="19">
        <v>0</v>
      </c>
      <c r="P24" s="19">
        <v>0</v>
      </c>
      <c r="Q24" s="19">
        <v>0</v>
      </c>
      <c r="R24" s="19">
        <v>0</v>
      </c>
      <c r="S24" s="19">
        <v>0</v>
      </c>
      <c r="T24" s="19">
        <v>0</v>
      </c>
      <c r="U24" s="19">
        <v>0</v>
      </c>
      <c r="V24" s="19">
        <v>0</v>
      </c>
      <c r="W24" s="19">
        <v>0</v>
      </c>
      <c r="X24" s="19">
        <v>0</v>
      </c>
      <c r="Y24" s="19">
        <v>0</v>
      </c>
      <c r="Z24" s="19">
        <v>0</v>
      </c>
      <c r="AA24" s="19">
        <v>0</v>
      </c>
      <c r="AB24" s="19">
        <v>0</v>
      </c>
      <c r="AC24" s="19">
        <v>0</v>
      </c>
      <c r="AD24" s="19">
        <v>0</v>
      </c>
      <c r="AE24" s="19">
        <v>0</v>
      </c>
      <c r="AF24" s="19">
        <v>0</v>
      </c>
    </row>
    <row r="25" spans="1:32">
      <c r="A25" s="17" t="s">
        <v>63</v>
      </c>
      <c r="B25" s="19">
        <v>0</v>
      </c>
      <c r="C25" s="19">
        <v>0</v>
      </c>
      <c r="D25" s="19">
        <v>0</v>
      </c>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row>
  </sheetData>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25"/>
  <sheetViews>
    <sheetView workbookViewId="0">
      <selection activeCell="G31" sqref="G31"/>
    </sheetView>
  </sheetViews>
  <sheetFormatPr defaultRowHeight="14.5"/>
  <cols>
    <col min="1" max="1" width="23.36328125" customWidth="1"/>
    <col min="2" max="32" width="9.6328125" bestFit="1" customWidth="1"/>
  </cols>
  <sheetData>
    <row r="1" spans="1:32">
      <c r="A1" t="s">
        <v>64</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40</v>
      </c>
      <c r="B2" s="19">
        <v>0</v>
      </c>
      <c r="C2" s="19">
        <v>0</v>
      </c>
      <c r="D2" s="19">
        <v>0</v>
      </c>
      <c r="E2" s="19">
        <v>0</v>
      </c>
      <c r="F2" s="19">
        <v>0</v>
      </c>
      <c r="G2" s="19">
        <v>0</v>
      </c>
      <c r="H2" s="19">
        <v>0</v>
      </c>
      <c r="I2" s="19">
        <v>0</v>
      </c>
      <c r="J2" s="19">
        <v>0</v>
      </c>
      <c r="K2" s="19">
        <v>0</v>
      </c>
      <c r="L2" s="19">
        <v>0</v>
      </c>
      <c r="M2" s="19">
        <v>0</v>
      </c>
      <c r="N2" s="19">
        <v>0</v>
      </c>
      <c r="O2" s="19">
        <v>0</v>
      </c>
      <c r="P2" s="19">
        <v>0</v>
      </c>
      <c r="Q2" s="19">
        <v>0</v>
      </c>
      <c r="R2" s="19">
        <v>0</v>
      </c>
      <c r="S2" s="19">
        <v>0</v>
      </c>
      <c r="T2" s="19">
        <v>0</v>
      </c>
      <c r="U2" s="19">
        <v>0</v>
      </c>
      <c r="V2" s="19">
        <v>0</v>
      </c>
      <c r="W2" s="19">
        <v>0</v>
      </c>
      <c r="X2" s="19">
        <v>0</v>
      </c>
      <c r="Y2" s="19">
        <v>0</v>
      </c>
      <c r="Z2" s="19">
        <v>0</v>
      </c>
      <c r="AA2" s="19">
        <v>0</v>
      </c>
      <c r="AB2" s="19">
        <v>0</v>
      </c>
      <c r="AC2" s="19">
        <v>0</v>
      </c>
      <c r="AD2" s="19">
        <v>0</v>
      </c>
      <c r="AE2" s="19">
        <v>0</v>
      </c>
      <c r="AF2" s="19">
        <v>0</v>
      </c>
    </row>
    <row r="3" spans="1:32">
      <c r="A3" t="s">
        <v>41</v>
      </c>
      <c r="B3" s="19">
        <v>0</v>
      </c>
      <c r="C3" s="19">
        <v>0</v>
      </c>
      <c r="D3" s="19">
        <v>0</v>
      </c>
      <c r="E3" s="19">
        <v>0</v>
      </c>
      <c r="F3" s="19">
        <v>0</v>
      </c>
      <c r="G3" s="19">
        <v>0</v>
      </c>
      <c r="H3" s="19">
        <v>0</v>
      </c>
      <c r="I3" s="19">
        <v>0</v>
      </c>
      <c r="J3" s="19">
        <v>0</v>
      </c>
      <c r="K3" s="19">
        <v>0</v>
      </c>
      <c r="L3" s="19">
        <v>0</v>
      </c>
      <c r="M3" s="19">
        <v>0</v>
      </c>
      <c r="N3" s="19">
        <v>0</v>
      </c>
      <c r="O3" s="19">
        <v>0</v>
      </c>
      <c r="P3" s="19">
        <v>0</v>
      </c>
      <c r="Q3" s="19">
        <v>0</v>
      </c>
      <c r="R3" s="19">
        <v>0</v>
      </c>
      <c r="S3" s="19">
        <v>0</v>
      </c>
      <c r="T3" s="19">
        <v>0</v>
      </c>
      <c r="U3" s="19">
        <v>0</v>
      </c>
      <c r="V3" s="19">
        <v>0</v>
      </c>
      <c r="W3" s="19">
        <v>0</v>
      </c>
      <c r="X3" s="19">
        <v>0</v>
      </c>
      <c r="Y3" s="19">
        <v>0</v>
      </c>
      <c r="Z3" s="19">
        <v>0</v>
      </c>
      <c r="AA3" s="19">
        <v>0</v>
      </c>
      <c r="AB3" s="19">
        <v>0</v>
      </c>
      <c r="AC3" s="19">
        <v>0</v>
      </c>
      <c r="AD3" s="19">
        <v>0</v>
      </c>
      <c r="AE3" s="19">
        <v>0</v>
      </c>
      <c r="AF3" s="19">
        <v>0</v>
      </c>
    </row>
    <row r="4" spans="1:32">
      <c r="A4" t="s">
        <v>42</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v>0</v>
      </c>
    </row>
    <row r="5" spans="1:32">
      <c r="A5" t="s">
        <v>43</v>
      </c>
      <c r="B5" s="19">
        <v>0</v>
      </c>
      <c r="C5" s="19">
        <v>0</v>
      </c>
      <c r="D5" s="19">
        <v>0</v>
      </c>
      <c r="E5" s="19">
        <v>0</v>
      </c>
      <c r="F5" s="19">
        <v>0</v>
      </c>
      <c r="G5" s="19">
        <v>0</v>
      </c>
      <c r="H5" s="19">
        <v>0</v>
      </c>
      <c r="I5" s="19">
        <v>0</v>
      </c>
      <c r="J5" s="19">
        <v>0</v>
      </c>
      <c r="K5" s="19">
        <v>0</v>
      </c>
      <c r="L5" s="19">
        <v>0</v>
      </c>
      <c r="M5" s="19">
        <v>0</v>
      </c>
      <c r="N5" s="19">
        <v>0</v>
      </c>
      <c r="O5" s="19">
        <v>0</v>
      </c>
      <c r="P5" s="19">
        <v>0</v>
      </c>
      <c r="Q5" s="19">
        <v>0</v>
      </c>
      <c r="R5" s="19">
        <v>0</v>
      </c>
      <c r="S5" s="19">
        <v>0</v>
      </c>
      <c r="T5" s="19">
        <v>0</v>
      </c>
      <c r="U5" s="19">
        <v>0</v>
      </c>
      <c r="V5" s="19">
        <v>0</v>
      </c>
      <c r="W5" s="19">
        <v>0</v>
      </c>
      <c r="X5" s="19">
        <v>0</v>
      </c>
      <c r="Y5" s="19">
        <v>0</v>
      </c>
      <c r="Z5" s="19">
        <v>0</v>
      </c>
      <c r="AA5" s="19">
        <v>0</v>
      </c>
      <c r="AB5" s="19">
        <v>0</v>
      </c>
      <c r="AC5" s="19">
        <v>0</v>
      </c>
      <c r="AD5" s="19">
        <v>0</v>
      </c>
      <c r="AE5" s="19">
        <v>0</v>
      </c>
      <c r="AF5" s="19">
        <v>0</v>
      </c>
    </row>
    <row r="6" spans="1:32">
      <c r="A6" s="40" t="s">
        <v>44</v>
      </c>
      <c r="B6" s="19">
        <f>Calculations!C36</f>
        <v>0.09</v>
      </c>
      <c r="C6" s="19">
        <f>Calculations!D36</f>
        <v>0.09</v>
      </c>
      <c r="D6" s="19">
        <f>Calculations!E36</f>
        <v>0.09</v>
      </c>
      <c r="E6" s="19">
        <f>Calculations!F36</f>
        <v>0.09</v>
      </c>
      <c r="F6" s="19">
        <f>Calculations!G36</f>
        <v>9.922263943047599E-2</v>
      </c>
      <c r="G6" s="19">
        <f>Calculations!H36</f>
        <v>0.10939035750611388</v>
      </c>
      <c r="H6" s="19">
        <f>Calculations!I36</f>
        <v>0.1206</v>
      </c>
      <c r="I6" s="19">
        <f>Calculations!J36</f>
        <v>0.12983423832483468</v>
      </c>
      <c r="J6" s="19">
        <f>Calculations!K36</f>
        <v>0.13977553433988366</v>
      </c>
      <c r="K6" s="19">
        <f>Calculations!L36</f>
        <v>0.15047802684465644</v>
      </c>
      <c r="L6" s="19">
        <f>Calculations!M36</f>
        <v>0.16199999999999995</v>
      </c>
      <c r="M6" s="19">
        <f>Calculations!N36</f>
        <v>0.17134431007764503</v>
      </c>
      <c r="N6" s="19">
        <f>Calculations!O36</f>
        <v>0.18122760861718626</v>
      </c>
      <c r="O6" s="19">
        <f>Calculations!P36</f>
        <v>0.19168098497242755</v>
      </c>
      <c r="P6" s="19">
        <f>Calculations!Q36</f>
        <v>0.20273732175990156</v>
      </c>
      <c r="Q6" s="19">
        <f>Calculations!R36</f>
        <v>0.21443139829592514</v>
      </c>
      <c r="R6" s="19">
        <f>Calculations!S36</f>
        <v>0.22680000000000006</v>
      </c>
      <c r="S6" s="19">
        <f>Calculations!T36</f>
        <v>0.22680000000000006</v>
      </c>
      <c r="T6" s="19">
        <f>Calculations!U36</f>
        <v>0.22680000000000006</v>
      </c>
      <c r="U6" s="19">
        <f>Calculations!V36</f>
        <v>0.22680000000000006</v>
      </c>
      <c r="V6" s="19">
        <f>Calculations!W36</f>
        <v>0.22680000000000006</v>
      </c>
      <c r="W6" s="19">
        <f>Calculations!X36</f>
        <v>0.22680000000000006</v>
      </c>
      <c r="X6" s="19">
        <f>Calculations!Y36</f>
        <v>0.22680000000000006</v>
      </c>
      <c r="Y6" s="19">
        <f>Calculations!Z36</f>
        <v>0.22680000000000006</v>
      </c>
      <c r="Z6" s="19">
        <f>Calculations!AA36</f>
        <v>0.22680000000000006</v>
      </c>
      <c r="AA6" s="19">
        <f>Calculations!AB36</f>
        <v>0.22680000000000006</v>
      </c>
      <c r="AB6" s="19">
        <f>Calculations!AC36</f>
        <v>0.22680000000000006</v>
      </c>
      <c r="AC6" s="19">
        <f>Calculations!AD36</f>
        <v>0.22680000000000006</v>
      </c>
      <c r="AD6" s="19">
        <f>Calculations!AE36</f>
        <v>0.22680000000000006</v>
      </c>
      <c r="AE6" s="19">
        <f>Calculations!AF36</f>
        <v>0.22680000000000006</v>
      </c>
      <c r="AF6" s="19">
        <f>Calculations!AG36</f>
        <v>0.22680000000000006</v>
      </c>
    </row>
    <row r="7" spans="1:32">
      <c r="A7" s="20" t="s">
        <v>45</v>
      </c>
      <c r="B7" s="19">
        <f>Calculations!C37</f>
        <v>8.4780999999999995</v>
      </c>
      <c r="C7" s="19">
        <f>Calculations!D37</f>
        <v>8.4780999999999995</v>
      </c>
      <c r="D7" s="19">
        <f>Calculations!E37</f>
        <v>8.4780999999999995</v>
      </c>
      <c r="E7" s="19">
        <f>Calculations!F37</f>
        <v>8.4780999999999995</v>
      </c>
      <c r="F7" s="19">
        <f>Calculations!G37</f>
        <v>9.3468828817279821</v>
      </c>
      <c r="G7" s="19">
        <f>Calculations!H37</f>
        <v>10.304693221917599</v>
      </c>
      <c r="H7" s="19">
        <f>Calculations!I37</f>
        <v>11.360653999999998</v>
      </c>
      <c r="I7" s="19">
        <f>Calculations!J37</f>
        <v>12.23052951046423</v>
      </c>
      <c r="J7" s="19">
        <f>Calculations!K37</f>
        <v>13.167010640966305</v>
      </c>
      <c r="K7" s="19">
        <f>Calculations!L37</f>
        <v>14.17519732657424</v>
      </c>
      <c r="L7" s="19">
        <f>Calculations!M37</f>
        <v>15.260579999999994</v>
      </c>
      <c r="M7" s="19">
        <f>Calculations!N37</f>
        <v>16.140824391880912</v>
      </c>
      <c r="N7" s="19">
        <f>Calculations!O37</f>
        <v>17.071842095748519</v>
      </c>
      <c r="O7" s="19">
        <f>Calculations!P37</f>
        <v>18.056561763274864</v>
      </c>
      <c r="P7" s="19">
        <f>Calculations!Q37</f>
        <v>19.098080973473568</v>
      </c>
      <c r="Q7" s="19">
        <f>Calculations!R37</f>
        <v>20.199675976585361</v>
      </c>
      <c r="R7" s="19">
        <f>Calculations!S37</f>
        <v>21.364812000000001</v>
      </c>
      <c r="S7" s="19">
        <f>Calculations!T37</f>
        <v>21.364812000000001</v>
      </c>
      <c r="T7" s="19">
        <f>Calculations!U37</f>
        <v>21.364812000000001</v>
      </c>
      <c r="U7" s="19">
        <f>Calculations!V37</f>
        <v>21.364812000000001</v>
      </c>
      <c r="V7" s="19">
        <f>Calculations!W37</f>
        <v>21.364812000000001</v>
      </c>
      <c r="W7" s="19">
        <f>Calculations!X37</f>
        <v>21.364812000000001</v>
      </c>
      <c r="X7" s="19">
        <f>Calculations!Y37</f>
        <v>21.364812000000001</v>
      </c>
      <c r="Y7" s="19">
        <f>Calculations!Z37</f>
        <v>21.364812000000001</v>
      </c>
      <c r="Z7" s="19">
        <f>Calculations!AA37</f>
        <v>21.364812000000001</v>
      </c>
      <c r="AA7" s="19">
        <f>Calculations!AB37</f>
        <v>21.364812000000001</v>
      </c>
      <c r="AB7" s="19">
        <f>Calculations!AC37</f>
        <v>21.364812000000001</v>
      </c>
      <c r="AC7" s="19">
        <f>Calculations!AD37</f>
        <v>21.364812000000001</v>
      </c>
      <c r="AD7" s="19">
        <f>Calculations!AE37</f>
        <v>21.364812000000001</v>
      </c>
      <c r="AE7" s="19">
        <f>Calculations!AF37</f>
        <v>21.364812000000001</v>
      </c>
      <c r="AF7" s="19">
        <f>Calculations!AG37</f>
        <v>21.364812000000001</v>
      </c>
    </row>
    <row r="8" spans="1:32">
      <c r="A8" s="20" t="s">
        <v>46</v>
      </c>
      <c r="B8" s="19">
        <f>Calculations!C38</f>
        <v>241</v>
      </c>
      <c r="C8" s="19">
        <f>Calculations!D38</f>
        <v>286</v>
      </c>
      <c r="D8" s="19">
        <f>Calculations!E38</f>
        <v>332</v>
      </c>
      <c r="E8" s="19">
        <f>Calculations!F38</f>
        <v>384</v>
      </c>
      <c r="F8" s="19">
        <f>Calculations!G38</f>
        <v>465</v>
      </c>
      <c r="G8" s="19">
        <f>Calculations!H38</f>
        <v>494</v>
      </c>
      <c r="H8" s="19">
        <f>Calculations!I38</f>
        <v>549</v>
      </c>
      <c r="I8" s="19">
        <f>Calculations!J38</f>
        <v>602</v>
      </c>
      <c r="J8" s="19">
        <f>Calculations!K38</f>
        <v>659</v>
      </c>
      <c r="K8" s="19">
        <f>Calculations!L38</f>
        <v>715</v>
      </c>
      <c r="L8" s="19">
        <f>Calculations!M38</f>
        <v>774</v>
      </c>
      <c r="M8" s="19">
        <f>Calculations!N38</f>
        <v>833</v>
      </c>
      <c r="N8" s="19">
        <f>Calculations!O38</f>
        <v>894</v>
      </c>
      <c r="O8" s="19">
        <f>Calculations!P38</f>
        <v>956</v>
      </c>
      <c r="P8" s="19">
        <f>Calculations!Q38</f>
        <v>1019</v>
      </c>
      <c r="Q8" s="19">
        <f>Calculations!R38</f>
        <v>1086</v>
      </c>
      <c r="R8" s="19">
        <f>Calculations!S38</f>
        <v>1152</v>
      </c>
      <c r="S8" s="19">
        <f>Calculations!T38</f>
        <v>1201</v>
      </c>
      <c r="T8" s="19">
        <f>Calculations!U38</f>
        <v>1248</v>
      </c>
      <c r="U8" s="19">
        <f>Calculations!V38</f>
        <v>1248</v>
      </c>
      <c r="V8" s="19">
        <f>Calculations!W38</f>
        <v>1248</v>
      </c>
      <c r="W8" s="19">
        <f>Calculations!X38</f>
        <v>1248</v>
      </c>
      <c r="X8" s="19">
        <f>Calculations!Y38</f>
        <v>1248</v>
      </c>
      <c r="Y8" s="19">
        <f>Calculations!Z38</f>
        <v>1248</v>
      </c>
      <c r="Z8" s="19">
        <f>Calculations!AA38</f>
        <v>1248</v>
      </c>
      <c r="AA8" s="19">
        <f>Calculations!AB38</f>
        <v>1248</v>
      </c>
      <c r="AB8" s="19">
        <f>Calculations!AC38</f>
        <v>1248</v>
      </c>
      <c r="AC8" s="19">
        <f>Calculations!AD38</f>
        <v>1248</v>
      </c>
      <c r="AD8" s="19">
        <f>Calculations!AE38</f>
        <v>1248</v>
      </c>
      <c r="AE8" s="19">
        <f>Calculations!AF38</f>
        <v>1248</v>
      </c>
      <c r="AF8" s="19">
        <f>Calculations!AG38</f>
        <v>1248</v>
      </c>
    </row>
    <row r="9" spans="1:32">
      <c r="A9" t="s">
        <v>47</v>
      </c>
      <c r="B9" s="19">
        <v>0</v>
      </c>
      <c r="C9" s="19">
        <v>0</v>
      </c>
      <c r="D9" s="19">
        <v>0</v>
      </c>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row>
    <row r="10" spans="1:32">
      <c r="A10" t="s">
        <v>48</v>
      </c>
      <c r="B10" s="19">
        <v>0</v>
      </c>
      <c r="C10" s="19">
        <v>0</v>
      </c>
      <c r="D10" s="19">
        <v>0</v>
      </c>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row>
    <row r="11" spans="1:32">
      <c r="A11" t="s">
        <v>49</v>
      </c>
      <c r="B11" s="19">
        <v>0</v>
      </c>
      <c r="C11" s="19">
        <v>0</v>
      </c>
      <c r="D11" s="19">
        <v>0</v>
      </c>
      <c r="E11" s="19">
        <v>0</v>
      </c>
      <c r="F11" s="19">
        <v>0</v>
      </c>
      <c r="G11" s="19">
        <v>0</v>
      </c>
      <c r="H11" s="19">
        <v>0</v>
      </c>
      <c r="I11" s="19">
        <v>0</v>
      </c>
      <c r="J11" s="19">
        <v>0</v>
      </c>
      <c r="K11" s="19">
        <v>0</v>
      </c>
      <c r="L11" s="19">
        <v>0</v>
      </c>
      <c r="M11" s="19">
        <v>0</v>
      </c>
      <c r="N11" s="19">
        <v>0</v>
      </c>
      <c r="O11" s="19">
        <v>0</v>
      </c>
      <c r="P11" s="19">
        <v>0</v>
      </c>
      <c r="Q11" s="19">
        <v>0</v>
      </c>
      <c r="R11" s="19">
        <v>0</v>
      </c>
      <c r="S11" s="19">
        <v>0</v>
      </c>
      <c r="T11" s="19">
        <v>0</v>
      </c>
      <c r="U11" s="19">
        <v>0</v>
      </c>
      <c r="V11" s="19">
        <v>0</v>
      </c>
      <c r="W11" s="19">
        <v>0</v>
      </c>
      <c r="X11" s="19">
        <v>0</v>
      </c>
      <c r="Y11" s="19">
        <v>0</v>
      </c>
      <c r="Z11" s="19">
        <v>0</v>
      </c>
      <c r="AA11" s="19">
        <v>0</v>
      </c>
      <c r="AB11" s="19">
        <v>0</v>
      </c>
      <c r="AC11" s="19">
        <v>0</v>
      </c>
      <c r="AD11" s="19">
        <v>0</v>
      </c>
      <c r="AE11" s="19">
        <v>0</v>
      </c>
      <c r="AF11" s="19">
        <v>0</v>
      </c>
    </row>
    <row r="12" spans="1:32">
      <c r="A12" t="s">
        <v>50</v>
      </c>
      <c r="B12" s="19">
        <v>0</v>
      </c>
      <c r="C12" s="19">
        <v>0</v>
      </c>
      <c r="D12" s="19">
        <v>0</v>
      </c>
      <c r="E12" s="19">
        <v>0</v>
      </c>
      <c r="F12" s="19">
        <v>0</v>
      </c>
      <c r="G12" s="19">
        <v>0</v>
      </c>
      <c r="H12" s="19">
        <v>0</v>
      </c>
      <c r="I12" s="19">
        <v>0</v>
      </c>
      <c r="J12" s="19">
        <v>0</v>
      </c>
      <c r="K12" s="19">
        <v>0</v>
      </c>
      <c r="L12" s="19">
        <v>0</v>
      </c>
      <c r="M12" s="19">
        <v>0</v>
      </c>
      <c r="N12" s="19">
        <v>0</v>
      </c>
      <c r="O12" s="19">
        <v>0</v>
      </c>
      <c r="P12" s="19">
        <v>0</v>
      </c>
      <c r="Q12" s="19">
        <v>0</v>
      </c>
      <c r="R12" s="19">
        <v>0</v>
      </c>
      <c r="S12" s="19">
        <v>0</v>
      </c>
      <c r="T12" s="19">
        <v>0</v>
      </c>
      <c r="U12" s="19">
        <v>0</v>
      </c>
      <c r="V12" s="19">
        <v>0</v>
      </c>
      <c r="W12" s="19">
        <v>0</v>
      </c>
      <c r="X12" s="19">
        <v>0</v>
      </c>
      <c r="Y12" s="19">
        <v>0</v>
      </c>
      <c r="Z12" s="19">
        <v>0</v>
      </c>
      <c r="AA12" s="19">
        <v>0</v>
      </c>
      <c r="AB12" s="19">
        <v>0</v>
      </c>
      <c r="AC12" s="19">
        <v>0</v>
      </c>
      <c r="AD12" s="19">
        <v>0</v>
      </c>
      <c r="AE12" s="19">
        <v>0</v>
      </c>
      <c r="AF12" s="19">
        <v>0</v>
      </c>
    </row>
    <row r="13" spans="1:32">
      <c r="A13" t="s">
        <v>51</v>
      </c>
      <c r="B13" s="19">
        <v>0</v>
      </c>
      <c r="C13" s="19">
        <v>0</v>
      </c>
      <c r="D13" s="19">
        <v>0</v>
      </c>
      <c r="E13" s="19">
        <v>0</v>
      </c>
      <c r="F13" s="19">
        <v>0</v>
      </c>
      <c r="G13" s="19">
        <v>0</v>
      </c>
      <c r="H13" s="19">
        <v>0</v>
      </c>
      <c r="I13" s="19">
        <v>0</v>
      </c>
      <c r="J13" s="19">
        <v>0</v>
      </c>
      <c r="K13" s="19">
        <v>0</v>
      </c>
      <c r="L13" s="19">
        <v>0</v>
      </c>
      <c r="M13" s="19">
        <v>0</v>
      </c>
      <c r="N13" s="19">
        <v>0</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row>
    <row r="14" spans="1:32">
      <c r="A14" t="s">
        <v>52</v>
      </c>
      <c r="B14" s="19">
        <v>0</v>
      </c>
      <c r="C14" s="19">
        <v>0</v>
      </c>
      <c r="D14" s="19">
        <v>0</v>
      </c>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row>
    <row r="15" spans="1:32">
      <c r="A15" t="s">
        <v>53</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row>
    <row r="16" spans="1:32">
      <c r="A16" t="s">
        <v>54</v>
      </c>
      <c r="B16" s="19">
        <v>0</v>
      </c>
      <c r="C16" s="19">
        <v>0</v>
      </c>
      <c r="D16" s="19">
        <v>0</v>
      </c>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row>
    <row r="17" spans="1:32">
      <c r="A17" t="s">
        <v>55</v>
      </c>
      <c r="B17" s="19">
        <v>0</v>
      </c>
      <c r="C17" s="19">
        <v>0</v>
      </c>
      <c r="D17" s="19">
        <v>0</v>
      </c>
      <c r="E17" s="19">
        <v>0</v>
      </c>
      <c r="F17" s="19">
        <v>0</v>
      </c>
      <c r="G17" s="19">
        <v>0</v>
      </c>
      <c r="H17" s="19">
        <v>0</v>
      </c>
      <c r="I17" s="19">
        <v>0</v>
      </c>
      <c r="J17" s="19">
        <v>0</v>
      </c>
      <c r="K17" s="19">
        <v>0</v>
      </c>
      <c r="L17" s="19">
        <v>0</v>
      </c>
      <c r="M17" s="19">
        <v>0</v>
      </c>
      <c r="N17" s="19">
        <v>0</v>
      </c>
      <c r="O17" s="19">
        <v>0</v>
      </c>
      <c r="P17" s="19">
        <v>0</v>
      </c>
      <c r="Q17" s="19">
        <v>0</v>
      </c>
      <c r="R17" s="19">
        <v>0</v>
      </c>
      <c r="S17" s="19">
        <v>0</v>
      </c>
      <c r="T17" s="19">
        <v>0</v>
      </c>
      <c r="U17" s="19">
        <v>0</v>
      </c>
      <c r="V17" s="19">
        <v>0</v>
      </c>
      <c r="W17" s="19">
        <v>0</v>
      </c>
      <c r="X17" s="19">
        <v>0</v>
      </c>
      <c r="Y17" s="19">
        <v>0</v>
      </c>
      <c r="Z17" s="19">
        <v>0</v>
      </c>
      <c r="AA17" s="19">
        <v>0</v>
      </c>
      <c r="AB17" s="19">
        <v>0</v>
      </c>
      <c r="AC17" s="19">
        <v>0</v>
      </c>
      <c r="AD17" s="19">
        <v>0</v>
      </c>
      <c r="AE17" s="19">
        <v>0</v>
      </c>
      <c r="AF17" s="19">
        <v>0</v>
      </c>
    </row>
    <row r="18" spans="1:32">
      <c r="A18" t="s">
        <v>56</v>
      </c>
      <c r="B18" s="19">
        <v>0</v>
      </c>
      <c r="C18" s="19">
        <v>0</v>
      </c>
      <c r="D18" s="19">
        <v>0</v>
      </c>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row>
    <row r="19" spans="1:32">
      <c r="A19" s="16" t="s">
        <v>57</v>
      </c>
      <c r="B19" s="19">
        <v>0</v>
      </c>
      <c r="C19" s="19">
        <v>0</v>
      </c>
      <c r="D19" s="19">
        <v>0</v>
      </c>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row>
    <row r="20" spans="1:32">
      <c r="A20" s="16" t="s">
        <v>58</v>
      </c>
      <c r="B20" s="19">
        <v>0</v>
      </c>
      <c r="C20" s="19">
        <v>0</v>
      </c>
      <c r="D20" s="19">
        <v>0</v>
      </c>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row>
    <row r="21" spans="1:32">
      <c r="A21" s="16" t="s">
        <v>59</v>
      </c>
      <c r="B21" s="19">
        <v>0</v>
      </c>
      <c r="C21" s="19">
        <v>0</v>
      </c>
      <c r="D21" s="19">
        <v>0</v>
      </c>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row>
    <row r="22" spans="1:32">
      <c r="A22" s="16" t="s">
        <v>60</v>
      </c>
      <c r="B22" s="19">
        <v>0</v>
      </c>
      <c r="C22" s="19">
        <v>0</v>
      </c>
      <c r="D22" s="19">
        <v>0</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row>
    <row r="23" spans="1:32">
      <c r="A23" s="16" t="s">
        <v>61</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0</v>
      </c>
      <c r="AD23" s="19">
        <v>0</v>
      </c>
      <c r="AE23" s="19">
        <v>0</v>
      </c>
      <c r="AF23" s="19">
        <v>0</v>
      </c>
    </row>
    <row r="24" spans="1:32">
      <c r="A24" s="17" t="s">
        <v>62</v>
      </c>
      <c r="B24" s="19">
        <v>0</v>
      </c>
      <c r="C24" s="19">
        <v>0</v>
      </c>
      <c r="D24" s="19">
        <v>0</v>
      </c>
      <c r="E24" s="19">
        <v>0</v>
      </c>
      <c r="F24" s="19">
        <v>0</v>
      </c>
      <c r="G24" s="19">
        <v>0</v>
      </c>
      <c r="H24" s="19">
        <v>0</v>
      </c>
      <c r="I24" s="19">
        <v>0</v>
      </c>
      <c r="J24" s="19">
        <v>0</v>
      </c>
      <c r="K24" s="19">
        <v>0</v>
      </c>
      <c r="L24" s="19">
        <v>0</v>
      </c>
      <c r="M24" s="19">
        <v>0</v>
      </c>
      <c r="N24" s="19">
        <v>0</v>
      </c>
      <c r="O24" s="19">
        <v>0</v>
      </c>
      <c r="P24" s="19">
        <v>0</v>
      </c>
      <c r="Q24" s="19">
        <v>0</v>
      </c>
      <c r="R24" s="19">
        <v>0</v>
      </c>
      <c r="S24" s="19">
        <v>0</v>
      </c>
      <c r="T24" s="19">
        <v>0</v>
      </c>
      <c r="U24" s="19">
        <v>0</v>
      </c>
      <c r="V24" s="19">
        <v>0</v>
      </c>
      <c r="W24" s="19">
        <v>0</v>
      </c>
      <c r="X24" s="19">
        <v>0</v>
      </c>
      <c r="Y24" s="19">
        <v>0</v>
      </c>
      <c r="Z24" s="19">
        <v>0</v>
      </c>
      <c r="AA24" s="19">
        <v>0</v>
      </c>
      <c r="AB24" s="19">
        <v>0</v>
      </c>
      <c r="AC24" s="19">
        <v>0</v>
      </c>
      <c r="AD24" s="19">
        <v>0</v>
      </c>
      <c r="AE24" s="19">
        <v>0</v>
      </c>
      <c r="AF24" s="19">
        <v>0</v>
      </c>
    </row>
    <row r="25" spans="1:32">
      <c r="A25" s="17" t="s">
        <v>63</v>
      </c>
      <c r="B25" s="19">
        <v>0</v>
      </c>
      <c r="C25" s="19">
        <v>0</v>
      </c>
      <c r="D25" s="19">
        <v>0</v>
      </c>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row>
  </sheetData>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F25"/>
  <sheetViews>
    <sheetView workbookViewId="0">
      <selection activeCell="A6" sqref="A6"/>
    </sheetView>
  </sheetViews>
  <sheetFormatPr defaultRowHeight="14.5"/>
  <cols>
    <col min="1" max="1" width="23.36328125" customWidth="1"/>
    <col min="2" max="32" width="9.6328125" bestFit="1" customWidth="1"/>
  </cols>
  <sheetData>
    <row r="1" spans="1:32">
      <c r="A1" t="s">
        <v>64</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c r="A2" t="s">
        <v>40</v>
      </c>
      <c r="B2" s="19">
        <v>0</v>
      </c>
      <c r="C2" s="19">
        <v>0</v>
      </c>
      <c r="D2" s="19">
        <v>0</v>
      </c>
      <c r="E2" s="19">
        <v>0</v>
      </c>
      <c r="F2" s="19">
        <v>0</v>
      </c>
      <c r="G2" s="19">
        <v>0</v>
      </c>
      <c r="H2" s="19">
        <v>0</v>
      </c>
      <c r="I2" s="19">
        <v>0</v>
      </c>
      <c r="J2" s="19">
        <v>0</v>
      </c>
      <c r="K2" s="19">
        <v>0</v>
      </c>
      <c r="L2" s="19">
        <v>0</v>
      </c>
      <c r="M2" s="19">
        <v>0</v>
      </c>
      <c r="N2" s="19">
        <v>0</v>
      </c>
      <c r="O2" s="19">
        <v>0</v>
      </c>
      <c r="P2" s="19">
        <v>0</v>
      </c>
      <c r="Q2" s="19">
        <v>0</v>
      </c>
      <c r="R2" s="19">
        <v>0</v>
      </c>
      <c r="S2" s="19">
        <v>0</v>
      </c>
      <c r="T2" s="19">
        <v>0</v>
      </c>
      <c r="U2" s="19">
        <v>0</v>
      </c>
      <c r="V2" s="19">
        <v>0</v>
      </c>
      <c r="W2" s="19">
        <v>0</v>
      </c>
      <c r="X2" s="19">
        <v>0</v>
      </c>
      <c r="Y2" s="19">
        <v>0</v>
      </c>
      <c r="Z2" s="19">
        <v>0</v>
      </c>
      <c r="AA2" s="19">
        <v>0</v>
      </c>
      <c r="AB2" s="19">
        <v>0</v>
      </c>
      <c r="AC2" s="19">
        <v>0</v>
      </c>
      <c r="AD2" s="19">
        <v>0</v>
      </c>
      <c r="AE2" s="19">
        <v>0</v>
      </c>
      <c r="AF2" s="19">
        <v>0</v>
      </c>
    </row>
    <row r="3" spans="1:32">
      <c r="A3" t="s">
        <v>41</v>
      </c>
      <c r="B3" s="19">
        <v>0</v>
      </c>
      <c r="C3" s="19">
        <v>0</v>
      </c>
      <c r="D3" s="19">
        <v>0</v>
      </c>
      <c r="E3" s="19">
        <v>0</v>
      </c>
      <c r="F3" s="19">
        <v>0</v>
      </c>
      <c r="G3" s="19">
        <v>0</v>
      </c>
      <c r="H3" s="19">
        <v>0</v>
      </c>
      <c r="I3" s="19">
        <v>0</v>
      </c>
      <c r="J3" s="19">
        <v>0</v>
      </c>
      <c r="K3" s="19">
        <v>0</v>
      </c>
      <c r="L3" s="19">
        <v>0</v>
      </c>
      <c r="M3" s="19">
        <v>0</v>
      </c>
      <c r="N3" s="19">
        <v>0</v>
      </c>
      <c r="O3" s="19">
        <v>0</v>
      </c>
      <c r="P3" s="19">
        <v>0</v>
      </c>
      <c r="Q3" s="19">
        <v>0</v>
      </c>
      <c r="R3" s="19">
        <v>0</v>
      </c>
      <c r="S3" s="19">
        <v>0</v>
      </c>
      <c r="T3" s="19">
        <v>0</v>
      </c>
      <c r="U3" s="19">
        <v>0</v>
      </c>
      <c r="V3" s="19">
        <v>0</v>
      </c>
      <c r="W3" s="19">
        <v>0</v>
      </c>
      <c r="X3" s="19">
        <v>0</v>
      </c>
      <c r="Y3" s="19">
        <v>0</v>
      </c>
      <c r="Z3" s="19">
        <v>0</v>
      </c>
      <c r="AA3" s="19">
        <v>0</v>
      </c>
      <c r="AB3" s="19">
        <v>0</v>
      </c>
      <c r="AC3" s="19">
        <v>0</v>
      </c>
      <c r="AD3" s="19">
        <v>0</v>
      </c>
      <c r="AE3" s="19">
        <v>0</v>
      </c>
      <c r="AF3" s="19">
        <v>0</v>
      </c>
    </row>
    <row r="4" spans="1:32">
      <c r="A4" t="s">
        <v>42</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v>0</v>
      </c>
    </row>
    <row r="5" spans="1:32">
      <c r="A5" t="s">
        <v>43</v>
      </c>
      <c r="B5" s="19">
        <v>0</v>
      </c>
      <c r="C5" s="19">
        <v>0</v>
      </c>
      <c r="D5" s="19">
        <v>0</v>
      </c>
      <c r="E5" s="19">
        <v>0</v>
      </c>
      <c r="F5" s="19">
        <v>0</v>
      </c>
      <c r="G5" s="19">
        <v>0</v>
      </c>
      <c r="H5" s="19">
        <v>0</v>
      </c>
      <c r="I5" s="19">
        <v>0</v>
      </c>
      <c r="J5" s="19">
        <v>0</v>
      </c>
      <c r="K5" s="19">
        <v>0</v>
      </c>
      <c r="L5" s="19">
        <v>0</v>
      </c>
      <c r="M5" s="19">
        <v>0</v>
      </c>
      <c r="N5" s="19">
        <v>0</v>
      </c>
      <c r="O5" s="19">
        <v>0</v>
      </c>
      <c r="P5" s="19">
        <v>0</v>
      </c>
      <c r="Q5" s="19">
        <v>0</v>
      </c>
      <c r="R5" s="19">
        <v>0</v>
      </c>
      <c r="S5" s="19">
        <v>0</v>
      </c>
      <c r="T5" s="19">
        <v>0</v>
      </c>
      <c r="U5" s="19">
        <v>0</v>
      </c>
      <c r="V5" s="19">
        <v>0</v>
      </c>
      <c r="W5" s="19">
        <v>0</v>
      </c>
      <c r="X5" s="19">
        <v>0</v>
      </c>
      <c r="Y5" s="19">
        <v>0</v>
      </c>
      <c r="Z5" s="19">
        <v>0</v>
      </c>
      <c r="AA5" s="19">
        <v>0</v>
      </c>
      <c r="AB5" s="19">
        <v>0</v>
      </c>
      <c r="AC5" s="19">
        <v>0</v>
      </c>
      <c r="AD5" s="19">
        <v>0</v>
      </c>
      <c r="AE5" s="19">
        <v>0</v>
      </c>
      <c r="AF5" s="19">
        <v>0</v>
      </c>
    </row>
    <row r="6" spans="1:32">
      <c r="A6" s="40" t="s">
        <v>44</v>
      </c>
      <c r="B6" s="19">
        <f>Calculations!C57</f>
        <v>1.4237500000000001</v>
      </c>
      <c r="C6" s="19">
        <f>Calculations!D57</f>
        <v>1.4237500000000001</v>
      </c>
      <c r="D6" s="19">
        <f>Calculations!E57</f>
        <v>1.4237500000000001</v>
      </c>
      <c r="E6" s="19">
        <f>Calculations!F57</f>
        <v>1.4237500000000001</v>
      </c>
      <c r="F6" s="19">
        <f>Calculations!G57</f>
        <v>1.5240187107018845</v>
      </c>
      <c r="G6" s="19">
        <f>Calculations!H57</f>
        <v>1.6313489240171621</v>
      </c>
      <c r="H6" s="19">
        <f>Calculations!I57</f>
        <v>1.7462379518072288</v>
      </c>
      <c r="I6" s="19">
        <f>Calculations!J57</f>
        <v>1.8598773354549423</v>
      </c>
      <c r="J6" s="19">
        <f>Calculations!K57</f>
        <v>1.9809119939003814</v>
      </c>
      <c r="K6" s="19">
        <f>Calculations!L57</f>
        <v>2.1098231871396709</v>
      </c>
      <c r="L6" s="19">
        <f>Calculations!M57</f>
        <v>2.2471234939759031</v>
      </c>
      <c r="M6" s="19">
        <f>Calculations!N57</f>
        <v>2.3609278130498867</v>
      </c>
      <c r="N6" s="19">
        <f>Calculations!O57</f>
        <v>2.480495688543717</v>
      </c>
      <c r="O6" s="19">
        <f>Calculations!P57</f>
        <v>2.6061190125654883</v>
      </c>
      <c r="P6" s="19">
        <f>Calculations!Q57</f>
        <v>2.7381044599367037</v>
      </c>
      <c r="Q6" s="19">
        <f>Calculations!R57</f>
        <v>2.8767742368545699</v>
      </c>
      <c r="R6" s="19">
        <f>Calculations!S57</f>
        <v>3.0224668674698787</v>
      </c>
      <c r="S6" s="19">
        <f>Calculations!T57</f>
        <v>3.1755380203006873</v>
      </c>
      <c r="T6" s="19">
        <f>Calculations!U57</f>
        <v>3.336361376499259</v>
      </c>
      <c r="U6" s="19">
        <f>Calculations!V57</f>
        <v>3.5053295420919013</v>
      </c>
      <c r="V6" s="19">
        <f>Calculations!W57</f>
        <v>3.6828550064186811</v>
      </c>
      <c r="W6" s="19">
        <f>Calculations!X57</f>
        <v>3.869371149112788</v>
      </c>
      <c r="X6" s="19">
        <f>Calculations!Y57</f>
        <v>4.0653332980778067</v>
      </c>
      <c r="Y6" s="19">
        <f>Calculations!Z57</f>
        <v>4.2712198410456574</v>
      </c>
      <c r="Z6" s="19">
        <f>Calculations!AA57</f>
        <v>4.4875333934287749</v>
      </c>
      <c r="AA6" s="19">
        <f>Calculations!AB57</f>
        <v>4.7148020253175043</v>
      </c>
      <c r="AB6" s="19">
        <f>Calculations!AC57</f>
        <v>4.9535805506181045</v>
      </c>
      <c r="AC6" s="19">
        <f>Calculations!AD57</f>
        <v>5.2044518814784224</v>
      </c>
      <c r="AD6" s="19">
        <f>Calculations!AE57</f>
        <v>5.4680284513077071</v>
      </c>
      <c r="AE6" s="19">
        <f>Calculations!AF57</f>
        <v>5.7449537098644656</v>
      </c>
      <c r="AF6" s="19">
        <f>Calculations!AG57</f>
        <v>6.0359036940622159</v>
      </c>
    </row>
    <row r="7" spans="1:32">
      <c r="A7" s="20" t="s">
        <v>45</v>
      </c>
      <c r="B7" s="19">
        <f>Calculations!C58</f>
        <v>4.7723199999999997</v>
      </c>
      <c r="C7" s="19">
        <f>Calculations!D58</f>
        <v>4.7723199999999997</v>
      </c>
      <c r="D7" s="19">
        <f>Calculations!E58</f>
        <v>4.7723199999999997</v>
      </c>
      <c r="E7" s="19">
        <f>Calculations!F58</f>
        <v>4.7723199999999997</v>
      </c>
      <c r="F7" s="19">
        <f>Calculations!G58</f>
        <v>5.1084143799521105</v>
      </c>
      <c r="G7" s="19">
        <f>Calculations!H58</f>
        <v>5.4681784702831129</v>
      </c>
      <c r="H7" s="19">
        <f>Calculations!I58</f>
        <v>5.8532792289156612</v>
      </c>
      <c r="I7" s="19">
        <f>Calculations!J58</f>
        <v>6.2341912593772282</v>
      </c>
      <c r="J7" s="19">
        <f>Calculations!K58</f>
        <v>6.6398917834807136</v>
      </c>
      <c r="K7" s="19">
        <f>Calculations!L58</f>
        <v>7.0719939543110737</v>
      </c>
      <c r="L7" s="19">
        <f>Calculations!M58</f>
        <v>7.5322159036144543</v>
      </c>
      <c r="M7" s="19">
        <f>Calculations!N58</f>
        <v>7.9136807871987589</v>
      </c>
      <c r="N7" s="19">
        <f>Calculations!O58</f>
        <v>8.3144647475687083</v>
      </c>
      <c r="O7" s="19">
        <f>Calculations!P58</f>
        <v>8.7355461886191588</v>
      </c>
      <c r="P7" s="19">
        <f>Calculations!Q58</f>
        <v>9.1779530649658483</v>
      </c>
      <c r="Q7" s="19">
        <f>Calculations!R58</f>
        <v>9.6427653914140805</v>
      </c>
      <c r="R7" s="19">
        <f>Calculations!S58</f>
        <v>10.131117879518067</v>
      </c>
      <c r="S7" s="19">
        <f>Calculations!T58</f>
        <v>10.644202707667338</v>
      </c>
      <c r="T7" s="19">
        <f>Calculations!U58</f>
        <v>11.183272431462644</v>
      </c>
      <c r="U7" s="19">
        <f>Calculations!V58</f>
        <v>11.749643041486229</v>
      </c>
      <c r="V7" s="19">
        <f>Calculations!W58</f>
        <v>12.344697175931165</v>
      </c>
      <c r="W7" s="19">
        <f>Calculations!X58</f>
        <v>12.969887495932527</v>
      </c>
      <c r="X7" s="19">
        <f>Calculations!Y58</f>
        <v>13.626740231840332</v>
      </c>
      <c r="Y7" s="19">
        <f>Calculations!Z58</f>
        <v>14.316858909091488</v>
      </c>
      <c r="Z7" s="19">
        <f>Calculations!AA58</f>
        <v>15.041928262776473</v>
      </c>
      <c r="AA7" s="19">
        <f>Calculations!AB58</f>
        <v>15.80371835045705</v>
      </c>
      <c r="AB7" s="19">
        <f>Calculations!AC58</f>
        <v>16.604088873275352</v>
      </c>
      <c r="AC7" s="19">
        <f>Calculations!AD58</f>
        <v>17.444993715903138</v>
      </c>
      <c r="AD7" s="19">
        <f>Calculations!AE58</f>
        <v>18.328485716414246</v>
      </c>
      <c r="AE7" s="19">
        <f>Calculations!AF58</f>
        <v>19.256721677724581</v>
      </c>
      <c r="AF7" s="19">
        <f>Calculations!AG58</f>
        <v>20.231967632833697</v>
      </c>
    </row>
    <row r="8" spans="1:32">
      <c r="A8" s="20" t="s">
        <v>46</v>
      </c>
      <c r="B8" s="19">
        <f>Calculations!C59</f>
        <v>794</v>
      </c>
      <c r="C8" s="19">
        <f>Calculations!D59</f>
        <v>942</v>
      </c>
      <c r="D8" s="19">
        <f>Calculations!E59</f>
        <v>1092</v>
      </c>
      <c r="E8" s="19">
        <f>Calculations!F59</f>
        <v>1266</v>
      </c>
      <c r="F8" s="19">
        <f>Calculations!G59</f>
        <v>1492</v>
      </c>
      <c r="G8" s="19">
        <f>Calculations!H59</f>
        <v>1535</v>
      </c>
      <c r="H8" s="19">
        <f>Calculations!I59</f>
        <v>1657</v>
      </c>
      <c r="I8" s="19">
        <f>Calculations!J59</f>
        <v>1802</v>
      </c>
      <c r="J8" s="19">
        <f>Calculations!K59</f>
        <v>1946</v>
      </c>
      <c r="K8" s="19">
        <f>Calculations!L59</f>
        <v>2092</v>
      </c>
      <c r="L8" s="19">
        <f>Calculations!M59</f>
        <v>2240</v>
      </c>
      <c r="M8" s="19">
        <f>Calculations!N59</f>
        <v>2395</v>
      </c>
      <c r="N8" s="19">
        <f>Calculations!O59</f>
        <v>2551</v>
      </c>
      <c r="O8" s="19">
        <f>Calculations!P59</f>
        <v>2710</v>
      </c>
      <c r="P8" s="19">
        <f>Calculations!Q59</f>
        <v>2873</v>
      </c>
      <c r="Q8" s="19">
        <f>Calculations!R59</f>
        <v>3035</v>
      </c>
      <c r="R8" s="19">
        <f>Calculations!S59</f>
        <v>3202</v>
      </c>
      <c r="S8" s="19">
        <f>Calculations!T59</f>
        <v>3506</v>
      </c>
      <c r="T8" s="19">
        <f>Calculations!U59</f>
        <v>3829</v>
      </c>
      <c r="U8" s="19">
        <f>Calculations!V59</f>
        <v>3829</v>
      </c>
      <c r="V8" s="19">
        <f>Calculations!W59</f>
        <v>3829</v>
      </c>
      <c r="W8" s="19">
        <f>Calculations!X59</f>
        <v>3829</v>
      </c>
      <c r="X8" s="19">
        <f>Calculations!Y59</f>
        <v>3829</v>
      </c>
      <c r="Y8" s="19">
        <f>Calculations!Z59</f>
        <v>3829</v>
      </c>
      <c r="Z8" s="19">
        <f>Calculations!AA59</f>
        <v>3829</v>
      </c>
      <c r="AA8" s="19">
        <f>Calculations!AB59</f>
        <v>3829</v>
      </c>
      <c r="AB8" s="19">
        <f>Calculations!AC59</f>
        <v>3829</v>
      </c>
      <c r="AC8" s="19">
        <f>Calculations!AD59</f>
        <v>3829</v>
      </c>
      <c r="AD8" s="19">
        <f>Calculations!AE59</f>
        <v>3829</v>
      </c>
      <c r="AE8" s="19">
        <f>Calculations!AF59</f>
        <v>3829</v>
      </c>
      <c r="AF8" s="19">
        <f>Calculations!AG59</f>
        <v>3829</v>
      </c>
    </row>
    <row r="9" spans="1:32">
      <c r="A9" t="s">
        <v>47</v>
      </c>
      <c r="B9" s="19">
        <v>0</v>
      </c>
      <c r="C9" s="19">
        <v>0</v>
      </c>
      <c r="D9" s="19">
        <v>0</v>
      </c>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row>
    <row r="10" spans="1:32">
      <c r="A10" t="s">
        <v>48</v>
      </c>
      <c r="B10" s="19">
        <v>0</v>
      </c>
      <c r="C10" s="19">
        <v>0</v>
      </c>
      <c r="D10" s="19">
        <v>0</v>
      </c>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row>
    <row r="11" spans="1:32">
      <c r="A11" t="s">
        <v>49</v>
      </c>
      <c r="B11" s="19">
        <v>0</v>
      </c>
      <c r="C11" s="19">
        <v>0</v>
      </c>
      <c r="D11" s="19">
        <v>0</v>
      </c>
      <c r="E11" s="19">
        <v>0</v>
      </c>
      <c r="F11" s="19">
        <v>0</v>
      </c>
      <c r="G11" s="19">
        <v>0</v>
      </c>
      <c r="H11" s="19">
        <v>0</v>
      </c>
      <c r="I11" s="19">
        <v>0</v>
      </c>
      <c r="J11" s="19">
        <v>0</v>
      </c>
      <c r="K11" s="19">
        <v>0</v>
      </c>
      <c r="L11" s="19">
        <v>0</v>
      </c>
      <c r="M11" s="19">
        <v>0</v>
      </c>
      <c r="N11" s="19">
        <v>0</v>
      </c>
      <c r="O11" s="19">
        <v>0</v>
      </c>
      <c r="P11" s="19">
        <v>0</v>
      </c>
      <c r="Q11" s="19">
        <v>0</v>
      </c>
      <c r="R11" s="19">
        <v>0</v>
      </c>
      <c r="S11" s="19">
        <v>0</v>
      </c>
      <c r="T11" s="19">
        <v>0</v>
      </c>
      <c r="U11" s="19">
        <v>0</v>
      </c>
      <c r="V11" s="19">
        <v>0</v>
      </c>
      <c r="W11" s="19">
        <v>0</v>
      </c>
      <c r="X11" s="19">
        <v>0</v>
      </c>
      <c r="Y11" s="19">
        <v>0</v>
      </c>
      <c r="Z11" s="19">
        <v>0</v>
      </c>
      <c r="AA11" s="19">
        <v>0</v>
      </c>
      <c r="AB11" s="19">
        <v>0</v>
      </c>
      <c r="AC11" s="19">
        <v>0</v>
      </c>
      <c r="AD11" s="19">
        <v>0</v>
      </c>
      <c r="AE11" s="19">
        <v>0</v>
      </c>
      <c r="AF11" s="19">
        <v>0</v>
      </c>
    </row>
    <row r="12" spans="1:32">
      <c r="A12" t="s">
        <v>50</v>
      </c>
      <c r="B12" s="19">
        <v>0</v>
      </c>
      <c r="C12" s="19">
        <v>0</v>
      </c>
      <c r="D12" s="19">
        <v>0</v>
      </c>
      <c r="E12" s="19">
        <v>0</v>
      </c>
      <c r="F12" s="19">
        <v>0</v>
      </c>
      <c r="G12" s="19">
        <v>0</v>
      </c>
      <c r="H12" s="19">
        <v>0</v>
      </c>
      <c r="I12" s="19">
        <v>0</v>
      </c>
      <c r="J12" s="19">
        <v>0</v>
      </c>
      <c r="K12" s="19">
        <v>0</v>
      </c>
      <c r="L12" s="19">
        <v>0</v>
      </c>
      <c r="M12" s="19">
        <v>0</v>
      </c>
      <c r="N12" s="19">
        <v>0</v>
      </c>
      <c r="O12" s="19">
        <v>0</v>
      </c>
      <c r="P12" s="19">
        <v>0</v>
      </c>
      <c r="Q12" s="19">
        <v>0</v>
      </c>
      <c r="R12" s="19">
        <v>0</v>
      </c>
      <c r="S12" s="19">
        <v>0</v>
      </c>
      <c r="T12" s="19">
        <v>0</v>
      </c>
      <c r="U12" s="19">
        <v>0</v>
      </c>
      <c r="V12" s="19">
        <v>0</v>
      </c>
      <c r="W12" s="19">
        <v>0</v>
      </c>
      <c r="X12" s="19">
        <v>0</v>
      </c>
      <c r="Y12" s="19">
        <v>0</v>
      </c>
      <c r="Z12" s="19">
        <v>0</v>
      </c>
      <c r="AA12" s="19">
        <v>0</v>
      </c>
      <c r="AB12" s="19">
        <v>0</v>
      </c>
      <c r="AC12" s="19">
        <v>0</v>
      </c>
      <c r="AD12" s="19">
        <v>0</v>
      </c>
      <c r="AE12" s="19">
        <v>0</v>
      </c>
      <c r="AF12" s="19">
        <v>0</v>
      </c>
    </row>
    <row r="13" spans="1:32">
      <c r="A13" t="s">
        <v>51</v>
      </c>
      <c r="B13" s="19">
        <v>0</v>
      </c>
      <c r="C13" s="19">
        <v>0</v>
      </c>
      <c r="D13" s="19">
        <v>0</v>
      </c>
      <c r="E13" s="19">
        <v>0</v>
      </c>
      <c r="F13" s="19">
        <v>0</v>
      </c>
      <c r="G13" s="19">
        <v>0</v>
      </c>
      <c r="H13" s="19">
        <v>0</v>
      </c>
      <c r="I13" s="19">
        <v>0</v>
      </c>
      <c r="J13" s="19">
        <v>0</v>
      </c>
      <c r="K13" s="19">
        <v>0</v>
      </c>
      <c r="L13" s="19">
        <v>0</v>
      </c>
      <c r="M13" s="19">
        <v>0</v>
      </c>
      <c r="N13" s="19">
        <v>0</v>
      </c>
      <c r="O13" s="19">
        <v>0</v>
      </c>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row>
    <row r="14" spans="1:32">
      <c r="A14" t="s">
        <v>52</v>
      </c>
      <c r="B14" s="19">
        <v>0</v>
      </c>
      <c r="C14" s="19">
        <v>0</v>
      </c>
      <c r="D14" s="19">
        <v>0</v>
      </c>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row>
    <row r="15" spans="1:32">
      <c r="A15" t="s">
        <v>53</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row>
    <row r="16" spans="1:32">
      <c r="A16" t="s">
        <v>54</v>
      </c>
      <c r="B16" s="19">
        <v>0</v>
      </c>
      <c r="C16" s="19">
        <v>0</v>
      </c>
      <c r="D16" s="19">
        <v>0</v>
      </c>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row>
    <row r="17" spans="1:32">
      <c r="A17" t="s">
        <v>55</v>
      </c>
      <c r="B17" s="19">
        <v>0</v>
      </c>
      <c r="C17" s="19">
        <v>0</v>
      </c>
      <c r="D17" s="19">
        <v>0</v>
      </c>
      <c r="E17" s="19">
        <v>0</v>
      </c>
      <c r="F17" s="19">
        <v>0</v>
      </c>
      <c r="G17" s="19">
        <v>0</v>
      </c>
      <c r="H17" s="19">
        <v>0</v>
      </c>
      <c r="I17" s="19">
        <v>0</v>
      </c>
      <c r="J17" s="19">
        <v>0</v>
      </c>
      <c r="K17" s="19">
        <v>0</v>
      </c>
      <c r="L17" s="19">
        <v>0</v>
      </c>
      <c r="M17" s="19">
        <v>0</v>
      </c>
      <c r="N17" s="19">
        <v>0</v>
      </c>
      <c r="O17" s="19">
        <v>0</v>
      </c>
      <c r="P17" s="19">
        <v>0</v>
      </c>
      <c r="Q17" s="19">
        <v>0</v>
      </c>
      <c r="R17" s="19">
        <v>0</v>
      </c>
      <c r="S17" s="19">
        <v>0</v>
      </c>
      <c r="T17" s="19">
        <v>0</v>
      </c>
      <c r="U17" s="19">
        <v>0</v>
      </c>
      <c r="V17" s="19">
        <v>0</v>
      </c>
      <c r="W17" s="19">
        <v>0</v>
      </c>
      <c r="X17" s="19">
        <v>0</v>
      </c>
      <c r="Y17" s="19">
        <v>0</v>
      </c>
      <c r="Z17" s="19">
        <v>0</v>
      </c>
      <c r="AA17" s="19">
        <v>0</v>
      </c>
      <c r="AB17" s="19">
        <v>0</v>
      </c>
      <c r="AC17" s="19">
        <v>0</v>
      </c>
      <c r="AD17" s="19">
        <v>0</v>
      </c>
      <c r="AE17" s="19">
        <v>0</v>
      </c>
      <c r="AF17" s="19">
        <v>0</v>
      </c>
    </row>
    <row r="18" spans="1:32">
      <c r="A18" t="s">
        <v>56</v>
      </c>
      <c r="B18" s="19">
        <v>0</v>
      </c>
      <c r="C18" s="19">
        <v>0</v>
      </c>
      <c r="D18" s="19">
        <v>0</v>
      </c>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row>
    <row r="19" spans="1:32">
      <c r="A19" s="16" t="s">
        <v>57</v>
      </c>
      <c r="B19" s="19">
        <v>0</v>
      </c>
      <c r="C19" s="19">
        <v>0</v>
      </c>
      <c r="D19" s="19">
        <v>0</v>
      </c>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row>
    <row r="20" spans="1:32">
      <c r="A20" s="16" t="s">
        <v>58</v>
      </c>
      <c r="B20" s="19">
        <v>0</v>
      </c>
      <c r="C20" s="19">
        <v>0</v>
      </c>
      <c r="D20" s="19">
        <v>0</v>
      </c>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row>
    <row r="21" spans="1:32">
      <c r="A21" s="16" t="s">
        <v>59</v>
      </c>
      <c r="B21" s="19">
        <v>0</v>
      </c>
      <c r="C21" s="19">
        <v>0</v>
      </c>
      <c r="D21" s="19">
        <v>0</v>
      </c>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row>
    <row r="22" spans="1:32">
      <c r="A22" s="16" t="s">
        <v>60</v>
      </c>
      <c r="B22" s="19">
        <v>0</v>
      </c>
      <c r="C22" s="19">
        <v>0</v>
      </c>
      <c r="D22" s="19">
        <v>0</v>
      </c>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row>
    <row r="23" spans="1:32">
      <c r="A23" s="16" t="s">
        <v>61</v>
      </c>
      <c r="B23" s="19">
        <v>0</v>
      </c>
      <c r="C23" s="19">
        <v>0</v>
      </c>
      <c r="D23" s="19">
        <v>0</v>
      </c>
      <c r="E23" s="19">
        <v>0</v>
      </c>
      <c r="F23" s="19">
        <v>0</v>
      </c>
      <c r="G23" s="19">
        <v>0</v>
      </c>
      <c r="H23" s="19">
        <v>0</v>
      </c>
      <c r="I23" s="19">
        <v>0</v>
      </c>
      <c r="J23" s="19">
        <v>0</v>
      </c>
      <c r="K23" s="19">
        <v>0</v>
      </c>
      <c r="L23" s="19">
        <v>0</v>
      </c>
      <c r="M23" s="19">
        <v>0</v>
      </c>
      <c r="N23" s="19">
        <v>0</v>
      </c>
      <c r="O23" s="19">
        <v>0</v>
      </c>
      <c r="P23" s="19">
        <v>0</v>
      </c>
      <c r="Q23" s="19">
        <v>0</v>
      </c>
      <c r="R23" s="19">
        <v>0</v>
      </c>
      <c r="S23" s="19">
        <v>0</v>
      </c>
      <c r="T23" s="19">
        <v>0</v>
      </c>
      <c r="U23" s="19">
        <v>0</v>
      </c>
      <c r="V23" s="19">
        <v>0</v>
      </c>
      <c r="W23" s="19">
        <v>0</v>
      </c>
      <c r="X23" s="19">
        <v>0</v>
      </c>
      <c r="Y23" s="19">
        <v>0</v>
      </c>
      <c r="Z23" s="19">
        <v>0</v>
      </c>
      <c r="AA23" s="19">
        <v>0</v>
      </c>
      <c r="AB23" s="19">
        <v>0</v>
      </c>
      <c r="AC23" s="19">
        <v>0</v>
      </c>
      <c r="AD23" s="19">
        <v>0</v>
      </c>
      <c r="AE23" s="19">
        <v>0</v>
      </c>
      <c r="AF23" s="19">
        <v>0</v>
      </c>
    </row>
    <row r="24" spans="1:32">
      <c r="A24" s="17" t="s">
        <v>62</v>
      </c>
      <c r="B24" s="19">
        <v>0</v>
      </c>
      <c r="C24" s="19">
        <v>0</v>
      </c>
      <c r="D24" s="19">
        <v>0</v>
      </c>
      <c r="E24" s="19">
        <v>0</v>
      </c>
      <c r="F24" s="19">
        <v>0</v>
      </c>
      <c r="G24" s="19">
        <v>0</v>
      </c>
      <c r="H24" s="19">
        <v>0</v>
      </c>
      <c r="I24" s="19">
        <v>0</v>
      </c>
      <c r="J24" s="19">
        <v>0</v>
      </c>
      <c r="K24" s="19">
        <v>0</v>
      </c>
      <c r="L24" s="19">
        <v>0</v>
      </c>
      <c r="M24" s="19">
        <v>0</v>
      </c>
      <c r="N24" s="19">
        <v>0</v>
      </c>
      <c r="O24" s="19">
        <v>0</v>
      </c>
      <c r="P24" s="19">
        <v>0</v>
      </c>
      <c r="Q24" s="19">
        <v>0</v>
      </c>
      <c r="R24" s="19">
        <v>0</v>
      </c>
      <c r="S24" s="19">
        <v>0</v>
      </c>
      <c r="T24" s="19">
        <v>0</v>
      </c>
      <c r="U24" s="19">
        <v>0</v>
      </c>
      <c r="V24" s="19">
        <v>0</v>
      </c>
      <c r="W24" s="19">
        <v>0</v>
      </c>
      <c r="X24" s="19">
        <v>0</v>
      </c>
      <c r="Y24" s="19">
        <v>0</v>
      </c>
      <c r="Z24" s="19">
        <v>0</v>
      </c>
      <c r="AA24" s="19">
        <v>0</v>
      </c>
      <c r="AB24" s="19">
        <v>0</v>
      </c>
      <c r="AC24" s="19">
        <v>0</v>
      </c>
      <c r="AD24" s="19">
        <v>0</v>
      </c>
      <c r="AE24" s="19">
        <v>0</v>
      </c>
      <c r="AF24" s="19">
        <v>0</v>
      </c>
    </row>
    <row r="25" spans="1:32">
      <c r="A25" s="17" t="s">
        <v>63</v>
      </c>
      <c r="B25" s="19">
        <v>0</v>
      </c>
      <c r="C25" s="19">
        <v>0</v>
      </c>
      <c r="D25" s="19">
        <v>0</v>
      </c>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row>
  </sheetData>
  <phoneticPr fontId="1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About</vt:lpstr>
      <vt:lpstr>SYDEC_2020</vt:lpstr>
      <vt:lpstr>SYDEC_2023</vt:lpstr>
      <vt:lpstr>Sheet3</vt:lpstr>
      <vt:lpstr>260915_분산태양광</vt:lpstr>
      <vt:lpstr>Calculations</vt:lpstr>
      <vt:lpstr>BDESC-urban-residential</vt:lpstr>
      <vt:lpstr>BDESC-rural-residential</vt:lpstr>
      <vt:lpstr>BDESC-commercial</vt:lpstr>
      <vt:lpstr>billion_kw_to_MW</vt:lpstr>
      <vt:lpstr>gigwatt_to_megawatt</vt:lpstr>
      <vt:lpstr>Percent_rural</vt:lpstr>
      <vt:lpstr>Percent_Urban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2016-01-26T19:10:58Z</dcterms:created>
  <dcterms:modified xsi:type="dcterms:W3CDTF">2026-09-15T13:39:54Z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