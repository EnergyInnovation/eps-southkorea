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worksheets/sheet7.xml" ContentType="application/vnd.openxmlformats-officedocument.spreadsheetml.worksheet+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style3.xml" ContentType="application/vnd.ms-office.chart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mmahajan\Documents\eps-us\InputData\bldgs\BDESC\"/>
    </mc:Choice>
  </mc:AlternateContent>
  <xr:revisionPtr revIDLastSave="0" documentId="13_ncr:1_{FD2B926B-5401-4A0B-A10D-8382D8092501}" xr6:coauthVersionLast="47" xr6:coauthVersionMax="47" xr10:uidLastSave="{00000000-0000-0000-0000-000000000000}"/>
  <bookViews>
    <workbookView xWindow="-120" yWindow="-120" windowWidth="29040" windowHeight="17640" tabRatio="905" xr2:uid="{EAFC2935-000E-413A-B5D2-814429F7674A}"/>
  </bookViews>
  <sheets>
    <sheet name="About" sheetId="1" r:id="rId1"/>
    <sheet name="AEO21_Table_21._Residential_Sec" sheetId="14" r:id="rId2"/>
    <sheet name="AEO22_Table_21._Residential_Sec" sheetId="17" r:id="rId3"/>
    <sheet name="AEO21_Table_22._Comm_Sector_Ene" sheetId="15" r:id="rId4"/>
    <sheet name="AEO22_Table_22._Comm_Sector_Ene" sheetId="16" r:id="rId5"/>
    <sheet name="RECS HC2.1" sheetId="8" r:id="rId6"/>
    <sheet name="Inflation Reduction Act" sheetId="18" r:id="rId7"/>
    <sheet name="Calculations" sheetId="13" r:id="rId8"/>
    <sheet name="BDESC-urban-residential" sheetId="6" r:id="rId9"/>
    <sheet name="BDESC-rural-residential" sheetId="10" r:id="rId10"/>
    <sheet name="BDESC-commercial" sheetId="7" r:id="rId11"/>
  </sheets>
  <definedNames>
    <definedName name="billion_kw_to_MW">About!$B$35</definedName>
    <definedName name="gigwatt_to_megawatt">About!$B$36</definedName>
    <definedName name="Percent_rural">About!$A$33</definedName>
    <definedName name="Percent_Urban">About!$A$32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6" i="18" l="1"/>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Y7" i="7" s="1"/>
  <c r="S87" i="13"/>
  <c r="Q7" i="7" s="1"/>
  <c r="H88" i="13"/>
  <c r="F8" i="7" s="1"/>
  <c r="W88" i="13"/>
  <c r="U8" i="7" s="1"/>
  <c r="AF88" i="13"/>
  <c r="AD8" i="7" s="1"/>
  <c r="N88" i="13"/>
  <c r="L8" i="7" s="1"/>
  <c r="K88" i="13"/>
  <c r="I8" i="7" s="1"/>
  <c r="AC87" i="13"/>
  <c r="AA7" i="7" s="1"/>
  <c r="AB87" i="13"/>
  <c r="Z7" i="7" s="1"/>
  <c r="X92" i="13"/>
  <c r="V12" i="7" s="1"/>
  <c r="P92" i="13"/>
  <c r="N12" i="7" s="1"/>
  <c r="L88" i="13"/>
  <c r="J8" i="7" s="1"/>
  <c r="M88" i="13"/>
  <c r="K8" i="7" s="1"/>
  <c r="R88" i="13"/>
  <c r="P8" i="7" s="1"/>
  <c r="I88" i="13"/>
  <c r="G8" i="7" s="1"/>
  <c r="F88" i="13"/>
  <c r="D8" i="7" s="1"/>
  <c r="I92" i="13"/>
  <c r="G12" i="7" s="1"/>
  <c r="P87" i="13"/>
  <c r="N7" i="7" s="1"/>
  <c r="W92" i="13"/>
  <c r="U12" i="7" s="1"/>
  <c r="Q87" i="13"/>
  <c r="O7" i="7" s="1"/>
  <c r="X88" i="13"/>
  <c r="V8" i="7" s="1"/>
  <c r="AB92" i="13"/>
  <c r="Z12" i="7" s="1"/>
  <c r="Z87" i="13"/>
  <c r="X7" i="7" s="1"/>
  <c r="AG87" i="13"/>
  <c r="AE7" i="7" s="1"/>
  <c r="AH87" i="13"/>
  <c r="AF7" i="7" s="1"/>
  <c r="AH92" i="13"/>
  <c r="AF12" i="7" s="1"/>
  <c r="R87" i="13"/>
  <c r="P7" i="7" s="1"/>
  <c r="P88" i="13"/>
  <c r="N8" i="7" s="1"/>
  <c r="AC92" i="13"/>
  <c r="AA12" i="7" s="1"/>
  <c r="V88" i="13"/>
  <c r="T8" i="7" s="1"/>
  <c r="G88" i="13"/>
  <c r="E8" i="7" s="1"/>
  <c r="Q88" i="13"/>
  <c r="O8" i="7" s="1"/>
  <c r="S92" i="13"/>
  <c r="Q12" i="7" s="1"/>
  <c r="AE87" i="13"/>
  <c r="AC7" i="7" s="1"/>
  <c r="AE92" i="13"/>
  <c r="AC12" i="7" s="1"/>
  <c r="U87" i="13"/>
  <c r="S7" i="7" s="1"/>
  <c r="U92" i="13"/>
  <c r="S12" i="7" s="1"/>
  <c r="X87" i="13"/>
  <c r="V7" i="7" s="1"/>
  <c r="AF87" i="13"/>
  <c r="AD7" i="7" s="1"/>
  <c r="AF92" i="13"/>
  <c r="AD12" i="7" s="1"/>
  <c r="V87" i="13"/>
  <c r="T7" i="7" s="1"/>
  <c r="V92" i="13"/>
  <c r="T12" i="7" s="1"/>
  <c r="S88" i="13"/>
  <c r="Q8" i="7" s="1"/>
  <c r="Z92" i="13"/>
  <c r="X12" i="7" s="1"/>
  <c r="AG92" i="13"/>
  <c r="AE12" i="7" s="1"/>
  <c r="W87" i="13"/>
  <c r="U7" i="7" s="1"/>
  <c r="AE88" i="13"/>
  <c r="AC8" i="7" s="1"/>
  <c r="U88" i="13"/>
  <c r="S8" i="7" s="1"/>
  <c r="AA92" i="13"/>
  <c r="Y12" i="7" s="1"/>
  <c r="AH88" i="13"/>
  <c r="AF8" i="7" s="1"/>
  <c r="AG88" i="13"/>
  <c r="AE8" i="7" s="1"/>
  <c r="Q92" i="13"/>
  <c r="O12" i="7" s="1"/>
  <c r="H92" i="13"/>
  <c r="F12" i="7" s="1"/>
  <c r="R92" i="13"/>
  <c r="P12" i="7" s="1"/>
  <c r="K92" i="13"/>
  <c r="I12" i="7" s="1"/>
  <c r="F92" i="13"/>
  <c r="D12" i="7" s="1"/>
  <c r="M92" i="13"/>
  <c r="K12" i="7" s="1"/>
  <c r="G92" i="13"/>
  <c r="E12" i="7" s="1"/>
  <c r="N92" i="13"/>
  <c r="L12" i="7" s="1"/>
  <c r="L92" i="13"/>
  <c r="J12" i="7" s="1"/>
  <c r="AA88" i="13"/>
  <c r="Y8" i="7" s="1"/>
  <c r="Z88" i="13"/>
  <c r="X8" i="7" s="1"/>
  <c r="AB88" i="13"/>
  <c r="Z8" i="7" s="1"/>
  <c r="AC88" i="13"/>
  <c r="AA8" i="7" s="1"/>
  <c r="I87" i="13"/>
  <c r="G7" i="7" s="1"/>
  <c r="K87" i="13"/>
  <c r="I7" i="7" s="1"/>
  <c r="L87" i="13"/>
  <c r="J7" i="7" s="1"/>
  <c r="F87" i="13"/>
  <c r="D7" i="7" s="1"/>
  <c r="M87" i="13"/>
  <c r="K7" i="7" s="1"/>
  <c r="N87" i="13"/>
  <c r="L7" i="7" s="1"/>
  <c r="G87" i="13"/>
  <c r="E7" i="7" s="1"/>
  <c r="H87" i="13"/>
  <c r="F7" i="7" s="1"/>
  <c r="C4" i="7"/>
  <c r="H7" i="7"/>
  <c r="R12" i="7"/>
  <c r="AB8" i="7"/>
  <c r="C12"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H4" i="7"/>
  <c r="M4" i="7"/>
  <c r="R4" i="7"/>
  <c r="W4" i="7"/>
  <c r="AB4" i="7"/>
  <c r="AG4"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AG5"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AG6" i="7"/>
  <c r="C7" i="7"/>
  <c r="M7" i="7"/>
  <c r="R7" i="7"/>
  <c r="W7" i="7"/>
  <c r="AB7" i="7"/>
  <c r="C8" i="7"/>
  <c r="H8" i="7"/>
  <c r="M8" i="7"/>
  <c r="R8" i="7"/>
  <c r="W8"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AG9"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H12" i="7"/>
  <c r="M12" i="7"/>
  <c r="W12" i="7"/>
  <c r="AB12"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B5" i="7"/>
  <c r="B6" i="7"/>
  <c r="B9" i="7"/>
  <c r="B10" i="7"/>
  <c r="B11" i="7"/>
  <c r="B13" i="7"/>
  <c r="B14" i="7"/>
  <c r="B15" i="7"/>
  <c r="B16" i="7"/>
  <c r="B17" i="7"/>
  <c r="B18" i="7"/>
  <c r="B2"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AG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B5" i="10"/>
  <c r="B6" i="10"/>
  <c r="B9" i="10"/>
  <c r="B10" i="10"/>
  <c r="B11" i="10"/>
  <c r="B12" i="10"/>
  <c r="B13" i="10"/>
  <c r="B14" i="10"/>
  <c r="B15" i="10"/>
  <c r="B16" i="10"/>
  <c r="B17" i="10"/>
  <c r="B18" i="10"/>
  <c r="B2" i="10"/>
  <c r="C2" i="6"/>
  <c r="D2" i="6"/>
  <c r="E2" i="6"/>
  <c r="F2" i="6"/>
  <c r="G2" i="6"/>
  <c r="H2" i="6"/>
  <c r="I2" i="6"/>
  <c r="J2" i="6"/>
  <c r="K2" i="6"/>
  <c r="L2" i="6"/>
  <c r="M2" i="6"/>
  <c r="N2" i="6"/>
  <c r="O2" i="6"/>
  <c r="P2" i="6"/>
  <c r="Q2" i="6"/>
  <c r="R2" i="6"/>
  <c r="S2" i="6"/>
  <c r="T2" i="6"/>
  <c r="U2" i="6"/>
  <c r="V2" i="6"/>
  <c r="W2" i="6"/>
  <c r="X2" i="6"/>
  <c r="Y2" i="6"/>
  <c r="Z2" i="6"/>
  <c r="AA2" i="6"/>
  <c r="AB2" i="6"/>
  <c r="AC2" i="6"/>
  <c r="AD2" i="6"/>
  <c r="AE2" i="6"/>
  <c r="AF2" i="6"/>
  <c r="AG2"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AG5"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AG6" i="6"/>
  <c r="C9" i="6"/>
  <c r="D9" i="6"/>
  <c r="E9" i="6"/>
  <c r="F9" i="6"/>
  <c r="G9" i="6"/>
  <c r="H9" i="6"/>
  <c r="I9" i="6"/>
  <c r="J9" i="6"/>
  <c r="K9" i="6"/>
  <c r="L9" i="6"/>
  <c r="M9" i="6"/>
  <c r="N9" i="6"/>
  <c r="O9" i="6"/>
  <c r="P9" i="6"/>
  <c r="Q9" i="6"/>
  <c r="R9" i="6"/>
  <c r="S9" i="6"/>
  <c r="T9" i="6"/>
  <c r="U9" i="6"/>
  <c r="V9" i="6"/>
  <c r="W9" i="6"/>
  <c r="X9" i="6"/>
  <c r="Y9" i="6"/>
  <c r="Z9" i="6"/>
  <c r="AA9" i="6"/>
  <c r="AB9" i="6"/>
  <c r="AC9" i="6"/>
  <c r="AD9" i="6"/>
  <c r="AE9" i="6"/>
  <c r="AF9" i="6"/>
  <c r="AG9"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AG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AG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AG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AG13"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AG14"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C18" i="6"/>
  <c r="D18"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B5" i="6"/>
  <c r="B6" i="6"/>
  <c r="B9" i="6"/>
  <c r="B10" i="6"/>
  <c r="B11" i="6"/>
  <c r="B12" i="6"/>
  <c r="B13" i="6"/>
  <c r="B14" i="6"/>
  <c r="B15" i="6"/>
  <c r="B16" i="6"/>
  <c r="B17" i="6"/>
  <c r="B18" i="6"/>
  <c r="B2" i="6"/>
  <c r="AG7" i="7"/>
  <c r="AG8" i="7"/>
  <c r="AG12" i="7"/>
  <c r="B12" i="7"/>
  <c r="B8" i="7"/>
  <c r="B7" i="7"/>
  <c r="B4" i="7"/>
  <c r="B8" i="10"/>
  <c r="B7" i="10"/>
  <c r="B4" i="10"/>
  <c r="B8" i="6"/>
  <c r="B7" i="6"/>
  <c r="B4" i="6"/>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E7" i="6" s="1"/>
  <c r="O47" i="13"/>
  <c r="M7" i="6" s="1"/>
  <c r="W47" i="13"/>
  <c r="AE47" i="13"/>
  <c r="I44" i="13"/>
  <c r="G4" i="6" s="1"/>
  <c r="Q44" i="13"/>
  <c r="O4" i="6" s="1"/>
  <c r="Y44" i="13"/>
  <c r="W4" i="6" s="1"/>
  <c r="AG44" i="13"/>
  <c r="AE4" i="6" s="1"/>
  <c r="I10" i="13"/>
  <c r="Q10" i="13"/>
  <c r="Y10" i="13"/>
  <c r="AG10" i="13"/>
  <c r="K9" i="13"/>
  <c r="S9" i="13"/>
  <c r="AA9" i="13"/>
  <c r="AI9" i="13"/>
  <c r="M6" i="13"/>
  <c r="U6" i="13"/>
  <c r="AC6" i="13"/>
  <c r="E6" i="13"/>
  <c r="H48" i="13"/>
  <c r="AF48" i="13"/>
  <c r="Z47" i="13"/>
  <c r="X7" i="6" s="1"/>
  <c r="T44" i="13"/>
  <c r="R4" i="6" s="1"/>
  <c r="N9" i="13"/>
  <c r="AF6" i="13"/>
  <c r="N48" i="13"/>
  <c r="V48" i="13"/>
  <c r="AD48" i="13"/>
  <c r="H47" i="13"/>
  <c r="F7" i="6" s="1"/>
  <c r="P47" i="13"/>
  <c r="N7" i="6" s="1"/>
  <c r="X47" i="13"/>
  <c r="V7" i="6" s="1"/>
  <c r="AF47" i="13"/>
  <c r="AD7" i="6" s="1"/>
  <c r="J44" i="13"/>
  <c r="H4" i="6" s="1"/>
  <c r="R44" i="13"/>
  <c r="Z44" i="13"/>
  <c r="X4" i="6" s="1"/>
  <c r="AH44" i="13"/>
  <c r="AF4" i="6" s="1"/>
  <c r="J10" i="13"/>
  <c r="R10" i="13"/>
  <c r="Z10" i="13"/>
  <c r="AH10" i="13"/>
  <c r="L9" i="13"/>
  <c r="T9" i="13"/>
  <c r="AB9" i="13"/>
  <c r="F9" i="13"/>
  <c r="N6" i="13"/>
  <c r="V6" i="13"/>
  <c r="AD6" i="13"/>
  <c r="P48" i="13"/>
  <c r="J47" i="13"/>
  <c r="H7" i="6" s="1"/>
  <c r="AH47" i="13"/>
  <c r="F44" i="13"/>
  <c r="L10" i="13"/>
  <c r="AD9" i="13"/>
  <c r="G48" i="13"/>
  <c r="E8" i="6" s="1"/>
  <c r="O48" i="13"/>
  <c r="W48" i="13"/>
  <c r="AE48" i="13"/>
  <c r="I47" i="13"/>
  <c r="Q47" i="13"/>
  <c r="O7" i="6" s="1"/>
  <c r="Y47" i="13"/>
  <c r="W7" i="6" s="1"/>
  <c r="AG47" i="13"/>
  <c r="AE7" i="6" s="1"/>
  <c r="K44" i="13"/>
  <c r="I4" i="6" s="1"/>
  <c r="S44" i="13"/>
  <c r="Q4" i="6" s="1"/>
  <c r="AA44" i="13"/>
  <c r="Y4" i="6" s="1"/>
  <c r="AI44" i="13"/>
  <c r="AG4" i="6" s="1"/>
  <c r="K10" i="13"/>
  <c r="S10" i="13"/>
  <c r="AA10" i="13"/>
  <c r="AI10" i="13"/>
  <c r="M9" i="13"/>
  <c r="U9" i="13"/>
  <c r="AC9" i="13"/>
  <c r="G6" i="13"/>
  <c r="O6" i="13"/>
  <c r="W6" i="13"/>
  <c r="AE6" i="13"/>
  <c r="X48" i="13"/>
  <c r="R47" i="13"/>
  <c r="P7" i="6" s="1"/>
  <c r="L44" i="13"/>
  <c r="J4" i="6" s="1"/>
  <c r="AB44" i="13"/>
  <c r="Z4" i="6" s="1"/>
  <c r="V9" i="13"/>
  <c r="I48" i="13"/>
  <c r="Q48" i="13"/>
  <c r="Y48" i="13"/>
  <c r="AG48" i="13"/>
  <c r="K47" i="13"/>
  <c r="I7" i="6" s="1"/>
  <c r="S47" i="13"/>
  <c r="Q7" i="6" s="1"/>
  <c r="AA47" i="13"/>
  <c r="Y7" i="6" s="1"/>
  <c r="AI47" i="13"/>
  <c r="AG7" i="6" s="1"/>
  <c r="M44" i="13"/>
  <c r="U44" i="13"/>
  <c r="S4" i="6" s="1"/>
  <c r="AC44" i="13"/>
  <c r="AA4" i="6" s="1"/>
  <c r="M10" i="13"/>
  <c r="M121" i="13" s="1"/>
  <c r="U10" i="13"/>
  <c r="U121" i="13" s="1"/>
  <c r="AC10" i="13"/>
  <c r="AC121" i="13" s="1"/>
  <c r="G9" i="13"/>
  <c r="O9" i="13"/>
  <c r="W9" i="13"/>
  <c r="AE9" i="13"/>
  <c r="I6" i="13"/>
  <c r="Q6" i="13"/>
  <c r="Y6" i="13"/>
  <c r="AG6" i="13"/>
  <c r="T48" i="13"/>
  <c r="N47" i="13"/>
  <c r="L7" i="6" s="1"/>
  <c r="H44" i="13"/>
  <c r="F4" i="6" s="1"/>
  <c r="AF44" i="13"/>
  <c r="P10" i="13"/>
  <c r="J9" i="13"/>
  <c r="AH9" i="13"/>
  <c r="F6" i="13"/>
  <c r="F10" i="13"/>
  <c r="X6" i="13"/>
  <c r="J48" i="13"/>
  <c r="R48" i="13"/>
  <c r="Z48" i="13"/>
  <c r="AH48" i="13"/>
  <c r="L47" i="13"/>
  <c r="J7" i="6" s="1"/>
  <c r="T47" i="13"/>
  <c r="R7" i="6" s="1"/>
  <c r="AB47" i="13"/>
  <c r="Z7" i="6" s="1"/>
  <c r="F47" i="13"/>
  <c r="D7" i="6" s="1"/>
  <c r="N44" i="13"/>
  <c r="L4" i="6" s="1"/>
  <c r="V44" i="13"/>
  <c r="T4" i="6" s="1"/>
  <c r="AD44" i="13"/>
  <c r="AB4" i="6" s="1"/>
  <c r="N10" i="13"/>
  <c r="N121" i="13" s="1"/>
  <c r="V10" i="13"/>
  <c r="V121" i="13" s="1"/>
  <c r="AD10" i="13"/>
  <c r="AD121" i="13" s="1"/>
  <c r="H9" i="13"/>
  <c r="P9" i="13"/>
  <c r="X9" i="13"/>
  <c r="AF9" i="13"/>
  <c r="J6" i="13"/>
  <c r="R6" i="13"/>
  <c r="Z6" i="13"/>
  <c r="AH6" i="13"/>
  <c r="L48" i="13"/>
  <c r="J8" i="6" s="1"/>
  <c r="F48" i="13"/>
  <c r="D8" i="6" s="1"/>
  <c r="AD47" i="13"/>
  <c r="AB7" i="6" s="1"/>
  <c r="X44" i="13"/>
  <c r="V4" i="6" s="1"/>
  <c r="H10" i="13"/>
  <c r="H121" i="13" s="1"/>
  <c r="AF10" i="13"/>
  <c r="AF121" i="13" s="1"/>
  <c r="Z9" i="13"/>
  <c r="T6" i="13"/>
  <c r="T10" i="13"/>
  <c r="T121" i="13" s="1"/>
  <c r="H6" i="13"/>
  <c r="K48" i="13"/>
  <c r="S48" i="13"/>
  <c r="AA48" i="13"/>
  <c r="AI48" i="13"/>
  <c r="M47" i="13"/>
  <c r="K7" i="6" s="1"/>
  <c r="U47" i="13"/>
  <c r="S7" i="6" s="1"/>
  <c r="AC47" i="13"/>
  <c r="AA7" i="6" s="1"/>
  <c r="G44" i="13"/>
  <c r="E4" i="6" s="1"/>
  <c r="O44" i="13"/>
  <c r="M4" i="6" s="1"/>
  <c r="W44" i="13"/>
  <c r="U4" i="6" s="1"/>
  <c r="AE44" i="13"/>
  <c r="AC4" i="6" s="1"/>
  <c r="G10" i="13"/>
  <c r="O10" i="13"/>
  <c r="W10" i="13"/>
  <c r="AE10" i="13"/>
  <c r="AE121" i="13" s="1"/>
  <c r="I9" i="13"/>
  <c r="Q9" i="13"/>
  <c r="Y9" i="13"/>
  <c r="AG9" i="13"/>
  <c r="K6" i="13"/>
  <c r="S6" i="13"/>
  <c r="AA6" i="13"/>
  <c r="AI6" i="13"/>
  <c r="AB48" i="13"/>
  <c r="V47" i="13"/>
  <c r="T7" i="6" s="1"/>
  <c r="P44" i="13"/>
  <c r="N4" i="6" s="1"/>
  <c r="X10" i="13"/>
  <c r="R9" i="13"/>
  <c r="L6" i="13"/>
  <c r="AB6" i="13"/>
  <c r="AB10" i="13"/>
  <c r="P6" i="13"/>
  <c r="G67" i="13"/>
  <c r="E8" i="10" s="1"/>
  <c r="O67" i="13"/>
  <c r="W67" i="13"/>
  <c r="AE67" i="13"/>
  <c r="I66" i="13"/>
  <c r="G7" i="10" s="1"/>
  <c r="Q66" i="13"/>
  <c r="O7" i="10" s="1"/>
  <c r="Y66" i="13"/>
  <c r="W7" i="10" s="1"/>
  <c r="AG66" i="13"/>
  <c r="AE7" i="10" s="1"/>
  <c r="K63" i="13"/>
  <c r="S63" i="13"/>
  <c r="Q4" i="10" s="1"/>
  <c r="AA63" i="13"/>
  <c r="Y4" i="10" s="1"/>
  <c r="AI63" i="13"/>
  <c r="AG4" i="10" s="1"/>
  <c r="K29" i="13"/>
  <c r="S29" i="13"/>
  <c r="AA29" i="13"/>
  <c r="AI29" i="13"/>
  <c r="M28" i="13"/>
  <c r="U28" i="13"/>
  <c r="AC28" i="13"/>
  <c r="G25" i="13"/>
  <c r="O25" i="13"/>
  <c r="W25" i="13"/>
  <c r="AE25" i="13"/>
  <c r="Z67" i="13"/>
  <c r="T66" i="13"/>
  <c r="R7" i="10" s="1"/>
  <c r="N63" i="13"/>
  <c r="L4" i="10" s="1"/>
  <c r="N29" i="13"/>
  <c r="H28" i="13"/>
  <c r="AF28" i="13"/>
  <c r="Z25" i="13"/>
  <c r="H67" i="13"/>
  <c r="F8" i="10" s="1"/>
  <c r="P67" i="13"/>
  <c r="X67" i="13"/>
  <c r="AF67" i="13"/>
  <c r="J66" i="13"/>
  <c r="H7" i="10" s="1"/>
  <c r="R66" i="13"/>
  <c r="P7" i="10" s="1"/>
  <c r="Z66" i="13"/>
  <c r="X7" i="10" s="1"/>
  <c r="AH66" i="13"/>
  <c r="AF7" i="10" s="1"/>
  <c r="L63" i="13"/>
  <c r="J4" i="10" s="1"/>
  <c r="T63" i="13"/>
  <c r="R4" i="10" s="1"/>
  <c r="AB63" i="13"/>
  <c r="Z4" i="10" s="1"/>
  <c r="F63" i="13"/>
  <c r="D4" i="10" s="1"/>
  <c r="L29" i="13"/>
  <c r="T29" i="13"/>
  <c r="AB29" i="13"/>
  <c r="F29" i="13"/>
  <c r="N28" i="13"/>
  <c r="V28" i="13"/>
  <c r="AD28" i="13"/>
  <c r="H25" i="13"/>
  <c r="P25" i="13"/>
  <c r="X25" i="13"/>
  <c r="AF25" i="13"/>
  <c r="J67" i="13"/>
  <c r="H8" i="10" s="1"/>
  <c r="AH67" i="13"/>
  <c r="AB66" i="13"/>
  <c r="Z7" i="10" s="1"/>
  <c r="V63" i="13"/>
  <c r="T4" i="10" s="1"/>
  <c r="AD29" i="13"/>
  <c r="X28" i="13"/>
  <c r="R25" i="13"/>
  <c r="I67" i="13"/>
  <c r="G8" i="10" s="1"/>
  <c r="Q67" i="13"/>
  <c r="Y67" i="13"/>
  <c r="AG67" i="13"/>
  <c r="K66" i="13"/>
  <c r="S66" i="13"/>
  <c r="AA66" i="13"/>
  <c r="Y7" i="10" s="1"/>
  <c r="AI66" i="13"/>
  <c r="AG7" i="10" s="1"/>
  <c r="M63" i="13"/>
  <c r="K4" i="10" s="1"/>
  <c r="U63" i="13"/>
  <c r="S4" i="10" s="1"/>
  <c r="AC63" i="13"/>
  <c r="AA4" i="10" s="1"/>
  <c r="M29" i="13"/>
  <c r="U29" i="13"/>
  <c r="AC29" i="13"/>
  <c r="G28" i="13"/>
  <c r="O28" i="13"/>
  <c r="W28" i="13"/>
  <c r="AE28" i="13"/>
  <c r="I25" i="13"/>
  <c r="Q25" i="13"/>
  <c r="Y25" i="13"/>
  <c r="AG25" i="13"/>
  <c r="R67" i="13"/>
  <c r="L66" i="13"/>
  <c r="J7" i="10" s="1"/>
  <c r="F66" i="13"/>
  <c r="D7" i="10" s="1"/>
  <c r="AD63" i="13"/>
  <c r="AB4" i="10" s="1"/>
  <c r="V29" i="13"/>
  <c r="P28" i="13"/>
  <c r="J25" i="13"/>
  <c r="AH25" i="13"/>
  <c r="K67" i="13"/>
  <c r="I8" i="10" s="1"/>
  <c r="S67" i="13"/>
  <c r="AA67" i="13"/>
  <c r="AI67" i="13"/>
  <c r="M66" i="13"/>
  <c r="K7" i="10" s="1"/>
  <c r="U66" i="13"/>
  <c r="S7" i="10" s="1"/>
  <c r="AC66" i="13"/>
  <c r="AA7" i="10" s="1"/>
  <c r="G63" i="13"/>
  <c r="E4" i="10" s="1"/>
  <c r="O63" i="13"/>
  <c r="M4" i="10" s="1"/>
  <c r="W63" i="13"/>
  <c r="U4" i="10" s="1"/>
  <c r="AE63" i="13"/>
  <c r="AC4" i="10" s="1"/>
  <c r="G29" i="13"/>
  <c r="O29" i="13"/>
  <c r="W29" i="13"/>
  <c r="AE29" i="13"/>
  <c r="I28" i="13"/>
  <c r="Q28" i="13"/>
  <c r="Y28" i="13"/>
  <c r="AG28" i="13"/>
  <c r="K25" i="13"/>
  <c r="S25" i="13"/>
  <c r="AA25" i="13"/>
  <c r="AI25" i="13"/>
  <c r="AD67" i="13"/>
  <c r="AF66" i="13"/>
  <c r="AD7" i="10" s="1"/>
  <c r="Z63" i="13"/>
  <c r="X4" i="10" s="1"/>
  <c r="AH29" i="13"/>
  <c r="AB28" i="13"/>
  <c r="V25" i="13"/>
  <c r="L67" i="13"/>
  <c r="J8" i="10" s="1"/>
  <c r="T67" i="13"/>
  <c r="AB67" i="13"/>
  <c r="F67" i="13"/>
  <c r="D8" i="10" s="1"/>
  <c r="N66" i="13"/>
  <c r="L7" i="10" s="1"/>
  <c r="V66" i="13"/>
  <c r="T7" i="10" s="1"/>
  <c r="AD66" i="13"/>
  <c r="AB7" i="10" s="1"/>
  <c r="H63" i="13"/>
  <c r="F4" i="10" s="1"/>
  <c r="P63" i="13"/>
  <c r="N4" i="10" s="1"/>
  <c r="X63" i="13"/>
  <c r="V4" i="10" s="1"/>
  <c r="AF63" i="13"/>
  <c r="H29" i="13"/>
  <c r="P29" i="13"/>
  <c r="X29" i="13"/>
  <c r="AF29" i="13"/>
  <c r="J28" i="13"/>
  <c r="R28" i="13"/>
  <c r="Z28" i="13"/>
  <c r="AH28" i="13"/>
  <c r="L25" i="13"/>
  <c r="T25" i="13"/>
  <c r="AB25" i="13"/>
  <c r="F25" i="13"/>
  <c r="V67" i="13"/>
  <c r="P66" i="13"/>
  <c r="N7" i="10" s="1"/>
  <c r="J63" i="13"/>
  <c r="H4" i="10" s="1"/>
  <c r="R29" i="13"/>
  <c r="L28" i="13"/>
  <c r="N25" i="13"/>
  <c r="M67" i="13"/>
  <c r="U67" i="13"/>
  <c r="AC67" i="13"/>
  <c r="G66" i="13"/>
  <c r="E7" i="10" s="1"/>
  <c r="O66" i="13"/>
  <c r="M7" i="10" s="1"/>
  <c r="W66" i="13"/>
  <c r="U7" i="10" s="1"/>
  <c r="AE66" i="13"/>
  <c r="AC7" i="10" s="1"/>
  <c r="I63" i="13"/>
  <c r="G4" i="10" s="1"/>
  <c r="Q63" i="13"/>
  <c r="O4" i="10" s="1"/>
  <c r="Y63" i="13"/>
  <c r="W4" i="10" s="1"/>
  <c r="AG63" i="13"/>
  <c r="AE4" i="10" s="1"/>
  <c r="I29" i="13"/>
  <c r="Q29" i="13"/>
  <c r="Y29" i="13"/>
  <c r="AG29" i="13"/>
  <c r="K28" i="13"/>
  <c r="S28" i="13"/>
  <c r="AA28" i="13"/>
  <c r="AI28" i="13"/>
  <c r="M25" i="13"/>
  <c r="U25" i="13"/>
  <c r="AC25" i="13"/>
  <c r="N67" i="13"/>
  <c r="H66" i="13"/>
  <c r="F7" i="10" s="1"/>
  <c r="X66" i="13"/>
  <c r="V7" i="10" s="1"/>
  <c r="R63" i="13"/>
  <c r="P4" i="10" s="1"/>
  <c r="AH63" i="13"/>
  <c r="AF4" i="10" s="1"/>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C8" i="6" s="1"/>
  <c r="AF7" i="6"/>
  <c r="AD4" i="6"/>
  <c r="E10" i="13"/>
  <c r="G7" i="6"/>
  <c r="D4" i="6"/>
  <c r="P4" i="6"/>
  <c r="AC7" i="6"/>
  <c r="U7" i="6"/>
  <c r="E44" i="13"/>
  <c r="C4" i="6" s="1"/>
  <c r="E47" i="13"/>
  <c r="C7" i="6" s="1"/>
  <c r="K4" i="6"/>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C7" i="10" s="1"/>
  <c r="I4" i="10"/>
  <c r="E63" i="13"/>
  <c r="C4" i="10" s="1"/>
  <c r="E25" i="13"/>
  <c r="E67" i="13"/>
  <c r="C8" i="10" s="1"/>
  <c r="E28" i="13"/>
  <c r="Q7" i="10"/>
  <c r="I7" i="10"/>
  <c r="AD4" i="10"/>
  <c r="E29" i="13"/>
  <c r="H112" i="13"/>
  <c r="I112" i="13"/>
  <c r="G112" i="13"/>
  <c r="F112" i="13"/>
  <c r="N112" i="13"/>
  <c r="K112" i="13"/>
  <c r="M112" i="13"/>
  <c r="L112" i="13"/>
  <c r="AH107" i="13"/>
  <c r="AG107" i="13"/>
  <c r="AF107" i="13"/>
  <c r="AE107" i="13"/>
  <c r="AB121" i="13" l="1"/>
  <c r="O121" i="13"/>
  <c r="X121" i="13"/>
  <c r="P121" i="13"/>
  <c r="F8" i="6"/>
  <c r="W121" i="13"/>
  <c r="I8" i="6"/>
  <c r="H8" i="6"/>
  <c r="G8" i="6"/>
  <c r="AA121" i="13"/>
  <c r="L121" i="13"/>
  <c r="S121" i="13"/>
  <c r="AG121" i="13"/>
  <c r="K121" i="13"/>
  <c r="E52" i="18" s="1"/>
  <c r="Y121" i="13"/>
  <c r="Q121" i="13"/>
  <c r="B52" i="18"/>
  <c r="F121" i="13"/>
  <c r="AH121" i="13"/>
  <c r="I121" i="13"/>
  <c r="C52" i="18" s="1"/>
  <c r="E53" i="18"/>
  <c r="Z121" i="13"/>
  <c r="R121" i="13"/>
  <c r="E121" i="13"/>
  <c r="G121" i="13"/>
  <c r="AI121" i="13"/>
  <c r="J121" i="13"/>
  <c r="D53" i="18" s="1"/>
  <c r="B53" i="18"/>
  <c r="K8" i="6"/>
  <c r="G52" i="18"/>
  <c r="H50" i="18"/>
  <c r="H51" i="18"/>
  <c r="I49" i="18"/>
  <c r="G53" i="18"/>
  <c r="K8" i="10"/>
  <c r="Z84" i="13"/>
  <c r="X4" i="7" s="1"/>
  <c r="N84" i="13"/>
  <c r="L4" i="7" s="1"/>
  <c r="AG84" i="13"/>
  <c r="AE4" i="7" s="1"/>
  <c r="M84" i="13"/>
  <c r="K4" i="7" s="1"/>
  <c r="V84" i="13"/>
  <c r="T4" i="7" s="1"/>
  <c r="L84" i="13"/>
  <c r="J4" i="7" s="1"/>
  <c r="S84" i="13"/>
  <c r="Q4" i="7" s="1"/>
  <c r="W84" i="13"/>
  <c r="U4" i="7" s="1"/>
  <c r="R84" i="13"/>
  <c r="P4" i="7" s="1"/>
  <c r="AC84" i="13"/>
  <c r="AA4" i="7" s="1"/>
  <c r="Q84" i="13"/>
  <c r="O4" i="7" s="1"/>
  <c r="AB84" i="13"/>
  <c r="Z4" i="7" s="1"/>
  <c r="P84" i="13"/>
  <c r="N4" i="7" s="1"/>
  <c r="AA84" i="13"/>
  <c r="Y4" i="7" s="1"/>
  <c r="X84" i="13"/>
  <c r="V4" i="7" s="1"/>
  <c r="U84" i="13"/>
  <c r="S4" i="7" s="1"/>
  <c r="AE84" i="13"/>
  <c r="AC4" i="7" s="1"/>
  <c r="AF84" i="13"/>
  <c r="AD4" i="7" s="1"/>
  <c r="AH84" i="13"/>
  <c r="AF4" i="7" s="1"/>
  <c r="K84" i="13"/>
  <c r="I4" i="7" s="1"/>
  <c r="I84" i="13"/>
  <c r="G4" i="7" s="1"/>
  <c r="H84" i="13"/>
  <c r="F4" i="7" s="1"/>
  <c r="G84" i="13"/>
  <c r="E4" i="7" s="1"/>
  <c r="F84" i="13"/>
  <c r="D4" i="7" s="1"/>
  <c r="D52" i="18" l="1"/>
  <c r="C53" i="18"/>
  <c r="F53" i="18"/>
  <c r="F52" i="18"/>
  <c r="I51" i="18"/>
  <c r="I50" i="18"/>
  <c r="J49" i="18"/>
  <c r="L8" i="10"/>
  <c r="H53" i="18"/>
  <c r="L8" i="6"/>
  <c r="H52" i="18"/>
  <c r="J51" i="18" l="1"/>
  <c r="J50" i="18"/>
  <c r="K49" i="18"/>
  <c r="I52" i="18"/>
  <c r="M8" i="6"/>
  <c r="M8" i="10"/>
  <c r="I53" i="18"/>
  <c r="K51" i="18" l="1"/>
  <c r="K50" i="18"/>
  <c r="L49" i="18"/>
  <c r="J52" i="18"/>
  <c r="N8" i="6"/>
  <c r="J53" i="18"/>
  <c r="N8" i="10"/>
  <c r="L50" i="18" l="1"/>
  <c r="L51" i="18"/>
  <c r="M49" i="18"/>
  <c r="K52" i="18"/>
  <c r="O8" i="6"/>
  <c r="K53" i="18"/>
  <c r="O8" i="10"/>
  <c r="L52" i="18" l="1"/>
  <c r="P8" i="6"/>
  <c r="M50" i="18"/>
  <c r="M51" i="18"/>
  <c r="N49" i="18"/>
  <c r="L53" i="18"/>
  <c r="P8" i="10"/>
  <c r="N50" i="18" l="1"/>
  <c r="N51" i="18"/>
  <c r="O49" i="18"/>
  <c r="M53" i="18"/>
  <c r="Q8" i="10"/>
  <c r="M52" i="18"/>
  <c r="Q8" i="6"/>
  <c r="O50" i="18" l="1"/>
  <c r="O51" i="18"/>
  <c r="P49" i="18"/>
  <c r="R8" i="10"/>
  <c r="N53" i="18"/>
  <c r="R8" i="6"/>
  <c r="N52" i="18"/>
  <c r="S8" i="6" l="1"/>
  <c r="O52" i="18"/>
  <c r="P51" i="18"/>
  <c r="P50" i="18"/>
  <c r="Q49" i="18"/>
  <c r="O53" i="18"/>
  <c r="S8" i="10"/>
  <c r="Q51" i="18" l="1"/>
  <c r="Q50" i="18"/>
  <c r="R49" i="18"/>
  <c r="T8" i="6"/>
  <c r="P52" i="18"/>
  <c r="P53" i="18"/>
  <c r="T8" i="10"/>
  <c r="R51" i="18" l="1"/>
  <c r="R50" i="18"/>
  <c r="S49" i="18"/>
  <c r="U8" i="6"/>
  <c r="Q52" i="18"/>
  <c r="U8" i="10"/>
  <c r="Q53" i="18"/>
  <c r="S51" i="18" l="1"/>
  <c r="S50" i="18"/>
  <c r="T49" i="18"/>
  <c r="R52" i="18"/>
  <c r="V8" i="6"/>
  <c r="V8" i="10"/>
  <c r="R53" i="18"/>
  <c r="T50" i="18" l="1"/>
  <c r="T51" i="18"/>
  <c r="U49" i="18"/>
  <c r="S52" i="18"/>
  <c r="W8" i="6"/>
  <c r="S53" i="18"/>
  <c r="W8" i="10"/>
  <c r="U50" i="18" l="1"/>
  <c r="U51" i="18"/>
  <c r="V49" i="18"/>
  <c r="T53" i="18"/>
  <c r="X8" i="10"/>
  <c r="T52" i="18"/>
  <c r="X8" i="6"/>
  <c r="V50" i="18" l="1"/>
  <c r="V51" i="18"/>
  <c r="W49" i="18"/>
  <c r="U53" i="18"/>
  <c r="Y8" i="10"/>
  <c r="U52" i="18"/>
  <c r="Y8" i="6"/>
  <c r="W50" i="18" l="1"/>
  <c r="W51" i="18"/>
  <c r="X49" i="18"/>
  <c r="V53" i="18"/>
  <c r="Z8" i="10"/>
  <c r="V52" i="18"/>
  <c r="Z8" i="6"/>
  <c r="X50" i="18" l="1"/>
  <c r="X51" i="18"/>
  <c r="Y49" i="18"/>
  <c r="W53" i="18"/>
  <c r="AA8" i="10"/>
  <c r="W52" i="18"/>
  <c r="AA8" i="6"/>
  <c r="Y51" i="18" l="1"/>
  <c r="Y50" i="18"/>
  <c r="Z49" i="18"/>
  <c r="AB8" i="10"/>
  <c r="X53" i="18"/>
  <c r="X52" i="18"/>
  <c r="AB8" i="6"/>
  <c r="Z51" i="18" l="1"/>
  <c r="Z50" i="18"/>
  <c r="AA49" i="18"/>
  <c r="AC8" i="6"/>
  <c r="Y52" i="18"/>
  <c r="Y53" i="18"/>
  <c r="AC8" i="10"/>
  <c r="AA51" i="18" l="1"/>
  <c r="AA50" i="18"/>
  <c r="AB49" i="18"/>
  <c r="Z52" i="18"/>
  <c r="AD8" i="6"/>
  <c r="AD8" i="10"/>
  <c r="Z53" i="18"/>
  <c r="AB50" i="18" l="1"/>
  <c r="AB51" i="18"/>
  <c r="AC49" i="18"/>
  <c r="AE8" i="6"/>
  <c r="AA52" i="18"/>
  <c r="AE8" i="10"/>
  <c r="AA53" i="18"/>
  <c r="AC50" i="18" l="1"/>
  <c r="AC51" i="18"/>
  <c r="AB53" i="18"/>
  <c r="AF8" i="10"/>
  <c r="AB52" i="18"/>
  <c r="AF8" i="6"/>
  <c r="AC53" i="18" l="1"/>
  <c r="AG8" i="10"/>
  <c r="AC52" i="18"/>
  <c r="AG8" i="6"/>
</calcChain>
</file>

<file path=xl/sharedStrings.xml><?xml version="1.0" encoding="utf-8"?>
<sst xmlns="http://schemas.openxmlformats.org/spreadsheetml/2006/main" count="2116" uniqueCount="948">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</sst>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39"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5">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cellStyleXfs>
  <cellXfs count="62">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11" fontId="0" fillId="0" borderId="0" xfId="0" applyNumberFormat="1"/>
    <xf numFmtId="0" fontId="37" fillId="0" borderId="0" xfId="0" applyFont="1"/>
    <xf numFmtId="0" fontId="38" fillId="0" borderId="0" xfId="0" applyFont="1" applyAlignment="1">
      <alignment vertical="center"/>
    </xf>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5">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1.6261636849348336E-3</c:v>
                </c:pt>
                <c:pt idx="16">
                  <c:v>4.0654092123370835E-3</c:v>
                </c:pt>
                <c:pt idx="17">
                  <c:v>8.1308184246741671E-3</c:v>
                </c:pt>
                <c:pt idx="18">
                  <c:v>1.707471869181575E-2</c:v>
                </c:pt>
                <c:pt idx="19">
                  <c:v>3.3336355541164091E-2</c:v>
                </c:pt>
                <c:pt idx="20">
                  <c:v>6.3420383712458506E-2</c:v>
                </c:pt>
                <c:pt idx="21">
                  <c:v>0.11870994900024284</c:v>
                </c:pt>
                <c:pt idx="22">
                  <c:v>0.22034517930866993</c:v>
                </c:pt>
                <c:pt idx="23">
                  <c:v>0.32116732777462964</c:v>
                </c:pt>
                <c:pt idx="24">
                  <c:v>0.42280255808305667</c:v>
                </c:pt>
                <c:pt idx="25">
                  <c:v>0.52443778839148369</c:v>
                </c:pt>
                <c:pt idx="26">
                  <c:v>0.62607301869991083</c:v>
                </c:pt>
                <c:pt idx="27">
                  <c:v>0.72852133085080539</c:v>
                </c:pt>
                <c:pt idx="28">
                  <c:v>0.83096964300169973</c:v>
                </c:pt>
                <c:pt idx="29">
                  <c:v>0.93260487331012709</c:v>
                </c:pt>
                <c:pt idx="30">
                  <c:v>1.0350531854610217</c:v>
                </c:pt>
                <c:pt idx="31">
                  <c:v>1.137501497611916</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11.571780781996274</c:v>
                </c:pt>
                <c:pt idx="2">
                  <c:v>11.571780781996274</c:v>
                </c:pt>
                <c:pt idx="3">
                  <c:v>11.571780781996274</c:v>
                </c:pt>
                <c:pt idx="4">
                  <c:v>11.571780781996274</c:v>
                </c:pt>
                <c:pt idx="5">
                  <c:v>11.571780781996274</c:v>
                </c:pt>
                <c:pt idx="6">
                  <c:v>11.571780781996274</c:v>
                </c:pt>
                <c:pt idx="7">
                  <c:v>11.571780781996274</c:v>
                </c:pt>
                <c:pt idx="8">
                  <c:v>11.571780781996274</c:v>
                </c:pt>
                <c:pt idx="9">
                  <c:v>11.571780781996274</c:v>
                </c:pt>
                <c:pt idx="10">
                  <c:v>11.571780781996274</c:v>
                </c:pt>
                <c:pt idx="11">
                  <c:v>11.571780781996274</c:v>
                </c:pt>
                <c:pt idx="12">
                  <c:v>11.571780781996274</c:v>
                </c:pt>
                <c:pt idx="13">
                  <c:v>11.572593863838744</c:v>
                </c:pt>
                <c:pt idx="14">
                  <c:v>11.572593863838744</c:v>
                </c:pt>
                <c:pt idx="15">
                  <c:v>11.575033109366146</c:v>
                </c:pt>
                <c:pt idx="16">
                  <c:v>11.579911600420949</c:v>
                </c:pt>
                <c:pt idx="17">
                  <c:v>11.588855500688091</c:v>
                </c:pt>
                <c:pt idx="18">
                  <c:v>11.605930219379907</c:v>
                </c:pt>
                <c:pt idx="19">
                  <c:v>11.638453493078604</c:v>
                </c:pt>
                <c:pt idx="20">
                  <c:v>11.698621549421192</c:v>
                </c:pt>
                <c:pt idx="21">
                  <c:v>11.81001376183923</c:v>
                </c:pt>
                <c:pt idx="22">
                  <c:v>12.011658058771149</c:v>
                </c:pt>
                <c:pt idx="23">
                  <c:v>12.214115437545535</c:v>
                </c:pt>
                <c:pt idx="24">
                  <c:v>12.417385898162388</c:v>
                </c:pt>
                <c:pt idx="25">
                  <c:v>12.620656358779241</c:v>
                </c:pt>
                <c:pt idx="26">
                  <c:v>12.824739901238564</c:v>
                </c:pt>
                <c:pt idx="27">
                  <c:v>13.028823443697886</c:v>
                </c:pt>
                <c:pt idx="28">
                  <c:v>13.232906986157209</c:v>
                </c:pt>
                <c:pt idx="29">
                  <c:v>13.437803610458998</c:v>
                </c:pt>
                <c:pt idx="30">
                  <c:v>13.642700234760786</c:v>
                </c:pt>
                <c:pt idx="31">
                  <c:v>13.847596859062577</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14894.199872095845</c:v>
                </c:pt>
                <c:pt idx="2">
                  <c:v>17296.296503197602</c:v>
                </c:pt>
                <c:pt idx="3">
                  <c:v>18879.378233627456</c:v>
                </c:pt>
                <c:pt idx="4">
                  <c:v>20461.176107828058</c:v>
                </c:pt>
                <c:pt idx="5">
                  <c:v>21593.212069294907</c:v>
                </c:pt>
                <c:pt idx="6">
                  <c:v>22652.840653444506</c:v>
                </c:pt>
                <c:pt idx="7">
                  <c:v>23703.522084999593</c:v>
                </c:pt>
                <c:pt idx="8">
                  <c:v>24762.227821257991</c:v>
                </c:pt>
                <c:pt idx="9">
                  <c:v>25877.316717882295</c:v>
                </c:pt>
                <c:pt idx="10">
                  <c:v>27042.424783291506</c:v>
                </c:pt>
                <c:pt idx="11">
                  <c:v>28219.504665749206</c:v>
                </c:pt>
                <c:pt idx="12">
                  <c:v>29465.159870800609</c:v>
                </c:pt>
                <c:pt idx="13">
                  <c:v>30758.239700477618</c:v>
                </c:pt>
                <c:pt idx="14">
                  <c:v>32185.431688496719</c:v>
                </c:pt>
                <c:pt idx="15">
                  <c:v>33728.433362583986</c:v>
                </c:pt>
                <c:pt idx="16">
                  <c:v>35262.787911276617</c:v>
                </c:pt>
                <c:pt idx="17">
                  <c:v>36805.752996680967</c:v>
                </c:pt>
                <c:pt idx="18">
                  <c:v>38497.913721687037</c:v>
                </c:pt>
                <c:pt idx="19">
                  <c:v>40178.083115680398</c:v>
                </c:pt>
                <c:pt idx="20">
                  <c:v>41953.564402493321</c:v>
                </c:pt>
                <c:pt idx="21">
                  <c:v>43896.987743867881</c:v>
                </c:pt>
                <c:pt idx="22">
                  <c:v>45898.718810329468</c:v>
                </c:pt>
                <c:pt idx="23">
                  <c:v>48098.578407836147</c:v>
                </c:pt>
                <c:pt idx="24">
                  <c:v>50418.887136404104</c:v>
                </c:pt>
                <c:pt idx="25">
                  <c:v>52775.520296284303</c:v>
                </c:pt>
                <c:pt idx="26">
                  <c:v>55300.507743220267</c:v>
                </c:pt>
                <c:pt idx="27">
                  <c:v>57917.906820043718</c:v>
                </c:pt>
                <c:pt idx="28">
                  <c:v>60684.079546992631</c:v>
                </c:pt>
                <c:pt idx="29">
                  <c:v>63599.374736177451</c:v>
                </c:pt>
                <c:pt idx="30">
                  <c:v>66666.395875657719</c:v>
                </c:pt>
                <c:pt idx="31">
                  <c:v>69807.0635291832</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3.7383631506516634E-4</c:v>
                </c:pt>
                <c:pt idx="16">
                  <c:v>9.3459078766291591E-4</c:v>
                </c:pt>
                <c:pt idx="17">
                  <c:v>1.8691815753258318E-3</c:v>
                </c:pt>
                <c:pt idx="18">
                  <c:v>3.9252813081842464E-3</c:v>
                </c:pt>
                <c:pt idx="19">
                  <c:v>7.6636444588359101E-3</c:v>
                </c:pt>
                <c:pt idx="20">
                  <c:v>1.4579616287541487E-2</c:v>
                </c:pt>
                <c:pt idx="21">
                  <c:v>2.7290050999757141E-2</c:v>
                </c:pt>
                <c:pt idx="22">
                  <c:v>5.0654820691330031E-2</c:v>
                </c:pt>
                <c:pt idx="23">
                  <c:v>7.3832672225370363E-2</c:v>
                </c:pt>
                <c:pt idx="24">
                  <c:v>9.7197441916943239E-2</c:v>
                </c:pt>
                <c:pt idx="25">
                  <c:v>0.12056221160851613</c:v>
                </c:pt>
                <c:pt idx="26">
                  <c:v>0.14392698130008902</c:v>
                </c:pt>
                <c:pt idx="27">
                  <c:v>0.16747866914919451</c:v>
                </c:pt>
                <c:pt idx="28">
                  <c:v>0.19103035699829995</c:v>
                </c:pt>
                <c:pt idx="29">
                  <c:v>0.2143951266898729</c:v>
                </c:pt>
                <c:pt idx="30">
                  <c:v>0.2379468145389784</c:v>
                </c:pt>
                <c:pt idx="31">
                  <c:v>0.26149850238808386</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2.6602192180037236</c:v>
                </c:pt>
                <c:pt idx="2">
                  <c:v>2.6602192180037236</c:v>
                </c:pt>
                <c:pt idx="3">
                  <c:v>2.6602192180037236</c:v>
                </c:pt>
                <c:pt idx="4">
                  <c:v>2.6602192180037236</c:v>
                </c:pt>
                <c:pt idx="5">
                  <c:v>2.6602192180037236</c:v>
                </c:pt>
                <c:pt idx="6">
                  <c:v>2.6602192180037236</c:v>
                </c:pt>
                <c:pt idx="7">
                  <c:v>2.6602192180037236</c:v>
                </c:pt>
                <c:pt idx="8">
                  <c:v>2.6602192180037236</c:v>
                </c:pt>
                <c:pt idx="9">
                  <c:v>2.6602192180037236</c:v>
                </c:pt>
                <c:pt idx="10">
                  <c:v>2.6602192180037236</c:v>
                </c:pt>
                <c:pt idx="11">
                  <c:v>2.6602192180037236</c:v>
                </c:pt>
                <c:pt idx="12">
                  <c:v>2.6602192180037236</c:v>
                </c:pt>
                <c:pt idx="13">
                  <c:v>2.6604061361612565</c:v>
                </c:pt>
                <c:pt idx="14">
                  <c:v>2.6604061361612565</c:v>
                </c:pt>
                <c:pt idx="15">
                  <c:v>2.6609668906338544</c:v>
                </c:pt>
                <c:pt idx="16">
                  <c:v>2.6620883995790492</c:v>
                </c:pt>
                <c:pt idx="17">
                  <c:v>2.6641444993119081</c:v>
                </c:pt>
                <c:pt idx="18">
                  <c:v>2.6680697806200926</c:v>
                </c:pt>
                <c:pt idx="19">
                  <c:v>2.6755465069213957</c:v>
                </c:pt>
                <c:pt idx="20">
                  <c:v>2.6893784505788068</c:v>
                </c:pt>
                <c:pt idx="21">
                  <c:v>2.7149862381607708</c:v>
                </c:pt>
                <c:pt idx="22">
                  <c:v>2.7613419412288511</c:v>
                </c:pt>
                <c:pt idx="23">
                  <c:v>2.8078845624544644</c:v>
                </c:pt>
                <c:pt idx="24">
                  <c:v>2.8546141018376101</c:v>
                </c:pt>
                <c:pt idx="25">
                  <c:v>2.9013436412207558</c:v>
                </c:pt>
                <c:pt idx="26">
                  <c:v>2.9482600987614345</c:v>
                </c:pt>
                <c:pt idx="27">
                  <c:v>2.9951765563021131</c:v>
                </c:pt>
                <c:pt idx="28">
                  <c:v>3.0420930138427917</c:v>
                </c:pt>
                <c:pt idx="29">
                  <c:v>3.0891963895410024</c:v>
                </c:pt>
                <c:pt idx="30">
                  <c:v>3.1362997652392131</c:v>
                </c:pt>
                <c:pt idx="31">
                  <c:v>3.1834031409374246</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3424.0051279041522</c:v>
                </c:pt>
                <c:pt idx="2">
                  <c:v>3976.219496802396</c:v>
                </c:pt>
                <c:pt idx="3">
                  <c:v>4340.1517663725408</c:v>
                </c:pt>
                <c:pt idx="4">
                  <c:v>4703.7888921719423</c:v>
                </c:pt>
                <c:pt idx="5">
                  <c:v>4964.0309307050911</c:v>
                </c:pt>
                <c:pt idx="6">
                  <c:v>5207.6273465554923</c:v>
                </c:pt>
                <c:pt idx="7">
                  <c:v>5449.1669150004045</c:v>
                </c:pt>
                <c:pt idx="8">
                  <c:v>5692.5511787420055</c:v>
                </c:pt>
                <c:pt idx="9">
                  <c:v>5948.897282117704</c:v>
                </c:pt>
                <c:pt idx="10">
                  <c:v>6216.7422167084924</c:v>
                </c:pt>
                <c:pt idx="11">
                  <c:v>6487.3393342507889</c:v>
                </c:pt>
                <c:pt idx="12">
                  <c:v>6773.701129199384</c:v>
                </c:pt>
                <c:pt idx="13">
                  <c:v>7070.9652995223832</c:v>
                </c:pt>
                <c:pt idx="14">
                  <c:v>7399.0603115032782</c:v>
                </c:pt>
                <c:pt idx="15">
                  <c:v>7753.7786374160123</c:v>
                </c:pt>
                <c:pt idx="16">
                  <c:v>8106.5090887233882</c:v>
                </c:pt>
                <c:pt idx="17">
                  <c:v>8461.2190033190327</c:v>
                </c:pt>
                <c:pt idx="18">
                  <c:v>8850.2272783129592</c:v>
                </c:pt>
                <c:pt idx="19">
                  <c:v>9236.4788843195984</c:v>
                </c:pt>
                <c:pt idx="20">
                  <c:v>9644.6415975066775</c:v>
                </c:pt>
                <c:pt idx="21">
                  <c:v>10091.412256132113</c:v>
                </c:pt>
                <c:pt idx="22">
                  <c:v>10551.587189670525</c:v>
                </c:pt>
                <c:pt idx="23">
                  <c:v>11057.309592163847</c:v>
                </c:pt>
                <c:pt idx="24">
                  <c:v>11590.721863595887</c:v>
                </c:pt>
                <c:pt idx="25">
                  <c:v>12132.484703715698</c:v>
                </c:pt>
                <c:pt idx="26">
                  <c:v>12712.95025677973</c:v>
                </c:pt>
                <c:pt idx="27">
                  <c:v>13314.660179956287</c:v>
                </c:pt>
                <c:pt idx="28">
                  <c:v>13950.571453007366</c:v>
                </c:pt>
                <c:pt idx="29">
                  <c:v>14620.764263822555</c:v>
                </c:pt>
                <c:pt idx="30">
                  <c:v>15325.837124342263</c:v>
                </c:pt>
                <c:pt idx="31">
                  <c:v>16047.840470816807</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9605634</c:v>
                </c:pt>
                <c:pt idx="2">
                  <c:v>9660717.8000000119</c:v>
                </c:pt>
                <c:pt idx="3">
                  <c:v>9715801.6000000089</c:v>
                </c:pt>
                <c:pt idx="4">
                  <c:v>9770885.400000006</c:v>
                </c:pt>
                <c:pt idx="5">
                  <c:v>9825969.200000003</c:v>
                </c:pt>
                <c:pt idx="6">
                  <c:v>9881053</c:v>
                </c:pt>
                <c:pt idx="7">
                  <c:v>9990912.8000000119</c:v>
                </c:pt>
                <c:pt idx="8">
                  <c:v>10100772.599999994</c:v>
                </c:pt>
                <c:pt idx="9">
                  <c:v>10210632.400000006</c:v>
                </c:pt>
                <c:pt idx="10">
                  <c:v>10320492.200000018</c:v>
                </c:pt>
                <c:pt idx="11">
                  <c:v>10430352</c:v>
                </c:pt>
                <c:pt idx="12">
                  <c:v>10536265.199999988</c:v>
                </c:pt>
                <c:pt idx="13">
                  <c:v>10642178.400000006</c:v>
                </c:pt>
                <c:pt idx="14">
                  <c:v>10748091.599999994</c:v>
                </c:pt>
                <c:pt idx="15">
                  <c:v>10854004.799999982</c:v>
                </c:pt>
                <c:pt idx="16">
                  <c:v>10959918</c:v>
                </c:pt>
                <c:pt idx="17">
                  <c:v>11060111.199999988</c:v>
                </c:pt>
                <c:pt idx="18">
                  <c:v>11160304.400000006</c:v>
                </c:pt>
                <c:pt idx="19">
                  <c:v>11260497.599999994</c:v>
                </c:pt>
                <c:pt idx="20">
                  <c:v>11360690.799999982</c:v>
                </c:pt>
                <c:pt idx="21">
                  <c:v>11460884</c:v>
                </c:pt>
                <c:pt idx="22">
                  <c:v>11566549.199999988</c:v>
                </c:pt>
                <c:pt idx="23">
                  <c:v>11672214.400000006</c:v>
                </c:pt>
                <c:pt idx="24">
                  <c:v>11777879.599999994</c:v>
                </c:pt>
                <c:pt idx="25">
                  <c:v>11883544.799999982</c:v>
                </c:pt>
                <c:pt idx="26">
                  <c:v>11989210</c:v>
                </c:pt>
                <c:pt idx="27">
                  <c:v>12078878.800000012</c:v>
                </c:pt>
                <c:pt idx="28">
                  <c:v>12168547.599999994</c:v>
                </c:pt>
                <c:pt idx="29">
                  <c:v>12258216.400000006</c:v>
                </c:pt>
                <c:pt idx="30">
                  <c:v>12347885.200000018</c:v>
                </c:pt>
                <c:pt idx="31">
                  <c:v>12437554</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755308</c:v>
                </c:pt>
                <c:pt idx="2">
                  <c:v>756853.20000000019</c:v>
                </c:pt>
                <c:pt idx="3">
                  <c:v>758398.39999999991</c:v>
                </c:pt>
                <c:pt idx="4">
                  <c:v>759943.60000000009</c:v>
                </c:pt>
                <c:pt idx="5">
                  <c:v>761488.80000000028</c:v>
                </c:pt>
                <c:pt idx="6">
                  <c:v>763034</c:v>
                </c:pt>
                <c:pt idx="7">
                  <c:v>764193.79999999981</c:v>
                </c:pt>
                <c:pt idx="8">
                  <c:v>765353.60000000009</c:v>
                </c:pt>
                <c:pt idx="9">
                  <c:v>766513.39999999991</c:v>
                </c:pt>
                <c:pt idx="10">
                  <c:v>767673.19999999972</c:v>
                </c:pt>
                <c:pt idx="11">
                  <c:v>768833</c:v>
                </c:pt>
                <c:pt idx="12">
                  <c:v>770258.59999999963</c:v>
                </c:pt>
                <c:pt idx="13">
                  <c:v>771684.19999999972</c:v>
                </c:pt>
                <c:pt idx="14">
                  <c:v>773109.79999999981</c:v>
                </c:pt>
                <c:pt idx="15">
                  <c:v>774535.39999999991</c:v>
                </c:pt>
                <c:pt idx="16">
                  <c:v>775961</c:v>
                </c:pt>
                <c:pt idx="17">
                  <c:v>776590.39999999991</c:v>
                </c:pt>
                <c:pt idx="18">
                  <c:v>777219.8</c:v>
                </c:pt>
                <c:pt idx="19">
                  <c:v>777849.2</c:v>
                </c:pt>
                <c:pt idx="20">
                  <c:v>778478.59999999986</c:v>
                </c:pt>
                <c:pt idx="21">
                  <c:v>779108</c:v>
                </c:pt>
                <c:pt idx="22">
                  <c:v>780136</c:v>
                </c:pt>
                <c:pt idx="23">
                  <c:v>781164</c:v>
                </c:pt>
                <c:pt idx="24">
                  <c:v>782192</c:v>
                </c:pt>
                <c:pt idx="25">
                  <c:v>783220</c:v>
                </c:pt>
                <c:pt idx="26">
                  <c:v>784248</c:v>
                </c:pt>
                <c:pt idx="27">
                  <c:v>784301.6</c:v>
                </c:pt>
                <c:pt idx="28">
                  <c:v>784355.2</c:v>
                </c:pt>
                <c:pt idx="29">
                  <c:v>784408.8</c:v>
                </c:pt>
                <c:pt idx="30">
                  <c:v>784462.4</c:v>
                </c:pt>
                <c:pt idx="31">
                  <c:v>784516</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20024660</c:v>
                </c:pt>
                <c:pt idx="2">
                  <c:v>23193289.799999237</c:v>
                </c:pt>
                <c:pt idx="3">
                  <c:v>26361919.599999428</c:v>
                </c:pt>
                <c:pt idx="4">
                  <c:v>29530549.399999619</c:v>
                </c:pt>
                <c:pt idx="5">
                  <c:v>32699179.199999809</c:v>
                </c:pt>
                <c:pt idx="6">
                  <c:v>35867809</c:v>
                </c:pt>
                <c:pt idx="7">
                  <c:v>37785974.600000381</c:v>
                </c:pt>
                <c:pt idx="8">
                  <c:v>39704140.200000286</c:v>
                </c:pt>
                <c:pt idx="9">
                  <c:v>41622305.800000191</c:v>
                </c:pt>
                <c:pt idx="10">
                  <c:v>43540471.400000095</c:v>
                </c:pt>
                <c:pt idx="11">
                  <c:v>45458637</c:v>
                </c:pt>
                <c:pt idx="12">
                  <c:v>46740126.600000381</c:v>
                </c:pt>
                <c:pt idx="13">
                  <c:v>48021616.200000286</c:v>
                </c:pt>
                <c:pt idx="14">
                  <c:v>49303105.800000191</c:v>
                </c:pt>
                <c:pt idx="15">
                  <c:v>50584595.400000095</c:v>
                </c:pt>
                <c:pt idx="16">
                  <c:v>51866085</c:v>
                </c:pt>
                <c:pt idx="17">
                  <c:v>53801245.800000191</c:v>
                </c:pt>
                <c:pt idx="18">
                  <c:v>55736406.599999905</c:v>
                </c:pt>
                <c:pt idx="19">
                  <c:v>57671567.400000095</c:v>
                </c:pt>
                <c:pt idx="20">
                  <c:v>59606728.200000286</c:v>
                </c:pt>
                <c:pt idx="21">
                  <c:v>61541889</c:v>
                </c:pt>
                <c:pt idx="22">
                  <c:v>63830111.600000381</c:v>
                </c:pt>
                <c:pt idx="23">
                  <c:v>66118334.199999809</c:v>
                </c:pt>
                <c:pt idx="24">
                  <c:v>68406556.800000191</c:v>
                </c:pt>
                <c:pt idx="25">
                  <c:v>70694779.400000572</c:v>
                </c:pt>
                <c:pt idx="26">
                  <c:v>72983002</c:v>
                </c:pt>
                <c:pt idx="27">
                  <c:v>75295129.600000381</c:v>
                </c:pt>
                <c:pt idx="28">
                  <c:v>77607257.199999809</c:v>
                </c:pt>
                <c:pt idx="29">
                  <c:v>79919384.800000191</c:v>
                </c:pt>
                <c:pt idx="30">
                  <c:v>82231512.400000572</c:v>
                </c:pt>
                <c:pt idx="31">
                  <c:v>84543640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119388</c:v>
                </c:pt>
                <c:pt idx="2">
                  <c:v>112323.80000000075</c:v>
                </c:pt>
                <c:pt idx="3">
                  <c:v>105259.59999999963</c:v>
                </c:pt>
                <c:pt idx="4">
                  <c:v>98195.400000000373</c:v>
                </c:pt>
                <c:pt idx="5">
                  <c:v>91131.200000001118</c:v>
                </c:pt>
                <c:pt idx="6">
                  <c:v>84067</c:v>
                </c:pt>
                <c:pt idx="7">
                  <c:v>84067</c:v>
                </c:pt>
                <c:pt idx="8">
                  <c:v>84067</c:v>
                </c:pt>
                <c:pt idx="9">
                  <c:v>84067</c:v>
                </c:pt>
                <c:pt idx="10">
                  <c:v>84067</c:v>
                </c:pt>
                <c:pt idx="11">
                  <c:v>84067</c:v>
                </c:pt>
                <c:pt idx="12">
                  <c:v>84067</c:v>
                </c:pt>
                <c:pt idx="13">
                  <c:v>84067</c:v>
                </c:pt>
                <c:pt idx="14">
                  <c:v>84067</c:v>
                </c:pt>
                <c:pt idx="15">
                  <c:v>84067</c:v>
                </c:pt>
                <c:pt idx="16">
                  <c:v>84067</c:v>
                </c:pt>
                <c:pt idx="17">
                  <c:v>84067</c:v>
                </c:pt>
                <c:pt idx="18">
                  <c:v>84067</c:v>
                </c:pt>
                <c:pt idx="19">
                  <c:v>84067</c:v>
                </c:pt>
                <c:pt idx="20">
                  <c:v>84067</c:v>
                </c:pt>
                <c:pt idx="21">
                  <c:v>84067</c:v>
                </c:pt>
                <c:pt idx="22">
                  <c:v>84067</c:v>
                </c:pt>
                <c:pt idx="23">
                  <c:v>84067</c:v>
                </c:pt>
                <c:pt idx="24">
                  <c:v>84067</c:v>
                </c:pt>
                <c:pt idx="25">
                  <c:v>84067</c:v>
                </c:pt>
                <c:pt idx="26">
                  <c:v>84067</c:v>
                </c:pt>
                <c:pt idx="27">
                  <c:v>84067</c:v>
                </c:pt>
                <c:pt idx="28">
                  <c:v>84067</c:v>
                </c:pt>
                <c:pt idx="29">
                  <c:v>84067</c:v>
                </c:pt>
                <c:pt idx="30">
                  <c:v>84067</c:v>
                </c:pt>
                <c:pt idx="31">
                  <c:v>84067</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1377.152</c:v>
                </c:pt>
                <c:pt idx="2">
                  <c:v>1385.0491999999995</c:v>
                </c:pt>
                <c:pt idx="3">
                  <c:v>1392.9464000000007</c:v>
                </c:pt>
                <c:pt idx="4">
                  <c:v>1400.8436000000002</c:v>
                </c:pt>
                <c:pt idx="5">
                  <c:v>1408.7407999999996</c:v>
                </c:pt>
                <c:pt idx="6">
                  <c:v>1416.6380000000001</c:v>
                </c:pt>
                <c:pt idx="7">
                  <c:v>1432.388600000002</c:v>
                </c:pt>
                <c:pt idx="8">
                  <c:v>1448.1392000000014</c:v>
                </c:pt>
                <c:pt idx="9">
                  <c:v>1463.8898000000008</c:v>
                </c:pt>
                <c:pt idx="10">
                  <c:v>1479.6404000000002</c:v>
                </c:pt>
                <c:pt idx="11">
                  <c:v>1495.3909999999998</c:v>
                </c:pt>
                <c:pt idx="12">
                  <c:v>1510.5756000000001</c:v>
                </c:pt>
                <c:pt idx="13">
                  <c:v>1525.7602000000006</c:v>
                </c:pt>
                <c:pt idx="14">
                  <c:v>1540.9448000000011</c:v>
                </c:pt>
                <c:pt idx="15">
                  <c:v>1556.1294000000016</c:v>
                </c:pt>
                <c:pt idx="16">
                  <c:v>1571.3140000000001</c:v>
                </c:pt>
                <c:pt idx="17">
                  <c:v>1585.6786000000029</c:v>
                </c:pt>
                <c:pt idx="18">
                  <c:v>1600.0432000000001</c:v>
                </c:pt>
                <c:pt idx="19">
                  <c:v>1614.4078000000009</c:v>
                </c:pt>
                <c:pt idx="20">
                  <c:v>1628.7724000000017</c:v>
                </c:pt>
                <c:pt idx="21">
                  <c:v>1643.1370000000002</c:v>
                </c:pt>
                <c:pt idx="22">
                  <c:v>1658.2861999999986</c:v>
                </c:pt>
                <c:pt idx="23">
                  <c:v>1673.4353999999985</c:v>
                </c:pt>
                <c:pt idx="24">
                  <c:v>1688.5845999999983</c:v>
                </c:pt>
                <c:pt idx="25">
                  <c:v>1703.7337999999982</c:v>
                </c:pt>
                <c:pt idx="26">
                  <c:v>1718.883</c:v>
                </c:pt>
                <c:pt idx="27">
                  <c:v>1731.7387999999992</c:v>
                </c:pt>
                <c:pt idx="28">
                  <c:v>1744.5945999999967</c:v>
                </c:pt>
                <c:pt idx="29">
                  <c:v>1757.4503999999979</c:v>
                </c:pt>
                <c:pt idx="30">
                  <c:v>1770.3061999999991</c:v>
                </c:pt>
                <c:pt idx="31">
                  <c:v>1783.1619999999998</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554.88099999999997</c:v>
                </c:pt>
                <c:pt idx="2">
                  <c:v>555.80780000000004</c:v>
                </c:pt>
                <c:pt idx="3">
                  <c:v>556.7346</c:v>
                </c:pt>
                <c:pt idx="4">
                  <c:v>557.66139999999996</c:v>
                </c:pt>
                <c:pt idx="5">
                  <c:v>558.58819999999992</c:v>
                </c:pt>
                <c:pt idx="6">
                  <c:v>559.51499999999999</c:v>
                </c:pt>
                <c:pt idx="7">
                  <c:v>560.21679999999981</c:v>
                </c:pt>
                <c:pt idx="8">
                  <c:v>560.91859999999986</c:v>
                </c:pt>
                <c:pt idx="9">
                  <c:v>561.6203999999999</c:v>
                </c:pt>
                <c:pt idx="10">
                  <c:v>562.32219999999995</c:v>
                </c:pt>
                <c:pt idx="11">
                  <c:v>563.024</c:v>
                </c:pt>
                <c:pt idx="12">
                  <c:v>563.88020000000006</c:v>
                </c:pt>
                <c:pt idx="13">
                  <c:v>564.7364</c:v>
                </c:pt>
                <c:pt idx="14">
                  <c:v>565.59259999999995</c:v>
                </c:pt>
                <c:pt idx="15">
                  <c:v>566.44879999999989</c:v>
                </c:pt>
                <c:pt idx="16">
                  <c:v>567.30499999999995</c:v>
                </c:pt>
                <c:pt idx="17">
                  <c:v>567.67619999999988</c:v>
                </c:pt>
                <c:pt idx="18">
                  <c:v>568.04739999999993</c:v>
                </c:pt>
                <c:pt idx="19">
                  <c:v>568.41859999999997</c:v>
                </c:pt>
                <c:pt idx="20">
                  <c:v>568.78980000000001</c:v>
                </c:pt>
                <c:pt idx="21">
                  <c:v>569.16100000000006</c:v>
                </c:pt>
                <c:pt idx="22">
                  <c:v>569.76780000000008</c:v>
                </c:pt>
                <c:pt idx="23">
                  <c:v>570.3746000000001</c:v>
                </c:pt>
                <c:pt idx="24">
                  <c:v>570.98140000000012</c:v>
                </c:pt>
                <c:pt idx="25">
                  <c:v>571.58819999999992</c:v>
                </c:pt>
                <c:pt idx="26">
                  <c:v>572.19500000000005</c:v>
                </c:pt>
                <c:pt idx="27">
                  <c:v>572.2274000000001</c:v>
                </c:pt>
                <c:pt idx="28">
                  <c:v>572.25980000000004</c:v>
                </c:pt>
                <c:pt idx="29">
                  <c:v>572.29220000000009</c:v>
                </c:pt>
                <c:pt idx="30">
                  <c:v>572.32460000000003</c:v>
                </c:pt>
                <c:pt idx="31">
                  <c:v>572.35699999999997</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15855.377</c:v>
                </c:pt>
                <c:pt idx="2">
                  <c:v>18413.067400000058</c:v>
                </c:pt>
                <c:pt idx="3">
                  <c:v>20970.757799999788</c:v>
                </c:pt>
                <c:pt idx="4">
                  <c:v>23528.44820000045</c:v>
                </c:pt>
                <c:pt idx="5">
                  <c:v>26086.13860000018</c:v>
                </c:pt>
                <c:pt idx="6">
                  <c:v>28643.829000000002</c:v>
                </c:pt>
                <c:pt idx="7">
                  <c:v>30182.998399999924</c:v>
                </c:pt>
                <c:pt idx="8">
                  <c:v>31722.167799999937</c:v>
                </c:pt>
                <c:pt idx="9">
                  <c:v>33261.337199999951</c:v>
                </c:pt>
                <c:pt idx="10">
                  <c:v>34800.506599999964</c:v>
                </c:pt>
                <c:pt idx="11">
                  <c:v>36339.675999999999</c:v>
                </c:pt>
                <c:pt idx="12">
                  <c:v>37371.95980000007</c:v>
                </c:pt>
                <c:pt idx="13">
                  <c:v>38404.243599999929</c:v>
                </c:pt>
                <c:pt idx="14">
                  <c:v>39436.527399999788</c:v>
                </c:pt>
                <c:pt idx="15">
                  <c:v>40468.811200000113</c:v>
                </c:pt>
                <c:pt idx="16">
                  <c:v>41501.095000000001</c:v>
                </c:pt>
                <c:pt idx="17">
                  <c:v>43064.94160000002</c:v>
                </c:pt>
                <c:pt idx="18">
                  <c:v>44628.788200000301</c:v>
                </c:pt>
                <c:pt idx="19">
                  <c:v>46192.634800000116</c:v>
                </c:pt>
                <c:pt idx="20">
                  <c:v>47756.481399999931</c:v>
                </c:pt>
                <c:pt idx="21">
                  <c:v>49320.328000000001</c:v>
                </c:pt>
                <c:pt idx="22">
                  <c:v>51176.549799999688</c:v>
                </c:pt>
                <c:pt idx="23">
                  <c:v>53032.771599999629</c:v>
                </c:pt>
                <c:pt idx="24">
                  <c:v>54888.99339999957</c:v>
                </c:pt>
                <c:pt idx="25">
                  <c:v>56745.215199999977</c:v>
                </c:pt>
                <c:pt idx="26">
                  <c:v>58601.436999999998</c:v>
                </c:pt>
                <c:pt idx="27">
                  <c:v>60444.592600000091</c:v>
                </c:pt>
                <c:pt idx="28">
                  <c:v>62287.748199999798</c:v>
                </c:pt>
                <c:pt idx="29">
                  <c:v>64130.903799999971</c:v>
                </c:pt>
                <c:pt idx="30">
                  <c:v>65974.059400000144</c:v>
                </c:pt>
                <c:pt idx="31">
                  <c:v>67817.215000000011</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17.117000000000001</c:v>
                </c:pt>
                <c:pt idx="2">
                  <c:v>16.104200000000219</c:v>
                </c:pt>
                <c:pt idx="3">
                  <c:v>15.091400000000021</c:v>
                </c:pt>
                <c:pt idx="4">
                  <c:v>14.078600000000279</c:v>
                </c:pt>
                <c:pt idx="5">
                  <c:v>13.065800000000309</c:v>
                </c:pt>
                <c:pt idx="6">
                  <c:v>12.052999999999999</c:v>
                </c:pt>
                <c:pt idx="7">
                  <c:v>12.052999999999999</c:v>
                </c:pt>
                <c:pt idx="8">
                  <c:v>12.052999999999999</c:v>
                </c:pt>
                <c:pt idx="9">
                  <c:v>12.052999999999999</c:v>
                </c:pt>
                <c:pt idx="10">
                  <c:v>12.052999999999999</c:v>
                </c:pt>
                <c:pt idx="11">
                  <c:v>12.052999999999999</c:v>
                </c:pt>
                <c:pt idx="12">
                  <c:v>12.052999999999999</c:v>
                </c:pt>
                <c:pt idx="13">
                  <c:v>12.052999999999999</c:v>
                </c:pt>
                <c:pt idx="14">
                  <c:v>12.052999999999999</c:v>
                </c:pt>
                <c:pt idx="15">
                  <c:v>12.052999999999999</c:v>
                </c:pt>
                <c:pt idx="16">
                  <c:v>12.052999999999999</c:v>
                </c:pt>
                <c:pt idx="17">
                  <c:v>12.052999999999999</c:v>
                </c:pt>
                <c:pt idx="18">
                  <c:v>12.052999999999999</c:v>
                </c:pt>
                <c:pt idx="19">
                  <c:v>12.052999999999999</c:v>
                </c:pt>
                <c:pt idx="20">
                  <c:v>12.052999999999999</c:v>
                </c:pt>
                <c:pt idx="21">
                  <c:v>12.052999999999999</c:v>
                </c:pt>
                <c:pt idx="22">
                  <c:v>12.052999999999999</c:v>
                </c:pt>
                <c:pt idx="23">
                  <c:v>12.052999999999999</c:v>
                </c:pt>
                <c:pt idx="24">
                  <c:v>12.052999999999999</c:v>
                </c:pt>
                <c:pt idx="25">
                  <c:v>12.052999999999999</c:v>
                </c:pt>
                <c:pt idx="26">
                  <c:v>12.052999999999999</c:v>
                </c:pt>
                <c:pt idx="27">
                  <c:v>12.052999999999999</c:v>
                </c:pt>
                <c:pt idx="28">
                  <c:v>12.052999999999999</c:v>
                </c:pt>
                <c:pt idx="29">
                  <c:v>12.052999999999999</c:v>
                </c:pt>
                <c:pt idx="30">
                  <c:v>12.052999999999999</c:v>
                </c:pt>
                <c:pt idx="31">
                  <c:v>12.052999999999999</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abSelected="1" workbookViewId="0">
      <selection sqref="A1:XFD1"/>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2" x14ac:dyDescent="0.25">
      <c r="A1" s="1" t="s">
        <v>947</v>
      </c>
    </row>
    <row r="3" spans="1:2" x14ac:dyDescent="0.25">
      <c r="A3" s="1" t="s">
        <v>53</v>
      </c>
      <c r="B3" s="4" t="s">
        <v>641</v>
      </c>
    </row>
    <row r="4" spans="1:2" x14ac:dyDescent="0.25">
      <c r="B4" t="s">
        <v>0</v>
      </c>
    </row>
    <row r="5" spans="1:2" x14ac:dyDescent="0.25">
      <c r="B5" s="2">
        <v>2022</v>
      </c>
    </row>
    <row r="6" spans="1:2" x14ac:dyDescent="0.25">
      <c r="B6" t="s">
        <v>640</v>
      </c>
    </row>
    <row r="7" spans="1:2" ht="30" x14ac:dyDescent="0.25">
      <c r="B7" s="23" t="s">
        <v>642</v>
      </c>
    </row>
    <row r="8" spans="1:2" ht="30" x14ac:dyDescent="0.25">
      <c r="B8" s="23" t="s">
        <v>643</v>
      </c>
    </row>
    <row r="9" spans="1:2" x14ac:dyDescent="0.25">
      <c r="B9" t="s">
        <v>163</v>
      </c>
    </row>
    <row r="11" spans="1:2" x14ac:dyDescent="0.25">
      <c r="B11" s="4" t="s">
        <v>639</v>
      </c>
    </row>
    <row r="12" spans="1:2" x14ac:dyDescent="0.25">
      <c r="B12" t="s">
        <v>0</v>
      </c>
    </row>
    <row r="13" spans="1:2" x14ac:dyDescent="0.25">
      <c r="B13" s="2">
        <v>2021</v>
      </c>
    </row>
    <row r="14" spans="1:2" x14ac:dyDescent="0.25">
      <c r="B14" t="s">
        <v>566</v>
      </c>
    </row>
    <row r="15" spans="1:2" ht="60" x14ac:dyDescent="0.25">
      <c r="B15" s="23" t="s">
        <v>475</v>
      </c>
    </row>
    <row r="16" spans="1:2" ht="60" x14ac:dyDescent="0.25">
      <c r="B16" s="23" t="s">
        <v>315</v>
      </c>
    </row>
    <row r="17" spans="1:2" x14ac:dyDescent="0.25">
      <c r="B17" t="s">
        <v>163</v>
      </c>
    </row>
    <row r="19" spans="1:2" x14ac:dyDescent="0.25">
      <c r="B19" s="4" t="s">
        <v>54</v>
      </c>
    </row>
    <row r="20" spans="1:2" x14ac:dyDescent="0.25">
      <c r="B20" t="s">
        <v>0</v>
      </c>
    </row>
    <row r="21" spans="1:2" x14ac:dyDescent="0.25">
      <c r="B21" s="2">
        <v>2020</v>
      </c>
    </row>
    <row r="22" spans="1:2" x14ac:dyDescent="0.25">
      <c r="B22" t="s">
        <v>55</v>
      </c>
    </row>
    <row r="23" spans="1:2" x14ac:dyDescent="0.25">
      <c r="B23" s="24" t="s">
        <v>611</v>
      </c>
    </row>
    <row r="24" spans="1:2" x14ac:dyDescent="0.25">
      <c r="B24" s="24" t="s">
        <v>610</v>
      </c>
    </row>
    <row r="25" spans="1:2" x14ac:dyDescent="0.25">
      <c r="B25" t="s">
        <v>56</v>
      </c>
    </row>
    <row r="27" spans="1:2" x14ac:dyDescent="0.25">
      <c r="A27" s="1" t="s">
        <v>16</v>
      </c>
    </row>
    <row r="28" spans="1:2" x14ac:dyDescent="0.25">
      <c r="A28" t="s">
        <v>936</v>
      </c>
    </row>
    <row r="29" spans="1:2" x14ac:dyDescent="0.25">
      <c r="A29" t="s">
        <v>937</v>
      </c>
    </row>
    <row r="31" spans="1:2" x14ac:dyDescent="0.25">
      <c r="A31" s="1" t="s">
        <v>157</v>
      </c>
    </row>
    <row r="32" spans="1:2" x14ac:dyDescent="0.25">
      <c r="A32" s="9">
        <f>'RECS HC2.1'!B24/SUM('RECS HC2.1'!B24,'RECS HC2.1'!B27)</f>
        <v>0.81308184246741677</v>
      </c>
      <c r="B32" t="s">
        <v>32</v>
      </c>
    </row>
    <row r="33" spans="1:6" x14ac:dyDescent="0.25">
      <c r="A33" s="9">
        <f>'RECS HC2.1'!B27/SUM('RECS HC2.1'!B24,'RECS HC2.1'!B27)</f>
        <v>0.18691815753258317</v>
      </c>
      <c r="B33" t="s">
        <v>33</v>
      </c>
    </row>
    <row r="35" spans="1:6" ht="60" x14ac:dyDescent="0.25">
      <c r="A35" s="11" t="s">
        <v>165</v>
      </c>
      <c r="B35">
        <f>10^6</f>
        <v>1000000</v>
      </c>
      <c r="C35" s="12"/>
      <c r="D35" s="13"/>
      <c r="E35" s="14"/>
    </row>
    <row r="36" spans="1:6" x14ac:dyDescent="0.25">
      <c r="A36" t="s">
        <v>173</v>
      </c>
      <c r="B36">
        <v>1000</v>
      </c>
      <c r="F36" s="14"/>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1" t="s">
        <v>612</v>
      </c>
      <c r="B1" s="61"/>
    </row>
    <row r="2" spans="1:7" ht="24" customHeight="1" x14ac:dyDescent="0.25">
      <c r="A2" s="55" t="s">
        <v>613</v>
      </c>
      <c r="B2" s="56"/>
      <c r="C2" s="56"/>
      <c r="D2" s="56"/>
      <c r="E2" s="56"/>
      <c r="F2" s="56"/>
      <c r="G2" s="56"/>
    </row>
    <row r="3" spans="1:7" ht="24" customHeight="1" thickBot="1" x14ac:dyDescent="0.3">
      <c r="A3" s="22"/>
      <c r="B3" s="57" t="s">
        <v>61</v>
      </c>
      <c r="C3" s="57"/>
      <c r="D3" s="57"/>
      <c r="E3" s="57"/>
      <c r="F3" s="57"/>
      <c r="G3" s="58"/>
    </row>
    <row r="4" spans="1:7" ht="23.25" customHeight="1" thickTop="1" x14ac:dyDescent="0.25">
      <c r="A4" s="22"/>
      <c r="B4" s="25"/>
      <c r="C4" s="59" t="s">
        <v>62</v>
      </c>
      <c r="D4" s="59"/>
      <c r="E4" s="59"/>
      <c r="F4" s="59"/>
      <c r="G4" s="59"/>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0" t="s">
        <v>638</v>
      </c>
      <c r="B221" s="60"/>
      <c r="C221" s="60"/>
      <c r="D221" s="60"/>
      <c r="E221" s="60"/>
      <c r="F221" s="60"/>
      <c r="G221" s="60"/>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f t="shared" ref="B50:AC50" si="4">B49*Percent_Urban</f>
        <v>2739.9231927467013</v>
      </c>
      <c r="C50" s="50">
        <f t="shared" si="4"/>
        <v>5479.8463854934025</v>
      </c>
      <c r="D50" s="50">
        <f t="shared" si="4"/>
        <v>8219.7695782401042</v>
      </c>
      <c r="E50" s="50">
        <f t="shared" si="4"/>
        <v>10959.692770986805</v>
      </c>
      <c r="F50" s="50">
        <f t="shared" si="4"/>
        <v>13699.615963733506</v>
      </c>
      <c r="G50" s="50">
        <f t="shared" si="4"/>
        <v>16439.539156480205</v>
      </c>
      <c r="H50" s="50">
        <f t="shared" si="4"/>
        <v>19179.462349226906</v>
      </c>
      <c r="I50" s="50">
        <f t="shared" si="4"/>
        <v>21919.385541973606</v>
      </c>
      <c r="J50" s="50">
        <f t="shared" si="4"/>
        <v>24659.308734720307</v>
      </c>
      <c r="K50" s="50">
        <f t="shared" si="4"/>
        <v>27399.231927467012</v>
      </c>
      <c r="L50" s="50">
        <f t="shared" si="4"/>
        <v>29326.073277746298</v>
      </c>
      <c r="M50" s="50">
        <f t="shared" si="4"/>
        <v>31252.914628025585</v>
      </c>
      <c r="N50" s="50">
        <f t="shared" si="4"/>
        <v>33179.755978304871</v>
      </c>
      <c r="O50" s="50">
        <f t="shared" si="4"/>
        <v>35106.597328584154</v>
      </c>
      <c r="P50" s="50">
        <f t="shared" si="4"/>
        <v>36667.551849753108</v>
      </c>
      <c r="Q50" s="50">
        <f t="shared" si="4"/>
        <v>37862.61954181172</v>
      </c>
      <c r="R50" s="50">
        <f t="shared" si="4"/>
        <v>38325.913575649654</v>
      </c>
      <c r="S50" s="50">
        <f t="shared" si="4"/>
        <v>38789.207609487588</v>
      </c>
      <c r="T50" s="50">
        <f t="shared" si="4"/>
        <v>39252.50164332553</v>
      </c>
      <c r="U50" s="50">
        <f t="shared" si="4"/>
        <v>39715.795677163464</v>
      </c>
      <c r="V50" s="50">
        <f t="shared" si="4"/>
        <v>40179.089711001398</v>
      </c>
      <c r="W50" s="50">
        <f t="shared" si="4"/>
        <v>40642.383744839339</v>
      </c>
      <c r="X50" s="50">
        <f t="shared" si="4"/>
        <v>41105.677778677273</v>
      </c>
      <c r="Y50" s="50">
        <f t="shared" si="4"/>
        <v>41568.971812515207</v>
      </c>
      <c r="Z50" s="50">
        <f t="shared" si="4"/>
        <v>42032.265846353148</v>
      </c>
      <c r="AA50" s="50">
        <f t="shared" si="4"/>
        <v>42495.559880191082</v>
      </c>
      <c r="AB50" s="50">
        <f t="shared" si="4"/>
        <v>42958.853914029016</v>
      </c>
      <c r="AC50" s="50">
        <f t="shared" si="4"/>
        <v>43422.147947866957</v>
      </c>
    </row>
    <row r="51" spans="1:29" ht="15.75" customHeight="1" x14ac:dyDescent="0.2">
      <c r="A51" s="40" t="s">
        <v>931</v>
      </c>
      <c r="B51" s="50">
        <f t="shared" ref="B51:AC51" si="5">B49*Percent_rural</f>
        <v>629.87680725329881</v>
      </c>
      <c r="C51" s="50">
        <f t="shared" si="5"/>
        <v>1259.7536145065976</v>
      </c>
      <c r="D51" s="50">
        <f t="shared" si="5"/>
        <v>1889.6304217598965</v>
      </c>
      <c r="E51" s="50">
        <f t="shared" si="5"/>
        <v>2519.5072290131952</v>
      </c>
      <c r="F51" s="50">
        <f t="shared" si="5"/>
        <v>3149.3840362664937</v>
      </c>
      <c r="G51" s="50">
        <f t="shared" si="5"/>
        <v>3779.2608435197926</v>
      </c>
      <c r="H51" s="50">
        <f t="shared" si="5"/>
        <v>4409.1376507730911</v>
      </c>
      <c r="I51" s="50">
        <f t="shared" si="5"/>
        <v>5039.0144580263895</v>
      </c>
      <c r="J51" s="50">
        <f t="shared" si="5"/>
        <v>5668.891265279688</v>
      </c>
      <c r="K51" s="50">
        <f t="shared" si="5"/>
        <v>6298.7680725329874</v>
      </c>
      <c r="L51" s="50">
        <f t="shared" si="5"/>
        <v>6741.7267222537039</v>
      </c>
      <c r="M51" s="50">
        <f t="shared" si="5"/>
        <v>7184.6853719744204</v>
      </c>
      <c r="N51" s="50">
        <f t="shared" si="5"/>
        <v>7627.644021695136</v>
      </c>
      <c r="O51" s="50">
        <f t="shared" si="5"/>
        <v>8070.6026714158525</v>
      </c>
      <c r="P51" s="50">
        <f t="shared" si="5"/>
        <v>8429.4481502469062</v>
      </c>
      <c r="Q51" s="50">
        <f t="shared" si="5"/>
        <v>8704.1804581882971</v>
      </c>
      <c r="R51" s="50">
        <f t="shared" si="5"/>
        <v>8810.6864243503642</v>
      </c>
      <c r="S51" s="50">
        <f t="shared" si="5"/>
        <v>8917.1923905124295</v>
      </c>
      <c r="T51" s="50">
        <f t="shared" si="5"/>
        <v>9023.6983566744966</v>
      </c>
      <c r="U51" s="50">
        <f t="shared" si="5"/>
        <v>9130.2043228365637</v>
      </c>
      <c r="V51" s="50">
        <f t="shared" si="5"/>
        <v>9236.710288998629</v>
      </c>
      <c r="W51" s="50">
        <f t="shared" si="5"/>
        <v>9343.2162551606962</v>
      </c>
      <c r="X51" s="50">
        <f t="shared" si="5"/>
        <v>9449.7222213227633</v>
      </c>
      <c r="Y51" s="50">
        <f t="shared" si="5"/>
        <v>9556.2281874848286</v>
      </c>
      <c r="Z51" s="50">
        <f t="shared" si="5"/>
        <v>9662.7341536468957</v>
      </c>
      <c r="AA51" s="50">
        <f t="shared" si="5"/>
        <v>9769.240119808961</v>
      </c>
      <c r="AB51" s="50">
        <f t="shared" si="5"/>
        <v>9875.7460859710282</v>
      </c>
      <c r="AC51" s="50">
        <f t="shared" si="5"/>
        <v>9982.2520521330953</v>
      </c>
    </row>
    <row r="52" spans="1:29" ht="15.75" customHeight="1" x14ac:dyDescent="0.2">
      <c r="A52" s="40" t="s">
        <v>932</v>
      </c>
      <c r="B52" s="50">
        <f>B50*Calculations!H121*8760</f>
        <v>4472601.9657479078</v>
      </c>
      <c r="C52" s="50">
        <f>C50*Calculations!I121*8760</f>
        <v>9064365.4334746525</v>
      </c>
      <c r="D52" s="50">
        <f>D50*Calculations!J121*8760</f>
        <v>13759680.54231246</v>
      </c>
      <c r="E52" s="50">
        <f>E50*Calculations!K121*8760</f>
        <v>18544552.130326882</v>
      </c>
      <c r="F52" s="50">
        <f>F50*Calculations!L121*8760</f>
        <v>23407554.562313657</v>
      </c>
      <c r="G52" s="50">
        <f>G50*Calculations!M121*8760</f>
        <v>28335602.173586506</v>
      </c>
      <c r="H52" s="50">
        <f>H50*Calculations!N121*8760</f>
        <v>33319206.180574667</v>
      </c>
      <c r="I52" s="50">
        <f>I50*Calculations!O121*8760</f>
        <v>38352804.901277736</v>
      </c>
      <c r="J52" s="50">
        <f>J50*Calculations!P121*8760</f>
        <v>43423382.194692507</v>
      </c>
      <c r="K52" s="50">
        <f>K50*Calculations!Q121*8760</f>
        <v>48525188.424170047</v>
      </c>
      <c r="L52" s="50">
        <f>L50*Calculations!R121*8760</f>
        <v>52191440.430251695</v>
      </c>
      <c r="M52" s="50">
        <f>M50*Calculations!S121*8760</f>
        <v>55850725.293029524</v>
      </c>
      <c r="N52" s="50">
        <f>N50*Calculations!T121*8760</f>
        <v>59520385.512269683</v>
      </c>
      <c r="O52" s="50">
        <f>O50*Calculations!U121*8760</f>
        <v>63196842.095178351</v>
      </c>
      <c r="P52" s="50">
        <f>P50*Calculations!V121*8760</f>
        <v>66193084.61137481</v>
      </c>
      <c r="Q52" s="50">
        <f>Q50*Calculations!W121*8760</f>
        <v>68530502.186914414</v>
      </c>
      <c r="R52" s="50">
        <f>R50*Calculations!X121*8760</f>
        <v>69521596.379611865</v>
      </c>
      <c r="S52" s="50">
        <f>S50*Calculations!Y121*8760</f>
        <v>70475194.562871382</v>
      </c>
      <c r="T52" s="50">
        <f>T50*Calculations!Z121*8760</f>
        <v>71413053.40558137</v>
      </c>
      <c r="U52" s="50">
        <f>U50*Calculations!AA121*8760</f>
        <v>72312663.832207784</v>
      </c>
      <c r="V52" s="50">
        <f>V50*Calculations!AB121*8760</f>
        <v>73190328.465007201</v>
      </c>
      <c r="W52" s="50">
        <f>W50*Calculations!AC121*8760</f>
        <v>74061332.589130089</v>
      </c>
      <c r="X52" s="50">
        <f>X50*Calculations!AD121*8760</f>
        <v>74907079.980390653</v>
      </c>
      <c r="Y52" s="50">
        <f>Y50*Calculations!AE121*8760</f>
        <v>75740500.166573346</v>
      </c>
      <c r="Z52" s="50">
        <f>Z50*Calculations!AF121*8760</f>
        <v>76556043.188601986</v>
      </c>
      <c r="AA52" s="50">
        <f>AA50*Calculations!AG121*8760</f>
        <v>77354952.860946596</v>
      </c>
      <c r="AB52" s="50">
        <f>AB50*Calculations!AH121*8760</f>
        <v>78138695.273116857</v>
      </c>
      <c r="AC52" s="50">
        <f>AC50*Calculations!AI121*8760</f>
        <v>78919268.85937506</v>
      </c>
    </row>
    <row r="53" spans="1:29" ht="15.75" customHeight="1" x14ac:dyDescent="0.2">
      <c r="A53" s="40" t="s">
        <v>933</v>
      </c>
      <c r="B53" s="50">
        <f>B51*Calculations!H121*8760</f>
        <v>1028199.7151445559</v>
      </c>
      <c r="C53" s="50">
        <f>C51*Calculations!I121*8760</f>
        <v>2083793.2881215625</v>
      </c>
      <c r="D53" s="50">
        <f>D51*Calculations!J121*8760</f>
        <v>3163192.1915770075</v>
      </c>
      <c r="E53" s="50">
        <f>E51*Calculations!K121*8760</f>
        <v>4263179.0988575043</v>
      </c>
      <c r="F53" s="50">
        <f>F51*Calculations!L121*8760</f>
        <v>5381127.3879313245</v>
      </c>
      <c r="G53" s="50">
        <f>G51*Calculations!M121*8760</f>
        <v>6514028.8150947085</v>
      </c>
      <c r="H53" s="50">
        <f>H51*Calculations!N121*8760</f>
        <v>7659702.0182145471</v>
      </c>
      <c r="I53" s="50">
        <f>I51*Calculations!O121*8760</f>
        <v>8816868.4306103438</v>
      </c>
      <c r="J53" s="50">
        <f>J51*Calculations!P121*8760</f>
        <v>9982535.7912728973</v>
      </c>
      <c r="K53" s="50">
        <f>K51*Calculations!Q121*8760</f>
        <v>11155382.324911254</v>
      </c>
      <c r="L53" s="50">
        <f>L51*Calculations!R121*8760</f>
        <v>11998211.464899559</v>
      </c>
      <c r="M53" s="50">
        <f>M51*Calculations!S121*8760</f>
        <v>12839438.938829666</v>
      </c>
      <c r="N53" s="50">
        <f>N51*Calculations!T121*8760</f>
        <v>13683051.587796764</v>
      </c>
      <c r="O53" s="50">
        <f>O51*Calculations!U121*8760</f>
        <v>14528226.642549466</v>
      </c>
      <c r="P53" s="50">
        <f>P51*Calculations!V121*8760</f>
        <v>15217028.312192796</v>
      </c>
      <c r="Q53" s="50">
        <f>Q51*Calculations!W121*8760</f>
        <v>15754373.710631758</v>
      </c>
      <c r="R53" s="50">
        <f>R51*Calculations!X121*8760</f>
        <v>15982214.858674215</v>
      </c>
      <c r="S53" s="50">
        <f>S51*Calculations!Y121*8760</f>
        <v>16201436.105701912</v>
      </c>
      <c r="T53" s="50">
        <f>T51*Calculations!Z121*8760</f>
        <v>16417039.059486993</v>
      </c>
      <c r="U53" s="50">
        <f>U51*Calculations!AA121*8760</f>
        <v>16623849.14262921</v>
      </c>
      <c r="V53" s="50">
        <f>V51*Calculations!AB121*8760</f>
        <v>16825614.14035261</v>
      </c>
      <c r="W53" s="50">
        <f>W51*Calculations!AC121*8760</f>
        <v>17025847.963789463</v>
      </c>
      <c r="X53" s="50">
        <f>X51*Calculations!AD121*8760</f>
        <v>17220275.555030067</v>
      </c>
      <c r="Y53" s="50">
        <f>Y51*Calculations!AE121*8760</f>
        <v>17411869.263701499</v>
      </c>
      <c r="Z53" s="50">
        <f>Z51*Calculations!AF121*8760</f>
        <v>17599353.218088608</v>
      </c>
      <c r="AA53" s="50">
        <f>AA51*Calculations!AG121*8760</f>
        <v>17783013.35682255</v>
      </c>
      <c r="AB53" s="50">
        <f>AB51*Calculations!AH121*8760</f>
        <v>17963186.717007846</v>
      </c>
      <c r="AC53" s="50">
        <f>AC51*Calculations!AI121*8760</f>
        <v>18142631.600587118</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f>INDEX(AEO21_Table_21._Residential_Sec!$E$8:$AK$93,MATCH($A44,AEO21_Table_21._Residential_Sec!$C$8:$C$93,0),MATCH(E$4,AEO21_Table_21._Residential_Sec!$E$5:$AK$5,0))*gigwatt_to_megawatt*Percent_Urban</f>
        <v>0</v>
      </c>
      <c r="F44" s="17">
        <f>INDEX(AEO22_Table_21._Residential_Sec!$E$8:$AJ$93,MATCH($B44,AEO22_Table_21._Residential_Sec!$C$8:$C$93,0),MATCH(F$4,AEO22_Table_21._Residential_Sec!$E$5:$AJ$5,0))*gigwatt_to_megawatt*Percent_Urban</f>
        <v>0</v>
      </c>
      <c r="G44" s="17">
        <f>INDEX(AEO22_Table_21._Residential_Sec!$E$8:$AJ$93,MATCH($B44,AEO22_Table_21._Residential_Sec!$C$8:$C$93,0),MATCH(G$4,AEO22_Table_21._Residential_Sec!$E$5:$AJ$5,0))*gigwatt_to_megawatt*Percent_Urban</f>
        <v>0</v>
      </c>
      <c r="H44" s="17">
        <f>INDEX(AEO22_Table_21._Residential_Sec!$E$8:$AJ$93,MATCH($B44,AEO22_Table_21._Residential_Sec!$C$8:$C$93,0),MATCH(H$4,AEO22_Table_21._Residential_Sec!$E$5:$AJ$5,0))*gigwatt_to_megawatt*Percent_Urban</f>
        <v>0</v>
      </c>
      <c r="I44" s="17">
        <f>INDEX(AEO22_Table_21._Residential_Sec!$E$8:$AJ$93,MATCH($B44,AEO22_Table_21._Residential_Sec!$C$8:$C$93,0),MATCH(I$4,AEO22_Table_21._Residential_Sec!$E$5:$AJ$5,0))*gigwatt_to_megawatt*Percent_Urban</f>
        <v>0</v>
      </c>
      <c r="J44" s="17">
        <f>INDEX(AEO22_Table_21._Residential_Sec!$E$8:$AJ$93,MATCH($B44,AEO22_Table_21._Residential_Sec!$C$8:$C$93,0),MATCH(J$4,AEO22_Table_21._Residential_Sec!$E$5:$AJ$5,0))*gigwatt_to_megawatt*Percent_Urban</f>
        <v>0</v>
      </c>
      <c r="K44" s="17">
        <f>INDEX(AEO22_Table_21._Residential_Sec!$E$8:$AJ$93,MATCH($B44,AEO22_Table_21._Residential_Sec!$C$8:$C$93,0),MATCH(K$4,AEO22_Table_21._Residential_Sec!$E$5:$AJ$5,0))*gigwatt_to_megawatt*Percent_Urban</f>
        <v>0</v>
      </c>
      <c r="L44" s="17">
        <f>INDEX(AEO22_Table_21._Residential_Sec!$E$8:$AJ$93,MATCH($B44,AEO22_Table_21._Residential_Sec!$C$8:$C$93,0),MATCH(L$4,AEO22_Table_21._Residential_Sec!$E$5:$AJ$5,0))*gigwatt_to_megawatt*Percent_Urban</f>
        <v>0</v>
      </c>
      <c r="M44" s="17">
        <f>INDEX(AEO22_Table_21._Residential_Sec!$E$8:$AJ$93,MATCH($B44,AEO22_Table_21._Residential_Sec!$C$8:$C$93,0),MATCH(M$4,AEO22_Table_21._Residential_Sec!$E$5:$AJ$5,0))*gigwatt_to_megawatt*Percent_Urban</f>
        <v>0</v>
      </c>
      <c r="N44" s="17">
        <f>INDEX(AEO22_Table_21._Residential_Sec!$E$8:$AJ$93,MATCH($B44,AEO22_Table_21._Residential_Sec!$C$8:$C$93,0),MATCH(N$4,AEO22_Table_21._Residential_Sec!$E$5:$AJ$5,0))*gigwatt_to_megawatt*Percent_Urban</f>
        <v>0</v>
      </c>
      <c r="O44" s="17">
        <f>INDEX(AEO22_Table_21._Residential_Sec!$E$8:$AJ$93,MATCH($B44,AEO22_Table_21._Residential_Sec!$C$8:$C$93,0),MATCH(O$4,AEO22_Table_21._Residential_Sec!$E$5:$AJ$5,0))*gigwatt_to_megawatt*Percent_Urban</f>
        <v>0</v>
      </c>
      <c r="P44" s="17">
        <f>INDEX(AEO22_Table_21._Residential_Sec!$E$8:$AJ$93,MATCH($B44,AEO22_Table_21._Residential_Sec!$C$8:$C$93,0),MATCH(P$4,AEO22_Table_21._Residential_Sec!$E$5:$AJ$5,0))*gigwatt_to_megawatt*Percent_Urban</f>
        <v>0</v>
      </c>
      <c r="Q44" s="17">
        <f>INDEX(AEO22_Table_21._Residential_Sec!$E$8:$AJ$93,MATCH($B44,AEO22_Table_21._Residential_Sec!$C$8:$C$93,0),MATCH(Q$4,AEO22_Table_21._Residential_Sec!$E$5:$AJ$5,0))*gigwatt_to_megawatt*Percent_Urban</f>
        <v>0</v>
      </c>
      <c r="R44" s="17">
        <f>INDEX(AEO22_Table_21._Residential_Sec!$E$8:$AJ$93,MATCH($B44,AEO22_Table_21._Residential_Sec!$C$8:$C$93,0),MATCH(R$4,AEO22_Table_21._Residential_Sec!$E$5:$AJ$5,0))*gigwatt_to_megawatt*Percent_Urban</f>
        <v>0</v>
      </c>
      <c r="S44" s="17">
        <f>INDEX(AEO22_Table_21._Residential_Sec!$E$8:$AJ$93,MATCH($B44,AEO22_Table_21._Residential_Sec!$C$8:$C$93,0),MATCH(S$4,AEO22_Table_21._Residential_Sec!$E$5:$AJ$5,0))*gigwatt_to_megawatt*Percent_Urban</f>
        <v>1.6261636849348336E-3</v>
      </c>
      <c r="T44" s="17">
        <f>INDEX(AEO22_Table_21._Residential_Sec!$E$8:$AJ$93,MATCH($B44,AEO22_Table_21._Residential_Sec!$C$8:$C$93,0),MATCH(T$4,AEO22_Table_21._Residential_Sec!$E$5:$AJ$5,0))*gigwatt_to_megawatt*Percent_Urban</f>
        <v>4.0654092123370835E-3</v>
      </c>
      <c r="U44" s="17">
        <f>INDEX(AEO22_Table_21._Residential_Sec!$E$8:$AJ$93,MATCH($B44,AEO22_Table_21._Residential_Sec!$C$8:$C$93,0),MATCH(U$4,AEO22_Table_21._Residential_Sec!$E$5:$AJ$5,0))*gigwatt_to_megawatt*Percent_Urban</f>
        <v>8.1308184246741671E-3</v>
      </c>
      <c r="V44" s="17">
        <f>INDEX(AEO22_Table_21._Residential_Sec!$E$8:$AJ$93,MATCH($B44,AEO22_Table_21._Residential_Sec!$C$8:$C$93,0),MATCH(V$4,AEO22_Table_21._Residential_Sec!$E$5:$AJ$5,0))*gigwatt_to_megawatt*Percent_Urban</f>
        <v>1.707471869181575E-2</v>
      </c>
      <c r="W44" s="17">
        <f>INDEX(AEO22_Table_21._Residential_Sec!$E$8:$AJ$93,MATCH($B44,AEO22_Table_21._Residential_Sec!$C$8:$C$93,0),MATCH(W$4,AEO22_Table_21._Residential_Sec!$E$5:$AJ$5,0))*gigwatt_to_megawatt*Percent_Urban</f>
        <v>3.3336355541164091E-2</v>
      </c>
      <c r="X44" s="17">
        <f>INDEX(AEO22_Table_21._Residential_Sec!$E$8:$AJ$93,MATCH($B44,AEO22_Table_21._Residential_Sec!$C$8:$C$93,0),MATCH(X$4,AEO22_Table_21._Residential_Sec!$E$5:$AJ$5,0))*gigwatt_to_megawatt*Percent_Urban</f>
        <v>6.3420383712458506E-2</v>
      </c>
      <c r="Y44" s="17">
        <f>INDEX(AEO22_Table_21._Residential_Sec!$E$8:$AJ$93,MATCH($B44,AEO22_Table_21._Residential_Sec!$C$8:$C$93,0),MATCH(Y$4,AEO22_Table_21._Residential_Sec!$E$5:$AJ$5,0))*gigwatt_to_megawatt*Percent_Urban</f>
        <v>0.11870994900024284</v>
      </c>
      <c r="Z44" s="17">
        <f>INDEX(AEO22_Table_21._Residential_Sec!$E$8:$AJ$93,MATCH($B44,AEO22_Table_21._Residential_Sec!$C$8:$C$93,0),MATCH(Z$4,AEO22_Table_21._Residential_Sec!$E$5:$AJ$5,0))*gigwatt_to_megawatt*Percent_Urban</f>
        <v>0.22034517930866993</v>
      </c>
      <c r="AA44" s="17">
        <f>INDEX(AEO22_Table_21._Residential_Sec!$E$8:$AJ$93,MATCH($B44,AEO22_Table_21._Residential_Sec!$C$8:$C$93,0),MATCH(AA$4,AEO22_Table_21._Residential_Sec!$E$5:$AJ$5,0))*gigwatt_to_megawatt*Percent_Urban</f>
        <v>0.32116732777462964</v>
      </c>
      <c r="AB44" s="17">
        <f>INDEX(AEO22_Table_21._Residential_Sec!$E$8:$AJ$93,MATCH($B44,AEO22_Table_21._Residential_Sec!$C$8:$C$93,0),MATCH(AB$4,AEO22_Table_21._Residential_Sec!$E$5:$AJ$5,0))*gigwatt_to_megawatt*Percent_Urban</f>
        <v>0.42280255808305667</v>
      </c>
      <c r="AC44" s="17">
        <f>INDEX(AEO22_Table_21._Residential_Sec!$E$8:$AJ$93,MATCH($B44,AEO22_Table_21._Residential_Sec!$C$8:$C$93,0),MATCH(AC$4,AEO22_Table_21._Residential_Sec!$E$5:$AJ$5,0))*gigwatt_to_megawatt*Percent_Urban</f>
        <v>0.52443778839148369</v>
      </c>
      <c r="AD44" s="17">
        <f>INDEX(AEO22_Table_21._Residential_Sec!$E$8:$AJ$93,MATCH($B44,AEO22_Table_21._Residential_Sec!$C$8:$C$93,0),MATCH(AD$4,AEO22_Table_21._Residential_Sec!$E$5:$AJ$5,0))*gigwatt_to_megawatt*Percent_Urban</f>
        <v>0.62607301869991083</v>
      </c>
      <c r="AE44" s="17">
        <f>INDEX(AEO22_Table_21._Residential_Sec!$E$8:$AJ$93,MATCH($B44,AEO22_Table_21._Residential_Sec!$C$8:$C$93,0),MATCH(AE$4,AEO22_Table_21._Residential_Sec!$E$5:$AJ$5,0))*gigwatt_to_megawatt*Percent_Urban</f>
        <v>0.72852133085080539</v>
      </c>
      <c r="AF44" s="17">
        <f>INDEX(AEO22_Table_21._Residential_Sec!$E$8:$AJ$93,MATCH($B44,AEO22_Table_21._Residential_Sec!$C$8:$C$93,0),MATCH(AF$4,AEO22_Table_21._Residential_Sec!$E$5:$AJ$5,0))*gigwatt_to_megawatt*Percent_Urban</f>
        <v>0.83096964300169973</v>
      </c>
      <c r="AG44" s="17">
        <f>INDEX(AEO22_Table_21._Residential_Sec!$E$8:$AJ$93,MATCH($B44,AEO22_Table_21._Residential_Sec!$C$8:$C$93,0),MATCH(AG$4,AEO22_Table_21._Residential_Sec!$E$5:$AJ$5,0))*gigwatt_to_megawatt*Percent_Urban</f>
        <v>0.93260487331012709</v>
      </c>
      <c r="AH44" s="17">
        <f>INDEX(AEO22_Table_21._Residential_Sec!$E$8:$AJ$93,MATCH($B44,AEO22_Table_21._Residential_Sec!$C$8:$C$93,0),MATCH(AH$4,AEO22_Table_21._Residential_Sec!$E$5:$AJ$5,0))*gigwatt_to_megawatt*Percent_Urban</f>
        <v>1.0350531854610217</v>
      </c>
      <c r="AI44" s="17">
        <f>INDEX(AEO22_Table_21._Residential_Sec!$E$8:$AJ$93,MATCH($B44,AEO22_Table_21._Residential_Sec!$C$8:$C$93,0),MATCH(AI$4,AEO22_Table_21._Residential_Sec!$E$5:$AJ$5,0))*gigwatt_to_megawatt*Percent_Urban</f>
        <v>1.137501497611916</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f>INDEX(AEO21_Table_21._Residential_Sec!$E$8:$AK$93,MATCH($A47,AEO21_Table_21._Residential_Sec!$C$8:$C$93,0),MATCH(E$4,AEO21_Table_21._Residential_Sec!$E$5:$AK$5,0))*gigwatt_to_megawatt*Percent_Urban</f>
        <v>11.571780781996274</v>
      </c>
      <c r="F47" s="17">
        <f>INDEX(AEO22_Table_21._Residential_Sec!$E$8:$AJ$93,MATCH($B47,AEO22_Table_21._Residential_Sec!$C$8:$C$93,0),MATCH(F$4,AEO22_Table_21._Residential_Sec!$E$5:$AJ$5,0))*gigwatt_to_megawatt*Percent_Urban</f>
        <v>11.571780781996274</v>
      </c>
      <c r="G47" s="17">
        <f>INDEX(AEO22_Table_21._Residential_Sec!$E$8:$AJ$93,MATCH($B47,AEO22_Table_21._Residential_Sec!$C$8:$C$93,0),MATCH(G$4,AEO22_Table_21._Residential_Sec!$E$5:$AJ$5,0))*gigwatt_to_megawatt*Percent_Urban</f>
        <v>11.571780781996274</v>
      </c>
      <c r="H47" s="17">
        <f>INDEX(AEO22_Table_21._Residential_Sec!$E$8:$AJ$93,MATCH($B47,AEO22_Table_21._Residential_Sec!$C$8:$C$93,0),MATCH(H$4,AEO22_Table_21._Residential_Sec!$E$5:$AJ$5,0))*gigwatt_to_megawatt*Percent_Urban</f>
        <v>11.571780781996274</v>
      </c>
      <c r="I47" s="17">
        <f>INDEX(AEO22_Table_21._Residential_Sec!$E$8:$AJ$93,MATCH($B47,AEO22_Table_21._Residential_Sec!$C$8:$C$93,0),MATCH(I$4,AEO22_Table_21._Residential_Sec!$E$5:$AJ$5,0))*gigwatt_to_megawatt*Percent_Urban</f>
        <v>11.571780781996274</v>
      </c>
      <c r="J47" s="17">
        <f>INDEX(AEO22_Table_21._Residential_Sec!$E$8:$AJ$93,MATCH($B47,AEO22_Table_21._Residential_Sec!$C$8:$C$93,0),MATCH(J$4,AEO22_Table_21._Residential_Sec!$E$5:$AJ$5,0))*gigwatt_to_megawatt*Percent_Urban</f>
        <v>11.571780781996274</v>
      </c>
      <c r="K47" s="17">
        <f>INDEX(AEO22_Table_21._Residential_Sec!$E$8:$AJ$93,MATCH($B47,AEO22_Table_21._Residential_Sec!$C$8:$C$93,0),MATCH(K$4,AEO22_Table_21._Residential_Sec!$E$5:$AJ$5,0))*gigwatt_to_megawatt*Percent_Urban</f>
        <v>11.571780781996274</v>
      </c>
      <c r="L47" s="17">
        <f>INDEX(AEO22_Table_21._Residential_Sec!$E$8:$AJ$93,MATCH($B47,AEO22_Table_21._Residential_Sec!$C$8:$C$93,0),MATCH(L$4,AEO22_Table_21._Residential_Sec!$E$5:$AJ$5,0))*gigwatt_to_megawatt*Percent_Urban</f>
        <v>11.571780781996274</v>
      </c>
      <c r="M47" s="17">
        <f>INDEX(AEO22_Table_21._Residential_Sec!$E$8:$AJ$93,MATCH($B47,AEO22_Table_21._Residential_Sec!$C$8:$C$93,0),MATCH(M$4,AEO22_Table_21._Residential_Sec!$E$5:$AJ$5,0))*gigwatt_to_megawatt*Percent_Urban</f>
        <v>11.571780781996274</v>
      </c>
      <c r="N47" s="17">
        <f>INDEX(AEO22_Table_21._Residential_Sec!$E$8:$AJ$93,MATCH($B47,AEO22_Table_21._Residential_Sec!$C$8:$C$93,0),MATCH(N$4,AEO22_Table_21._Residential_Sec!$E$5:$AJ$5,0))*gigwatt_to_megawatt*Percent_Urban</f>
        <v>11.571780781996274</v>
      </c>
      <c r="O47" s="17">
        <f>INDEX(AEO22_Table_21._Residential_Sec!$E$8:$AJ$93,MATCH($B47,AEO22_Table_21._Residential_Sec!$C$8:$C$93,0),MATCH(O$4,AEO22_Table_21._Residential_Sec!$E$5:$AJ$5,0))*gigwatt_to_megawatt*Percent_Urban</f>
        <v>11.571780781996274</v>
      </c>
      <c r="P47" s="17">
        <f>INDEX(AEO22_Table_21._Residential_Sec!$E$8:$AJ$93,MATCH($B47,AEO22_Table_21._Residential_Sec!$C$8:$C$93,0),MATCH(P$4,AEO22_Table_21._Residential_Sec!$E$5:$AJ$5,0))*gigwatt_to_megawatt*Percent_Urban</f>
        <v>11.571780781996274</v>
      </c>
      <c r="Q47" s="17">
        <f>INDEX(AEO22_Table_21._Residential_Sec!$E$8:$AJ$93,MATCH($B47,AEO22_Table_21._Residential_Sec!$C$8:$C$93,0),MATCH(Q$4,AEO22_Table_21._Residential_Sec!$E$5:$AJ$5,0))*gigwatt_to_megawatt*Percent_Urban</f>
        <v>11.572593863838744</v>
      </c>
      <c r="R47" s="17">
        <f>INDEX(AEO22_Table_21._Residential_Sec!$E$8:$AJ$93,MATCH($B47,AEO22_Table_21._Residential_Sec!$C$8:$C$93,0),MATCH(R$4,AEO22_Table_21._Residential_Sec!$E$5:$AJ$5,0))*gigwatt_to_megawatt*Percent_Urban</f>
        <v>11.572593863838744</v>
      </c>
      <c r="S47" s="17">
        <f>INDEX(AEO22_Table_21._Residential_Sec!$E$8:$AJ$93,MATCH($B47,AEO22_Table_21._Residential_Sec!$C$8:$C$93,0),MATCH(S$4,AEO22_Table_21._Residential_Sec!$E$5:$AJ$5,0))*gigwatt_to_megawatt*Percent_Urban</f>
        <v>11.575033109366146</v>
      </c>
      <c r="T47" s="17">
        <f>INDEX(AEO22_Table_21._Residential_Sec!$E$8:$AJ$93,MATCH($B47,AEO22_Table_21._Residential_Sec!$C$8:$C$93,0),MATCH(T$4,AEO22_Table_21._Residential_Sec!$E$5:$AJ$5,0))*gigwatt_to_megawatt*Percent_Urban</f>
        <v>11.579911600420949</v>
      </c>
      <c r="U47" s="17">
        <f>INDEX(AEO22_Table_21._Residential_Sec!$E$8:$AJ$93,MATCH($B47,AEO22_Table_21._Residential_Sec!$C$8:$C$93,0),MATCH(U$4,AEO22_Table_21._Residential_Sec!$E$5:$AJ$5,0))*gigwatt_to_megawatt*Percent_Urban</f>
        <v>11.588855500688091</v>
      </c>
      <c r="V47" s="17">
        <f>INDEX(AEO22_Table_21._Residential_Sec!$E$8:$AJ$93,MATCH($B47,AEO22_Table_21._Residential_Sec!$C$8:$C$93,0),MATCH(V$4,AEO22_Table_21._Residential_Sec!$E$5:$AJ$5,0))*gigwatt_to_megawatt*Percent_Urban</f>
        <v>11.605930219379907</v>
      </c>
      <c r="W47" s="17">
        <f>INDEX(AEO22_Table_21._Residential_Sec!$E$8:$AJ$93,MATCH($B47,AEO22_Table_21._Residential_Sec!$C$8:$C$93,0),MATCH(W$4,AEO22_Table_21._Residential_Sec!$E$5:$AJ$5,0))*gigwatt_to_megawatt*Percent_Urban</f>
        <v>11.638453493078604</v>
      </c>
      <c r="X47" s="17">
        <f>INDEX(AEO22_Table_21._Residential_Sec!$E$8:$AJ$93,MATCH($B47,AEO22_Table_21._Residential_Sec!$C$8:$C$93,0),MATCH(X$4,AEO22_Table_21._Residential_Sec!$E$5:$AJ$5,0))*gigwatt_to_megawatt*Percent_Urban</f>
        <v>11.698621549421192</v>
      </c>
      <c r="Y47" s="17">
        <f>INDEX(AEO22_Table_21._Residential_Sec!$E$8:$AJ$93,MATCH($B47,AEO22_Table_21._Residential_Sec!$C$8:$C$93,0),MATCH(Y$4,AEO22_Table_21._Residential_Sec!$E$5:$AJ$5,0))*gigwatt_to_megawatt*Percent_Urban</f>
        <v>11.81001376183923</v>
      </c>
      <c r="Z47" s="17">
        <f>INDEX(AEO22_Table_21._Residential_Sec!$E$8:$AJ$93,MATCH($B47,AEO22_Table_21._Residential_Sec!$C$8:$C$93,0),MATCH(Z$4,AEO22_Table_21._Residential_Sec!$E$5:$AJ$5,0))*gigwatt_to_megawatt*Percent_Urban</f>
        <v>12.011658058771149</v>
      </c>
      <c r="AA47" s="17">
        <f>INDEX(AEO22_Table_21._Residential_Sec!$E$8:$AJ$93,MATCH($B47,AEO22_Table_21._Residential_Sec!$C$8:$C$93,0),MATCH(AA$4,AEO22_Table_21._Residential_Sec!$E$5:$AJ$5,0))*gigwatt_to_megawatt*Percent_Urban</f>
        <v>12.214115437545535</v>
      </c>
      <c r="AB47" s="17">
        <f>INDEX(AEO22_Table_21._Residential_Sec!$E$8:$AJ$93,MATCH($B47,AEO22_Table_21._Residential_Sec!$C$8:$C$93,0),MATCH(AB$4,AEO22_Table_21._Residential_Sec!$E$5:$AJ$5,0))*gigwatt_to_megawatt*Percent_Urban</f>
        <v>12.417385898162388</v>
      </c>
      <c r="AC47" s="17">
        <f>INDEX(AEO22_Table_21._Residential_Sec!$E$8:$AJ$93,MATCH($B47,AEO22_Table_21._Residential_Sec!$C$8:$C$93,0),MATCH(AC$4,AEO22_Table_21._Residential_Sec!$E$5:$AJ$5,0))*gigwatt_to_megawatt*Percent_Urban</f>
        <v>12.620656358779241</v>
      </c>
      <c r="AD47" s="17">
        <f>INDEX(AEO22_Table_21._Residential_Sec!$E$8:$AJ$93,MATCH($B47,AEO22_Table_21._Residential_Sec!$C$8:$C$93,0),MATCH(AD$4,AEO22_Table_21._Residential_Sec!$E$5:$AJ$5,0))*gigwatt_to_megawatt*Percent_Urban</f>
        <v>12.824739901238564</v>
      </c>
      <c r="AE47" s="17">
        <f>INDEX(AEO22_Table_21._Residential_Sec!$E$8:$AJ$93,MATCH($B47,AEO22_Table_21._Residential_Sec!$C$8:$C$93,0),MATCH(AE$4,AEO22_Table_21._Residential_Sec!$E$5:$AJ$5,0))*gigwatt_to_megawatt*Percent_Urban</f>
        <v>13.028823443697886</v>
      </c>
      <c r="AF47" s="17">
        <f>INDEX(AEO22_Table_21._Residential_Sec!$E$8:$AJ$93,MATCH($B47,AEO22_Table_21._Residential_Sec!$C$8:$C$93,0),MATCH(AF$4,AEO22_Table_21._Residential_Sec!$E$5:$AJ$5,0))*gigwatt_to_megawatt*Percent_Urban</f>
        <v>13.232906986157209</v>
      </c>
      <c r="AG47" s="17">
        <f>INDEX(AEO22_Table_21._Residential_Sec!$E$8:$AJ$93,MATCH($B47,AEO22_Table_21._Residential_Sec!$C$8:$C$93,0),MATCH(AG$4,AEO22_Table_21._Residential_Sec!$E$5:$AJ$5,0))*gigwatt_to_megawatt*Percent_Urban</f>
        <v>13.437803610458998</v>
      </c>
      <c r="AH47" s="17">
        <f>INDEX(AEO22_Table_21._Residential_Sec!$E$8:$AJ$93,MATCH($B47,AEO22_Table_21._Residential_Sec!$C$8:$C$93,0),MATCH(AH$4,AEO22_Table_21._Residential_Sec!$E$5:$AJ$5,0))*gigwatt_to_megawatt*Percent_Urban</f>
        <v>13.642700234760786</v>
      </c>
      <c r="AI47" s="17">
        <f>INDEX(AEO22_Table_21._Residential_Sec!$E$8:$AJ$93,MATCH($B47,AEO22_Table_21._Residential_Sec!$C$8:$C$93,0),MATCH(AI$4,AEO22_Table_21._Residential_Sec!$E$5:$AJ$5,0))*gigwatt_to_megawatt*Percent_Urban</f>
        <v>13.847596859062577</v>
      </c>
    </row>
    <row r="48" spans="1:35" x14ac:dyDescent="0.25">
      <c r="A48" t="s">
        <v>549</v>
      </c>
      <c r="B48" s="3" t="s">
        <v>755</v>
      </c>
      <c r="C48" t="s">
        <v>10</v>
      </c>
      <c r="D48" s="17"/>
      <c r="E48" s="17">
        <f>INDEX(AEO21_Table_21._Residential_Sec!$E$8:$AK$93,MATCH($A48,AEO21_Table_21._Residential_Sec!$C$8:$C$93,0),MATCH(E$4,AEO21_Table_21._Residential_Sec!$E$5:$AK$5,0))*gigwatt_to_megawatt*Percent_Urban</f>
        <v>14894.199872095845</v>
      </c>
      <c r="F48" s="17">
        <f>INDEX(AEO22_Table_21._Residential_Sec!$E$8:$AJ$93,MATCH($B48,AEO22_Table_21._Residential_Sec!$C$8:$C$93,0),MATCH(F$4,AEO22_Table_21._Residential_Sec!$E$5:$AJ$5,0))*gigwatt_to_megawatt*Percent_Urban</f>
        <v>17296.296503197602</v>
      </c>
      <c r="G48" s="17">
        <f>INDEX(AEO22_Table_21._Residential_Sec!$E$8:$AJ$93,MATCH($B48,AEO22_Table_21._Residential_Sec!$C$8:$C$93,0),MATCH(G$4,AEO22_Table_21._Residential_Sec!$E$5:$AJ$5,0))*gigwatt_to_megawatt*Percent_Urban</f>
        <v>18879.378233627456</v>
      </c>
      <c r="H48" s="17">
        <f>INDEX(AEO22_Table_21._Residential_Sec!$E$8:$AJ$93,MATCH($B48,AEO22_Table_21._Residential_Sec!$C$8:$C$93,0),MATCH(H$4,AEO22_Table_21._Residential_Sec!$E$5:$AJ$5,0))*gigwatt_to_megawatt*Percent_Urban</f>
        <v>20461.176107828058</v>
      </c>
      <c r="I48" s="17">
        <f>INDEX(AEO22_Table_21._Residential_Sec!$E$8:$AJ$93,MATCH($B48,AEO22_Table_21._Residential_Sec!$C$8:$C$93,0),MATCH(I$4,AEO22_Table_21._Residential_Sec!$E$5:$AJ$5,0))*gigwatt_to_megawatt*Percent_Urban</f>
        <v>21593.212069294907</v>
      </c>
      <c r="J48" s="17">
        <f>INDEX(AEO22_Table_21._Residential_Sec!$E$8:$AJ$93,MATCH($B48,AEO22_Table_21._Residential_Sec!$C$8:$C$93,0),MATCH(J$4,AEO22_Table_21._Residential_Sec!$E$5:$AJ$5,0))*gigwatt_to_megawatt*Percent_Urban</f>
        <v>22652.840653444506</v>
      </c>
      <c r="K48" s="17">
        <f>INDEX(AEO22_Table_21._Residential_Sec!$E$8:$AJ$93,MATCH($B48,AEO22_Table_21._Residential_Sec!$C$8:$C$93,0),MATCH(K$4,AEO22_Table_21._Residential_Sec!$E$5:$AJ$5,0))*gigwatt_to_megawatt*Percent_Urban</f>
        <v>23703.522084999593</v>
      </c>
      <c r="L48" s="17">
        <f>INDEX(AEO22_Table_21._Residential_Sec!$E$8:$AJ$93,MATCH($B48,AEO22_Table_21._Residential_Sec!$C$8:$C$93,0),MATCH(L$4,AEO22_Table_21._Residential_Sec!$E$5:$AJ$5,0))*gigwatt_to_megawatt*Percent_Urban</f>
        <v>24762.227821257991</v>
      </c>
      <c r="M48" s="17">
        <f>INDEX(AEO22_Table_21._Residential_Sec!$E$8:$AJ$93,MATCH($B48,AEO22_Table_21._Residential_Sec!$C$8:$C$93,0),MATCH(M$4,AEO22_Table_21._Residential_Sec!$E$5:$AJ$5,0))*gigwatt_to_megawatt*Percent_Urban</f>
        <v>25877.316717882295</v>
      </c>
      <c r="N48" s="17">
        <f>INDEX(AEO22_Table_21._Residential_Sec!$E$8:$AJ$93,MATCH($B48,AEO22_Table_21._Residential_Sec!$C$8:$C$93,0),MATCH(N$4,AEO22_Table_21._Residential_Sec!$E$5:$AJ$5,0))*gigwatt_to_megawatt*Percent_Urban</f>
        <v>27042.424783291506</v>
      </c>
      <c r="O48" s="17">
        <f>INDEX(AEO22_Table_21._Residential_Sec!$E$8:$AJ$93,MATCH($B48,AEO22_Table_21._Residential_Sec!$C$8:$C$93,0),MATCH(O$4,AEO22_Table_21._Residential_Sec!$E$5:$AJ$5,0))*gigwatt_to_megawatt*Percent_Urban</f>
        <v>28219.504665749206</v>
      </c>
      <c r="P48" s="17">
        <f>INDEX(AEO22_Table_21._Residential_Sec!$E$8:$AJ$93,MATCH($B48,AEO22_Table_21._Residential_Sec!$C$8:$C$93,0),MATCH(P$4,AEO22_Table_21._Residential_Sec!$E$5:$AJ$5,0))*gigwatt_to_megawatt*Percent_Urban</f>
        <v>29465.159870800609</v>
      </c>
      <c r="Q48" s="17">
        <f>INDEX(AEO22_Table_21._Residential_Sec!$E$8:$AJ$93,MATCH($B48,AEO22_Table_21._Residential_Sec!$C$8:$C$93,0),MATCH(Q$4,AEO22_Table_21._Residential_Sec!$E$5:$AJ$5,0))*gigwatt_to_megawatt*Percent_Urban</f>
        <v>30758.239700477618</v>
      </c>
      <c r="R48" s="17">
        <f>INDEX(AEO22_Table_21._Residential_Sec!$E$8:$AJ$93,MATCH($B48,AEO22_Table_21._Residential_Sec!$C$8:$C$93,0),MATCH(R$4,AEO22_Table_21._Residential_Sec!$E$5:$AJ$5,0))*gigwatt_to_megawatt*Percent_Urban</f>
        <v>32185.431688496719</v>
      </c>
      <c r="S48" s="17">
        <f>INDEX(AEO22_Table_21._Residential_Sec!$E$8:$AJ$93,MATCH($B48,AEO22_Table_21._Residential_Sec!$C$8:$C$93,0),MATCH(S$4,AEO22_Table_21._Residential_Sec!$E$5:$AJ$5,0))*gigwatt_to_megawatt*Percent_Urban</f>
        <v>33728.433362583986</v>
      </c>
      <c r="T48" s="17">
        <f>INDEX(AEO22_Table_21._Residential_Sec!$E$8:$AJ$93,MATCH($B48,AEO22_Table_21._Residential_Sec!$C$8:$C$93,0),MATCH(T$4,AEO22_Table_21._Residential_Sec!$E$5:$AJ$5,0))*gigwatt_to_megawatt*Percent_Urban</f>
        <v>35262.787911276617</v>
      </c>
      <c r="U48" s="17">
        <f>INDEX(AEO22_Table_21._Residential_Sec!$E$8:$AJ$93,MATCH($B48,AEO22_Table_21._Residential_Sec!$C$8:$C$93,0),MATCH(U$4,AEO22_Table_21._Residential_Sec!$E$5:$AJ$5,0))*gigwatt_to_megawatt*Percent_Urban</f>
        <v>36805.752996680967</v>
      </c>
      <c r="V48" s="17">
        <f>INDEX(AEO22_Table_21._Residential_Sec!$E$8:$AJ$93,MATCH($B48,AEO22_Table_21._Residential_Sec!$C$8:$C$93,0),MATCH(V$4,AEO22_Table_21._Residential_Sec!$E$5:$AJ$5,0))*gigwatt_to_megawatt*Percent_Urban</f>
        <v>38497.913721687037</v>
      </c>
      <c r="W48" s="17">
        <f>INDEX(AEO22_Table_21._Residential_Sec!$E$8:$AJ$93,MATCH($B48,AEO22_Table_21._Residential_Sec!$C$8:$C$93,0),MATCH(W$4,AEO22_Table_21._Residential_Sec!$E$5:$AJ$5,0))*gigwatt_to_megawatt*Percent_Urban</f>
        <v>40178.083115680398</v>
      </c>
      <c r="X48" s="17">
        <f>INDEX(AEO22_Table_21._Residential_Sec!$E$8:$AJ$93,MATCH($B48,AEO22_Table_21._Residential_Sec!$C$8:$C$93,0),MATCH(X$4,AEO22_Table_21._Residential_Sec!$E$5:$AJ$5,0))*gigwatt_to_megawatt*Percent_Urban</f>
        <v>41953.564402493321</v>
      </c>
      <c r="Y48" s="17">
        <f>INDEX(AEO22_Table_21._Residential_Sec!$E$8:$AJ$93,MATCH($B48,AEO22_Table_21._Residential_Sec!$C$8:$C$93,0),MATCH(Y$4,AEO22_Table_21._Residential_Sec!$E$5:$AJ$5,0))*gigwatt_to_megawatt*Percent_Urban</f>
        <v>43896.987743867881</v>
      </c>
      <c r="Z48" s="17">
        <f>INDEX(AEO22_Table_21._Residential_Sec!$E$8:$AJ$93,MATCH($B48,AEO22_Table_21._Residential_Sec!$C$8:$C$93,0),MATCH(Z$4,AEO22_Table_21._Residential_Sec!$E$5:$AJ$5,0))*gigwatt_to_megawatt*Percent_Urban</f>
        <v>45898.718810329468</v>
      </c>
      <c r="AA48" s="17">
        <f>INDEX(AEO22_Table_21._Residential_Sec!$E$8:$AJ$93,MATCH($B48,AEO22_Table_21._Residential_Sec!$C$8:$C$93,0),MATCH(AA$4,AEO22_Table_21._Residential_Sec!$E$5:$AJ$5,0))*gigwatt_to_megawatt*Percent_Urban</f>
        <v>48098.578407836147</v>
      </c>
      <c r="AB48" s="17">
        <f>INDEX(AEO22_Table_21._Residential_Sec!$E$8:$AJ$93,MATCH($B48,AEO22_Table_21._Residential_Sec!$C$8:$C$93,0),MATCH(AB$4,AEO22_Table_21._Residential_Sec!$E$5:$AJ$5,0))*gigwatt_to_megawatt*Percent_Urban</f>
        <v>50418.887136404104</v>
      </c>
      <c r="AC48" s="17">
        <f>INDEX(AEO22_Table_21._Residential_Sec!$E$8:$AJ$93,MATCH($B48,AEO22_Table_21._Residential_Sec!$C$8:$C$93,0),MATCH(AC$4,AEO22_Table_21._Residential_Sec!$E$5:$AJ$5,0))*gigwatt_to_megawatt*Percent_Urban</f>
        <v>52775.520296284303</v>
      </c>
      <c r="AD48" s="17">
        <f>INDEX(AEO22_Table_21._Residential_Sec!$E$8:$AJ$93,MATCH($B48,AEO22_Table_21._Residential_Sec!$C$8:$C$93,0),MATCH(AD$4,AEO22_Table_21._Residential_Sec!$E$5:$AJ$5,0))*gigwatt_to_megawatt*Percent_Urban</f>
        <v>55300.507743220267</v>
      </c>
      <c r="AE48" s="17">
        <f>INDEX(AEO22_Table_21._Residential_Sec!$E$8:$AJ$93,MATCH($B48,AEO22_Table_21._Residential_Sec!$C$8:$C$93,0),MATCH(AE$4,AEO22_Table_21._Residential_Sec!$E$5:$AJ$5,0))*gigwatt_to_megawatt*Percent_Urban</f>
        <v>57917.906820043718</v>
      </c>
      <c r="AF48" s="17">
        <f>INDEX(AEO22_Table_21._Residential_Sec!$E$8:$AJ$93,MATCH($B48,AEO22_Table_21._Residential_Sec!$C$8:$C$93,0),MATCH(AF$4,AEO22_Table_21._Residential_Sec!$E$5:$AJ$5,0))*gigwatt_to_megawatt*Percent_Urban</f>
        <v>60684.079546992631</v>
      </c>
      <c r="AG48" s="17">
        <f>INDEX(AEO22_Table_21._Residential_Sec!$E$8:$AJ$93,MATCH($B48,AEO22_Table_21._Residential_Sec!$C$8:$C$93,0),MATCH(AG$4,AEO22_Table_21._Residential_Sec!$E$5:$AJ$5,0))*gigwatt_to_megawatt*Percent_Urban</f>
        <v>63599.374736177451</v>
      </c>
      <c r="AH48" s="17">
        <f>INDEX(AEO22_Table_21._Residential_Sec!$E$8:$AJ$93,MATCH($B48,AEO22_Table_21._Residential_Sec!$C$8:$C$93,0),MATCH(AH$4,AEO22_Table_21._Residential_Sec!$E$5:$AJ$5,0))*gigwatt_to_megawatt*Percent_Urban</f>
        <v>66666.395875657719</v>
      </c>
      <c r="AI48" s="17">
        <f>INDEX(AEO22_Table_21._Residential_Sec!$E$8:$AJ$93,MATCH($B48,AEO22_Table_21._Residential_Sec!$C$8:$C$93,0),MATCH(AI$4,AEO22_Table_21._Residential_Sec!$E$5:$AJ$5,0))*gigwatt_to_megawatt*Percent_Urban</f>
        <v>69807.0635291832</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f>INDEX(AEO21_Table_21._Residential_Sec!$E$8:$AK$93,MATCH($A63,AEO21_Table_21._Residential_Sec!$C$8:$C$93,0),MATCH(E$4,AEO21_Table_21._Residential_Sec!$E$5:$AK$5,0))*gigwatt_to_megawatt*Percent_rural</f>
        <v>0</v>
      </c>
      <c r="F63" s="17">
        <f>INDEX(AEO22_Table_21._Residential_Sec!$E$8:$AJ$93,MATCH($B63,AEO22_Table_21._Residential_Sec!$C$8:$C$93,0),MATCH(F$4,AEO22_Table_21._Residential_Sec!$E$5:$AJ$5,0))*gigwatt_to_megawatt*Percent_rural</f>
        <v>0</v>
      </c>
      <c r="G63" s="17">
        <f>INDEX(AEO22_Table_21._Residential_Sec!$E$8:$AJ$93,MATCH($B63,AEO22_Table_21._Residential_Sec!$C$8:$C$93,0),MATCH(G$4,AEO22_Table_21._Residential_Sec!$E$5:$AJ$5,0))*gigwatt_to_megawatt*Percent_rural</f>
        <v>0</v>
      </c>
      <c r="H63" s="17">
        <f>INDEX(AEO22_Table_21._Residential_Sec!$E$8:$AJ$93,MATCH($B63,AEO22_Table_21._Residential_Sec!$C$8:$C$93,0),MATCH(H$4,AEO22_Table_21._Residential_Sec!$E$5:$AJ$5,0))*gigwatt_to_megawatt*Percent_rural</f>
        <v>0</v>
      </c>
      <c r="I63" s="17">
        <f>INDEX(AEO22_Table_21._Residential_Sec!$E$8:$AJ$93,MATCH($B63,AEO22_Table_21._Residential_Sec!$C$8:$C$93,0),MATCH(I$4,AEO22_Table_21._Residential_Sec!$E$5:$AJ$5,0))*gigwatt_to_megawatt*Percent_rural</f>
        <v>0</v>
      </c>
      <c r="J63" s="17">
        <f>INDEX(AEO22_Table_21._Residential_Sec!$E$8:$AJ$93,MATCH($B63,AEO22_Table_21._Residential_Sec!$C$8:$C$93,0),MATCH(J$4,AEO22_Table_21._Residential_Sec!$E$5:$AJ$5,0))*gigwatt_to_megawatt*Percent_rural</f>
        <v>0</v>
      </c>
      <c r="K63" s="17">
        <f>INDEX(AEO22_Table_21._Residential_Sec!$E$8:$AJ$93,MATCH($B63,AEO22_Table_21._Residential_Sec!$C$8:$C$93,0),MATCH(K$4,AEO22_Table_21._Residential_Sec!$E$5:$AJ$5,0))*gigwatt_to_megawatt*Percent_rural</f>
        <v>0</v>
      </c>
      <c r="L63" s="17">
        <f>INDEX(AEO22_Table_21._Residential_Sec!$E$8:$AJ$93,MATCH($B63,AEO22_Table_21._Residential_Sec!$C$8:$C$93,0),MATCH(L$4,AEO22_Table_21._Residential_Sec!$E$5:$AJ$5,0))*gigwatt_to_megawatt*Percent_rural</f>
        <v>0</v>
      </c>
      <c r="M63" s="17">
        <f>INDEX(AEO22_Table_21._Residential_Sec!$E$8:$AJ$93,MATCH($B63,AEO22_Table_21._Residential_Sec!$C$8:$C$93,0),MATCH(M$4,AEO22_Table_21._Residential_Sec!$E$5:$AJ$5,0))*gigwatt_to_megawatt*Percent_rural</f>
        <v>0</v>
      </c>
      <c r="N63" s="17">
        <f>INDEX(AEO22_Table_21._Residential_Sec!$E$8:$AJ$93,MATCH($B63,AEO22_Table_21._Residential_Sec!$C$8:$C$93,0),MATCH(N$4,AEO22_Table_21._Residential_Sec!$E$5:$AJ$5,0))*gigwatt_to_megawatt*Percent_rural</f>
        <v>0</v>
      </c>
      <c r="O63" s="17">
        <f>INDEX(AEO22_Table_21._Residential_Sec!$E$8:$AJ$93,MATCH($B63,AEO22_Table_21._Residential_Sec!$C$8:$C$93,0),MATCH(O$4,AEO22_Table_21._Residential_Sec!$E$5:$AJ$5,0))*gigwatt_to_megawatt*Percent_rural</f>
        <v>0</v>
      </c>
      <c r="P63" s="17">
        <f>INDEX(AEO22_Table_21._Residential_Sec!$E$8:$AJ$93,MATCH($B63,AEO22_Table_21._Residential_Sec!$C$8:$C$93,0),MATCH(P$4,AEO22_Table_21._Residential_Sec!$E$5:$AJ$5,0))*gigwatt_to_megawatt*Percent_rural</f>
        <v>0</v>
      </c>
      <c r="Q63" s="17">
        <f>INDEX(AEO22_Table_21._Residential_Sec!$E$8:$AJ$93,MATCH($B63,AEO22_Table_21._Residential_Sec!$C$8:$C$93,0),MATCH(Q$4,AEO22_Table_21._Residential_Sec!$E$5:$AJ$5,0))*gigwatt_to_megawatt*Percent_rural</f>
        <v>0</v>
      </c>
      <c r="R63" s="17">
        <f>INDEX(AEO22_Table_21._Residential_Sec!$E$8:$AJ$93,MATCH($B63,AEO22_Table_21._Residential_Sec!$C$8:$C$93,0),MATCH(R$4,AEO22_Table_21._Residential_Sec!$E$5:$AJ$5,0))*gigwatt_to_megawatt*Percent_rural</f>
        <v>0</v>
      </c>
      <c r="S63" s="17">
        <f>INDEX(AEO22_Table_21._Residential_Sec!$E$8:$AJ$93,MATCH($B63,AEO22_Table_21._Residential_Sec!$C$8:$C$93,0),MATCH(S$4,AEO22_Table_21._Residential_Sec!$E$5:$AJ$5,0))*gigwatt_to_megawatt*Percent_rural</f>
        <v>3.7383631506516634E-4</v>
      </c>
      <c r="T63" s="17">
        <f>INDEX(AEO22_Table_21._Residential_Sec!$E$8:$AJ$93,MATCH($B63,AEO22_Table_21._Residential_Sec!$C$8:$C$93,0),MATCH(T$4,AEO22_Table_21._Residential_Sec!$E$5:$AJ$5,0))*gigwatt_to_megawatt*Percent_rural</f>
        <v>9.3459078766291591E-4</v>
      </c>
      <c r="U63" s="17">
        <f>INDEX(AEO22_Table_21._Residential_Sec!$E$8:$AJ$93,MATCH($B63,AEO22_Table_21._Residential_Sec!$C$8:$C$93,0),MATCH(U$4,AEO22_Table_21._Residential_Sec!$E$5:$AJ$5,0))*gigwatt_to_megawatt*Percent_rural</f>
        <v>1.8691815753258318E-3</v>
      </c>
      <c r="V63" s="17">
        <f>INDEX(AEO22_Table_21._Residential_Sec!$E$8:$AJ$93,MATCH($B63,AEO22_Table_21._Residential_Sec!$C$8:$C$93,0),MATCH(V$4,AEO22_Table_21._Residential_Sec!$E$5:$AJ$5,0))*gigwatt_to_megawatt*Percent_rural</f>
        <v>3.9252813081842464E-3</v>
      </c>
      <c r="W63" s="17">
        <f>INDEX(AEO22_Table_21._Residential_Sec!$E$8:$AJ$93,MATCH($B63,AEO22_Table_21._Residential_Sec!$C$8:$C$93,0),MATCH(W$4,AEO22_Table_21._Residential_Sec!$E$5:$AJ$5,0))*gigwatt_to_megawatt*Percent_rural</f>
        <v>7.6636444588359101E-3</v>
      </c>
      <c r="X63" s="17">
        <f>INDEX(AEO22_Table_21._Residential_Sec!$E$8:$AJ$93,MATCH($B63,AEO22_Table_21._Residential_Sec!$C$8:$C$93,0),MATCH(X$4,AEO22_Table_21._Residential_Sec!$E$5:$AJ$5,0))*gigwatt_to_megawatt*Percent_rural</f>
        <v>1.4579616287541487E-2</v>
      </c>
      <c r="Y63" s="17">
        <f>INDEX(AEO22_Table_21._Residential_Sec!$E$8:$AJ$93,MATCH($B63,AEO22_Table_21._Residential_Sec!$C$8:$C$93,0),MATCH(Y$4,AEO22_Table_21._Residential_Sec!$E$5:$AJ$5,0))*gigwatt_to_megawatt*Percent_rural</f>
        <v>2.7290050999757141E-2</v>
      </c>
      <c r="Z63" s="17">
        <f>INDEX(AEO22_Table_21._Residential_Sec!$E$8:$AJ$93,MATCH($B63,AEO22_Table_21._Residential_Sec!$C$8:$C$93,0),MATCH(Z$4,AEO22_Table_21._Residential_Sec!$E$5:$AJ$5,0))*gigwatt_to_megawatt*Percent_rural</f>
        <v>5.0654820691330031E-2</v>
      </c>
      <c r="AA63" s="17">
        <f>INDEX(AEO22_Table_21._Residential_Sec!$E$8:$AJ$93,MATCH($B63,AEO22_Table_21._Residential_Sec!$C$8:$C$93,0),MATCH(AA$4,AEO22_Table_21._Residential_Sec!$E$5:$AJ$5,0))*gigwatt_to_megawatt*Percent_rural</f>
        <v>7.3832672225370363E-2</v>
      </c>
      <c r="AB63" s="17">
        <f>INDEX(AEO22_Table_21._Residential_Sec!$E$8:$AJ$93,MATCH($B63,AEO22_Table_21._Residential_Sec!$C$8:$C$93,0),MATCH(AB$4,AEO22_Table_21._Residential_Sec!$E$5:$AJ$5,0))*gigwatt_to_megawatt*Percent_rural</f>
        <v>9.7197441916943239E-2</v>
      </c>
      <c r="AC63" s="17">
        <f>INDEX(AEO22_Table_21._Residential_Sec!$E$8:$AJ$93,MATCH($B63,AEO22_Table_21._Residential_Sec!$C$8:$C$93,0),MATCH(AC$4,AEO22_Table_21._Residential_Sec!$E$5:$AJ$5,0))*gigwatt_to_megawatt*Percent_rural</f>
        <v>0.12056221160851613</v>
      </c>
      <c r="AD63" s="17">
        <f>INDEX(AEO22_Table_21._Residential_Sec!$E$8:$AJ$93,MATCH($B63,AEO22_Table_21._Residential_Sec!$C$8:$C$93,0),MATCH(AD$4,AEO22_Table_21._Residential_Sec!$E$5:$AJ$5,0))*gigwatt_to_megawatt*Percent_rural</f>
        <v>0.14392698130008902</v>
      </c>
      <c r="AE63" s="17">
        <f>INDEX(AEO22_Table_21._Residential_Sec!$E$8:$AJ$93,MATCH($B63,AEO22_Table_21._Residential_Sec!$C$8:$C$93,0),MATCH(AE$4,AEO22_Table_21._Residential_Sec!$E$5:$AJ$5,0))*gigwatt_to_megawatt*Percent_rural</f>
        <v>0.16747866914919451</v>
      </c>
      <c r="AF63" s="17">
        <f>INDEX(AEO22_Table_21._Residential_Sec!$E$8:$AJ$93,MATCH($B63,AEO22_Table_21._Residential_Sec!$C$8:$C$93,0),MATCH(AF$4,AEO22_Table_21._Residential_Sec!$E$5:$AJ$5,0))*gigwatt_to_megawatt*Percent_rural</f>
        <v>0.19103035699829995</v>
      </c>
      <c r="AG63" s="17">
        <f>INDEX(AEO22_Table_21._Residential_Sec!$E$8:$AJ$93,MATCH($B63,AEO22_Table_21._Residential_Sec!$C$8:$C$93,0),MATCH(AG$4,AEO22_Table_21._Residential_Sec!$E$5:$AJ$5,0))*gigwatt_to_megawatt*Percent_rural</f>
        <v>0.2143951266898729</v>
      </c>
      <c r="AH63" s="17">
        <f>INDEX(AEO22_Table_21._Residential_Sec!$E$8:$AJ$93,MATCH($B63,AEO22_Table_21._Residential_Sec!$C$8:$C$93,0),MATCH(AH$4,AEO22_Table_21._Residential_Sec!$E$5:$AJ$5,0))*gigwatt_to_megawatt*Percent_rural</f>
        <v>0.2379468145389784</v>
      </c>
      <c r="AI63" s="17">
        <f>INDEX(AEO22_Table_21._Residential_Sec!$E$8:$AJ$93,MATCH($B63,AEO22_Table_21._Residential_Sec!$C$8:$C$93,0),MATCH(AI$4,AEO22_Table_21._Residential_Sec!$E$5:$AJ$5,0))*gigwatt_to_megawatt*Percent_rural</f>
        <v>0.26149850238808386</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f>INDEX(AEO21_Table_21._Residential_Sec!$E$8:$AK$93,MATCH($A66,AEO21_Table_21._Residential_Sec!$C$8:$C$93,0),MATCH(E$4,AEO21_Table_21._Residential_Sec!$E$5:$AK$5,0))*gigwatt_to_megawatt*Percent_rural</f>
        <v>2.6602192180037236</v>
      </c>
      <c r="F66" s="17">
        <f>INDEX(AEO22_Table_21._Residential_Sec!$E$8:$AJ$93,MATCH($B66,AEO22_Table_21._Residential_Sec!$C$8:$C$93,0),MATCH(F$4,AEO22_Table_21._Residential_Sec!$E$5:$AJ$5,0))*gigwatt_to_megawatt*Percent_rural</f>
        <v>2.6602192180037236</v>
      </c>
      <c r="G66" s="17">
        <f>INDEX(AEO22_Table_21._Residential_Sec!$E$8:$AJ$93,MATCH($B66,AEO22_Table_21._Residential_Sec!$C$8:$C$93,0),MATCH(G$4,AEO22_Table_21._Residential_Sec!$E$5:$AJ$5,0))*gigwatt_to_megawatt*Percent_rural</f>
        <v>2.6602192180037236</v>
      </c>
      <c r="H66" s="17">
        <f>INDEX(AEO22_Table_21._Residential_Sec!$E$8:$AJ$93,MATCH($B66,AEO22_Table_21._Residential_Sec!$C$8:$C$93,0),MATCH(H$4,AEO22_Table_21._Residential_Sec!$E$5:$AJ$5,0))*gigwatt_to_megawatt*Percent_rural</f>
        <v>2.6602192180037236</v>
      </c>
      <c r="I66" s="17">
        <f>INDEX(AEO22_Table_21._Residential_Sec!$E$8:$AJ$93,MATCH($B66,AEO22_Table_21._Residential_Sec!$C$8:$C$93,0),MATCH(I$4,AEO22_Table_21._Residential_Sec!$E$5:$AJ$5,0))*gigwatt_to_megawatt*Percent_rural</f>
        <v>2.6602192180037236</v>
      </c>
      <c r="J66" s="17">
        <f>INDEX(AEO22_Table_21._Residential_Sec!$E$8:$AJ$93,MATCH($B66,AEO22_Table_21._Residential_Sec!$C$8:$C$93,0),MATCH(J$4,AEO22_Table_21._Residential_Sec!$E$5:$AJ$5,0))*gigwatt_to_megawatt*Percent_rural</f>
        <v>2.6602192180037236</v>
      </c>
      <c r="K66" s="17">
        <f>INDEX(AEO22_Table_21._Residential_Sec!$E$8:$AJ$93,MATCH($B66,AEO22_Table_21._Residential_Sec!$C$8:$C$93,0),MATCH(K$4,AEO22_Table_21._Residential_Sec!$E$5:$AJ$5,0))*gigwatt_to_megawatt*Percent_rural</f>
        <v>2.6602192180037236</v>
      </c>
      <c r="L66" s="17">
        <f>INDEX(AEO22_Table_21._Residential_Sec!$E$8:$AJ$93,MATCH($B66,AEO22_Table_21._Residential_Sec!$C$8:$C$93,0),MATCH(L$4,AEO22_Table_21._Residential_Sec!$E$5:$AJ$5,0))*gigwatt_to_megawatt*Percent_rural</f>
        <v>2.6602192180037236</v>
      </c>
      <c r="M66" s="17">
        <f>INDEX(AEO22_Table_21._Residential_Sec!$E$8:$AJ$93,MATCH($B66,AEO22_Table_21._Residential_Sec!$C$8:$C$93,0),MATCH(M$4,AEO22_Table_21._Residential_Sec!$E$5:$AJ$5,0))*gigwatt_to_megawatt*Percent_rural</f>
        <v>2.6602192180037236</v>
      </c>
      <c r="N66" s="17">
        <f>INDEX(AEO22_Table_21._Residential_Sec!$E$8:$AJ$93,MATCH($B66,AEO22_Table_21._Residential_Sec!$C$8:$C$93,0),MATCH(N$4,AEO22_Table_21._Residential_Sec!$E$5:$AJ$5,0))*gigwatt_to_megawatt*Percent_rural</f>
        <v>2.6602192180037236</v>
      </c>
      <c r="O66" s="17">
        <f>INDEX(AEO22_Table_21._Residential_Sec!$E$8:$AJ$93,MATCH($B66,AEO22_Table_21._Residential_Sec!$C$8:$C$93,0),MATCH(O$4,AEO22_Table_21._Residential_Sec!$E$5:$AJ$5,0))*gigwatt_to_megawatt*Percent_rural</f>
        <v>2.6602192180037236</v>
      </c>
      <c r="P66" s="17">
        <f>INDEX(AEO22_Table_21._Residential_Sec!$E$8:$AJ$93,MATCH($B66,AEO22_Table_21._Residential_Sec!$C$8:$C$93,0),MATCH(P$4,AEO22_Table_21._Residential_Sec!$E$5:$AJ$5,0))*gigwatt_to_megawatt*Percent_rural</f>
        <v>2.6602192180037236</v>
      </c>
      <c r="Q66" s="17">
        <f>INDEX(AEO22_Table_21._Residential_Sec!$E$8:$AJ$93,MATCH($B66,AEO22_Table_21._Residential_Sec!$C$8:$C$93,0),MATCH(Q$4,AEO22_Table_21._Residential_Sec!$E$5:$AJ$5,0))*gigwatt_to_megawatt*Percent_rural</f>
        <v>2.6604061361612565</v>
      </c>
      <c r="R66" s="17">
        <f>INDEX(AEO22_Table_21._Residential_Sec!$E$8:$AJ$93,MATCH($B66,AEO22_Table_21._Residential_Sec!$C$8:$C$93,0),MATCH(R$4,AEO22_Table_21._Residential_Sec!$E$5:$AJ$5,0))*gigwatt_to_megawatt*Percent_rural</f>
        <v>2.6604061361612565</v>
      </c>
      <c r="S66" s="17">
        <f>INDEX(AEO22_Table_21._Residential_Sec!$E$8:$AJ$93,MATCH($B66,AEO22_Table_21._Residential_Sec!$C$8:$C$93,0),MATCH(S$4,AEO22_Table_21._Residential_Sec!$E$5:$AJ$5,0))*gigwatt_to_megawatt*Percent_rural</f>
        <v>2.6609668906338544</v>
      </c>
      <c r="T66" s="17">
        <f>INDEX(AEO22_Table_21._Residential_Sec!$E$8:$AJ$93,MATCH($B66,AEO22_Table_21._Residential_Sec!$C$8:$C$93,0),MATCH(T$4,AEO22_Table_21._Residential_Sec!$E$5:$AJ$5,0))*gigwatt_to_megawatt*Percent_rural</f>
        <v>2.6620883995790492</v>
      </c>
      <c r="U66" s="17">
        <f>INDEX(AEO22_Table_21._Residential_Sec!$E$8:$AJ$93,MATCH($B66,AEO22_Table_21._Residential_Sec!$C$8:$C$93,0),MATCH(U$4,AEO22_Table_21._Residential_Sec!$E$5:$AJ$5,0))*gigwatt_to_megawatt*Percent_rural</f>
        <v>2.6641444993119081</v>
      </c>
      <c r="V66" s="17">
        <f>INDEX(AEO22_Table_21._Residential_Sec!$E$8:$AJ$93,MATCH($B66,AEO22_Table_21._Residential_Sec!$C$8:$C$93,0),MATCH(V$4,AEO22_Table_21._Residential_Sec!$E$5:$AJ$5,0))*gigwatt_to_megawatt*Percent_rural</f>
        <v>2.6680697806200926</v>
      </c>
      <c r="W66" s="17">
        <f>INDEX(AEO22_Table_21._Residential_Sec!$E$8:$AJ$93,MATCH($B66,AEO22_Table_21._Residential_Sec!$C$8:$C$93,0),MATCH(W$4,AEO22_Table_21._Residential_Sec!$E$5:$AJ$5,0))*gigwatt_to_megawatt*Percent_rural</f>
        <v>2.6755465069213957</v>
      </c>
      <c r="X66" s="17">
        <f>INDEX(AEO22_Table_21._Residential_Sec!$E$8:$AJ$93,MATCH($B66,AEO22_Table_21._Residential_Sec!$C$8:$C$93,0),MATCH(X$4,AEO22_Table_21._Residential_Sec!$E$5:$AJ$5,0))*gigwatt_to_megawatt*Percent_rural</f>
        <v>2.6893784505788068</v>
      </c>
      <c r="Y66" s="17">
        <f>INDEX(AEO22_Table_21._Residential_Sec!$E$8:$AJ$93,MATCH($B66,AEO22_Table_21._Residential_Sec!$C$8:$C$93,0),MATCH(Y$4,AEO22_Table_21._Residential_Sec!$E$5:$AJ$5,0))*gigwatt_to_megawatt*Percent_rural</f>
        <v>2.7149862381607708</v>
      </c>
      <c r="Z66" s="17">
        <f>INDEX(AEO22_Table_21._Residential_Sec!$E$8:$AJ$93,MATCH($B66,AEO22_Table_21._Residential_Sec!$C$8:$C$93,0),MATCH(Z$4,AEO22_Table_21._Residential_Sec!$E$5:$AJ$5,0))*gigwatt_to_megawatt*Percent_rural</f>
        <v>2.7613419412288511</v>
      </c>
      <c r="AA66" s="17">
        <f>INDEX(AEO22_Table_21._Residential_Sec!$E$8:$AJ$93,MATCH($B66,AEO22_Table_21._Residential_Sec!$C$8:$C$93,0),MATCH(AA$4,AEO22_Table_21._Residential_Sec!$E$5:$AJ$5,0))*gigwatt_to_megawatt*Percent_rural</f>
        <v>2.8078845624544644</v>
      </c>
      <c r="AB66" s="17">
        <f>INDEX(AEO22_Table_21._Residential_Sec!$E$8:$AJ$93,MATCH($B66,AEO22_Table_21._Residential_Sec!$C$8:$C$93,0),MATCH(AB$4,AEO22_Table_21._Residential_Sec!$E$5:$AJ$5,0))*gigwatt_to_megawatt*Percent_rural</f>
        <v>2.8546141018376101</v>
      </c>
      <c r="AC66" s="17">
        <f>INDEX(AEO22_Table_21._Residential_Sec!$E$8:$AJ$93,MATCH($B66,AEO22_Table_21._Residential_Sec!$C$8:$C$93,0),MATCH(AC$4,AEO22_Table_21._Residential_Sec!$E$5:$AJ$5,0))*gigwatt_to_megawatt*Percent_rural</f>
        <v>2.9013436412207558</v>
      </c>
      <c r="AD66" s="17">
        <f>INDEX(AEO22_Table_21._Residential_Sec!$E$8:$AJ$93,MATCH($B66,AEO22_Table_21._Residential_Sec!$C$8:$C$93,0),MATCH(AD$4,AEO22_Table_21._Residential_Sec!$E$5:$AJ$5,0))*gigwatt_to_megawatt*Percent_rural</f>
        <v>2.9482600987614345</v>
      </c>
      <c r="AE66" s="17">
        <f>INDEX(AEO22_Table_21._Residential_Sec!$E$8:$AJ$93,MATCH($B66,AEO22_Table_21._Residential_Sec!$C$8:$C$93,0),MATCH(AE$4,AEO22_Table_21._Residential_Sec!$E$5:$AJ$5,0))*gigwatt_to_megawatt*Percent_rural</f>
        <v>2.9951765563021131</v>
      </c>
      <c r="AF66" s="17">
        <f>INDEX(AEO22_Table_21._Residential_Sec!$E$8:$AJ$93,MATCH($B66,AEO22_Table_21._Residential_Sec!$C$8:$C$93,0),MATCH(AF$4,AEO22_Table_21._Residential_Sec!$E$5:$AJ$5,0))*gigwatt_to_megawatt*Percent_rural</f>
        <v>3.0420930138427917</v>
      </c>
      <c r="AG66" s="17">
        <f>INDEX(AEO22_Table_21._Residential_Sec!$E$8:$AJ$93,MATCH($B66,AEO22_Table_21._Residential_Sec!$C$8:$C$93,0),MATCH(AG$4,AEO22_Table_21._Residential_Sec!$E$5:$AJ$5,0))*gigwatt_to_megawatt*Percent_rural</f>
        <v>3.0891963895410024</v>
      </c>
      <c r="AH66" s="17">
        <f>INDEX(AEO22_Table_21._Residential_Sec!$E$8:$AJ$93,MATCH($B66,AEO22_Table_21._Residential_Sec!$C$8:$C$93,0),MATCH(AH$4,AEO22_Table_21._Residential_Sec!$E$5:$AJ$5,0))*gigwatt_to_megawatt*Percent_rural</f>
        <v>3.1362997652392131</v>
      </c>
      <c r="AI66" s="17">
        <f>INDEX(AEO22_Table_21._Residential_Sec!$E$8:$AJ$93,MATCH($B66,AEO22_Table_21._Residential_Sec!$C$8:$C$93,0),MATCH(AI$4,AEO22_Table_21._Residential_Sec!$E$5:$AJ$5,0))*gigwatt_to_megawatt*Percent_rural</f>
        <v>3.1834031409374246</v>
      </c>
    </row>
    <row r="67" spans="1:35" x14ac:dyDescent="0.25">
      <c r="A67" t="s">
        <v>549</v>
      </c>
      <c r="B67" s="3" t="s">
        <v>755</v>
      </c>
      <c r="C67" t="s">
        <v>10</v>
      </c>
      <c r="D67" s="17"/>
      <c r="E67" s="17">
        <f>INDEX(AEO21_Table_21._Residential_Sec!$E$8:$AK$93,MATCH($A67,AEO21_Table_21._Residential_Sec!$C$8:$C$93,0),MATCH(E$4,AEO21_Table_21._Residential_Sec!$E$5:$AK$5,0))*gigwatt_to_megawatt*Percent_rural</f>
        <v>3424.0051279041522</v>
      </c>
      <c r="F67" s="17">
        <f>INDEX(AEO22_Table_21._Residential_Sec!$E$8:$AJ$93,MATCH($B67,AEO22_Table_21._Residential_Sec!$C$8:$C$93,0),MATCH(F$4,AEO22_Table_21._Residential_Sec!$E$5:$AJ$5,0))*gigwatt_to_megawatt*Percent_rural</f>
        <v>3976.219496802396</v>
      </c>
      <c r="G67" s="17">
        <f>INDEX(AEO22_Table_21._Residential_Sec!$E$8:$AJ$93,MATCH($B67,AEO22_Table_21._Residential_Sec!$C$8:$C$93,0),MATCH(G$4,AEO22_Table_21._Residential_Sec!$E$5:$AJ$5,0))*gigwatt_to_megawatt*Percent_rural</f>
        <v>4340.1517663725408</v>
      </c>
      <c r="H67" s="17">
        <f>INDEX(AEO22_Table_21._Residential_Sec!$E$8:$AJ$93,MATCH($B67,AEO22_Table_21._Residential_Sec!$C$8:$C$93,0),MATCH(H$4,AEO22_Table_21._Residential_Sec!$E$5:$AJ$5,0))*gigwatt_to_megawatt*Percent_rural</f>
        <v>4703.7888921719423</v>
      </c>
      <c r="I67" s="17">
        <f>INDEX(AEO22_Table_21._Residential_Sec!$E$8:$AJ$93,MATCH($B67,AEO22_Table_21._Residential_Sec!$C$8:$C$93,0),MATCH(I$4,AEO22_Table_21._Residential_Sec!$E$5:$AJ$5,0))*gigwatt_to_megawatt*Percent_rural</f>
        <v>4964.0309307050911</v>
      </c>
      <c r="J67" s="17">
        <f>INDEX(AEO22_Table_21._Residential_Sec!$E$8:$AJ$93,MATCH($B67,AEO22_Table_21._Residential_Sec!$C$8:$C$93,0),MATCH(J$4,AEO22_Table_21._Residential_Sec!$E$5:$AJ$5,0))*gigwatt_to_megawatt*Percent_rural</f>
        <v>5207.6273465554923</v>
      </c>
      <c r="K67" s="17">
        <f>INDEX(AEO22_Table_21._Residential_Sec!$E$8:$AJ$93,MATCH($B67,AEO22_Table_21._Residential_Sec!$C$8:$C$93,0),MATCH(K$4,AEO22_Table_21._Residential_Sec!$E$5:$AJ$5,0))*gigwatt_to_megawatt*Percent_rural</f>
        <v>5449.1669150004045</v>
      </c>
      <c r="L67" s="17">
        <f>INDEX(AEO22_Table_21._Residential_Sec!$E$8:$AJ$93,MATCH($B67,AEO22_Table_21._Residential_Sec!$C$8:$C$93,0),MATCH(L$4,AEO22_Table_21._Residential_Sec!$E$5:$AJ$5,0))*gigwatt_to_megawatt*Percent_rural</f>
        <v>5692.5511787420055</v>
      </c>
      <c r="M67" s="17">
        <f>INDEX(AEO22_Table_21._Residential_Sec!$E$8:$AJ$93,MATCH($B67,AEO22_Table_21._Residential_Sec!$C$8:$C$93,0),MATCH(M$4,AEO22_Table_21._Residential_Sec!$E$5:$AJ$5,0))*gigwatt_to_megawatt*Percent_rural</f>
        <v>5948.897282117704</v>
      </c>
      <c r="N67" s="17">
        <f>INDEX(AEO22_Table_21._Residential_Sec!$E$8:$AJ$93,MATCH($B67,AEO22_Table_21._Residential_Sec!$C$8:$C$93,0),MATCH(N$4,AEO22_Table_21._Residential_Sec!$E$5:$AJ$5,0))*gigwatt_to_megawatt*Percent_rural</f>
        <v>6216.7422167084924</v>
      </c>
      <c r="O67" s="17">
        <f>INDEX(AEO22_Table_21._Residential_Sec!$E$8:$AJ$93,MATCH($B67,AEO22_Table_21._Residential_Sec!$C$8:$C$93,0),MATCH(O$4,AEO22_Table_21._Residential_Sec!$E$5:$AJ$5,0))*gigwatt_to_megawatt*Percent_rural</f>
        <v>6487.3393342507889</v>
      </c>
      <c r="P67" s="17">
        <f>INDEX(AEO22_Table_21._Residential_Sec!$E$8:$AJ$93,MATCH($B67,AEO22_Table_21._Residential_Sec!$C$8:$C$93,0),MATCH(P$4,AEO22_Table_21._Residential_Sec!$E$5:$AJ$5,0))*gigwatt_to_megawatt*Percent_rural</f>
        <v>6773.701129199384</v>
      </c>
      <c r="Q67" s="17">
        <f>INDEX(AEO22_Table_21._Residential_Sec!$E$8:$AJ$93,MATCH($B67,AEO22_Table_21._Residential_Sec!$C$8:$C$93,0),MATCH(Q$4,AEO22_Table_21._Residential_Sec!$E$5:$AJ$5,0))*gigwatt_to_megawatt*Percent_rural</f>
        <v>7070.9652995223832</v>
      </c>
      <c r="R67" s="17">
        <f>INDEX(AEO22_Table_21._Residential_Sec!$E$8:$AJ$93,MATCH($B67,AEO22_Table_21._Residential_Sec!$C$8:$C$93,0),MATCH(R$4,AEO22_Table_21._Residential_Sec!$E$5:$AJ$5,0))*gigwatt_to_megawatt*Percent_rural</f>
        <v>7399.0603115032782</v>
      </c>
      <c r="S67" s="17">
        <f>INDEX(AEO22_Table_21._Residential_Sec!$E$8:$AJ$93,MATCH($B67,AEO22_Table_21._Residential_Sec!$C$8:$C$93,0),MATCH(S$4,AEO22_Table_21._Residential_Sec!$E$5:$AJ$5,0))*gigwatt_to_megawatt*Percent_rural</f>
        <v>7753.7786374160123</v>
      </c>
      <c r="T67" s="17">
        <f>INDEX(AEO22_Table_21._Residential_Sec!$E$8:$AJ$93,MATCH($B67,AEO22_Table_21._Residential_Sec!$C$8:$C$93,0),MATCH(T$4,AEO22_Table_21._Residential_Sec!$E$5:$AJ$5,0))*gigwatt_to_megawatt*Percent_rural</f>
        <v>8106.5090887233882</v>
      </c>
      <c r="U67" s="17">
        <f>INDEX(AEO22_Table_21._Residential_Sec!$E$8:$AJ$93,MATCH($B67,AEO22_Table_21._Residential_Sec!$C$8:$C$93,0),MATCH(U$4,AEO22_Table_21._Residential_Sec!$E$5:$AJ$5,0))*gigwatt_to_megawatt*Percent_rural</f>
        <v>8461.2190033190327</v>
      </c>
      <c r="V67" s="17">
        <f>INDEX(AEO22_Table_21._Residential_Sec!$E$8:$AJ$93,MATCH($B67,AEO22_Table_21._Residential_Sec!$C$8:$C$93,0),MATCH(V$4,AEO22_Table_21._Residential_Sec!$E$5:$AJ$5,0))*gigwatt_to_megawatt*Percent_rural</f>
        <v>8850.2272783129592</v>
      </c>
      <c r="W67" s="17">
        <f>INDEX(AEO22_Table_21._Residential_Sec!$E$8:$AJ$93,MATCH($B67,AEO22_Table_21._Residential_Sec!$C$8:$C$93,0),MATCH(W$4,AEO22_Table_21._Residential_Sec!$E$5:$AJ$5,0))*gigwatt_to_megawatt*Percent_rural</f>
        <v>9236.4788843195984</v>
      </c>
      <c r="X67" s="17">
        <f>INDEX(AEO22_Table_21._Residential_Sec!$E$8:$AJ$93,MATCH($B67,AEO22_Table_21._Residential_Sec!$C$8:$C$93,0),MATCH(X$4,AEO22_Table_21._Residential_Sec!$E$5:$AJ$5,0))*gigwatt_to_megawatt*Percent_rural</f>
        <v>9644.6415975066775</v>
      </c>
      <c r="Y67" s="17">
        <f>INDEX(AEO22_Table_21._Residential_Sec!$E$8:$AJ$93,MATCH($B67,AEO22_Table_21._Residential_Sec!$C$8:$C$93,0),MATCH(Y$4,AEO22_Table_21._Residential_Sec!$E$5:$AJ$5,0))*gigwatt_to_megawatt*Percent_rural</f>
        <v>10091.412256132113</v>
      </c>
      <c r="Z67" s="17">
        <f>INDEX(AEO22_Table_21._Residential_Sec!$E$8:$AJ$93,MATCH($B67,AEO22_Table_21._Residential_Sec!$C$8:$C$93,0),MATCH(Z$4,AEO22_Table_21._Residential_Sec!$E$5:$AJ$5,0))*gigwatt_to_megawatt*Percent_rural</f>
        <v>10551.587189670525</v>
      </c>
      <c r="AA67" s="17">
        <f>INDEX(AEO22_Table_21._Residential_Sec!$E$8:$AJ$93,MATCH($B67,AEO22_Table_21._Residential_Sec!$C$8:$C$93,0),MATCH(AA$4,AEO22_Table_21._Residential_Sec!$E$5:$AJ$5,0))*gigwatt_to_megawatt*Percent_rural</f>
        <v>11057.309592163847</v>
      </c>
      <c r="AB67" s="17">
        <f>INDEX(AEO22_Table_21._Residential_Sec!$E$8:$AJ$93,MATCH($B67,AEO22_Table_21._Residential_Sec!$C$8:$C$93,0),MATCH(AB$4,AEO22_Table_21._Residential_Sec!$E$5:$AJ$5,0))*gigwatt_to_megawatt*Percent_rural</f>
        <v>11590.721863595887</v>
      </c>
      <c r="AC67" s="17">
        <f>INDEX(AEO22_Table_21._Residential_Sec!$E$8:$AJ$93,MATCH($B67,AEO22_Table_21._Residential_Sec!$C$8:$C$93,0),MATCH(AC$4,AEO22_Table_21._Residential_Sec!$E$5:$AJ$5,0))*gigwatt_to_megawatt*Percent_rural</f>
        <v>12132.484703715698</v>
      </c>
      <c r="AD67" s="17">
        <f>INDEX(AEO22_Table_21._Residential_Sec!$E$8:$AJ$93,MATCH($B67,AEO22_Table_21._Residential_Sec!$C$8:$C$93,0),MATCH(AD$4,AEO22_Table_21._Residential_Sec!$E$5:$AJ$5,0))*gigwatt_to_megawatt*Percent_rural</f>
        <v>12712.95025677973</v>
      </c>
      <c r="AE67" s="17">
        <f>INDEX(AEO22_Table_21._Residential_Sec!$E$8:$AJ$93,MATCH($B67,AEO22_Table_21._Residential_Sec!$C$8:$C$93,0),MATCH(AE$4,AEO22_Table_21._Residential_Sec!$E$5:$AJ$5,0))*gigwatt_to_megawatt*Percent_rural</f>
        <v>13314.660179956287</v>
      </c>
      <c r="AF67" s="17">
        <f>INDEX(AEO22_Table_21._Residential_Sec!$E$8:$AJ$93,MATCH($B67,AEO22_Table_21._Residential_Sec!$C$8:$C$93,0),MATCH(AF$4,AEO22_Table_21._Residential_Sec!$E$5:$AJ$5,0))*gigwatt_to_megawatt*Percent_rural</f>
        <v>13950.571453007366</v>
      </c>
      <c r="AG67" s="17">
        <f>INDEX(AEO22_Table_21._Residential_Sec!$E$8:$AJ$93,MATCH($B67,AEO22_Table_21._Residential_Sec!$C$8:$C$93,0),MATCH(AG$4,AEO22_Table_21._Residential_Sec!$E$5:$AJ$5,0))*gigwatt_to_megawatt*Percent_rural</f>
        <v>14620.764263822555</v>
      </c>
      <c r="AH67" s="17">
        <f>INDEX(AEO22_Table_21._Residential_Sec!$E$8:$AJ$93,MATCH($B67,AEO22_Table_21._Residential_Sec!$C$8:$C$93,0),MATCH(AH$4,AEO22_Table_21._Residential_Sec!$E$5:$AJ$5,0))*gigwatt_to_megawatt*Percent_rural</f>
        <v>15325.837124342263</v>
      </c>
      <c r="AI67" s="17">
        <f>INDEX(AEO22_Table_21._Residential_Sec!$E$8:$AJ$93,MATCH($B67,AEO22_Table_21._Residential_Sec!$C$8:$C$93,0),MATCH(AI$4,AEO22_Table_21._Residential_Sec!$E$5:$AJ$5,0))*gigwatt_to_megawatt*Percent_rural</f>
        <v>16047.840470816807</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f>INDEX(AEO21_Table_22._Comm_Sector_Ene!$F$8:$AK$81,MATCH($A84,AEO21_Table_22._Comm_Sector_Ene!$C$8:$C$81,0),MATCH(E$82,AEO21_Table_22._Comm_Sector_Ene!$F$5:$AK$5,0))*gigwatt_to_megawatt</f>
        <v>1377.152</v>
      </c>
      <c r="F84" s="19">
        <f t="shared" ref="F84:I84" si="0">_xlfn.FORECAST.LINEAR(F$82,$AX84:$AY84,$AX$82:$AY$82)</f>
        <v>1385.0491999999995</v>
      </c>
      <c r="G84" s="19">
        <f t="shared" si="0"/>
        <v>1392.9464000000007</v>
      </c>
      <c r="H84" s="19">
        <f t="shared" si="0"/>
        <v>1400.8436000000002</v>
      </c>
      <c r="I84" s="19">
        <f t="shared" si="0"/>
        <v>1408.7407999999996</v>
      </c>
      <c r="J84" s="17">
        <f>INDEX(AEO22_Table_22._Comm_Sector_Ene!$F$8:$AJ$81,MATCH($B84,AEO22_Table_22._Comm_Sector_Ene!$C$8:$C$81,0),MATCH(J$82,AEO22_Table_22._Comm_Sector_Ene!$F$5:$AJ$5,0))*gigwatt_to_megawatt</f>
        <v>1416.6380000000001</v>
      </c>
      <c r="K84" s="19">
        <f>_xlfn.FORECAST.LINEAR(K$82,$AY84:$AZ84,$AY$82:$AZ$82)</f>
        <v>1432.388600000002</v>
      </c>
      <c r="L84" s="19">
        <f t="shared" ref="L84:N84" si="1">_xlfn.FORECAST.LINEAR(L$82,$AY84:$AZ84,$AY$82:$AZ$82)</f>
        <v>1448.1392000000014</v>
      </c>
      <c r="M84" s="19">
        <f t="shared" si="1"/>
        <v>1463.8898000000008</v>
      </c>
      <c r="N84" s="19">
        <f t="shared" si="1"/>
        <v>1479.6404000000002</v>
      </c>
      <c r="O84" s="17">
        <f>INDEX(AEO22_Table_22._Comm_Sector_Ene!$F$8:$AJ$81,MATCH($B84,AEO22_Table_22._Comm_Sector_Ene!$C$8:$C$81,0),MATCH(O$82,AEO22_Table_22._Comm_Sector_Ene!$F$5:$AJ$5,0))*gigwatt_to_megawatt</f>
        <v>1495.3909999999998</v>
      </c>
      <c r="P84" s="19">
        <f>_xlfn.FORECAST.LINEAR(P$82,$AZ84:$BA84,$AZ$82:$BA$82)</f>
        <v>1510.5756000000001</v>
      </c>
      <c r="Q84" s="19">
        <f t="shared" ref="Q84:S84" si="2">_xlfn.FORECAST.LINEAR(Q$82,$AZ84:$BA84,$AZ$82:$BA$82)</f>
        <v>1525.7602000000006</v>
      </c>
      <c r="R84" s="19">
        <f t="shared" si="2"/>
        <v>1540.9448000000011</v>
      </c>
      <c r="S84" s="19">
        <f t="shared" si="2"/>
        <v>1556.1294000000016</v>
      </c>
      <c r="T84" s="17">
        <f>INDEX(AEO22_Table_22._Comm_Sector_Ene!$F$8:$AJ$81,MATCH($B84,AEO22_Table_22._Comm_Sector_Ene!$C$8:$C$81,0),MATCH(T$82,AEO22_Table_22._Comm_Sector_Ene!$F$5:$AJ$5,0))*gigwatt_to_megawatt</f>
        <v>1571.3140000000001</v>
      </c>
      <c r="U84" s="19">
        <f>_xlfn.FORECAST.LINEAR(U$82,$BA84:$BB84,$BA$82:$BB$82)</f>
        <v>1585.6786000000029</v>
      </c>
      <c r="V84" s="19">
        <f t="shared" ref="V84:X84" si="3">_xlfn.FORECAST.LINEAR(V$82,$BA84:$BB84,$BA$82:$BB$82)</f>
        <v>1600.0432000000001</v>
      </c>
      <c r="W84" s="19">
        <f t="shared" si="3"/>
        <v>1614.4078000000009</v>
      </c>
      <c r="X84" s="19">
        <f t="shared" si="3"/>
        <v>1628.7724000000017</v>
      </c>
      <c r="Y84" s="17">
        <f>INDEX(AEO22_Table_22._Comm_Sector_Ene!$F$8:$AJ$81,MATCH($B84,AEO22_Table_22._Comm_Sector_Ene!$C$8:$C$81,0),MATCH(Y$82,AEO22_Table_22._Comm_Sector_Ene!$F$5:$AJ$5,0))*gigwatt_to_megawatt</f>
        <v>1643.1370000000002</v>
      </c>
      <c r="Z84" s="19">
        <f>_xlfn.FORECAST.LINEAR(Z$82,$BB84:$BC84,$BB$82:$BC$82)</f>
        <v>1658.2861999999986</v>
      </c>
      <c r="AA84" s="19">
        <f t="shared" ref="AA84:AC84" si="4">_xlfn.FORECAST.LINEAR(AA$82,$BB84:$BC84,$BB$82:$BC$82)</f>
        <v>1673.4353999999985</v>
      </c>
      <c r="AB84" s="19">
        <f t="shared" si="4"/>
        <v>1688.5845999999983</v>
      </c>
      <c r="AC84" s="19">
        <f t="shared" si="4"/>
        <v>1703.7337999999982</v>
      </c>
      <c r="AD84" s="17">
        <f>INDEX(AEO22_Table_22._Comm_Sector_Ene!$F$8:$AJ$81,MATCH($B84,AEO22_Table_22._Comm_Sector_Ene!$C$8:$C$81,0),MATCH(AD$82,AEO22_Table_22._Comm_Sector_Ene!$F$5:$AJ$5,0))*gigwatt_to_megawatt</f>
        <v>1718.883</v>
      </c>
      <c r="AE84" s="19">
        <f>_xlfn.FORECAST.LINEAR(AE$82,$BC84:$BD84,$BC$82:$BD$82)</f>
        <v>1731.7387999999992</v>
      </c>
      <c r="AF84" s="19">
        <f t="shared" ref="AF84:AH84" si="5">_xlfn.FORECAST.LINEAR(AF$82,$BC84:$BD84,$BC$82:$BD$82)</f>
        <v>1744.5945999999967</v>
      </c>
      <c r="AG84" s="19">
        <f t="shared" si="5"/>
        <v>1757.4503999999979</v>
      </c>
      <c r="AH84" s="19">
        <f t="shared" si="5"/>
        <v>1770.3061999999991</v>
      </c>
      <c r="AI84" s="17">
        <f>INDEX(AEO22_Table_22._Comm_Sector_Ene!$F$8:$AJ$81,MATCH($B84,AEO22_Table_22._Comm_Sector_Ene!$C$8:$C$81,0),MATCH(AI$82,AEO22_Table_22._Comm_Sector_Ene!$F$5:$AJ$5,0))*gigwatt_to_megawatt</f>
        <v>1783.1619999999998</v>
      </c>
      <c r="AW84" t="s">
        <v>7</v>
      </c>
      <c r="AX84" s="17">
        <f>E84</f>
        <v>1377.152</v>
      </c>
      <c r="AY84" s="17">
        <f>J84</f>
        <v>1416.6380000000001</v>
      </c>
      <c r="AZ84" s="17">
        <f>O84</f>
        <v>1495.3909999999998</v>
      </c>
      <c r="BA84" s="17">
        <f>T84</f>
        <v>1571.3140000000001</v>
      </c>
      <c r="BB84" s="17">
        <f>Y84</f>
        <v>1643.1370000000002</v>
      </c>
      <c r="BC84" s="17">
        <f>AD84</f>
        <v>1718.883</v>
      </c>
      <c r="BD84" s="17">
        <f>AI84</f>
        <v>1783.1619999999998</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f>INDEX(AEO21_Table_22._Comm_Sector_Ene!$F$8:$AK$81,MATCH($A87,AEO21_Table_22._Comm_Sector_Ene!$C$8:$C$81,0),MATCH(E$82,AEO21_Table_22._Comm_Sector_Ene!$F$5:$AK$5,0))*gigwatt_to_megawatt</f>
        <v>554.88099999999997</v>
      </c>
      <c r="F87" s="19">
        <f t="shared" ref="F87:I88" si="12">_xlfn.FORECAST.LINEAR(F$82,$AX87:$AY87,$AX$82:$AY$82)</f>
        <v>555.80780000000004</v>
      </c>
      <c r="G87" s="19">
        <f t="shared" si="12"/>
        <v>556.7346</v>
      </c>
      <c r="H87" s="19">
        <f t="shared" si="12"/>
        <v>557.66139999999996</v>
      </c>
      <c r="I87" s="19">
        <f t="shared" si="12"/>
        <v>558.58819999999992</v>
      </c>
      <c r="J87" s="17">
        <f>INDEX(AEO22_Table_22._Comm_Sector_Ene!$F$8:$AJ$81,MATCH($B87,AEO22_Table_22._Comm_Sector_Ene!$C$8:$C$81,0),MATCH(J$82,AEO22_Table_22._Comm_Sector_Ene!$F$5:$AJ$5,0))*gigwatt_to_megawatt</f>
        <v>559.51499999999999</v>
      </c>
      <c r="K87" s="19">
        <f>_xlfn.FORECAST.LINEAR(K$82,$AY87:$AZ87,$AY$82:$AZ$82)</f>
        <v>560.21679999999981</v>
      </c>
      <c r="L87" s="19">
        <f t="shared" ref="L87:N88" si="13">_xlfn.FORECAST.LINEAR(L$82,$AY87:$AZ87,$AY$82:$AZ$82)</f>
        <v>560.91859999999986</v>
      </c>
      <c r="M87" s="19">
        <f t="shared" si="13"/>
        <v>561.6203999999999</v>
      </c>
      <c r="N87" s="19">
        <f t="shared" si="13"/>
        <v>562.32219999999995</v>
      </c>
      <c r="O87" s="17">
        <f>INDEX(AEO22_Table_22._Comm_Sector_Ene!$F$8:$AJ$81,MATCH($B87,AEO22_Table_22._Comm_Sector_Ene!$C$8:$C$81,0),MATCH(O$82,AEO22_Table_22._Comm_Sector_Ene!$F$5:$AJ$5,0))*gigwatt_to_megawatt</f>
        <v>563.024</v>
      </c>
      <c r="P87" s="19">
        <f>_xlfn.FORECAST.LINEAR(P$82,$AZ87:$BA87,$AZ$82:$BA$82)</f>
        <v>563.88020000000006</v>
      </c>
      <c r="Q87" s="19">
        <f t="shared" ref="Q87:S88" si="14">_xlfn.FORECAST.LINEAR(Q$82,$AZ87:$BA87,$AZ$82:$BA$82)</f>
        <v>564.7364</v>
      </c>
      <c r="R87" s="19">
        <f t="shared" si="14"/>
        <v>565.59259999999995</v>
      </c>
      <c r="S87" s="19">
        <f t="shared" si="14"/>
        <v>566.44879999999989</v>
      </c>
      <c r="T87" s="17">
        <f>INDEX(AEO22_Table_22._Comm_Sector_Ene!$F$8:$AJ$81,MATCH($B87,AEO22_Table_22._Comm_Sector_Ene!$C$8:$C$81,0),MATCH(T$82,AEO22_Table_22._Comm_Sector_Ene!$F$5:$AJ$5,0))*gigwatt_to_megawatt</f>
        <v>567.30499999999995</v>
      </c>
      <c r="U87" s="19">
        <f>_xlfn.FORECAST.LINEAR(U$82,$BA87:$BB87,$BA$82:$BB$82)</f>
        <v>567.67619999999988</v>
      </c>
      <c r="V87" s="19">
        <f t="shared" ref="V87:X88" si="15">_xlfn.FORECAST.LINEAR(V$82,$BA87:$BB87,$BA$82:$BB$82)</f>
        <v>568.04739999999993</v>
      </c>
      <c r="W87" s="19">
        <f t="shared" si="15"/>
        <v>568.41859999999997</v>
      </c>
      <c r="X87" s="19">
        <f t="shared" si="15"/>
        <v>568.78980000000001</v>
      </c>
      <c r="Y87" s="17">
        <f>INDEX(AEO22_Table_22._Comm_Sector_Ene!$F$8:$AJ$81,MATCH($B87,AEO22_Table_22._Comm_Sector_Ene!$C$8:$C$81,0),MATCH(Y$82,AEO22_Table_22._Comm_Sector_Ene!$F$5:$AJ$5,0))*gigwatt_to_megawatt</f>
        <v>569.16100000000006</v>
      </c>
      <c r="Z87" s="19">
        <f>_xlfn.FORECAST.LINEAR(Z$82,$BB87:$BC87,$BB$82:$BC$82)</f>
        <v>569.76780000000008</v>
      </c>
      <c r="AA87" s="19">
        <f t="shared" ref="AA87:AC88" si="16">_xlfn.FORECAST.LINEAR(AA$82,$BB87:$BC87,$BB$82:$BC$82)</f>
        <v>570.3746000000001</v>
      </c>
      <c r="AB87" s="19">
        <f t="shared" si="16"/>
        <v>570.98140000000012</v>
      </c>
      <c r="AC87" s="19">
        <f t="shared" si="16"/>
        <v>571.58819999999992</v>
      </c>
      <c r="AD87" s="17">
        <f>INDEX(AEO22_Table_22._Comm_Sector_Ene!$F$8:$AJ$81,MATCH($B87,AEO22_Table_22._Comm_Sector_Ene!$C$8:$C$81,0),MATCH(AD$82,AEO22_Table_22._Comm_Sector_Ene!$F$5:$AJ$5,0))*gigwatt_to_megawatt</f>
        <v>572.19500000000005</v>
      </c>
      <c r="AE87" s="19">
        <f>_xlfn.FORECAST.LINEAR(AE$82,$BC87:$BD87,$BC$82:$BD$82)</f>
        <v>572.2274000000001</v>
      </c>
      <c r="AF87" s="19">
        <f t="shared" ref="AF87:AH88" si="17">_xlfn.FORECAST.LINEAR(AF$82,$BC87:$BD87,$BC$82:$BD$82)</f>
        <v>572.25980000000004</v>
      </c>
      <c r="AG87" s="19">
        <f t="shared" si="17"/>
        <v>572.29220000000009</v>
      </c>
      <c r="AH87" s="19">
        <f t="shared" si="17"/>
        <v>572.32460000000003</v>
      </c>
      <c r="AI87" s="17">
        <f>INDEX(AEO22_Table_22._Comm_Sector_Ene!$F$8:$AJ$81,MATCH($B87,AEO22_Table_22._Comm_Sector_Ene!$C$8:$C$81,0),MATCH(AI$82,AEO22_Table_22._Comm_Sector_Ene!$F$5:$AJ$5,0))*gigwatt_to_megawatt</f>
        <v>572.35699999999997</v>
      </c>
      <c r="AW87" t="s">
        <v>59</v>
      </c>
      <c r="AX87" s="17">
        <f>E87</f>
        <v>554.88099999999997</v>
      </c>
      <c r="AY87" s="17">
        <f t="shared" si="6"/>
        <v>559.51499999999999</v>
      </c>
      <c r="AZ87" s="17">
        <f t="shared" si="7"/>
        <v>563.024</v>
      </c>
      <c r="BA87" s="17">
        <f t="shared" si="8"/>
        <v>567.30499999999995</v>
      </c>
      <c r="BB87" s="17">
        <f t="shared" si="9"/>
        <v>569.16100000000006</v>
      </c>
      <c r="BC87" s="17">
        <f t="shared" si="10"/>
        <v>572.19500000000005</v>
      </c>
      <c r="BD87" s="17">
        <f t="shared" si="11"/>
        <v>572.35699999999997</v>
      </c>
    </row>
    <row r="88" spans="1:56" x14ac:dyDescent="0.25">
      <c r="A88" t="s">
        <v>437</v>
      </c>
      <c r="B88" s="3" t="s">
        <v>861</v>
      </c>
      <c r="C88" t="s">
        <v>10</v>
      </c>
      <c r="D88" s="17"/>
      <c r="E88" s="17">
        <f>INDEX(AEO21_Table_22._Comm_Sector_Ene!$F$8:$AK$81,MATCH($A88,AEO21_Table_22._Comm_Sector_Ene!$C$8:$C$81,0),MATCH(E$82,AEO21_Table_22._Comm_Sector_Ene!$F$5:$AK$5,0))*gigwatt_to_megawatt</f>
        <v>15855.377</v>
      </c>
      <c r="F88" s="19">
        <f t="shared" si="12"/>
        <v>18413.067400000058</v>
      </c>
      <c r="G88" s="19">
        <f t="shared" si="12"/>
        <v>20970.757799999788</v>
      </c>
      <c r="H88" s="19">
        <f t="shared" si="12"/>
        <v>23528.44820000045</v>
      </c>
      <c r="I88" s="19">
        <f t="shared" si="12"/>
        <v>26086.13860000018</v>
      </c>
      <c r="J88" s="17">
        <f>INDEX(AEO22_Table_22._Comm_Sector_Ene!$F$8:$AJ$81,MATCH($B88,AEO22_Table_22._Comm_Sector_Ene!$C$8:$C$81,0),MATCH(J$82,AEO22_Table_22._Comm_Sector_Ene!$F$5:$AJ$5,0))*gigwatt_to_megawatt</f>
        <v>28643.829000000002</v>
      </c>
      <c r="K88" s="19">
        <f>_xlfn.FORECAST.LINEAR(K$82,$AY88:$AZ88,$AY$82:$AZ$82)</f>
        <v>30182.998399999924</v>
      </c>
      <c r="L88" s="19">
        <f t="shared" si="13"/>
        <v>31722.167799999937</v>
      </c>
      <c r="M88" s="19">
        <f t="shared" si="13"/>
        <v>33261.337199999951</v>
      </c>
      <c r="N88" s="19">
        <f t="shared" si="13"/>
        <v>34800.506599999964</v>
      </c>
      <c r="O88" s="17">
        <f>INDEX(AEO22_Table_22._Comm_Sector_Ene!$F$8:$AJ$81,MATCH($B88,AEO22_Table_22._Comm_Sector_Ene!$C$8:$C$81,0),MATCH(O$82,AEO22_Table_22._Comm_Sector_Ene!$F$5:$AJ$5,0))*gigwatt_to_megawatt</f>
        <v>36339.675999999999</v>
      </c>
      <c r="P88" s="19">
        <f>_xlfn.FORECAST.LINEAR(P$82,$AZ88:$BA88,$AZ$82:$BA$82)</f>
        <v>37371.95980000007</v>
      </c>
      <c r="Q88" s="19">
        <f t="shared" si="14"/>
        <v>38404.243599999929</v>
      </c>
      <c r="R88" s="19">
        <f t="shared" si="14"/>
        <v>39436.527399999788</v>
      </c>
      <c r="S88" s="19">
        <f t="shared" si="14"/>
        <v>40468.811200000113</v>
      </c>
      <c r="T88" s="17">
        <f>INDEX(AEO22_Table_22._Comm_Sector_Ene!$F$8:$AJ$81,MATCH($B88,AEO22_Table_22._Comm_Sector_Ene!$C$8:$C$81,0),MATCH(T$82,AEO22_Table_22._Comm_Sector_Ene!$F$5:$AJ$5,0))*gigwatt_to_megawatt</f>
        <v>41501.095000000001</v>
      </c>
      <c r="U88" s="19">
        <f>_xlfn.FORECAST.LINEAR(U$82,$BA88:$BB88,$BA$82:$BB$82)</f>
        <v>43064.94160000002</v>
      </c>
      <c r="V88" s="19">
        <f t="shared" si="15"/>
        <v>44628.788200000301</v>
      </c>
      <c r="W88" s="19">
        <f t="shared" si="15"/>
        <v>46192.634800000116</v>
      </c>
      <c r="X88" s="19">
        <f t="shared" si="15"/>
        <v>47756.481399999931</v>
      </c>
      <c r="Y88" s="17">
        <f>INDEX(AEO22_Table_22._Comm_Sector_Ene!$F$8:$AJ$81,MATCH($B88,AEO22_Table_22._Comm_Sector_Ene!$C$8:$C$81,0),MATCH(Y$82,AEO22_Table_22._Comm_Sector_Ene!$F$5:$AJ$5,0))*gigwatt_to_megawatt</f>
        <v>49320.328000000001</v>
      </c>
      <c r="Z88" s="19">
        <f>_xlfn.FORECAST.LINEAR(Z$82,$BB88:$BC88,$BB$82:$BC$82)</f>
        <v>51176.549799999688</v>
      </c>
      <c r="AA88" s="19">
        <f t="shared" si="16"/>
        <v>53032.771599999629</v>
      </c>
      <c r="AB88" s="19">
        <f t="shared" si="16"/>
        <v>54888.99339999957</v>
      </c>
      <c r="AC88" s="19">
        <f t="shared" si="16"/>
        <v>56745.215199999977</v>
      </c>
      <c r="AD88" s="17">
        <f>INDEX(AEO22_Table_22._Comm_Sector_Ene!$F$8:$AJ$81,MATCH($B88,AEO22_Table_22._Comm_Sector_Ene!$C$8:$C$81,0),MATCH(AD$82,AEO22_Table_22._Comm_Sector_Ene!$F$5:$AJ$5,0))*gigwatt_to_megawatt</f>
        <v>58601.436999999998</v>
      </c>
      <c r="AE88" s="19">
        <f>_xlfn.FORECAST.LINEAR(AE$82,$BC88:$BD88,$BC$82:$BD$82)</f>
        <v>60444.592600000091</v>
      </c>
      <c r="AF88" s="19">
        <f t="shared" si="17"/>
        <v>62287.748199999798</v>
      </c>
      <c r="AG88" s="19">
        <f t="shared" si="17"/>
        <v>64130.903799999971</v>
      </c>
      <c r="AH88" s="19">
        <f t="shared" si="17"/>
        <v>65974.059400000144</v>
      </c>
      <c r="AI88" s="17">
        <f>INDEX(AEO22_Table_22._Comm_Sector_Ene!$F$8:$AJ$81,MATCH($B88,AEO22_Table_22._Comm_Sector_Ene!$C$8:$C$81,0),MATCH(AI$82,AEO22_Table_22._Comm_Sector_Ene!$F$5:$AJ$5,0))*gigwatt_to_megawatt</f>
        <v>67817.215000000011</v>
      </c>
      <c r="AW88" t="s">
        <v>10</v>
      </c>
      <c r="AX88" s="17">
        <f>E88</f>
        <v>15855.377</v>
      </c>
      <c r="AY88" s="17">
        <f t="shared" si="6"/>
        <v>28643.829000000002</v>
      </c>
      <c r="AZ88" s="17">
        <f t="shared" si="7"/>
        <v>36339.675999999999</v>
      </c>
      <c r="BA88" s="17">
        <f t="shared" si="8"/>
        <v>41501.095000000001</v>
      </c>
      <c r="BB88" s="17">
        <f t="shared" si="9"/>
        <v>49320.328000000001</v>
      </c>
      <c r="BC88" s="17">
        <f t="shared" si="10"/>
        <v>58601.436999999998</v>
      </c>
      <c r="BD88" s="17">
        <f t="shared" si="11"/>
        <v>67817.215000000011</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f>INDEX(AEO21_Table_22._Comm_Sector_Ene!$F$8:$AK$81,MATCH($A92,AEO21_Table_22._Comm_Sector_Ene!$C$8:$C$81,0),MATCH(E$82,AEO21_Table_22._Comm_Sector_Ene!$F$5:$AK$5,0))*gigwatt_to_megawatt</f>
        <v>17.117000000000001</v>
      </c>
      <c r="F92" s="19">
        <f t="shared" ref="F92:I92" si="18">_xlfn.FORECAST.LINEAR(F$82,$AX92:$AY92,$AX$82:$AY$82)</f>
        <v>16.104200000000219</v>
      </c>
      <c r="G92" s="19">
        <f t="shared" si="18"/>
        <v>15.091400000000021</v>
      </c>
      <c r="H92" s="19">
        <f t="shared" si="18"/>
        <v>14.078600000000279</v>
      </c>
      <c r="I92" s="19">
        <f t="shared" si="18"/>
        <v>13.065800000000309</v>
      </c>
      <c r="J92" s="17">
        <f>INDEX(AEO22_Table_22._Comm_Sector_Ene!$F$8:$AJ$81,MATCH($B92,AEO22_Table_22._Comm_Sector_Ene!$C$8:$C$81,0),MATCH(J$82,AEO22_Table_22._Comm_Sector_Ene!$F$5:$AJ$5,0))*gigwatt_to_megawatt</f>
        <v>12.052999999999999</v>
      </c>
      <c r="K92" s="19">
        <f>_xlfn.FORECAST.LINEAR(K$82,$AY92:$AZ92,$AY$82:$AZ$82)</f>
        <v>12.052999999999999</v>
      </c>
      <c r="L92" s="19">
        <f t="shared" ref="L92:N92" si="19">_xlfn.FORECAST.LINEAR(L$82,$AY92:$AZ92,$AY$82:$AZ$82)</f>
        <v>12.052999999999999</v>
      </c>
      <c r="M92" s="19">
        <f t="shared" si="19"/>
        <v>12.052999999999999</v>
      </c>
      <c r="N92" s="19">
        <f t="shared" si="19"/>
        <v>12.052999999999999</v>
      </c>
      <c r="O92" s="17">
        <f>INDEX(AEO22_Table_22._Comm_Sector_Ene!$F$8:$AJ$81,MATCH($B92,AEO22_Table_22._Comm_Sector_Ene!$C$8:$C$81,0),MATCH(O$82,AEO22_Table_22._Comm_Sector_Ene!$F$5:$AJ$5,0))*gigwatt_to_megawatt</f>
        <v>12.052999999999999</v>
      </c>
      <c r="P92" s="19">
        <f>_xlfn.FORECAST.LINEAR(P$82,$AZ92:$BA92,$AZ$82:$BA$82)</f>
        <v>12.052999999999999</v>
      </c>
      <c r="Q92" s="19">
        <f t="shared" ref="Q92:S92" si="20">_xlfn.FORECAST.LINEAR(Q$82,$AZ92:$BA92,$AZ$82:$BA$82)</f>
        <v>12.052999999999999</v>
      </c>
      <c r="R92" s="19">
        <f t="shared" si="20"/>
        <v>12.052999999999999</v>
      </c>
      <c r="S92" s="19">
        <f t="shared" si="20"/>
        <v>12.052999999999999</v>
      </c>
      <c r="T92" s="17">
        <f>INDEX(AEO22_Table_22._Comm_Sector_Ene!$F$8:$AJ$81,MATCH($B92,AEO22_Table_22._Comm_Sector_Ene!$C$8:$C$81,0),MATCH(T$82,AEO22_Table_22._Comm_Sector_Ene!$F$5:$AJ$5,0))*gigwatt_to_megawatt</f>
        <v>12.052999999999999</v>
      </c>
      <c r="U92" s="19">
        <f>_xlfn.FORECAST.LINEAR(U$82,$BA92:$BB92,$BA$82:$BB$82)</f>
        <v>12.052999999999999</v>
      </c>
      <c r="V92" s="19">
        <f t="shared" ref="V92:X92" si="21">_xlfn.FORECAST.LINEAR(V$82,$BA92:$BB92,$BA$82:$BB$82)</f>
        <v>12.052999999999999</v>
      </c>
      <c r="W92" s="19">
        <f t="shared" si="21"/>
        <v>12.052999999999999</v>
      </c>
      <c r="X92" s="19">
        <f t="shared" si="21"/>
        <v>12.052999999999999</v>
      </c>
      <c r="Y92" s="17">
        <f>INDEX(AEO22_Table_22._Comm_Sector_Ene!$F$8:$AJ$81,MATCH($B92,AEO22_Table_22._Comm_Sector_Ene!$C$8:$C$81,0),MATCH(Y$82,AEO22_Table_22._Comm_Sector_Ene!$F$5:$AJ$5,0))*gigwatt_to_megawatt</f>
        <v>12.052999999999999</v>
      </c>
      <c r="Z92" s="19">
        <f>_xlfn.FORECAST.LINEAR(Z$82,$BB92:$BC92,$BB$82:$BC$82)</f>
        <v>12.052999999999999</v>
      </c>
      <c r="AA92" s="19">
        <f t="shared" ref="AA92:AC92" si="22">_xlfn.FORECAST.LINEAR(AA$82,$BB92:$BC92,$BB$82:$BC$82)</f>
        <v>12.052999999999999</v>
      </c>
      <c r="AB92" s="19">
        <f t="shared" si="22"/>
        <v>12.052999999999999</v>
      </c>
      <c r="AC92" s="19">
        <f t="shared" si="22"/>
        <v>12.052999999999999</v>
      </c>
      <c r="AD92" s="17">
        <f>INDEX(AEO22_Table_22._Comm_Sector_Ene!$F$8:$AJ$81,MATCH($B92,AEO22_Table_22._Comm_Sector_Ene!$C$8:$C$81,0),MATCH(AD$82,AEO22_Table_22._Comm_Sector_Ene!$F$5:$AJ$5,0))*gigwatt_to_megawatt</f>
        <v>12.052999999999999</v>
      </c>
      <c r="AE92" s="19">
        <f>_xlfn.FORECAST.LINEAR(AE$82,$BC92:$BD92,$BC$82:$BD$82)</f>
        <v>12.052999999999999</v>
      </c>
      <c r="AF92" s="19">
        <f t="shared" ref="AF92:AH92" si="23">_xlfn.FORECAST.LINEAR(AF$82,$BC92:$BD92,$BC$82:$BD$82)</f>
        <v>12.052999999999999</v>
      </c>
      <c r="AG92" s="19">
        <f t="shared" si="23"/>
        <v>12.052999999999999</v>
      </c>
      <c r="AH92" s="19">
        <f t="shared" si="23"/>
        <v>12.052999999999999</v>
      </c>
      <c r="AI92" s="17">
        <f>INDEX(AEO22_Table_22._Comm_Sector_Ene!$F$8:$AJ$81,MATCH($B92,AEO22_Table_22._Comm_Sector_Ene!$C$8:$C$81,0),MATCH(AI$82,AEO22_Table_22._Comm_Sector_Ene!$F$5:$AJ$5,0))*gigwatt_to_megawatt</f>
        <v>12.052999999999999</v>
      </c>
      <c r="AW92" t="s">
        <v>14</v>
      </c>
      <c r="AX92" s="17">
        <f>E92</f>
        <v>17.117000000000001</v>
      </c>
      <c r="AY92" s="17">
        <f t="shared" si="6"/>
        <v>12.052999999999999</v>
      </c>
      <c r="AZ92" s="17">
        <f t="shared" si="7"/>
        <v>12.052999999999999</v>
      </c>
      <c r="BA92" s="17">
        <f t="shared" si="8"/>
        <v>12.052999999999999</v>
      </c>
      <c r="BB92" s="17">
        <f t="shared" si="9"/>
        <v>12.052999999999999</v>
      </c>
      <c r="BC92" s="17">
        <f t="shared" si="10"/>
        <v>12.052999999999999</v>
      </c>
      <c r="BD92" s="17">
        <f t="shared" si="11"/>
        <v>12.052999999999999</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f>INDEX(AEO21_Table_22._Comm_Sector_Ene!$F$8:$AK$81,MATCH($A104,AEO21_Table_22._Comm_Sector_Ene!$C$8:$C$81,0),MATCH(E$102,AEO21_Table_22._Comm_Sector_Ene!$F$5:$AK$5,0))*billion_kw_to_MW</f>
        <v>9605634</v>
      </c>
      <c r="F104" s="19">
        <f t="shared" ref="F104:I104" si="24">_xlfn.FORECAST.LINEAR(F$82,$AX104:$AY104,$AX$82:$AY$82)</f>
        <v>9660717.8000000119</v>
      </c>
      <c r="G104" s="19">
        <f t="shared" si="24"/>
        <v>9715801.6000000089</v>
      </c>
      <c r="H104" s="19">
        <f t="shared" si="24"/>
        <v>9770885.400000006</v>
      </c>
      <c r="I104" s="19">
        <f t="shared" si="24"/>
        <v>9825969.200000003</v>
      </c>
      <c r="J104" s="17">
        <f>INDEX(AEO22_Table_22._Comm_Sector_Ene!$F$8:$AJ$81,MATCH($B104,AEO22_Table_22._Comm_Sector_Ene!$C$8:$C$81,0),MATCH(J$102,AEO22_Table_22._Comm_Sector_Ene!$F$5:$AJ$5,0))*billion_kw_to_MW</f>
        <v>9881053</v>
      </c>
      <c r="K104" s="19">
        <f>_xlfn.FORECAST.LINEAR(K$82,$AY104:$AZ104,$AY$102:$AZ$102)</f>
        <v>9990912.8000000119</v>
      </c>
      <c r="L104" s="19">
        <f t="shared" ref="L104:N104" si="25">_xlfn.FORECAST.LINEAR(L$82,$AY104:$AZ104,$AY$102:$AZ$102)</f>
        <v>10100772.599999994</v>
      </c>
      <c r="M104" s="19">
        <f t="shared" si="25"/>
        <v>10210632.400000006</v>
      </c>
      <c r="N104" s="19">
        <f t="shared" si="25"/>
        <v>10320492.200000018</v>
      </c>
      <c r="O104" s="17">
        <f>INDEX(AEO22_Table_22._Comm_Sector_Ene!$F$8:$AJ$81,MATCH($B104,AEO22_Table_22._Comm_Sector_Ene!$C$8:$C$81,0),MATCH(O$102,AEO22_Table_22._Comm_Sector_Ene!$F$5:$AJ$5,0))*billion_kw_to_MW</f>
        <v>10430352</v>
      </c>
      <c r="P104" s="19">
        <f>_xlfn.FORECAST.LINEAR(P$82,$AZ104:$BA104,$AZ$102:$BA$102)</f>
        <v>10536265.199999988</v>
      </c>
      <c r="Q104" s="19">
        <f t="shared" ref="Q104:S104" si="26">_xlfn.FORECAST.LINEAR(Q$82,$AZ104:$BA104,$AZ$102:$BA$102)</f>
        <v>10642178.400000006</v>
      </c>
      <c r="R104" s="19">
        <f t="shared" si="26"/>
        <v>10748091.599999994</v>
      </c>
      <c r="S104" s="19">
        <f t="shared" si="26"/>
        <v>10854004.799999982</v>
      </c>
      <c r="T104" s="17">
        <f>INDEX(AEO22_Table_22._Comm_Sector_Ene!$F$8:$AJ$81,MATCH($B104,AEO22_Table_22._Comm_Sector_Ene!$C$8:$C$81,0),MATCH(T$102,AEO22_Table_22._Comm_Sector_Ene!$F$5:$AJ$5,0))*billion_kw_to_MW</f>
        <v>10959918</v>
      </c>
      <c r="U104" s="19">
        <f>_xlfn.FORECAST.LINEAR(U$82,$BA104:$BB104,$BA$102:$BB$102)</f>
        <v>11060111.199999988</v>
      </c>
      <c r="V104" s="19">
        <f t="shared" ref="V104:X104" si="27">_xlfn.FORECAST.LINEAR(V$82,$BA104:$BB104,$BA$102:$BB$102)</f>
        <v>11160304.400000006</v>
      </c>
      <c r="W104" s="19">
        <f t="shared" si="27"/>
        <v>11260497.599999994</v>
      </c>
      <c r="X104" s="19">
        <f t="shared" si="27"/>
        <v>11360690.799999982</v>
      </c>
      <c r="Y104" s="17">
        <f>INDEX(AEO22_Table_22._Comm_Sector_Ene!$F$8:$AJ$81,MATCH($B104,AEO22_Table_22._Comm_Sector_Ene!$C$8:$C$81,0),MATCH(Y$102,AEO22_Table_22._Comm_Sector_Ene!$F$5:$AJ$5,0))*billion_kw_to_MW</f>
        <v>11460884</v>
      </c>
      <c r="Z104" s="19">
        <f>_xlfn.FORECAST.LINEAR(Z$82,$BB104:$BC104,$BB$102:$BC$102)</f>
        <v>11566549.199999988</v>
      </c>
      <c r="AA104" s="19">
        <f t="shared" ref="AA104:AC104" si="28">_xlfn.FORECAST.LINEAR(AA$82,$BB104:$BC104,$BB$102:$BC$102)</f>
        <v>11672214.400000006</v>
      </c>
      <c r="AB104" s="19">
        <f t="shared" si="28"/>
        <v>11777879.599999994</v>
      </c>
      <c r="AC104" s="19">
        <f t="shared" si="28"/>
        <v>11883544.799999982</v>
      </c>
      <c r="AD104" s="17">
        <f>INDEX(AEO22_Table_22._Comm_Sector_Ene!$F$8:$AJ$81,MATCH($B104,AEO22_Table_22._Comm_Sector_Ene!$C$8:$C$81,0),MATCH(AD$102,AEO22_Table_22._Comm_Sector_Ene!$F$5:$AJ$5,0))*billion_kw_to_MW</f>
        <v>11989210</v>
      </c>
      <c r="AE104" s="19">
        <f>_xlfn.FORECAST.LINEAR(AE$82,$BC104:$BD104,$BC$102:$BD$102)</f>
        <v>12078878.800000012</v>
      </c>
      <c r="AF104" s="19">
        <f t="shared" ref="AF104:AH104" si="29">_xlfn.FORECAST.LINEAR(AF$82,$BC104:$BD104,$BC$102:$BD$102)</f>
        <v>12168547.599999994</v>
      </c>
      <c r="AG104" s="19">
        <f t="shared" si="29"/>
        <v>12258216.400000006</v>
      </c>
      <c r="AH104" s="19">
        <f t="shared" si="29"/>
        <v>12347885.200000018</v>
      </c>
      <c r="AI104" s="17">
        <f>INDEX(AEO22_Table_22._Comm_Sector_Ene!$F$8:$AJ$81,MATCH($B104,AEO22_Table_22._Comm_Sector_Ene!$C$8:$C$81,0),MATCH(AI$102,AEO22_Table_22._Comm_Sector_Ene!$F$5:$AJ$5,0))*billion_kw_to_MW</f>
        <v>12437554</v>
      </c>
      <c r="AW104" t="s">
        <v>7</v>
      </c>
      <c r="AX104" s="17">
        <f>E104</f>
        <v>9605634</v>
      </c>
      <c r="AY104" s="17">
        <f>J104</f>
        <v>9881053</v>
      </c>
      <c r="AZ104" s="17">
        <f>O104</f>
        <v>10430352</v>
      </c>
      <c r="BA104" s="17">
        <f>T104</f>
        <v>10959918</v>
      </c>
      <c r="BB104" s="17">
        <f>Y104</f>
        <v>11460884</v>
      </c>
      <c r="BC104" s="17">
        <f>AD104</f>
        <v>11989210</v>
      </c>
      <c r="BD104" s="17">
        <f>AI104</f>
        <v>12437554</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f>INDEX(AEO21_Table_22._Comm_Sector_Ene!$F$8:$AK$81,MATCH($A107,AEO21_Table_22._Comm_Sector_Ene!$C$8:$C$81,0),MATCH(E$102,AEO21_Table_22._Comm_Sector_Ene!$F$5:$AK$5,0))*billion_kw_to_MW</f>
        <v>755308</v>
      </c>
      <c r="F107" s="19">
        <f t="shared" ref="F107:I108" si="30">_xlfn.FORECAST.LINEAR(F$82,$AX107:$AY107,$AX$82:$AY$82)</f>
        <v>756853.20000000019</v>
      </c>
      <c r="G107" s="19">
        <f t="shared" si="30"/>
        <v>758398.39999999991</v>
      </c>
      <c r="H107" s="19">
        <f t="shared" si="30"/>
        <v>759943.60000000009</v>
      </c>
      <c r="I107" s="19">
        <f t="shared" si="30"/>
        <v>761488.80000000028</v>
      </c>
      <c r="J107" s="17">
        <f>INDEX(AEO22_Table_22._Comm_Sector_Ene!$F$8:$AJ$81,MATCH($B107,AEO22_Table_22._Comm_Sector_Ene!$C$8:$C$81,0),MATCH(Calculations!J$102,AEO22_Table_22._Comm_Sector_Ene!$F$5:$AJ$5,0))*billion_kw_to_MW</f>
        <v>763034</v>
      </c>
      <c r="K107" s="19">
        <f>_xlfn.FORECAST.LINEAR(K$82,$AY107:$AZ107,$AY$102:$AZ$102)</f>
        <v>764193.79999999981</v>
      </c>
      <c r="L107" s="19">
        <f t="shared" ref="L107:N108" si="31">_xlfn.FORECAST.LINEAR(L$82,$AY107:$AZ107,$AY$102:$AZ$102)</f>
        <v>765353.60000000009</v>
      </c>
      <c r="M107" s="19">
        <f t="shared" si="31"/>
        <v>766513.39999999991</v>
      </c>
      <c r="N107" s="19">
        <f t="shared" si="31"/>
        <v>767673.19999999972</v>
      </c>
      <c r="O107" s="17">
        <f>INDEX(AEO22_Table_22._Comm_Sector_Ene!$F$8:$AJ$81,MATCH($B107,AEO22_Table_22._Comm_Sector_Ene!$C$8:$C$81,0),MATCH(O$102,AEO22_Table_22._Comm_Sector_Ene!$F$5:$AJ$5,0))*billion_kw_to_MW</f>
        <v>768833</v>
      </c>
      <c r="P107" s="19">
        <f>_xlfn.FORECAST.LINEAR(P$82,$AZ107:$BA107,$AZ$102:$BA$102)</f>
        <v>770258.59999999963</v>
      </c>
      <c r="Q107" s="19">
        <f t="shared" ref="Q107:S108" si="32">_xlfn.FORECAST.LINEAR(Q$82,$AZ107:$BA107,$AZ$102:$BA$102)</f>
        <v>771684.19999999972</v>
      </c>
      <c r="R107" s="19">
        <f t="shared" si="32"/>
        <v>773109.79999999981</v>
      </c>
      <c r="S107" s="19">
        <f t="shared" si="32"/>
        <v>774535.39999999991</v>
      </c>
      <c r="T107" s="17">
        <f>INDEX(AEO22_Table_22._Comm_Sector_Ene!$F$8:$AJ$81,MATCH($B107,AEO22_Table_22._Comm_Sector_Ene!$C$8:$C$81,0),MATCH(T$102,AEO22_Table_22._Comm_Sector_Ene!$F$5:$AJ$5,0))*billion_kw_to_MW</f>
        <v>775961</v>
      </c>
      <c r="U107" s="19">
        <f>_xlfn.FORECAST.LINEAR(U$82,$BA107:$BB107,$BA$102:$BB$102)</f>
        <v>776590.39999999991</v>
      </c>
      <c r="V107" s="19">
        <f t="shared" ref="V107:X107" si="33">_xlfn.FORECAST.LINEAR(V$82,$BA107:$BB107,$BA$102:$BB$102)</f>
        <v>777219.8</v>
      </c>
      <c r="W107" s="19">
        <f t="shared" si="33"/>
        <v>777849.2</v>
      </c>
      <c r="X107" s="19">
        <f t="shared" si="33"/>
        <v>778478.59999999986</v>
      </c>
      <c r="Y107" s="17">
        <f>INDEX(AEO22_Table_22._Comm_Sector_Ene!$F$8:$AJ$81,MATCH($B107,AEO22_Table_22._Comm_Sector_Ene!$C$8:$C$81,0),MATCH(Y$102,AEO22_Table_22._Comm_Sector_Ene!$F$5:$AJ$5,0))*billion_kw_to_MW</f>
        <v>779108</v>
      </c>
      <c r="Z107" s="19">
        <f>_xlfn.FORECAST.LINEAR(Z$82,$BB107:$BC107,$BB$102:$BC$102)</f>
        <v>780136</v>
      </c>
      <c r="AA107" s="19">
        <f t="shared" ref="AA107:AC108" si="34">_xlfn.FORECAST.LINEAR(AA$82,$BB107:$BC107,$BB$102:$BC$102)</f>
        <v>781164</v>
      </c>
      <c r="AB107" s="19">
        <f t="shared" si="34"/>
        <v>782192</v>
      </c>
      <c r="AC107" s="19">
        <f t="shared" si="34"/>
        <v>783220</v>
      </c>
      <c r="AD107" s="17">
        <f>INDEX(AEO22_Table_22._Comm_Sector_Ene!$F$8:$AJ$81,MATCH($B107,AEO22_Table_22._Comm_Sector_Ene!$C$8:$C$81,0),MATCH(AD$102,AEO22_Table_22._Comm_Sector_Ene!$F$5:$AJ$5,0))*billion_kw_to_MW</f>
        <v>784248</v>
      </c>
      <c r="AE107" s="19">
        <f>_xlfn.FORECAST.LINEAR(AE$82,$BC107:$BD107,$BC$102:$BD$102)</f>
        <v>784301.6</v>
      </c>
      <c r="AF107" s="19">
        <f t="shared" ref="AF107:AH108" si="35">_xlfn.FORECAST.LINEAR(AF$82,$BC107:$BD107,$BC$102:$BD$102)</f>
        <v>784355.2</v>
      </c>
      <c r="AG107" s="19">
        <f t="shared" si="35"/>
        <v>784408.8</v>
      </c>
      <c r="AH107" s="19">
        <f t="shared" si="35"/>
        <v>784462.4</v>
      </c>
      <c r="AI107" s="17">
        <f>INDEX(AEO22_Table_22._Comm_Sector_Ene!$F$8:$AJ$81,MATCH($B107,AEO22_Table_22._Comm_Sector_Ene!$C$8:$C$81,0),MATCH(AI$102,AEO22_Table_22._Comm_Sector_Ene!$F$5:$AJ$5,0))*billion_kw_to_MW</f>
        <v>784516</v>
      </c>
      <c r="AW107" t="s">
        <v>59</v>
      </c>
      <c r="AX107" s="17">
        <f>E107</f>
        <v>755308</v>
      </c>
      <c r="AY107" s="17">
        <f>J107</f>
        <v>763034</v>
      </c>
      <c r="AZ107" s="17">
        <f>O107</f>
        <v>768833</v>
      </c>
      <c r="BA107" s="17">
        <f>T107</f>
        <v>775961</v>
      </c>
      <c r="BB107" s="17">
        <f>Y107</f>
        <v>779108</v>
      </c>
      <c r="BC107" s="17">
        <f>AD107</f>
        <v>784248</v>
      </c>
      <c r="BD107" s="17">
        <f>AI107</f>
        <v>784516</v>
      </c>
    </row>
    <row r="108" spans="1:56" x14ac:dyDescent="0.25">
      <c r="A108" t="s">
        <v>450</v>
      </c>
      <c r="B108" s="3" t="s">
        <v>873</v>
      </c>
      <c r="C108" t="s">
        <v>10</v>
      </c>
      <c r="D108" s="17"/>
      <c r="E108" s="17">
        <f>INDEX(AEO21_Table_22._Comm_Sector_Ene!$F$8:$AK$81,MATCH($A108,AEO21_Table_22._Comm_Sector_Ene!$C$8:$C$81,0),MATCH(E$102,AEO21_Table_22._Comm_Sector_Ene!$F$5:$AK$5,0))*billion_kw_to_MW</f>
        <v>20024660</v>
      </c>
      <c r="F108" s="19">
        <f t="shared" si="30"/>
        <v>23193289.799999237</v>
      </c>
      <c r="G108" s="19">
        <f t="shared" si="30"/>
        <v>26361919.599999428</v>
      </c>
      <c r="H108" s="19">
        <f t="shared" si="30"/>
        <v>29530549.399999619</v>
      </c>
      <c r="I108" s="19">
        <f t="shared" si="30"/>
        <v>32699179.199999809</v>
      </c>
      <c r="J108" s="17">
        <f>INDEX(AEO22_Table_22._Comm_Sector_Ene!$F$8:$AJ$81,MATCH($B108,AEO22_Table_22._Comm_Sector_Ene!$C$8:$C$81,0),MATCH(J$102,AEO22_Table_22._Comm_Sector_Ene!$F$5:$AJ$5,0))*billion_kw_to_MW</f>
        <v>35867809</v>
      </c>
      <c r="K108" s="19">
        <f>_xlfn.FORECAST.LINEAR(K$82,$AY108:$AZ108,$AY$102:$AZ$102)</f>
        <v>37785974.600000381</v>
      </c>
      <c r="L108" s="19">
        <f t="shared" si="31"/>
        <v>39704140.200000286</v>
      </c>
      <c r="M108" s="19">
        <f t="shared" si="31"/>
        <v>41622305.800000191</v>
      </c>
      <c r="N108" s="19">
        <f t="shared" si="31"/>
        <v>43540471.400000095</v>
      </c>
      <c r="O108" s="17">
        <f>INDEX(AEO22_Table_22._Comm_Sector_Ene!$F$8:$AJ$81,MATCH($B108,AEO22_Table_22._Comm_Sector_Ene!$C$8:$C$81,0),MATCH(O$102,AEO22_Table_22._Comm_Sector_Ene!$F$5:$AJ$5,0))*billion_kw_to_MW</f>
        <v>45458637</v>
      </c>
      <c r="P108" s="19">
        <f>_xlfn.FORECAST.LINEAR(P$82,$AZ108:$BA108,$AZ$102:$BA$102)</f>
        <v>46740126.600000381</v>
      </c>
      <c r="Q108" s="19">
        <f t="shared" si="32"/>
        <v>48021616.200000286</v>
      </c>
      <c r="R108" s="19">
        <f t="shared" si="32"/>
        <v>49303105.800000191</v>
      </c>
      <c r="S108" s="19">
        <f t="shared" si="32"/>
        <v>50584595.400000095</v>
      </c>
      <c r="T108" s="17">
        <f>INDEX(AEO22_Table_22._Comm_Sector_Ene!$F$8:$AJ$81,MATCH($B108,AEO22_Table_22._Comm_Sector_Ene!$C$8:$C$81,0),MATCH(T$102,AEO22_Table_22._Comm_Sector_Ene!$F$5:$AJ$5,0))*billion_kw_to_MW</f>
        <v>51866085</v>
      </c>
      <c r="U108" s="19">
        <f>_xlfn.FORECAST.LINEAR(U$82,$BA108:$BB108,$BA$102:$BB$102)</f>
        <v>53801245.800000191</v>
      </c>
      <c r="V108" s="19">
        <f t="shared" ref="V108:X108" si="36">_xlfn.FORECAST.LINEAR(V$82,$BA108:$BB108,$BA$102:$BB$102)</f>
        <v>55736406.599999905</v>
      </c>
      <c r="W108" s="19">
        <f t="shared" si="36"/>
        <v>57671567.400000095</v>
      </c>
      <c r="X108" s="19">
        <f t="shared" si="36"/>
        <v>59606728.200000286</v>
      </c>
      <c r="Y108" s="17">
        <f>INDEX(AEO22_Table_22._Comm_Sector_Ene!$F$8:$AJ$81,MATCH($B108,AEO22_Table_22._Comm_Sector_Ene!$C$8:$C$81,0),MATCH(Y$102,AEO22_Table_22._Comm_Sector_Ene!$F$5:$AJ$5,0))*billion_kw_to_MW</f>
        <v>61541889</v>
      </c>
      <c r="Z108" s="19">
        <f>_xlfn.FORECAST.LINEAR(Z$82,$BB108:$BC108,$BB$102:$BC$102)</f>
        <v>63830111.600000381</v>
      </c>
      <c r="AA108" s="19">
        <f t="shared" si="34"/>
        <v>66118334.199999809</v>
      </c>
      <c r="AB108" s="19">
        <f t="shared" si="34"/>
        <v>68406556.800000191</v>
      </c>
      <c r="AC108" s="19">
        <f t="shared" si="34"/>
        <v>70694779.400000572</v>
      </c>
      <c r="AD108" s="17">
        <f>INDEX(AEO22_Table_22._Comm_Sector_Ene!$F$8:$AJ$81,MATCH($B108,AEO22_Table_22._Comm_Sector_Ene!$C$8:$C$81,0),MATCH(AD$102,AEO22_Table_22._Comm_Sector_Ene!$F$5:$AJ$5,0))*billion_kw_to_MW</f>
        <v>72983002</v>
      </c>
      <c r="AE108" s="19">
        <f>_xlfn.FORECAST.LINEAR(AE$82,$BC108:$BD108,$BC$102:$BD$102)</f>
        <v>75295129.600000381</v>
      </c>
      <c r="AF108" s="19">
        <f t="shared" si="35"/>
        <v>77607257.199999809</v>
      </c>
      <c r="AG108" s="19">
        <f t="shared" si="35"/>
        <v>79919384.800000191</v>
      </c>
      <c r="AH108" s="19">
        <f t="shared" si="35"/>
        <v>82231512.400000572</v>
      </c>
      <c r="AI108" s="17">
        <f>INDEX(AEO22_Table_22._Comm_Sector_Ene!$F$8:$AJ$81,MATCH($B108,AEO22_Table_22._Comm_Sector_Ene!$C$8:$C$81,0),MATCH(AI$102,AEO22_Table_22._Comm_Sector_Ene!$F$5:$AJ$5,0))*billion_kw_to_MW</f>
        <v>84543640</v>
      </c>
      <c r="AW108" t="s">
        <v>10</v>
      </c>
      <c r="AX108" s="17">
        <f>E108</f>
        <v>20024660</v>
      </c>
      <c r="AY108" s="17">
        <f>J108</f>
        <v>35867809</v>
      </c>
      <c r="AZ108" s="17">
        <f>O108</f>
        <v>45458637</v>
      </c>
      <c r="BA108" s="17">
        <f>T108</f>
        <v>51866085</v>
      </c>
      <c r="BB108" s="17">
        <f>Y108</f>
        <v>61541889</v>
      </c>
      <c r="BC108" s="17">
        <f>AD108</f>
        <v>72983002</v>
      </c>
      <c r="BD108" s="17">
        <f>AI108</f>
        <v>84543640</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f>INDEX(AEO21_Table_22._Comm_Sector_Ene!$F$8:$AK$81,MATCH($A112,AEO21_Table_22._Comm_Sector_Ene!$C$8:$C$81,0),MATCH(E$102,AEO21_Table_22._Comm_Sector_Ene!$F$5:$AK$5,0))*billion_kw_to_MW</f>
        <v>119388</v>
      </c>
      <c r="F112" s="19">
        <f t="shared" ref="F112:I112" si="37">_xlfn.FORECAST.LINEAR(F$82,$AX112:$AY112,$AX$82:$AY$82)</f>
        <v>112323.80000000075</v>
      </c>
      <c r="G112" s="19">
        <f t="shared" si="37"/>
        <v>105259.59999999963</v>
      </c>
      <c r="H112" s="19">
        <f t="shared" si="37"/>
        <v>98195.400000000373</v>
      </c>
      <c r="I112" s="19">
        <f t="shared" si="37"/>
        <v>91131.200000001118</v>
      </c>
      <c r="J112" s="17">
        <f>INDEX(AEO22_Table_22._Comm_Sector_Ene!$F$8:$AJ$81,MATCH($B112,AEO22_Table_22._Comm_Sector_Ene!$C$8:$C$81,0),MATCH(J$102,AEO22_Table_22._Comm_Sector_Ene!$F$5:$AJ$5,0))*billion_kw_to_MW</f>
        <v>84067</v>
      </c>
      <c r="K112" s="19">
        <f>_xlfn.FORECAST.LINEAR(K$82,$AY112:$AZ112,$AY$102:$AZ$102)</f>
        <v>84067</v>
      </c>
      <c r="L112" s="19">
        <f t="shared" ref="L112:N112" si="38">_xlfn.FORECAST.LINEAR(L$82,$AY112:$AZ112,$AY$102:$AZ$102)</f>
        <v>84067</v>
      </c>
      <c r="M112" s="19">
        <f t="shared" si="38"/>
        <v>84067</v>
      </c>
      <c r="N112" s="19">
        <f t="shared" si="38"/>
        <v>84067</v>
      </c>
      <c r="O112" s="17">
        <f>INDEX(AEO22_Table_22._Comm_Sector_Ene!$F$8:$AJ$81,MATCH($B112,AEO22_Table_22._Comm_Sector_Ene!$C$8:$C$81,0),MATCH(O$102,AEO22_Table_22._Comm_Sector_Ene!$F$5:$AJ$5,0))*billion_kw_to_MW</f>
        <v>84067</v>
      </c>
      <c r="P112" s="19">
        <f>_xlfn.FORECAST.LINEAR(P$82,$AZ112:$BA112,$AZ$102:$BA$102)</f>
        <v>84067</v>
      </c>
      <c r="Q112" s="19">
        <f t="shared" ref="Q112:S112" si="39">_xlfn.FORECAST.LINEAR(Q$82,$AZ112:$BA112,$AZ$102:$BA$102)</f>
        <v>84067</v>
      </c>
      <c r="R112" s="19">
        <f t="shared" si="39"/>
        <v>84067</v>
      </c>
      <c r="S112" s="19">
        <f t="shared" si="39"/>
        <v>84067</v>
      </c>
      <c r="T112" s="17">
        <f>INDEX(AEO22_Table_22._Comm_Sector_Ene!$F$8:$AJ$81,MATCH($B112,AEO22_Table_22._Comm_Sector_Ene!$C$8:$C$81,0),MATCH(T$102,AEO22_Table_22._Comm_Sector_Ene!$F$5:$AJ$5,0))*billion_kw_to_MW</f>
        <v>84067</v>
      </c>
      <c r="U112" s="19">
        <f>_xlfn.FORECAST.LINEAR(U$82,$BA112:$BB112,$BA$102:$BB$102)</f>
        <v>84067</v>
      </c>
      <c r="V112" s="19">
        <f t="shared" ref="V112:X112" si="40">_xlfn.FORECAST.LINEAR(V$82,$BA112:$BB112,$BA$102:$BB$102)</f>
        <v>84067</v>
      </c>
      <c r="W112" s="19">
        <f t="shared" si="40"/>
        <v>84067</v>
      </c>
      <c r="X112" s="19">
        <f t="shared" si="40"/>
        <v>84067</v>
      </c>
      <c r="Y112" s="17">
        <f>INDEX(AEO22_Table_22._Comm_Sector_Ene!$F$8:$AJ$81,MATCH($B112,AEO22_Table_22._Comm_Sector_Ene!$C$8:$C$81,0),MATCH(Y$102,AEO22_Table_22._Comm_Sector_Ene!$F$5:$AJ$5,0))*billion_kw_to_MW</f>
        <v>84067</v>
      </c>
      <c r="Z112" s="19">
        <f>_xlfn.FORECAST.LINEAR(Z$82,$BB112:$BC112,$BB$102:$BC$102)</f>
        <v>84067</v>
      </c>
      <c r="AA112" s="19">
        <f t="shared" ref="AA112:AC112" si="41">_xlfn.FORECAST.LINEAR(AA$82,$BB112:$BC112,$BB$102:$BC$102)</f>
        <v>84067</v>
      </c>
      <c r="AB112" s="19">
        <f t="shared" si="41"/>
        <v>84067</v>
      </c>
      <c r="AC112" s="19">
        <f t="shared" si="41"/>
        <v>84067</v>
      </c>
      <c r="AD112" s="17">
        <f>INDEX(AEO22_Table_22._Comm_Sector_Ene!$F$8:$AJ$81,MATCH($B112,AEO22_Table_22._Comm_Sector_Ene!$C$8:$C$81,0),MATCH(AD$102,AEO22_Table_22._Comm_Sector_Ene!$F$5:$AJ$5,0))*billion_kw_to_MW</f>
        <v>84067</v>
      </c>
      <c r="AE112" s="19">
        <f>_xlfn.FORECAST.LINEAR(AE$82,$BC112:$BD112,$BC$102:$BD$102)</f>
        <v>84067</v>
      </c>
      <c r="AF112" s="19">
        <f t="shared" ref="AF112:AH112" si="42">_xlfn.FORECAST.LINEAR(AF$82,$BC112:$BD112,$BC$102:$BD$102)</f>
        <v>84067</v>
      </c>
      <c r="AG112" s="19">
        <f t="shared" si="42"/>
        <v>84067</v>
      </c>
      <c r="AH112" s="19">
        <f t="shared" si="42"/>
        <v>84067</v>
      </c>
      <c r="AI112" s="17">
        <f>INDEX(AEO22_Table_22._Comm_Sector_Ene!$F$8:$AJ$81,MATCH($B112,AEO22_Table_22._Comm_Sector_Ene!$C$8:$C$81,0),MATCH(AI$102,AEO22_Table_22._Comm_Sector_Ene!$F$5:$AJ$5,0))*billion_kw_to_MW</f>
        <v>84067</v>
      </c>
      <c r="AW112" t="s">
        <v>14</v>
      </c>
      <c r="AX112" s="17">
        <f>E112</f>
        <v>119388</v>
      </c>
      <c r="AY112" s="17">
        <f>J112</f>
        <v>84067</v>
      </c>
      <c r="AZ112" s="17">
        <f>O112</f>
        <v>84067</v>
      </c>
      <c r="BA112" s="17">
        <f>T112</f>
        <v>84067</v>
      </c>
      <c r="BB112" s="17">
        <f>Y112</f>
        <v>84067</v>
      </c>
      <c r="BC112" s="17">
        <f>AD112</f>
        <v>84067</v>
      </c>
      <c r="BD112" s="17">
        <f>AI112</f>
        <v>84067</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f>E10/(E48*8760)</f>
        <v>0.16894106961455674</v>
      </c>
      <c r="F121" s="51">
        <f t="shared" ref="F121:AI121" si="43">F10/(F48*8760)</f>
        <v>0.18013879342231093</v>
      </c>
      <c r="G121" s="51">
        <f t="shared" si="43"/>
        <v>0.18349618150428545</v>
      </c>
      <c r="H121" s="51">
        <f t="shared" si="43"/>
        <v>0.18634500485552655</v>
      </c>
      <c r="I121" s="51">
        <f t="shared" si="43"/>
        <v>0.18882735750336888</v>
      </c>
      <c r="J121" s="51">
        <f t="shared" si="43"/>
        <v>0.19109292212927406</v>
      </c>
      <c r="K121" s="51">
        <f t="shared" si="43"/>
        <v>0.19315851730344336</v>
      </c>
      <c r="L121" s="51">
        <f t="shared" si="43"/>
        <v>0.1950489179218052</v>
      </c>
      <c r="M121" s="51">
        <f t="shared" si="43"/>
        <v>0.1967608551300441</v>
      </c>
      <c r="N121" s="51">
        <f t="shared" si="43"/>
        <v>0.19831433645656837</v>
      </c>
      <c r="O121" s="51">
        <f t="shared" si="43"/>
        <v>0.19973981784774603</v>
      </c>
      <c r="P121" s="51">
        <f t="shared" si="43"/>
        <v>0.20101971037295446</v>
      </c>
      <c r="Q121" s="51">
        <f t="shared" si="43"/>
        <v>0.2021737355965508</v>
      </c>
      <c r="R121" s="51">
        <f t="shared" si="43"/>
        <v>0.20316143021697536</v>
      </c>
      <c r="S121" s="51">
        <f t="shared" si="43"/>
        <v>0.20400188744464723</v>
      </c>
      <c r="T121" s="51">
        <f t="shared" si="43"/>
        <v>0.20478042577039768</v>
      </c>
      <c r="U121" s="51">
        <f t="shared" si="43"/>
        <v>0.20549560281235812</v>
      </c>
      <c r="V121" s="51">
        <f t="shared" si="43"/>
        <v>0.20607561226360971</v>
      </c>
      <c r="W121" s="51">
        <f t="shared" si="43"/>
        <v>0.20661847443927792</v>
      </c>
      <c r="X121" s="51">
        <f t="shared" si="43"/>
        <v>0.20707282760034548</v>
      </c>
      <c r="Y121" s="51">
        <f t="shared" si="43"/>
        <v>0.20740597785778372</v>
      </c>
      <c r="Z121" s="51">
        <f t="shared" si="43"/>
        <v>0.20768549022366409</v>
      </c>
      <c r="AA121" s="51">
        <f t="shared" si="43"/>
        <v>0.20784854387864829</v>
      </c>
      <c r="AB121" s="51">
        <f t="shared" si="43"/>
        <v>0.207945485752703</v>
      </c>
      <c r="AC121" s="51">
        <f t="shared" si="43"/>
        <v>0.20802150963066285</v>
      </c>
      <c r="AD121" s="51">
        <f t="shared" si="43"/>
        <v>0.2080256789215997</v>
      </c>
      <c r="AE121" s="51">
        <f t="shared" si="43"/>
        <v>0.20799590273962146</v>
      </c>
      <c r="AF121" s="51">
        <f t="shared" si="43"/>
        <v>0.20791823045049204</v>
      </c>
      <c r="AG121" s="51">
        <f t="shared" si="43"/>
        <v>0.20779756981153599</v>
      </c>
      <c r="AH121" s="51">
        <f t="shared" si="43"/>
        <v>0.20763920752231527</v>
      </c>
      <c r="AI121" s="51">
        <f t="shared" si="43"/>
        <v>0.20747589380806344</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5"/>
  <sheetViews>
    <sheetView topLeftCell="F1" workbookViewId="0">
      <selection activeCell="V36" sqref="V36"/>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Calculations!D43</f>
        <v>0</v>
      </c>
      <c r="C2" s="10">
        <f>Calculations!E43</f>
        <v>0</v>
      </c>
      <c r="D2" s="10">
        <f>Calculations!F43</f>
        <v>0</v>
      </c>
      <c r="E2" s="10">
        <f>Calculations!G43</f>
        <v>0</v>
      </c>
      <c r="F2" s="10">
        <f>Calculations!H43</f>
        <v>0</v>
      </c>
      <c r="G2" s="10">
        <f>Calculations!I43</f>
        <v>0</v>
      </c>
      <c r="H2" s="10">
        <f>Calculations!J43</f>
        <v>0</v>
      </c>
      <c r="I2" s="10">
        <f>Calculations!K43</f>
        <v>0</v>
      </c>
      <c r="J2" s="10">
        <f>Calculations!L43</f>
        <v>0</v>
      </c>
      <c r="K2" s="10">
        <f>Calculations!M43</f>
        <v>0</v>
      </c>
      <c r="L2" s="10">
        <f>Calculations!N43</f>
        <v>0</v>
      </c>
      <c r="M2" s="10">
        <f>Calculations!O43</f>
        <v>0</v>
      </c>
      <c r="N2" s="10">
        <f>Calculations!P43</f>
        <v>0</v>
      </c>
      <c r="O2" s="10">
        <f>Calculations!Q43</f>
        <v>0</v>
      </c>
      <c r="P2" s="10">
        <f>Calculations!R43</f>
        <v>0</v>
      </c>
      <c r="Q2" s="10">
        <f>Calculations!S43</f>
        <v>0</v>
      </c>
      <c r="R2" s="10">
        <f>Calculations!T43</f>
        <v>0</v>
      </c>
      <c r="S2" s="10">
        <f>Calculations!U43</f>
        <v>0</v>
      </c>
      <c r="T2" s="10">
        <f>Calculations!V43</f>
        <v>0</v>
      </c>
      <c r="U2" s="10">
        <f>Calculations!W43</f>
        <v>0</v>
      </c>
      <c r="V2" s="10">
        <f>Calculations!X43</f>
        <v>0</v>
      </c>
      <c r="W2" s="10">
        <f>Calculations!Y43</f>
        <v>0</v>
      </c>
      <c r="X2" s="10">
        <f>Calculations!Z43</f>
        <v>0</v>
      </c>
      <c r="Y2" s="10">
        <f>Calculations!AA43</f>
        <v>0</v>
      </c>
      <c r="Z2" s="10">
        <f>Calculations!AB43</f>
        <v>0</v>
      </c>
      <c r="AA2" s="10">
        <f>Calculations!AC43</f>
        <v>0</v>
      </c>
      <c r="AB2" s="10">
        <f>Calculations!AD43</f>
        <v>0</v>
      </c>
      <c r="AC2" s="10">
        <f>Calculations!AE43</f>
        <v>0</v>
      </c>
      <c r="AD2" s="10">
        <f>Calculations!AF43</f>
        <v>0</v>
      </c>
      <c r="AE2" s="10">
        <f>Calculations!AG43</f>
        <v>0</v>
      </c>
      <c r="AF2" s="10">
        <f>Calculations!AH43</f>
        <v>0</v>
      </c>
      <c r="AG2" s="10">
        <f>Calculations!AI43</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Calculations!D44</f>
        <v>0</v>
      </c>
      <c r="C4" s="10">
        <f>Calculations!E44</f>
        <v>0</v>
      </c>
      <c r="D4" s="10">
        <f>Calculations!F44</f>
        <v>0</v>
      </c>
      <c r="E4" s="10">
        <f>Calculations!G44</f>
        <v>0</v>
      </c>
      <c r="F4" s="10">
        <f>Calculations!H44</f>
        <v>0</v>
      </c>
      <c r="G4" s="10">
        <f>Calculations!I44</f>
        <v>0</v>
      </c>
      <c r="H4" s="10">
        <f>Calculations!J44</f>
        <v>0</v>
      </c>
      <c r="I4" s="10">
        <f>Calculations!K44</f>
        <v>0</v>
      </c>
      <c r="J4" s="10">
        <f>Calculations!L44</f>
        <v>0</v>
      </c>
      <c r="K4" s="10">
        <f>Calculations!M44</f>
        <v>0</v>
      </c>
      <c r="L4" s="10">
        <f>Calculations!N44</f>
        <v>0</v>
      </c>
      <c r="M4" s="10">
        <f>Calculations!O44</f>
        <v>0</v>
      </c>
      <c r="N4" s="10">
        <f>Calculations!P44</f>
        <v>0</v>
      </c>
      <c r="O4" s="10">
        <f>Calculations!Q44</f>
        <v>0</v>
      </c>
      <c r="P4" s="10">
        <f>Calculations!R44</f>
        <v>0</v>
      </c>
      <c r="Q4" s="10">
        <f>Calculations!S44</f>
        <v>1.6261636849348336E-3</v>
      </c>
      <c r="R4" s="10">
        <f>Calculations!T44</f>
        <v>4.0654092123370835E-3</v>
      </c>
      <c r="S4" s="10">
        <f>Calculations!U44</f>
        <v>8.1308184246741671E-3</v>
      </c>
      <c r="T4" s="10">
        <f>Calculations!V44</f>
        <v>1.707471869181575E-2</v>
      </c>
      <c r="U4" s="10">
        <f>Calculations!W44</f>
        <v>3.3336355541164091E-2</v>
      </c>
      <c r="V4" s="10">
        <f>Calculations!X44</f>
        <v>6.3420383712458506E-2</v>
      </c>
      <c r="W4" s="10">
        <f>Calculations!Y44</f>
        <v>0.11870994900024284</v>
      </c>
      <c r="X4" s="10">
        <f>Calculations!Z44</f>
        <v>0.22034517930866993</v>
      </c>
      <c r="Y4" s="10">
        <f>Calculations!AA44</f>
        <v>0.32116732777462964</v>
      </c>
      <c r="Z4" s="10">
        <f>Calculations!AB44</f>
        <v>0.42280255808305667</v>
      </c>
      <c r="AA4" s="10">
        <f>Calculations!AC44</f>
        <v>0.52443778839148369</v>
      </c>
      <c r="AB4" s="10">
        <f>Calculations!AD44</f>
        <v>0.62607301869991083</v>
      </c>
      <c r="AC4" s="10">
        <f>Calculations!AE44</f>
        <v>0.72852133085080539</v>
      </c>
      <c r="AD4" s="10">
        <f>Calculations!AF44</f>
        <v>0.83096964300169973</v>
      </c>
      <c r="AE4" s="10">
        <f>Calculations!AG44</f>
        <v>0.93260487331012709</v>
      </c>
      <c r="AF4" s="10">
        <f>Calculations!AH44</f>
        <v>1.0350531854610217</v>
      </c>
      <c r="AG4" s="10">
        <f>Calculations!AI44</f>
        <v>1.137501497611916</v>
      </c>
    </row>
    <row r="5" spans="1:33" x14ac:dyDescent="0.25">
      <c r="A5" t="s">
        <v>8</v>
      </c>
      <c r="B5" s="10">
        <f>Calculations!D45</f>
        <v>0</v>
      </c>
      <c r="C5" s="10">
        <f>Calculations!E45</f>
        <v>0</v>
      </c>
      <c r="D5" s="10">
        <f>Calculations!F45</f>
        <v>0</v>
      </c>
      <c r="E5" s="10">
        <f>Calculations!G45</f>
        <v>0</v>
      </c>
      <c r="F5" s="10">
        <f>Calculations!H45</f>
        <v>0</v>
      </c>
      <c r="G5" s="10">
        <f>Calculations!I45</f>
        <v>0</v>
      </c>
      <c r="H5" s="10">
        <f>Calculations!J45</f>
        <v>0</v>
      </c>
      <c r="I5" s="10">
        <f>Calculations!K45</f>
        <v>0</v>
      </c>
      <c r="J5" s="10">
        <f>Calculations!L45</f>
        <v>0</v>
      </c>
      <c r="K5" s="10">
        <f>Calculations!M45</f>
        <v>0</v>
      </c>
      <c r="L5" s="10">
        <f>Calculations!N45</f>
        <v>0</v>
      </c>
      <c r="M5" s="10">
        <f>Calculations!O45</f>
        <v>0</v>
      </c>
      <c r="N5" s="10">
        <f>Calculations!P45</f>
        <v>0</v>
      </c>
      <c r="O5" s="10">
        <f>Calculations!Q45</f>
        <v>0</v>
      </c>
      <c r="P5" s="10">
        <f>Calculations!R45</f>
        <v>0</v>
      </c>
      <c r="Q5" s="10">
        <f>Calculations!S45</f>
        <v>0</v>
      </c>
      <c r="R5" s="10">
        <f>Calculations!T45</f>
        <v>0</v>
      </c>
      <c r="S5" s="10">
        <f>Calculations!U45</f>
        <v>0</v>
      </c>
      <c r="T5" s="10">
        <f>Calculations!V45</f>
        <v>0</v>
      </c>
      <c r="U5" s="10">
        <f>Calculations!W45</f>
        <v>0</v>
      </c>
      <c r="V5" s="10">
        <f>Calculations!X45</f>
        <v>0</v>
      </c>
      <c r="W5" s="10">
        <f>Calculations!Y45</f>
        <v>0</v>
      </c>
      <c r="X5" s="10">
        <f>Calculations!Z45</f>
        <v>0</v>
      </c>
      <c r="Y5" s="10">
        <f>Calculations!AA45</f>
        <v>0</v>
      </c>
      <c r="Z5" s="10">
        <f>Calculations!AB45</f>
        <v>0</v>
      </c>
      <c r="AA5" s="10">
        <f>Calculations!AC45</f>
        <v>0</v>
      </c>
      <c r="AB5" s="10">
        <f>Calculations!AD45</f>
        <v>0</v>
      </c>
      <c r="AC5" s="10">
        <f>Calculations!AE45</f>
        <v>0</v>
      </c>
      <c r="AD5" s="10">
        <f>Calculations!AF45</f>
        <v>0</v>
      </c>
      <c r="AE5" s="10">
        <f>Calculations!AG45</f>
        <v>0</v>
      </c>
      <c r="AF5" s="10">
        <f>Calculations!AH45</f>
        <v>0</v>
      </c>
      <c r="AG5" s="10">
        <f>Calculations!AI45</f>
        <v>0</v>
      </c>
    </row>
    <row r="6" spans="1:33" x14ac:dyDescent="0.25">
      <c r="A6" t="s">
        <v>9</v>
      </c>
      <c r="B6" s="10">
        <f>Calculations!D46</f>
        <v>0</v>
      </c>
      <c r="C6" s="10">
        <f>Calculations!E46</f>
        <v>0</v>
      </c>
      <c r="D6" s="10">
        <f>Calculations!F46</f>
        <v>0</v>
      </c>
      <c r="E6" s="10">
        <f>Calculations!G46</f>
        <v>0</v>
      </c>
      <c r="F6" s="10">
        <f>Calculations!H46</f>
        <v>0</v>
      </c>
      <c r="G6" s="10">
        <f>Calculations!I46</f>
        <v>0</v>
      </c>
      <c r="H6" s="10">
        <f>Calculations!J46</f>
        <v>0</v>
      </c>
      <c r="I6" s="10">
        <f>Calculations!K46</f>
        <v>0</v>
      </c>
      <c r="J6" s="10">
        <f>Calculations!L46</f>
        <v>0</v>
      </c>
      <c r="K6" s="10">
        <f>Calculations!M46</f>
        <v>0</v>
      </c>
      <c r="L6" s="10">
        <f>Calculations!N46</f>
        <v>0</v>
      </c>
      <c r="M6" s="10">
        <f>Calculations!O46</f>
        <v>0</v>
      </c>
      <c r="N6" s="10">
        <f>Calculations!P46</f>
        <v>0</v>
      </c>
      <c r="O6" s="10">
        <f>Calculations!Q46</f>
        <v>0</v>
      </c>
      <c r="P6" s="10">
        <f>Calculations!R46</f>
        <v>0</v>
      </c>
      <c r="Q6" s="10">
        <f>Calculations!S46</f>
        <v>0</v>
      </c>
      <c r="R6" s="10">
        <f>Calculations!T46</f>
        <v>0</v>
      </c>
      <c r="S6" s="10">
        <f>Calculations!U46</f>
        <v>0</v>
      </c>
      <c r="T6" s="10">
        <f>Calculations!V46</f>
        <v>0</v>
      </c>
      <c r="U6" s="10">
        <f>Calculations!W46</f>
        <v>0</v>
      </c>
      <c r="V6" s="10">
        <f>Calculations!X46</f>
        <v>0</v>
      </c>
      <c r="W6" s="10">
        <f>Calculations!Y46</f>
        <v>0</v>
      </c>
      <c r="X6" s="10">
        <f>Calculations!Z46</f>
        <v>0</v>
      </c>
      <c r="Y6" s="10">
        <f>Calculations!AA46</f>
        <v>0</v>
      </c>
      <c r="Z6" s="10">
        <f>Calculations!AB46</f>
        <v>0</v>
      </c>
      <c r="AA6" s="10">
        <f>Calculations!AC46</f>
        <v>0</v>
      </c>
      <c r="AB6" s="10">
        <f>Calculations!AD46</f>
        <v>0</v>
      </c>
      <c r="AC6" s="10">
        <f>Calculations!AE46</f>
        <v>0</v>
      </c>
      <c r="AD6" s="10">
        <f>Calculations!AF46</f>
        <v>0</v>
      </c>
      <c r="AE6" s="10">
        <f>Calculations!AG46</f>
        <v>0</v>
      </c>
      <c r="AF6" s="10">
        <f>Calculations!AH46</f>
        <v>0</v>
      </c>
      <c r="AG6" s="10">
        <f>Calculations!AI46</f>
        <v>0</v>
      </c>
    </row>
    <row r="7" spans="1:33" x14ac:dyDescent="0.25">
      <c r="A7" t="s">
        <v>59</v>
      </c>
      <c r="B7" s="10">
        <f>Calculations!D47</f>
        <v>0</v>
      </c>
      <c r="C7" s="10">
        <f>Calculations!E47</f>
        <v>11.571780781996274</v>
      </c>
      <c r="D7" s="10">
        <f>Calculations!F47</f>
        <v>11.571780781996274</v>
      </c>
      <c r="E7" s="10">
        <f>Calculations!G47</f>
        <v>11.571780781996274</v>
      </c>
      <c r="F7" s="10">
        <f>Calculations!H47</f>
        <v>11.571780781996274</v>
      </c>
      <c r="G7" s="10">
        <f>Calculations!I47</f>
        <v>11.571780781996274</v>
      </c>
      <c r="H7" s="10">
        <f>Calculations!J47</f>
        <v>11.571780781996274</v>
      </c>
      <c r="I7" s="10">
        <f>Calculations!K47</f>
        <v>11.571780781996274</v>
      </c>
      <c r="J7" s="10">
        <f>Calculations!L47</f>
        <v>11.571780781996274</v>
      </c>
      <c r="K7" s="10">
        <f>Calculations!M47</f>
        <v>11.571780781996274</v>
      </c>
      <c r="L7" s="10">
        <f>Calculations!N47</f>
        <v>11.571780781996274</v>
      </c>
      <c r="M7" s="10">
        <f>Calculations!O47</f>
        <v>11.571780781996274</v>
      </c>
      <c r="N7" s="10">
        <f>Calculations!P47</f>
        <v>11.571780781996274</v>
      </c>
      <c r="O7" s="10">
        <f>Calculations!Q47</f>
        <v>11.572593863838744</v>
      </c>
      <c r="P7" s="10">
        <f>Calculations!R47</f>
        <v>11.572593863838744</v>
      </c>
      <c r="Q7" s="10">
        <f>Calculations!S47</f>
        <v>11.575033109366146</v>
      </c>
      <c r="R7" s="10">
        <f>Calculations!T47</f>
        <v>11.579911600420949</v>
      </c>
      <c r="S7" s="10">
        <f>Calculations!U47</f>
        <v>11.588855500688091</v>
      </c>
      <c r="T7" s="10">
        <f>Calculations!V47</f>
        <v>11.605930219379907</v>
      </c>
      <c r="U7" s="10">
        <f>Calculations!W47</f>
        <v>11.638453493078604</v>
      </c>
      <c r="V7" s="10">
        <f>Calculations!X47</f>
        <v>11.698621549421192</v>
      </c>
      <c r="W7" s="10">
        <f>Calculations!Y47</f>
        <v>11.81001376183923</v>
      </c>
      <c r="X7" s="10">
        <f>Calculations!Z47</f>
        <v>12.011658058771149</v>
      </c>
      <c r="Y7" s="10">
        <f>Calculations!AA47</f>
        <v>12.214115437545535</v>
      </c>
      <c r="Z7" s="10">
        <f>Calculations!AB47</f>
        <v>12.417385898162388</v>
      </c>
      <c r="AA7" s="10">
        <f>Calculations!AC47</f>
        <v>12.620656358779241</v>
      </c>
      <c r="AB7" s="10">
        <f>Calculations!AD47</f>
        <v>12.824739901238564</v>
      </c>
      <c r="AC7" s="10">
        <f>Calculations!AE47</f>
        <v>13.028823443697886</v>
      </c>
      <c r="AD7" s="10">
        <f>Calculations!AF47</f>
        <v>13.232906986157209</v>
      </c>
      <c r="AE7" s="10">
        <f>Calculations!AG47</f>
        <v>13.437803610458998</v>
      </c>
      <c r="AF7" s="10">
        <f>Calculations!AH47</f>
        <v>13.642700234760786</v>
      </c>
      <c r="AG7" s="10">
        <f>Calculations!AI47</f>
        <v>13.847596859062577</v>
      </c>
    </row>
    <row r="8" spans="1:33" s="52" customFormat="1" x14ac:dyDescent="0.25">
      <c r="A8" t="s">
        <v>10</v>
      </c>
      <c r="B8" s="52">
        <f>Calculations!D48</f>
        <v>0</v>
      </c>
      <c r="C8" s="52">
        <f>Calculations!E48</f>
        <v>14894.199872095845</v>
      </c>
      <c r="D8" s="52">
        <f>Calculations!F48</f>
        <v>17296.296503197602</v>
      </c>
      <c r="E8" s="52">
        <f>Calculations!G48</f>
        <v>18879.378233627456</v>
      </c>
      <c r="F8" s="52">
        <f>Calculations!H48+'Inflation Reduction Act'!B50</f>
        <v>23201.099300574759</v>
      </c>
      <c r="G8" s="52">
        <f>Calculations!I48+'Inflation Reduction Act'!C50</f>
        <v>27073.058454788308</v>
      </c>
      <c r="H8" s="52">
        <f>Calculations!J48+'Inflation Reduction Act'!D50</f>
        <v>30872.610231684608</v>
      </c>
      <c r="I8" s="52">
        <f>Calculations!K48+'Inflation Reduction Act'!E50</f>
        <v>34663.2148559864</v>
      </c>
      <c r="J8" s="52">
        <f>Calculations!L48+'Inflation Reduction Act'!F50</f>
        <v>38461.843784991499</v>
      </c>
      <c r="K8" s="52">
        <f>Calculations!M48+'Inflation Reduction Act'!G50</f>
        <v>42316.855874362504</v>
      </c>
      <c r="L8" s="52">
        <f>Calculations!N48+'Inflation Reduction Act'!H50</f>
        <v>46221.887132518415</v>
      </c>
      <c r="M8" s="52">
        <f>Calculations!O48+'Inflation Reduction Act'!I50</f>
        <v>50138.890207722812</v>
      </c>
      <c r="N8" s="52">
        <f>Calculations!P48+'Inflation Reduction Act'!J50</f>
        <v>54124.468605520917</v>
      </c>
      <c r="O8" s="52">
        <f>Calculations!Q48+'Inflation Reduction Act'!K50</f>
        <v>58157.471627944629</v>
      </c>
      <c r="P8" s="52">
        <f>Calculations!R48+'Inflation Reduction Act'!L50</f>
        <v>61511.504966243017</v>
      </c>
      <c r="Q8" s="52">
        <f>Calculations!S48+'Inflation Reduction Act'!M50</f>
        <v>64981.347990609574</v>
      </c>
      <c r="R8" s="52">
        <f>Calculations!T48+'Inflation Reduction Act'!N50</f>
        <v>68442.543889581488</v>
      </c>
      <c r="S8" s="52">
        <f>Calculations!U48+'Inflation Reduction Act'!O50</f>
        <v>71912.350325265113</v>
      </c>
      <c r="T8" s="52">
        <f>Calculations!V48+'Inflation Reduction Act'!P50</f>
        <v>75165.465571440145</v>
      </c>
      <c r="U8" s="52">
        <f>Calculations!W48+'Inflation Reduction Act'!Q50</f>
        <v>78040.702657492118</v>
      </c>
      <c r="V8" s="52">
        <f>Calculations!X48+'Inflation Reduction Act'!R50</f>
        <v>80279.477978142968</v>
      </c>
      <c r="W8" s="52">
        <f>Calculations!Y48+'Inflation Reduction Act'!S50</f>
        <v>82686.195353355462</v>
      </c>
      <c r="X8" s="52">
        <f>Calculations!Z48+'Inflation Reduction Act'!T50</f>
        <v>85151.220453654998</v>
      </c>
      <c r="Y8" s="52">
        <f>Calculations!AA48+'Inflation Reduction Act'!U50</f>
        <v>87814.37408499961</v>
      </c>
      <c r="Z8" s="52">
        <f>Calculations!AB48+'Inflation Reduction Act'!V50</f>
        <v>90597.976847405502</v>
      </c>
      <c r="AA8" s="52">
        <f>Calculations!AC48+'Inflation Reduction Act'!W50</f>
        <v>93417.904041123635</v>
      </c>
      <c r="AB8" s="52">
        <f>Calculations!AD48+'Inflation Reduction Act'!X50</f>
        <v>96406.18552189754</v>
      </c>
      <c r="AC8" s="52">
        <f>Calculations!AE48+'Inflation Reduction Act'!Y50</f>
        <v>99486.878632558917</v>
      </c>
      <c r="AD8" s="52">
        <f>Calculations!AF48+'Inflation Reduction Act'!Z50</f>
        <v>102716.34539334578</v>
      </c>
      <c r="AE8" s="52">
        <f>Calculations!AG48+'Inflation Reduction Act'!AA50</f>
        <v>106094.93461636853</v>
      </c>
      <c r="AF8" s="52">
        <f>Calculations!AH48+'Inflation Reduction Act'!AB50</f>
        <v>109625.24978968673</v>
      </c>
      <c r="AG8" s="52">
        <f>Calculations!AI48+'Inflation Reduction Act'!AC50</f>
        <v>113229.21147705015</v>
      </c>
    </row>
    <row r="9" spans="1:33" x14ac:dyDescent="0.25">
      <c r="A9" t="s">
        <v>11</v>
      </c>
      <c r="B9" s="10">
        <f>Calculations!D49</f>
        <v>0</v>
      </c>
      <c r="C9" s="10">
        <f>Calculations!E49</f>
        <v>0</v>
      </c>
      <c r="D9" s="10">
        <f>Calculations!F49</f>
        <v>0</v>
      </c>
      <c r="E9" s="10">
        <f>Calculations!G49</f>
        <v>0</v>
      </c>
      <c r="F9" s="10">
        <f>Calculations!H49</f>
        <v>0</v>
      </c>
      <c r="G9" s="10">
        <f>Calculations!I49</f>
        <v>0</v>
      </c>
      <c r="H9" s="10">
        <f>Calculations!J49</f>
        <v>0</v>
      </c>
      <c r="I9" s="10">
        <f>Calculations!K49</f>
        <v>0</v>
      </c>
      <c r="J9" s="10">
        <f>Calculations!L49</f>
        <v>0</v>
      </c>
      <c r="K9" s="10">
        <f>Calculations!M49</f>
        <v>0</v>
      </c>
      <c r="L9" s="10">
        <f>Calculations!N49</f>
        <v>0</v>
      </c>
      <c r="M9" s="10">
        <f>Calculations!O49</f>
        <v>0</v>
      </c>
      <c r="N9" s="10">
        <f>Calculations!P49</f>
        <v>0</v>
      </c>
      <c r="O9" s="10">
        <f>Calculations!Q49</f>
        <v>0</v>
      </c>
      <c r="P9" s="10">
        <f>Calculations!R49</f>
        <v>0</v>
      </c>
      <c r="Q9" s="10">
        <f>Calculations!S49</f>
        <v>0</v>
      </c>
      <c r="R9" s="10">
        <f>Calculations!T49</f>
        <v>0</v>
      </c>
      <c r="S9" s="10">
        <f>Calculations!U49</f>
        <v>0</v>
      </c>
      <c r="T9" s="10">
        <f>Calculations!V49</f>
        <v>0</v>
      </c>
      <c r="U9" s="10">
        <f>Calculations!W49</f>
        <v>0</v>
      </c>
      <c r="V9" s="10">
        <f>Calculations!X49</f>
        <v>0</v>
      </c>
      <c r="W9" s="10">
        <f>Calculations!Y49</f>
        <v>0</v>
      </c>
      <c r="X9" s="10">
        <f>Calculations!Z49</f>
        <v>0</v>
      </c>
      <c r="Y9" s="10">
        <f>Calculations!AA49</f>
        <v>0</v>
      </c>
      <c r="Z9" s="10">
        <f>Calculations!AB49</f>
        <v>0</v>
      </c>
      <c r="AA9" s="10">
        <f>Calculations!AC49</f>
        <v>0</v>
      </c>
      <c r="AB9" s="10">
        <f>Calculations!AD49</f>
        <v>0</v>
      </c>
      <c r="AC9" s="10">
        <f>Calculations!AE49</f>
        <v>0</v>
      </c>
      <c r="AD9" s="10">
        <f>Calculations!AF49</f>
        <v>0</v>
      </c>
      <c r="AE9" s="10">
        <f>Calculations!AG49</f>
        <v>0</v>
      </c>
      <c r="AF9" s="10">
        <f>Calculations!AH49</f>
        <v>0</v>
      </c>
      <c r="AG9" s="10">
        <f>Calculations!AI49</f>
        <v>0</v>
      </c>
    </row>
    <row r="10" spans="1:33" x14ac:dyDescent="0.25">
      <c r="A10" t="s">
        <v>12</v>
      </c>
      <c r="B10" s="10">
        <f>Calculations!D50</f>
        <v>0</v>
      </c>
      <c r="C10" s="10">
        <f>Calculations!E50</f>
        <v>0</v>
      </c>
      <c r="D10" s="10">
        <f>Calculations!F50</f>
        <v>0</v>
      </c>
      <c r="E10" s="10">
        <f>Calculations!G50</f>
        <v>0</v>
      </c>
      <c r="F10" s="10">
        <f>Calculations!H50</f>
        <v>0</v>
      </c>
      <c r="G10" s="10">
        <f>Calculations!I50</f>
        <v>0</v>
      </c>
      <c r="H10" s="10">
        <f>Calculations!J50</f>
        <v>0</v>
      </c>
      <c r="I10" s="10">
        <f>Calculations!K50</f>
        <v>0</v>
      </c>
      <c r="J10" s="10">
        <f>Calculations!L50</f>
        <v>0</v>
      </c>
      <c r="K10" s="10">
        <f>Calculations!M50</f>
        <v>0</v>
      </c>
      <c r="L10" s="10">
        <f>Calculations!N50</f>
        <v>0</v>
      </c>
      <c r="M10" s="10">
        <f>Calculations!O50</f>
        <v>0</v>
      </c>
      <c r="N10" s="10">
        <f>Calculations!P50</f>
        <v>0</v>
      </c>
      <c r="O10" s="10">
        <f>Calculations!Q50</f>
        <v>0</v>
      </c>
      <c r="P10" s="10">
        <f>Calculations!R50</f>
        <v>0</v>
      </c>
      <c r="Q10" s="10">
        <f>Calculations!S50</f>
        <v>0</v>
      </c>
      <c r="R10" s="10">
        <f>Calculations!T50</f>
        <v>0</v>
      </c>
      <c r="S10" s="10">
        <f>Calculations!U50</f>
        <v>0</v>
      </c>
      <c r="T10" s="10">
        <f>Calculations!V50</f>
        <v>0</v>
      </c>
      <c r="U10" s="10">
        <f>Calculations!W50</f>
        <v>0</v>
      </c>
      <c r="V10" s="10">
        <f>Calculations!X50</f>
        <v>0</v>
      </c>
      <c r="W10" s="10">
        <f>Calculations!Y50</f>
        <v>0</v>
      </c>
      <c r="X10" s="10">
        <f>Calculations!Z50</f>
        <v>0</v>
      </c>
      <c r="Y10" s="10">
        <f>Calculations!AA50</f>
        <v>0</v>
      </c>
      <c r="Z10" s="10">
        <f>Calculations!AB50</f>
        <v>0</v>
      </c>
      <c r="AA10" s="10">
        <f>Calculations!AC50</f>
        <v>0</v>
      </c>
      <c r="AB10" s="10">
        <f>Calculations!AD50</f>
        <v>0</v>
      </c>
      <c r="AC10" s="10">
        <f>Calculations!AE50</f>
        <v>0</v>
      </c>
      <c r="AD10" s="10">
        <f>Calculations!AF50</f>
        <v>0</v>
      </c>
      <c r="AE10" s="10">
        <f>Calculations!AG50</f>
        <v>0</v>
      </c>
      <c r="AF10" s="10">
        <f>Calculations!AH50</f>
        <v>0</v>
      </c>
      <c r="AG10" s="10">
        <f>Calculations!AI50</f>
        <v>0</v>
      </c>
    </row>
    <row r="11" spans="1:33" x14ac:dyDescent="0.25">
      <c r="A11" t="s">
        <v>13</v>
      </c>
      <c r="B11" s="10">
        <f>Calculations!D51</f>
        <v>0</v>
      </c>
      <c r="C11" s="10">
        <f>Calculations!E51</f>
        <v>0</v>
      </c>
      <c r="D11" s="10">
        <f>Calculations!F51</f>
        <v>0</v>
      </c>
      <c r="E11" s="10">
        <f>Calculations!G51</f>
        <v>0</v>
      </c>
      <c r="F11" s="10">
        <f>Calculations!H51</f>
        <v>0</v>
      </c>
      <c r="G11" s="10">
        <f>Calculations!I51</f>
        <v>0</v>
      </c>
      <c r="H11" s="10">
        <f>Calculations!J51</f>
        <v>0</v>
      </c>
      <c r="I11" s="10">
        <f>Calculations!K51</f>
        <v>0</v>
      </c>
      <c r="J11" s="10">
        <f>Calculations!L51</f>
        <v>0</v>
      </c>
      <c r="K11" s="10">
        <f>Calculations!M51</f>
        <v>0</v>
      </c>
      <c r="L11" s="10">
        <f>Calculations!N51</f>
        <v>0</v>
      </c>
      <c r="M11" s="10">
        <f>Calculations!O51</f>
        <v>0</v>
      </c>
      <c r="N11" s="10">
        <f>Calculations!P51</f>
        <v>0</v>
      </c>
      <c r="O11" s="10">
        <f>Calculations!Q51</f>
        <v>0</v>
      </c>
      <c r="P11" s="10">
        <f>Calculations!R51</f>
        <v>0</v>
      </c>
      <c r="Q11" s="10">
        <f>Calculations!S51</f>
        <v>0</v>
      </c>
      <c r="R11" s="10">
        <f>Calculations!T51</f>
        <v>0</v>
      </c>
      <c r="S11" s="10">
        <f>Calculations!U51</f>
        <v>0</v>
      </c>
      <c r="T11" s="10">
        <f>Calculations!V51</f>
        <v>0</v>
      </c>
      <c r="U11" s="10">
        <f>Calculations!W51</f>
        <v>0</v>
      </c>
      <c r="V11" s="10">
        <f>Calculations!X51</f>
        <v>0</v>
      </c>
      <c r="W11" s="10">
        <f>Calculations!Y51</f>
        <v>0</v>
      </c>
      <c r="X11" s="10">
        <f>Calculations!Z51</f>
        <v>0</v>
      </c>
      <c r="Y11" s="10">
        <f>Calculations!AA51</f>
        <v>0</v>
      </c>
      <c r="Z11" s="10">
        <f>Calculations!AB51</f>
        <v>0</v>
      </c>
      <c r="AA11" s="10">
        <f>Calculations!AC51</f>
        <v>0</v>
      </c>
      <c r="AB11" s="10">
        <f>Calculations!AD51</f>
        <v>0</v>
      </c>
      <c r="AC11" s="10">
        <f>Calculations!AE51</f>
        <v>0</v>
      </c>
      <c r="AD11" s="10">
        <f>Calculations!AF51</f>
        <v>0</v>
      </c>
      <c r="AE11" s="10">
        <f>Calculations!AG51</f>
        <v>0</v>
      </c>
      <c r="AF11" s="10">
        <f>Calculations!AH51</f>
        <v>0</v>
      </c>
      <c r="AG11" s="10">
        <f>Calculations!AI51</f>
        <v>0</v>
      </c>
    </row>
    <row r="12" spans="1:33" x14ac:dyDescent="0.25">
      <c r="A12" t="s">
        <v>14</v>
      </c>
      <c r="B12" s="10">
        <f>Calculations!D52</f>
        <v>0</v>
      </c>
      <c r="C12" s="10">
        <f>Calculations!E52</f>
        <v>0</v>
      </c>
      <c r="D12" s="10">
        <f>Calculations!F52</f>
        <v>0</v>
      </c>
      <c r="E12" s="10">
        <f>Calculations!G52</f>
        <v>0</v>
      </c>
      <c r="F12" s="10">
        <f>Calculations!H52</f>
        <v>0</v>
      </c>
      <c r="G12" s="10">
        <f>Calculations!I52</f>
        <v>0</v>
      </c>
      <c r="H12" s="10">
        <f>Calculations!J52</f>
        <v>0</v>
      </c>
      <c r="I12" s="10">
        <f>Calculations!K52</f>
        <v>0</v>
      </c>
      <c r="J12" s="10">
        <f>Calculations!L52</f>
        <v>0</v>
      </c>
      <c r="K12" s="10">
        <f>Calculations!M52</f>
        <v>0</v>
      </c>
      <c r="L12" s="10">
        <f>Calculations!N52</f>
        <v>0</v>
      </c>
      <c r="M12" s="10">
        <f>Calculations!O52</f>
        <v>0</v>
      </c>
      <c r="N12" s="10">
        <f>Calculations!P52</f>
        <v>0</v>
      </c>
      <c r="O12" s="10">
        <f>Calculations!Q52</f>
        <v>0</v>
      </c>
      <c r="P12" s="10">
        <f>Calculations!R52</f>
        <v>0</v>
      </c>
      <c r="Q12" s="10">
        <f>Calculations!S52</f>
        <v>0</v>
      </c>
      <c r="R12" s="10">
        <f>Calculations!T52</f>
        <v>0</v>
      </c>
      <c r="S12" s="10">
        <f>Calculations!U52</f>
        <v>0</v>
      </c>
      <c r="T12" s="10">
        <f>Calculations!V52</f>
        <v>0</v>
      </c>
      <c r="U12" s="10">
        <f>Calculations!W52</f>
        <v>0</v>
      </c>
      <c r="V12" s="10">
        <f>Calculations!X52</f>
        <v>0</v>
      </c>
      <c r="W12" s="10">
        <f>Calculations!Y52</f>
        <v>0</v>
      </c>
      <c r="X12" s="10">
        <f>Calculations!Z52</f>
        <v>0</v>
      </c>
      <c r="Y12" s="10">
        <f>Calculations!AA52</f>
        <v>0</v>
      </c>
      <c r="Z12" s="10">
        <f>Calculations!AB52</f>
        <v>0</v>
      </c>
      <c r="AA12" s="10">
        <f>Calculations!AC52</f>
        <v>0</v>
      </c>
      <c r="AB12" s="10">
        <f>Calculations!AD52</f>
        <v>0</v>
      </c>
      <c r="AC12" s="10">
        <f>Calculations!AE52</f>
        <v>0</v>
      </c>
      <c r="AD12" s="10">
        <f>Calculations!AF52</f>
        <v>0</v>
      </c>
      <c r="AE12" s="10">
        <f>Calculations!AG52</f>
        <v>0</v>
      </c>
      <c r="AF12" s="10">
        <f>Calculations!AH52</f>
        <v>0</v>
      </c>
      <c r="AG12" s="10">
        <f>Calculations!AI52</f>
        <v>0</v>
      </c>
    </row>
    <row r="13" spans="1:33" x14ac:dyDescent="0.25">
      <c r="A13" t="s">
        <v>15</v>
      </c>
      <c r="B13" s="10">
        <f>Calculations!D53</f>
        <v>0</v>
      </c>
      <c r="C13" s="10">
        <f>Calculations!E53</f>
        <v>0</v>
      </c>
      <c r="D13" s="10">
        <f>Calculations!F53</f>
        <v>0</v>
      </c>
      <c r="E13" s="10">
        <f>Calculations!G53</f>
        <v>0</v>
      </c>
      <c r="F13" s="10">
        <f>Calculations!H53</f>
        <v>0</v>
      </c>
      <c r="G13" s="10">
        <f>Calculations!I53</f>
        <v>0</v>
      </c>
      <c r="H13" s="10">
        <f>Calculations!J53</f>
        <v>0</v>
      </c>
      <c r="I13" s="10">
        <f>Calculations!K53</f>
        <v>0</v>
      </c>
      <c r="J13" s="10">
        <f>Calculations!L53</f>
        <v>0</v>
      </c>
      <c r="K13" s="10">
        <f>Calculations!M53</f>
        <v>0</v>
      </c>
      <c r="L13" s="10">
        <f>Calculations!N53</f>
        <v>0</v>
      </c>
      <c r="M13" s="10">
        <f>Calculations!O53</f>
        <v>0</v>
      </c>
      <c r="N13" s="10">
        <f>Calculations!P53</f>
        <v>0</v>
      </c>
      <c r="O13" s="10">
        <f>Calculations!Q53</f>
        <v>0</v>
      </c>
      <c r="P13" s="10">
        <f>Calculations!R53</f>
        <v>0</v>
      </c>
      <c r="Q13" s="10">
        <f>Calculations!S53</f>
        <v>0</v>
      </c>
      <c r="R13" s="10">
        <f>Calculations!T53</f>
        <v>0</v>
      </c>
      <c r="S13" s="10">
        <f>Calculations!U53</f>
        <v>0</v>
      </c>
      <c r="T13" s="10">
        <f>Calculations!V53</f>
        <v>0</v>
      </c>
      <c r="U13" s="10">
        <f>Calculations!W53</f>
        <v>0</v>
      </c>
      <c r="V13" s="10">
        <f>Calculations!X53</f>
        <v>0</v>
      </c>
      <c r="W13" s="10">
        <f>Calculations!Y53</f>
        <v>0</v>
      </c>
      <c r="X13" s="10">
        <f>Calculations!Z53</f>
        <v>0</v>
      </c>
      <c r="Y13" s="10">
        <f>Calculations!AA53</f>
        <v>0</v>
      </c>
      <c r="Z13" s="10">
        <f>Calculations!AB53</f>
        <v>0</v>
      </c>
      <c r="AA13" s="10">
        <f>Calculations!AC53</f>
        <v>0</v>
      </c>
      <c r="AB13" s="10">
        <f>Calculations!AD53</f>
        <v>0</v>
      </c>
      <c r="AC13" s="10">
        <f>Calculations!AE53</f>
        <v>0</v>
      </c>
      <c r="AD13" s="10">
        <f>Calculations!AF53</f>
        <v>0</v>
      </c>
      <c r="AE13" s="10">
        <f>Calculations!AG53</f>
        <v>0</v>
      </c>
      <c r="AF13" s="10">
        <f>Calculations!AH53</f>
        <v>0</v>
      </c>
      <c r="AG13" s="10">
        <f>Calculations!AI53</f>
        <v>0</v>
      </c>
    </row>
    <row r="14" spans="1:33" x14ac:dyDescent="0.25">
      <c r="A14" t="s">
        <v>57</v>
      </c>
      <c r="B14" s="10">
        <f>Calculations!D54</f>
        <v>0</v>
      </c>
      <c r="C14" s="10">
        <f>Calculations!E54</f>
        <v>0</v>
      </c>
      <c r="D14" s="10">
        <f>Calculations!F54</f>
        <v>0</v>
      </c>
      <c r="E14" s="10">
        <f>Calculations!G54</f>
        <v>0</v>
      </c>
      <c r="F14" s="10">
        <f>Calculations!H54</f>
        <v>0</v>
      </c>
      <c r="G14" s="10">
        <f>Calculations!I54</f>
        <v>0</v>
      </c>
      <c r="H14" s="10">
        <f>Calculations!J54</f>
        <v>0</v>
      </c>
      <c r="I14" s="10">
        <f>Calculations!K54</f>
        <v>0</v>
      </c>
      <c r="J14" s="10">
        <f>Calculations!L54</f>
        <v>0</v>
      </c>
      <c r="K14" s="10">
        <f>Calculations!M54</f>
        <v>0</v>
      </c>
      <c r="L14" s="10">
        <f>Calculations!N54</f>
        <v>0</v>
      </c>
      <c r="M14" s="10">
        <f>Calculations!O54</f>
        <v>0</v>
      </c>
      <c r="N14" s="10">
        <f>Calculations!P54</f>
        <v>0</v>
      </c>
      <c r="O14" s="10">
        <f>Calculations!Q54</f>
        <v>0</v>
      </c>
      <c r="P14" s="10">
        <f>Calculations!R54</f>
        <v>0</v>
      </c>
      <c r="Q14" s="10">
        <f>Calculations!S54</f>
        <v>0</v>
      </c>
      <c r="R14" s="10">
        <f>Calculations!T54</f>
        <v>0</v>
      </c>
      <c r="S14" s="10">
        <f>Calculations!U54</f>
        <v>0</v>
      </c>
      <c r="T14" s="10">
        <f>Calculations!V54</f>
        <v>0</v>
      </c>
      <c r="U14" s="10">
        <f>Calculations!W54</f>
        <v>0</v>
      </c>
      <c r="V14" s="10">
        <f>Calculations!X54</f>
        <v>0</v>
      </c>
      <c r="W14" s="10">
        <f>Calculations!Y54</f>
        <v>0</v>
      </c>
      <c r="X14" s="10">
        <f>Calculations!Z54</f>
        <v>0</v>
      </c>
      <c r="Y14" s="10">
        <f>Calculations!AA54</f>
        <v>0</v>
      </c>
      <c r="Z14" s="10">
        <f>Calculations!AB54</f>
        <v>0</v>
      </c>
      <c r="AA14" s="10">
        <f>Calculations!AC54</f>
        <v>0</v>
      </c>
      <c r="AB14" s="10">
        <f>Calculations!AD54</f>
        <v>0</v>
      </c>
      <c r="AC14" s="10">
        <f>Calculations!AE54</f>
        <v>0</v>
      </c>
      <c r="AD14" s="10">
        <f>Calculations!AF54</f>
        <v>0</v>
      </c>
      <c r="AE14" s="10">
        <f>Calculations!AG54</f>
        <v>0</v>
      </c>
      <c r="AF14" s="10">
        <f>Calculations!AH54</f>
        <v>0</v>
      </c>
      <c r="AG14" s="10">
        <f>Calculations!AI54</f>
        <v>0</v>
      </c>
    </row>
    <row r="15" spans="1:33" x14ac:dyDescent="0.25">
      <c r="A15" t="s">
        <v>60</v>
      </c>
      <c r="B15" s="10">
        <f>Calculations!D55</f>
        <v>0</v>
      </c>
      <c r="C15" s="10">
        <f>Calculations!E55</f>
        <v>0</v>
      </c>
      <c r="D15" s="10">
        <f>Calculations!F55</f>
        <v>0</v>
      </c>
      <c r="E15" s="10">
        <f>Calculations!G55</f>
        <v>0</v>
      </c>
      <c r="F15" s="10">
        <f>Calculations!H55</f>
        <v>0</v>
      </c>
      <c r="G15" s="10">
        <f>Calculations!I55</f>
        <v>0</v>
      </c>
      <c r="H15" s="10">
        <f>Calculations!J55</f>
        <v>0</v>
      </c>
      <c r="I15" s="10">
        <f>Calculations!K55</f>
        <v>0</v>
      </c>
      <c r="J15" s="10">
        <f>Calculations!L55</f>
        <v>0</v>
      </c>
      <c r="K15" s="10">
        <f>Calculations!M55</f>
        <v>0</v>
      </c>
      <c r="L15" s="10">
        <f>Calculations!N55</f>
        <v>0</v>
      </c>
      <c r="M15" s="10">
        <f>Calculations!O55</f>
        <v>0</v>
      </c>
      <c r="N15" s="10">
        <f>Calculations!P55</f>
        <v>0</v>
      </c>
      <c r="O15" s="10">
        <f>Calculations!Q55</f>
        <v>0</v>
      </c>
      <c r="P15" s="10">
        <f>Calculations!R55</f>
        <v>0</v>
      </c>
      <c r="Q15" s="10">
        <f>Calculations!S55</f>
        <v>0</v>
      </c>
      <c r="R15" s="10">
        <f>Calculations!T55</f>
        <v>0</v>
      </c>
      <c r="S15" s="10">
        <f>Calculations!U55</f>
        <v>0</v>
      </c>
      <c r="T15" s="10">
        <f>Calculations!V55</f>
        <v>0</v>
      </c>
      <c r="U15" s="10">
        <f>Calculations!W55</f>
        <v>0</v>
      </c>
      <c r="V15" s="10">
        <f>Calculations!X55</f>
        <v>0</v>
      </c>
      <c r="W15" s="10">
        <f>Calculations!Y55</f>
        <v>0</v>
      </c>
      <c r="X15" s="10">
        <f>Calculations!Z55</f>
        <v>0</v>
      </c>
      <c r="Y15" s="10">
        <f>Calculations!AA55</f>
        <v>0</v>
      </c>
      <c r="Z15" s="10">
        <f>Calculations!AB55</f>
        <v>0</v>
      </c>
      <c r="AA15" s="10">
        <f>Calculations!AC55</f>
        <v>0</v>
      </c>
      <c r="AB15" s="10">
        <f>Calculations!AD55</f>
        <v>0</v>
      </c>
      <c r="AC15" s="10">
        <f>Calculations!AE55</f>
        <v>0</v>
      </c>
      <c r="AD15" s="10">
        <f>Calculations!AF55</f>
        <v>0</v>
      </c>
      <c r="AE15" s="10">
        <f>Calculations!AG55</f>
        <v>0</v>
      </c>
      <c r="AF15" s="10">
        <f>Calculations!AH55</f>
        <v>0</v>
      </c>
      <c r="AG15" s="10">
        <f>Calculations!AI55</f>
        <v>0</v>
      </c>
    </row>
    <row r="16" spans="1:33" x14ac:dyDescent="0.25">
      <c r="A16" t="s">
        <v>158</v>
      </c>
      <c r="B16" s="10">
        <f>Calculations!D56</f>
        <v>0</v>
      </c>
      <c r="C16" s="10">
        <f>Calculations!E56</f>
        <v>0</v>
      </c>
      <c r="D16" s="10">
        <f>Calculations!F56</f>
        <v>0</v>
      </c>
      <c r="E16" s="10">
        <f>Calculations!G56</f>
        <v>0</v>
      </c>
      <c r="F16" s="10">
        <f>Calculations!H56</f>
        <v>0</v>
      </c>
      <c r="G16" s="10">
        <f>Calculations!I56</f>
        <v>0</v>
      </c>
      <c r="H16" s="10">
        <f>Calculations!J56</f>
        <v>0</v>
      </c>
      <c r="I16" s="10">
        <f>Calculations!K56</f>
        <v>0</v>
      </c>
      <c r="J16" s="10">
        <f>Calculations!L56</f>
        <v>0</v>
      </c>
      <c r="K16" s="10">
        <f>Calculations!M56</f>
        <v>0</v>
      </c>
      <c r="L16" s="10">
        <f>Calculations!N56</f>
        <v>0</v>
      </c>
      <c r="M16" s="10">
        <f>Calculations!O56</f>
        <v>0</v>
      </c>
      <c r="N16" s="10">
        <f>Calculations!P56</f>
        <v>0</v>
      </c>
      <c r="O16" s="10">
        <f>Calculations!Q56</f>
        <v>0</v>
      </c>
      <c r="P16" s="10">
        <f>Calculations!R56</f>
        <v>0</v>
      </c>
      <c r="Q16" s="10">
        <f>Calculations!S56</f>
        <v>0</v>
      </c>
      <c r="R16" s="10">
        <f>Calculations!T56</f>
        <v>0</v>
      </c>
      <c r="S16" s="10">
        <f>Calculations!U56</f>
        <v>0</v>
      </c>
      <c r="T16" s="10">
        <f>Calculations!V56</f>
        <v>0</v>
      </c>
      <c r="U16" s="10">
        <f>Calculations!W56</f>
        <v>0</v>
      </c>
      <c r="V16" s="10">
        <f>Calculations!X56</f>
        <v>0</v>
      </c>
      <c r="W16" s="10">
        <f>Calculations!Y56</f>
        <v>0</v>
      </c>
      <c r="X16" s="10">
        <f>Calculations!Z56</f>
        <v>0</v>
      </c>
      <c r="Y16" s="10">
        <f>Calculations!AA56</f>
        <v>0</v>
      </c>
      <c r="Z16" s="10">
        <f>Calculations!AB56</f>
        <v>0</v>
      </c>
      <c r="AA16" s="10">
        <f>Calculations!AC56</f>
        <v>0</v>
      </c>
      <c r="AB16" s="10">
        <f>Calculations!AD56</f>
        <v>0</v>
      </c>
      <c r="AC16" s="10">
        <f>Calculations!AE56</f>
        <v>0</v>
      </c>
      <c r="AD16" s="10">
        <f>Calculations!AF56</f>
        <v>0</v>
      </c>
      <c r="AE16" s="10">
        <f>Calculations!AG56</f>
        <v>0</v>
      </c>
      <c r="AF16" s="10">
        <f>Calculations!AH56</f>
        <v>0</v>
      </c>
      <c r="AG16" s="10">
        <f>Calculations!AI56</f>
        <v>0</v>
      </c>
    </row>
    <row r="17" spans="1:33" x14ac:dyDescent="0.25">
      <c r="A17" t="s">
        <v>159</v>
      </c>
      <c r="B17" s="10">
        <f>Calculations!D57</f>
        <v>0</v>
      </c>
      <c r="C17" s="10">
        <f>Calculations!E57</f>
        <v>0</v>
      </c>
      <c r="D17" s="10">
        <f>Calculations!F57</f>
        <v>0</v>
      </c>
      <c r="E17" s="10">
        <f>Calculations!G57</f>
        <v>0</v>
      </c>
      <c r="F17" s="10">
        <f>Calculations!H57</f>
        <v>0</v>
      </c>
      <c r="G17" s="10">
        <f>Calculations!I57</f>
        <v>0</v>
      </c>
      <c r="H17" s="10">
        <f>Calculations!J57</f>
        <v>0</v>
      </c>
      <c r="I17" s="10">
        <f>Calculations!K57</f>
        <v>0</v>
      </c>
      <c r="J17" s="10">
        <f>Calculations!L57</f>
        <v>0</v>
      </c>
      <c r="K17" s="10">
        <f>Calculations!M57</f>
        <v>0</v>
      </c>
      <c r="L17" s="10">
        <f>Calculations!N57</f>
        <v>0</v>
      </c>
      <c r="M17" s="10">
        <f>Calculations!O57</f>
        <v>0</v>
      </c>
      <c r="N17" s="10">
        <f>Calculations!P57</f>
        <v>0</v>
      </c>
      <c r="O17" s="10">
        <f>Calculations!Q57</f>
        <v>0</v>
      </c>
      <c r="P17" s="10">
        <f>Calculations!R57</f>
        <v>0</v>
      </c>
      <c r="Q17" s="10">
        <f>Calculations!S57</f>
        <v>0</v>
      </c>
      <c r="R17" s="10">
        <f>Calculations!T57</f>
        <v>0</v>
      </c>
      <c r="S17" s="10">
        <f>Calculations!U57</f>
        <v>0</v>
      </c>
      <c r="T17" s="10">
        <f>Calculations!V57</f>
        <v>0</v>
      </c>
      <c r="U17" s="10">
        <f>Calculations!W57</f>
        <v>0</v>
      </c>
      <c r="V17" s="10">
        <f>Calculations!X57</f>
        <v>0</v>
      </c>
      <c r="W17" s="10">
        <f>Calculations!Y57</f>
        <v>0</v>
      </c>
      <c r="X17" s="10">
        <f>Calculations!Z57</f>
        <v>0</v>
      </c>
      <c r="Y17" s="10">
        <f>Calculations!AA57</f>
        <v>0</v>
      </c>
      <c r="Z17" s="10">
        <f>Calculations!AB57</f>
        <v>0</v>
      </c>
      <c r="AA17" s="10">
        <f>Calculations!AC57</f>
        <v>0</v>
      </c>
      <c r="AB17" s="10">
        <f>Calculations!AD57</f>
        <v>0</v>
      </c>
      <c r="AC17" s="10">
        <f>Calculations!AE57</f>
        <v>0</v>
      </c>
      <c r="AD17" s="10">
        <f>Calculations!AF57</f>
        <v>0</v>
      </c>
      <c r="AE17" s="10">
        <f>Calculations!AG57</f>
        <v>0</v>
      </c>
      <c r="AF17" s="10">
        <f>Calculations!AH57</f>
        <v>0</v>
      </c>
      <c r="AG17" s="10">
        <f>Calculations!AI57</f>
        <v>0</v>
      </c>
    </row>
    <row r="18" spans="1:33" x14ac:dyDescent="0.25">
      <c r="A18" t="s">
        <v>160</v>
      </c>
      <c r="B18" s="10">
        <f>Calculations!D58</f>
        <v>0</v>
      </c>
      <c r="C18" s="10">
        <f>Calculations!E58</f>
        <v>0</v>
      </c>
      <c r="D18" s="10">
        <f>Calculations!F58</f>
        <v>0</v>
      </c>
      <c r="E18" s="10">
        <f>Calculations!G58</f>
        <v>0</v>
      </c>
      <c r="F18" s="10">
        <f>Calculations!H58</f>
        <v>0</v>
      </c>
      <c r="G18" s="10">
        <f>Calculations!I58</f>
        <v>0</v>
      </c>
      <c r="H18" s="10">
        <f>Calculations!J58</f>
        <v>0</v>
      </c>
      <c r="I18" s="10">
        <f>Calculations!K58</f>
        <v>0</v>
      </c>
      <c r="J18" s="10">
        <f>Calculations!L58</f>
        <v>0</v>
      </c>
      <c r="K18" s="10">
        <f>Calculations!M58</f>
        <v>0</v>
      </c>
      <c r="L18" s="10">
        <f>Calculations!N58</f>
        <v>0</v>
      </c>
      <c r="M18" s="10">
        <f>Calculations!O58</f>
        <v>0</v>
      </c>
      <c r="N18" s="10">
        <f>Calculations!P58</f>
        <v>0</v>
      </c>
      <c r="O18" s="10">
        <f>Calculations!Q58</f>
        <v>0</v>
      </c>
      <c r="P18" s="10">
        <f>Calculations!R58</f>
        <v>0</v>
      </c>
      <c r="Q18" s="10">
        <f>Calculations!S58</f>
        <v>0</v>
      </c>
      <c r="R18" s="10">
        <f>Calculations!T58</f>
        <v>0</v>
      </c>
      <c r="S18" s="10">
        <f>Calculations!U58</f>
        <v>0</v>
      </c>
      <c r="T18" s="10">
        <f>Calculations!V58</f>
        <v>0</v>
      </c>
      <c r="U18" s="10">
        <f>Calculations!W58</f>
        <v>0</v>
      </c>
      <c r="V18" s="10">
        <f>Calculations!X58</f>
        <v>0</v>
      </c>
      <c r="W18" s="10">
        <f>Calculations!Y58</f>
        <v>0</v>
      </c>
      <c r="X18" s="10">
        <f>Calculations!Z58</f>
        <v>0</v>
      </c>
      <c r="Y18" s="10">
        <f>Calculations!AA58</f>
        <v>0</v>
      </c>
      <c r="Z18" s="10">
        <f>Calculations!AB58</f>
        <v>0</v>
      </c>
      <c r="AA18" s="10">
        <f>Calculations!AC58</f>
        <v>0</v>
      </c>
      <c r="AB18" s="10">
        <f>Calculations!AD58</f>
        <v>0</v>
      </c>
      <c r="AC18" s="10">
        <f>Calculations!AE58</f>
        <v>0</v>
      </c>
      <c r="AD18" s="10">
        <f>Calculations!AF58</f>
        <v>0</v>
      </c>
      <c r="AE18" s="10">
        <f>Calculations!AG58</f>
        <v>0</v>
      </c>
      <c r="AF18" s="10">
        <f>Calculations!AH58</f>
        <v>0</v>
      </c>
      <c r="AG18" s="10">
        <f>Calculations!AI58</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G25"/>
  <sheetViews>
    <sheetView workbookViewId="0">
      <selection activeCell="B24" sqref="B24:AG25"/>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Calculations!D62</f>
        <v>0</v>
      </c>
      <c r="C2" s="10">
        <f>Calculations!E62</f>
        <v>0</v>
      </c>
      <c r="D2" s="10">
        <f>Calculations!F62</f>
        <v>0</v>
      </c>
      <c r="E2" s="10">
        <f>Calculations!G62</f>
        <v>0</v>
      </c>
      <c r="F2" s="10">
        <f>Calculations!H62</f>
        <v>0</v>
      </c>
      <c r="G2" s="10">
        <f>Calculations!I62</f>
        <v>0</v>
      </c>
      <c r="H2" s="10">
        <f>Calculations!J62</f>
        <v>0</v>
      </c>
      <c r="I2" s="10">
        <f>Calculations!K62</f>
        <v>0</v>
      </c>
      <c r="J2" s="10">
        <f>Calculations!L62</f>
        <v>0</v>
      </c>
      <c r="K2" s="10">
        <f>Calculations!M62</f>
        <v>0</v>
      </c>
      <c r="L2" s="10">
        <f>Calculations!N62</f>
        <v>0</v>
      </c>
      <c r="M2" s="10">
        <f>Calculations!O62</f>
        <v>0</v>
      </c>
      <c r="N2" s="10">
        <f>Calculations!P62</f>
        <v>0</v>
      </c>
      <c r="O2" s="10">
        <f>Calculations!Q62</f>
        <v>0</v>
      </c>
      <c r="P2" s="10">
        <f>Calculations!R62</f>
        <v>0</v>
      </c>
      <c r="Q2" s="10">
        <f>Calculations!S62</f>
        <v>0</v>
      </c>
      <c r="R2" s="10">
        <f>Calculations!T62</f>
        <v>0</v>
      </c>
      <c r="S2" s="10">
        <f>Calculations!U62</f>
        <v>0</v>
      </c>
      <c r="T2" s="10">
        <f>Calculations!V62</f>
        <v>0</v>
      </c>
      <c r="U2" s="10">
        <f>Calculations!W62</f>
        <v>0</v>
      </c>
      <c r="V2" s="10">
        <f>Calculations!X62</f>
        <v>0</v>
      </c>
      <c r="W2" s="10">
        <f>Calculations!Y62</f>
        <v>0</v>
      </c>
      <c r="X2" s="10">
        <f>Calculations!Z62</f>
        <v>0</v>
      </c>
      <c r="Y2" s="10">
        <f>Calculations!AA62</f>
        <v>0</v>
      </c>
      <c r="Z2" s="10">
        <f>Calculations!AB62</f>
        <v>0</v>
      </c>
      <c r="AA2" s="10">
        <f>Calculations!AC62</f>
        <v>0</v>
      </c>
      <c r="AB2" s="10">
        <f>Calculations!AD62</f>
        <v>0</v>
      </c>
      <c r="AC2" s="10">
        <f>Calculations!AE62</f>
        <v>0</v>
      </c>
      <c r="AD2" s="10">
        <f>Calculations!AF62</f>
        <v>0</v>
      </c>
      <c r="AE2" s="10">
        <f>Calculations!AG62</f>
        <v>0</v>
      </c>
      <c r="AF2" s="10">
        <f>Calculations!AH62</f>
        <v>0</v>
      </c>
      <c r="AG2" s="10">
        <f>Calculations!AI62</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Calculations!D63</f>
        <v>0</v>
      </c>
      <c r="C4" s="10">
        <f>Calculations!E63</f>
        <v>0</v>
      </c>
      <c r="D4" s="10">
        <f>Calculations!F63</f>
        <v>0</v>
      </c>
      <c r="E4" s="10">
        <f>Calculations!G63</f>
        <v>0</v>
      </c>
      <c r="F4" s="10">
        <f>Calculations!H63</f>
        <v>0</v>
      </c>
      <c r="G4" s="10">
        <f>Calculations!I63</f>
        <v>0</v>
      </c>
      <c r="H4" s="10">
        <f>Calculations!J63</f>
        <v>0</v>
      </c>
      <c r="I4" s="10">
        <f>Calculations!K63</f>
        <v>0</v>
      </c>
      <c r="J4" s="10">
        <f>Calculations!L63</f>
        <v>0</v>
      </c>
      <c r="K4" s="10">
        <f>Calculations!M63</f>
        <v>0</v>
      </c>
      <c r="L4" s="10">
        <f>Calculations!N63</f>
        <v>0</v>
      </c>
      <c r="M4" s="10">
        <f>Calculations!O63</f>
        <v>0</v>
      </c>
      <c r="N4" s="10">
        <f>Calculations!P63</f>
        <v>0</v>
      </c>
      <c r="O4" s="10">
        <f>Calculations!Q63</f>
        <v>0</v>
      </c>
      <c r="P4" s="10">
        <f>Calculations!R63</f>
        <v>0</v>
      </c>
      <c r="Q4" s="10">
        <f>Calculations!S63</f>
        <v>3.7383631506516634E-4</v>
      </c>
      <c r="R4" s="10">
        <f>Calculations!T63</f>
        <v>9.3459078766291591E-4</v>
      </c>
      <c r="S4" s="10">
        <f>Calculations!U63</f>
        <v>1.8691815753258318E-3</v>
      </c>
      <c r="T4" s="10">
        <f>Calculations!V63</f>
        <v>3.9252813081842464E-3</v>
      </c>
      <c r="U4" s="10">
        <f>Calculations!W63</f>
        <v>7.6636444588359101E-3</v>
      </c>
      <c r="V4" s="10">
        <f>Calculations!X63</f>
        <v>1.4579616287541487E-2</v>
      </c>
      <c r="W4" s="10">
        <f>Calculations!Y63</f>
        <v>2.7290050999757141E-2</v>
      </c>
      <c r="X4" s="10">
        <f>Calculations!Z63</f>
        <v>5.0654820691330031E-2</v>
      </c>
      <c r="Y4" s="10">
        <f>Calculations!AA63</f>
        <v>7.3832672225370363E-2</v>
      </c>
      <c r="Z4" s="10">
        <f>Calculations!AB63</f>
        <v>9.7197441916943239E-2</v>
      </c>
      <c r="AA4" s="10">
        <f>Calculations!AC63</f>
        <v>0.12056221160851613</v>
      </c>
      <c r="AB4" s="10">
        <f>Calculations!AD63</f>
        <v>0.14392698130008902</v>
      </c>
      <c r="AC4" s="10">
        <f>Calculations!AE63</f>
        <v>0.16747866914919451</v>
      </c>
      <c r="AD4" s="10">
        <f>Calculations!AF63</f>
        <v>0.19103035699829995</v>
      </c>
      <c r="AE4" s="10">
        <f>Calculations!AG63</f>
        <v>0.2143951266898729</v>
      </c>
      <c r="AF4" s="10">
        <f>Calculations!AH63</f>
        <v>0.2379468145389784</v>
      </c>
      <c r="AG4" s="10">
        <f>Calculations!AI63</f>
        <v>0.26149850238808386</v>
      </c>
    </row>
    <row r="5" spans="1:33" x14ac:dyDescent="0.25">
      <c r="A5" t="s">
        <v>8</v>
      </c>
      <c r="B5" s="10">
        <f>Calculations!D64</f>
        <v>0</v>
      </c>
      <c r="C5" s="10">
        <f>Calculations!E64</f>
        <v>0</v>
      </c>
      <c r="D5" s="10">
        <f>Calculations!F64</f>
        <v>0</v>
      </c>
      <c r="E5" s="10">
        <f>Calculations!G64</f>
        <v>0</v>
      </c>
      <c r="F5" s="10">
        <f>Calculations!H64</f>
        <v>0</v>
      </c>
      <c r="G5" s="10">
        <f>Calculations!I64</f>
        <v>0</v>
      </c>
      <c r="H5" s="10">
        <f>Calculations!J64</f>
        <v>0</v>
      </c>
      <c r="I5" s="10">
        <f>Calculations!K64</f>
        <v>0</v>
      </c>
      <c r="J5" s="10">
        <f>Calculations!L64</f>
        <v>0</v>
      </c>
      <c r="K5" s="10">
        <f>Calculations!M64</f>
        <v>0</v>
      </c>
      <c r="L5" s="10">
        <f>Calculations!N64</f>
        <v>0</v>
      </c>
      <c r="M5" s="10">
        <f>Calculations!O64</f>
        <v>0</v>
      </c>
      <c r="N5" s="10">
        <f>Calculations!P64</f>
        <v>0</v>
      </c>
      <c r="O5" s="10">
        <f>Calculations!Q64</f>
        <v>0</v>
      </c>
      <c r="P5" s="10">
        <f>Calculations!R64</f>
        <v>0</v>
      </c>
      <c r="Q5" s="10">
        <f>Calculations!S64</f>
        <v>0</v>
      </c>
      <c r="R5" s="10">
        <f>Calculations!T64</f>
        <v>0</v>
      </c>
      <c r="S5" s="10">
        <f>Calculations!U64</f>
        <v>0</v>
      </c>
      <c r="T5" s="10">
        <f>Calculations!V64</f>
        <v>0</v>
      </c>
      <c r="U5" s="10">
        <f>Calculations!W64</f>
        <v>0</v>
      </c>
      <c r="V5" s="10">
        <f>Calculations!X64</f>
        <v>0</v>
      </c>
      <c r="W5" s="10">
        <f>Calculations!Y64</f>
        <v>0</v>
      </c>
      <c r="X5" s="10">
        <f>Calculations!Z64</f>
        <v>0</v>
      </c>
      <c r="Y5" s="10">
        <f>Calculations!AA64</f>
        <v>0</v>
      </c>
      <c r="Z5" s="10">
        <f>Calculations!AB64</f>
        <v>0</v>
      </c>
      <c r="AA5" s="10">
        <f>Calculations!AC64</f>
        <v>0</v>
      </c>
      <c r="AB5" s="10">
        <f>Calculations!AD64</f>
        <v>0</v>
      </c>
      <c r="AC5" s="10">
        <f>Calculations!AE64</f>
        <v>0</v>
      </c>
      <c r="AD5" s="10">
        <f>Calculations!AF64</f>
        <v>0</v>
      </c>
      <c r="AE5" s="10">
        <f>Calculations!AG64</f>
        <v>0</v>
      </c>
      <c r="AF5" s="10">
        <f>Calculations!AH64</f>
        <v>0</v>
      </c>
      <c r="AG5" s="10">
        <f>Calculations!AI64</f>
        <v>0</v>
      </c>
    </row>
    <row r="6" spans="1:33" x14ac:dyDescent="0.25">
      <c r="A6" t="s">
        <v>9</v>
      </c>
      <c r="B6" s="10">
        <f>Calculations!D65</f>
        <v>0</v>
      </c>
      <c r="C6" s="10">
        <f>Calculations!E65</f>
        <v>0</v>
      </c>
      <c r="D6" s="10">
        <f>Calculations!F65</f>
        <v>0</v>
      </c>
      <c r="E6" s="10">
        <f>Calculations!G65</f>
        <v>0</v>
      </c>
      <c r="F6" s="10">
        <f>Calculations!H65</f>
        <v>0</v>
      </c>
      <c r="G6" s="10">
        <f>Calculations!I65</f>
        <v>0</v>
      </c>
      <c r="H6" s="10">
        <f>Calculations!J65</f>
        <v>0</v>
      </c>
      <c r="I6" s="10">
        <f>Calculations!K65</f>
        <v>0</v>
      </c>
      <c r="J6" s="10">
        <f>Calculations!L65</f>
        <v>0</v>
      </c>
      <c r="K6" s="10">
        <f>Calculations!M65</f>
        <v>0</v>
      </c>
      <c r="L6" s="10">
        <f>Calculations!N65</f>
        <v>0</v>
      </c>
      <c r="M6" s="10">
        <f>Calculations!O65</f>
        <v>0</v>
      </c>
      <c r="N6" s="10">
        <f>Calculations!P65</f>
        <v>0</v>
      </c>
      <c r="O6" s="10">
        <f>Calculations!Q65</f>
        <v>0</v>
      </c>
      <c r="P6" s="10">
        <f>Calculations!R65</f>
        <v>0</v>
      </c>
      <c r="Q6" s="10">
        <f>Calculations!S65</f>
        <v>0</v>
      </c>
      <c r="R6" s="10">
        <f>Calculations!T65</f>
        <v>0</v>
      </c>
      <c r="S6" s="10">
        <f>Calculations!U65</f>
        <v>0</v>
      </c>
      <c r="T6" s="10">
        <f>Calculations!V65</f>
        <v>0</v>
      </c>
      <c r="U6" s="10">
        <f>Calculations!W65</f>
        <v>0</v>
      </c>
      <c r="V6" s="10">
        <f>Calculations!X65</f>
        <v>0</v>
      </c>
      <c r="W6" s="10">
        <f>Calculations!Y65</f>
        <v>0</v>
      </c>
      <c r="X6" s="10">
        <f>Calculations!Z65</f>
        <v>0</v>
      </c>
      <c r="Y6" s="10">
        <f>Calculations!AA65</f>
        <v>0</v>
      </c>
      <c r="Z6" s="10">
        <f>Calculations!AB65</f>
        <v>0</v>
      </c>
      <c r="AA6" s="10">
        <f>Calculations!AC65</f>
        <v>0</v>
      </c>
      <c r="AB6" s="10">
        <f>Calculations!AD65</f>
        <v>0</v>
      </c>
      <c r="AC6" s="10">
        <f>Calculations!AE65</f>
        <v>0</v>
      </c>
      <c r="AD6" s="10">
        <f>Calculations!AF65</f>
        <v>0</v>
      </c>
      <c r="AE6" s="10">
        <f>Calculations!AG65</f>
        <v>0</v>
      </c>
      <c r="AF6" s="10">
        <f>Calculations!AH65</f>
        <v>0</v>
      </c>
      <c r="AG6" s="10">
        <f>Calculations!AI65</f>
        <v>0</v>
      </c>
    </row>
    <row r="7" spans="1:33" x14ac:dyDescent="0.25">
      <c r="A7" t="s">
        <v>59</v>
      </c>
      <c r="B7" s="10">
        <f>Calculations!D66</f>
        <v>0</v>
      </c>
      <c r="C7" s="10">
        <f>Calculations!E66</f>
        <v>2.6602192180037236</v>
      </c>
      <c r="D7" s="10">
        <f>Calculations!F66</f>
        <v>2.6602192180037236</v>
      </c>
      <c r="E7" s="10">
        <f>Calculations!G66</f>
        <v>2.6602192180037236</v>
      </c>
      <c r="F7" s="10">
        <f>Calculations!H66</f>
        <v>2.6602192180037236</v>
      </c>
      <c r="G7" s="10">
        <f>Calculations!I66</f>
        <v>2.6602192180037236</v>
      </c>
      <c r="H7" s="10">
        <f>Calculations!J66</f>
        <v>2.6602192180037236</v>
      </c>
      <c r="I7" s="10">
        <f>Calculations!K66</f>
        <v>2.6602192180037236</v>
      </c>
      <c r="J7" s="10">
        <f>Calculations!L66</f>
        <v>2.6602192180037236</v>
      </c>
      <c r="K7" s="10">
        <f>Calculations!M66</f>
        <v>2.6602192180037236</v>
      </c>
      <c r="L7" s="10">
        <f>Calculations!N66</f>
        <v>2.6602192180037236</v>
      </c>
      <c r="M7" s="10">
        <f>Calculations!O66</f>
        <v>2.6602192180037236</v>
      </c>
      <c r="N7" s="10">
        <f>Calculations!P66</f>
        <v>2.6602192180037236</v>
      </c>
      <c r="O7" s="10">
        <f>Calculations!Q66</f>
        <v>2.6604061361612565</v>
      </c>
      <c r="P7" s="10">
        <f>Calculations!R66</f>
        <v>2.6604061361612565</v>
      </c>
      <c r="Q7" s="10">
        <f>Calculations!S66</f>
        <v>2.6609668906338544</v>
      </c>
      <c r="R7" s="10">
        <f>Calculations!T66</f>
        <v>2.6620883995790492</v>
      </c>
      <c r="S7" s="10">
        <f>Calculations!U66</f>
        <v>2.6641444993119081</v>
      </c>
      <c r="T7" s="10">
        <f>Calculations!V66</f>
        <v>2.6680697806200926</v>
      </c>
      <c r="U7" s="10">
        <f>Calculations!W66</f>
        <v>2.6755465069213957</v>
      </c>
      <c r="V7" s="10">
        <f>Calculations!X66</f>
        <v>2.6893784505788068</v>
      </c>
      <c r="W7" s="10">
        <f>Calculations!Y66</f>
        <v>2.7149862381607708</v>
      </c>
      <c r="X7" s="10">
        <f>Calculations!Z66</f>
        <v>2.7613419412288511</v>
      </c>
      <c r="Y7" s="10">
        <f>Calculations!AA66</f>
        <v>2.8078845624544644</v>
      </c>
      <c r="Z7" s="10">
        <f>Calculations!AB66</f>
        <v>2.8546141018376101</v>
      </c>
      <c r="AA7" s="10">
        <f>Calculations!AC66</f>
        <v>2.9013436412207558</v>
      </c>
      <c r="AB7" s="10">
        <f>Calculations!AD66</f>
        <v>2.9482600987614345</v>
      </c>
      <c r="AC7" s="10">
        <f>Calculations!AE66</f>
        <v>2.9951765563021131</v>
      </c>
      <c r="AD7" s="10">
        <f>Calculations!AF66</f>
        <v>3.0420930138427917</v>
      </c>
      <c r="AE7" s="10">
        <f>Calculations!AG66</f>
        <v>3.0891963895410024</v>
      </c>
      <c r="AF7" s="10">
        <f>Calculations!AH66</f>
        <v>3.1362997652392131</v>
      </c>
      <c r="AG7" s="10">
        <f>Calculations!AI66</f>
        <v>3.1834031409374246</v>
      </c>
    </row>
    <row r="8" spans="1:33" x14ac:dyDescent="0.25">
      <c r="A8" t="s">
        <v>10</v>
      </c>
      <c r="B8" s="10">
        <f>Calculations!D67</f>
        <v>0</v>
      </c>
      <c r="C8" s="10">
        <f>Calculations!E67</f>
        <v>3424.0051279041522</v>
      </c>
      <c r="D8" s="10">
        <f>Calculations!F67</f>
        <v>3976.219496802396</v>
      </c>
      <c r="E8" s="10">
        <f>Calculations!G67</f>
        <v>4340.1517663725408</v>
      </c>
      <c r="F8" s="10">
        <f>Calculations!H67+'Inflation Reduction Act'!B51</f>
        <v>5333.6656994252407</v>
      </c>
      <c r="G8" s="10">
        <f>Calculations!I67+'Inflation Reduction Act'!C51</f>
        <v>6223.784545211689</v>
      </c>
      <c r="H8" s="10">
        <f>Calculations!J67+'Inflation Reduction Act'!D51</f>
        <v>7097.2577683153886</v>
      </c>
      <c r="I8" s="10">
        <f>Calculations!K67+'Inflation Reduction Act'!E51</f>
        <v>7968.6741440135993</v>
      </c>
      <c r="J8" s="10">
        <f>Calculations!L67+'Inflation Reduction Act'!F51</f>
        <v>8841.9352150084997</v>
      </c>
      <c r="K8" s="10">
        <f>Calculations!M67+'Inflation Reduction Act'!G51</f>
        <v>9728.1581256374957</v>
      </c>
      <c r="L8" s="10">
        <f>Calculations!N67+'Inflation Reduction Act'!H51</f>
        <v>10625.879867481584</v>
      </c>
      <c r="M8" s="10">
        <f>Calculations!O67+'Inflation Reduction Act'!I51</f>
        <v>11526.353792277179</v>
      </c>
      <c r="N8" s="10">
        <f>Calculations!P67+'Inflation Reduction Act'!J51</f>
        <v>12442.592394479072</v>
      </c>
      <c r="O8" s="10">
        <f>Calculations!Q67+'Inflation Reduction Act'!K51</f>
        <v>13369.733372055371</v>
      </c>
      <c r="P8" s="10">
        <f>Calculations!R67+'Inflation Reduction Act'!L51</f>
        <v>14140.787033756982</v>
      </c>
      <c r="Q8" s="10">
        <f>Calculations!S67+'Inflation Reduction Act'!M51</f>
        <v>14938.464009390433</v>
      </c>
      <c r="R8" s="10">
        <f>Calculations!T67+'Inflation Reduction Act'!N51</f>
        <v>15734.153110418523</v>
      </c>
      <c r="S8" s="10">
        <f>Calculations!U67+'Inflation Reduction Act'!O51</f>
        <v>16531.821674734885</v>
      </c>
      <c r="T8" s="10">
        <f>Calculations!V67+'Inflation Reduction Act'!P51</f>
        <v>17279.675428559865</v>
      </c>
      <c r="U8" s="10">
        <f>Calculations!W67+'Inflation Reduction Act'!Q51</f>
        <v>17940.659342507897</v>
      </c>
      <c r="V8" s="10">
        <f>Calculations!X67+'Inflation Reduction Act'!R51</f>
        <v>18455.328021857043</v>
      </c>
      <c r="W8" s="10">
        <f>Calculations!Y67+'Inflation Reduction Act'!S51</f>
        <v>19008.60464664454</v>
      </c>
      <c r="X8" s="10">
        <f>Calculations!Z67+'Inflation Reduction Act'!T51</f>
        <v>19575.285546345021</v>
      </c>
      <c r="Y8" s="10">
        <f>Calculations!AA67+'Inflation Reduction Act'!U51</f>
        <v>20187.513915000411</v>
      </c>
      <c r="Z8" s="10">
        <f>Calculations!AB67+'Inflation Reduction Act'!V51</f>
        <v>20827.432152594516</v>
      </c>
      <c r="AA8" s="10">
        <f>Calculations!AC67+'Inflation Reduction Act'!W51</f>
        <v>21475.700958876394</v>
      </c>
      <c r="AB8" s="10">
        <f>Calculations!AD67+'Inflation Reduction Act'!X51</f>
        <v>22162.672478102493</v>
      </c>
      <c r="AC8" s="10">
        <f>Calculations!AE67+'Inflation Reduction Act'!Y51</f>
        <v>22870.888367441115</v>
      </c>
      <c r="AD8" s="10">
        <f>Calculations!AF67+'Inflation Reduction Act'!Z51</f>
        <v>23613.305606654263</v>
      </c>
      <c r="AE8" s="10">
        <f>Calculations!AG67+'Inflation Reduction Act'!AA51</f>
        <v>24390.004383631516</v>
      </c>
      <c r="AF8" s="10">
        <f>Calculations!AH67+'Inflation Reduction Act'!AB51</f>
        <v>25201.583210313293</v>
      </c>
      <c r="AG8" s="10">
        <f>Calculations!AI67+'Inflation Reduction Act'!AC51</f>
        <v>26030.092522949904</v>
      </c>
    </row>
    <row r="9" spans="1:33" x14ac:dyDescent="0.25">
      <c r="A9" t="s">
        <v>11</v>
      </c>
      <c r="B9" s="10">
        <f>Calculations!D68</f>
        <v>0</v>
      </c>
      <c r="C9" s="10">
        <f>Calculations!E68</f>
        <v>0</v>
      </c>
      <c r="D9" s="10">
        <f>Calculations!F68</f>
        <v>0</v>
      </c>
      <c r="E9" s="10">
        <f>Calculations!G68</f>
        <v>0</v>
      </c>
      <c r="F9" s="10">
        <f>Calculations!H68</f>
        <v>0</v>
      </c>
      <c r="G9" s="10">
        <f>Calculations!I68</f>
        <v>0</v>
      </c>
      <c r="H9" s="10">
        <f>Calculations!J68</f>
        <v>0</v>
      </c>
      <c r="I9" s="10">
        <f>Calculations!K68</f>
        <v>0</v>
      </c>
      <c r="J9" s="10">
        <f>Calculations!L68</f>
        <v>0</v>
      </c>
      <c r="K9" s="10">
        <f>Calculations!M68</f>
        <v>0</v>
      </c>
      <c r="L9" s="10">
        <f>Calculations!N68</f>
        <v>0</v>
      </c>
      <c r="M9" s="10">
        <f>Calculations!O68</f>
        <v>0</v>
      </c>
      <c r="N9" s="10">
        <f>Calculations!P68</f>
        <v>0</v>
      </c>
      <c r="O9" s="10">
        <f>Calculations!Q68</f>
        <v>0</v>
      </c>
      <c r="P9" s="10">
        <f>Calculations!R68</f>
        <v>0</v>
      </c>
      <c r="Q9" s="10">
        <f>Calculations!S68</f>
        <v>0</v>
      </c>
      <c r="R9" s="10">
        <f>Calculations!T68</f>
        <v>0</v>
      </c>
      <c r="S9" s="10">
        <f>Calculations!U68</f>
        <v>0</v>
      </c>
      <c r="T9" s="10">
        <f>Calculations!V68</f>
        <v>0</v>
      </c>
      <c r="U9" s="10">
        <f>Calculations!W68</f>
        <v>0</v>
      </c>
      <c r="V9" s="10">
        <f>Calculations!X68</f>
        <v>0</v>
      </c>
      <c r="W9" s="10">
        <f>Calculations!Y68</f>
        <v>0</v>
      </c>
      <c r="X9" s="10">
        <f>Calculations!Z68</f>
        <v>0</v>
      </c>
      <c r="Y9" s="10">
        <f>Calculations!AA68</f>
        <v>0</v>
      </c>
      <c r="Z9" s="10">
        <f>Calculations!AB68</f>
        <v>0</v>
      </c>
      <c r="AA9" s="10">
        <f>Calculations!AC68</f>
        <v>0</v>
      </c>
      <c r="AB9" s="10">
        <f>Calculations!AD68</f>
        <v>0</v>
      </c>
      <c r="AC9" s="10">
        <f>Calculations!AE68</f>
        <v>0</v>
      </c>
      <c r="AD9" s="10">
        <f>Calculations!AF68</f>
        <v>0</v>
      </c>
      <c r="AE9" s="10">
        <f>Calculations!AG68</f>
        <v>0</v>
      </c>
      <c r="AF9" s="10">
        <f>Calculations!AH68</f>
        <v>0</v>
      </c>
      <c r="AG9" s="10">
        <f>Calculations!AI68</f>
        <v>0</v>
      </c>
    </row>
    <row r="10" spans="1:33" x14ac:dyDescent="0.25">
      <c r="A10" t="s">
        <v>12</v>
      </c>
      <c r="B10" s="10">
        <f>Calculations!D69</f>
        <v>0</v>
      </c>
      <c r="C10" s="10">
        <f>Calculations!E69</f>
        <v>0</v>
      </c>
      <c r="D10" s="10">
        <f>Calculations!F69</f>
        <v>0</v>
      </c>
      <c r="E10" s="10">
        <f>Calculations!G69</f>
        <v>0</v>
      </c>
      <c r="F10" s="10">
        <f>Calculations!H69</f>
        <v>0</v>
      </c>
      <c r="G10" s="10">
        <f>Calculations!I69</f>
        <v>0</v>
      </c>
      <c r="H10" s="10">
        <f>Calculations!J69</f>
        <v>0</v>
      </c>
      <c r="I10" s="10">
        <f>Calculations!K69</f>
        <v>0</v>
      </c>
      <c r="J10" s="10">
        <f>Calculations!L69</f>
        <v>0</v>
      </c>
      <c r="K10" s="10">
        <f>Calculations!M69</f>
        <v>0</v>
      </c>
      <c r="L10" s="10">
        <f>Calculations!N69</f>
        <v>0</v>
      </c>
      <c r="M10" s="10">
        <f>Calculations!O69</f>
        <v>0</v>
      </c>
      <c r="N10" s="10">
        <f>Calculations!P69</f>
        <v>0</v>
      </c>
      <c r="O10" s="10">
        <f>Calculations!Q69</f>
        <v>0</v>
      </c>
      <c r="P10" s="10">
        <f>Calculations!R69</f>
        <v>0</v>
      </c>
      <c r="Q10" s="10">
        <f>Calculations!S69</f>
        <v>0</v>
      </c>
      <c r="R10" s="10">
        <f>Calculations!T69</f>
        <v>0</v>
      </c>
      <c r="S10" s="10">
        <f>Calculations!U69</f>
        <v>0</v>
      </c>
      <c r="T10" s="10">
        <f>Calculations!V69</f>
        <v>0</v>
      </c>
      <c r="U10" s="10">
        <f>Calculations!W69</f>
        <v>0</v>
      </c>
      <c r="V10" s="10">
        <f>Calculations!X69</f>
        <v>0</v>
      </c>
      <c r="W10" s="10">
        <f>Calculations!Y69</f>
        <v>0</v>
      </c>
      <c r="X10" s="10">
        <f>Calculations!Z69</f>
        <v>0</v>
      </c>
      <c r="Y10" s="10">
        <f>Calculations!AA69</f>
        <v>0</v>
      </c>
      <c r="Z10" s="10">
        <f>Calculations!AB69</f>
        <v>0</v>
      </c>
      <c r="AA10" s="10">
        <f>Calculations!AC69</f>
        <v>0</v>
      </c>
      <c r="AB10" s="10">
        <f>Calculations!AD69</f>
        <v>0</v>
      </c>
      <c r="AC10" s="10">
        <f>Calculations!AE69</f>
        <v>0</v>
      </c>
      <c r="AD10" s="10">
        <f>Calculations!AF69</f>
        <v>0</v>
      </c>
      <c r="AE10" s="10">
        <f>Calculations!AG69</f>
        <v>0</v>
      </c>
      <c r="AF10" s="10">
        <f>Calculations!AH69</f>
        <v>0</v>
      </c>
      <c r="AG10" s="10">
        <f>Calculations!AI69</f>
        <v>0</v>
      </c>
    </row>
    <row r="11" spans="1:33" x14ac:dyDescent="0.25">
      <c r="A11" t="s">
        <v>13</v>
      </c>
      <c r="B11" s="10">
        <f>Calculations!D70</f>
        <v>0</v>
      </c>
      <c r="C11" s="10">
        <f>Calculations!E70</f>
        <v>0</v>
      </c>
      <c r="D11" s="10">
        <f>Calculations!F70</f>
        <v>0</v>
      </c>
      <c r="E11" s="10">
        <f>Calculations!G70</f>
        <v>0</v>
      </c>
      <c r="F11" s="10">
        <f>Calculations!H70</f>
        <v>0</v>
      </c>
      <c r="G11" s="10">
        <f>Calculations!I70</f>
        <v>0</v>
      </c>
      <c r="H11" s="10">
        <f>Calculations!J70</f>
        <v>0</v>
      </c>
      <c r="I11" s="10">
        <f>Calculations!K70</f>
        <v>0</v>
      </c>
      <c r="J11" s="10">
        <f>Calculations!L70</f>
        <v>0</v>
      </c>
      <c r="K11" s="10">
        <f>Calculations!M70</f>
        <v>0</v>
      </c>
      <c r="L11" s="10">
        <f>Calculations!N70</f>
        <v>0</v>
      </c>
      <c r="M11" s="10">
        <f>Calculations!O70</f>
        <v>0</v>
      </c>
      <c r="N11" s="10">
        <f>Calculations!P70</f>
        <v>0</v>
      </c>
      <c r="O11" s="10">
        <f>Calculations!Q70</f>
        <v>0</v>
      </c>
      <c r="P11" s="10">
        <f>Calculations!R70</f>
        <v>0</v>
      </c>
      <c r="Q11" s="10">
        <f>Calculations!S70</f>
        <v>0</v>
      </c>
      <c r="R11" s="10">
        <f>Calculations!T70</f>
        <v>0</v>
      </c>
      <c r="S11" s="10">
        <f>Calculations!U70</f>
        <v>0</v>
      </c>
      <c r="T11" s="10">
        <f>Calculations!V70</f>
        <v>0</v>
      </c>
      <c r="U11" s="10">
        <f>Calculations!W70</f>
        <v>0</v>
      </c>
      <c r="V11" s="10">
        <f>Calculations!X70</f>
        <v>0</v>
      </c>
      <c r="W11" s="10">
        <f>Calculations!Y70</f>
        <v>0</v>
      </c>
      <c r="X11" s="10">
        <f>Calculations!Z70</f>
        <v>0</v>
      </c>
      <c r="Y11" s="10">
        <f>Calculations!AA70</f>
        <v>0</v>
      </c>
      <c r="Z11" s="10">
        <f>Calculations!AB70</f>
        <v>0</v>
      </c>
      <c r="AA11" s="10">
        <f>Calculations!AC70</f>
        <v>0</v>
      </c>
      <c r="AB11" s="10">
        <f>Calculations!AD70</f>
        <v>0</v>
      </c>
      <c r="AC11" s="10">
        <f>Calculations!AE70</f>
        <v>0</v>
      </c>
      <c r="AD11" s="10">
        <f>Calculations!AF70</f>
        <v>0</v>
      </c>
      <c r="AE11" s="10">
        <f>Calculations!AG70</f>
        <v>0</v>
      </c>
      <c r="AF11" s="10">
        <f>Calculations!AH70</f>
        <v>0</v>
      </c>
      <c r="AG11" s="10">
        <f>Calculations!AI70</f>
        <v>0</v>
      </c>
    </row>
    <row r="12" spans="1:33" x14ac:dyDescent="0.25">
      <c r="A12" t="s">
        <v>14</v>
      </c>
      <c r="B12" s="10">
        <f>Calculations!D71</f>
        <v>0</v>
      </c>
      <c r="C12" s="10">
        <f>Calculations!E71</f>
        <v>0</v>
      </c>
      <c r="D12" s="10">
        <f>Calculations!F71</f>
        <v>0</v>
      </c>
      <c r="E12" s="10">
        <f>Calculations!G71</f>
        <v>0</v>
      </c>
      <c r="F12" s="10">
        <f>Calculations!H71</f>
        <v>0</v>
      </c>
      <c r="G12" s="10">
        <f>Calculations!I71</f>
        <v>0</v>
      </c>
      <c r="H12" s="10">
        <f>Calculations!J71</f>
        <v>0</v>
      </c>
      <c r="I12" s="10">
        <f>Calculations!K71</f>
        <v>0</v>
      </c>
      <c r="J12" s="10">
        <f>Calculations!L71</f>
        <v>0</v>
      </c>
      <c r="K12" s="10">
        <f>Calculations!M71</f>
        <v>0</v>
      </c>
      <c r="L12" s="10">
        <f>Calculations!N71</f>
        <v>0</v>
      </c>
      <c r="M12" s="10">
        <f>Calculations!O71</f>
        <v>0</v>
      </c>
      <c r="N12" s="10">
        <f>Calculations!P71</f>
        <v>0</v>
      </c>
      <c r="O12" s="10">
        <f>Calculations!Q71</f>
        <v>0</v>
      </c>
      <c r="P12" s="10">
        <f>Calculations!R71</f>
        <v>0</v>
      </c>
      <c r="Q12" s="10">
        <f>Calculations!S71</f>
        <v>0</v>
      </c>
      <c r="R12" s="10">
        <f>Calculations!T71</f>
        <v>0</v>
      </c>
      <c r="S12" s="10">
        <f>Calculations!U71</f>
        <v>0</v>
      </c>
      <c r="T12" s="10">
        <f>Calculations!V71</f>
        <v>0</v>
      </c>
      <c r="U12" s="10">
        <f>Calculations!W71</f>
        <v>0</v>
      </c>
      <c r="V12" s="10">
        <f>Calculations!X71</f>
        <v>0</v>
      </c>
      <c r="W12" s="10">
        <f>Calculations!Y71</f>
        <v>0</v>
      </c>
      <c r="X12" s="10">
        <f>Calculations!Z71</f>
        <v>0</v>
      </c>
      <c r="Y12" s="10">
        <f>Calculations!AA71</f>
        <v>0</v>
      </c>
      <c r="Z12" s="10">
        <f>Calculations!AB71</f>
        <v>0</v>
      </c>
      <c r="AA12" s="10">
        <f>Calculations!AC71</f>
        <v>0</v>
      </c>
      <c r="AB12" s="10">
        <f>Calculations!AD71</f>
        <v>0</v>
      </c>
      <c r="AC12" s="10">
        <f>Calculations!AE71</f>
        <v>0</v>
      </c>
      <c r="AD12" s="10">
        <f>Calculations!AF71</f>
        <v>0</v>
      </c>
      <c r="AE12" s="10">
        <f>Calculations!AG71</f>
        <v>0</v>
      </c>
      <c r="AF12" s="10">
        <f>Calculations!AH71</f>
        <v>0</v>
      </c>
      <c r="AG12" s="10">
        <f>Calculations!AI71</f>
        <v>0</v>
      </c>
    </row>
    <row r="13" spans="1:33" x14ac:dyDescent="0.25">
      <c r="A13" t="s">
        <v>15</v>
      </c>
      <c r="B13" s="10">
        <f>Calculations!D72</f>
        <v>0</v>
      </c>
      <c r="C13" s="10">
        <f>Calculations!E72</f>
        <v>0</v>
      </c>
      <c r="D13" s="10">
        <f>Calculations!F72</f>
        <v>0</v>
      </c>
      <c r="E13" s="10">
        <f>Calculations!G72</f>
        <v>0</v>
      </c>
      <c r="F13" s="10">
        <f>Calculations!H72</f>
        <v>0</v>
      </c>
      <c r="G13" s="10">
        <f>Calculations!I72</f>
        <v>0</v>
      </c>
      <c r="H13" s="10">
        <f>Calculations!J72</f>
        <v>0</v>
      </c>
      <c r="I13" s="10">
        <f>Calculations!K72</f>
        <v>0</v>
      </c>
      <c r="J13" s="10">
        <f>Calculations!L72</f>
        <v>0</v>
      </c>
      <c r="K13" s="10">
        <f>Calculations!M72</f>
        <v>0</v>
      </c>
      <c r="L13" s="10">
        <f>Calculations!N72</f>
        <v>0</v>
      </c>
      <c r="M13" s="10">
        <f>Calculations!O72</f>
        <v>0</v>
      </c>
      <c r="N13" s="10">
        <f>Calculations!P72</f>
        <v>0</v>
      </c>
      <c r="O13" s="10">
        <f>Calculations!Q72</f>
        <v>0</v>
      </c>
      <c r="P13" s="10">
        <f>Calculations!R72</f>
        <v>0</v>
      </c>
      <c r="Q13" s="10">
        <f>Calculations!S72</f>
        <v>0</v>
      </c>
      <c r="R13" s="10">
        <f>Calculations!T72</f>
        <v>0</v>
      </c>
      <c r="S13" s="10">
        <f>Calculations!U72</f>
        <v>0</v>
      </c>
      <c r="T13" s="10">
        <f>Calculations!V72</f>
        <v>0</v>
      </c>
      <c r="U13" s="10">
        <f>Calculations!W72</f>
        <v>0</v>
      </c>
      <c r="V13" s="10">
        <f>Calculations!X72</f>
        <v>0</v>
      </c>
      <c r="W13" s="10">
        <f>Calculations!Y72</f>
        <v>0</v>
      </c>
      <c r="X13" s="10">
        <f>Calculations!Z72</f>
        <v>0</v>
      </c>
      <c r="Y13" s="10">
        <f>Calculations!AA72</f>
        <v>0</v>
      </c>
      <c r="Z13" s="10">
        <f>Calculations!AB72</f>
        <v>0</v>
      </c>
      <c r="AA13" s="10">
        <f>Calculations!AC72</f>
        <v>0</v>
      </c>
      <c r="AB13" s="10">
        <f>Calculations!AD72</f>
        <v>0</v>
      </c>
      <c r="AC13" s="10">
        <f>Calculations!AE72</f>
        <v>0</v>
      </c>
      <c r="AD13" s="10">
        <f>Calculations!AF72</f>
        <v>0</v>
      </c>
      <c r="AE13" s="10">
        <f>Calculations!AG72</f>
        <v>0</v>
      </c>
      <c r="AF13" s="10">
        <f>Calculations!AH72</f>
        <v>0</v>
      </c>
      <c r="AG13" s="10">
        <f>Calculations!AI72</f>
        <v>0</v>
      </c>
    </row>
    <row r="14" spans="1:33" x14ac:dyDescent="0.25">
      <c r="A14" t="s">
        <v>57</v>
      </c>
      <c r="B14" s="10">
        <f>Calculations!D73</f>
        <v>0</v>
      </c>
      <c r="C14" s="10">
        <f>Calculations!E73</f>
        <v>0</v>
      </c>
      <c r="D14" s="10">
        <f>Calculations!F73</f>
        <v>0</v>
      </c>
      <c r="E14" s="10">
        <f>Calculations!G73</f>
        <v>0</v>
      </c>
      <c r="F14" s="10">
        <f>Calculations!H73</f>
        <v>0</v>
      </c>
      <c r="G14" s="10">
        <f>Calculations!I73</f>
        <v>0</v>
      </c>
      <c r="H14" s="10">
        <f>Calculations!J73</f>
        <v>0</v>
      </c>
      <c r="I14" s="10">
        <f>Calculations!K73</f>
        <v>0</v>
      </c>
      <c r="J14" s="10">
        <f>Calculations!L73</f>
        <v>0</v>
      </c>
      <c r="K14" s="10">
        <f>Calculations!M73</f>
        <v>0</v>
      </c>
      <c r="L14" s="10">
        <f>Calculations!N73</f>
        <v>0</v>
      </c>
      <c r="M14" s="10">
        <f>Calculations!O73</f>
        <v>0</v>
      </c>
      <c r="N14" s="10">
        <f>Calculations!P73</f>
        <v>0</v>
      </c>
      <c r="O14" s="10">
        <f>Calculations!Q73</f>
        <v>0</v>
      </c>
      <c r="P14" s="10">
        <f>Calculations!R73</f>
        <v>0</v>
      </c>
      <c r="Q14" s="10">
        <f>Calculations!S73</f>
        <v>0</v>
      </c>
      <c r="R14" s="10">
        <f>Calculations!T73</f>
        <v>0</v>
      </c>
      <c r="S14" s="10">
        <f>Calculations!U73</f>
        <v>0</v>
      </c>
      <c r="T14" s="10">
        <f>Calculations!V73</f>
        <v>0</v>
      </c>
      <c r="U14" s="10">
        <f>Calculations!W73</f>
        <v>0</v>
      </c>
      <c r="V14" s="10">
        <f>Calculations!X73</f>
        <v>0</v>
      </c>
      <c r="W14" s="10">
        <f>Calculations!Y73</f>
        <v>0</v>
      </c>
      <c r="X14" s="10">
        <f>Calculations!Z73</f>
        <v>0</v>
      </c>
      <c r="Y14" s="10">
        <f>Calculations!AA73</f>
        <v>0</v>
      </c>
      <c r="Z14" s="10">
        <f>Calculations!AB73</f>
        <v>0</v>
      </c>
      <c r="AA14" s="10">
        <f>Calculations!AC73</f>
        <v>0</v>
      </c>
      <c r="AB14" s="10">
        <f>Calculations!AD73</f>
        <v>0</v>
      </c>
      <c r="AC14" s="10">
        <f>Calculations!AE73</f>
        <v>0</v>
      </c>
      <c r="AD14" s="10">
        <f>Calculations!AF73</f>
        <v>0</v>
      </c>
      <c r="AE14" s="10">
        <f>Calculations!AG73</f>
        <v>0</v>
      </c>
      <c r="AF14" s="10">
        <f>Calculations!AH73</f>
        <v>0</v>
      </c>
      <c r="AG14" s="10">
        <f>Calculations!AI73</f>
        <v>0</v>
      </c>
    </row>
    <row r="15" spans="1:33" x14ac:dyDescent="0.25">
      <c r="A15" t="s">
        <v>60</v>
      </c>
      <c r="B15" s="10">
        <f>Calculations!D74</f>
        <v>0</v>
      </c>
      <c r="C15" s="10">
        <f>Calculations!E74</f>
        <v>0</v>
      </c>
      <c r="D15" s="10">
        <f>Calculations!F74</f>
        <v>0</v>
      </c>
      <c r="E15" s="10">
        <f>Calculations!G74</f>
        <v>0</v>
      </c>
      <c r="F15" s="10">
        <f>Calculations!H74</f>
        <v>0</v>
      </c>
      <c r="G15" s="10">
        <f>Calculations!I74</f>
        <v>0</v>
      </c>
      <c r="H15" s="10">
        <f>Calculations!J74</f>
        <v>0</v>
      </c>
      <c r="I15" s="10">
        <f>Calculations!K74</f>
        <v>0</v>
      </c>
      <c r="J15" s="10">
        <f>Calculations!L74</f>
        <v>0</v>
      </c>
      <c r="K15" s="10">
        <f>Calculations!M74</f>
        <v>0</v>
      </c>
      <c r="L15" s="10">
        <f>Calculations!N74</f>
        <v>0</v>
      </c>
      <c r="M15" s="10">
        <f>Calculations!O74</f>
        <v>0</v>
      </c>
      <c r="N15" s="10">
        <f>Calculations!P74</f>
        <v>0</v>
      </c>
      <c r="O15" s="10">
        <f>Calculations!Q74</f>
        <v>0</v>
      </c>
      <c r="P15" s="10">
        <f>Calculations!R74</f>
        <v>0</v>
      </c>
      <c r="Q15" s="10">
        <f>Calculations!S74</f>
        <v>0</v>
      </c>
      <c r="R15" s="10">
        <f>Calculations!T74</f>
        <v>0</v>
      </c>
      <c r="S15" s="10">
        <f>Calculations!U74</f>
        <v>0</v>
      </c>
      <c r="T15" s="10">
        <f>Calculations!V74</f>
        <v>0</v>
      </c>
      <c r="U15" s="10">
        <f>Calculations!W74</f>
        <v>0</v>
      </c>
      <c r="V15" s="10">
        <f>Calculations!X74</f>
        <v>0</v>
      </c>
      <c r="W15" s="10">
        <f>Calculations!Y74</f>
        <v>0</v>
      </c>
      <c r="X15" s="10">
        <f>Calculations!Z74</f>
        <v>0</v>
      </c>
      <c r="Y15" s="10">
        <f>Calculations!AA74</f>
        <v>0</v>
      </c>
      <c r="Z15" s="10">
        <f>Calculations!AB74</f>
        <v>0</v>
      </c>
      <c r="AA15" s="10">
        <f>Calculations!AC74</f>
        <v>0</v>
      </c>
      <c r="AB15" s="10">
        <f>Calculations!AD74</f>
        <v>0</v>
      </c>
      <c r="AC15" s="10">
        <f>Calculations!AE74</f>
        <v>0</v>
      </c>
      <c r="AD15" s="10">
        <f>Calculations!AF74</f>
        <v>0</v>
      </c>
      <c r="AE15" s="10">
        <f>Calculations!AG74</f>
        <v>0</v>
      </c>
      <c r="AF15" s="10">
        <f>Calculations!AH74</f>
        <v>0</v>
      </c>
      <c r="AG15" s="10">
        <f>Calculations!AI74</f>
        <v>0</v>
      </c>
    </row>
    <row r="16" spans="1:33" x14ac:dyDescent="0.25">
      <c r="A16" t="s">
        <v>158</v>
      </c>
      <c r="B16" s="10">
        <f>Calculations!D75</f>
        <v>0</v>
      </c>
      <c r="C16" s="10">
        <f>Calculations!E75</f>
        <v>0</v>
      </c>
      <c r="D16" s="10">
        <f>Calculations!F75</f>
        <v>0</v>
      </c>
      <c r="E16" s="10">
        <f>Calculations!G75</f>
        <v>0</v>
      </c>
      <c r="F16" s="10">
        <f>Calculations!H75</f>
        <v>0</v>
      </c>
      <c r="G16" s="10">
        <f>Calculations!I75</f>
        <v>0</v>
      </c>
      <c r="H16" s="10">
        <f>Calculations!J75</f>
        <v>0</v>
      </c>
      <c r="I16" s="10">
        <f>Calculations!K75</f>
        <v>0</v>
      </c>
      <c r="J16" s="10">
        <f>Calculations!L75</f>
        <v>0</v>
      </c>
      <c r="K16" s="10">
        <f>Calculations!M75</f>
        <v>0</v>
      </c>
      <c r="L16" s="10">
        <f>Calculations!N75</f>
        <v>0</v>
      </c>
      <c r="M16" s="10">
        <f>Calculations!O75</f>
        <v>0</v>
      </c>
      <c r="N16" s="10">
        <f>Calculations!P75</f>
        <v>0</v>
      </c>
      <c r="O16" s="10">
        <f>Calculations!Q75</f>
        <v>0</v>
      </c>
      <c r="P16" s="10">
        <f>Calculations!R75</f>
        <v>0</v>
      </c>
      <c r="Q16" s="10">
        <f>Calculations!S75</f>
        <v>0</v>
      </c>
      <c r="R16" s="10">
        <f>Calculations!T75</f>
        <v>0</v>
      </c>
      <c r="S16" s="10">
        <f>Calculations!U75</f>
        <v>0</v>
      </c>
      <c r="T16" s="10">
        <f>Calculations!V75</f>
        <v>0</v>
      </c>
      <c r="U16" s="10">
        <f>Calculations!W75</f>
        <v>0</v>
      </c>
      <c r="V16" s="10">
        <f>Calculations!X75</f>
        <v>0</v>
      </c>
      <c r="W16" s="10">
        <f>Calculations!Y75</f>
        <v>0</v>
      </c>
      <c r="X16" s="10">
        <f>Calculations!Z75</f>
        <v>0</v>
      </c>
      <c r="Y16" s="10">
        <f>Calculations!AA75</f>
        <v>0</v>
      </c>
      <c r="Z16" s="10">
        <f>Calculations!AB75</f>
        <v>0</v>
      </c>
      <c r="AA16" s="10">
        <f>Calculations!AC75</f>
        <v>0</v>
      </c>
      <c r="AB16" s="10">
        <f>Calculations!AD75</f>
        <v>0</v>
      </c>
      <c r="AC16" s="10">
        <f>Calculations!AE75</f>
        <v>0</v>
      </c>
      <c r="AD16" s="10">
        <f>Calculations!AF75</f>
        <v>0</v>
      </c>
      <c r="AE16" s="10">
        <f>Calculations!AG75</f>
        <v>0</v>
      </c>
      <c r="AF16" s="10">
        <f>Calculations!AH75</f>
        <v>0</v>
      </c>
      <c r="AG16" s="10">
        <f>Calculations!AI75</f>
        <v>0</v>
      </c>
    </row>
    <row r="17" spans="1:33" x14ac:dyDescent="0.25">
      <c r="A17" t="s">
        <v>159</v>
      </c>
      <c r="B17" s="10">
        <f>Calculations!D76</f>
        <v>0</v>
      </c>
      <c r="C17" s="10">
        <f>Calculations!E76</f>
        <v>0</v>
      </c>
      <c r="D17" s="10">
        <f>Calculations!F76</f>
        <v>0</v>
      </c>
      <c r="E17" s="10">
        <f>Calculations!G76</f>
        <v>0</v>
      </c>
      <c r="F17" s="10">
        <f>Calculations!H76</f>
        <v>0</v>
      </c>
      <c r="G17" s="10">
        <f>Calculations!I76</f>
        <v>0</v>
      </c>
      <c r="H17" s="10">
        <f>Calculations!J76</f>
        <v>0</v>
      </c>
      <c r="I17" s="10">
        <f>Calculations!K76</f>
        <v>0</v>
      </c>
      <c r="J17" s="10">
        <f>Calculations!L76</f>
        <v>0</v>
      </c>
      <c r="K17" s="10">
        <f>Calculations!M76</f>
        <v>0</v>
      </c>
      <c r="L17" s="10">
        <f>Calculations!N76</f>
        <v>0</v>
      </c>
      <c r="M17" s="10">
        <f>Calculations!O76</f>
        <v>0</v>
      </c>
      <c r="N17" s="10">
        <f>Calculations!P76</f>
        <v>0</v>
      </c>
      <c r="O17" s="10">
        <f>Calculations!Q76</f>
        <v>0</v>
      </c>
      <c r="P17" s="10">
        <f>Calculations!R76</f>
        <v>0</v>
      </c>
      <c r="Q17" s="10">
        <f>Calculations!S76</f>
        <v>0</v>
      </c>
      <c r="R17" s="10">
        <f>Calculations!T76</f>
        <v>0</v>
      </c>
      <c r="S17" s="10">
        <f>Calculations!U76</f>
        <v>0</v>
      </c>
      <c r="T17" s="10">
        <f>Calculations!V76</f>
        <v>0</v>
      </c>
      <c r="U17" s="10">
        <f>Calculations!W76</f>
        <v>0</v>
      </c>
      <c r="V17" s="10">
        <f>Calculations!X76</f>
        <v>0</v>
      </c>
      <c r="W17" s="10">
        <f>Calculations!Y76</f>
        <v>0</v>
      </c>
      <c r="X17" s="10">
        <f>Calculations!Z76</f>
        <v>0</v>
      </c>
      <c r="Y17" s="10">
        <f>Calculations!AA76</f>
        <v>0</v>
      </c>
      <c r="Z17" s="10">
        <f>Calculations!AB76</f>
        <v>0</v>
      </c>
      <c r="AA17" s="10">
        <f>Calculations!AC76</f>
        <v>0</v>
      </c>
      <c r="AB17" s="10">
        <f>Calculations!AD76</f>
        <v>0</v>
      </c>
      <c r="AC17" s="10">
        <f>Calculations!AE76</f>
        <v>0</v>
      </c>
      <c r="AD17" s="10">
        <f>Calculations!AF76</f>
        <v>0</v>
      </c>
      <c r="AE17" s="10">
        <f>Calculations!AG76</f>
        <v>0</v>
      </c>
      <c r="AF17" s="10">
        <f>Calculations!AH76</f>
        <v>0</v>
      </c>
      <c r="AG17" s="10">
        <f>Calculations!AI76</f>
        <v>0</v>
      </c>
    </row>
    <row r="18" spans="1:33" x14ac:dyDescent="0.25">
      <c r="A18" t="s">
        <v>160</v>
      </c>
      <c r="B18" s="10">
        <f>Calculations!D77</f>
        <v>0</v>
      </c>
      <c r="C18" s="10">
        <f>Calculations!E77</f>
        <v>0</v>
      </c>
      <c r="D18" s="10">
        <f>Calculations!F77</f>
        <v>0</v>
      </c>
      <c r="E18" s="10">
        <f>Calculations!G77</f>
        <v>0</v>
      </c>
      <c r="F18" s="10">
        <f>Calculations!H77</f>
        <v>0</v>
      </c>
      <c r="G18" s="10">
        <f>Calculations!I77</f>
        <v>0</v>
      </c>
      <c r="H18" s="10">
        <f>Calculations!J77</f>
        <v>0</v>
      </c>
      <c r="I18" s="10">
        <f>Calculations!K77</f>
        <v>0</v>
      </c>
      <c r="J18" s="10">
        <f>Calculations!L77</f>
        <v>0</v>
      </c>
      <c r="K18" s="10">
        <f>Calculations!M77</f>
        <v>0</v>
      </c>
      <c r="L18" s="10">
        <f>Calculations!N77</f>
        <v>0</v>
      </c>
      <c r="M18" s="10">
        <f>Calculations!O77</f>
        <v>0</v>
      </c>
      <c r="N18" s="10">
        <f>Calculations!P77</f>
        <v>0</v>
      </c>
      <c r="O18" s="10">
        <f>Calculations!Q77</f>
        <v>0</v>
      </c>
      <c r="P18" s="10">
        <f>Calculations!R77</f>
        <v>0</v>
      </c>
      <c r="Q18" s="10">
        <f>Calculations!S77</f>
        <v>0</v>
      </c>
      <c r="R18" s="10">
        <f>Calculations!T77</f>
        <v>0</v>
      </c>
      <c r="S18" s="10">
        <f>Calculations!U77</f>
        <v>0</v>
      </c>
      <c r="T18" s="10">
        <f>Calculations!V77</f>
        <v>0</v>
      </c>
      <c r="U18" s="10">
        <f>Calculations!W77</f>
        <v>0</v>
      </c>
      <c r="V18" s="10">
        <f>Calculations!X77</f>
        <v>0</v>
      </c>
      <c r="W18" s="10">
        <f>Calculations!Y77</f>
        <v>0</v>
      </c>
      <c r="X18" s="10">
        <f>Calculations!Z77</f>
        <v>0</v>
      </c>
      <c r="Y18" s="10">
        <f>Calculations!AA77</f>
        <v>0</v>
      </c>
      <c r="Z18" s="10">
        <f>Calculations!AB77</f>
        <v>0</v>
      </c>
      <c r="AA18" s="10">
        <f>Calculations!AC77</f>
        <v>0</v>
      </c>
      <c r="AB18" s="10">
        <f>Calculations!AD77</f>
        <v>0</v>
      </c>
      <c r="AC18" s="10">
        <f>Calculations!AE77</f>
        <v>0</v>
      </c>
      <c r="AD18" s="10">
        <f>Calculations!AF77</f>
        <v>0</v>
      </c>
      <c r="AE18" s="10">
        <f>Calculations!AG77</f>
        <v>0</v>
      </c>
      <c r="AF18" s="10">
        <f>Calculations!AH77</f>
        <v>0</v>
      </c>
      <c r="AG18" s="10">
        <f>Calculations!AI77</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S34" sqref="S34"/>
    </sheetView>
  </sheetViews>
  <sheetFormatPr defaultRowHeight="15" x14ac:dyDescent="0.25"/>
  <cols>
    <col min="1" max="1" width="23.42578125" customWidth="1"/>
    <col min="2" max="33" width="9.5703125" bestFit="1" customWidth="1"/>
  </cols>
  <sheetData>
    <row r="1" spans="1:33" x14ac:dyDescent="0.2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25">
      <c r="A2" t="s">
        <v>58</v>
      </c>
      <c r="B2" s="10">
        <f>Calculations!D83</f>
        <v>0</v>
      </c>
      <c r="C2" s="10">
        <f>Calculations!E83</f>
        <v>0</v>
      </c>
      <c r="D2" s="10">
        <f>Calculations!F83</f>
        <v>0</v>
      </c>
      <c r="E2" s="10">
        <f>Calculations!G83</f>
        <v>0</v>
      </c>
      <c r="F2" s="10">
        <f>Calculations!H83</f>
        <v>0</v>
      </c>
      <c r="G2" s="10">
        <f>Calculations!I83</f>
        <v>0</v>
      </c>
      <c r="H2" s="10">
        <f>Calculations!J83</f>
        <v>0</v>
      </c>
      <c r="I2" s="10">
        <f>Calculations!K83</f>
        <v>0</v>
      </c>
      <c r="J2" s="10">
        <f>Calculations!L83</f>
        <v>0</v>
      </c>
      <c r="K2" s="10">
        <f>Calculations!M83</f>
        <v>0</v>
      </c>
      <c r="L2" s="10">
        <f>Calculations!N83</f>
        <v>0</v>
      </c>
      <c r="M2" s="10">
        <f>Calculations!O83</f>
        <v>0</v>
      </c>
      <c r="N2" s="10">
        <f>Calculations!P83</f>
        <v>0</v>
      </c>
      <c r="O2" s="10">
        <f>Calculations!Q83</f>
        <v>0</v>
      </c>
      <c r="P2" s="10">
        <f>Calculations!R83</f>
        <v>0</v>
      </c>
      <c r="Q2" s="10">
        <f>Calculations!S83</f>
        <v>0</v>
      </c>
      <c r="R2" s="10">
        <f>Calculations!T83</f>
        <v>0</v>
      </c>
      <c r="S2" s="10">
        <f>Calculations!U83</f>
        <v>0</v>
      </c>
      <c r="T2" s="10">
        <f>Calculations!V83</f>
        <v>0</v>
      </c>
      <c r="U2" s="10">
        <f>Calculations!W83</f>
        <v>0</v>
      </c>
      <c r="V2" s="10">
        <f>Calculations!X83</f>
        <v>0</v>
      </c>
      <c r="W2" s="10">
        <f>Calculations!Y83</f>
        <v>0</v>
      </c>
      <c r="X2" s="10">
        <f>Calculations!Z83</f>
        <v>0</v>
      </c>
      <c r="Y2" s="10">
        <f>Calculations!AA83</f>
        <v>0</v>
      </c>
      <c r="Z2" s="10">
        <f>Calculations!AB83</f>
        <v>0</v>
      </c>
      <c r="AA2" s="10">
        <f>Calculations!AC83</f>
        <v>0</v>
      </c>
      <c r="AB2" s="10">
        <f>Calculations!AD83</f>
        <v>0</v>
      </c>
      <c r="AC2" s="10">
        <f>Calculations!AE83</f>
        <v>0</v>
      </c>
      <c r="AD2" s="10">
        <f>Calculations!AF83</f>
        <v>0</v>
      </c>
      <c r="AE2" s="10">
        <f>Calculations!AG83</f>
        <v>0</v>
      </c>
      <c r="AF2" s="10">
        <f>Calculations!AH83</f>
        <v>0</v>
      </c>
      <c r="AG2" s="10">
        <f>Calculations!AI83</f>
        <v>0</v>
      </c>
    </row>
    <row r="3" spans="1:33" x14ac:dyDescent="0.25">
      <c r="A3" t="s">
        <v>938</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25">
      <c r="A4" t="s">
        <v>939</v>
      </c>
      <c r="B4" s="10">
        <f>Calculations!D84</f>
        <v>0</v>
      </c>
      <c r="C4" s="10">
        <f>Calculations!E84</f>
        <v>1377.152</v>
      </c>
      <c r="D4" s="10">
        <f>Calculations!F84</f>
        <v>1385.0491999999995</v>
      </c>
      <c r="E4" s="10">
        <f>Calculations!G84</f>
        <v>1392.9464000000007</v>
      </c>
      <c r="F4" s="10">
        <f>Calculations!H84</f>
        <v>1400.8436000000002</v>
      </c>
      <c r="G4" s="10">
        <f>Calculations!I84</f>
        <v>1408.7407999999996</v>
      </c>
      <c r="H4" s="10">
        <f>Calculations!J84</f>
        <v>1416.6380000000001</v>
      </c>
      <c r="I4" s="10">
        <f>Calculations!K84</f>
        <v>1432.388600000002</v>
      </c>
      <c r="J4" s="10">
        <f>Calculations!L84</f>
        <v>1448.1392000000014</v>
      </c>
      <c r="K4" s="10">
        <f>Calculations!M84</f>
        <v>1463.8898000000008</v>
      </c>
      <c r="L4" s="10">
        <f>Calculations!N84</f>
        <v>1479.6404000000002</v>
      </c>
      <c r="M4" s="10">
        <f>Calculations!O84</f>
        <v>1495.3909999999998</v>
      </c>
      <c r="N4" s="10">
        <f>Calculations!P84</f>
        <v>1510.5756000000001</v>
      </c>
      <c r="O4" s="10">
        <f>Calculations!Q84</f>
        <v>1525.7602000000006</v>
      </c>
      <c r="P4" s="10">
        <f>Calculations!R84</f>
        <v>1540.9448000000011</v>
      </c>
      <c r="Q4" s="10">
        <f>Calculations!S84</f>
        <v>1556.1294000000016</v>
      </c>
      <c r="R4" s="10">
        <f>Calculations!T84</f>
        <v>1571.3140000000001</v>
      </c>
      <c r="S4" s="10">
        <f>Calculations!U84</f>
        <v>1585.6786000000029</v>
      </c>
      <c r="T4" s="10">
        <f>Calculations!V84</f>
        <v>1600.0432000000001</v>
      </c>
      <c r="U4" s="10">
        <f>Calculations!W84</f>
        <v>1614.4078000000009</v>
      </c>
      <c r="V4" s="10">
        <f>Calculations!X84</f>
        <v>1628.7724000000017</v>
      </c>
      <c r="W4" s="10">
        <f>Calculations!Y84</f>
        <v>1643.1370000000002</v>
      </c>
      <c r="X4" s="10">
        <f>Calculations!Z84</f>
        <v>1658.2861999999986</v>
      </c>
      <c r="Y4" s="10">
        <f>Calculations!AA84</f>
        <v>1673.4353999999985</v>
      </c>
      <c r="Z4" s="10">
        <f>Calculations!AB84</f>
        <v>1688.5845999999983</v>
      </c>
      <c r="AA4" s="10">
        <f>Calculations!AC84</f>
        <v>1703.7337999999982</v>
      </c>
      <c r="AB4" s="10">
        <f>Calculations!AD84</f>
        <v>1718.883</v>
      </c>
      <c r="AC4" s="10">
        <f>Calculations!AE84</f>
        <v>1731.7387999999992</v>
      </c>
      <c r="AD4" s="10">
        <f>Calculations!AF84</f>
        <v>1744.5945999999967</v>
      </c>
      <c r="AE4" s="10">
        <f>Calculations!AG84</f>
        <v>1757.4503999999979</v>
      </c>
      <c r="AF4" s="10">
        <f>Calculations!AH84</f>
        <v>1770.3061999999991</v>
      </c>
      <c r="AG4" s="10">
        <f>Calculations!AI84</f>
        <v>1783.1619999999998</v>
      </c>
    </row>
    <row r="5" spans="1:33" x14ac:dyDescent="0.25">
      <c r="A5" t="s">
        <v>8</v>
      </c>
      <c r="B5" s="10">
        <f>Calculations!D85</f>
        <v>0</v>
      </c>
      <c r="C5" s="10">
        <f>Calculations!E85</f>
        <v>0</v>
      </c>
      <c r="D5" s="10">
        <f>Calculations!F85</f>
        <v>0</v>
      </c>
      <c r="E5" s="10">
        <f>Calculations!G85</f>
        <v>0</v>
      </c>
      <c r="F5" s="10">
        <f>Calculations!H85</f>
        <v>0</v>
      </c>
      <c r="G5" s="10">
        <f>Calculations!I85</f>
        <v>0</v>
      </c>
      <c r="H5" s="10">
        <f>Calculations!J85</f>
        <v>0</v>
      </c>
      <c r="I5" s="10">
        <f>Calculations!K85</f>
        <v>0</v>
      </c>
      <c r="J5" s="10">
        <f>Calculations!L85</f>
        <v>0</v>
      </c>
      <c r="K5" s="10">
        <f>Calculations!M85</f>
        <v>0</v>
      </c>
      <c r="L5" s="10">
        <f>Calculations!N85</f>
        <v>0</v>
      </c>
      <c r="M5" s="10">
        <f>Calculations!O85</f>
        <v>0</v>
      </c>
      <c r="N5" s="10">
        <f>Calculations!P85</f>
        <v>0</v>
      </c>
      <c r="O5" s="10">
        <f>Calculations!Q85</f>
        <v>0</v>
      </c>
      <c r="P5" s="10">
        <f>Calculations!R85</f>
        <v>0</v>
      </c>
      <c r="Q5" s="10">
        <f>Calculations!S85</f>
        <v>0</v>
      </c>
      <c r="R5" s="10">
        <f>Calculations!T85</f>
        <v>0</v>
      </c>
      <c r="S5" s="10">
        <f>Calculations!U85</f>
        <v>0</v>
      </c>
      <c r="T5" s="10">
        <f>Calculations!V85</f>
        <v>0</v>
      </c>
      <c r="U5" s="10">
        <f>Calculations!W85</f>
        <v>0</v>
      </c>
      <c r="V5" s="10">
        <f>Calculations!X85</f>
        <v>0</v>
      </c>
      <c r="W5" s="10">
        <f>Calculations!Y85</f>
        <v>0</v>
      </c>
      <c r="X5" s="10">
        <f>Calculations!Z85</f>
        <v>0</v>
      </c>
      <c r="Y5" s="10">
        <f>Calculations!AA85</f>
        <v>0</v>
      </c>
      <c r="Z5" s="10">
        <f>Calculations!AB85</f>
        <v>0</v>
      </c>
      <c r="AA5" s="10">
        <f>Calculations!AC85</f>
        <v>0</v>
      </c>
      <c r="AB5" s="10">
        <f>Calculations!AD85</f>
        <v>0</v>
      </c>
      <c r="AC5" s="10">
        <f>Calculations!AE85</f>
        <v>0</v>
      </c>
      <c r="AD5" s="10">
        <f>Calculations!AF85</f>
        <v>0</v>
      </c>
      <c r="AE5" s="10">
        <f>Calculations!AG85</f>
        <v>0</v>
      </c>
      <c r="AF5" s="10">
        <f>Calculations!AH85</f>
        <v>0</v>
      </c>
      <c r="AG5" s="10">
        <f>Calculations!AI85</f>
        <v>0</v>
      </c>
    </row>
    <row r="6" spans="1:33" x14ac:dyDescent="0.25">
      <c r="A6" t="s">
        <v>9</v>
      </c>
      <c r="B6" s="10">
        <f>Calculations!D86</f>
        <v>0</v>
      </c>
      <c r="C6" s="10">
        <f>Calculations!E86</f>
        <v>0</v>
      </c>
      <c r="D6" s="10">
        <f>Calculations!F86</f>
        <v>0</v>
      </c>
      <c r="E6" s="10">
        <f>Calculations!G86</f>
        <v>0</v>
      </c>
      <c r="F6" s="10">
        <f>Calculations!H86</f>
        <v>0</v>
      </c>
      <c r="G6" s="10">
        <f>Calculations!I86</f>
        <v>0</v>
      </c>
      <c r="H6" s="10">
        <f>Calculations!J86</f>
        <v>0</v>
      </c>
      <c r="I6" s="10">
        <f>Calculations!K86</f>
        <v>0</v>
      </c>
      <c r="J6" s="10">
        <f>Calculations!L86</f>
        <v>0</v>
      </c>
      <c r="K6" s="10">
        <f>Calculations!M86</f>
        <v>0</v>
      </c>
      <c r="L6" s="10">
        <f>Calculations!N86</f>
        <v>0</v>
      </c>
      <c r="M6" s="10">
        <f>Calculations!O86</f>
        <v>0</v>
      </c>
      <c r="N6" s="10">
        <f>Calculations!P86</f>
        <v>0</v>
      </c>
      <c r="O6" s="10">
        <f>Calculations!Q86</f>
        <v>0</v>
      </c>
      <c r="P6" s="10">
        <f>Calculations!R86</f>
        <v>0</v>
      </c>
      <c r="Q6" s="10">
        <f>Calculations!S86</f>
        <v>0</v>
      </c>
      <c r="R6" s="10">
        <f>Calculations!T86</f>
        <v>0</v>
      </c>
      <c r="S6" s="10">
        <f>Calculations!U86</f>
        <v>0</v>
      </c>
      <c r="T6" s="10">
        <f>Calculations!V86</f>
        <v>0</v>
      </c>
      <c r="U6" s="10">
        <f>Calculations!W86</f>
        <v>0</v>
      </c>
      <c r="V6" s="10">
        <f>Calculations!X86</f>
        <v>0</v>
      </c>
      <c r="W6" s="10">
        <f>Calculations!Y86</f>
        <v>0</v>
      </c>
      <c r="X6" s="10">
        <f>Calculations!Z86</f>
        <v>0</v>
      </c>
      <c r="Y6" s="10">
        <f>Calculations!AA86</f>
        <v>0</v>
      </c>
      <c r="Z6" s="10">
        <f>Calculations!AB86</f>
        <v>0</v>
      </c>
      <c r="AA6" s="10">
        <f>Calculations!AC86</f>
        <v>0</v>
      </c>
      <c r="AB6" s="10">
        <f>Calculations!AD86</f>
        <v>0</v>
      </c>
      <c r="AC6" s="10">
        <f>Calculations!AE86</f>
        <v>0</v>
      </c>
      <c r="AD6" s="10">
        <f>Calculations!AF86</f>
        <v>0</v>
      </c>
      <c r="AE6" s="10">
        <f>Calculations!AG86</f>
        <v>0</v>
      </c>
      <c r="AF6" s="10">
        <f>Calculations!AH86</f>
        <v>0</v>
      </c>
      <c r="AG6" s="10">
        <f>Calculations!AI86</f>
        <v>0</v>
      </c>
    </row>
    <row r="7" spans="1:33" x14ac:dyDescent="0.25">
      <c r="A7" t="s">
        <v>59</v>
      </c>
      <c r="B7" s="10">
        <f>Calculations!D87</f>
        <v>0</v>
      </c>
      <c r="C7" s="10">
        <f>Calculations!E87</f>
        <v>554.88099999999997</v>
      </c>
      <c r="D7" s="10">
        <f>Calculations!F87</f>
        <v>555.80780000000004</v>
      </c>
      <c r="E7" s="10">
        <f>Calculations!G87</f>
        <v>556.7346</v>
      </c>
      <c r="F7" s="10">
        <f>Calculations!H87</f>
        <v>557.66139999999996</v>
      </c>
      <c r="G7" s="10">
        <f>Calculations!I87</f>
        <v>558.58819999999992</v>
      </c>
      <c r="H7" s="10">
        <f>Calculations!J87</f>
        <v>559.51499999999999</v>
      </c>
      <c r="I7" s="10">
        <f>Calculations!K87</f>
        <v>560.21679999999981</v>
      </c>
      <c r="J7" s="10">
        <f>Calculations!L87</f>
        <v>560.91859999999986</v>
      </c>
      <c r="K7" s="10">
        <f>Calculations!M87</f>
        <v>561.6203999999999</v>
      </c>
      <c r="L7" s="10">
        <f>Calculations!N87</f>
        <v>562.32219999999995</v>
      </c>
      <c r="M7" s="10">
        <f>Calculations!O87</f>
        <v>563.024</v>
      </c>
      <c r="N7" s="10">
        <f>Calculations!P87</f>
        <v>563.88020000000006</v>
      </c>
      <c r="O7" s="10">
        <f>Calculations!Q87</f>
        <v>564.7364</v>
      </c>
      <c r="P7" s="10">
        <f>Calculations!R87</f>
        <v>565.59259999999995</v>
      </c>
      <c r="Q7" s="10">
        <f>Calculations!S87</f>
        <v>566.44879999999989</v>
      </c>
      <c r="R7" s="10">
        <f>Calculations!T87</f>
        <v>567.30499999999995</v>
      </c>
      <c r="S7" s="10">
        <f>Calculations!U87</f>
        <v>567.67619999999988</v>
      </c>
      <c r="T7" s="10">
        <f>Calculations!V87</f>
        <v>568.04739999999993</v>
      </c>
      <c r="U7" s="10">
        <f>Calculations!W87</f>
        <v>568.41859999999997</v>
      </c>
      <c r="V7" s="10">
        <f>Calculations!X87</f>
        <v>568.78980000000001</v>
      </c>
      <c r="W7" s="10">
        <f>Calculations!Y87</f>
        <v>569.16100000000006</v>
      </c>
      <c r="X7" s="10">
        <f>Calculations!Z87</f>
        <v>569.76780000000008</v>
      </c>
      <c r="Y7" s="10">
        <f>Calculations!AA87</f>
        <v>570.3746000000001</v>
      </c>
      <c r="Z7" s="10">
        <f>Calculations!AB87</f>
        <v>570.98140000000012</v>
      </c>
      <c r="AA7" s="10">
        <f>Calculations!AC87</f>
        <v>571.58819999999992</v>
      </c>
      <c r="AB7" s="10">
        <f>Calculations!AD87</f>
        <v>572.19500000000005</v>
      </c>
      <c r="AC7" s="10">
        <f>Calculations!AE87</f>
        <v>572.2274000000001</v>
      </c>
      <c r="AD7" s="10">
        <f>Calculations!AF87</f>
        <v>572.25980000000004</v>
      </c>
      <c r="AE7" s="10">
        <f>Calculations!AG87</f>
        <v>572.29220000000009</v>
      </c>
      <c r="AF7" s="10">
        <f>Calculations!AH87</f>
        <v>572.32460000000003</v>
      </c>
      <c r="AG7" s="10">
        <f>Calculations!AI87</f>
        <v>572.35699999999997</v>
      </c>
    </row>
    <row r="8" spans="1:33" x14ac:dyDescent="0.25">
      <c r="A8" t="s">
        <v>10</v>
      </c>
      <c r="B8" s="10">
        <f>Calculations!D88</f>
        <v>0</v>
      </c>
      <c r="C8" s="10">
        <f>Calculations!E88</f>
        <v>15855.377</v>
      </c>
      <c r="D8" s="10">
        <f>Calculations!F88</f>
        <v>18413.067400000058</v>
      </c>
      <c r="E8" s="10">
        <f>Calculations!G88</f>
        <v>20970.757799999788</v>
      </c>
      <c r="F8" s="10">
        <f>Calculations!H88</f>
        <v>23528.44820000045</v>
      </c>
      <c r="G8" s="10">
        <f>Calculations!I88</f>
        <v>26086.13860000018</v>
      </c>
      <c r="H8" s="10">
        <f>Calculations!J88</f>
        <v>28643.829000000002</v>
      </c>
      <c r="I8" s="10">
        <f>Calculations!K88</f>
        <v>30182.998399999924</v>
      </c>
      <c r="J8" s="10">
        <f>Calculations!L88</f>
        <v>31722.167799999937</v>
      </c>
      <c r="K8" s="10">
        <f>Calculations!M88</f>
        <v>33261.337199999951</v>
      </c>
      <c r="L8" s="10">
        <f>Calculations!N88</f>
        <v>34800.506599999964</v>
      </c>
      <c r="M8" s="10">
        <f>Calculations!O88</f>
        <v>36339.675999999999</v>
      </c>
      <c r="N8" s="10">
        <f>Calculations!P88</f>
        <v>37371.95980000007</v>
      </c>
      <c r="O8" s="10">
        <f>Calculations!Q88</f>
        <v>38404.243599999929</v>
      </c>
      <c r="P8" s="10">
        <f>Calculations!R88</f>
        <v>39436.527399999788</v>
      </c>
      <c r="Q8" s="10">
        <f>Calculations!S88</f>
        <v>40468.811200000113</v>
      </c>
      <c r="R8" s="10">
        <f>Calculations!T88</f>
        <v>41501.095000000001</v>
      </c>
      <c r="S8" s="10">
        <f>Calculations!U88</f>
        <v>43064.94160000002</v>
      </c>
      <c r="T8" s="10">
        <f>Calculations!V88</f>
        <v>44628.788200000301</v>
      </c>
      <c r="U8" s="10">
        <f>Calculations!W88</f>
        <v>46192.634800000116</v>
      </c>
      <c r="V8" s="10">
        <f>Calculations!X88</f>
        <v>47756.481399999931</v>
      </c>
      <c r="W8" s="10">
        <f>Calculations!Y88</f>
        <v>49320.328000000001</v>
      </c>
      <c r="X8" s="10">
        <f>Calculations!Z88</f>
        <v>51176.549799999688</v>
      </c>
      <c r="Y8" s="10">
        <f>Calculations!AA88</f>
        <v>53032.771599999629</v>
      </c>
      <c r="Z8" s="10">
        <f>Calculations!AB88</f>
        <v>54888.99339999957</v>
      </c>
      <c r="AA8" s="10">
        <f>Calculations!AC88</f>
        <v>56745.215199999977</v>
      </c>
      <c r="AB8" s="10">
        <f>Calculations!AD88</f>
        <v>58601.436999999998</v>
      </c>
      <c r="AC8" s="10">
        <f>Calculations!AE88</f>
        <v>60444.592600000091</v>
      </c>
      <c r="AD8" s="10">
        <f>Calculations!AF88</f>
        <v>62287.748199999798</v>
      </c>
      <c r="AE8" s="10">
        <f>Calculations!AG88</f>
        <v>64130.903799999971</v>
      </c>
      <c r="AF8" s="10">
        <f>Calculations!AH88</f>
        <v>65974.059400000144</v>
      </c>
      <c r="AG8" s="10">
        <f>Calculations!AI88</f>
        <v>67817.215000000011</v>
      </c>
    </row>
    <row r="9" spans="1:33" x14ac:dyDescent="0.25">
      <c r="A9" t="s">
        <v>11</v>
      </c>
      <c r="B9" s="10">
        <f>Calculations!D89</f>
        <v>0</v>
      </c>
      <c r="C9" s="10">
        <f>Calculations!E89</f>
        <v>0</v>
      </c>
      <c r="D9" s="10">
        <f>Calculations!F89</f>
        <v>0</v>
      </c>
      <c r="E9" s="10">
        <f>Calculations!G89</f>
        <v>0</v>
      </c>
      <c r="F9" s="10">
        <f>Calculations!H89</f>
        <v>0</v>
      </c>
      <c r="G9" s="10">
        <f>Calculations!I89</f>
        <v>0</v>
      </c>
      <c r="H9" s="10">
        <f>Calculations!J89</f>
        <v>0</v>
      </c>
      <c r="I9" s="10">
        <f>Calculations!K89</f>
        <v>0</v>
      </c>
      <c r="J9" s="10">
        <f>Calculations!L89</f>
        <v>0</v>
      </c>
      <c r="K9" s="10">
        <f>Calculations!M89</f>
        <v>0</v>
      </c>
      <c r="L9" s="10">
        <f>Calculations!N89</f>
        <v>0</v>
      </c>
      <c r="M9" s="10">
        <f>Calculations!O89</f>
        <v>0</v>
      </c>
      <c r="N9" s="10">
        <f>Calculations!P89</f>
        <v>0</v>
      </c>
      <c r="O9" s="10">
        <f>Calculations!Q89</f>
        <v>0</v>
      </c>
      <c r="P9" s="10">
        <f>Calculations!R89</f>
        <v>0</v>
      </c>
      <c r="Q9" s="10">
        <f>Calculations!S89</f>
        <v>0</v>
      </c>
      <c r="R9" s="10">
        <f>Calculations!T89</f>
        <v>0</v>
      </c>
      <c r="S9" s="10">
        <f>Calculations!U89</f>
        <v>0</v>
      </c>
      <c r="T9" s="10">
        <f>Calculations!V89</f>
        <v>0</v>
      </c>
      <c r="U9" s="10">
        <f>Calculations!W89</f>
        <v>0</v>
      </c>
      <c r="V9" s="10">
        <f>Calculations!X89</f>
        <v>0</v>
      </c>
      <c r="W9" s="10">
        <f>Calculations!Y89</f>
        <v>0</v>
      </c>
      <c r="X9" s="10">
        <f>Calculations!Z89</f>
        <v>0</v>
      </c>
      <c r="Y9" s="10">
        <f>Calculations!AA89</f>
        <v>0</v>
      </c>
      <c r="Z9" s="10">
        <f>Calculations!AB89</f>
        <v>0</v>
      </c>
      <c r="AA9" s="10">
        <f>Calculations!AC89</f>
        <v>0</v>
      </c>
      <c r="AB9" s="10">
        <f>Calculations!AD89</f>
        <v>0</v>
      </c>
      <c r="AC9" s="10">
        <f>Calculations!AE89</f>
        <v>0</v>
      </c>
      <c r="AD9" s="10">
        <f>Calculations!AF89</f>
        <v>0</v>
      </c>
      <c r="AE9" s="10">
        <f>Calculations!AG89</f>
        <v>0</v>
      </c>
      <c r="AF9" s="10">
        <f>Calculations!AH89</f>
        <v>0</v>
      </c>
      <c r="AG9" s="10">
        <f>Calculations!AI89</f>
        <v>0</v>
      </c>
    </row>
    <row r="10" spans="1:33" x14ac:dyDescent="0.25">
      <c r="A10" t="s">
        <v>12</v>
      </c>
      <c r="B10" s="10">
        <f>Calculations!D90</f>
        <v>0</v>
      </c>
      <c r="C10" s="10">
        <f>Calculations!E90</f>
        <v>0</v>
      </c>
      <c r="D10" s="10">
        <f>Calculations!F90</f>
        <v>0</v>
      </c>
      <c r="E10" s="10">
        <f>Calculations!G90</f>
        <v>0</v>
      </c>
      <c r="F10" s="10">
        <f>Calculations!H90</f>
        <v>0</v>
      </c>
      <c r="G10" s="10">
        <f>Calculations!I90</f>
        <v>0</v>
      </c>
      <c r="H10" s="10">
        <f>Calculations!J90</f>
        <v>0</v>
      </c>
      <c r="I10" s="10">
        <f>Calculations!K90</f>
        <v>0</v>
      </c>
      <c r="J10" s="10">
        <f>Calculations!L90</f>
        <v>0</v>
      </c>
      <c r="K10" s="10">
        <f>Calculations!M90</f>
        <v>0</v>
      </c>
      <c r="L10" s="10">
        <f>Calculations!N90</f>
        <v>0</v>
      </c>
      <c r="M10" s="10">
        <f>Calculations!O90</f>
        <v>0</v>
      </c>
      <c r="N10" s="10">
        <f>Calculations!P90</f>
        <v>0</v>
      </c>
      <c r="O10" s="10">
        <f>Calculations!Q90</f>
        <v>0</v>
      </c>
      <c r="P10" s="10">
        <f>Calculations!R90</f>
        <v>0</v>
      </c>
      <c r="Q10" s="10">
        <f>Calculations!S90</f>
        <v>0</v>
      </c>
      <c r="R10" s="10">
        <f>Calculations!T90</f>
        <v>0</v>
      </c>
      <c r="S10" s="10">
        <f>Calculations!U90</f>
        <v>0</v>
      </c>
      <c r="T10" s="10">
        <f>Calculations!V90</f>
        <v>0</v>
      </c>
      <c r="U10" s="10">
        <f>Calculations!W90</f>
        <v>0</v>
      </c>
      <c r="V10" s="10">
        <f>Calculations!X90</f>
        <v>0</v>
      </c>
      <c r="W10" s="10">
        <f>Calculations!Y90</f>
        <v>0</v>
      </c>
      <c r="X10" s="10">
        <f>Calculations!Z90</f>
        <v>0</v>
      </c>
      <c r="Y10" s="10">
        <f>Calculations!AA90</f>
        <v>0</v>
      </c>
      <c r="Z10" s="10">
        <f>Calculations!AB90</f>
        <v>0</v>
      </c>
      <c r="AA10" s="10">
        <f>Calculations!AC90</f>
        <v>0</v>
      </c>
      <c r="AB10" s="10">
        <f>Calculations!AD90</f>
        <v>0</v>
      </c>
      <c r="AC10" s="10">
        <f>Calculations!AE90</f>
        <v>0</v>
      </c>
      <c r="AD10" s="10">
        <f>Calculations!AF90</f>
        <v>0</v>
      </c>
      <c r="AE10" s="10">
        <f>Calculations!AG90</f>
        <v>0</v>
      </c>
      <c r="AF10" s="10">
        <f>Calculations!AH90</f>
        <v>0</v>
      </c>
      <c r="AG10" s="10">
        <f>Calculations!AI90</f>
        <v>0</v>
      </c>
    </row>
    <row r="11" spans="1:33" x14ac:dyDescent="0.25">
      <c r="A11" t="s">
        <v>13</v>
      </c>
      <c r="B11" s="10">
        <f>Calculations!D91</f>
        <v>0</v>
      </c>
      <c r="C11" s="10">
        <f>Calculations!E91</f>
        <v>0</v>
      </c>
      <c r="D11" s="10">
        <f>Calculations!F91</f>
        <v>0</v>
      </c>
      <c r="E11" s="10">
        <f>Calculations!G91</f>
        <v>0</v>
      </c>
      <c r="F11" s="10">
        <f>Calculations!H91</f>
        <v>0</v>
      </c>
      <c r="G11" s="10">
        <f>Calculations!I91</f>
        <v>0</v>
      </c>
      <c r="H11" s="10">
        <f>Calculations!J91</f>
        <v>0</v>
      </c>
      <c r="I11" s="10">
        <f>Calculations!K91</f>
        <v>0</v>
      </c>
      <c r="J11" s="10">
        <f>Calculations!L91</f>
        <v>0</v>
      </c>
      <c r="K11" s="10">
        <f>Calculations!M91</f>
        <v>0</v>
      </c>
      <c r="L11" s="10">
        <f>Calculations!N91</f>
        <v>0</v>
      </c>
      <c r="M11" s="10">
        <f>Calculations!O91</f>
        <v>0</v>
      </c>
      <c r="N11" s="10">
        <f>Calculations!P91</f>
        <v>0</v>
      </c>
      <c r="O11" s="10">
        <f>Calculations!Q91</f>
        <v>0</v>
      </c>
      <c r="P11" s="10">
        <f>Calculations!R91</f>
        <v>0</v>
      </c>
      <c r="Q11" s="10">
        <f>Calculations!S91</f>
        <v>0</v>
      </c>
      <c r="R11" s="10">
        <f>Calculations!T91</f>
        <v>0</v>
      </c>
      <c r="S11" s="10">
        <f>Calculations!U91</f>
        <v>0</v>
      </c>
      <c r="T11" s="10">
        <f>Calculations!V91</f>
        <v>0</v>
      </c>
      <c r="U11" s="10">
        <f>Calculations!W91</f>
        <v>0</v>
      </c>
      <c r="V11" s="10">
        <f>Calculations!X91</f>
        <v>0</v>
      </c>
      <c r="W11" s="10">
        <f>Calculations!Y91</f>
        <v>0</v>
      </c>
      <c r="X11" s="10">
        <f>Calculations!Z91</f>
        <v>0</v>
      </c>
      <c r="Y11" s="10">
        <f>Calculations!AA91</f>
        <v>0</v>
      </c>
      <c r="Z11" s="10">
        <f>Calculations!AB91</f>
        <v>0</v>
      </c>
      <c r="AA11" s="10">
        <f>Calculations!AC91</f>
        <v>0</v>
      </c>
      <c r="AB11" s="10">
        <f>Calculations!AD91</f>
        <v>0</v>
      </c>
      <c r="AC11" s="10">
        <f>Calculations!AE91</f>
        <v>0</v>
      </c>
      <c r="AD11" s="10">
        <f>Calculations!AF91</f>
        <v>0</v>
      </c>
      <c r="AE11" s="10">
        <f>Calculations!AG91</f>
        <v>0</v>
      </c>
      <c r="AF11" s="10">
        <f>Calculations!AH91</f>
        <v>0</v>
      </c>
      <c r="AG11" s="10">
        <f>Calculations!AI91</f>
        <v>0</v>
      </c>
    </row>
    <row r="12" spans="1:33" x14ac:dyDescent="0.25">
      <c r="A12" t="s">
        <v>14</v>
      </c>
      <c r="B12" s="10">
        <f>Calculations!D92</f>
        <v>0</v>
      </c>
      <c r="C12" s="10">
        <f>Calculations!E92</f>
        <v>17.117000000000001</v>
      </c>
      <c r="D12" s="10">
        <f>Calculations!F92</f>
        <v>16.104200000000219</v>
      </c>
      <c r="E12" s="10">
        <f>Calculations!G92</f>
        <v>15.091400000000021</v>
      </c>
      <c r="F12" s="10">
        <f>Calculations!H92</f>
        <v>14.078600000000279</v>
      </c>
      <c r="G12" s="10">
        <f>Calculations!I92</f>
        <v>13.065800000000309</v>
      </c>
      <c r="H12" s="10">
        <f>Calculations!J92</f>
        <v>12.052999999999999</v>
      </c>
      <c r="I12" s="10">
        <f>Calculations!K92</f>
        <v>12.052999999999999</v>
      </c>
      <c r="J12" s="10">
        <f>Calculations!L92</f>
        <v>12.052999999999999</v>
      </c>
      <c r="K12" s="10">
        <f>Calculations!M92</f>
        <v>12.052999999999999</v>
      </c>
      <c r="L12" s="10">
        <f>Calculations!N92</f>
        <v>12.052999999999999</v>
      </c>
      <c r="M12" s="10">
        <f>Calculations!O92</f>
        <v>12.052999999999999</v>
      </c>
      <c r="N12" s="10">
        <f>Calculations!P92</f>
        <v>12.052999999999999</v>
      </c>
      <c r="O12" s="10">
        <f>Calculations!Q92</f>
        <v>12.052999999999999</v>
      </c>
      <c r="P12" s="10">
        <f>Calculations!R92</f>
        <v>12.052999999999999</v>
      </c>
      <c r="Q12" s="10">
        <f>Calculations!S92</f>
        <v>12.052999999999999</v>
      </c>
      <c r="R12" s="10">
        <f>Calculations!T92</f>
        <v>12.052999999999999</v>
      </c>
      <c r="S12" s="10">
        <f>Calculations!U92</f>
        <v>12.052999999999999</v>
      </c>
      <c r="T12" s="10">
        <f>Calculations!V92</f>
        <v>12.052999999999999</v>
      </c>
      <c r="U12" s="10">
        <f>Calculations!W92</f>
        <v>12.052999999999999</v>
      </c>
      <c r="V12" s="10">
        <f>Calculations!X92</f>
        <v>12.052999999999999</v>
      </c>
      <c r="W12" s="10">
        <f>Calculations!Y92</f>
        <v>12.052999999999999</v>
      </c>
      <c r="X12" s="10">
        <f>Calculations!Z92</f>
        <v>12.052999999999999</v>
      </c>
      <c r="Y12" s="10">
        <f>Calculations!AA92</f>
        <v>12.052999999999999</v>
      </c>
      <c r="Z12" s="10">
        <f>Calculations!AB92</f>
        <v>12.052999999999999</v>
      </c>
      <c r="AA12" s="10">
        <f>Calculations!AC92</f>
        <v>12.052999999999999</v>
      </c>
      <c r="AB12" s="10">
        <f>Calculations!AD92</f>
        <v>12.052999999999999</v>
      </c>
      <c r="AC12" s="10">
        <f>Calculations!AE92</f>
        <v>12.052999999999999</v>
      </c>
      <c r="AD12" s="10">
        <f>Calculations!AF92</f>
        <v>12.052999999999999</v>
      </c>
      <c r="AE12" s="10">
        <f>Calculations!AG92</f>
        <v>12.052999999999999</v>
      </c>
      <c r="AF12" s="10">
        <f>Calculations!AH92</f>
        <v>12.052999999999999</v>
      </c>
      <c r="AG12" s="10">
        <f>Calculations!AI92</f>
        <v>12.052999999999999</v>
      </c>
    </row>
    <row r="13" spans="1:33" x14ac:dyDescent="0.25">
      <c r="A13" t="s">
        <v>15</v>
      </c>
      <c r="B13" s="10">
        <f>Calculations!D93</f>
        <v>0</v>
      </c>
      <c r="C13" s="10">
        <f>Calculations!E93</f>
        <v>0</v>
      </c>
      <c r="D13" s="10">
        <f>Calculations!F93</f>
        <v>0</v>
      </c>
      <c r="E13" s="10">
        <f>Calculations!G93</f>
        <v>0</v>
      </c>
      <c r="F13" s="10">
        <f>Calculations!H93</f>
        <v>0</v>
      </c>
      <c r="G13" s="10">
        <f>Calculations!I93</f>
        <v>0</v>
      </c>
      <c r="H13" s="10">
        <f>Calculations!J93</f>
        <v>0</v>
      </c>
      <c r="I13" s="10">
        <f>Calculations!K93</f>
        <v>0</v>
      </c>
      <c r="J13" s="10">
        <f>Calculations!L93</f>
        <v>0</v>
      </c>
      <c r="K13" s="10">
        <f>Calculations!M93</f>
        <v>0</v>
      </c>
      <c r="L13" s="10">
        <f>Calculations!N93</f>
        <v>0</v>
      </c>
      <c r="M13" s="10">
        <f>Calculations!O93</f>
        <v>0</v>
      </c>
      <c r="N13" s="10">
        <f>Calculations!P93</f>
        <v>0</v>
      </c>
      <c r="O13" s="10">
        <f>Calculations!Q93</f>
        <v>0</v>
      </c>
      <c r="P13" s="10">
        <f>Calculations!R93</f>
        <v>0</v>
      </c>
      <c r="Q13" s="10">
        <f>Calculations!S93</f>
        <v>0</v>
      </c>
      <c r="R13" s="10">
        <f>Calculations!T93</f>
        <v>0</v>
      </c>
      <c r="S13" s="10">
        <f>Calculations!U93</f>
        <v>0</v>
      </c>
      <c r="T13" s="10">
        <f>Calculations!V93</f>
        <v>0</v>
      </c>
      <c r="U13" s="10">
        <f>Calculations!W93</f>
        <v>0</v>
      </c>
      <c r="V13" s="10">
        <f>Calculations!X93</f>
        <v>0</v>
      </c>
      <c r="W13" s="10">
        <f>Calculations!Y93</f>
        <v>0</v>
      </c>
      <c r="X13" s="10">
        <f>Calculations!Z93</f>
        <v>0</v>
      </c>
      <c r="Y13" s="10">
        <f>Calculations!AA93</f>
        <v>0</v>
      </c>
      <c r="Z13" s="10">
        <f>Calculations!AB93</f>
        <v>0</v>
      </c>
      <c r="AA13" s="10">
        <f>Calculations!AC93</f>
        <v>0</v>
      </c>
      <c r="AB13" s="10">
        <f>Calculations!AD93</f>
        <v>0</v>
      </c>
      <c r="AC13" s="10">
        <f>Calculations!AE93</f>
        <v>0</v>
      </c>
      <c r="AD13" s="10">
        <f>Calculations!AF93</f>
        <v>0</v>
      </c>
      <c r="AE13" s="10">
        <f>Calculations!AG93</f>
        <v>0</v>
      </c>
      <c r="AF13" s="10">
        <f>Calculations!AH93</f>
        <v>0</v>
      </c>
      <c r="AG13" s="10">
        <f>Calculations!AI93</f>
        <v>0</v>
      </c>
    </row>
    <row r="14" spans="1:33" x14ac:dyDescent="0.25">
      <c r="A14" t="s">
        <v>57</v>
      </c>
      <c r="B14" s="10">
        <f>Calculations!D94</f>
        <v>0</v>
      </c>
      <c r="C14" s="10">
        <f>Calculations!E94</f>
        <v>0</v>
      </c>
      <c r="D14" s="10">
        <f>Calculations!F94</f>
        <v>0</v>
      </c>
      <c r="E14" s="10">
        <f>Calculations!G94</f>
        <v>0</v>
      </c>
      <c r="F14" s="10">
        <f>Calculations!H94</f>
        <v>0</v>
      </c>
      <c r="G14" s="10">
        <f>Calculations!I94</f>
        <v>0</v>
      </c>
      <c r="H14" s="10">
        <f>Calculations!J94</f>
        <v>0</v>
      </c>
      <c r="I14" s="10">
        <f>Calculations!K94</f>
        <v>0</v>
      </c>
      <c r="J14" s="10">
        <f>Calculations!L94</f>
        <v>0</v>
      </c>
      <c r="K14" s="10">
        <f>Calculations!M94</f>
        <v>0</v>
      </c>
      <c r="L14" s="10">
        <f>Calculations!N94</f>
        <v>0</v>
      </c>
      <c r="M14" s="10">
        <f>Calculations!O94</f>
        <v>0</v>
      </c>
      <c r="N14" s="10">
        <f>Calculations!P94</f>
        <v>0</v>
      </c>
      <c r="O14" s="10">
        <f>Calculations!Q94</f>
        <v>0</v>
      </c>
      <c r="P14" s="10">
        <f>Calculations!R94</f>
        <v>0</v>
      </c>
      <c r="Q14" s="10">
        <f>Calculations!S94</f>
        <v>0</v>
      </c>
      <c r="R14" s="10">
        <f>Calculations!T94</f>
        <v>0</v>
      </c>
      <c r="S14" s="10">
        <f>Calculations!U94</f>
        <v>0</v>
      </c>
      <c r="T14" s="10">
        <f>Calculations!V94</f>
        <v>0</v>
      </c>
      <c r="U14" s="10">
        <f>Calculations!W94</f>
        <v>0</v>
      </c>
      <c r="V14" s="10">
        <f>Calculations!X94</f>
        <v>0</v>
      </c>
      <c r="W14" s="10">
        <f>Calculations!Y94</f>
        <v>0</v>
      </c>
      <c r="X14" s="10">
        <f>Calculations!Z94</f>
        <v>0</v>
      </c>
      <c r="Y14" s="10">
        <f>Calculations!AA94</f>
        <v>0</v>
      </c>
      <c r="Z14" s="10">
        <f>Calculations!AB94</f>
        <v>0</v>
      </c>
      <c r="AA14" s="10">
        <f>Calculations!AC94</f>
        <v>0</v>
      </c>
      <c r="AB14" s="10">
        <f>Calculations!AD94</f>
        <v>0</v>
      </c>
      <c r="AC14" s="10">
        <f>Calculations!AE94</f>
        <v>0</v>
      </c>
      <c r="AD14" s="10">
        <f>Calculations!AF94</f>
        <v>0</v>
      </c>
      <c r="AE14" s="10">
        <f>Calculations!AG94</f>
        <v>0</v>
      </c>
      <c r="AF14" s="10">
        <f>Calculations!AH94</f>
        <v>0</v>
      </c>
      <c r="AG14" s="10">
        <f>Calculations!AI94</f>
        <v>0</v>
      </c>
    </row>
    <row r="15" spans="1:33" x14ac:dyDescent="0.25">
      <c r="A15" t="s">
        <v>60</v>
      </c>
      <c r="B15" s="10">
        <f>Calculations!D95</f>
        <v>0</v>
      </c>
      <c r="C15" s="10">
        <f>Calculations!E95</f>
        <v>0</v>
      </c>
      <c r="D15" s="10">
        <f>Calculations!F95</f>
        <v>0</v>
      </c>
      <c r="E15" s="10">
        <f>Calculations!G95</f>
        <v>0</v>
      </c>
      <c r="F15" s="10">
        <f>Calculations!H95</f>
        <v>0</v>
      </c>
      <c r="G15" s="10">
        <f>Calculations!I95</f>
        <v>0</v>
      </c>
      <c r="H15" s="10">
        <f>Calculations!J95</f>
        <v>0</v>
      </c>
      <c r="I15" s="10">
        <f>Calculations!K95</f>
        <v>0</v>
      </c>
      <c r="J15" s="10">
        <f>Calculations!L95</f>
        <v>0</v>
      </c>
      <c r="K15" s="10">
        <f>Calculations!M95</f>
        <v>0</v>
      </c>
      <c r="L15" s="10">
        <f>Calculations!N95</f>
        <v>0</v>
      </c>
      <c r="M15" s="10">
        <f>Calculations!O95</f>
        <v>0</v>
      </c>
      <c r="N15" s="10">
        <f>Calculations!P95</f>
        <v>0</v>
      </c>
      <c r="O15" s="10">
        <f>Calculations!Q95</f>
        <v>0</v>
      </c>
      <c r="P15" s="10">
        <f>Calculations!R95</f>
        <v>0</v>
      </c>
      <c r="Q15" s="10">
        <f>Calculations!S95</f>
        <v>0</v>
      </c>
      <c r="R15" s="10">
        <f>Calculations!T95</f>
        <v>0</v>
      </c>
      <c r="S15" s="10">
        <f>Calculations!U95</f>
        <v>0</v>
      </c>
      <c r="T15" s="10">
        <f>Calculations!V95</f>
        <v>0</v>
      </c>
      <c r="U15" s="10">
        <f>Calculations!W95</f>
        <v>0</v>
      </c>
      <c r="V15" s="10">
        <f>Calculations!X95</f>
        <v>0</v>
      </c>
      <c r="W15" s="10">
        <f>Calculations!Y95</f>
        <v>0</v>
      </c>
      <c r="X15" s="10">
        <f>Calculations!Z95</f>
        <v>0</v>
      </c>
      <c r="Y15" s="10">
        <f>Calculations!AA95</f>
        <v>0</v>
      </c>
      <c r="Z15" s="10">
        <f>Calculations!AB95</f>
        <v>0</v>
      </c>
      <c r="AA15" s="10">
        <f>Calculations!AC95</f>
        <v>0</v>
      </c>
      <c r="AB15" s="10">
        <f>Calculations!AD95</f>
        <v>0</v>
      </c>
      <c r="AC15" s="10">
        <f>Calculations!AE95</f>
        <v>0</v>
      </c>
      <c r="AD15" s="10">
        <f>Calculations!AF95</f>
        <v>0</v>
      </c>
      <c r="AE15" s="10">
        <f>Calculations!AG95</f>
        <v>0</v>
      </c>
      <c r="AF15" s="10">
        <f>Calculations!AH95</f>
        <v>0</v>
      </c>
      <c r="AG15" s="10">
        <f>Calculations!AI95</f>
        <v>0</v>
      </c>
    </row>
    <row r="16" spans="1:33" x14ac:dyDescent="0.25">
      <c r="A16" t="s">
        <v>158</v>
      </c>
      <c r="B16" s="10">
        <f>Calculations!D96</f>
        <v>0</v>
      </c>
      <c r="C16" s="10">
        <f>Calculations!E96</f>
        <v>0</v>
      </c>
      <c r="D16" s="10">
        <f>Calculations!F96</f>
        <v>0</v>
      </c>
      <c r="E16" s="10">
        <f>Calculations!G96</f>
        <v>0</v>
      </c>
      <c r="F16" s="10">
        <f>Calculations!H96</f>
        <v>0</v>
      </c>
      <c r="G16" s="10">
        <f>Calculations!I96</f>
        <v>0</v>
      </c>
      <c r="H16" s="10">
        <f>Calculations!J96</f>
        <v>0</v>
      </c>
      <c r="I16" s="10">
        <f>Calculations!K96</f>
        <v>0</v>
      </c>
      <c r="J16" s="10">
        <f>Calculations!L96</f>
        <v>0</v>
      </c>
      <c r="K16" s="10">
        <f>Calculations!M96</f>
        <v>0</v>
      </c>
      <c r="L16" s="10">
        <f>Calculations!N96</f>
        <v>0</v>
      </c>
      <c r="M16" s="10">
        <f>Calculations!O96</f>
        <v>0</v>
      </c>
      <c r="N16" s="10">
        <f>Calculations!P96</f>
        <v>0</v>
      </c>
      <c r="O16" s="10">
        <f>Calculations!Q96</f>
        <v>0</v>
      </c>
      <c r="P16" s="10">
        <f>Calculations!R96</f>
        <v>0</v>
      </c>
      <c r="Q16" s="10">
        <f>Calculations!S96</f>
        <v>0</v>
      </c>
      <c r="R16" s="10">
        <f>Calculations!T96</f>
        <v>0</v>
      </c>
      <c r="S16" s="10">
        <f>Calculations!U96</f>
        <v>0</v>
      </c>
      <c r="T16" s="10">
        <f>Calculations!V96</f>
        <v>0</v>
      </c>
      <c r="U16" s="10">
        <f>Calculations!W96</f>
        <v>0</v>
      </c>
      <c r="V16" s="10">
        <f>Calculations!X96</f>
        <v>0</v>
      </c>
      <c r="W16" s="10">
        <f>Calculations!Y96</f>
        <v>0</v>
      </c>
      <c r="X16" s="10">
        <f>Calculations!Z96</f>
        <v>0</v>
      </c>
      <c r="Y16" s="10">
        <f>Calculations!AA96</f>
        <v>0</v>
      </c>
      <c r="Z16" s="10">
        <f>Calculations!AB96</f>
        <v>0</v>
      </c>
      <c r="AA16" s="10">
        <f>Calculations!AC96</f>
        <v>0</v>
      </c>
      <c r="AB16" s="10">
        <f>Calculations!AD96</f>
        <v>0</v>
      </c>
      <c r="AC16" s="10">
        <f>Calculations!AE96</f>
        <v>0</v>
      </c>
      <c r="AD16" s="10">
        <f>Calculations!AF96</f>
        <v>0</v>
      </c>
      <c r="AE16" s="10">
        <f>Calculations!AG96</f>
        <v>0</v>
      </c>
      <c r="AF16" s="10">
        <f>Calculations!AH96</f>
        <v>0</v>
      </c>
      <c r="AG16" s="10">
        <f>Calculations!AI96</f>
        <v>0</v>
      </c>
    </row>
    <row r="17" spans="1:33" x14ac:dyDescent="0.25">
      <c r="A17" t="s">
        <v>159</v>
      </c>
      <c r="B17" s="10">
        <f>Calculations!D97</f>
        <v>0</v>
      </c>
      <c r="C17" s="10">
        <f>Calculations!E97</f>
        <v>0</v>
      </c>
      <c r="D17" s="10">
        <f>Calculations!F97</f>
        <v>0</v>
      </c>
      <c r="E17" s="10">
        <f>Calculations!G97</f>
        <v>0</v>
      </c>
      <c r="F17" s="10">
        <f>Calculations!H97</f>
        <v>0</v>
      </c>
      <c r="G17" s="10">
        <f>Calculations!I97</f>
        <v>0</v>
      </c>
      <c r="H17" s="10">
        <f>Calculations!J97</f>
        <v>0</v>
      </c>
      <c r="I17" s="10">
        <f>Calculations!K97</f>
        <v>0</v>
      </c>
      <c r="J17" s="10">
        <f>Calculations!L97</f>
        <v>0</v>
      </c>
      <c r="K17" s="10">
        <f>Calculations!M97</f>
        <v>0</v>
      </c>
      <c r="L17" s="10">
        <f>Calculations!N97</f>
        <v>0</v>
      </c>
      <c r="M17" s="10">
        <f>Calculations!O97</f>
        <v>0</v>
      </c>
      <c r="N17" s="10">
        <f>Calculations!P97</f>
        <v>0</v>
      </c>
      <c r="O17" s="10">
        <f>Calculations!Q97</f>
        <v>0</v>
      </c>
      <c r="P17" s="10">
        <f>Calculations!R97</f>
        <v>0</v>
      </c>
      <c r="Q17" s="10">
        <f>Calculations!S97</f>
        <v>0</v>
      </c>
      <c r="R17" s="10">
        <f>Calculations!T97</f>
        <v>0</v>
      </c>
      <c r="S17" s="10">
        <f>Calculations!U97</f>
        <v>0</v>
      </c>
      <c r="T17" s="10">
        <f>Calculations!V97</f>
        <v>0</v>
      </c>
      <c r="U17" s="10">
        <f>Calculations!W97</f>
        <v>0</v>
      </c>
      <c r="V17" s="10">
        <f>Calculations!X97</f>
        <v>0</v>
      </c>
      <c r="W17" s="10">
        <f>Calculations!Y97</f>
        <v>0</v>
      </c>
      <c r="X17" s="10">
        <f>Calculations!Z97</f>
        <v>0</v>
      </c>
      <c r="Y17" s="10">
        <f>Calculations!AA97</f>
        <v>0</v>
      </c>
      <c r="Z17" s="10">
        <f>Calculations!AB97</f>
        <v>0</v>
      </c>
      <c r="AA17" s="10">
        <f>Calculations!AC97</f>
        <v>0</v>
      </c>
      <c r="AB17" s="10">
        <f>Calculations!AD97</f>
        <v>0</v>
      </c>
      <c r="AC17" s="10">
        <f>Calculations!AE97</f>
        <v>0</v>
      </c>
      <c r="AD17" s="10">
        <f>Calculations!AF97</f>
        <v>0</v>
      </c>
      <c r="AE17" s="10">
        <f>Calculations!AG97</f>
        <v>0</v>
      </c>
      <c r="AF17" s="10">
        <f>Calculations!AH97</f>
        <v>0</v>
      </c>
      <c r="AG17" s="10">
        <f>Calculations!AI97</f>
        <v>0</v>
      </c>
    </row>
    <row r="18" spans="1:33" x14ac:dyDescent="0.25">
      <c r="A18" t="s">
        <v>160</v>
      </c>
      <c r="B18" s="10">
        <f>Calculations!D98</f>
        <v>0</v>
      </c>
      <c r="C18" s="10">
        <f>Calculations!E98</f>
        <v>0</v>
      </c>
      <c r="D18" s="10">
        <f>Calculations!F98</f>
        <v>0</v>
      </c>
      <c r="E18" s="10">
        <f>Calculations!G98</f>
        <v>0</v>
      </c>
      <c r="F18" s="10">
        <f>Calculations!H98</f>
        <v>0</v>
      </c>
      <c r="G18" s="10">
        <f>Calculations!I98</f>
        <v>0</v>
      </c>
      <c r="H18" s="10">
        <f>Calculations!J98</f>
        <v>0</v>
      </c>
      <c r="I18" s="10">
        <f>Calculations!K98</f>
        <v>0</v>
      </c>
      <c r="J18" s="10">
        <f>Calculations!L98</f>
        <v>0</v>
      </c>
      <c r="K18" s="10">
        <f>Calculations!M98</f>
        <v>0</v>
      </c>
      <c r="L18" s="10">
        <f>Calculations!N98</f>
        <v>0</v>
      </c>
      <c r="M18" s="10">
        <f>Calculations!O98</f>
        <v>0</v>
      </c>
      <c r="N18" s="10">
        <f>Calculations!P98</f>
        <v>0</v>
      </c>
      <c r="O18" s="10">
        <f>Calculations!Q98</f>
        <v>0</v>
      </c>
      <c r="P18" s="10">
        <f>Calculations!R98</f>
        <v>0</v>
      </c>
      <c r="Q18" s="10">
        <f>Calculations!S98</f>
        <v>0</v>
      </c>
      <c r="R18" s="10">
        <f>Calculations!T98</f>
        <v>0</v>
      </c>
      <c r="S18" s="10">
        <f>Calculations!U98</f>
        <v>0</v>
      </c>
      <c r="T18" s="10">
        <f>Calculations!V98</f>
        <v>0</v>
      </c>
      <c r="U18" s="10">
        <f>Calculations!W98</f>
        <v>0</v>
      </c>
      <c r="V18" s="10">
        <f>Calculations!X98</f>
        <v>0</v>
      </c>
      <c r="W18" s="10">
        <f>Calculations!Y98</f>
        <v>0</v>
      </c>
      <c r="X18" s="10">
        <f>Calculations!Z98</f>
        <v>0</v>
      </c>
      <c r="Y18" s="10">
        <f>Calculations!AA98</f>
        <v>0</v>
      </c>
      <c r="Z18" s="10">
        <f>Calculations!AB98</f>
        <v>0</v>
      </c>
      <c r="AA18" s="10">
        <f>Calculations!AC98</f>
        <v>0</v>
      </c>
      <c r="AB18" s="10">
        <f>Calculations!AD98</f>
        <v>0</v>
      </c>
      <c r="AC18" s="10">
        <f>Calculations!AE98</f>
        <v>0</v>
      </c>
      <c r="AD18" s="10">
        <f>Calculations!AF98</f>
        <v>0</v>
      </c>
      <c r="AE18" s="10">
        <f>Calculations!AG98</f>
        <v>0</v>
      </c>
      <c r="AF18" s="10">
        <f>Calculations!AH98</f>
        <v>0</v>
      </c>
      <c r="AG18" s="10">
        <f>Calculations!AI98</f>
        <v>0</v>
      </c>
    </row>
    <row r="19" spans="1:33" x14ac:dyDescent="0.25">
      <c r="A19" s="53" t="s">
        <v>940</v>
      </c>
      <c r="B19" s="52">
        <v>0</v>
      </c>
      <c r="C19" s="52">
        <v>0</v>
      </c>
      <c r="D19" s="52">
        <v>0</v>
      </c>
      <c r="E19" s="52">
        <v>0</v>
      </c>
      <c r="F19" s="52">
        <v>0</v>
      </c>
      <c r="G19" s="52">
        <v>0</v>
      </c>
      <c r="H19" s="52">
        <v>0</v>
      </c>
      <c r="I19" s="52">
        <v>0</v>
      </c>
      <c r="J19" s="52">
        <v>0</v>
      </c>
      <c r="K19" s="52">
        <v>0</v>
      </c>
      <c r="L19" s="52">
        <v>0</v>
      </c>
      <c r="M19" s="52">
        <v>0</v>
      </c>
      <c r="N19" s="52">
        <v>0</v>
      </c>
      <c r="O19" s="52">
        <v>0</v>
      </c>
      <c r="P19" s="52">
        <v>0</v>
      </c>
      <c r="Q19" s="52">
        <v>0</v>
      </c>
      <c r="R19" s="52">
        <v>0</v>
      </c>
      <c r="S19" s="52">
        <v>0</v>
      </c>
      <c r="T19" s="52">
        <v>0</v>
      </c>
      <c r="U19" s="52">
        <v>0</v>
      </c>
      <c r="V19" s="52">
        <v>0</v>
      </c>
      <c r="W19" s="52">
        <v>0</v>
      </c>
      <c r="X19" s="52">
        <v>0</v>
      </c>
      <c r="Y19" s="52">
        <v>0</v>
      </c>
      <c r="Z19" s="52">
        <v>0</v>
      </c>
      <c r="AA19" s="52">
        <v>0</v>
      </c>
      <c r="AB19" s="52">
        <v>0</v>
      </c>
      <c r="AC19" s="52">
        <v>0</v>
      </c>
      <c r="AD19" s="52">
        <v>0</v>
      </c>
      <c r="AE19" s="52">
        <v>0</v>
      </c>
      <c r="AF19" s="52">
        <v>0</v>
      </c>
      <c r="AG19" s="52">
        <v>0</v>
      </c>
    </row>
    <row r="20" spans="1:33" x14ac:dyDescent="0.25">
      <c r="A20" s="53" t="s">
        <v>941</v>
      </c>
      <c r="B20" s="52">
        <v>0</v>
      </c>
      <c r="C20" s="52">
        <v>0</v>
      </c>
      <c r="D20" s="52">
        <v>0</v>
      </c>
      <c r="E20" s="52">
        <v>0</v>
      </c>
      <c r="F20" s="52">
        <v>0</v>
      </c>
      <c r="G20" s="52">
        <v>0</v>
      </c>
      <c r="H20" s="52">
        <v>0</v>
      </c>
      <c r="I20" s="52">
        <v>0</v>
      </c>
      <c r="J20" s="52">
        <v>0</v>
      </c>
      <c r="K20" s="52">
        <v>0</v>
      </c>
      <c r="L20" s="52">
        <v>0</v>
      </c>
      <c r="M20" s="52">
        <v>0</v>
      </c>
      <c r="N20" s="52">
        <v>0</v>
      </c>
      <c r="O20" s="52">
        <v>0</v>
      </c>
      <c r="P20" s="52">
        <v>0</v>
      </c>
      <c r="Q20" s="52">
        <v>0</v>
      </c>
      <c r="R20" s="52">
        <v>0</v>
      </c>
      <c r="S20" s="52">
        <v>0</v>
      </c>
      <c r="T20" s="52">
        <v>0</v>
      </c>
      <c r="U20" s="52">
        <v>0</v>
      </c>
      <c r="V20" s="52">
        <v>0</v>
      </c>
      <c r="W20" s="52">
        <v>0</v>
      </c>
      <c r="X20" s="52">
        <v>0</v>
      </c>
      <c r="Y20" s="52">
        <v>0</v>
      </c>
      <c r="Z20" s="52">
        <v>0</v>
      </c>
      <c r="AA20" s="52">
        <v>0</v>
      </c>
      <c r="AB20" s="52">
        <v>0</v>
      </c>
      <c r="AC20" s="52">
        <v>0</v>
      </c>
      <c r="AD20" s="52">
        <v>0</v>
      </c>
      <c r="AE20" s="52">
        <v>0</v>
      </c>
      <c r="AF20" s="52">
        <v>0</v>
      </c>
      <c r="AG20" s="52">
        <v>0</v>
      </c>
    </row>
    <row r="21" spans="1:33" x14ac:dyDescent="0.25">
      <c r="A21" s="53" t="s">
        <v>942</v>
      </c>
      <c r="B21" s="52">
        <v>0</v>
      </c>
      <c r="C21" s="52">
        <v>0</v>
      </c>
      <c r="D21" s="52">
        <v>0</v>
      </c>
      <c r="E21" s="52">
        <v>0</v>
      </c>
      <c r="F21" s="52">
        <v>0</v>
      </c>
      <c r="G21" s="52">
        <v>0</v>
      </c>
      <c r="H21" s="52">
        <v>0</v>
      </c>
      <c r="I21" s="52">
        <v>0</v>
      </c>
      <c r="J21" s="52">
        <v>0</v>
      </c>
      <c r="K21" s="52">
        <v>0</v>
      </c>
      <c r="L21" s="52">
        <v>0</v>
      </c>
      <c r="M21" s="52">
        <v>0</v>
      </c>
      <c r="N21" s="52">
        <v>0</v>
      </c>
      <c r="O21" s="52">
        <v>0</v>
      </c>
      <c r="P21" s="52">
        <v>0</v>
      </c>
      <c r="Q21" s="52">
        <v>0</v>
      </c>
      <c r="R21" s="52">
        <v>0</v>
      </c>
      <c r="S21" s="52">
        <v>0</v>
      </c>
      <c r="T21" s="52">
        <v>0</v>
      </c>
      <c r="U21" s="52">
        <v>0</v>
      </c>
      <c r="V21" s="52">
        <v>0</v>
      </c>
      <c r="W21" s="52">
        <v>0</v>
      </c>
      <c r="X21" s="52">
        <v>0</v>
      </c>
      <c r="Y21" s="52">
        <v>0</v>
      </c>
      <c r="Z21" s="52">
        <v>0</v>
      </c>
      <c r="AA21" s="52">
        <v>0</v>
      </c>
      <c r="AB21" s="52">
        <v>0</v>
      </c>
      <c r="AC21" s="52">
        <v>0</v>
      </c>
      <c r="AD21" s="52">
        <v>0</v>
      </c>
      <c r="AE21" s="52">
        <v>0</v>
      </c>
      <c r="AF21" s="52">
        <v>0</v>
      </c>
      <c r="AG21" s="52">
        <v>0</v>
      </c>
    </row>
    <row r="22" spans="1:33" x14ac:dyDescent="0.25">
      <c r="A22" s="53" t="s">
        <v>943</v>
      </c>
      <c r="B22" s="52">
        <v>0</v>
      </c>
      <c r="C22" s="52">
        <v>0</v>
      </c>
      <c r="D22" s="52">
        <v>0</v>
      </c>
      <c r="E22" s="52">
        <v>0</v>
      </c>
      <c r="F22" s="52">
        <v>0</v>
      </c>
      <c r="G22" s="52">
        <v>0</v>
      </c>
      <c r="H22" s="52">
        <v>0</v>
      </c>
      <c r="I22" s="52">
        <v>0</v>
      </c>
      <c r="J22" s="52">
        <v>0</v>
      </c>
      <c r="K22" s="52">
        <v>0</v>
      </c>
      <c r="L22" s="52">
        <v>0</v>
      </c>
      <c r="M22" s="52">
        <v>0</v>
      </c>
      <c r="N22" s="52">
        <v>0</v>
      </c>
      <c r="O22" s="52">
        <v>0</v>
      </c>
      <c r="P22" s="52">
        <v>0</v>
      </c>
      <c r="Q22" s="52">
        <v>0</v>
      </c>
      <c r="R22" s="52">
        <v>0</v>
      </c>
      <c r="S22" s="52">
        <v>0</v>
      </c>
      <c r="T22" s="52">
        <v>0</v>
      </c>
      <c r="U22" s="52">
        <v>0</v>
      </c>
      <c r="V22" s="52">
        <v>0</v>
      </c>
      <c r="W22" s="52">
        <v>0</v>
      </c>
      <c r="X22" s="52">
        <v>0</v>
      </c>
      <c r="Y22" s="52">
        <v>0</v>
      </c>
      <c r="Z22" s="52">
        <v>0</v>
      </c>
      <c r="AA22" s="52">
        <v>0</v>
      </c>
      <c r="AB22" s="52">
        <v>0</v>
      </c>
      <c r="AC22" s="52">
        <v>0</v>
      </c>
      <c r="AD22" s="52">
        <v>0</v>
      </c>
      <c r="AE22" s="52">
        <v>0</v>
      </c>
      <c r="AF22" s="52">
        <v>0</v>
      </c>
      <c r="AG22" s="52">
        <v>0</v>
      </c>
    </row>
    <row r="23" spans="1:33" x14ac:dyDescent="0.25">
      <c r="A23" s="53" t="s">
        <v>944</v>
      </c>
      <c r="B23" s="52">
        <v>0</v>
      </c>
      <c r="C23" s="52">
        <v>0</v>
      </c>
      <c r="D23" s="52">
        <v>0</v>
      </c>
      <c r="E23" s="52">
        <v>0</v>
      </c>
      <c r="F23" s="52">
        <v>0</v>
      </c>
      <c r="G23" s="52">
        <v>0</v>
      </c>
      <c r="H23" s="52">
        <v>0</v>
      </c>
      <c r="I23" s="52">
        <v>0</v>
      </c>
      <c r="J23" s="52">
        <v>0</v>
      </c>
      <c r="K23" s="52">
        <v>0</v>
      </c>
      <c r="L23" s="52">
        <v>0</v>
      </c>
      <c r="M23" s="52">
        <v>0</v>
      </c>
      <c r="N23" s="52">
        <v>0</v>
      </c>
      <c r="O23" s="52">
        <v>0</v>
      </c>
      <c r="P23" s="52">
        <v>0</v>
      </c>
      <c r="Q23" s="52">
        <v>0</v>
      </c>
      <c r="R23" s="52">
        <v>0</v>
      </c>
      <c r="S23" s="52">
        <v>0</v>
      </c>
      <c r="T23" s="52">
        <v>0</v>
      </c>
      <c r="U23" s="52">
        <v>0</v>
      </c>
      <c r="V23" s="52">
        <v>0</v>
      </c>
      <c r="W23" s="52">
        <v>0</v>
      </c>
      <c r="X23" s="52">
        <v>0</v>
      </c>
      <c r="Y23" s="52">
        <v>0</v>
      </c>
      <c r="Z23" s="52">
        <v>0</v>
      </c>
      <c r="AA23" s="52">
        <v>0</v>
      </c>
      <c r="AB23" s="52">
        <v>0</v>
      </c>
      <c r="AC23" s="52">
        <v>0</v>
      </c>
      <c r="AD23" s="52">
        <v>0</v>
      </c>
      <c r="AE23" s="52">
        <v>0</v>
      </c>
      <c r="AF23" s="52">
        <v>0</v>
      </c>
      <c r="AG23" s="52">
        <v>0</v>
      </c>
    </row>
    <row r="24" spans="1:33" x14ac:dyDescent="0.25">
      <c r="A24" s="54" t="s">
        <v>945</v>
      </c>
      <c r="B24" s="52">
        <v>0</v>
      </c>
      <c r="C24" s="52">
        <v>0</v>
      </c>
      <c r="D24" s="52">
        <v>0</v>
      </c>
      <c r="E24" s="52">
        <v>0</v>
      </c>
      <c r="F24" s="52">
        <v>0</v>
      </c>
      <c r="G24" s="52">
        <v>0</v>
      </c>
      <c r="H24" s="52">
        <v>0</v>
      </c>
      <c r="I24" s="52">
        <v>0</v>
      </c>
      <c r="J24" s="52">
        <v>0</v>
      </c>
      <c r="K24" s="52">
        <v>0</v>
      </c>
      <c r="L24" s="52">
        <v>0</v>
      </c>
      <c r="M24" s="52">
        <v>0</v>
      </c>
      <c r="N24" s="52">
        <v>0</v>
      </c>
      <c r="O24" s="52">
        <v>0</v>
      </c>
      <c r="P24" s="52">
        <v>0</v>
      </c>
      <c r="Q24" s="52">
        <v>0</v>
      </c>
      <c r="R24" s="52">
        <v>0</v>
      </c>
      <c r="S24" s="52">
        <v>0</v>
      </c>
      <c r="T24" s="52">
        <v>0</v>
      </c>
      <c r="U24" s="52">
        <v>0</v>
      </c>
      <c r="V24" s="52">
        <v>0</v>
      </c>
      <c r="W24" s="52">
        <v>0</v>
      </c>
      <c r="X24" s="52">
        <v>0</v>
      </c>
      <c r="Y24" s="52">
        <v>0</v>
      </c>
      <c r="Z24" s="52">
        <v>0</v>
      </c>
      <c r="AA24" s="52">
        <v>0</v>
      </c>
      <c r="AB24" s="52">
        <v>0</v>
      </c>
      <c r="AC24" s="52">
        <v>0</v>
      </c>
      <c r="AD24" s="52">
        <v>0</v>
      </c>
      <c r="AE24" s="52">
        <v>0</v>
      </c>
      <c r="AF24" s="52">
        <v>0</v>
      </c>
      <c r="AG24" s="52">
        <v>0</v>
      </c>
    </row>
    <row r="25" spans="1:33" x14ac:dyDescent="0.25">
      <c r="A25" s="54" t="s">
        <v>946</v>
      </c>
      <c r="B25" s="52">
        <v>0</v>
      </c>
      <c r="C25" s="52">
        <v>0</v>
      </c>
      <c r="D25" s="52">
        <v>0</v>
      </c>
      <c r="E25" s="52">
        <v>0</v>
      </c>
      <c r="F25" s="52">
        <v>0</v>
      </c>
      <c r="G25" s="52">
        <v>0</v>
      </c>
      <c r="H25" s="52">
        <v>0</v>
      </c>
      <c r="I25" s="52">
        <v>0</v>
      </c>
      <c r="J25" s="52">
        <v>0</v>
      </c>
      <c r="K25" s="52">
        <v>0</v>
      </c>
      <c r="L25" s="52">
        <v>0</v>
      </c>
      <c r="M25" s="52">
        <v>0</v>
      </c>
      <c r="N25" s="52">
        <v>0</v>
      </c>
      <c r="O25" s="52">
        <v>0</v>
      </c>
      <c r="P25" s="52">
        <v>0</v>
      </c>
      <c r="Q25" s="52">
        <v>0</v>
      </c>
      <c r="R25" s="52">
        <v>0</v>
      </c>
      <c r="S25" s="52">
        <v>0</v>
      </c>
      <c r="T25" s="52">
        <v>0</v>
      </c>
      <c r="U25" s="52">
        <v>0</v>
      </c>
      <c r="V25" s="52">
        <v>0</v>
      </c>
      <c r="W25" s="52">
        <v>0</v>
      </c>
      <c r="X25" s="52">
        <v>0</v>
      </c>
      <c r="Y25" s="52">
        <v>0</v>
      </c>
      <c r="Z25" s="52">
        <v>0</v>
      </c>
      <c r="AA25" s="52">
        <v>0</v>
      </c>
      <c r="AB25" s="52">
        <v>0</v>
      </c>
      <c r="AC25" s="52">
        <v>0</v>
      </c>
      <c r="AD25" s="52">
        <v>0</v>
      </c>
      <c r="AE25" s="52">
        <v>0</v>
      </c>
      <c r="AF25" s="52">
        <v>0</v>
      </c>
      <c r="AG25" s="52">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6467FA-5AC3-49DA-A72F-9B5ED50C02F2}"/>
</file>

<file path=customXml/itemProps2.xml><?xml version="1.0" encoding="utf-8"?>
<ds:datastoreItem xmlns:ds="http://schemas.openxmlformats.org/officeDocument/2006/customXml" ds:itemID="{82ED0F8D-01C0-494F-A055-3456B86667FE}"/>
</file>

<file path=customXml/itemProps3.xml><?xml version="1.0" encoding="utf-8"?>
<ds:datastoreItem xmlns:ds="http://schemas.openxmlformats.org/officeDocument/2006/customXml" ds:itemID="{597C6E8D-ED0D-4C67-AD40-0D11CEE4648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4</vt:i4>
      </vt:variant>
    </vt:vector>
  </HeadingPairs>
  <TitlesOfParts>
    <vt:vector size="15" baseType="lpstr">
      <vt:lpstr>About</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2016-01-26T19:10:58Z</dcterms:created>
  <dcterms:modified xsi:type="dcterms:W3CDTF">2023-12-01T20:16:54Z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