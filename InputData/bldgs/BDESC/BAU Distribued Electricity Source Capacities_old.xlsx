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 Goldstein\Desktop\EPS Models\SouthKorea EPS\InputData\bldgs\BDESC\"/>
    </mc:Choice>
  </mc:AlternateContent>
  <xr:revisionPtr revIDLastSave="0" documentId="13_ncr:1_{F362A44B-C9B9-4A80-85EA-CB42C4705753}" xr6:coauthVersionLast="47" xr6:coauthVersionMax="47" xr10:uidLastSave="{00000000-0000-0000-0000-000000000000}"/>
  <bookViews>
    <workbookView xWindow="1920" yWindow="1920" windowWidth="21735" windowHeight="13530" firstSheet="4" activeTab="5" xr2:uid="{E278155A-3DCB-429F-BA5D-C18ED997A658}"/>
  </bookViews>
  <sheets>
    <sheet name="About" sheetId="1" r:id="rId1"/>
    <sheet name="SYDEC_2020" sheetId="19" r:id="rId2"/>
    <sheet name="SYDEC_2023" sheetId="20" r:id="rId3"/>
    <sheet name="Sheet3" sheetId="21" r:id="rId4"/>
    <sheet name="Calculations" sheetId="13" r:id="rId5"/>
    <sheet name="BDESC-urban-residential" sheetId="6" r:id="rId6"/>
    <sheet name="BDESC-rural-residential" sheetId="10" r:id="rId7"/>
    <sheet name="BDESC-commercial" sheetId="7" r:id="rId8"/>
  </sheets>
  <externalReferences>
    <externalReference r:id="rId9"/>
  </externalReferences>
  <definedNames>
    <definedName name="billion_kw_to_MW" localSheetId="1">#REF!</definedName>
    <definedName name="billion_kw_to_MW" localSheetId="2">#REF!</definedName>
    <definedName name="billion_kw_to_MW">About!$B$35</definedName>
    <definedName name="gigwatt_to_megawatt" localSheetId="1">#REF!</definedName>
    <definedName name="gigwatt_to_megawatt" localSheetId="2">#REF!</definedName>
    <definedName name="gigwatt_to_megawatt">About!$B$36</definedName>
    <definedName name="GW_to_MW" localSheetId="2">#REF!</definedName>
    <definedName name="GW_to_MW">#REF!</definedName>
    <definedName name="Percent_rural" localSheetId="1">#REF!</definedName>
    <definedName name="Percent_rural" localSheetId="2">#REF!</definedName>
    <definedName name="Percent_rural">About!$A$33</definedName>
    <definedName name="Percent_Urban" localSheetId="1">#REF!</definedName>
    <definedName name="Percent_Urban" localSheetId="2">#REF!</definedName>
    <definedName name="Percent_Urban">About!$A$32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" i="13" l="1"/>
  <c r="B2" i="13"/>
  <c r="B3" i="13"/>
  <c r="B4" i="13"/>
  <c r="B5" i="13"/>
  <c r="O31" i="13"/>
  <c r="P31" i="13" s="1"/>
  <c r="Q31" i="13" s="1"/>
  <c r="R31" i="13" s="1"/>
  <c r="S31" i="13" s="1"/>
  <c r="T31" i="13" s="1"/>
  <c r="V31" i="13" s="1"/>
  <c r="W31" i="13" s="1"/>
  <c r="X31" i="13" s="1"/>
  <c r="Y31" i="13" s="1"/>
  <c r="Z31" i="13" s="1"/>
  <c r="AA31" i="13" s="1"/>
  <c r="AB31" i="13" s="1"/>
  <c r="AC31" i="13" s="1"/>
  <c r="AD31" i="13" s="1"/>
  <c r="AE31" i="13" s="1"/>
  <c r="AF31" i="13" s="1"/>
  <c r="AG31" i="13" s="1"/>
  <c r="AH31" i="13" s="1"/>
  <c r="K31" i="13"/>
  <c r="L31" i="13" s="1"/>
  <c r="M31" i="13" s="1"/>
  <c r="N31" i="13" s="1"/>
  <c r="H31" i="13"/>
  <c r="I31" i="13" s="1"/>
  <c r="J31" i="13" s="1"/>
  <c r="O11" i="13"/>
  <c r="P11" i="13" s="1"/>
  <c r="Q11" i="13" s="1"/>
  <c r="R11" i="13" s="1"/>
  <c r="S11" i="13" s="1"/>
  <c r="T11" i="13" s="1"/>
  <c r="V11" i="13" s="1"/>
  <c r="W11" i="13" s="1"/>
  <c r="X11" i="13" s="1"/>
  <c r="Y11" i="13" s="1"/>
  <c r="Z11" i="13" s="1"/>
  <c r="AA11" i="13" s="1"/>
  <c r="AB11" i="13" s="1"/>
  <c r="AC11" i="13" s="1"/>
  <c r="AD11" i="13" s="1"/>
  <c r="AE11" i="13" s="1"/>
  <c r="AF11" i="13" s="1"/>
  <c r="AG11" i="13" s="1"/>
  <c r="AH11" i="13" s="1"/>
  <c r="E7" i="10"/>
  <c r="E8" i="10"/>
  <c r="B8" i="10"/>
  <c r="B6" i="10"/>
  <c r="E8" i="6"/>
  <c r="B6" i="6"/>
  <c r="C1" i="13"/>
  <c r="D1" i="13"/>
  <c r="E1" i="13"/>
  <c r="F1" i="13"/>
  <c r="G1" i="13"/>
  <c r="H1" i="13"/>
  <c r="I1" i="13"/>
  <c r="C2" i="13"/>
  <c r="D2" i="13"/>
  <c r="E2" i="13"/>
  <c r="F2" i="13"/>
  <c r="G2" i="13"/>
  <c r="H52" i="13" s="1"/>
  <c r="I52" i="13" s="1"/>
  <c r="J52" i="13" s="1"/>
  <c r="H2" i="13"/>
  <c r="K52" i="13" s="1"/>
  <c r="L52" i="13" s="1"/>
  <c r="M52" i="13" s="1"/>
  <c r="N52" i="13" s="1"/>
  <c r="I2" i="13"/>
  <c r="O52" i="13" s="1"/>
  <c r="P52" i="13" s="1"/>
  <c r="Q52" i="13" s="1"/>
  <c r="R52" i="13" s="1"/>
  <c r="S52" i="13" s="1"/>
  <c r="T52" i="13" s="1"/>
  <c r="U52" i="13" s="1"/>
  <c r="V52" i="13" s="1"/>
  <c r="W52" i="13" s="1"/>
  <c r="X52" i="13" s="1"/>
  <c r="Y52" i="13" s="1"/>
  <c r="Z52" i="13" s="1"/>
  <c r="AA52" i="13" s="1"/>
  <c r="AB52" i="13" s="1"/>
  <c r="AC52" i="13" s="1"/>
  <c r="AD52" i="13" s="1"/>
  <c r="AE52" i="13" s="1"/>
  <c r="AF52" i="13" s="1"/>
  <c r="AG52" i="13" s="1"/>
  <c r="AH52" i="13" s="1"/>
  <c r="C3" i="13"/>
  <c r="D3" i="13"/>
  <c r="E3" i="13"/>
  <c r="F3" i="13"/>
  <c r="G3" i="13"/>
  <c r="H11" i="13" s="1"/>
  <c r="H3" i="13"/>
  <c r="K11" i="13" s="1"/>
  <c r="L11" i="13" s="1"/>
  <c r="M11" i="13" s="1"/>
  <c r="N11" i="13" s="1"/>
  <c r="I3" i="13"/>
  <c r="C4" i="13"/>
  <c r="D4" i="13"/>
  <c r="E4" i="13"/>
  <c r="F4" i="13"/>
  <c r="G4" i="13"/>
  <c r="H4" i="13"/>
  <c r="I4" i="13"/>
  <c r="C5" i="13"/>
  <c r="D5" i="13"/>
  <c r="E5" i="13"/>
  <c r="F5" i="13"/>
  <c r="G5" i="13"/>
  <c r="H5" i="13"/>
  <c r="I5" i="13"/>
  <c r="C6" i="13"/>
  <c r="D6" i="13"/>
  <c r="E6" i="13"/>
  <c r="F6" i="13"/>
  <c r="G6" i="13"/>
  <c r="H6" i="13"/>
  <c r="I6" i="13"/>
  <c r="B6" i="13"/>
  <c r="F58" i="21"/>
  <c r="F59" i="21"/>
  <c r="G59" i="21"/>
  <c r="H59" i="21"/>
  <c r="F60" i="21"/>
  <c r="G60" i="21"/>
  <c r="H60" i="21"/>
  <c r="F61" i="21"/>
  <c r="G61" i="21"/>
  <c r="H61" i="21"/>
  <c r="F62" i="21"/>
  <c r="G62" i="21"/>
  <c r="H62" i="21"/>
  <c r="G58" i="21"/>
  <c r="H58" i="21"/>
  <c r="G36" i="13"/>
  <c r="E6" i="10" s="1"/>
  <c r="G16" i="13"/>
  <c r="D58" i="13"/>
  <c r="B7" i="7" s="1"/>
  <c r="D59" i="13"/>
  <c r="B8" i="7" s="1"/>
  <c r="D57" i="13"/>
  <c r="B6" i="7" s="1"/>
  <c r="D37" i="13"/>
  <c r="B7" i="10" s="1"/>
  <c r="D38" i="13"/>
  <c r="D36" i="13"/>
  <c r="D18" i="13"/>
  <c r="B8" i="6" s="1"/>
  <c r="D17" i="13"/>
  <c r="B7" i="6" s="1"/>
  <c r="D16" i="13"/>
  <c r="D18" i="20"/>
  <c r="C18" i="20"/>
  <c r="B18" i="20"/>
  <c r="D17" i="20"/>
  <c r="C17" i="20"/>
  <c r="B17" i="20"/>
  <c r="D16" i="20"/>
  <c r="C16" i="20"/>
  <c r="B16" i="20"/>
  <c r="D15" i="20"/>
  <c r="C15" i="20"/>
  <c r="B15" i="20"/>
  <c r="D14" i="20"/>
  <c r="C14" i="20"/>
  <c r="B14" i="20"/>
  <c r="D13" i="20"/>
  <c r="C13" i="20"/>
  <c r="B13" i="20"/>
  <c r="D12" i="20"/>
  <c r="C12" i="20"/>
  <c r="B12" i="20"/>
  <c r="D11" i="20"/>
  <c r="C11" i="20"/>
  <c r="B11" i="20"/>
  <c r="D10" i="20"/>
  <c r="C10" i="20"/>
  <c r="B10" i="20"/>
  <c r="D9" i="20"/>
  <c r="C9" i="20"/>
  <c r="B9" i="20"/>
  <c r="D8" i="20"/>
  <c r="G59" i="13" s="1"/>
  <c r="E8" i="7" s="1"/>
  <c r="C8" i="20"/>
  <c r="G38" i="13" s="1"/>
  <c r="B8" i="20"/>
  <c r="G18" i="13" s="1"/>
  <c r="D7" i="20"/>
  <c r="G58" i="13" s="1"/>
  <c r="E7" i="7" s="1"/>
  <c r="C7" i="20"/>
  <c r="G37" i="13" s="1"/>
  <c r="B7" i="20"/>
  <c r="G17" i="13" s="1"/>
  <c r="E7" i="6" s="1"/>
  <c r="D6" i="20"/>
  <c r="G57" i="13" s="1"/>
  <c r="E6" i="7" s="1"/>
  <c r="C6" i="20"/>
  <c r="B6" i="20"/>
  <c r="D5" i="20"/>
  <c r="C5" i="20"/>
  <c r="B5" i="20"/>
  <c r="D3" i="20"/>
  <c r="C3" i="20"/>
  <c r="B3" i="20"/>
  <c r="D2" i="20"/>
  <c r="C2" i="20"/>
  <c r="B2" i="20"/>
  <c r="H18" i="13" l="1"/>
  <c r="I11" i="13"/>
  <c r="J11" i="13" s="1"/>
  <c r="H16" i="13"/>
  <c r="F6" i="6" s="1"/>
  <c r="H37" i="13"/>
  <c r="I37" i="13" s="1"/>
  <c r="H38" i="13"/>
  <c r="F8" i="10" s="1"/>
  <c r="F8" i="6"/>
  <c r="I38" i="13"/>
  <c r="I16" i="13"/>
  <c r="E6" i="6"/>
  <c r="H17" i="13"/>
  <c r="H36" i="13"/>
  <c r="E16" i="13"/>
  <c r="C6" i="6" s="1"/>
  <c r="F36" i="13"/>
  <c r="D6" i="10" s="1"/>
  <c r="F17" i="13"/>
  <c r="D7" i="6" s="1"/>
  <c r="E17" i="13"/>
  <c r="C7" i="6" s="1"/>
  <c r="E37" i="13"/>
  <c r="C7" i="10" s="1"/>
  <c r="F37" i="13"/>
  <c r="D7" i="10" s="1"/>
  <c r="H58" i="13"/>
  <c r="E58" i="13"/>
  <c r="C7" i="7" s="1"/>
  <c r="F58" i="13"/>
  <c r="D7" i="7" s="1"/>
  <c r="E18" i="13"/>
  <c r="C8" i="6" s="1"/>
  <c r="F18" i="13"/>
  <c r="D8" i="6" s="1"/>
  <c r="E38" i="13"/>
  <c r="C8" i="10" s="1"/>
  <c r="F38" i="13"/>
  <c r="D8" i="10" s="1"/>
  <c r="E59" i="13"/>
  <c r="C8" i="7" s="1"/>
  <c r="F59" i="13"/>
  <c r="D8" i="7" s="1"/>
  <c r="H59" i="13"/>
  <c r="H57" i="13"/>
  <c r="E57" i="13"/>
  <c r="C6" i="7" s="1"/>
  <c r="F57" i="13"/>
  <c r="D6" i="7" s="1"/>
  <c r="E36" i="13"/>
  <c r="C6" i="10" s="1"/>
  <c r="F16" i="13"/>
  <c r="D6" i="6" s="1"/>
  <c r="F7" i="10" l="1"/>
  <c r="I18" i="13"/>
  <c r="J37" i="13"/>
  <c r="G7" i="10"/>
  <c r="I58" i="13"/>
  <c r="AX58" i="13" s="1"/>
  <c r="F7" i="7"/>
  <c r="I36" i="13"/>
  <c r="F6" i="10"/>
  <c r="I57" i="13"/>
  <c r="AX57" i="13" s="1"/>
  <c r="F6" i="7"/>
  <c r="I17" i="13"/>
  <c r="F7" i="6"/>
  <c r="J16" i="13"/>
  <c r="G6" i="6"/>
  <c r="I59" i="13"/>
  <c r="F8" i="7"/>
  <c r="J38" i="13"/>
  <c r="G8" i="10"/>
  <c r="BC63" i="13"/>
  <c r="BB63" i="13"/>
  <c r="BA63" i="13"/>
  <c r="AZ63" i="13"/>
  <c r="AY63" i="13"/>
  <c r="AX63" i="13"/>
  <c r="BC55" i="13"/>
  <c r="BB55" i="13"/>
  <c r="BA55" i="13"/>
  <c r="AZ55" i="13"/>
  <c r="AY55" i="13"/>
  <c r="AX55" i="13"/>
  <c r="BC56" i="13"/>
  <c r="BC60" i="13"/>
  <c r="BC61" i="13"/>
  <c r="BC62" i="13"/>
  <c r="BB56" i="13"/>
  <c r="BB60" i="13"/>
  <c r="BB61" i="13"/>
  <c r="BB62" i="13"/>
  <c r="BA56" i="13"/>
  <c r="BA60" i="13"/>
  <c r="BA61" i="13"/>
  <c r="BA62" i="13"/>
  <c r="AZ56" i="13"/>
  <c r="AZ60" i="13"/>
  <c r="AZ61" i="13"/>
  <c r="AZ62" i="13"/>
  <c r="AY56" i="13"/>
  <c r="AY60" i="13"/>
  <c r="AY61" i="13"/>
  <c r="AY62" i="13"/>
  <c r="AX56" i="13"/>
  <c r="AX60" i="13"/>
  <c r="AX61" i="13"/>
  <c r="AX62" i="13"/>
  <c r="AX64" i="13"/>
  <c r="AW63" i="13"/>
  <c r="AW59" i="13"/>
  <c r="AW58" i="13"/>
  <c r="AW55" i="13"/>
  <c r="J18" i="13" l="1"/>
  <c r="G8" i="6"/>
  <c r="K38" i="13"/>
  <c r="H8" i="10"/>
  <c r="J59" i="13"/>
  <c r="G8" i="7"/>
  <c r="AX59" i="13"/>
  <c r="H6" i="6"/>
  <c r="K16" i="13"/>
  <c r="G7" i="6"/>
  <c r="J17" i="13"/>
  <c r="J57" i="13"/>
  <c r="G6" i="7"/>
  <c r="G6" i="10"/>
  <c r="J36" i="13"/>
  <c r="J58" i="13"/>
  <c r="G7" i="7"/>
  <c r="K37" i="13"/>
  <c r="H7" i="10"/>
  <c r="B35" i="1"/>
  <c r="K18" i="13" l="1"/>
  <c r="H8" i="6"/>
  <c r="L37" i="13"/>
  <c r="I7" i="10"/>
  <c r="K58" i="13"/>
  <c r="H7" i="7"/>
  <c r="K36" i="13"/>
  <c r="H6" i="10"/>
  <c r="K57" i="13"/>
  <c r="H6" i="7"/>
  <c r="H7" i="6"/>
  <c r="K17" i="13"/>
  <c r="I6" i="6"/>
  <c r="L16" i="13"/>
  <c r="K59" i="13"/>
  <c r="H8" i="7"/>
  <c r="L38" i="13"/>
  <c r="I8" i="10"/>
  <c r="A33" i="1"/>
  <c r="A32" i="1"/>
  <c r="L18" i="13" l="1"/>
  <c r="I8" i="6"/>
  <c r="M38" i="13"/>
  <c r="J8" i="10"/>
  <c r="L59" i="13"/>
  <c r="I8" i="7"/>
  <c r="M16" i="13"/>
  <c r="J6" i="6"/>
  <c r="L57" i="13"/>
  <c r="I6" i="7"/>
  <c r="L17" i="13"/>
  <c r="I7" i="6"/>
  <c r="L36" i="13"/>
  <c r="I6" i="10"/>
  <c r="L58" i="13"/>
  <c r="I7" i="7"/>
  <c r="M37" i="13"/>
  <c r="J7" i="10"/>
  <c r="M18" i="13" l="1"/>
  <c r="J8" i="6"/>
  <c r="N37" i="13"/>
  <c r="K7" i="10"/>
  <c r="M58" i="13"/>
  <c r="J7" i="7"/>
  <c r="J6" i="10"/>
  <c r="M36" i="13"/>
  <c r="M17" i="13"/>
  <c r="J7" i="6"/>
  <c r="M57" i="13"/>
  <c r="J6" i="7"/>
  <c r="K6" i="6"/>
  <c r="N16" i="13"/>
  <c r="M59" i="13"/>
  <c r="J8" i="7"/>
  <c r="N38" i="13"/>
  <c r="K8" i="10"/>
  <c r="N18" i="13" l="1"/>
  <c r="K8" i="6"/>
  <c r="O38" i="13"/>
  <c r="L8" i="10"/>
  <c r="L6" i="6"/>
  <c r="O16" i="13"/>
  <c r="N59" i="13"/>
  <c r="K8" i="7"/>
  <c r="N57" i="13"/>
  <c r="K6" i="7"/>
  <c r="N17" i="13"/>
  <c r="K7" i="6"/>
  <c r="K6" i="10"/>
  <c r="N36" i="13"/>
  <c r="N58" i="13"/>
  <c r="K7" i="7"/>
  <c r="O37" i="13"/>
  <c r="L7" i="10"/>
  <c r="O18" i="13" l="1"/>
  <c r="L8" i="6"/>
  <c r="P37" i="13"/>
  <c r="M7" i="10"/>
  <c r="O58" i="13"/>
  <c r="L7" i="7"/>
  <c r="AY58" i="13"/>
  <c r="O57" i="13"/>
  <c r="L6" i="7"/>
  <c r="AY57" i="13"/>
  <c r="O36" i="13"/>
  <c r="L6" i="10"/>
  <c r="O17" i="13"/>
  <c r="L7" i="6"/>
  <c r="O59" i="13"/>
  <c r="L8" i="7"/>
  <c r="AY59" i="13"/>
  <c r="M6" i="6"/>
  <c r="P16" i="13"/>
  <c r="P38" i="13"/>
  <c r="M8" i="10"/>
  <c r="P18" i="13" l="1"/>
  <c r="M8" i="6"/>
  <c r="P59" i="13"/>
  <c r="M8" i="7"/>
  <c r="P17" i="13"/>
  <c r="M7" i="6"/>
  <c r="P36" i="13"/>
  <c r="M6" i="10"/>
  <c r="P57" i="13"/>
  <c r="M6" i="7"/>
  <c r="P58" i="13"/>
  <c r="M7" i="7"/>
  <c r="Q38" i="13"/>
  <c r="N8" i="10"/>
  <c r="N6" i="6"/>
  <c r="Q16" i="13"/>
  <c r="Q37" i="13"/>
  <c r="N7" i="10"/>
  <c r="Q18" i="13" l="1"/>
  <c r="N8" i="6"/>
  <c r="R16" i="13"/>
  <c r="O6" i="6"/>
  <c r="R37" i="13"/>
  <c r="O7" i="10"/>
  <c r="R38" i="13"/>
  <c r="O8" i="10"/>
  <c r="Q58" i="13"/>
  <c r="N7" i="7"/>
  <c r="Q57" i="13"/>
  <c r="N6" i="7"/>
  <c r="Q36" i="13"/>
  <c r="N6" i="10"/>
  <c r="Q17" i="13"/>
  <c r="N7" i="6"/>
  <c r="Q59" i="13"/>
  <c r="N8" i="7"/>
  <c r="R18" i="13" l="1"/>
  <c r="O8" i="6"/>
  <c r="R59" i="13"/>
  <c r="O8" i="7"/>
  <c r="R17" i="13"/>
  <c r="O7" i="6"/>
  <c r="R36" i="13"/>
  <c r="O6" i="10"/>
  <c r="R57" i="13"/>
  <c r="O6" i="7"/>
  <c r="R58" i="13"/>
  <c r="O7" i="7"/>
  <c r="S38" i="13"/>
  <c r="P8" i="10"/>
  <c r="S37" i="13"/>
  <c r="P7" i="10"/>
  <c r="P6" i="6"/>
  <c r="S16" i="13"/>
  <c r="P8" i="6" l="1"/>
  <c r="S18" i="13"/>
  <c r="T37" i="13"/>
  <c r="Q7" i="10"/>
  <c r="T16" i="13"/>
  <c r="Q6" i="6"/>
  <c r="T38" i="13"/>
  <c r="Q8" i="10"/>
  <c r="S58" i="13"/>
  <c r="P7" i="7"/>
  <c r="S57" i="13"/>
  <c r="P6" i="7"/>
  <c r="S36" i="13"/>
  <c r="P6" i="10"/>
  <c r="S17" i="13"/>
  <c r="P7" i="6"/>
  <c r="S59" i="13"/>
  <c r="P8" i="7"/>
  <c r="T18" i="13" l="1"/>
  <c r="Q8" i="6"/>
  <c r="T57" i="13"/>
  <c r="Q6" i="7"/>
  <c r="AZ57" i="13"/>
  <c r="T58" i="13"/>
  <c r="Q7" i="7"/>
  <c r="AZ58" i="13"/>
  <c r="T59" i="13"/>
  <c r="Q8" i="7"/>
  <c r="AZ59" i="13"/>
  <c r="T17" i="13"/>
  <c r="Q7" i="6"/>
  <c r="T36" i="13"/>
  <c r="Q6" i="10"/>
  <c r="U38" i="13"/>
  <c r="R8" i="10"/>
  <c r="U16" i="13"/>
  <c r="R6" i="6"/>
  <c r="U37" i="13"/>
  <c r="R7" i="10"/>
  <c r="U18" i="13" l="1"/>
  <c r="R8" i="6"/>
  <c r="V16" i="13"/>
  <c r="S6" i="6"/>
  <c r="V38" i="13"/>
  <c r="S8" i="10"/>
  <c r="U36" i="13"/>
  <c r="R6" i="10"/>
  <c r="U17" i="13"/>
  <c r="R7" i="6"/>
  <c r="U59" i="13"/>
  <c r="R8" i="7"/>
  <c r="U58" i="13"/>
  <c r="R7" i="7"/>
  <c r="V37" i="13"/>
  <c r="S7" i="10"/>
  <c r="U57" i="13"/>
  <c r="R6" i="7"/>
  <c r="S8" i="6" l="1"/>
  <c r="V18" i="13"/>
  <c r="V59" i="13"/>
  <c r="S8" i="7"/>
  <c r="V57" i="13"/>
  <c r="S6" i="7"/>
  <c r="W37" i="13"/>
  <c r="T7" i="10"/>
  <c r="V58" i="13"/>
  <c r="S7" i="7"/>
  <c r="V17" i="13"/>
  <c r="S7" i="6"/>
  <c r="V36" i="13"/>
  <c r="S6" i="10"/>
  <c r="W38" i="13"/>
  <c r="T8" i="10"/>
  <c r="W16" i="13"/>
  <c r="T6" i="6"/>
  <c r="W18" i="13" l="1"/>
  <c r="T8" i="6"/>
  <c r="X16" i="13"/>
  <c r="U6" i="6"/>
  <c r="X38" i="13"/>
  <c r="U8" i="10"/>
  <c r="W36" i="13"/>
  <c r="T6" i="10"/>
  <c r="W17" i="13"/>
  <c r="T7" i="6"/>
  <c r="W58" i="13"/>
  <c r="T7" i="7"/>
  <c r="X37" i="13"/>
  <c r="U7" i="10"/>
  <c r="W57" i="13"/>
  <c r="T6" i="7"/>
  <c r="W59" i="13"/>
  <c r="T8" i="7"/>
  <c r="U8" i="6" l="1"/>
  <c r="X18" i="13"/>
  <c r="X59" i="13"/>
  <c r="U8" i="7"/>
  <c r="X57" i="13"/>
  <c r="U6" i="7"/>
  <c r="Y37" i="13"/>
  <c r="V7" i="10"/>
  <c r="X58" i="13"/>
  <c r="U7" i="7"/>
  <c r="X17" i="13"/>
  <c r="U7" i="6"/>
  <c r="X36" i="13"/>
  <c r="U6" i="10"/>
  <c r="Y38" i="13"/>
  <c r="V8" i="10"/>
  <c r="Y16" i="13"/>
  <c r="V6" i="6"/>
  <c r="Y18" i="13" l="1"/>
  <c r="V8" i="6"/>
  <c r="Z16" i="13"/>
  <c r="W6" i="6"/>
  <c r="Z38" i="13"/>
  <c r="W8" i="10"/>
  <c r="Y36" i="13"/>
  <c r="V6" i="10"/>
  <c r="Y17" i="13"/>
  <c r="V7" i="6"/>
  <c r="Y58" i="13"/>
  <c r="V7" i="7"/>
  <c r="BA58" i="13"/>
  <c r="Z37" i="13"/>
  <c r="W7" i="10"/>
  <c r="Y57" i="13"/>
  <c r="V6" i="7"/>
  <c r="BA57" i="13"/>
  <c r="Y59" i="13"/>
  <c r="V8" i="7"/>
  <c r="BA59" i="13"/>
  <c r="Z18" i="13" l="1"/>
  <c r="W8" i="6"/>
  <c r="Z57" i="13"/>
  <c r="W6" i="7"/>
  <c r="AA37" i="13"/>
  <c r="X7" i="10"/>
  <c r="Z58" i="13"/>
  <c r="W7" i="7"/>
  <c r="Z17" i="13"/>
  <c r="W7" i="6"/>
  <c r="Z36" i="13"/>
  <c r="W6" i="10"/>
  <c r="AA38" i="13"/>
  <c r="X8" i="10"/>
  <c r="Z59" i="13"/>
  <c r="W8" i="7"/>
  <c r="AA16" i="13"/>
  <c r="X6" i="6"/>
  <c r="AA18" i="13" l="1"/>
  <c r="X8" i="6"/>
  <c r="AA36" i="13"/>
  <c r="X6" i="10"/>
  <c r="AB16" i="13"/>
  <c r="Y6" i="6"/>
  <c r="AA59" i="13"/>
  <c r="X8" i="7"/>
  <c r="AB38" i="13"/>
  <c r="Y8" i="10"/>
  <c r="AA17" i="13"/>
  <c r="X7" i="6"/>
  <c r="AA58" i="13"/>
  <c r="X7" i="7"/>
  <c r="AB37" i="13"/>
  <c r="Y7" i="10"/>
  <c r="AA57" i="13"/>
  <c r="X6" i="7"/>
  <c r="AB18" i="13" l="1"/>
  <c r="Y8" i="6"/>
  <c r="AB57" i="13"/>
  <c r="Y6" i="7"/>
  <c r="AC37" i="13"/>
  <c r="Z7" i="10"/>
  <c r="AB58" i="13"/>
  <c r="Y7" i="7"/>
  <c r="AB17" i="13"/>
  <c r="Y7" i="6"/>
  <c r="AC38" i="13"/>
  <c r="Z8" i="10"/>
  <c r="AB59" i="13"/>
  <c r="Y8" i="7"/>
  <c r="AC16" i="13"/>
  <c r="Z6" i="6"/>
  <c r="AB36" i="13"/>
  <c r="Y6" i="10"/>
  <c r="AC18" i="13" l="1"/>
  <c r="Z8" i="6"/>
  <c r="AC36" i="13"/>
  <c r="Z6" i="10"/>
  <c r="AD16" i="13"/>
  <c r="AA6" i="6"/>
  <c r="AC59" i="13"/>
  <c r="Z8" i="7"/>
  <c r="AD38" i="13"/>
  <c r="AA8" i="10"/>
  <c r="AC17" i="13"/>
  <c r="Z7" i="6"/>
  <c r="AC58" i="13"/>
  <c r="Z7" i="7"/>
  <c r="AD37" i="13"/>
  <c r="AA7" i="10"/>
  <c r="AC57" i="13"/>
  <c r="Z6" i="7"/>
  <c r="AD18" i="13" l="1"/>
  <c r="AA8" i="6"/>
  <c r="AD57" i="13"/>
  <c r="AA6" i="7"/>
  <c r="BB57" i="13"/>
  <c r="AE37" i="13"/>
  <c r="AB7" i="10"/>
  <c r="AD58" i="13"/>
  <c r="AA7" i="7"/>
  <c r="BB58" i="13"/>
  <c r="AD17" i="13"/>
  <c r="AA7" i="6"/>
  <c r="AE38" i="13"/>
  <c r="AB8" i="10"/>
  <c r="AD59" i="13"/>
  <c r="AA8" i="7"/>
  <c r="BB59" i="13"/>
  <c r="AE16" i="13"/>
  <c r="AB6" i="6"/>
  <c r="AD36" i="13"/>
  <c r="AA6" i="10"/>
  <c r="AE18" i="13" l="1"/>
  <c r="AB8" i="6"/>
  <c r="AE59" i="13"/>
  <c r="AB8" i="7"/>
  <c r="AF38" i="13"/>
  <c r="AC8" i="10"/>
  <c r="AF16" i="13"/>
  <c r="AC6" i="6"/>
  <c r="AE17" i="13"/>
  <c r="AB7" i="6"/>
  <c r="AE58" i="13"/>
  <c r="AB7" i="7"/>
  <c r="AF37" i="13"/>
  <c r="AC7" i="10"/>
  <c r="AE57" i="13"/>
  <c r="AB6" i="7"/>
  <c r="AE36" i="13"/>
  <c r="AB6" i="10"/>
  <c r="AF18" i="13" l="1"/>
  <c r="AC8" i="6"/>
  <c r="AF36" i="13"/>
  <c r="AC6" i="10"/>
  <c r="AF57" i="13"/>
  <c r="AC6" i="7"/>
  <c r="AG37" i="13"/>
  <c r="AD7" i="10"/>
  <c r="AF58" i="13"/>
  <c r="AC7" i="7"/>
  <c r="AF17" i="13"/>
  <c r="AC7" i="6"/>
  <c r="AG16" i="13"/>
  <c r="AD6" i="6"/>
  <c r="AG38" i="13"/>
  <c r="AD8" i="10"/>
  <c r="AF59" i="13"/>
  <c r="AC8" i="7"/>
  <c r="AG18" i="13" l="1"/>
  <c r="AD8" i="6"/>
  <c r="AG59" i="13"/>
  <c r="AD8" i="7"/>
  <c r="AH38" i="13"/>
  <c r="AF8" i="10" s="1"/>
  <c r="AE8" i="10"/>
  <c r="AH16" i="13"/>
  <c r="AF6" i="6" s="1"/>
  <c r="AE6" i="6"/>
  <c r="AG17" i="13"/>
  <c r="AD7" i="6"/>
  <c r="AG58" i="13"/>
  <c r="AD7" i="7"/>
  <c r="AH37" i="13"/>
  <c r="AF7" i="10" s="1"/>
  <c r="AE7" i="10"/>
  <c r="AG57" i="13"/>
  <c r="AD6" i="7"/>
  <c r="AG36" i="13"/>
  <c r="AD6" i="10"/>
  <c r="AH18" i="13" l="1"/>
  <c r="AF8" i="6" s="1"/>
  <c r="AE8" i="6"/>
  <c r="AH36" i="13"/>
  <c r="AF6" i="10" s="1"/>
  <c r="AE6" i="10"/>
  <c r="AH57" i="13"/>
  <c r="AE6" i="7"/>
  <c r="AH58" i="13"/>
  <c r="AE7" i="7"/>
  <c r="AH17" i="13"/>
  <c r="AF7" i="6" s="1"/>
  <c r="AE7" i="6"/>
  <c r="AH59" i="13"/>
  <c r="AE8" i="7"/>
  <c r="AF8" i="7" l="1"/>
  <c r="BC59" i="13"/>
  <c r="AF7" i="7"/>
  <c r="BC58" i="13"/>
  <c r="AF6" i="7"/>
  <c r="BC57" i="13"/>
</calcChain>
</file>

<file path=xl/sharedStrings.xml><?xml version="1.0" encoding="utf-8"?>
<sst xmlns="http://schemas.openxmlformats.org/spreadsheetml/2006/main" count="261" uniqueCount="81">
  <si>
    <t>Energy Information Administration</t>
  </si>
  <si>
    <t>natural gas nonpeaker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</si>
  <si>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</si>
  <si>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</si>
  <si>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</si>
  <si>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</si>
  <si>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</si>
  <si>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</si>
  <si>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</si>
  <si>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</si>
  <si>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</si>
  <si>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Urban</t>
  </si>
  <si>
    <t>Rural</t>
  </si>
  <si>
    <t>Sources:</t>
  </si>
  <si>
    <t>Urban vs. Rural Residential Households</t>
  </si>
  <si>
    <t>Residential Energy Consumption Survey (RECS)</t>
  </si>
  <si>
    <t>Table HC2.1</t>
  </si>
  <si>
    <t>lignite</t>
  </si>
  <si>
    <t>hard coal</t>
  </si>
  <si>
    <t>onshore wind</t>
  </si>
  <si>
    <t>offshore wind</t>
  </si>
  <si>
    <t>Urban Rural Split</t>
  </si>
  <si>
    <t>crude oil</t>
  </si>
  <si>
    <t>heavy or residual fuel oil</t>
  </si>
  <si>
    <t>municipal solid waste</t>
  </si>
  <si>
    <t>MW</t>
  </si>
  <si>
    <t>Table 21 and Table 22</t>
  </si>
  <si>
    <t>Conversion from billion kilowatthours to megawatthours</t>
  </si>
  <si>
    <t>BDEQ-BDESC-urban-residential</t>
  </si>
  <si>
    <t>BDEQ-BDESC-rural-residential</t>
  </si>
  <si>
    <t>BDEQ-BDESC-commercial</t>
  </si>
  <si>
    <t>Conversion from gigawatts to megawatts</t>
  </si>
  <si>
    <t>https://www.eia.gov/outlooks/aeo/data/browser/#/?id=32-AEO2021&amp;region=0-0&amp;cases=highogs&amp;start=2019&amp;end=2050&amp;f=A&amp;sourcekey=0</t>
  </si>
  <si>
    <t>https://www.eia.gov/outlooks/aeo/data/browser/#/?id=30-AEO2021&amp;region=0-0&amp;cases=highogs&amp;start=2019&amp;end=2050&amp;f=A&amp;sourcekey=0</t>
  </si>
  <si>
    <t>Annual Energy Outlook 2021</t>
  </si>
  <si>
    <t>https://www.eia.gov/consumption/residential/data/2020/hc/xls/HC%202.1.xlsx</t>
  </si>
  <si>
    <t>https://www.eia.gov/consumption/residential/data/2020/?src=%E2%80%B9%20Consumption%20%20%20%20%20%20Residential%20Energy%20Consumption%20Survey%20(RECS)-f1</t>
  </si>
  <si>
    <t>Distributed Generation and Capacity - 2020</t>
  </si>
  <si>
    <t>Annual Energy Outlook 2022</t>
  </si>
  <si>
    <t>Distributed Generation and Capacity - 2021-2050</t>
  </si>
  <si>
    <t>https://www.eia.gov/outlooks/aeo/data/browser/#/?id=30-AEO2022&amp;sourcekey=0</t>
  </si>
  <si>
    <t>https://www.eia.gov/outlooks/aeo/data/browser/#/?id=32-AEO2022&amp;cases=ref2022&amp;sourcekey=0</t>
  </si>
  <si>
    <t>We adjust EIA's projections by the amount of distributed solar we expect to be deployed</t>
  </si>
  <si>
    <t>due to the Inflation Reduction Act (see tab for methodology).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</si>
  <si>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</si>
  <si>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</si>
  <si>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</si>
  <si>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</si>
  <si>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</si>
  <si>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</si>
  <si>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</si>
  <si>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</si>
  <si>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</si>
  <si>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BDESC BAU Distributed Electricity Source Capacity</t>
  </si>
  <si>
    <t>urban residential</t>
  </si>
  <si>
    <t>rural residential</t>
  </si>
  <si>
    <t>commercial</t>
  </si>
  <si>
    <t>2020(MW)</t>
    <phoneticPr fontId="27" type="noConversion"/>
  </si>
  <si>
    <t>Generating Capacity (MW)</t>
    <phoneticPr fontId="27" type="noConversion"/>
  </si>
  <si>
    <t>forecast</t>
    <phoneticPr fontId="27" type="noConversion"/>
  </si>
  <si>
    <t>제 10차 전력수급기본 계획</t>
    <phoneticPr fontId="27" type="noConversion"/>
  </si>
  <si>
    <t>제11차 전력수급기본계획</t>
    <phoneticPr fontId="27" type="noConversion"/>
  </si>
  <si>
    <t>구분</t>
  </si>
  <si>
    <t>신재생 등(사업용)</t>
  </si>
  <si>
    <t>자가용 신재생</t>
  </si>
  <si>
    <t>상용자가</t>
  </si>
  <si>
    <t>합계</t>
  </si>
  <si>
    <t>’23→’26 (3y)</t>
  </si>
  <si>
    <t>’26→’30 (4y)</t>
  </si>
  <si>
    <t>’30→’36 (6y)</t>
  </si>
  <si>
    <t>집단에너지</t>
  </si>
  <si>
    <t>commercial</t>
    <phoneticPr fontId="27" type="noConversion"/>
  </si>
  <si>
    <t>증가율</t>
    <phoneticPr fontId="27" type="noConversion"/>
  </si>
  <si>
    <t>residential</t>
    <phoneticPr fontId="27" type="noConversion"/>
  </si>
  <si>
    <t>Total</t>
  </si>
  <si>
    <t>Category]</t>
  </si>
  <si>
    <t>Renewable energy (for business use)</t>
  </si>
  <si>
    <t>Renewable energy for personal use</t>
  </si>
  <si>
    <t>Commercial use</t>
  </si>
  <si>
    <t>Community energy</t>
  </si>
  <si>
    <t>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</si>
</sst>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0.000E+00"/>
    <numFmt numFmtId="166" formatCode="_(* #,##0_);_(* \(#,##0\);_(* &quot;-&quot;??_);_(@_)"/>
    <numFmt numFmtId="167" formatCode="0_);[Red]\(0\)"/>
  </numFmts>
  <fonts count="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rgb="FFFF0000"/>
      <name val="Calibri"/>
      <family val="3"/>
      <charset val="129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color rgb="FF1F1F1F"/>
      <name val="Inherit"/>
    </font>
  </fonts>
  <fills count="3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Protection="0">
      <alignment wrapText="1"/>
    </xf>
    <xf numFmtId="0" fontId="5" fillId="0" borderId="0" applyNumberFormat="0" applyProtection="0">
      <alignment horizontal="left"/>
    </xf>
    <xf numFmtId="0" fontId="3" fillId="0" borderId="2" applyNumberFormat="0" applyProtection="0">
      <alignment wrapText="1"/>
    </xf>
    <xf numFmtId="0" fontId="2" fillId="0" borderId="3" applyNumberFormat="0" applyFont="0" applyProtection="0">
      <alignment wrapText="1"/>
    </xf>
    <xf numFmtId="0" fontId="2" fillId="0" borderId="4" applyNumberFormat="0" applyProtection="0">
      <alignment wrapText="1"/>
    </xf>
    <xf numFmtId="0" fontId="2" fillId="0" borderId="0"/>
    <xf numFmtId="9" fontId="6" fillId="0" borderId="0" applyFont="0" applyFill="0" applyBorder="0" applyAlignment="0" applyProtection="0"/>
    <xf numFmtId="0" fontId="7" fillId="0" borderId="6" applyNumberFormat="0" applyProtection="0">
      <alignment horizontal="left" wrapText="1"/>
    </xf>
    <xf numFmtId="43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5" applyNumberFormat="0" applyFill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6" borderId="9" applyNumberFormat="0" applyAlignment="0" applyProtection="0"/>
    <xf numFmtId="0" fontId="15" fillId="7" borderId="10" applyNumberFormat="0" applyAlignment="0" applyProtection="0"/>
    <xf numFmtId="0" fontId="16" fillId="7" borderId="9" applyNumberFormat="0" applyAlignment="0" applyProtection="0"/>
    <xf numFmtId="0" fontId="17" fillId="0" borderId="11" applyNumberFormat="0" applyFill="0" applyAlignment="0" applyProtection="0"/>
    <xf numFmtId="0" fontId="18" fillId="8" borderId="12" applyNumberFormat="0" applyAlignment="0" applyProtection="0"/>
    <xf numFmtId="0" fontId="19" fillId="0" borderId="0" applyNumberFormat="0" applyFill="0" applyBorder="0" applyAlignment="0" applyProtection="0"/>
    <xf numFmtId="0" fontId="6" fillId="9" borderId="13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4" applyNumberFormat="0" applyFill="0" applyAlignment="0" applyProtection="0"/>
    <xf numFmtId="0" fontId="2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2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2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2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2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2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22" fillId="5" borderId="0" applyNumberFormat="0" applyBorder="0" applyAlignment="0" applyProtection="0"/>
    <xf numFmtId="0" fontId="21" fillId="13" borderId="0" applyNumberFormat="0" applyBorder="0" applyAlignment="0" applyProtection="0"/>
    <xf numFmtId="0" fontId="21" fillId="17" borderId="0" applyNumberFormat="0" applyBorder="0" applyAlignment="0" applyProtection="0"/>
    <xf numFmtId="0" fontId="21" fillId="21" borderId="0" applyNumberFormat="0" applyBorder="0" applyAlignment="0" applyProtection="0"/>
    <xf numFmtId="0" fontId="21" fillId="25" borderId="0" applyNumberFormat="0" applyBorder="0" applyAlignment="0" applyProtection="0"/>
    <xf numFmtId="0" fontId="21" fillId="29" borderId="0" applyNumberFormat="0" applyBorder="0" applyAlignment="0" applyProtection="0"/>
    <xf numFmtId="0" fontId="21" fillId="33" borderId="0" applyNumberFormat="0" applyBorder="0" applyAlignment="0" applyProtection="0"/>
    <xf numFmtId="0" fontId="23" fillId="0" borderId="0" applyNumberFormat="0" applyFill="0" applyBorder="0" applyAlignment="0" applyProtection="0"/>
    <xf numFmtId="0" fontId="24" fillId="0" borderId="0"/>
  </cellStyleXfs>
  <cellXfs count="4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4" fillId="0" borderId="0" xfId="0" applyFont="1"/>
    <xf numFmtId="0" fontId="1" fillId="2" borderId="0" xfId="0" applyFont="1" applyFill="1"/>
    <xf numFmtId="164" fontId="0" fillId="0" borderId="0" xfId="8" applyNumberFormat="1" applyFont="1"/>
    <xf numFmtId="165" fontId="0" fillId="0" borderId="0" xfId="0" applyNumberFormat="1"/>
    <xf numFmtId="0" fontId="0" fillId="0" borderId="0" xfId="0" applyAlignment="1">
      <alignment wrapText="1"/>
    </xf>
    <xf numFmtId="3" fontId="0" fillId="0" borderId="0" xfId="0" applyNumberFormat="1"/>
    <xf numFmtId="166" fontId="0" fillId="0" borderId="0" xfId="10" applyNumberFormat="1" applyFont="1"/>
    <xf numFmtId="166" fontId="0" fillId="0" borderId="0" xfId="0" applyNumberFormat="1"/>
    <xf numFmtId="165" fontId="0" fillId="34" borderId="0" xfId="0" applyNumberFormat="1" applyFill="1"/>
    <xf numFmtId="10" fontId="0" fillId="0" borderId="0" xfId="0" applyNumberFormat="1"/>
    <xf numFmtId="0" fontId="23" fillId="0" borderId="0" xfId="52" applyAlignment="1">
      <alignment wrapText="1"/>
    </xf>
    <xf numFmtId="0" fontId="23" fillId="0" borderId="0" xfId="52"/>
    <xf numFmtId="11" fontId="0" fillId="0" borderId="0" xfId="0" applyNumberFormat="1"/>
    <xf numFmtId="0" fontId="25" fillId="0" borderId="0" xfId="0" applyFont="1"/>
    <xf numFmtId="0" fontId="26" fillId="0" borderId="0" xfId="0" applyFont="1" applyAlignment="1">
      <alignment vertical="center"/>
    </xf>
    <xf numFmtId="0" fontId="0" fillId="36" borderId="0" xfId="0" applyFill="1"/>
    <xf numFmtId="167" fontId="0" fillId="0" borderId="0" xfId="0" applyNumberFormat="1"/>
    <xf numFmtId="0" fontId="28" fillId="0" borderId="0" xfId="0" applyFont="1"/>
    <xf numFmtId="0" fontId="29" fillId="35" borderId="0" xfId="0" applyFont="1" applyFill="1"/>
    <xf numFmtId="0" fontId="29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0" fillId="37" borderId="0" xfId="0" applyFill="1"/>
    <xf numFmtId="167" fontId="0" fillId="37" borderId="0" xfId="0" applyNumberFormat="1" applyFill="1"/>
    <xf numFmtId="0" fontId="4" fillId="37" borderId="0" xfId="0" applyFont="1" applyFill="1"/>
    <xf numFmtId="165" fontId="0" fillId="37" borderId="0" xfId="0" applyNumberFormat="1" applyFill="1"/>
    <xf numFmtId="0" fontId="19" fillId="37" borderId="0" xfId="0" applyFont="1" applyFill="1"/>
    <xf numFmtId="167" fontId="28" fillId="37" borderId="0" xfId="0" applyNumberFormat="1" applyFont="1" applyFill="1"/>
    <xf numFmtId="0" fontId="28" fillId="37" borderId="0" xfId="0" applyFont="1" applyFill="1"/>
    <xf numFmtId="0" fontId="30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30" fillId="0" borderId="0" xfId="0" applyFont="1" applyAlignment="1">
      <alignment horizontal="right" vertical="center" wrapText="1"/>
    </xf>
    <xf numFmtId="0" fontId="30" fillId="0" borderId="0" xfId="0" applyFont="1" applyAlignment="1">
      <alignment vertical="center" wrapText="1"/>
    </xf>
    <xf numFmtId="10" fontId="0" fillId="0" borderId="0" xfId="8" applyNumberFormat="1" applyFont="1" applyAlignment="1"/>
    <xf numFmtId="0" fontId="30" fillId="36" borderId="0" xfId="0" applyFont="1" applyFill="1" applyAlignment="1">
      <alignment horizontal="right" vertical="center" wrapText="1"/>
    </xf>
    <xf numFmtId="164" fontId="0" fillId="36" borderId="0" xfId="8" applyNumberFormat="1" applyFont="1" applyFill="1"/>
    <xf numFmtId="164" fontId="0" fillId="0" borderId="0" xfId="0" applyNumberFormat="1"/>
    <xf numFmtId="0" fontId="19" fillId="0" borderId="0" xfId="0" applyFont="1"/>
    <xf numFmtId="0" fontId="0" fillId="38" borderId="0" xfId="0" applyFill="1"/>
    <xf numFmtId="164" fontId="0" fillId="38" borderId="0" xfId="8" applyNumberFormat="1" applyFont="1" applyFill="1"/>
    <xf numFmtId="164" fontId="0" fillId="36" borderId="0" xfId="0" applyNumberFormat="1" applyFill="1"/>
    <xf numFmtId="164" fontId="0" fillId="0" borderId="0" xfId="8" applyNumberFormat="1" applyFont="1" applyFill="1"/>
    <xf numFmtId="0" fontId="31" fillId="0" borderId="0" xfId="0" applyFont="1" applyAlignment="1">
      <alignment horizontal="left" vertical="center"/>
    </xf>
  </cellXfs>
  <cellStyles count="54">
    <cellStyle name="20% - Accent1" xfId="28" builtinId="30" customBuiltin="1"/>
    <cellStyle name="20% - Accent2" xfId="31" builtinId="34" customBuiltin="1"/>
    <cellStyle name="20% - Accent3" xfId="34" builtinId="38" customBuiltin="1"/>
    <cellStyle name="20% - Accent4" xfId="37" builtinId="42" customBuiltin="1"/>
    <cellStyle name="20% - Accent5" xfId="40" builtinId="46" customBuiltin="1"/>
    <cellStyle name="20% - Accent6" xfId="43" builtinId="50" customBuiltin="1"/>
    <cellStyle name="40% - Accent1" xfId="29" builtinId="31" customBuiltin="1"/>
    <cellStyle name="40% - Accent2" xfId="32" builtinId="35" customBuiltin="1"/>
    <cellStyle name="40% - Accent3" xfId="35" builtinId="39" customBuiltin="1"/>
    <cellStyle name="40% - Accent4" xfId="38" builtinId="43" customBuiltin="1"/>
    <cellStyle name="40% - Accent5" xfId="41" builtinId="47" customBuiltin="1"/>
    <cellStyle name="40% - Accent6" xfId="44" builtinId="51" customBuiltin="1"/>
    <cellStyle name="60% - Accent1 2" xfId="46" xr:uid="{C2C72341-02A2-4A97-B448-8BF00C2F4FDA}"/>
    <cellStyle name="60% - Accent2 2" xfId="47" xr:uid="{0AD0C64B-D897-421D-BE7A-6998DB55E58E}"/>
    <cellStyle name="60% - Accent3 2" xfId="48" xr:uid="{52DD3F5A-D1FF-426A-8FAD-806E1C9D59E7}"/>
    <cellStyle name="60% - Accent4 2" xfId="49" xr:uid="{EB04BF8A-B91E-49B8-98A3-8C134AF77B8E}"/>
    <cellStyle name="60% - Accent5 2" xfId="50" xr:uid="{962591F8-F306-4AA9-A952-2AEFF1530B0E}"/>
    <cellStyle name="60% - Accent6 2" xfId="51" xr:uid="{34D9D440-2157-40A6-8DC8-D7F06B43F39F}"/>
    <cellStyle name="Accent1" xfId="27" builtinId="29" customBuiltin="1"/>
    <cellStyle name="Accent2" xfId="30" builtinId="33" customBuiltin="1"/>
    <cellStyle name="Accent3" xfId="33" builtinId="37" customBuiltin="1"/>
    <cellStyle name="Accent4" xfId="36" builtinId="41" customBuiltin="1"/>
    <cellStyle name="Accent5" xfId="39" builtinId="45" customBuiltin="1"/>
    <cellStyle name="Accent6" xfId="42" builtinId="49" customBuiltin="1"/>
    <cellStyle name="Bad" xfId="17" builtinId="27" customBuiltin="1"/>
    <cellStyle name="Body: normal cell" xfId="5" xr:uid="{00000000-0005-0000-0000-000000000000}"/>
    <cellStyle name="Calculation" xfId="20" builtinId="22" customBuiltin="1"/>
    <cellStyle name="Check Cell" xfId="22" builtinId="23" customBuiltin="1"/>
    <cellStyle name="Comma" xfId="10" builtinId="3"/>
    <cellStyle name="Explanatory Text" xfId="25" builtinId="53" customBuiltin="1"/>
    <cellStyle name="Font: Calibri, 9pt regular" xfId="1" xr:uid="{00000000-0005-0000-0000-000001000000}"/>
    <cellStyle name="Footnotes: top row" xfId="6" xr:uid="{00000000-0005-0000-0000-000002000000}"/>
    <cellStyle name="Good" xfId="16" builtinId="26" customBuiltin="1"/>
    <cellStyle name="Header: bottom row" xfId="2" xr:uid="{00000000-0005-0000-0000-000003000000}"/>
    <cellStyle name="Header: top rows" xfId="9" xr:uid="{00000000-0005-0000-0000-000004000000}"/>
    <cellStyle name="Heading 1" xfId="12" builtinId="16" customBuiltin="1"/>
    <cellStyle name="Heading 2" xfId="13" builtinId="17" customBuiltin="1"/>
    <cellStyle name="Heading 3" xfId="14" builtinId="18" customBuiltin="1"/>
    <cellStyle name="Heading 4" xfId="15" builtinId="19" customBuiltin="1"/>
    <cellStyle name="Hyperlink" xfId="52" builtinId="8"/>
    <cellStyle name="Input" xfId="18" builtinId="20" customBuiltin="1"/>
    <cellStyle name="Linked Cell" xfId="21" builtinId="24" customBuiltin="1"/>
    <cellStyle name="Neutral 2" xfId="45" xr:uid="{09445B5B-F6BE-47A3-8B4B-90B358DD6365}"/>
    <cellStyle name="Normal" xfId="0" builtinId="0"/>
    <cellStyle name="Normal 2" xfId="7" xr:uid="{00000000-0005-0000-0000-000006000000}"/>
    <cellStyle name="Normal 3" xfId="53" xr:uid="{6D5BFB4D-1C20-4C02-A8DF-639CF758385B}"/>
    <cellStyle name="Note" xfId="24" builtinId="10" customBuiltin="1"/>
    <cellStyle name="Output" xfId="19" builtinId="21" customBuiltin="1"/>
    <cellStyle name="Parent row" xfId="4" xr:uid="{00000000-0005-0000-0000-000007000000}"/>
    <cellStyle name="Percent" xfId="8" builtinId="5"/>
    <cellStyle name="Table title" xfId="3" xr:uid="{00000000-0005-0000-0000-000009000000}"/>
    <cellStyle name="Title" xfId="11" builtinId="15" customBuiltin="1"/>
    <cellStyle name="Total" xfId="26" builtinId="25" customBuiltin="1"/>
    <cellStyle name="Warning Text" xfId="2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hard coal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88C-4C85-854D-7A3CCBB6FD2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0.18691815753258315</c:v>
                </c:pt>
                <c:pt idx="15">
                  <c:v>0.93459078766291603</c:v>
                </c:pt>
                <c:pt idx="16">
                  <c:v>2.4299360479235812</c:v>
                </c:pt>
                <c:pt idx="17">
                  <c:v>5.420626568444912</c:v>
                </c:pt>
                <c:pt idx="18">
                  <c:v>10.841253136889824</c:v>
                </c:pt>
                <c:pt idx="19">
                  <c:v>21.495588116247063</c:v>
                </c:pt>
                <c:pt idx="20">
                  <c:v>40.561240184570551</c:v>
                </c:pt>
                <c:pt idx="21">
                  <c:v>76.262608273293935</c:v>
                </c:pt>
                <c:pt idx="22">
                  <c:v>141.12320893710032</c:v>
                </c:pt>
                <c:pt idx="23">
                  <c:v>205.98380960090662</c:v>
                </c:pt>
                <c:pt idx="24">
                  <c:v>271.21824657977817</c:v>
                </c:pt>
                <c:pt idx="25">
                  <c:v>336.45268355864971</c:v>
                </c:pt>
                <c:pt idx="26">
                  <c:v>401.68712053752125</c:v>
                </c:pt>
                <c:pt idx="27">
                  <c:v>467.10847567392528</c:v>
                </c:pt>
                <c:pt idx="28">
                  <c:v>532.71674896786203</c:v>
                </c:pt>
                <c:pt idx="29">
                  <c:v>598.32502226179861</c:v>
                </c:pt>
                <c:pt idx="30">
                  <c:v>664.12021371326807</c:v>
                </c:pt>
                <c:pt idx="31">
                  <c:v>729.72848700720465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natural gas nonpeaker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388C-4C85-854D-7A3CCBB6FD2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nuclear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2-388C-4C85-854D-7A3CCBB6FD2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hydro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3-388C-4C85-854D-7A3CCBB6FD2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3466.5841495992872</c:v>
                </c:pt>
                <c:pt idx="2">
                  <c:v>3466.5841495992872</c:v>
                </c:pt>
                <c:pt idx="3">
                  <c:v>3466.5841495992872</c:v>
                </c:pt>
                <c:pt idx="4">
                  <c:v>3466.5841495992872</c:v>
                </c:pt>
                <c:pt idx="5">
                  <c:v>3466.5841495992872</c:v>
                </c:pt>
                <c:pt idx="6">
                  <c:v>3466.5841495992872</c:v>
                </c:pt>
                <c:pt idx="7">
                  <c:v>3466.5841495992872</c:v>
                </c:pt>
                <c:pt idx="8">
                  <c:v>3466.5841495992872</c:v>
                </c:pt>
                <c:pt idx="9">
                  <c:v>3466.5841495992872</c:v>
                </c:pt>
                <c:pt idx="10">
                  <c:v>3466.5841495992872</c:v>
                </c:pt>
                <c:pt idx="11">
                  <c:v>3466.5841495992872</c:v>
                </c:pt>
                <c:pt idx="12">
                  <c:v>3466.5841495992872</c:v>
                </c:pt>
                <c:pt idx="13">
                  <c:v>3466.5841495992872</c:v>
                </c:pt>
                <c:pt idx="14">
                  <c:v>3466.7710677568202</c:v>
                </c:pt>
                <c:pt idx="15">
                  <c:v>3467.1449040718853</c:v>
                </c:pt>
                <c:pt idx="16">
                  <c:v>3468.2664130170806</c:v>
                </c:pt>
                <c:pt idx="17">
                  <c:v>3470.5094309074716</c:v>
                </c:pt>
                <c:pt idx="18">
                  <c:v>3474.434712215656</c:v>
                </c:pt>
                <c:pt idx="19">
                  <c:v>3482.2852748320247</c:v>
                </c:pt>
                <c:pt idx="20">
                  <c:v>3496.3041366469679</c:v>
                </c:pt>
                <c:pt idx="21">
                  <c:v>3522.6595968590627</c:v>
                </c:pt>
                <c:pt idx="22">
                  <c:v>3570.323727029871</c:v>
                </c:pt>
                <c:pt idx="23">
                  <c:v>3617.9878572006801</c:v>
                </c:pt>
                <c:pt idx="24">
                  <c:v>3665.8389055290213</c:v>
                </c:pt>
                <c:pt idx="25">
                  <c:v>3713.6899538573625</c:v>
                </c:pt>
                <c:pt idx="26">
                  <c:v>3761.7279203432363</c:v>
                </c:pt>
                <c:pt idx="27">
                  <c:v>3809.5789686715775</c:v>
                </c:pt>
                <c:pt idx="28">
                  <c:v>3857.6169351574513</c:v>
                </c:pt>
                <c:pt idx="29">
                  <c:v>3905.8418198008585</c:v>
                </c:pt>
                <c:pt idx="30">
                  <c:v>3953.8797862867323</c:v>
                </c:pt>
                <c:pt idx="31">
                  <c:v>4001.9177527726051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onshore wind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4-388C-4C85-854D-7A3CCBB6FD2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5067266.576782967</c:v>
                </c:pt>
                <c:pt idx="2">
                  <c:v>6274537.3110175673</c:v>
                </c:pt>
                <c:pt idx="3">
                  <c:v>6976475.1801991425</c:v>
                </c:pt>
                <c:pt idx="4">
                  <c:v>7678381.4602120938</c:v>
                </c:pt>
                <c:pt idx="5">
                  <c:v>8211140.826519873</c:v>
                </c:pt>
                <c:pt idx="6">
                  <c:v>8717432.7686391957</c:v>
                </c:pt>
                <c:pt idx="7">
                  <c:v>9220364.2961224001</c:v>
                </c:pt>
                <c:pt idx="8">
                  <c:v>9726455.3012223747</c:v>
                </c:pt>
                <c:pt idx="9">
                  <c:v>10253668.618878005</c:v>
                </c:pt>
                <c:pt idx="10">
                  <c:v>10799933.382821986</c:v>
                </c:pt>
                <c:pt idx="11">
                  <c:v>11351032.59799239</c:v>
                </c:pt>
                <c:pt idx="12">
                  <c:v>11928031.566906825</c:v>
                </c:pt>
                <c:pt idx="13">
                  <c:v>12522975.987371488</c:v>
                </c:pt>
                <c:pt idx="14">
                  <c:v>13168064.194284791</c:v>
                </c:pt>
                <c:pt idx="15">
                  <c:v>13856440.77730106</c:v>
                </c:pt>
                <c:pt idx="16">
                  <c:v>14542076.392455274</c:v>
                </c:pt>
                <c:pt idx="17">
                  <c:v>15231391.304622358</c:v>
                </c:pt>
                <c:pt idx="18">
                  <c:v>15976628.204241883</c:v>
                </c:pt>
                <c:pt idx="19">
                  <c:v>16717822.064113982</c:v>
                </c:pt>
                <c:pt idx="20">
                  <c:v>17494974.491459563</c:v>
                </c:pt>
                <c:pt idx="21">
                  <c:v>18334848.428074151</c:v>
                </c:pt>
                <c:pt idx="22">
                  <c:v>19196765.24917024</c:v>
                </c:pt>
                <c:pt idx="23">
                  <c:v>20132632.314012788</c:v>
                </c:pt>
                <c:pt idx="24">
                  <c:v>21113687.404193316</c:v>
                </c:pt>
                <c:pt idx="25">
                  <c:v>22108643.784667693</c:v>
                </c:pt>
                <c:pt idx="26">
                  <c:v>23166872.148385007</c:v>
                </c:pt>
                <c:pt idx="27">
                  <c:v>24259898.130899377</c:v>
                </c:pt>
                <c:pt idx="28">
                  <c:v>25409064.421274185</c:v>
                </c:pt>
                <c:pt idx="29">
                  <c:v>26614275.317412775</c:v>
                </c:pt>
                <c:pt idx="30">
                  <c:v>27876463.354003076</c:v>
                </c:pt>
                <c:pt idx="31">
                  <c:v>29166770.797458109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solar PV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388C-4C85-854D-7A3CCBB6FD2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solar thermal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388C-4C85-854D-7A3CCBB6FD25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biomass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7-388C-4C85-854D-7A3CCBB6FD25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geothermal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8-388C-4C85-854D-7A3CCBB6FD25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petroleum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9-388C-4C85-854D-7A3CCBB6FD25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natural gas peaker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A-388C-4C85-854D-7A3CCBB6FD25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lignite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B-388C-4C85-854D-7A3CCBB6FD25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offshore wind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C-388C-4C85-854D-7A3CCBB6FD25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crude oil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D-388C-4C85-854D-7A3CCBB6FD25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heavy or residual fuel oil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E-388C-4C85-854D-7A3CCBB6FD25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Calculations!#REF!</c:f>
              <c:numCache>
                <c:formatCode>General</c:formatCode>
                <c:ptCount val="32"/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xVal>
          <c:yVal>
            <c:numRef>
              <c:f>Calculations!#REF!</c:f>
              <c:numCache>
                <c:formatCode>0.000E+00</c:formatCode>
                <c:ptCount val="32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Calculations!#REF!</c15:sqref>
                        </c15:formulaRef>
                      </c:ext>
                    </c:extLst>
                    <c:strCache>
                      <c:ptCount val="1"/>
                      <c:pt idx="0">
                        <c:v>municipal solid waste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F-388C-4C85-854D-7A3CCBB6F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941952"/>
        <c:axId val="1767688240"/>
      </c:scatterChart>
      <c:valAx>
        <c:axId val="176194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688240"/>
        <c:crosses val="autoZero"/>
        <c:crossBetween val="midCat"/>
      </c:valAx>
      <c:valAx>
        <c:axId val="176768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194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Calculations!$C$13</c:f>
              <c:strCache>
                <c:ptCount val="1"/>
                <c:pt idx="0">
                  <c:v>hard coal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Calculations!$D$13:$AH$13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4A-48CD-B765-7AE66AD7A736}"/>
            </c:ext>
          </c:extLst>
        </c:ser>
        <c:ser>
          <c:idx val="1"/>
          <c:order val="1"/>
          <c:tx>
            <c:strRef>
              <c:f>Calculations!$C$14</c:f>
              <c:strCache>
                <c:ptCount val="1"/>
                <c:pt idx="0">
                  <c:v>natural gas nonpeaker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Calculations!$D$14:$AH$14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4A-48CD-B765-7AE66AD7A736}"/>
            </c:ext>
          </c:extLst>
        </c:ser>
        <c:ser>
          <c:idx val="2"/>
          <c:order val="2"/>
          <c:tx>
            <c:strRef>
              <c:f>Calculations!$C$15</c:f>
              <c:strCache>
                <c:ptCount val="1"/>
                <c:pt idx="0">
                  <c:v>nuclear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Calculations!$D$15:$AH$15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94A-48CD-B765-7AE66AD7A736}"/>
            </c:ext>
          </c:extLst>
        </c:ser>
        <c:ser>
          <c:idx val="3"/>
          <c:order val="3"/>
          <c:tx>
            <c:strRef>
              <c:f>Calculations!$C$16</c:f>
              <c:strCache>
                <c:ptCount val="1"/>
                <c:pt idx="0">
                  <c:v>hydro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Calculations!$D$16:$AH$16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4A-48CD-B765-7AE66AD7A736}"/>
            </c:ext>
          </c:extLst>
        </c:ser>
        <c:ser>
          <c:idx val="4"/>
          <c:order val="4"/>
          <c:tx>
            <c:strRef>
              <c:f>Calculations!$C$17</c:f>
              <c:strCache>
                <c:ptCount val="1"/>
                <c:pt idx="0">
                  <c:v>onshore wind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Calculations!$D$17:$AH$17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94A-48CD-B765-7AE66AD7A736}"/>
            </c:ext>
          </c:extLst>
        </c:ser>
        <c:ser>
          <c:idx val="5"/>
          <c:order val="5"/>
          <c:tx>
            <c:strRef>
              <c:f>Calculations!$C$18</c:f>
              <c:strCache>
                <c:ptCount val="1"/>
                <c:pt idx="0">
                  <c:v>solar PV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Calculations!$D$18:$AH$18</c:f>
              <c:numCache>
                <c:formatCode>0_);[Red]\(0\)</c:formatCode>
                <c:ptCount val="31"/>
                <c:pt idx="0">
                  <c:v>1376.5727545176001</c:v>
                </c:pt>
                <c:pt idx="1">
                  <c:v>1376.5727545176001</c:v>
                </c:pt>
                <c:pt idx="2">
                  <c:v>1376.5727545176001</c:v>
                </c:pt>
                <c:pt idx="3">
                  <c:v>1376.5727545176001</c:v>
                </c:pt>
                <c:pt idx="4">
                  <c:v>1517.6353563479663</c:v>
                </c:pt>
                <c:pt idx="5">
                  <c:v>1673.1531749984022</c:v>
                </c:pt>
                <c:pt idx="6">
                  <c:v>1844.607491053584</c:v>
                </c:pt>
                <c:pt idx="7">
                  <c:v>1985.8475009056913</c:v>
                </c:pt>
                <c:pt idx="8">
                  <c:v>2137.9021368935892</c:v>
                </c:pt>
                <c:pt idx="9">
                  <c:v>2301.5994656435787</c:v>
                </c:pt>
                <c:pt idx="10">
                  <c:v>2477.8309581316794</c:v>
                </c:pt>
                <c:pt idx="11">
                  <c:v>2620.75454327224</c:v>
                </c:pt>
                <c:pt idx="12">
                  <c:v>2771.9220932088629</c:v>
                </c:pt>
                <c:pt idx="13">
                  <c:v>2931.809127468237</c:v>
                </c:pt>
                <c:pt idx="14">
                  <c:v>3100.9185939838744</c:v>
                </c:pt>
                <c:pt idx="15">
                  <c:v>3279.7824511920257</c:v>
                </c:pt>
                <c:pt idx="16">
                  <c:v>3468.9633413843535</c:v>
                </c:pt>
                <c:pt idx="17">
                  <c:v>3468.9633413843535</c:v>
                </c:pt>
                <c:pt idx="18">
                  <c:v>3468.9633413843535</c:v>
                </c:pt>
                <c:pt idx="19">
                  <c:v>3468.9633413843535</c:v>
                </c:pt>
                <c:pt idx="20">
                  <c:v>3468.9633413843535</c:v>
                </c:pt>
                <c:pt idx="21">
                  <c:v>3468.9633413843535</c:v>
                </c:pt>
                <c:pt idx="22">
                  <c:v>3468.9633413843535</c:v>
                </c:pt>
                <c:pt idx="23">
                  <c:v>3468.9633413843535</c:v>
                </c:pt>
                <c:pt idx="24">
                  <c:v>3468.9633413843535</c:v>
                </c:pt>
                <c:pt idx="25">
                  <c:v>3468.9633413843535</c:v>
                </c:pt>
                <c:pt idx="26">
                  <c:v>3468.9633413843535</c:v>
                </c:pt>
                <c:pt idx="27">
                  <c:v>3468.9633413843535</c:v>
                </c:pt>
                <c:pt idx="28">
                  <c:v>3468.9633413843535</c:v>
                </c:pt>
                <c:pt idx="29">
                  <c:v>3468.9633413843535</c:v>
                </c:pt>
                <c:pt idx="30">
                  <c:v>3468.9633413843535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94A-48CD-B765-7AE66AD7A736}"/>
            </c:ext>
          </c:extLst>
        </c:ser>
        <c:ser>
          <c:idx val="6"/>
          <c:order val="6"/>
          <c:tx>
            <c:strRef>
              <c:f>Calculations!$C$19</c:f>
              <c:strCache>
                <c:ptCount val="1"/>
                <c:pt idx="0">
                  <c:v>solar thermal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Calculations!$D$19:$AH$19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94A-48CD-B765-7AE66AD7A736}"/>
            </c:ext>
          </c:extLst>
        </c:ser>
        <c:ser>
          <c:idx val="7"/>
          <c:order val="7"/>
          <c:tx>
            <c:strRef>
              <c:f>Calculations!$C$20</c:f>
              <c:strCache>
                <c:ptCount val="1"/>
                <c:pt idx="0">
                  <c:v>biomass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Calculations!$D$20:$AH$20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94A-48CD-B765-7AE66AD7A736}"/>
            </c:ext>
          </c:extLst>
        </c:ser>
        <c:ser>
          <c:idx val="8"/>
          <c:order val="8"/>
          <c:tx>
            <c:strRef>
              <c:f>Calculations!$C$21</c:f>
              <c:strCache>
                <c:ptCount val="1"/>
                <c:pt idx="0">
                  <c:v>geothermal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Calculations!$D$21:$AH$21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94A-48CD-B765-7AE66AD7A736}"/>
            </c:ext>
          </c:extLst>
        </c:ser>
        <c:ser>
          <c:idx val="9"/>
          <c:order val="9"/>
          <c:tx>
            <c:strRef>
              <c:f>Calculations!$C$22</c:f>
              <c:strCache>
                <c:ptCount val="1"/>
                <c:pt idx="0">
                  <c:v>petroleum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Calculations!$D$22:$AH$22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94A-48CD-B765-7AE66AD7A736}"/>
            </c:ext>
          </c:extLst>
        </c:ser>
        <c:ser>
          <c:idx val="10"/>
          <c:order val="10"/>
          <c:tx>
            <c:strRef>
              <c:f>Calculations!$C$23</c:f>
              <c:strCache>
                <c:ptCount val="1"/>
                <c:pt idx="0">
                  <c:v>natural gas peaker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Calculations!$D$23:$AH$23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94A-48CD-B765-7AE66AD7A736}"/>
            </c:ext>
          </c:extLst>
        </c:ser>
        <c:ser>
          <c:idx val="11"/>
          <c:order val="11"/>
          <c:tx>
            <c:strRef>
              <c:f>Calculations!$C$24</c:f>
              <c:strCache>
                <c:ptCount val="1"/>
                <c:pt idx="0">
                  <c:v>lignite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Calculations!$D$24:$AH$24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94A-48CD-B765-7AE66AD7A736}"/>
            </c:ext>
          </c:extLst>
        </c:ser>
        <c:ser>
          <c:idx val="12"/>
          <c:order val="12"/>
          <c:tx>
            <c:strRef>
              <c:f>Calculations!$C$25</c:f>
              <c:strCache>
                <c:ptCount val="1"/>
                <c:pt idx="0">
                  <c:v>offshore wind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Calculations!$D$25:$AH$25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94A-48CD-B765-7AE66AD7A736}"/>
            </c:ext>
          </c:extLst>
        </c:ser>
        <c:ser>
          <c:idx val="13"/>
          <c:order val="13"/>
          <c:tx>
            <c:strRef>
              <c:f>Calculations!$C$26</c:f>
              <c:strCache>
                <c:ptCount val="1"/>
                <c:pt idx="0">
                  <c:v>crude oil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Calculations!$D$26:$AH$26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94A-48CD-B765-7AE66AD7A736}"/>
            </c:ext>
          </c:extLst>
        </c:ser>
        <c:ser>
          <c:idx val="14"/>
          <c:order val="14"/>
          <c:tx>
            <c:strRef>
              <c:f>Calculations!$C$27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Calculations!$D$27:$AH$27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94A-48CD-B765-7AE66AD7A736}"/>
            </c:ext>
          </c:extLst>
        </c:ser>
        <c:ser>
          <c:idx val="15"/>
          <c:order val="15"/>
          <c:tx>
            <c:strRef>
              <c:f>Calculations!$C$28</c:f>
              <c:strCache>
                <c:ptCount val="1"/>
                <c:pt idx="0">
                  <c:v>municipal solid waste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Calculations!$D$12:$AH$12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Calculations!$D$28:$AH$28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94A-48CD-B765-7AE66AD7A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449808"/>
        <c:axId val="1767680336"/>
      </c:scatterChart>
      <c:valAx>
        <c:axId val="196744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680336"/>
        <c:crosses val="autoZero"/>
        <c:crossBetween val="midCat"/>
      </c:valAx>
      <c:valAx>
        <c:axId val="176768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4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Calculations!$C$33</c:f>
              <c:strCache>
                <c:ptCount val="1"/>
                <c:pt idx="0">
                  <c:v>hard coal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Calculations!$D$33:$AH$33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C9-478F-8560-25B3357BEC2F}"/>
            </c:ext>
          </c:extLst>
        </c:ser>
        <c:ser>
          <c:idx val="1"/>
          <c:order val="1"/>
          <c:tx>
            <c:strRef>
              <c:f>Calculations!$C$34</c:f>
              <c:strCache>
                <c:ptCount val="1"/>
                <c:pt idx="0">
                  <c:v>natural gas nonpeaker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Calculations!$D$34:$AH$34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C9-478F-8560-25B3357BEC2F}"/>
            </c:ext>
          </c:extLst>
        </c:ser>
        <c:ser>
          <c:idx val="2"/>
          <c:order val="2"/>
          <c:tx>
            <c:strRef>
              <c:f>Calculations!$C$35</c:f>
              <c:strCache>
                <c:ptCount val="1"/>
                <c:pt idx="0">
                  <c:v>nuclear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Calculations!$D$35:$AH$35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C9-478F-8560-25B3357BEC2F}"/>
            </c:ext>
          </c:extLst>
        </c:ser>
        <c:ser>
          <c:idx val="3"/>
          <c:order val="3"/>
          <c:tx>
            <c:strRef>
              <c:f>Calculations!$C$36</c:f>
              <c:strCache>
                <c:ptCount val="1"/>
                <c:pt idx="0">
                  <c:v>hydro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Calculations!$D$36:$AH$36</c:f>
              <c:numCache>
                <c:formatCode>0_);[Red]\(0\)</c:formatCode>
                <c:ptCount val="31"/>
                <c:pt idx="0">
                  <c:v>0.09</c:v>
                </c:pt>
                <c:pt idx="1">
                  <c:v>0.09</c:v>
                </c:pt>
                <c:pt idx="2">
                  <c:v>0.09</c:v>
                </c:pt>
                <c:pt idx="3">
                  <c:v>0.09</c:v>
                </c:pt>
                <c:pt idx="4">
                  <c:v>9.922263943047599E-2</c:v>
                </c:pt>
                <c:pt idx="5">
                  <c:v>0.10939035750611388</c:v>
                </c:pt>
                <c:pt idx="6">
                  <c:v>0.1206</c:v>
                </c:pt>
                <c:pt idx="7">
                  <c:v>0.12983423832483468</c:v>
                </c:pt>
                <c:pt idx="8">
                  <c:v>0.13977553433988366</c:v>
                </c:pt>
                <c:pt idx="9">
                  <c:v>0.15047802684465644</c:v>
                </c:pt>
                <c:pt idx="10">
                  <c:v>0.16199999999999995</c:v>
                </c:pt>
                <c:pt idx="11">
                  <c:v>0.17134431007764503</c:v>
                </c:pt>
                <c:pt idx="12">
                  <c:v>0.18122760861718626</c:v>
                </c:pt>
                <c:pt idx="13">
                  <c:v>0.19168098497242755</c:v>
                </c:pt>
                <c:pt idx="14">
                  <c:v>0.20273732175990156</c:v>
                </c:pt>
                <c:pt idx="15">
                  <c:v>0.21443139829592514</c:v>
                </c:pt>
                <c:pt idx="16">
                  <c:v>0.22680000000000006</c:v>
                </c:pt>
                <c:pt idx="17">
                  <c:v>0.22680000000000006</c:v>
                </c:pt>
                <c:pt idx="18">
                  <c:v>0.22680000000000006</c:v>
                </c:pt>
                <c:pt idx="19">
                  <c:v>0.22680000000000006</c:v>
                </c:pt>
                <c:pt idx="20">
                  <c:v>0.22680000000000006</c:v>
                </c:pt>
                <c:pt idx="21">
                  <c:v>0.22680000000000006</c:v>
                </c:pt>
                <c:pt idx="22">
                  <c:v>0.22680000000000006</c:v>
                </c:pt>
                <c:pt idx="23">
                  <c:v>0.22680000000000006</c:v>
                </c:pt>
                <c:pt idx="24">
                  <c:v>0.22680000000000006</c:v>
                </c:pt>
                <c:pt idx="25">
                  <c:v>0.22680000000000006</c:v>
                </c:pt>
                <c:pt idx="26">
                  <c:v>0.22680000000000006</c:v>
                </c:pt>
                <c:pt idx="27">
                  <c:v>0.22680000000000006</c:v>
                </c:pt>
                <c:pt idx="28">
                  <c:v>0.22680000000000006</c:v>
                </c:pt>
                <c:pt idx="29">
                  <c:v>0.22680000000000006</c:v>
                </c:pt>
                <c:pt idx="30">
                  <c:v>0.22680000000000006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C9-478F-8560-25B3357BEC2F}"/>
            </c:ext>
          </c:extLst>
        </c:ser>
        <c:ser>
          <c:idx val="4"/>
          <c:order val="4"/>
          <c:tx>
            <c:strRef>
              <c:f>Calculations!$C$37</c:f>
              <c:strCache>
                <c:ptCount val="1"/>
                <c:pt idx="0">
                  <c:v>onshore wind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Calculations!$D$37:$AH$37</c:f>
              <c:numCache>
                <c:formatCode>0_);[Red]\(0\)</c:formatCode>
                <c:ptCount val="31"/>
                <c:pt idx="0">
                  <c:v>8.4780999999999995</c:v>
                </c:pt>
                <c:pt idx="1">
                  <c:v>8.4780999999999995</c:v>
                </c:pt>
                <c:pt idx="2">
                  <c:v>8.4780999999999995</c:v>
                </c:pt>
                <c:pt idx="3">
                  <c:v>8.4780999999999995</c:v>
                </c:pt>
                <c:pt idx="4">
                  <c:v>9.3468828817279821</c:v>
                </c:pt>
                <c:pt idx="5">
                  <c:v>10.304693221917599</c:v>
                </c:pt>
                <c:pt idx="6">
                  <c:v>11.360653999999998</c:v>
                </c:pt>
                <c:pt idx="7">
                  <c:v>12.23052951046423</c:v>
                </c:pt>
                <c:pt idx="8">
                  <c:v>13.167010640966305</c:v>
                </c:pt>
                <c:pt idx="9">
                  <c:v>14.17519732657424</c:v>
                </c:pt>
                <c:pt idx="10">
                  <c:v>15.260579999999994</c:v>
                </c:pt>
                <c:pt idx="11">
                  <c:v>16.140824391880912</c:v>
                </c:pt>
                <c:pt idx="12">
                  <c:v>17.071842095748519</c:v>
                </c:pt>
                <c:pt idx="13">
                  <c:v>18.056561763274864</c:v>
                </c:pt>
                <c:pt idx="14">
                  <c:v>19.098080973473568</c:v>
                </c:pt>
                <c:pt idx="15">
                  <c:v>20.199675976585361</c:v>
                </c:pt>
                <c:pt idx="16">
                  <c:v>21.364812000000001</c:v>
                </c:pt>
                <c:pt idx="17">
                  <c:v>21.364812000000001</c:v>
                </c:pt>
                <c:pt idx="18">
                  <c:v>21.364812000000001</c:v>
                </c:pt>
                <c:pt idx="19">
                  <c:v>21.364812000000001</c:v>
                </c:pt>
                <c:pt idx="20">
                  <c:v>21.364812000000001</c:v>
                </c:pt>
                <c:pt idx="21">
                  <c:v>21.364812000000001</c:v>
                </c:pt>
                <c:pt idx="22">
                  <c:v>21.364812000000001</c:v>
                </c:pt>
                <c:pt idx="23">
                  <c:v>21.364812000000001</c:v>
                </c:pt>
                <c:pt idx="24">
                  <c:v>21.364812000000001</c:v>
                </c:pt>
                <c:pt idx="25">
                  <c:v>21.364812000000001</c:v>
                </c:pt>
                <c:pt idx="26">
                  <c:v>21.364812000000001</c:v>
                </c:pt>
                <c:pt idx="27">
                  <c:v>21.364812000000001</c:v>
                </c:pt>
                <c:pt idx="28">
                  <c:v>21.364812000000001</c:v>
                </c:pt>
                <c:pt idx="29">
                  <c:v>21.364812000000001</c:v>
                </c:pt>
                <c:pt idx="30">
                  <c:v>21.364812000000001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DC9-478F-8560-25B3357BEC2F}"/>
            </c:ext>
          </c:extLst>
        </c:ser>
        <c:ser>
          <c:idx val="5"/>
          <c:order val="5"/>
          <c:tx>
            <c:strRef>
              <c:f>Calculations!$C$38</c:f>
              <c:strCache>
                <c:ptCount val="1"/>
                <c:pt idx="0">
                  <c:v>solar PV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Calculations!$D$38:$AH$38</c:f>
              <c:numCache>
                <c:formatCode>0_);[Red]\(0\)</c:formatCode>
                <c:ptCount val="31"/>
                <c:pt idx="0">
                  <c:v>240.72332048239997</c:v>
                </c:pt>
                <c:pt idx="1">
                  <c:v>240.72332048239997</c:v>
                </c:pt>
                <c:pt idx="2">
                  <c:v>240.72332048239997</c:v>
                </c:pt>
                <c:pt idx="3">
                  <c:v>240.72332048239997</c:v>
                </c:pt>
                <c:pt idx="4">
                  <c:v>265.39114700813434</c:v>
                </c:pt>
                <c:pt idx="5">
                  <c:v>292.58677875142843</c:v>
                </c:pt>
                <c:pt idx="6">
                  <c:v>322.56924944641599</c:v>
                </c:pt>
                <c:pt idx="7">
                  <c:v>347.26809957619417</c:v>
                </c:pt>
                <c:pt idx="8">
                  <c:v>373.85811942776132</c:v>
                </c:pt>
                <c:pt idx="9">
                  <c:v>402.48411424094917</c:v>
                </c:pt>
                <c:pt idx="10">
                  <c:v>433.30197686831991</c:v>
                </c:pt>
                <c:pt idx="11">
                  <c:v>458.29523630729631</c:v>
                </c:pt>
                <c:pt idx="12">
                  <c:v>484.73013010459874</c:v>
                </c:pt>
                <c:pt idx="13">
                  <c:v>512.68981306555315</c:v>
                </c:pt>
                <c:pt idx="14">
                  <c:v>542.26223644169147</c:v>
                </c:pt>
                <c:pt idx="15">
                  <c:v>573.54042459421282</c:v>
                </c:pt>
                <c:pt idx="16">
                  <c:v>606.62276761564829</c:v>
                </c:pt>
                <c:pt idx="17">
                  <c:v>606.62276761564829</c:v>
                </c:pt>
                <c:pt idx="18">
                  <c:v>606.62276761564829</c:v>
                </c:pt>
                <c:pt idx="19">
                  <c:v>606.62276761564829</c:v>
                </c:pt>
                <c:pt idx="20">
                  <c:v>606.62276761564829</c:v>
                </c:pt>
                <c:pt idx="21">
                  <c:v>606.62276761564829</c:v>
                </c:pt>
                <c:pt idx="22">
                  <c:v>606.62276761564829</c:v>
                </c:pt>
                <c:pt idx="23">
                  <c:v>606.62276761564829</c:v>
                </c:pt>
                <c:pt idx="24">
                  <c:v>606.62276761564829</c:v>
                </c:pt>
                <c:pt idx="25">
                  <c:v>606.62276761564829</c:v>
                </c:pt>
                <c:pt idx="26">
                  <c:v>606.62276761564829</c:v>
                </c:pt>
                <c:pt idx="27">
                  <c:v>606.62276761564829</c:v>
                </c:pt>
                <c:pt idx="28">
                  <c:v>606.62276761564829</c:v>
                </c:pt>
                <c:pt idx="29">
                  <c:v>606.62276761564829</c:v>
                </c:pt>
                <c:pt idx="30">
                  <c:v>606.62276761564829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DC9-478F-8560-25B3357BEC2F}"/>
            </c:ext>
          </c:extLst>
        </c:ser>
        <c:ser>
          <c:idx val="6"/>
          <c:order val="6"/>
          <c:tx>
            <c:strRef>
              <c:f>Calculations!$C$39</c:f>
              <c:strCache>
                <c:ptCount val="1"/>
                <c:pt idx="0">
                  <c:v>solar thermal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Calculations!$D$39:$AH$39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DC9-478F-8560-25B3357BEC2F}"/>
            </c:ext>
          </c:extLst>
        </c:ser>
        <c:ser>
          <c:idx val="7"/>
          <c:order val="7"/>
          <c:tx>
            <c:strRef>
              <c:f>Calculations!$C$40</c:f>
              <c:strCache>
                <c:ptCount val="1"/>
                <c:pt idx="0">
                  <c:v>biomass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Calculations!$D$40:$AH$40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DC9-478F-8560-25B3357BEC2F}"/>
            </c:ext>
          </c:extLst>
        </c:ser>
        <c:ser>
          <c:idx val="8"/>
          <c:order val="8"/>
          <c:tx>
            <c:strRef>
              <c:f>Calculations!$C$41</c:f>
              <c:strCache>
                <c:ptCount val="1"/>
                <c:pt idx="0">
                  <c:v>geothermal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Calculations!$D$41:$AH$41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DC9-478F-8560-25B3357BEC2F}"/>
            </c:ext>
          </c:extLst>
        </c:ser>
        <c:ser>
          <c:idx val="9"/>
          <c:order val="9"/>
          <c:tx>
            <c:strRef>
              <c:f>Calculations!$C$42</c:f>
              <c:strCache>
                <c:ptCount val="1"/>
                <c:pt idx="0">
                  <c:v>petroleum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Calculations!$D$42:$AH$42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DC9-478F-8560-25B3357BEC2F}"/>
            </c:ext>
          </c:extLst>
        </c:ser>
        <c:ser>
          <c:idx val="10"/>
          <c:order val="10"/>
          <c:tx>
            <c:strRef>
              <c:f>Calculations!$C$43</c:f>
              <c:strCache>
                <c:ptCount val="1"/>
                <c:pt idx="0">
                  <c:v>natural gas peaker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Calculations!$D$43:$AH$43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DC9-478F-8560-25B3357BEC2F}"/>
            </c:ext>
          </c:extLst>
        </c:ser>
        <c:ser>
          <c:idx val="11"/>
          <c:order val="11"/>
          <c:tx>
            <c:strRef>
              <c:f>Calculations!$C$44</c:f>
              <c:strCache>
                <c:ptCount val="1"/>
                <c:pt idx="0">
                  <c:v>lignite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Calculations!$D$44:$AH$44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DC9-478F-8560-25B3357BEC2F}"/>
            </c:ext>
          </c:extLst>
        </c:ser>
        <c:ser>
          <c:idx val="12"/>
          <c:order val="12"/>
          <c:tx>
            <c:strRef>
              <c:f>Calculations!$C$45</c:f>
              <c:strCache>
                <c:ptCount val="1"/>
                <c:pt idx="0">
                  <c:v>offshore wind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Calculations!$D$45:$AH$45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DC9-478F-8560-25B3357BEC2F}"/>
            </c:ext>
          </c:extLst>
        </c:ser>
        <c:ser>
          <c:idx val="13"/>
          <c:order val="13"/>
          <c:tx>
            <c:strRef>
              <c:f>Calculations!$C$46</c:f>
              <c:strCache>
                <c:ptCount val="1"/>
                <c:pt idx="0">
                  <c:v>crude oil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Calculations!$D$46:$AH$46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DC9-478F-8560-25B3357BEC2F}"/>
            </c:ext>
          </c:extLst>
        </c:ser>
        <c:ser>
          <c:idx val="14"/>
          <c:order val="14"/>
          <c:tx>
            <c:strRef>
              <c:f>Calculations!$C$47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Calculations!$D$47:$AH$47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DC9-478F-8560-25B3357BEC2F}"/>
            </c:ext>
          </c:extLst>
        </c:ser>
        <c:ser>
          <c:idx val="15"/>
          <c:order val="15"/>
          <c:tx>
            <c:strRef>
              <c:f>Calculations!$C$48</c:f>
              <c:strCache>
                <c:ptCount val="1"/>
                <c:pt idx="0">
                  <c:v>municipal solid waste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Calculations!$D$32:$AH$32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Calculations!$D$48:$AH$48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DC9-478F-8560-25B3357BE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7455808"/>
        <c:axId val="1767700720"/>
      </c:scatterChart>
      <c:valAx>
        <c:axId val="1967455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700720"/>
        <c:crosses val="autoZero"/>
        <c:crossBetween val="midCat"/>
      </c:valAx>
      <c:valAx>
        <c:axId val="176770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7455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Calculations!$C$54</c:f>
              <c:strCache>
                <c:ptCount val="1"/>
                <c:pt idx="0">
                  <c:v>hard coal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Calculations!$D$54:$AH$54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A5F-4945-B555-0D1C1982BCF9}"/>
            </c:ext>
          </c:extLst>
        </c:ser>
        <c:ser>
          <c:idx val="1"/>
          <c:order val="1"/>
          <c:tx>
            <c:strRef>
              <c:f>Calculations!$C$55</c:f>
              <c:strCache>
                <c:ptCount val="1"/>
                <c:pt idx="0">
                  <c:v>natural gas nonpeaker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Calculations!$D$55:$AH$55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A5F-4945-B555-0D1C1982BCF9}"/>
            </c:ext>
          </c:extLst>
        </c:ser>
        <c:ser>
          <c:idx val="2"/>
          <c:order val="2"/>
          <c:tx>
            <c:strRef>
              <c:f>Calculations!$C$56</c:f>
              <c:strCache>
                <c:ptCount val="1"/>
                <c:pt idx="0">
                  <c:v>nuclear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Calculations!$D$56:$AH$56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A5F-4945-B555-0D1C1982BCF9}"/>
            </c:ext>
          </c:extLst>
        </c:ser>
        <c:ser>
          <c:idx val="3"/>
          <c:order val="3"/>
          <c:tx>
            <c:strRef>
              <c:f>Calculations!$C$57</c:f>
              <c:strCache>
                <c:ptCount val="1"/>
                <c:pt idx="0">
                  <c:v>hydro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Calculations!$D$57:$AH$57</c:f>
              <c:numCache>
                <c:formatCode>0_);[Red]\(0\)</c:formatCode>
                <c:ptCount val="31"/>
                <c:pt idx="0">
                  <c:v>1.4237500000000001</c:v>
                </c:pt>
                <c:pt idx="1">
                  <c:v>1.4237500000000001</c:v>
                </c:pt>
                <c:pt idx="2">
                  <c:v>1.4237500000000001</c:v>
                </c:pt>
                <c:pt idx="3">
                  <c:v>1.4237500000000001</c:v>
                </c:pt>
                <c:pt idx="4">
                  <c:v>1.5240187107018845</c:v>
                </c:pt>
                <c:pt idx="5">
                  <c:v>1.6313489240171621</c:v>
                </c:pt>
                <c:pt idx="6">
                  <c:v>1.7462379518072288</c:v>
                </c:pt>
                <c:pt idx="7">
                  <c:v>1.8598773354549423</c:v>
                </c:pt>
                <c:pt idx="8">
                  <c:v>1.9809119939003814</c:v>
                </c:pt>
                <c:pt idx="9">
                  <c:v>2.1098231871396709</c:v>
                </c:pt>
                <c:pt idx="10">
                  <c:v>2.2471234939759031</c:v>
                </c:pt>
                <c:pt idx="11">
                  <c:v>2.3609278130498867</c:v>
                </c:pt>
                <c:pt idx="12">
                  <c:v>2.480495688543717</c:v>
                </c:pt>
                <c:pt idx="13">
                  <c:v>2.6061190125654883</c:v>
                </c:pt>
                <c:pt idx="14">
                  <c:v>2.7381044599367037</c:v>
                </c:pt>
                <c:pt idx="15">
                  <c:v>2.8767742368545699</c:v>
                </c:pt>
                <c:pt idx="16">
                  <c:v>3.0224668674698787</c:v>
                </c:pt>
                <c:pt idx="17">
                  <c:v>3.1755380203006873</c:v>
                </c:pt>
                <c:pt idx="18">
                  <c:v>3.336361376499259</c:v>
                </c:pt>
                <c:pt idx="19">
                  <c:v>3.5053295420919013</c:v>
                </c:pt>
                <c:pt idx="20">
                  <c:v>3.6828550064186811</c:v>
                </c:pt>
                <c:pt idx="21">
                  <c:v>3.869371149112788</c:v>
                </c:pt>
                <c:pt idx="22">
                  <c:v>4.0653332980778067</c:v>
                </c:pt>
                <c:pt idx="23">
                  <c:v>4.2712198410456574</c:v>
                </c:pt>
                <c:pt idx="24">
                  <c:v>4.4875333934287749</c:v>
                </c:pt>
                <c:pt idx="25">
                  <c:v>4.7148020253175043</c:v>
                </c:pt>
                <c:pt idx="26">
                  <c:v>4.9535805506181045</c:v>
                </c:pt>
                <c:pt idx="27">
                  <c:v>5.2044518814784224</c:v>
                </c:pt>
                <c:pt idx="28">
                  <c:v>5.4680284513077071</c:v>
                </c:pt>
                <c:pt idx="29">
                  <c:v>5.7449537098644656</c:v>
                </c:pt>
                <c:pt idx="30">
                  <c:v>6.0359036940622159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A5F-4945-B555-0D1C1982BCF9}"/>
            </c:ext>
          </c:extLst>
        </c:ser>
        <c:ser>
          <c:idx val="4"/>
          <c:order val="4"/>
          <c:tx>
            <c:strRef>
              <c:f>Calculations!$C$58</c:f>
              <c:strCache>
                <c:ptCount val="1"/>
                <c:pt idx="0">
                  <c:v>onshore wind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Calculations!$D$58:$AH$58</c:f>
              <c:numCache>
                <c:formatCode>0_);[Red]\(0\)</c:formatCode>
                <c:ptCount val="31"/>
                <c:pt idx="0">
                  <c:v>4.7723199999999997</c:v>
                </c:pt>
                <c:pt idx="1">
                  <c:v>4.7723199999999997</c:v>
                </c:pt>
                <c:pt idx="2">
                  <c:v>4.7723199999999997</c:v>
                </c:pt>
                <c:pt idx="3">
                  <c:v>4.7723199999999997</c:v>
                </c:pt>
                <c:pt idx="4">
                  <c:v>5.1084143799521105</c:v>
                </c:pt>
                <c:pt idx="5">
                  <c:v>5.4681784702831129</c:v>
                </c:pt>
                <c:pt idx="6">
                  <c:v>5.8532792289156612</c:v>
                </c:pt>
                <c:pt idx="7">
                  <c:v>6.2341912593772282</c:v>
                </c:pt>
                <c:pt idx="8">
                  <c:v>6.6398917834807136</c:v>
                </c:pt>
                <c:pt idx="9">
                  <c:v>7.0719939543110737</c:v>
                </c:pt>
                <c:pt idx="10">
                  <c:v>7.5322159036144543</c:v>
                </c:pt>
                <c:pt idx="11">
                  <c:v>7.9136807871987589</c:v>
                </c:pt>
                <c:pt idx="12">
                  <c:v>8.3144647475687083</c:v>
                </c:pt>
                <c:pt idx="13">
                  <c:v>8.7355461886191588</c:v>
                </c:pt>
                <c:pt idx="14">
                  <c:v>9.1779530649658483</c:v>
                </c:pt>
                <c:pt idx="15">
                  <c:v>9.6427653914140805</c:v>
                </c:pt>
                <c:pt idx="16">
                  <c:v>10.131117879518067</c:v>
                </c:pt>
                <c:pt idx="17">
                  <c:v>10.644202707667338</c:v>
                </c:pt>
                <c:pt idx="18">
                  <c:v>11.183272431462644</c:v>
                </c:pt>
                <c:pt idx="19">
                  <c:v>11.749643041486229</c:v>
                </c:pt>
                <c:pt idx="20">
                  <c:v>12.344697175931165</c:v>
                </c:pt>
                <c:pt idx="21">
                  <c:v>12.969887495932527</c:v>
                </c:pt>
                <c:pt idx="22">
                  <c:v>13.626740231840332</c:v>
                </c:pt>
                <c:pt idx="23">
                  <c:v>14.316858909091488</c:v>
                </c:pt>
                <c:pt idx="24">
                  <c:v>15.041928262776473</c:v>
                </c:pt>
                <c:pt idx="25">
                  <c:v>15.80371835045705</c:v>
                </c:pt>
                <c:pt idx="26">
                  <c:v>16.604088873275352</c:v>
                </c:pt>
                <c:pt idx="27">
                  <c:v>17.444993715903138</c:v>
                </c:pt>
                <c:pt idx="28">
                  <c:v>18.328485716414246</c:v>
                </c:pt>
                <c:pt idx="29">
                  <c:v>19.256721677724581</c:v>
                </c:pt>
                <c:pt idx="30">
                  <c:v>20.231967632833697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A5F-4945-B555-0D1C1982BCF9}"/>
            </c:ext>
          </c:extLst>
        </c:ser>
        <c:ser>
          <c:idx val="5"/>
          <c:order val="5"/>
          <c:tx>
            <c:strRef>
              <c:f>Calculations!$C$59</c:f>
              <c:strCache>
                <c:ptCount val="1"/>
                <c:pt idx="0">
                  <c:v>solar PV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Calculations!$D$59:$AH$59</c:f>
              <c:numCache>
                <c:formatCode>0_);[Red]\(0\)</c:formatCode>
                <c:ptCount val="31"/>
                <c:pt idx="0">
                  <c:v>794.46575500000006</c:v>
                </c:pt>
                <c:pt idx="1">
                  <c:v>794.46575500000006</c:v>
                </c:pt>
                <c:pt idx="2">
                  <c:v>794.46575500000006</c:v>
                </c:pt>
                <c:pt idx="3">
                  <c:v>794.46575500000006</c:v>
                </c:pt>
                <c:pt idx="4">
                  <c:v>850.41662906542535</c:v>
                </c:pt>
                <c:pt idx="5">
                  <c:v>910.30788733115526</c:v>
                </c:pt>
                <c:pt idx="6">
                  <c:v>974.41703444578309</c:v>
                </c:pt>
                <c:pt idx="7">
                  <c:v>1037.8288684948895</c:v>
                </c:pt>
                <c:pt idx="8">
                  <c:v>1105.367334730551</c:v>
                </c:pt>
                <c:pt idx="9">
                  <c:v>1177.3009807110973</c:v>
                </c:pt>
                <c:pt idx="10">
                  <c:v>1253.9158301807227</c:v>
                </c:pt>
                <c:pt idx="11">
                  <c:v>1317.4196997332238</c:v>
                </c:pt>
                <c:pt idx="12">
                  <c:v>1384.1396874262541</c:v>
                </c:pt>
                <c:pt idx="13">
                  <c:v>1454.2386717736229</c:v>
                </c:pt>
                <c:pt idx="14">
                  <c:v>1527.8877801808469</c:v>
                </c:pt>
                <c:pt idx="15">
                  <c:v>1605.266806705682</c:v>
                </c:pt>
                <c:pt idx="16">
                  <c:v>1686.5646509759033</c:v>
                </c:pt>
                <c:pt idx="17">
                  <c:v>1771.9797793358321</c:v>
                </c:pt>
                <c:pt idx="18">
                  <c:v>1861.7207093473735</c:v>
                </c:pt>
                <c:pt idx="19">
                  <c:v>1956.0065188283381</c:v>
                </c:pt>
                <c:pt idx="20">
                  <c:v>2055.0673806707264</c:v>
                </c:pt>
                <c:pt idx="21">
                  <c:v>2159.1451247445884</c:v>
                </c:pt>
                <c:pt idx="22">
                  <c:v>2268.4938282591911</c:v>
                </c:pt>
                <c:pt idx="23">
                  <c:v>2383.3804360226982</c:v>
                </c:pt>
                <c:pt idx="24">
                  <c:v>2504.0854121145576</c:v>
                </c:pt>
                <c:pt idx="25">
                  <c:v>2630.9034245614735</c:v>
                </c:pt>
                <c:pt idx="26">
                  <c:v>2764.1440646884112</c:v>
                </c:pt>
                <c:pt idx="27">
                  <c:v>2904.1326029007359</c:v>
                </c:pt>
                <c:pt idx="28">
                  <c:v>3051.2107827425148</c:v>
                </c:pt>
                <c:pt idx="29">
                  <c:v>3205.737655169461</c:v>
                </c:pt>
                <c:pt idx="30">
                  <c:v>3368.0904550731684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A5F-4945-B555-0D1C1982BCF9}"/>
            </c:ext>
          </c:extLst>
        </c:ser>
        <c:ser>
          <c:idx val="6"/>
          <c:order val="6"/>
          <c:tx>
            <c:strRef>
              <c:f>Calculations!$C$60</c:f>
              <c:strCache>
                <c:ptCount val="1"/>
                <c:pt idx="0">
                  <c:v>solar thermal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Calculations!$D$60:$AH$60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A5F-4945-B555-0D1C1982BCF9}"/>
            </c:ext>
          </c:extLst>
        </c:ser>
        <c:ser>
          <c:idx val="7"/>
          <c:order val="7"/>
          <c:tx>
            <c:strRef>
              <c:f>Calculations!$C$61</c:f>
              <c:strCache>
                <c:ptCount val="1"/>
                <c:pt idx="0">
                  <c:v>biomass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Calculations!$D$61:$AH$61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A5F-4945-B555-0D1C1982BCF9}"/>
            </c:ext>
          </c:extLst>
        </c:ser>
        <c:ser>
          <c:idx val="8"/>
          <c:order val="8"/>
          <c:tx>
            <c:strRef>
              <c:f>Calculations!$C$62</c:f>
              <c:strCache>
                <c:ptCount val="1"/>
                <c:pt idx="0">
                  <c:v>geothermal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Calculations!$D$62:$AH$62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A5F-4945-B555-0D1C1982BCF9}"/>
            </c:ext>
          </c:extLst>
        </c:ser>
        <c:ser>
          <c:idx val="9"/>
          <c:order val="9"/>
          <c:tx>
            <c:strRef>
              <c:f>Calculations!$C$63</c:f>
              <c:strCache>
                <c:ptCount val="1"/>
                <c:pt idx="0">
                  <c:v>petroleum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Calculations!$D$63:$AH$63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A5F-4945-B555-0D1C1982BCF9}"/>
            </c:ext>
          </c:extLst>
        </c:ser>
        <c:ser>
          <c:idx val="10"/>
          <c:order val="10"/>
          <c:tx>
            <c:strRef>
              <c:f>Calculations!$C$64</c:f>
              <c:strCache>
                <c:ptCount val="1"/>
                <c:pt idx="0">
                  <c:v>natural gas peaker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Calculations!$D$64:$AH$64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A5F-4945-B555-0D1C1982BCF9}"/>
            </c:ext>
          </c:extLst>
        </c:ser>
        <c:ser>
          <c:idx val="11"/>
          <c:order val="11"/>
          <c:tx>
            <c:strRef>
              <c:f>Calculations!$C$65</c:f>
              <c:strCache>
                <c:ptCount val="1"/>
                <c:pt idx="0">
                  <c:v>lignite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Calculations!$D$65:$AH$65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A5F-4945-B555-0D1C1982BCF9}"/>
            </c:ext>
          </c:extLst>
        </c:ser>
        <c:ser>
          <c:idx val="12"/>
          <c:order val="12"/>
          <c:tx>
            <c:strRef>
              <c:f>Calculations!$C$66</c:f>
              <c:strCache>
                <c:ptCount val="1"/>
                <c:pt idx="0">
                  <c:v>offshore wind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Calculations!$D$66:$AH$66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A5F-4945-B555-0D1C1982BCF9}"/>
            </c:ext>
          </c:extLst>
        </c:ser>
        <c:ser>
          <c:idx val="13"/>
          <c:order val="13"/>
          <c:tx>
            <c:strRef>
              <c:f>Calculations!$C$67</c:f>
              <c:strCache>
                <c:ptCount val="1"/>
                <c:pt idx="0">
                  <c:v>crude oil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Calculations!$D$67:$AH$67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A5F-4945-B555-0D1C1982BCF9}"/>
            </c:ext>
          </c:extLst>
        </c:ser>
        <c:ser>
          <c:idx val="14"/>
          <c:order val="14"/>
          <c:tx>
            <c:strRef>
              <c:f>Calculations!$C$68</c:f>
              <c:strCache>
                <c:ptCount val="1"/>
                <c:pt idx="0">
                  <c:v>heavy or residual fuel oil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Calculations!$D$68:$AH$68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A5F-4945-B555-0D1C1982BCF9}"/>
            </c:ext>
          </c:extLst>
        </c:ser>
        <c:ser>
          <c:idx val="15"/>
          <c:order val="15"/>
          <c:tx>
            <c:strRef>
              <c:f>Calculations!$C$69</c:f>
              <c:strCache>
                <c:ptCount val="1"/>
                <c:pt idx="0">
                  <c:v>municipal solid waste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Calculations!$D$53:$AH$53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xVal>
          <c:yVal>
            <c:numRef>
              <c:f>Calculations!$D$69:$AH$69</c:f>
              <c:numCache>
                <c:formatCode>0_);[Red]\(0\)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9A5F-4945-B555-0D1C1982B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834720"/>
        <c:axId val="1767662448"/>
      </c:scatterChart>
      <c:valAx>
        <c:axId val="203583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7662448"/>
        <c:crosses val="autoZero"/>
        <c:crossBetween val="midCat"/>
      </c:valAx>
      <c:valAx>
        <c:axId val="176766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8347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524915</xdr:colOff>
      <xdr:row>52</xdr:row>
      <xdr:rowOff>163410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A5392A-275D-6459-FA4B-66C388FC5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9100"/>
          <a:ext cx="7449590" cy="1064091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21</xdr:col>
      <xdr:colOff>677327</xdr:colOff>
      <xdr:row>52</xdr:row>
      <xdr:rowOff>163410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7BF8B79-7F7E-B971-32EC-A61E97AF0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3800" y="419100"/>
          <a:ext cx="7535327" cy="1064091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34</xdr:col>
      <xdr:colOff>67737</xdr:colOff>
      <xdr:row>50</xdr:row>
      <xdr:rowOff>106194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1600688-A9C1-E110-DB7A-4F458F430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73400" y="419100"/>
          <a:ext cx="7611537" cy="101645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280985</xdr:colOff>
      <xdr:row>9</xdr:row>
      <xdr:rowOff>0</xdr:rowOff>
    </xdr:from>
    <xdr:to>
      <xdr:col>47</xdr:col>
      <xdr:colOff>628648</xdr:colOff>
      <xdr:row>10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26DA43-EA7E-49C5-B1A9-7CB02489A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119061</xdr:colOff>
      <xdr:row>10</xdr:row>
      <xdr:rowOff>109535</xdr:rowOff>
    </xdr:from>
    <xdr:to>
      <xdr:col>48</xdr:col>
      <xdr:colOff>57149</xdr:colOff>
      <xdr:row>30</xdr:row>
      <xdr:rowOff>133348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E86251-C3EF-43CE-A975-D6646C7720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100011</xdr:colOff>
      <xdr:row>31</xdr:row>
      <xdr:rowOff>128586</xdr:rowOff>
    </xdr:from>
    <xdr:to>
      <xdr:col>47</xdr:col>
      <xdr:colOff>457199</xdr:colOff>
      <xdr:row>47</xdr:row>
      <xdr:rowOff>133349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5DAD2A-6E53-4442-B9DE-1B6916276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30614</xdr:colOff>
      <xdr:row>50</xdr:row>
      <xdr:rowOff>189818</xdr:rowOff>
    </xdr:from>
    <xdr:to>
      <xdr:col>46</xdr:col>
      <xdr:colOff>102051</xdr:colOff>
      <xdr:row>69</xdr:row>
      <xdr:rowOff>40820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6581B57-A9BC-4C2C-BDA4-CAE1140EC4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kjh_local\NEXTgroup_local\2025_local\2.EPS\04.%20&#52572;&#49888;%20&#54028;&#51068;\eps-southkorea-develop_0821\eps-southkorea-develop\InputData\bldgs\SYDEC\Start%20Year%20Distributed%20Electricity%20Capacity.xlsx" TargetMode="External"/><Relationship Id="rId1" Type="http://schemas.openxmlformats.org/officeDocument/2006/relationships/externalLinkPath" Target="/kjh_local/NEXTgroup_local/2025_local/2.EPS/04.%20&#52572;&#49888;%20&#54028;&#51068;/eps-southkorea-develop_0821/eps-southkorea-develop/InputData/bldgs/SYDEC/Start%20Year%20Distributed%20Electricity%20Capac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KNREC"/>
      <sheetName val="KOSIS"/>
      <sheetName val="Calculations"/>
      <sheetName val="SYDEC"/>
    </sheetNames>
    <sheetDataSet>
      <sheetData sheetId="0"/>
      <sheetData sheetId="1"/>
      <sheetData sheetId="2"/>
      <sheetData sheetId="3">
        <row r="4">
          <cell r="F4">
            <v>0</v>
          </cell>
          <cell r="G4">
            <v>0</v>
          </cell>
          <cell r="H4">
            <v>0</v>
          </cell>
        </row>
        <row r="5">
          <cell r="F5">
            <v>0</v>
          </cell>
          <cell r="G5">
            <v>0</v>
          </cell>
          <cell r="H5">
            <v>0</v>
          </cell>
        </row>
        <row r="6">
          <cell r="F6">
            <v>0</v>
          </cell>
          <cell r="G6">
            <v>0</v>
          </cell>
          <cell r="H6">
            <v>0</v>
          </cell>
        </row>
        <row r="7">
          <cell r="F7">
            <v>0</v>
          </cell>
          <cell r="G7">
            <v>0.09</v>
          </cell>
          <cell r="H7">
            <v>1.4237500000000001</v>
          </cell>
        </row>
        <row r="8">
          <cell r="F8">
            <v>0</v>
          </cell>
          <cell r="G8">
            <v>8.4780999999999995</v>
          </cell>
          <cell r="H8">
            <v>4.7723199999999997</v>
          </cell>
        </row>
        <row r="9">
          <cell r="F9">
            <v>1376.5727545176001</v>
          </cell>
          <cell r="G9">
            <v>240.72332048239997</v>
          </cell>
          <cell r="H9">
            <v>794.46575500000006</v>
          </cell>
        </row>
        <row r="10">
          <cell r="F10">
            <v>0</v>
          </cell>
          <cell r="G10">
            <v>0</v>
          </cell>
          <cell r="H10">
            <v>0</v>
          </cell>
        </row>
        <row r="11">
          <cell r="F11">
            <v>0</v>
          </cell>
          <cell r="G11">
            <v>0</v>
          </cell>
          <cell r="H11">
            <v>0</v>
          </cell>
        </row>
        <row r="12">
          <cell r="F12">
            <v>0</v>
          </cell>
          <cell r="G12">
            <v>0</v>
          </cell>
          <cell r="H12">
            <v>0</v>
          </cell>
        </row>
        <row r="13">
          <cell r="F13">
            <v>0</v>
          </cell>
          <cell r="G13">
            <v>0</v>
          </cell>
          <cell r="H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0</v>
          </cell>
          <cell r="G15">
            <v>0</v>
          </cell>
          <cell r="H15">
            <v>0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0</v>
          </cell>
          <cell r="G17">
            <v>0</v>
          </cell>
          <cell r="H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</row>
        <row r="19">
          <cell r="F19">
            <v>0</v>
          </cell>
          <cell r="G19">
            <v>0</v>
          </cell>
          <cell r="H19">
            <v>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outlooks/aeo/data/browser/" TargetMode="External"/><Relationship Id="rId2" Type="http://schemas.openxmlformats.org/officeDocument/2006/relationships/hyperlink" Target="https://www.eia.gov/consumption/residential/data/2020/?src=%E2%80%B9%20Consumption%20%20%20%20%20%20Residential%20Energy%20Consumption%20Survey%20(RECS)-f1" TargetMode="External"/><Relationship Id="rId1" Type="http://schemas.openxmlformats.org/officeDocument/2006/relationships/hyperlink" Target="https://www.eia.gov/consumption/residential/data/2020/hc/xls/HC%202.1.xlsx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ia.gov/outlooks/aeo/data/browser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workbookViewId="0"/>
  </sheetViews>
  <sheetFormatPr defaultRowHeight="14.4"/>
  <cols>
    <col min="1" max="1" width="17.109375" customWidth="1"/>
    <col min="2" max="2" width="51" customWidth="1"/>
    <col min="4" max="4" width="14.33203125" bestFit="1" customWidth="1"/>
    <col min="5" max="5" width="10.88671875" bestFit="1" customWidth="1"/>
  </cols>
  <sheetData>
    <row r="1" spans="1:2">
      <c r="A1" s="1" t="s">
        <v>53</v>
      </c>
    </row>
    <row r="3" spans="1:2">
      <c r="A3" s="1" t="s">
        <v>13</v>
      </c>
      <c r="B3" s="4" t="s">
        <v>39</v>
      </c>
    </row>
    <row r="4" spans="1:2">
      <c r="B4" t="s">
        <v>0</v>
      </c>
    </row>
    <row r="5" spans="1:2">
      <c r="B5" s="2">
        <v>2022</v>
      </c>
    </row>
    <row r="6" spans="1:2">
      <c r="B6" t="s">
        <v>38</v>
      </c>
    </row>
    <row r="7" spans="1:2" ht="28.8">
      <c r="B7" s="13" t="s">
        <v>40</v>
      </c>
    </row>
    <row r="8" spans="1:2" ht="28.8">
      <c r="B8" s="13" t="s">
        <v>41</v>
      </c>
    </row>
    <row r="9" spans="1:2">
      <c r="B9" t="s">
        <v>26</v>
      </c>
    </row>
    <row r="11" spans="1:2">
      <c r="B11" s="4" t="s">
        <v>37</v>
      </c>
    </row>
    <row r="12" spans="1:2">
      <c r="B12" t="s">
        <v>0</v>
      </c>
    </row>
    <row r="13" spans="1:2">
      <c r="B13" s="2">
        <v>2021</v>
      </c>
    </row>
    <row r="14" spans="1:2">
      <c r="B14" t="s">
        <v>34</v>
      </c>
    </row>
    <row r="15" spans="1:2" ht="57.6">
      <c r="B15" s="13" t="s">
        <v>33</v>
      </c>
    </row>
    <row r="16" spans="1:2" ht="57.6">
      <c r="B16" s="13" t="s">
        <v>32</v>
      </c>
    </row>
    <row r="17" spans="1:2">
      <c r="B17" t="s">
        <v>26</v>
      </c>
    </row>
    <row r="19" spans="1:2">
      <c r="B19" s="4" t="s">
        <v>14</v>
      </c>
    </row>
    <row r="20" spans="1:2">
      <c r="B20" t="s">
        <v>0</v>
      </c>
    </row>
    <row r="21" spans="1:2">
      <c r="B21" s="2">
        <v>2020</v>
      </c>
    </row>
    <row r="22" spans="1:2">
      <c r="B22" t="s">
        <v>15</v>
      </c>
    </row>
    <row r="23" spans="1:2">
      <c r="B23" s="14" t="s">
        <v>36</v>
      </c>
    </row>
    <row r="24" spans="1:2">
      <c r="B24" s="14" t="s">
        <v>35</v>
      </c>
    </row>
    <row r="25" spans="1:2">
      <c r="B25" t="s">
        <v>16</v>
      </c>
    </row>
    <row r="27" spans="1:2">
      <c r="A27" s="1" t="s">
        <v>10</v>
      </c>
    </row>
    <row r="28" spans="1:2">
      <c r="A28" t="s">
        <v>42</v>
      </c>
    </row>
    <row r="29" spans="1:2">
      <c r="A29" t="s">
        <v>43</v>
      </c>
    </row>
    <row r="31" spans="1:2">
      <c r="A31" s="1" t="s">
        <v>21</v>
      </c>
    </row>
    <row r="32" spans="1:2">
      <c r="A32" s="5" t="e">
        <f>#REF!/SUM(#REF!,#REF!)</f>
        <v>#REF!</v>
      </c>
      <c r="B32" t="s">
        <v>11</v>
      </c>
    </row>
    <row r="33" spans="1:6">
      <c r="A33" s="5" t="e">
        <f>#REF!/SUM(#REF!,#REF!)</f>
        <v>#REF!</v>
      </c>
      <c r="B33" t="s">
        <v>12</v>
      </c>
    </row>
    <row r="35" spans="1:6" ht="57.6">
      <c r="A35" s="7" t="s">
        <v>27</v>
      </c>
      <c r="B35">
        <f>10^6</f>
        <v>1000000</v>
      </c>
      <c r="C35" s="8"/>
      <c r="D35" s="9"/>
      <c r="E35" s="10"/>
    </row>
    <row r="36" spans="1:6">
      <c r="A36" t="s">
        <v>31</v>
      </c>
      <c r="B36">
        <v>1000</v>
      </c>
      <c r="F36" s="10"/>
    </row>
  </sheetData>
  <phoneticPr fontId="27" type="noConversion"/>
  <hyperlinks>
    <hyperlink ref="B24" r:id="rId1" xr:uid="{4AF0AB73-D0E4-4FE5-BBEA-528CC825570E}"/>
    <hyperlink ref="B23" r:id="rId2" xr:uid="{D7708223-4A37-4EB1-A9D1-D689355820F5}"/>
    <hyperlink ref="B7" r:id="rId3" location="/?id=30-AEO2022&amp;sourcekey=0" xr:uid="{4CA0ADFE-7678-454E-AB8A-49047F597107}"/>
    <hyperlink ref="B8" r:id="rId4" location="/?id=32-AEO2022&amp;cases=ref2022&amp;sourcekey=0" xr:uid="{AD1548F3-80A9-479D-8E0C-362D5ED82A26}"/>
  </hyperlinks>
  <pageMargins left="0.7" right="0.7" top="0.75" bottom="0.75" header="0.3" footer="0.3"/>
  <pageSetup orientation="portrait" horizontalDpi="1200" verticalDpi="12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5BDAA-FDDD-42A5-AB6D-E3FE0EBBA0F2}">
  <dimension ref="A1:D25"/>
  <sheetViews>
    <sheetView workbookViewId="0">
      <selection activeCell="D7" sqref="D7"/>
    </sheetView>
  </sheetViews>
  <sheetFormatPr defaultRowHeight="14.4"/>
  <cols>
    <col min="1" max="4" width="23.33203125" customWidth="1"/>
  </cols>
  <sheetData>
    <row r="1" spans="1:4">
      <c r="A1" t="s">
        <v>57</v>
      </c>
      <c r="B1" s="23" t="s">
        <v>54</v>
      </c>
      <c r="C1" s="23" t="s">
        <v>55</v>
      </c>
      <c r="D1" s="23" t="s">
        <v>56</v>
      </c>
    </row>
    <row r="2" spans="1:4">
      <c r="A2" s="18" t="s">
        <v>18</v>
      </c>
      <c r="B2" s="19">
        <v>0</v>
      </c>
      <c r="C2" s="19">
        <v>0</v>
      </c>
      <c r="D2" s="19">
        <v>0</v>
      </c>
    </row>
    <row r="3" spans="1:4">
      <c r="A3" s="24" t="s">
        <v>44</v>
      </c>
      <c r="B3" s="19">
        <v>0</v>
      </c>
      <c r="C3" s="19">
        <v>0</v>
      </c>
      <c r="D3" s="19">
        <v>0</v>
      </c>
    </row>
    <row r="4" spans="1:4">
      <c r="A4" s="24" t="s">
        <v>45</v>
      </c>
      <c r="B4" s="19">
        <v>0</v>
      </c>
      <c r="C4" s="19">
        <v>0</v>
      </c>
      <c r="D4" s="19">
        <v>0</v>
      </c>
    </row>
    <row r="5" spans="1:4">
      <c r="A5" s="18" t="s">
        <v>2</v>
      </c>
      <c r="B5" s="19">
        <v>0</v>
      </c>
      <c r="C5" s="19">
        <v>0</v>
      </c>
      <c r="D5" s="19">
        <v>0</v>
      </c>
    </row>
    <row r="6" spans="1:4" s="20" customFormat="1">
      <c r="A6" s="29" t="s">
        <v>3</v>
      </c>
      <c r="B6" s="30">
        <v>0</v>
      </c>
      <c r="C6" s="30">
        <v>0.09</v>
      </c>
      <c r="D6" s="30">
        <v>1.4237500000000001</v>
      </c>
    </row>
    <row r="7" spans="1:4" s="20" customFormat="1">
      <c r="A7" s="29" t="s">
        <v>19</v>
      </c>
      <c r="B7" s="30">
        <v>0</v>
      </c>
      <c r="C7" s="30">
        <v>8.4780999999999995</v>
      </c>
      <c r="D7" s="30">
        <v>4.7723199999999997</v>
      </c>
    </row>
    <row r="8" spans="1:4" s="20" customFormat="1">
      <c r="A8" s="29" t="s">
        <v>4</v>
      </c>
      <c r="B8" s="30">
        <v>1376.5727545176001</v>
      </c>
      <c r="C8" s="30">
        <v>240.72332048239997</v>
      </c>
      <c r="D8" s="30">
        <v>794.46575500000006</v>
      </c>
    </row>
    <row r="9" spans="1:4">
      <c r="A9" s="18" t="s">
        <v>5</v>
      </c>
      <c r="B9" s="19">
        <v>0</v>
      </c>
      <c r="C9" s="19">
        <v>0</v>
      </c>
      <c r="D9" s="19">
        <v>0</v>
      </c>
    </row>
    <row r="10" spans="1:4">
      <c r="A10" s="18" t="s">
        <v>6</v>
      </c>
      <c r="B10" s="19">
        <v>0</v>
      </c>
      <c r="C10" s="19">
        <v>0</v>
      </c>
      <c r="D10" s="19">
        <v>0</v>
      </c>
    </row>
    <row r="11" spans="1:4">
      <c r="A11" s="18" t="s">
        <v>7</v>
      </c>
      <c r="B11" s="19">
        <v>0</v>
      </c>
      <c r="C11" s="19">
        <v>0</v>
      </c>
      <c r="D11" s="19">
        <v>0</v>
      </c>
    </row>
    <row r="12" spans="1:4">
      <c r="A12" s="18" t="s">
        <v>8</v>
      </c>
      <c r="B12" s="19">
        <v>0</v>
      </c>
      <c r="C12" s="19">
        <v>0</v>
      </c>
      <c r="D12" s="19">
        <v>0</v>
      </c>
    </row>
    <row r="13" spans="1:4">
      <c r="A13" s="18" t="s">
        <v>9</v>
      </c>
      <c r="B13" s="19">
        <v>0</v>
      </c>
      <c r="C13" s="19">
        <v>0</v>
      </c>
      <c r="D13" s="19">
        <v>0</v>
      </c>
    </row>
    <row r="14" spans="1:4">
      <c r="A14" s="18" t="s">
        <v>17</v>
      </c>
      <c r="B14" s="19">
        <v>0</v>
      </c>
      <c r="C14" s="19">
        <v>0</v>
      </c>
      <c r="D14" s="19">
        <v>0</v>
      </c>
    </row>
    <row r="15" spans="1:4">
      <c r="A15" s="18" t="s">
        <v>20</v>
      </c>
      <c r="B15" s="19">
        <v>0</v>
      </c>
      <c r="C15" s="19">
        <v>0</v>
      </c>
      <c r="D15" s="19">
        <v>0</v>
      </c>
    </row>
    <row r="16" spans="1:4">
      <c r="A16" s="18" t="s">
        <v>22</v>
      </c>
      <c r="B16" s="19">
        <v>0</v>
      </c>
      <c r="C16" s="19">
        <v>0</v>
      </c>
      <c r="D16" s="19">
        <v>0</v>
      </c>
    </row>
    <row r="17" spans="1:4">
      <c r="A17" s="18" t="s">
        <v>23</v>
      </c>
      <c r="B17" s="19">
        <v>0</v>
      </c>
      <c r="C17" s="19">
        <v>0</v>
      </c>
      <c r="D17" s="19">
        <v>0</v>
      </c>
    </row>
    <row r="18" spans="1:4">
      <c r="A18" s="18" t="s">
        <v>24</v>
      </c>
      <c r="B18" s="19">
        <v>0</v>
      </c>
      <c r="C18" s="19">
        <v>0</v>
      </c>
      <c r="D18" s="19">
        <v>0</v>
      </c>
    </row>
    <row r="19" spans="1:4">
      <c r="A19" s="24" t="s">
        <v>46</v>
      </c>
      <c r="B19" s="19">
        <v>0</v>
      </c>
      <c r="C19" s="19">
        <v>0</v>
      </c>
      <c r="D19" s="19">
        <v>0</v>
      </c>
    </row>
    <row r="20" spans="1:4">
      <c r="A20" s="24" t="s">
        <v>47</v>
      </c>
      <c r="B20" s="19">
        <v>0</v>
      </c>
      <c r="C20" s="19">
        <v>0</v>
      </c>
      <c r="D20" s="19">
        <v>0</v>
      </c>
    </row>
    <row r="21" spans="1:4">
      <c r="A21" s="24" t="s">
        <v>48</v>
      </c>
      <c r="B21" s="19">
        <v>0</v>
      </c>
      <c r="C21" s="19">
        <v>0</v>
      </c>
      <c r="D21" s="19">
        <v>0</v>
      </c>
    </row>
    <row r="22" spans="1:4">
      <c r="A22" s="24" t="s">
        <v>49</v>
      </c>
      <c r="B22" s="19">
        <v>0</v>
      </c>
      <c r="C22" s="19">
        <v>0</v>
      </c>
      <c r="D22" s="19">
        <v>0</v>
      </c>
    </row>
    <row r="23" spans="1:4">
      <c r="A23" s="24" t="s">
        <v>50</v>
      </c>
      <c r="B23" s="19">
        <v>0</v>
      </c>
      <c r="C23" s="19">
        <v>0</v>
      </c>
      <c r="D23" s="19">
        <v>0</v>
      </c>
    </row>
    <row r="24" spans="1:4">
      <c r="A24" s="24" t="s">
        <v>51</v>
      </c>
      <c r="B24" s="19">
        <v>0</v>
      </c>
      <c r="C24" s="19">
        <v>0</v>
      </c>
      <c r="D24" s="19">
        <v>0</v>
      </c>
    </row>
    <row r="25" spans="1:4">
      <c r="A25" s="24" t="s">
        <v>52</v>
      </c>
      <c r="B25" s="19">
        <v>0</v>
      </c>
      <c r="C25" s="19">
        <v>0</v>
      </c>
      <c r="D25" s="19"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1940E-E98A-4DEC-B297-C574CCBB0478}">
  <dimension ref="A1:D25"/>
  <sheetViews>
    <sheetView workbookViewId="0">
      <selection activeCell="J18" sqref="J18"/>
    </sheetView>
  </sheetViews>
  <sheetFormatPr defaultRowHeight="14.4"/>
  <cols>
    <col min="1" max="4" width="23.33203125" customWidth="1"/>
  </cols>
  <sheetData>
    <row r="1" spans="1:4">
      <c r="A1" t="s">
        <v>25</v>
      </c>
      <c r="B1" s="23" t="s">
        <v>54</v>
      </c>
      <c r="C1" s="23" t="s">
        <v>55</v>
      </c>
      <c r="D1" s="23" t="s">
        <v>56</v>
      </c>
    </row>
    <row r="2" spans="1:4">
      <c r="A2" s="18" t="s">
        <v>18</v>
      </c>
      <c r="B2" s="19">
        <f>[1]Calculations!F4</f>
        <v>0</v>
      </c>
      <c r="C2" s="19">
        <f>[1]Calculations!G4</f>
        <v>0</v>
      </c>
      <c r="D2" s="19">
        <f>[1]Calculations!H4</f>
        <v>0</v>
      </c>
    </row>
    <row r="3" spans="1:4">
      <c r="A3" s="24" t="s">
        <v>44</v>
      </c>
      <c r="B3" s="19">
        <f>[1]Calculations!F5</f>
        <v>0</v>
      </c>
      <c r="C3" s="19">
        <f>[1]Calculations!G5</f>
        <v>0</v>
      </c>
      <c r="D3" s="19">
        <f>[1]Calculations!H5</f>
        <v>0</v>
      </c>
    </row>
    <row r="4" spans="1:4">
      <c r="A4" s="24" t="s">
        <v>45</v>
      </c>
      <c r="B4" s="19">
        <v>0</v>
      </c>
      <c r="C4" s="19">
        <v>0</v>
      </c>
      <c r="D4" s="19">
        <v>0</v>
      </c>
    </row>
    <row r="5" spans="1:4">
      <c r="A5" s="18" t="s">
        <v>2</v>
      </c>
      <c r="B5" s="19">
        <f>[1]Calculations!F6</f>
        <v>0</v>
      </c>
      <c r="C5" s="19">
        <f>[1]Calculations!G6</f>
        <v>0</v>
      </c>
      <c r="D5" s="19">
        <f>[1]Calculations!H6</f>
        <v>0</v>
      </c>
    </row>
    <row r="6" spans="1:4">
      <c r="A6" s="29" t="s">
        <v>3</v>
      </c>
      <c r="B6" s="30">
        <f>[1]Calculations!F7</f>
        <v>0</v>
      </c>
      <c r="C6" s="30">
        <f>[1]Calculations!G7</f>
        <v>0.09</v>
      </c>
      <c r="D6" s="30">
        <f>[1]Calculations!H7</f>
        <v>1.4237500000000001</v>
      </c>
    </row>
    <row r="7" spans="1:4">
      <c r="A7" s="31" t="s">
        <v>19</v>
      </c>
      <c r="B7" s="30">
        <f>[1]Calculations!F8</f>
        <v>0</v>
      </c>
      <c r="C7" s="30">
        <f>[1]Calculations!G8</f>
        <v>8.4780999999999995</v>
      </c>
      <c r="D7" s="30">
        <f>[1]Calculations!H8</f>
        <v>4.7723199999999997</v>
      </c>
    </row>
    <row r="8" spans="1:4">
      <c r="A8" s="31" t="s">
        <v>4</v>
      </c>
      <c r="B8" s="30">
        <f>[1]Calculations!F9</f>
        <v>1376.5727545176001</v>
      </c>
      <c r="C8" s="30">
        <f>[1]Calculations!G9</f>
        <v>240.72332048239997</v>
      </c>
      <c r="D8" s="30">
        <f>[1]Calculations!H9</f>
        <v>794.46575500000006</v>
      </c>
    </row>
    <row r="9" spans="1:4">
      <c r="A9" s="18" t="s">
        <v>5</v>
      </c>
      <c r="B9" s="19">
        <f>[1]Calculations!F10</f>
        <v>0</v>
      </c>
      <c r="C9" s="19">
        <f>[1]Calculations!G10</f>
        <v>0</v>
      </c>
      <c r="D9" s="19">
        <f>[1]Calculations!H10</f>
        <v>0</v>
      </c>
    </row>
    <row r="10" spans="1:4">
      <c r="A10" s="18" t="s">
        <v>6</v>
      </c>
      <c r="B10" s="19">
        <f>[1]Calculations!F11</f>
        <v>0</v>
      </c>
      <c r="C10" s="19">
        <f>[1]Calculations!G11</f>
        <v>0</v>
      </c>
      <c r="D10" s="19">
        <f>[1]Calculations!H11</f>
        <v>0</v>
      </c>
    </row>
    <row r="11" spans="1:4">
      <c r="A11" s="18" t="s">
        <v>7</v>
      </c>
      <c r="B11" s="19">
        <f>[1]Calculations!F12</f>
        <v>0</v>
      </c>
      <c r="C11" s="19">
        <f>[1]Calculations!G12</f>
        <v>0</v>
      </c>
      <c r="D11" s="19">
        <f>[1]Calculations!H12</f>
        <v>0</v>
      </c>
    </row>
    <row r="12" spans="1:4">
      <c r="A12" s="18" t="s">
        <v>8</v>
      </c>
      <c r="B12" s="19">
        <f>[1]Calculations!F13</f>
        <v>0</v>
      </c>
      <c r="C12" s="19">
        <f>[1]Calculations!G13</f>
        <v>0</v>
      </c>
      <c r="D12" s="19">
        <f>[1]Calculations!H13</f>
        <v>0</v>
      </c>
    </row>
    <row r="13" spans="1:4">
      <c r="A13" s="18" t="s">
        <v>9</v>
      </c>
      <c r="B13" s="19">
        <f>[1]Calculations!F14</f>
        <v>0</v>
      </c>
      <c r="C13" s="19">
        <f>[1]Calculations!G14</f>
        <v>0</v>
      </c>
      <c r="D13" s="19">
        <f>[1]Calculations!H14</f>
        <v>0</v>
      </c>
    </row>
    <row r="14" spans="1:4">
      <c r="A14" s="18" t="s">
        <v>17</v>
      </c>
      <c r="B14" s="19">
        <f>[1]Calculations!F15</f>
        <v>0</v>
      </c>
      <c r="C14" s="19">
        <f>[1]Calculations!G15</f>
        <v>0</v>
      </c>
      <c r="D14" s="19">
        <f>[1]Calculations!H15</f>
        <v>0</v>
      </c>
    </row>
    <row r="15" spans="1:4">
      <c r="A15" s="18" t="s">
        <v>20</v>
      </c>
      <c r="B15" s="19">
        <f>[1]Calculations!F16</f>
        <v>0</v>
      </c>
      <c r="C15" s="19">
        <f>[1]Calculations!G16</f>
        <v>0</v>
      </c>
      <c r="D15" s="19">
        <f>[1]Calculations!H16</f>
        <v>0</v>
      </c>
    </row>
    <row r="16" spans="1:4">
      <c r="A16" s="18" t="s">
        <v>22</v>
      </c>
      <c r="B16" s="19">
        <f>[1]Calculations!F17</f>
        <v>0</v>
      </c>
      <c r="C16" s="19">
        <f>[1]Calculations!G17</f>
        <v>0</v>
      </c>
      <c r="D16" s="19">
        <f>[1]Calculations!H17</f>
        <v>0</v>
      </c>
    </row>
    <row r="17" spans="1:4">
      <c r="A17" s="18" t="s">
        <v>23</v>
      </c>
      <c r="B17" s="19">
        <f>[1]Calculations!F18</f>
        <v>0</v>
      </c>
      <c r="C17" s="19">
        <f>[1]Calculations!G18</f>
        <v>0</v>
      </c>
      <c r="D17" s="19">
        <f>[1]Calculations!H18</f>
        <v>0</v>
      </c>
    </row>
    <row r="18" spans="1:4">
      <c r="A18" s="18" t="s">
        <v>24</v>
      </c>
      <c r="B18" s="19">
        <f>[1]Calculations!F19</f>
        <v>0</v>
      </c>
      <c r="C18" s="19">
        <f>[1]Calculations!G19</f>
        <v>0</v>
      </c>
      <c r="D18" s="19">
        <f>[1]Calculations!H19</f>
        <v>0</v>
      </c>
    </row>
    <row r="19" spans="1:4">
      <c r="A19" s="24" t="s">
        <v>46</v>
      </c>
      <c r="B19" s="19">
        <v>0</v>
      </c>
      <c r="C19" s="19">
        <v>0</v>
      </c>
      <c r="D19" s="19">
        <v>0</v>
      </c>
    </row>
    <row r="20" spans="1:4">
      <c r="A20" s="24" t="s">
        <v>47</v>
      </c>
      <c r="B20" s="19">
        <v>0</v>
      </c>
      <c r="C20" s="19">
        <v>0</v>
      </c>
      <c r="D20" s="19">
        <v>0</v>
      </c>
    </row>
    <row r="21" spans="1:4">
      <c r="A21" s="24" t="s">
        <v>48</v>
      </c>
      <c r="B21" s="19">
        <v>0</v>
      </c>
      <c r="C21" s="19">
        <v>0</v>
      </c>
      <c r="D21" s="19">
        <v>0</v>
      </c>
    </row>
    <row r="22" spans="1:4">
      <c r="A22" s="24" t="s">
        <v>49</v>
      </c>
      <c r="B22" s="19">
        <v>0</v>
      </c>
      <c r="C22" s="19">
        <v>0</v>
      </c>
      <c r="D22" s="19">
        <v>0</v>
      </c>
    </row>
    <row r="23" spans="1:4">
      <c r="A23" s="24" t="s">
        <v>50</v>
      </c>
      <c r="B23" s="19">
        <v>0</v>
      </c>
      <c r="C23" s="19">
        <v>0</v>
      </c>
      <c r="D23" s="19">
        <v>0</v>
      </c>
    </row>
    <row r="24" spans="1:4">
      <c r="A24" s="24" t="s">
        <v>51</v>
      </c>
      <c r="B24" s="19">
        <v>0</v>
      </c>
      <c r="C24" s="19">
        <v>0</v>
      </c>
      <c r="D24" s="19">
        <v>0</v>
      </c>
    </row>
    <row r="25" spans="1:4">
      <c r="A25" s="24" t="s">
        <v>52</v>
      </c>
      <c r="B25" s="19">
        <v>0</v>
      </c>
      <c r="C25" s="19">
        <v>0</v>
      </c>
      <c r="D25" s="19">
        <v>0</v>
      </c>
    </row>
  </sheetData>
  <phoneticPr fontId="27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21CA-1C7C-447B-BBD7-873F5BC39976}">
  <dimension ref="A2:X62"/>
  <sheetViews>
    <sheetView workbookViewId="0">
      <selection activeCell="H60" sqref="H60"/>
    </sheetView>
  </sheetViews>
  <sheetFormatPr defaultRowHeight="14.4"/>
  <cols>
    <col min="1" max="1" width="18.88671875" customWidth="1"/>
  </cols>
  <sheetData>
    <row r="2" spans="1:24">
      <c r="A2" t="s">
        <v>60</v>
      </c>
      <c r="X2" t="s">
        <v>61</v>
      </c>
    </row>
    <row r="57" spans="1:9" ht="28.8">
      <c r="A57" s="32" t="s">
        <v>62</v>
      </c>
      <c r="B57" s="34">
        <v>2023</v>
      </c>
      <c r="C57" s="34">
        <v>2026</v>
      </c>
      <c r="D57" s="34">
        <v>2030</v>
      </c>
      <c r="E57" s="34">
        <v>2036</v>
      </c>
      <c r="F57" s="37" t="s">
        <v>67</v>
      </c>
      <c r="G57" s="37" t="s">
        <v>68</v>
      </c>
      <c r="H57" s="37" t="s">
        <v>69</v>
      </c>
    </row>
    <row r="58" spans="1:9">
      <c r="A58" s="35" t="s">
        <v>63</v>
      </c>
      <c r="B58" s="33">
        <v>41.5</v>
      </c>
      <c r="C58" s="33">
        <v>50.9</v>
      </c>
      <c r="D58" s="33">
        <v>65.5</v>
      </c>
      <c r="E58" s="33">
        <v>88.1</v>
      </c>
      <c r="F58" s="36">
        <f t="shared" ref="F58:H62" si="0">(C58/B58)^(1/(C$57-B$57))-1</f>
        <v>7.0425784514054124E-2</v>
      </c>
      <c r="G58" s="36">
        <f t="shared" si="0"/>
        <v>6.507668873540684E-2</v>
      </c>
      <c r="H58" s="36">
        <f t="shared" si="0"/>
        <v>5.0644443609383583E-2</v>
      </c>
      <c r="I58" t="s">
        <v>71</v>
      </c>
    </row>
    <row r="59" spans="1:9">
      <c r="A59" s="35" t="s">
        <v>64</v>
      </c>
      <c r="B59" s="33">
        <v>5</v>
      </c>
      <c r="C59" s="33">
        <v>6.7</v>
      </c>
      <c r="D59" s="33">
        <v>9</v>
      </c>
      <c r="E59" s="33">
        <v>12.6</v>
      </c>
      <c r="F59" s="36">
        <f t="shared" si="0"/>
        <v>0.10247377144973324</v>
      </c>
      <c r="G59" s="36">
        <f t="shared" si="0"/>
        <v>7.6569140338595965E-2</v>
      </c>
      <c r="H59" s="36">
        <f t="shared" si="0"/>
        <v>5.7680926405216493E-2</v>
      </c>
    </row>
    <row r="60" spans="1:9">
      <c r="A60" s="35" t="s">
        <v>65</v>
      </c>
      <c r="B60" s="33">
        <v>5.7</v>
      </c>
      <c r="C60" s="33">
        <v>6.1</v>
      </c>
      <c r="D60" s="33">
        <v>6.1</v>
      </c>
      <c r="E60" s="33">
        <v>6.1</v>
      </c>
      <c r="F60" s="36">
        <f t="shared" si="0"/>
        <v>2.2865019087619176E-2</v>
      </c>
      <c r="G60" s="36">
        <f t="shared" si="0"/>
        <v>0</v>
      </c>
      <c r="H60" s="36">
        <f t="shared" si="0"/>
        <v>0</v>
      </c>
    </row>
    <row r="61" spans="1:9">
      <c r="A61" s="35" t="s">
        <v>70</v>
      </c>
      <c r="B61" s="33">
        <v>40.700000000000003</v>
      </c>
      <c r="C61" s="33">
        <v>51.8</v>
      </c>
      <c r="D61" s="33">
        <v>56.6</v>
      </c>
      <c r="E61" s="33">
        <v>56.6</v>
      </c>
      <c r="F61" s="36">
        <f t="shared" si="0"/>
        <v>8.3706762661827083E-2</v>
      </c>
      <c r="G61" s="36">
        <f t="shared" si="0"/>
        <v>2.2401947003968914E-2</v>
      </c>
      <c r="H61" s="36">
        <f t="shared" si="0"/>
        <v>0</v>
      </c>
    </row>
    <row r="62" spans="1:9">
      <c r="A62" s="35" t="s">
        <v>66</v>
      </c>
      <c r="B62" s="33">
        <v>92.9</v>
      </c>
      <c r="C62" s="33">
        <v>115.5</v>
      </c>
      <c r="D62" s="33">
        <v>137.19999999999999</v>
      </c>
      <c r="E62" s="33">
        <v>163.4</v>
      </c>
      <c r="F62" s="36">
        <f t="shared" si="0"/>
        <v>7.5281292415575463E-2</v>
      </c>
      <c r="G62" s="36">
        <f t="shared" si="0"/>
        <v>4.3982050528710959E-2</v>
      </c>
      <c r="H62" s="36">
        <f t="shared" si="0"/>
        <v>2.9555248264960365E-2</v>
      </c>
    </row>
  </sheetData>
  <phoneticPr fontId="27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8DE0-AEAD-4096-B0F3-BDB0F419C9A6}">
  <dimension ref="A1:BC70"/>
  <sheetViews>
    <sheetView workbookViewId="0">
      <pane ySplit="6" topLeftCell="A7" activePane="bottomLeft" state="frozen"/>
      <selection pane="bottomLeft" activeCell="H10" sqref="H10"/>
    </sheetView>
  </sheetViews>
  <sheetFormatPr defaultRowHeight="14.4"/>
  <cols>
    <col min="1" max="1" width="17.5546875" customWidth="1"/>
    <col min="2" max="2" width="34" customWidth="1"/>
    <col min="3" max="3" width="18.77734375" customWidth="1"/>
    <col min="4" max="4" width="22" customWidth="1"/>
    <col min="5" max="5" width="23" customWidth="1"/>
    <col min="6" max="6" width="11.21875" customWidth="1"/>
    <col min="7" max="7" width="11.6640625" customWidth="1"/>
    <col min="8" max="8" width="10.33203125" customWidth="1"/>
    <col min="9" max="9" width="12" customWidth="1"/>
    <col min="10" max="10" width="9.33203125" bestFit="1" customWidth="1"/>
    <col min="11" max="12" width="9.6640625" bestFit="1" customWidth="1"/>
    <col min="13" max="14" width="9.33203125" bestFit="1" customWidth="1"/>
    <col min="15" max="15" width="9.6640625" bestFit="1" customWidth="1"/>
    <col min="18" max="18" width="13" customWidth="1"/>
    <col min="19" max="19" width="14.109375" customWidth="1"/>
    <col min="23" max="23" width="12.109375" customWidth="1"/>
    <col min="24" max="24" width="13.6640625" customWidth="1"/>
    <col min="29" max="33" width="9.6640625" bestFit="1" customWidth="1"/>
    <col min="34" max="34" width="13" customWidth="1"/>
    <col min="48" max="48" width="11.21875" customWidth="1"/>
    <col min="49" max="49" width="12" customWidth="1"/>
    <col min="50" max="50" width="11" customWidth="1"/>
    <col min="51" max="51" width="9.6640625" bestFit="1" customWidth="1"/>
    <col min="52" max="53" width="9.33203125" bestFit="1" customWidth="1"/>
    <col min="54" max="55" width="9.6640625" bestFit="1" customWidth="1"/>
  </cols>
  <sheetData>
    <row r="1" spans="1:34">
      <c r="A1" t="s">
        <v>75</v>
      </c>
      <c r="B1" t="str">
        <f>Sheet3!A57</f>
        <v>구분</v>
      </c>
      <c r="C1">
        <f>Sheet3!B57</f>
        <v>2023</v>
      </c>
      <c r="D1">
        <f>Sheet3!C57</f>
        <v>2026</v>
      </c>
      <c r="E1">
        <f>Sheet3!D57</f>
        <v>2030</v>
      </c>
      <c r="F1">
        <f>Sheet3!E57</f>
        <v>2036</v>
      </c>
      <c r="G1" t="str">
        <f>Sheet3!F57</f>
        <v>’23→’26 (3y)</v>
      </c>
      <c r="H1" t="str">
        <f>Sheet3!G57</f>
        <v>’26→’30 (4y)</v>
      </c>
      <c r="I1" t="str">
        <f>Sheet3!H57</f>
        <v>’30→’36 (6y)</v>
      </c>
    </row>
    <row r="2" spans="1:34">
      <c r="A2" s="45" t="s">
        <v>76</v>
      </c>
      <c r="B2" s="18" t="str">
        <f>Sheet3!A58</f>
        <v>신재생 등(사업용)</v>
      </c>
      <c r="C2" s="18">
        <f>Sheet3!B58</f>
        <v>41.5</v>
      </c>
      <c r="D2" s="18">
        <f>Sheet3!C58</f>
        <v>50.9</v>
      </c>
      <c r="E2" s="18">
        <f>Sheet3!D58</f>
        <v>65.5</v>
      </c>
      <c r="F2" s="18">
        <f>Sheet3!E58</f>
        <v>88.1</v>
      </c>
      <c r="G2" s="38">
        <f>Sheet3!F58</f>
        <v>7.0425784514054124E-2</v>
      </c>
      <c r="H2" s="38">
        <f>Sheet3!G58</f>
        <v>6.507668873540684E-2</v>
      </c>
      <c r="I2" s="38">
        <f>Sheet3!H58</f>
        <v>5.0644443609383583E-2</v>
      </c>
      <c r="J2" s="18" t="s">
        <v>71</v>
      </c>
    </row>
    <row r="3" spans="1:34">
      <c r="A3" s="45" t="s">
        <v>77</v>
      </c>
      <c r="B3" s="41" t="str">
        <f>Sheet3!A59</f>
        <v>자가용 신재생</v>
      </c>
      <c r="C3" s="41">
        <f>Sheet3!B59</f>
        <v>5</v>
      </c>
      <c r="D3" s="41">
        <f>Sheet3!C59</f>
        <v>6.7</v>
      </c>
      <c r="E3" s="41">
        <f>Sheet3!D59</f>
        <v>9</v>
      </c>
      <c r="F3" s="41">
        <f>Sheet3!E59</f>
        <v>12.6</v>
      </c>
      <c r="G3" s="42">
        <f>Sheet3!F59</f>
        <v>0.10247377144973324</v>
      </c>
      <c r="H3" s="42">
        <f>Sheet3!G59</f>
        <v>7.6569140338595965E-2</v>
      </c>
      <c r="I3" s="42">
        <f>Sheet3!H59</f>
        <v>5.7680926405216493E-2</v>
      </c>
      <c r="J3" s="41" t="s">
        <v>73</v>
      </c>
    </row>
    <row r="4" spans="1:34">
      <c r="A4" s="45" t="s">
        <v>78</v>
      </c>
      <c r="B4" t="str">
        <f>Sheet3!A60</f>
        <v>상용자가</v>
      </c>
      <c r="C4">
        <f>Sheet3!B60</f>
        <v>5.7</v>
      </c>
      <c r="D4">
        <f>Sheet3!C60</f>
        <v>6.1</v>
      </c>
      <c r="E4">
        <f>Sheet3!D60</f>
        <v>6.1</v>
      </c>
      <c r="F4">
        <f>Sheet3!E60</f>
        <v>6.1</v>
      </c>
      <c r="G4" s="44">
        <f>Sheet3!F60</f>
        <v>2.2865019087619176E-2</v>
      </c>
      <c r="H4" s="44">
        <f>Sheet3!G60</f>
        <v>0</v>
      </c>
      <c r="I4" s="44">
        <f>Sheet3!H60</f>
        <v>0</v>
      </c>
    </row>
    <row r="5" spans="1:34">
      <c r="A5" s="45" t="s">
        <v>79</v>
      </c>
      <c r="B5" t="str">
        <f>Sheet3!A61</f>
        <v>집단에너지</v>
      </c>
      <c r="C5">
        <f>Sheet3!B61</f>
        <v>40.700000000000003</v>
      </c>
      <c r="D5">
        <f>Sheet3!C61</f>
        <v>51.8</v>
      </c>
      <c r="E5">
        <f>Sheet3!D61</f>
        <v>56.6</v>
      </c>
      <c r="F5">
        <f>Sheet3!E61</f>
        <v>56.6</v>
      </c>
      <c r="G5" s="5">
        <f>Sheet3!F61</f>
        <v>8.3706762661827083E-2</v>
      </c>
      <c r="H5" s="5">
        <f>Sheet3!G61</f>
        <v>2.2401947003968914E-2</v>
      </c>
      <c r="I5" s="5">
        <f>Sheet3!H61</f>
        <v>0</v>
      </c>
    </row>
    <row r="6" spans="1:34">
      <c r="A6" s="45" t="s">
        <v>74</v>
      </c>
      <c r="B6" t="str">
        <f>Sheet3!A62</f>
        <v>합계</v>
      </c>
      <c r="C6">
        <f>Sheet3!B62</f>
        <v>92.9</v>
      </c>
      <c r="D6">
        <f>Sheet3!C62</f>
        <v>115.5</v>
      </c>
      <c r="E6">
        <f>Sheet3!D62</f>
        <v>137.19999999999999</v>
      </c>
      <c r="F6">
        <f>Sheet3!E62</f>
        <v>163.4</v>
      </c>
      <c r="G6" s="5">
        <f>Sheet3!F62</f>
        <v>7.5281292415575463E-2</v>
      </c>
      <c r="H6" s="5">
        <f>Sheet3!G62</f>
        <v>4.3982050528710959E-2</v>
      </c>
      <c r="I6" s="5">
        <f>Sheet3!H62</f>
        <v>2.9555248264960365E-2</v>
      </c>
    </row>
    <row r="9" spans="1:34">
      <c r="H9" t="s">
        <v>80</v>
      </c>
    </row>
    <row r="10" spans="1:34">
      <c r="B10" s="21" t="s">
        <v>58</v>
      </c>
      <c r="H10" t="s">
        <v>72</v>
      </c>
    </row>
    <row r="11" spans="1:34">
      <c r="B11" s="22" t="s">
        <v>28</v>
      </c>
      <c r="E11" t="s">
        <v>59</v>
      </c>
      <c r="F11" t="s">
        <v>59</v>
      </c>
      <c r="H11" s="43">
        <f>G3</f>
        <v>0.10247377144973324</v>
      </c>
      <c r="I11" s="39">
        <f>H11</f>
        <v>0.10247377144973324</v>
      </c>
      <c r="J11" s="39">
        <f>I11</f>
        <v>0.10247377144973324</v>
      </c>
      <c r="K11" s="43">
        <f>H3</f>
        <v>7.6569140338595965E-2</v>
      </c>
      <c r="L11" s="39">
        <f>K11</f>
        <v>7.6569140338595965E-2</v>
      </c>
      <c r="M11" s="39">
        <f t="shared" ref="M11:N11" si="0">L11</f>
        <v>7.6569140338595965E-2</v>
      </c>
      <c r="N11" s="39">
        <f t="shared" si="0"/>
        <v>7.6569140338595965E-2</v>
      </c>
      <c r="O11" s="43">
        <f>I3</f>
        <v>5.7680926405216493E-2</v>
      </c>
      <c r="P11" s="39">
        <f>O11</f>
        <v>5.7680926405216493E-2</v>
      </c>
      <c r="Q11" s="39">
        <f t="shared" ref="Q11:AH11" si="1">P11</f>
        <v>5.7680926405216493E-2</v>
      </c>
      <c r="R11" s="39">
        <f t="shared" si="1"/>
        <v>5.7680926405216493E-2</v>
      </c>
      <c r="S11" s="39">
        <f t="shared" si="1"/>
        <v>5.7680926405216493E-2</v>
      </c>
      <c r="T11" s="39">
        <f t="shared" si="1"/>
        <v>5.7680926405216493E-2</v>
      </c>
      <c r="U11" s="43">
        <v>0</v>
      </c>
      <c r="V11" s="39">
        <f t="shared" si="1"/>
        <v>0</v>
      </c>
      <c r="W11" s="39">
        <f t="shared" si="1"/>
        <v>0</v>
      </c>
      <c r="X11" s="39">
        <f t="shared" si="1"/>
        <v>0</v>
      </c>
      <c r="Y11" s="39">
        <f t="shared" si="1"/>
        <v>0</v>
      </c>
      <c r="Z11" s="39">
        <f t="shared" si="1"/>
        <v>0</v>
      </c>
      <c r="AA11" s="39">
        <f t="shared" si="1"/>
        <v>0</v>
      </c>
      <c r="AB11" s="39">
        <f t="shared" si="1"/>
        <v>0</v>
      </c>
      <c r="AC11" s="39">
        <f t="shared" si="1"/>
        <v>0</v>
      </c>
      <c r="AD11" s="39">
        <f t="shared" si="1"/>
        <v>0</v>
      </c>
      <c r="AE11" s="39">
        <f t="shared" si="1"/>
        <v>0</v>
      </c>
      <c r="AF11" s="39">
        <f t="shared" si="1"/>
        <v>0</v>
      </c>
      <c r="AG11" s="39">
        <f t="shared" si="1"/>
        <v>0</v>
      </c>
      <c r="AH11" s="39">
        <f t="shared" si="1"/>
        <v>0</v>
      </c>
    </row>
    <row r="12" spans="1:34">
      <c r="C12" s="1" t="s">
        <v>25</v>
      </c>
      <c r="D12">
        <v>2020</v>
      </c>
      <c r="E12">
        <v>2021</v>
      </c>
      <c r="F12">
        <v>2022</v>
      </c>
      <c r="G12">
        <v>2023</v>
      </c>
      <c r="H12">
        <v>2024</v>
      </c>
      <c r="I12">
        <v>2025</v>
      </c>
      <c r="J12">
        <v>2026</v>
      </c>
      <c r="K12">
        <v>2027</v>
      </c>
      <c r="L12">
        <v>2028</v>
      </c>
      <c r="M12">
        <v>2029</v>
      </c>
      <c r="N12">
        <v>2030</v>
      </c>
      <c r="O12">
        <v>2031</v>
      </c>
      <c r="P12">
        <v>2032</v>
      </c>
      <c r="Q12">
        <v>2033</v>
      </c>
      <c r="R12">
        <v>2034</v>
      </c>
      <c r="S12">
        <v>2035</v>
      </c>
      <c r="T12">
        <v>2036</v>
      </c>
      <c r="U12">
        <v>2037</v>
      </c>
      <c r="V12">
        <v>2038</v>
      </c>
      <c r="W12">
        <v>2039</v>
      </c>
      <c r="X12">
        <v>2040</v>
      </c>
      <c r="Y12">
        <v>2041</v>
      </c>
      <c r="Z12">
        <v>2042</v>
      </c>
      <c r="AA12">
        <v>2043</v>
      </c>
      <c r="AB12">
        <v>2044</v>
      </c>
      <c r="AC12">
        <v>2045</v>
      </c>
      <c r="AD12">
        <v>2046</v>
      </c>
      <c r="AE12">
        <v>2047</v>
      </c>
      <c r="AF12">
        <v>2048</v>
      </c>
      <c r="AG12">
        <v>2049</v>
      </c>
      <c r="AH12">
        <v>2050</v>
      </c>
    </row>
    <row r="13" spans="1:34">
      <c r="C13" t="s">
        <v>18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</row>
    <row r="14" spans="1:34">
      <c r="B14" s="3"/>
      <c r="C14" t="s">
        <v>1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</row>
    <row r="15" spans="1:34">
      <c r="C15" t="s">
        <v>2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</row>
    <row r="16" spans="1:34" s="25" customFormat="1">
      <c r="C16" s="25" t="s">
        <v>3</v>
      </c>
      <c r="D16" s="26">
        <f>SYDEC_2020!B6</f>
        <v>0</v>
      </c>
      <c r="E16" s="26">
        <f>_xlfn.FORECAST.LINEAR(E$12, CHOOSE({1,2}, $D16,$G16), CHOOSE({1,2}, $D$12,$G$12))</f>
        <v>0</v>
      </c>
      <c r="F16" s="26">
        <f>_xlfn.FORECAST.LINEAR(F$12, CHOOSE({1,2}, $D16,$G16), CHOOSE({1,2}, $D$12,$G$12))</f>
        <v>0</v>
      </c>
      <c r="G16" s="26">
        <f>SYDEC_2023!B6</f>
        <v>0</v>
      </c>
      <c r="H16" s="26">
        <f>G16*(1+H$11)</f>
        <v>0</v>
      </c>
      <c r="I16" s="26">
        <f t="shared" ref="I16:AH18" si="2">H16*(1+I$11)</f>
        <v>0</v>
      </c>
      <c r="J16" s="26">
        <f t="shared" si="2"/>
        <v>0</v>
      </c>
      <c r="K16" s="26">
        <f t="shared" si="2"/>
        <v>0</v>
      </c>
      <c r="L16" s="26">
        <f t="shared" si="2"/>
        <v>0</v>
      </c>
      <c r="M16" s="26">
        <f t="shared" si="2"/>
        <v>0</v>
      </c>
      <c r="N16" s="26">
        <f t="shared" si="2"/>
        <v>0</v>
      </c>
      <c r="O16" s="26">
        <f t="shared" si="2"/>
        <v>0</v>
      </c>
      <c r="P16" s="26">
        <f t="shared" si="2"/>
        <v>0</v>
      </c>
      <c r="Q16" s="26">
        <f t="shared" si="2"/>
        <v>0</v>
      </c>
      <c r="R16" s="26">
        <f t="shared" si="2"/>
        <v>0</v>
      </c>
      <c r="S16" s="26">
        <f t="shared" si="2"/>
        <v>0</v>
      </c>
      <c r="T16" s="26">
        <f t="shared" si="2"/>
        <v>0</v>
      </c>
      <c r="U16" s="26">
        <f t="shared" si="2"/>
        <v>0</v>
      </c>
      <c r="V16" s="26">
        <f t="shared" si="2"/>
        <v>0</v>
      </c>
      <c r="W16" s="26">
        <f t="shared" si="2"/>
        <v>0</v>
      </c>
      <c r="X16" s="26">
        <f t="shared" si="2"/>
        <v>0</v>
      </c>
      <c r="Y16" s="26">
        <f t="shared" si="2"/>
        <v>0</v>
      </c>
      <c r="Z16" s="26">
        <f t="shared" si="2"/>
        <v>0</v>
      </c>
      <c r="AA16" s="26">
        <f t="shared" si="2"/>
        <v>0</v>
      </c>
      <c r="AB16" s="26">
        <f t="shared" si="2"/>
        <v>0</v>
      </c>
      <c r="AC16" s="26">
        <f t="shared" si="2"/>
        <v>0</v>
      </c>
      <c r="AD16" s="26">
        <f t="shared" si="2"/>
        <v>0</v>
      </c>
      <c r="AE16" s="26">
        <f t="shared" si="2"/>
        <v>0</v>
      </c>
      <c r="AF16" s="26">
        <f t="shared" si="2"/>
        <v>0</v>
      </c>
      <c r="AG16" s="26">
        <f t="shared" si="2"/>
        <v>0</v>
      </c>
      <c r="AH16" s="26">
        <f t="shared" si="2"/>
        <v>0</v>
      </c>
    </row>
    <row r="17" spans="2:34" s="25" customFormat="1">
      <c r="B17" s="27"/>
      <c r="C17" s="25" t="s">
        <v>19</v>
      </c>
      <c r="D17" s="26">
        <f>SYDEC_2020!B7</f>
        <v>0</v>
      </c>
      <c r="E17" s="26">
        <f>_xlfn.FORECAST.LINEAR(E$12, CHOOSE({1,2}, $D17,$G17), CHOOSE({1,2}, $D$12,$G$12))</f>
        <v>0</v>
      </c>
      <c r="F17" s="26">
        <f>_xlfn.FORECAST.LINEAR(F$12, CHOOSE({1,2}, $D17,$G17), CHOOSE({1,2}, $D$12,$G$12))</f>
        <v>0</v>
      </c>
      <c r="G17" s="26">
        <f>SYDEC_2023!B7</f>
        <v>0</v>
      </c>
      <c r="H17" s="26">
        <f t="shared" ref="H17:W18" si="3">G17*(1+H$11)</f>
        <v>0</v>
      </c>
      <c r="I17" s="26">
        <f t="shared" si="3"/>
        <v>0</v>
      </c>
      <c r="J17" s="26">
        <f t="shared" si="3"/>
        <v>0</v>
      </c>
      <c r="K17" s="26">
        <f t="shared" si="3"/>
        <v>0</v>
      </c>
      <c r="L17" s="26">
        <f t="shared" si="3"/>
        <v>0</v>
      </c>
      <c r="M17" s="26">
        <f t="shared" si="3"/>
        <v>0</v>
      </c>
      <c r="N17" s="26">
        <f t="shared" si="3"/>
        <v>0</v>
      </c>
      <c r="O17" s="26">
        <f t="shared" si="3"/>
        <v>0</v>
      </c>
      <c r="P17" s="26">
        <f t="shared" si="3"/>
        <v>0</v>
      </c>
      <c r="Q17" s="26">
        <f t="shared" si="3"/>
        <v>0</v>
      </c>
      <c r="R17" s="26">
        <f t="shared" si="3"/>
        <v>0</v>
      </c>
      <c r="S17" s="26">
        <f t="shared" si="3"/>
        <v>0</v>
      </c>
      <c r="T17" s="26">
        <f t="shared" si="3"/>
        <v>0</v>
      </c>
      <c r="U17" s="26">
        <f t="shared" si="3"/>
        <v>0</v>
      </c>
      <c r="V17" s="26">
        <f t="shared" si="3"/>
        <v>0</v>
      </c>
      <c r="W17" s="26">
        <f t="shared" si="3"/>
        <v>0</v>
      </c>
      <c r="X17" s="26">
        <f t="shared" si="2"/>
        <v>0</v>
      </c>
      <c r="Y17" s="26">
        <f t="shared" si="2"/>
        <v>0</v>
      </c>
      <c r="Z17" s="26">
        <f t="shared" si="2"/>
        <v>0</v>
      </c>
      <c r="AA17" s="26">
        <f t="shared" si="2"/>
        <v>0</v>
      </c>
      <c r="AB17" s="26">
        <f t="shared" si="2"/>
        <v>0</v>
      </c>
      <c r="AC17" s="26">
        <f t="shared" si="2"/>
        <v>0</v>
      </c>
      <c r="AD17" s="26">
        <f t="shared" si="2"/>
        <v>0</v>
      </c>
      <c r="AE17" s="26">
        <f t="shared" si="2"/>
        <v>0</v>
      </c>
      <c r="AF17" s="26">
        <f t="shared" si="2"/>
        <v>0</v>
      </c>
      <c r="AG17" s="26">
        <f t="shared" si="2"/>
        <v>0</v>
      </c>
      <c r="AH17" s="26">
        <f t="shared" si="2"/>
        <v>0</v>
      </c>
    </row>
    <row r="18" spans="2:34" s="25" customFormat="1">
      <c r="B18" s="27"/>
      <c r="C18" s="25" t="s">
        <v>4</v>
      </c>
      <c r="D18" s="26">
        <f>SYDEC_2020!B8</f>
        <v>1376.5727545176001</v>
      </c>
      <c r="E18" s="26">
        <f>_xlfn.FORECAST.LINEAR(E$12, CHOOSE({1,2}, $D18,$G18), CHOOSE({1,2}, $D$12,$G$12))</f>
        <v>1376.5727545176001</v>
      </c>
      <c r="F18" s="26">
        <f>_xlfn.FORECAST.LINEAR(F$12, CHOOSE({1,2}, $D18,$G18), CHOOSE({1,2}, $D$12,$G$12))</f>
        <v>1376.5727545176001</v>
      </c>
      <c r="G18" s="26">
        <f>SYDEC_2023!B8</f>
        <v>1376.5727545176001</v>
      </c>
      <c r="H18" s="26">
        <f t="shared" si="3"/>
        <v>1517.6353563479663</v>
      </c>
      <c r="I18" s="26">
        <f t="shared" si="2"/>
        <v>1673.1531749984022</v>
      </c>
      <c r="J18" s="26">
        <f t="shared" si="2"/>
        <v>1844.607491053584</v>
      </c>
      <c r="K18" s="26">
        <f t="shared" si="2"/>
        <v>1985.8475009056913</v>
      </c>
      <c r="L18" s="26">
        <f t="shared" si="2"/>
        <v>2137.9021368935892</v>
      </c>
      <c r="M18" s="26">
        <f t="shared" si="2"/>
        <v>2301.5994656435787</v>
      </c>
      <c r="N18" s="26">
        <f t="shared" si="2"/>
        <v>2477.8309581316794</v>
      </c>
      <c r="O18" s="26">
        <f t="shared" si="2"/>
        <v>2620.75454327224</v>
      </c>
      <c r="P18" s="26">
        <f t="shared" si="2"/>
        <v>2771.9220932088629</v>
      </c>
      <c r="Q18" s="26">
        <f t="shared" si="2"/>
        <v>2931.809127468237</v>
      </c>
      <c r="R18" s="26">
        <f t="shared" si="2"/>
        <v>3100.9185939838744</v>
      </c>
      <c r="S18" s="26">
        <f t="shared" si="2"/>
        <v>3279.7824511920257</v>
      </c>
      <c r="T18" s="26">
        <f t="shared" si="2"/>
        <v>3468.9633413843535</v>
      </c>
      <c r="U18" s="26">
        <f t="shared" si="2"/>
        <v>3468.9633413843535</v>
      </c>
      <c r="V18" s="26">
        <f t="shared" si="2"/>
        <v>3468.9633413843535</v>
      </c>
      <c r="W18" s="26">
        <f t="shared" si="2"/>
        <v>3468.9633413843535</v>
      </c>
      <c r="X18" s="26">
        <f t="shared" si="2"/>
        <v>3468.9633413843535</v>
      </c>
      <c r="Y18" s="26">
        <f t="shared" si="2"/>
        <v>3468.9633413843535</v>
      </c>
      <c r="Z18" s="26">
        <f t="shared" si="2"/>
        <v>3468.9633413843535</v>
      </c>
      <c r="AA18" s="26">
        <f t="shared" si="2"/>
        <v>3468.9633413843535</v>
      </c>
      <c r="AB18" s="26">
        <f t="shared" si="2"/>
        <v>3468.9633413843535</v>
      </c>
      <c r="AC18" s="26">
        <f t="shared" si="2"/>
        <v>3468.9633413843535</v>
      </c>
      <c r="AD18" s="26">
        <f t="shared" si="2"/>
        <v>3468.9633413843535</v>
      </c>
      <c r="AE18" s="26">
        <f t="shared" si="2"/>
        <v>3468.9633413843535</v>
      </c>
      <c r="AF18" s="26">
        <f t="shared" si="2"/>
        <v>3468.9633413843535</v>
      </c>
      <c r="AG18" s="26">
        <f t="shared" si="2"/>
        <v>3468.9633413843535</v>
      </c>
      <c r="AH18" s="26">
        <f t="shared" si="2"/>
        <v>3468.9633413843535</v>
      </c>
    </row>
    <row r="19" spans="2:34">
      <c r="C19" t="s">
        <v>5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</row>
    <row r="20" spans="2:34">
      <c r="C20" t="s">
        <v>6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</row>
    <row r="21" spans="2:34">
      <c r="C21" t="s">
        <v>7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</row>
    <row r="22" spans="2:34">
      <c r="C22" t="s">
        <v>8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</row>
    <row r="23" spans="2:34">
      <c r="C23" t="s">
        <v>9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</row>
    <row r="24" spans="2:34">
      <c r="C24" t="s">
        <v>17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</row>
    <row r="25" spans="2:34">
      <c r="C25" t="s">
        <v>20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</row>
    <row r="26" spans="2:34">
      <c r="C26" t="s">
        <v>22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</row>
    <row r="27" spans="2:34">
      <c r="C27" t="s">
        <v>23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</row>
    <row r="28" spans="2:34">
      <c r="C28" t="s">
        <v>24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</row>
    <row r="29" spans="2:34"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</row>
    <row r="30" spans="2:34">
      <c r="H30" t="s">
        <v>72</v>
      </c>
    </row>
    <row r="31" spans="2:34">
      <c r="B31" s="22" t="s">
        <v>29</v>
      </c>
      <c r="E31" t="s">
        <v>59</v>
      </c>
      <c r="F31" t="s">
        <v>59</v>
      </c>
      <c r="G31" s="39"/>
      <c r="H31" s="43">
        <f>G3</f>
        <v>0.10247377144973324</v>
      </c>
      <c r="I31" s="39">
        <f>H31</f>
        <v>0.10247377144973324</v>
      </c>
      <c r="J31" s="39">
        <f>I31</f>
        <v>0.10247377144973324</v>
      </c>
      <c r="K31" s="43">
        <f>H3</f>
        <v>7.6569140338595965E-2</v>
      </c>
      <c r="L31" s="39">
        <f>K31</f>
        <v>7.6569140338595965E-2</v>
      </c>
      <c r="M31" s="39">
        <f t="shared" ref="M31:N31" si="4">L31</f>
        <v>7.6569140338595965E-2</v>
      </c>
      <c r="N31" s="39">
        <f t="shared" si="4"/>
        <v>7.6569140338595965E-2</v>
      </c>
      <c r="O31" s="43">
        <f>I3</f>
        <v>5.7680926405216493E-2</v>
      </c>
      <c r="P31" s="39">
        <f>O31</f>
        <v>5.7680926405216493E-2</v>
      </c>
      <c r="Q31" s="39">
        <f t="shared" ref="Q31:AH31" si="5">P31</f>
        <v>5.7680926405216493E-2</v>
      </c>
      <c r="R31" s="39">
        <f t="shared" si="5"/>
        <v>5.7680926405216493E-2</v>
      </c>
      <c r="S31" s="39">
        <f t="shared" si="5"/>
        <v>5.7680926405216493E-2</v>
      </c>
      <c r="T31" s="39">
        <f t="shared" si="5"/>
        <v>5.7680926405216493E-2</v>
      </c>
      <c r="U31" s="43">
        <v>0</v>
      </c>
      <c r="V31" s="39">
        <f t="shared" si="5"/>
        <v>0</v>
      </c>
      <c r="W31" s="39">
        <f t="shared" si="5"/>
        <v>0</v>
      </c>
      <c r="X31" s="39">
        <f t="shared" si="5"/>
        <v>0</v>
      </c>
      <c r="Y31" s="39">
        <f t="shared" si="5"/>
        <v>0</v>
      </c>
      <c r="Z31" s="39">
        <f t="shared" si="5"/>
        <v>0</v>
      </c>
      <c r="AA31" s="39">
        <f t="shared" si="5"/>
        <v>0</v>
      </c>
      <c r="AB31" s="39">
        <f t="shared" si="5"/>
        <v>0</v>
      </c>
      <c r="AC31" s="39">
        <f t="shared" si="5"/>
        <v>0</v>
      </c>
      <c r="AD31" s="39">
        <f t="shared" si="5"/>
        <v>0</v>
      </c>
      <c r="AE31" s="39">
        <f t="shared" si="5"/>
        <v>0</v>
      </c>
      <c r="AF31" s="39">
        <f t="shared" si="5"/>
        <v>0</v>
      </c>
      <c r="AG31" s="39">
        <f t="shared" si="5"/>
        <v>0</v>
      </c>
      <c r="AH31" s="39">
        <f t="shared" si="5"/>
        <v>0</v>
      </c>
    </row>
    <row r="32" spans="2:34">
      <c r="C32" s="1" t="s">
        <v>25</v>
      </c>
      <c r="D32">
        <v>2020</v>
      </c>
      <c r="E32">
        <v>2021</v>
      </c>
      <c r="F32">
        <v>2022</v>
      </c>
      <c r="G32">
        <v>2023</v>
      </c>
      <c r="H32">
        <v>2024</v>
      </c>
      <c r="I32">
        <v>2025</v>
      </c>
      <c r="J32">
        <v>2026</v>
      </c>
      <c r="K32">
        <v>2027</v>
      </c>
      <c r="L32">
        <v>2028</v>
      </c>
      <c r="M32">
        <v>2029</v>
      </c>
      <c r="N32">
        <v>2030</v>
      </c>
      <c r="O32">
        <v>2031</v>
      </c>
      <c r="P32">
        <v>2032</v>
      </c>
      <c r="Q32">
        <v>2033</v>
      </c>
      <c r="R32">
        <v>2034</v>
      </c>
      <c r="S32">
        <v>2035</v>
      </c>
      <c r="T32">
        <v>2036</v>
      </c>
      <c r="U32">
        <v>2037</v>
      </c>
      <c r="V32">
        <v>2038</v>
      </c>
      <c r="W32">
        <v>2039</v>
      </c>
      <c r="X32">
        <v>2040</v>
      </c>
      <c r="Y32">
        <v>2041</v>
      </c>
      <c r="Z32">
        <v>2042</v>
      </c>
      <c r="AA32">
        <v>2043</v>
      </c>
      <c r="AB32">
        <v>2044</v>
      </c>
      <c r="AC32">
        <v>2045</v>
      </c>
      <c r="AD32">
        <v>2046</v>
      </c>
      <c r="AE32">
        <v>2047</v>
      </c>
      <c r="AF32">
        <v>2048</v>
      </c>
      <c r="AG32">
        <v>2049</v>
      </c>
      <c r="AH32">
        <v>2050</v>
      </c>
    </row>
    <row r="33" spans="2:34">
      <c r="C33" t="s">
        <v>18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</row>
    <row r="34" spans="2:34">
      <c r="B34" s="3"/>
      <c r="C34" t="s">
        <v>1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</row>
    <row r="35" spans="2:34">
      <c r="C35" t="s">
        <v>2</v>
      </c>
      <c r="D35" s="19">
        <v>0</v>
      </c>
      <c r="E35" s="19">
        <v>0</v>
      </c>
      <c r="F35" s="19">
        <v>0</v>
      </c>
      <c r="G35" s="19">
        <v>0</v>
      </c>
      <c r="H35" s="19">
        <v>0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</row>
    <row r="36" spans="2:34" s="25" customFormat="1">
      <c r="C36" s="25" t="s">
        <v>3</v>
      </c>
      <c r="D36" s="26">
        <f>SYDEC_2020!C6</f>
        <v>0.09</v>
      </c>
      <c r="E36" s="26">
        <f>_xlfn.FORECAST.LINEAR(E$32,CHOOSE({1,2}, $D36,$G36), CHOOSE({1,2}, $D$32, $G$32))</f>
        <v>0.09</v>
      </c>
      <c r="F36" s="26">
        <f>_xlfn.FORECAST.LINEAR(F$32,CHOOSE({1,2}, $D36,$G36), CHOOSE({1,2}, $D$32, $G$32))</f>
        <v>0.09</v>
      </c>
      <c r="G36" s="26">
        <f>SYDEC_2023!C6</f>
        <v>0.09</v>
      </c>
      <c r="H36" s="26">
        <f>G36*(1+H$31)</f>
        <v>9.922263943047599E-2</v>
      </c>
      <c r="I36" s="26">
        <f t="shared" ref="I36:AH36" si="6">H36*(1+I$31)</f>
        <v>0.10939035750611388</v>
      </c>
      <c r="J36" s="26">
        <f t="shared" si="6"/>
        <v>0.1206</v>
      </c>
      <c r="K36" s="26">
        <f t="shared" si="6"/>
        <v>0.12983423832483468</v>
      </c>
      <c r="L36" s="26">
        <f t="shared" si="6"/>
        <v>0.13977553433988366</v>
      </c>
      <c r="M36" s="26">
        <f t="shared" si="6"/>
        <v>0.15047802684465644</v>
      </c>
      <c r="N36" s="26">
        <f t="shared" si="6"/>
        <v>0.16199999999999995</v>
      </c>
      <c r="O36" s="26">
        <f t="shared" si="6"/>
        <v>0.17134431007764503</v>
      </c>
      <c r="P36" s="26">
        <f t="shared" si="6"/>
        <v>0.18122760861718626</v>
      </c>
      <c r="Q36" s="26">
        <f t="shared" si="6"/>
        <v>0.19168098497242755</v>
      </c>
      <c r="R36" s="26">
        <f t="shared" si="6"/>
        <v>0.20273732175990156</v>
      </c>
      <c r="S36" s="26">
        <f t="shared" si="6"/>
        <v>0.21443139829592514</v>
      </c>
      <c r="T36" s="26">
        <f t="shared" si="6"/>
        <v>0.22680000000000006</v>
      </c>
      <c r="U36" s="26">
        <f t="shared" si="6"/>
        <v>0.22680000000000006</v>
      </c>
      <c r="V36" s="26">
        <f t="shared" si="6"/>
        <v>0.22680000000000006</v>
      </c>
      <c r="W36" s="26">
        <f t="shared" si="6"/>
        <v>0.22680000000000006</v>
      </c>
      <c r="X36" s="26">
        <f t="shared" si="6"/>
        <v>0.22680000000000006</v>
      </c>
      <c r="Y36" s="26">
        <f t="shared" si="6"/>
        <v>0.22680000000000006</v>
      </c>
      <c r="Z36" s="26">
        <f t="shared" si="6"/>
        <v>0.22680000000000006</v>
      </c>
      <c r="AA36" s="26">
        <f t="shared" si="6"/>
        <v>0.22680000000000006</v>
      </c>
      <c r="AB36" s="26">
        <f t="shared" si="6"/>
        <v>0.22680000000000006</v>
      </c>
      <c r="AC36" s="26">
        <f t="shared" si="6"/>
        <v>0.22680000000000006</v>
      </c>
      <c r="AD36" s="26">
        <f t="shared" si="6"/>
        <v>0.22680000000000006</v>
      </c>
      <c r="AE36" s="26">
        <f t="shared" si="6"/>
        <v>0.22680000000000006</v>
      </c>
      <c r="AF36" s="26">
        <f t="shared" si="6"/>
        <v>0.22680000000000006</v>
      </c>
      <c r="AG36" s="26">
        <f t="shared" si="6"/>
        <v>0.22680000000000006</v>
      </c>
      <c r="AH36" s="26">
        <f t="shared" si="6"/>
        <v>0.22680000000000006</v>
      </c>
    </row>
    <row r="37" spans="2:34" s="25" customFormat="1">
      <c r="B37" s="27"/>
      <c r="C37" s="25" t="s">
        <v>19</v>
      </c>
      <c r="D37" s="26">
        <f>SYDEC_2020!C7</f>
        <v>8.4780999999999995</v>
      </c>
      <c r="E37" s="26">
        <f>_xlfn.FORECAST.LINEAR(E$32,CHOOSE({1,2}, $D37,$G37), CHOOSE({1,2}, $D$32, $G$32))</f>
        <v>8.4780999999999995</v>
      </c>
      <c r="F37" s="26">
        <f>_xlfn.FORECAST.LINEAR(F$32,CHOOSE({1,2}, $D37,$G37), CHOOSE({1,2}, $D$32, $G$32))</f>
        <v>8.4780999999999995</v>
      </c>
      <c r="G37" s="26">
        <f>SYDEC_2023!C7</f>
        <v>8.4780999999999995</v>
      </c>
      <c r="H37" s="26">
        <f>G37*(1+H$31)</f>
        <v>9.3468828817279821</v>
      </c>
      <c r="I37" s="26">
        <f t="shared" ref="I37:AH37" si="7">H37*(1+I$31)</f>
        <v>10.304693221917599</v>
      </c>
      <c r="J37" s="26">
        <f t="shared" si="7"/>
        <v>11.360653999999998</v>
      </c>
      <c r="K37" s="26">
        <f t="shared" si="7"/>
        <v>12.23052951046423</v>
      </c>
      <c r="L37" s="26">
        <f t="shared" si="7"/>
        <v>13.167010640966305</v>
      </c>
      <c r="M37" s="26">
        <f t="shared" si="7"/>
        <v>14.17519732657424</v>
      </c>
      <c r="N37" s="26">
        <f t="shared" si="7"/>
        <v>15.260579999999994</v>
      </c>
      <c r="O37" s="26">
        <f t="shared" si="7"/>
        <v>16.140824391880912</v>
      </c>
      <c r="P37" s="26">
        <f t="shared" si="7"/>
        <v>17.071842095748519</v>
      </c>
      <c r="Q37" s="26">
        <f t="shared" si="7"/>
        <v>18.056561763274864</v>
      </c>
      <c r="R37" s="26">
        <f t="shared" si="7"/>
        <v>19.098080973473568</v>
      </c>
      <c r="S37" s="26">
        <f t="shared" si="7"/>
        <v>20.199675976585361</v>
      </c>
      <c r="T37" s="26">
        <f t="shared" si="7"/>
        <v>21.364812000000001</v>
      </c>
      <c r="U37" s="26">
        <f t="shared" si="7"/>
        <v>21.364812000000001</v>
      </c>
      <c r="V37" s="26">
        <f t="shared" si="7"/>
        <v>21.364812000000001</v>
      </c>
      <c r="W37" s="26">
        <f t="shared" si="7"/>
        <v>21.364812000000001</v>
      </c>
      <c r="X37" s="26">
        <f t="shared" si="7"/>
        <v>21.364812000000001</v>
      </c>
      <c r="Y37" s="26">
        <f t="shared" si="7"/>
        <v>21.364812000000001</v>
      </c>
      <c r="Z37" s="26">
        <f t="shared" si="7"/>
        <v>21.364812000000001</v>
      </c>
      <c r="AA37" s="26">
        <f t="shared" si="7"/>
        <v>21.364812000000001</v>
      </c>
      <c r="AB37" s="26">
        <f t="shared" si="7"/>
        <v>21.364812000000001</v>
      </c>
      <c r="AC37" s="26">
        <f t="shared" si="7"/>
        <v>21.364812000000001</v>
      </c>
      <c r="AD37" s="26">
        <f t="shared" si="7"/>
        <v>21.364812000000001</v>
      </c>
      <c r="AE37" s="26">
        <f t="shared" si="7"/>
        <v>21.364812000000001</v>
      </c>
      <c r="AF37" s="26">
        <f t="shared" si="7"/>
        <v>21.364812000000001</v>
      </c>
      <c r="AG37" s="26">
        <f t="shared" si="7"/>
        <v>21.364812000000001</v>
      </c>
      <c r="AH37" s="26">
        <f t="shared" si="7"/>
        <v>21.364812000000001</v>
      </c>
    </row>
    <row r="38" spans="2:34" s="25" customFormat="1">
      <c r="B38" s="27"/>
      <c r="C38" s="25" t="s">
        <v>4</v>
      </c>
      <c r="D38" s="26">
        <f>SYDEC_2020!C8</f>
        <v>240.72332048239997</v>
      </c>
      <c r="E38" s="26">
        <f>_xlfn.FORECAST.LINEAR(E$32,CHOOSE({1,2}, $D38,$G38), CHOOSE({1,2}, $D$32, $G$32))</f>
        <v>240.72332048239997</v>
      </c>
      <c r="F38" s="26">
        <f>_xlfn.FORECAST.LINEAR(F$32,CHOOSE({1,2}, $D38,$G38), CHOOSE({1,2}, $D$32, $G$32))</f>
        <v>240.72332048239997</v>
      </c>
      <c r="G38" s="26">
        <f>SYDEC_2023!C8</f>
        <v>240.72332048239997</v>
      </c>
      <c r="H38" s="26">
        <f>G38*(1+H$31)</f>
        <v>265.39114700813434</v>
      </c>
      <c r="I38" s="26">
        <f t="shared" ref="I38:AH38" si="8">H38*(1+I$31)</f>
        <v>292.58677875142843</v>
      </c>
      <c r="J38" s="26">
        <f t="shared" si="8"/>
        <v>322.56924944641599</v>
      </c>
      <c r="K38" s="26">
        <f t="shared" si="8"/>
        <v>347.26809957619417</v>
      </c>
      <c r="L38" s="26">
        <f t="shared" si="8"/>
        <v>373.85811942776132</v>
      </c>
      <c r="M38" s="26">
        <f t="shared" si="8"/>
        <v>402.48411424094917</v>
      </c>
      <c r="N38" s="26">
        <f t="shared" si="8"/>
        <v>433.30197686831991</v>
      </c>
      <c r="O38" s="26">
        <f t="shared" si="8"/>
        <v>458.29523630729631</v>
      </c>
      <c r="P38" s="26">
        <f t="shared" si="8"/>
        <v>484.73013010459874</v>
      </c>
      <c r="Q38" s="26">
        <f t="shared" si="8"/>
        <v>512.68981306555315</v>
      </c>
      <c r="R38" s="26">
        <f t="shared" si="8"/>
        <v>542.26223644169147</v>
      </c>
      <c r="S38" s="26">
        <f t="shared" si="8"/>
        <v>573.54042459421282</v>
      </c>
      <c r="T38" s="26">
        <f t="shared" si="8"/>
        <v>606.62276761564829</v>
      </c>
      <c r="U38" s="26">
        <f t="shared" si="8"/>
        <v>606.62276761564829</v>
      </c>
      <c r="V38" s="26">
        <f t="shared" si="8"/>
        <v>606.62276761564829</v>
      </c>
      <c r="W38" s="26">
        <f t="shared" si="8"/>
        <v>606.62276761564829</v>
      </c>
      <c r="X38" s="26">
        <f t="shared" si="8"/>
        <v>606.62276761564829</v>
      </c>
      <c r="Y38" s="26">
        <f t="shared" si="8"/>
        <v>606.62276761564829</v>
      </c>
      <c r="Z38" s="26">
        <f t="shared" si="8"/>
        <v>606.62276761564829</v>
      </c>
      <c r="AA38" s="26">
        <f t="shared" si="8"/>
        <v>606.62276761564829</v>
      </c>
      <c r="AB38" s="26">
        <f t="shared" si="8"/>
        <v>606.62276761564829</v>
      </c>
      <c r="AC38" s="26">
        <f t="shared" si="8"/>
        <v>606.62276761564829</v>
      </c>
      <c r="AD38" s="26">
        <f t="shared" si="8"/>
        <v>606.62276761564829</v>
      </c>
      <c r="AE38" s="26">
        <f t="shared" si="8"/>
        <v>606.62276761564829</v>
      </c>
      <c r="AF38" s="26">
        <f t="shared" si="8"/>
        <v>606.62276761564829</v>
      </c>
      <c r="AG38" s="26">
        <f t="shared" si="8"/>
        <v>606.62276761564829</v>
      </c>
      <c r="AH38" s="26">
        <f t="shared" si="8"/>
        <v>606.62276761564829</v>
      </c>
    </row>
    <row r="39" spans="2:34">
      <c r="C39" t="s">
        <v>5</v>
      </c>
      <c r="D39" s="19">
        <v>0</v>
      </c>
      <c r="E39" s="19">
        <v>0</v>
      </c>
      <c r="F39" s="19">
        <v>0</v>
      </c>
      <c r="G39" s="19">
        <v>0</v>
      </c>
      <c r="H39" s="19">
        <v>0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</row>
    <row r="40" spans="2:34">
      <c r="C40" t="s">
        <v>6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</row>
    <row r="41" spans="2:34">
      <c r="C41" t="s">
        <v>7</v>
      </c>
      <c r="D41" s="19">
        <v>0</v>
      </c>
      <c r="E41" s="19">
        <v>0</v>
      </c>
      <c r="F41" s="19">
        <v>0</v>
      </c>
      <c r="G41" s="19">
        <v>0</v>
      </c>
      <c r="H41" s="19">
        <v>0</v>
      </c>
      <c r="I41" s="19">
        <v>0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</row>
    <row r="42" spans="2:34">
      <c r="C42" t="s">
        <v>8</v>
      </c>
      <c r="D42" s="19">
        <v>0</v>
      </c>
      <c r="E42" s="19">
        <v>0</v>
      </c>
      <c r="F42" s="19">
        <v>0</v>
      </c>
      <c r="G42" s="19">
        <v>0</v>
      </c>
      <c r="H42" s="19">
        <v>0</v>
      </c>
      <c r="I42" s="19">
        <v>0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</row>
    <row r="43" spans="2:34">
      <c r="C43" t="s">
        <v>9</v>
      </c>
      <c r="D43" s="19">
        <v>0</v>
      </c>
      <c r="E43" s="19">
        <v>0</v>
      </c>
      <c r="F43" s="19">
        <v>0</v>
      </c>
      <c r="G43" s="19">
        <v>0</v>
      </c>
      <c r="H43" s="19">
        <v>0</v>
      </c>
      <c r="I43" s="19">
        <v>0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</row>
    <row r="44" spans="2:34">
      <c r="C44" t="s">
        <v>17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</row>
    <row r="45" spans="2:34">
      <c r="C45" t="s">
        <v>20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</row>
    <row r="46" spans="2:34">
      <c r="C46" t="s">
        <v>22</v>
      </c>
      <c r="D46" s="19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</row>
    <row r="47" spans="2:34">
      <c r="C47" t="s">
        <v>23</v>
      </c>
      <c r="D47" s="19">
        <v>0</v>
      </c>
      <c r="E47" s="19">
        <v>0</v>
      </c>
      <c r="F47" s="19">
        <v>0</v>
      </c>
      <c r="G47" s="19">
        <v>0</v>
      </c>
      <c r="H47" s="19">
        <v>0</v>
      </c>
      <c r="I47" s="19">
        <v>0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  <c r="AF47" s="19">
        <v>0</v>
      </c>
      <c r="AG47" s="19">
        <v>0</v>
      </c>
      <c r="AH47" s="19">
        <v>0</v>
      </c>
    </row>
    <row r="48" spans="2:34">
      <c r="C48" t="s">
        <v>24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</row>
    <row r="49" spans="2:55"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1" spans="2:55">
      <c r="B51" s="21" t="s">
        <v>58</v>
      </c>
      <c r="H51" t="s">
        <v>72</v>
      </c>
    </row>
    <row r="52" spans="2:55">
      <c r="B52" s="1" t="s">
        <v>30</v>
      </c>
      <c r="E52" t="s">
        <v>59</v>
      </c>
      <c r="F52" t="s">
        <v>59</v>
      </c>
      <c r="H52" s="12">
        <f>G2</f>
        <v>7.0425784514054124E-2</v>
      </c>
      <c r="I52" s="12">
        <f>H52</f>
        <v>7.0425784514054124E-2</v>
      </c>
      <c r="J52" s="12">
        <f>I52</f>
        <v>7.0425784514054124E-2</v>
      </c>
      <c r="K52" s="12">
        <f>H2</f>
        <v>6.507668873540684E-2</v>
      </c>
      <c r="L52" s="12">
        <f>K52</f>
        <v>6.507668873540684E-2</v>
      </c>
      <c r="M52" s="12">
        <f t="shared" ref="M52" si="9">L52</f>
        <v>6.507668873540684E-2</v>
      </c>
      <c r="N52" s="12">
        <f>M52</f>
        <v>6.507668873540684E-2</v>
      </c>
      <c r="O52" s="12">
        <f>I2</f>
        <v>5.0644443609383583E-2</v>
      </c>
      <c r="P52" s="12">
        <f>O52</f>
        <v>5.0644443609383583E-2</v>
      </c>
      <c r="Q52" s="12">
        <f t="shared" ref="Q52:AH52" si="10">P52</f>
        <v>5.0644443609383583E-2</v>
      </c>
      <c r="R52" s="12">
        <f t="shared" si="10"/>
        <v>5.0644443609383583E-2</v>
      </c>
      <c r="S52" s="12">
        <f t="shared" si="10"/>
        <v>5.0644443609383583E-2</v>
      </c>
      <c r="T52" s="12">
        <f t="shared" si="10"/>
        <v>5.0644443609383583E-2</v>
      </c>
      <c r="U52" s="12">
        <f t="shared" si="10"/>
        <v>5.0644443609383583E-2</v>
      </c>
      <c r="V52" s="12">
        <f t="shared" si="10"/>
        <v>5.0644443609383583E-2</v>
      </c>
      <c r="W52" s="12">
        <f t="shared" si="10"/>
        <v>5.0644443609383583E-2</v>
      </c>
      <c r="X52" s="12">
        <f t="shared" si="10"/>
        <v>5.0644443609383583E-2</v>
      </c>
      <c r="Y52" s="12">
        <f t="shared" si="10"/>
        <v>5.0644443609383583E-2</v>
      </c>
      <c r="Z52" s="12">
        <f t="shared" si="10"/>
        <v>5.0644443609383583E-2</v>
      </c>
      <c r="AA52" s="12">
        <f t="shared" si="10"/>
        <v>5.0644443609383583E-2</v>
      </c>
      <c r="AB52" s="12">
        <f t="shared" si="10"/>
        <v>5.0644443609383583E-2</v>
      </c>
      <c r="AC52" s="12">
        <f t="shared" si="10"/>
        <v>5.0644443609383583E-2</v>
      </c>
      <c r="AD52" s="12">
        <f t="shared" si="10"/>
        <v>5.0644443609383583E-2</v>
      </c>
      <c r="AE52" s="12">
        <f t="shared" si="10"/>
        <v>5.0644443609383583E-2</v>
      </c>
      <c r="AF52" s="12">
        <f t="shared" si="10"/>
        <v>5.0644443609383583E-2</v>
      </c>
      <c r="AG52" s="12">
        <f t="shared" si="10"/>
        <v>5.0644443609383583E-2</v>
      </c>
      <c r="AH52" s="12">
        <f t="shared" si="10"/>
        <v>5.0644443609383583E-2</v>
      </c>
    </row>
    <row r="53" spans="2:55">
      <c r="C53" s="1" t="s">
        <v>25</v>
      </c>
      <c r="D53">
        <v>2020</v>
      </c>
      <c r="E53">
        <v>2021</v>
      </c>
      <c r="F53">
        <v>2022</v>
      </c>
      <c r="G53">
        <v>2023</v>
      </c>
      <c r="H53">
        <v>2024</v>
      </c>
      <c r="I53">
        <v>2025</v>
      </c>
      <c r="J53">
        <v>2026</v>
      </c>
      <c r="K53">
        <v>2027</v>
      </c>
      <c r="L53">
        <v>2028</v>
      </c>
      <c r="M53">
        <v>2029</v>
      </c>
      <c r="N53">
        <v>2030</v>
      </c>
      <c r="O53">
        <v>2031</v>
      </c>
      <c r="P53">
        <v>2032</v>
      </c>
      <c r="Q53">
        <v>2033</v>
      </c>
      <c r="R53">
        <v>2034</v>
      </c>
      <c r="S53">
        <v>2035</v>
      </c>
      <c r="T53">
        <v>2036</v>
      </c>
      <c r="U53">
        <v>2037</v>
      </c>
      <c r="V53">
        <v>2038</v>
      </c>
      <c r="W53">
        <v>2039</v>
      </c>
      <c r="X53">
        <v>2040</v>
      </c>
      <c r="Y53">
        <v>2041</v>
      </c>
      <c r="Z53">
        <v>2042</v>
      </c>
      <c r="AA53">
        <v>2043</v>
      </c>
      <c r="AB53">
        <v>2044</v>
      </c>
      <c r="AC53">
        <v>2045</v>
      </c>
      <c r="AD53">
        <v>2046</v>
      </c>
      <c r="AE53">
        <v>2047</v>
      </c>
      <c r="AF53">
        <v>2048</v>
      </c>
      <c r="AG53">
        <v>2049</v>
      </c>
      <c r="AH53">
        <v>2050</v>
      </c>
      <c r="AW53">
        <v>2020</v>
      </c>
      <c r="AX53">
        <v>2025</v>
      </c>
      <c r="AY53">
        <v>2030</v>
      </c>
      <c r="AZ53">
        <v>2035</v>
      </c>
      <c r="BA53">
        <v>2040</v>
      </c>
      <c r="BB53">
        <v>2045</v>
      </c>
      <c r="BC53">
        <v>2050</v>
      </c>
    </row>
    <row r="54" spans="2:55">
      <c r="C54" t="s">
        <v>18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V54" t="s">
        <v>18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</row>
    <row r="55" spans="2:55">
      <c r="B55" s="3"/>
      <c r="C55" t="s">
        <v>1</v>
      </c>
      <c r="D55" s="19">
        <v>0</v>
      </c>
      <c r="E55" s="19">
        <v>0</v>
      </c>
      <c r="F55" s="19">
        <v>0</v>
      </c>
      <c r="G55" s="19">
        <v>0</v>
      </c>
      <c r="H55" s="19">
        <v>0</v>
      </c>
      <c r="I55" s="19">
        <v>0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V55" t="s">
        <v>1</v>
      </c>
      <c r="AW55" s="11">
        <f>D55</f>
        <v>0</v>
      </c>
      <c r="AX55" s="11">
        <f>I55</f>
        <v>0</v>
      </c>
      <c r="AY55" s="11">
        <f>N55</f>
        <v>0</v>
      </c>
      <c r="AZ55" s="11">
        <f>S55</f>
        <v>0</v>
      </c>
      <c r="BA55" s="11">
        <f>X55</f>
        <v>0</v>
      </c>
      <c r="BB55" s="11">
        <f>AC55</f>
        <v>0</v>
      </c>
      <c r="BC55" s="11">
        <f>AH55</f>
        <v>0</v>
      </c>
    </row>
    <row r="56" spans="2:55">
      <c r="C56" t="s">
        <v>2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V56" t="s">
        <v>2</v>
      </c>
      <c r="AW56" s="6">
        <v>0</v>
      </c>
      <c r="AX56" s="6">
        <f t="shared" ref="AX56:AX64" si="11">I56</f>
        <v>0</v>
      </c>
      <c r="AY56" s="6">
        <f t="shared" ref="AY56:AY63" si="12">N56</f>
        <v>0</v>
      </c>
      <c r="AZ56" s="6">
        <f t="shared" ref="AZ56:AZ63" si="13">S56</f>
        <v>0</v>
      </c>
      <c r="BA56" s="6">
        <f t="shared" ref="BA56:BA63" si="14">X56</f>
        <v>0</v>
      </c>
      <c r="BB56" s="6">
        <f t="shared" ref="BB56:BB63" si="15">AC56</f>
        <v>0</v>
      </c>
      <c r="BC56" s="6">
        <f t="shared" ref="BC56:BC63" si="16">AH56</f>
        <v>0</v>
      </c>
    </row>
    <row r="57" spans="2:55" s="25" customFormat="1">
      <c r="C57" s="25" t="s">
        <v>3</v>
      </c>
      <c r="D57" s="26">
        <f>SYDEC_2020!D6</f>
        <v>1.4237500000000001</v>
      </c>
      <c r="E57" s="26">
        <f>_xlfn.FORECAST.LINEAR(E$53, CHOOSE({1,2}, $D57,$G57), CHOOSE({1,2}, $D$53, $G$53))</f>
        <v>1.4237500000000001</v>
      </c>
      <c r="F57" s="26">
        <f>_xlfn.FORECAST.LINEAR(F$53, CHOOSE({1,2}, $D57,$G57), CHOOSE({1,2}, $D$53, $G$53))</f>
        <v>1.4237500000000001</v>
      </c>
      <c r="G57" s="26">
        <f>SYDEC_2023!D6</f>
        <v>1.4237500000000001</v>
      </c>
      <c r="H57" s="26">
        <f>G57*(1+H$52)</f>
        <v>1.5240187107018845</v>
      </c>
      <c r="I57" s="26">
        <f t="shared" ref="I57:AH59" si="17">H57*(1+I$52)</f>
        <v>1.6313489240171621</v>
      </c>
      <c r="J57" s="26">
        <f t="shared" si="17"/>
        <v>1.7462379518072288</v>
      </c>
      <c r="K57" s="26">
        <f t="shared" si="17"/>
        <v>1.8598773354549423</v>
      </c>
      <c r="L57" s="26">
        <f t="shared" si="17"/>
        <v>1.9809119939003814</v>
      </c>
      <c r="M57" s="26">
        <f t="shared" si="17"/>
        <v>2.1098231871396709</v>
      </c>
      <c r="N57" s="26">
        <f t="shared" si="17"/>
        <v>2.2471234939759031</v>
      </c>
      <c r="O57" s="26">
        <f t="shared" si="17"/>
        <v>2.3609278130498867</v>
      </c>
      <c r="P57" s="26">
        <f t="shared" si="17"/>
        <v>2.480495688543717</v>
      </c>
      <c r="Q57" s="26">
        <f t="shared" si="17"/>
        <v>2.6061190125654883</v>
      </c>
      <c r="R57" s="26">
        <f t="shared" si="17"/>
        <v>2.7381044599367037</v>
      </c>
      <c r="S57" s="26">
        <f t="shared" si="17"/>
        <v>2.8767742368545699</v>
      </c>
      <c r="T57" s="26">
        <f t="shared" si="17"/>
        <v>3.0224668674698787</v>
      </c>
      <c r="U57" s="26">
        <f t="shared" si="17"/>
        <v>3.1755380203006873</v>
      </c>
      <c r="V57" s="26">
        <f t="shared" si="17"/>
        <v>3.336361376499259</v>
      </c>
      <c r="W57" s="26">
        <f t="shared" si="17"/>
        <v>3.5053295420919013</v>
      </c>
      <c r="X57" s="26">
        <f t="shared" si="17"/>
        <v>3.6828550064186811</v>
      </c>
      <c r="Y57" s="26">
        <f t="shared" si="17"/>
        <v>3.869371149112788</v>
      </c>
      <c r="Z57" s="26">
        <f t="shared" si="17"/>
        <v>4.0653332980778067</v>
      </c>
      <c r="AA57" s="26">
        <f t="shared" si="17"/>
        <v>4.2712198410456574</v>
      </c>
      <c r="AB57" s="26">
        <f t="shared" si="17"/>
        <v>4.4875333934287749</v>
      </c>
      <c r="AC57" s="26">
        <f t="shared" si="17"/>
        <v>4.7148020253175043</v>
      </c>
      <c r="AD57" s="26">
        <f t="shared" si="17"/>
        <v>4.9535805506181045</v>
      </c>
      <c r="AE57" s="26">
        <f t="shared" si="17"/>
        <v>5.2044518814784224</v>
      </c>
      <c r="AF57" s="26">
        <f t="shared" si="17"/>
        <v>5.4680284513077071</v>
      </c>
      <c r="AG57" s="26">
        <f t="shared" si="17"/>
        <v>5.7449537098644656</v>
      </c>
      <c r="AH57" s="26">
        <f t="shared" si="17"/>
        <v>6.0359036940622159</v>
      </c>
      <c r="AV57" s="25" t="s">
        <v>3</v>
      </c>
      <c r="AW57" s="28">
        <v>0</v>
      </c>
      <c r="AX57" s="28">
        <f t="shared" si="11"/>
        <v>1.6313489240171621</v>
      </c>
      <c r="AY57" s="28">
        <f t="shared" si="12"/>
        <v>2.2471234939759031</v>
      </c>
      <c r="AZ57" s="28">
        <f t="shared" si="13"/>
        <v>2.8767742368545699</v>
      </c>
      <c r="BA57" s="28">
        <f t="shared" si="14"/>
        <v>3.6828550064186811</v>
      </c>
      <c r="BB57" s="28">
        <f t="shared" si="15"/>
        <v>4.7148020253175043</v>
      </c>
      <c r="BC57" s="28">
        <f t="shared" si="16"/>
        <v>6.0359036940622159</v>
      </c>
    </row>
    <row r="58" spans="2:55" s="25" customFormat="1">
      <c r="B58" s="27"/>
      <c r="C58" s="25" t="s">
        <v>19</v>
      </c>
      <c r="D58" s="26">
        <f>SYDEC_2020!D7</f>
        <v>4.7723199999999997</v>
      </c>
      <c r="E58" s="26">
        <f>_xlfn.FORECAST.LINEAR(E$53, CHOOSE({1,2}, $D58,$G58), CHOOSE({1,2}, $D$53, $G$53))</f>
        <v>4.7723199999999997</v>
      </c>
      <c r="F58" s="26">
        <f>_xlfn.FORECAST.LINEAR(F$53, CHOOSE({1,2}, $D58,$G58), CHOOSE({1,2}, $D$53, $G$53))</f>
        <v>4.7723199999999997</v>
      </c>
      <c r="G58" s="26">
        <f>SYDEC_2023!D7</f>
        <v>4.7723199999999997</v>
      </c>
      <c r="H58" s="26">
        <f t="shared" ref="H58:W59" si="18">G58*(1+H$52)</f>
        <v>5.1084143799521105</v>
      </c>
      <c r="I58" s="26">
        <f t="shared" si="18"/>
        <v>5.4681784702831129</v>
      </c>
      <c r="J58" s="26">
        <f t="shared" si="18"/>
        <v>5.8532792289156612</v>
      </c>
      <c r="K58" s="26">
        <f t="shared" si="18"/>
        <v>6.2341912593772282</v>
      </c>
      <c r="L58" s="26">
        <f t="shared" si="18"/>
        <v>6.6398917834807136</v>
      </c>
      <c r="M58" s="26">
        <f t="shared" si="18"/>
        <v>7.0719939543110737</v>
      </c>
      <c r="N58" s="26">
        <f t="shared" si="18"/>
        <v>7.5322159036144543</v>
      </c>
      <c r="O58" s="26">
        <f t="shared" si="18"/>
        <v>7.9136807871987589</v>
      </c>
      <c r="P58" s="26">
        <f t="shared" si="18"/>
        <v>8.3144647475687083</v>
      </c>
      <c r="Q58" s="26">
        <f t="shared" si="18"/>
        <v>8.7355461886191588</v>
      </c>
      <c r="R58" s="26">
        <f t="shared" si="18"/>
        <v>9.1779530649658483</v>
      </c>
      <c r="S58" s="26">
        <f t="shared" si="18"/>
        <v>9.6427653914140805</v>
      </c>
      <c r="T58" s="26">
        <f t="shared" si="18"/>
        <v>10.131117879518067</v>
      </c>
      <c r="U58" s="26">
        <f t="shared" si="18"/>
        <v>10.644202707667338</v>
      </c>
      <c r="V58" s="26">
        <f t="shared" si="18"/>
        <v>11.183272431462644</v>
      </c>
      <c r="W58" s="26">
        <f t="shared" si="18"/>
        <v>11.749643041486229</v>
      </c>
      <c r="X58" s="26">
        <f t="shared" si="17"/>
        <v>12.344697175931165</v>
      </c>
      <c r="Y58" s="26">
        <f t="shared" si="17"/>
        <v>12.969887495932527</v>
      </c>
      <c r="Z58" s="26">
        <f t="shared" si="17"/>
        <v>13.626740231840332</v>
      </c>
      <c r="AA58" s="26">
        <f t="shared" si="17"/>
        <v>14.316858909091488</v>
      </c>
      <c r="AB58" s="26">
        <f t="shared" si="17"/>
        <v>15.041928262776473</v>
      </c>
      <c r="AC58" s="26">
        <f t="shared" si="17"/>
        <v>15.80371835045705</v>
      </c>
      <c r="AD58" s="26">
        <f t="shared" si="17"/>
        <v>16.604088873275352</v>
      </c>
      <c r="AE58" s="26">
        <f t="shared" si="17"/>
        <v>17.444993715903138</v>
      </c>
      <c r="AF58" s="26">
        <f t="shared" si="17"/>
        <v>18.328485716414246</v>
      </c>
      <c r="AG58" s="26">
        <f t="shared" si="17"/>
        <v>19.256721677724581</v>
      </c>
      <c r="AH58" s="26">
        <f t="shared" si="17"/>
        <v>20.231967632833697</v>
      </c>
      <c r="AV58" s="25" t="s">
        <v>19</v>
      </c>
      <c r="AW58" s="28">
        <f>D58</f>
        <v>4.7723199999999997</v>
      </c>
      <c r="AX58" s="28">
        <f t="shared" si="11"/>
        <v>5.4681784702831129</v>
      </c>
      <c r="AY58" s="28">
        <f t="shared" si="12"/>
        <v>7.5322159036144543</v>
      </c>
      <c r="AZ58" s="28">
        <f t="shared" si="13"/>
        <v>9.6427653914140805</v>
      </c>
      <c r="BA58" s="28">
        <f t="shared" si="14"/>
        <v>12.344697175931165</v>
      </c>
      <c r="BB58" s="28">
        <f t="shared" si="15"/>
        <v>15.80371835045705</v>
      </c>
      <c r="BC58" s="28">
        <f t="shared" si="16"/>
        <v>20.231967632833697</v>
      </c>
    </row>
    <row r="59" spans="2:55" s="25" customFormat="1">
      <c r="B59" s="27"/>
      <c r="C59" s="25" t="s">
        <v>4</v>
      </c>
      <c r="D59" s="26">
        <f>SYDEC_2020!D8</f>
        <v>794.46575500000006</v>
      </c>
      <c r="E59" s="26">
        <f>_xlfn.FORECAST.LINEAR(E$53, CHOOSE({1,2}, $D59,$G59), CHOOSE({1,2}, $D$53, $G$53))</f>
        <v>794.46575500000006</v>
      </c>
      <c r="F59" s="26">
        <f>_xlfn.FORECAST.LINEAR(F$53, CHOOSE({1,2}, $D59,$G59), CHOOSE({1,2}, $D$53, $G$53))</f>
        <v>794.46575500000006</v>
      </c>
      <c r="G59" s="26">
        <f>SYDEC_2023!D8</f>
        <v>794.46575500000006</v>
      </c>
      <c r="H59" s="26">
        <f t="shared" si="18"/>
        <v>850.41662906542535</v>
      </c>
      <c r="I59" s="26">
        <f t="shared" si="17"/>
        <v>910.30788733115526</v>
      </c>
      <c r="J59" s="26">
        <f t="shared" si="17"/>
        <v>974.41703444578309</v>
      </c>
      <c r="K59" s="26">
        <f t="shared" si="17"/>
        <v>1037.8288684948895</v>
      </c>
      <c r="L59" s="26">
        <f t="shared" si="17"/>
        <v>1105.367334730551</v>
      </c>
      <c r="M59" s="26">
        <f t="shared" si="17"/>
        <v>1177.3009807110973</v>
      </c>
      <c r="N59" s="26">
        <f t="shared" si="17"/>
        <v>1253.9158301807227</v>
      </c>
      <c r="O59" s="26">
        <f t="shared" si="17"/>
        <v>1317.4196997332238</v>
      </c>
      <c r="P59" s="26">
        <f t="shared" si="17"/>
        <v>1384.1396874262541</v>
      </c>
      <c r="Q59" s="26">
        <f t="shared" si="17"/>
        <v>1454.2386717736229</v>
      </c>
      <c r="R59" s="26">
        <f t="shared" si="17"/>
        <v>1527.8877801808469</v>
      </c>
      <c r="S59" s="26">
        <f t="shared" si="17"/>
        <v>1605.266806705682</v>
      </c>
      <c r="T59" s="26">
        <f t="shared" si="17"/>
        <v>1686.5646509759033</v>
      </c>
      <c r="U59" s="26">
        <f t="shared" si="17"/>
        <v>1771.9797793358321</v>
      </c>
      <c r="V59" s="26">
        <f t="shared" si="17"/>
        <v>1861.7207093473735</v>
      </c>
      <c r="W59" s="26">
        <f t="shared" si="17"/>
        <v>1956.0065188283381</v>
      </c>
      <c r="X59" s="26">
        <f t="shared" si="17"/>
        <v>2055.0673806707264</v>
      </c>
      <c r="Y59" s="26">
        <f t="shared" si="17"/>
        <v>2159.1451247445884</v>
      </c>
      <c r="Z59" s="26">
        <f t="shared" si="17"/>
        <v>2268.4938282591911</v>
      </c>
      <c r="AA59" s="26">
        <f t="shared" si="17"/>
        <v>2383.3804360226982</v>
      </c>
      <c r="AB59" s="26">
        <f t="shared" si="17"/>
        <v>2504.0854121145576</v>
      </c>
      <c r="AC59" s="26">
        <f t="shared" si="17"/>
        <v>2630.9034245614735</v>
      </c>
      <c r="AD59" s="26">
        <f t="shared" si="17"/>
        <v>2764.1440646884112</v>
      </c>
      <c r="AE59" s="26">
        <f t="shared" si="17"/>
        <v>2904.1326029007359</v>
      </c>
      <c r="AF59" s="26">
        <f t="shared" si="17"/>
        <v>3051.2107827425148</v>
      </c>
      <c r="AG59" s="26">
        <f t="shared" si="17"/>
        <v>3205.737655169461</v>
      </c>
      <c r="AH59" s="26">
        <f t="shared" si="17"/>
        <v>3368.0904550731684</v>
      </c>
      <c r="AV59" s="25" t="s">
        <v>4</v>
      </c>
      <c r="AW59" s="28">
        <f>D59</f>
        <v>794.46575500000006</v>
      </c>
      <c r="AX59" s="28">
        <f t="shared" si="11"/>
        <v>910.30788733115526</v>
      </c>
      <c r="AY59" s="28">
        <f t="shared" si="12"/>
        <v>1253.9158301807227</v>
      </c>
      <c r="AZ59" s="28">
        <f t="shared" si="13"/>
        <v>1605.266806705682</v>
      </c>
      <c r="BA59" s="28">
        <f t="shared" si="14"/>
        <v>2055.0673806707264</v>
      </c>
      <c r="BB59" s="28">
        <f t="shared" si="15"/>
        <v>2630.9034245614735</v>
      </c>
      <c r="BC59" s="28">
        <f t="shared" si="16"/>
        <v>3368.0904550731684</v>
      </c>
    </row>
    <row r="60" spans="2:55">
      <c r="C60" t="s">
        <v>5</v>
      </c>
      <c r="D60" s="19">
        <v>0</v>
      </c>
      <c r="E60" s="19">
        <v>0</v>
      </c>
      <c r="F60" s="19">
        <v>0</v>
      </c>
      <c r="G60" s="19">
        <v>0</v>
      </c>
      <c r="H60" s="19">
        <v>0</v>
      </c>
      <c r="I60" s="19">
        <v>0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V60" t="s">
        <v>5</v>
      </c>
      <c r="AW60" s="6">
        <v>0</v>
      </c>
      <c r="AX60" s="6">
        <f t="shared" si="11"/>
        <v>0</v>
      </c>
      <c r="AY60" s="6">
        <f t="shared" si="12"/>
        <v>0</v>
      </c>
      <c r="AZ60" s="6">
        <f t="shared" si="13"/>
        <v>0</v>
      </c>
      <c r="BA60" s="6">
        <f t="shared" si="14"/>
        <v>0</v>
      </c>
      <c r="BB60" s="6">
        <f t="shared" si="15"/>
        <v>0</v>
      </c>
      <c r="BC60" s="6">
        <f t="shared" si="16"/>
        <v>0</v>
      </c>
    </row>
    <row r="61" spans="2:55">
      <c r="C61" t="s">
        <v>6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0</v>
      </c>
      <c r="AH61" s="19">
        <v>0</v>
      </c>
      <c r="AV61" t="s">
        <v>6</v>
      </c>
      <c r="AW61" s="6">
        <v>0</v>
      </c>
      <c r="AX61" s="6">
        <f t="shared" si="11"/>
        <v>0</v>
      </c>
      <c r="AY61" s="6">
        <f t="shared" si="12"/>
        <v>0</v>
      </c>
      <c r="AZ61" s="6">
        <f t="shared" si="13"/>
        <v>0</v>
      </c>
      <c r="BA61" s="6">
        <f t="shared" si="14"/>
        <v>0</v>
      </c>
      <c r="BB61" s="6">
        <f t="shared" si="15"/>
        <v>0</v>
      </c>
      <c r="BC61" s="6">
        <f t="shared" si="16"/>
        <v>0</v>
      </c>
    </row>
    <row r="62" spans="2:55">
      <c r="C62" t="s">
        <v>7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0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  <c r="AV62" t="s">
        <v>7</v>
      </c>
      <c r="AW62" s="6">
        <v>0</v>
      </c>
      <c r="AX62" s="6">
        <f t="shared" si="11"/>
        <v>0</v>
      </c>
      <c r="AY62" s="6">
        <f t="shared" si="12"/>
        <v>0</v>
      </c>
      <c r="AZ62" s="6">
        <f t="shared" si="13"/>
        <v>0</v>
      </c>
      <c r="BA62" s="6">
        <f t="shared" si="14"/>
        <v>0</v>
      </c>
      <c r="BB62" s="6">
        <f t="shared" si="15"/>
        <v>0</v>
      </c>
      <c r="BC62" s="6">
        <f t="shared" si="16"/>
        <v>0</v>
      </c>
    </row>
    <row r="63" spans="2:55">
      <c r="B63" s="3"/>
      <c r="C63" t="s">
        <v>8</v>
      </c>
      <c r="D63" s="19">
        <v>0</v>
      </c>
      <c r="E63" s="19">
        <v>0</v>
      </c>
      <c r="F63" s="19">
        <v>0</v>
      </c>
      <c r="G63" s="19">
        <v>0</v>
      </c>
      <c r="H63" s="19">
        <v>0</v>
      </c>
      <c r="I63" s="19">
        <v>0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9">
        <v>0</v>
      </c>
      <c r="Q63" s="19">
        <v>0</v>
      </c>
      <c r="R63" s="19">
        <v>0</v>
      </c>
      <c r="S63" s="19">
        <v>0</v>
      </c>
      <c r="T63" s="19">
        <v>0</v>
      </c>
      <c r="U63" s="19">
        <v>0</v>
      </c>
      <c r="V63" s="19">
        <v>0</v>
      </c>
      <c r="W63" s="19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V63" t="s">
        <v>8</v>
      </c>
      <c r="AW63" s="11">
        <f>D63</f>
        <v>0</v>
      </c>
      <c r="AX63" s="11">
        <f t="shared" si="11"/>
        <v>0</v>
      </c>
      <c r="AY63" s="11">
        <f t="shared" si="12"/>
        <v>0</v>
      </c>
      <c r="AZ63" s="11">
        <f t="shared" si="13"/>
        <v>0</v>
      </c>
      <c r="BA63" s="11">
        <f t="shared" si="14"/>
        <v>0</v>
      </c>
      <c r="BB63" s="11">
        <f t="shared" si="15"/>
        <v>0</v>
      </c>
      <c r="BC63" s="11">
        <f t="shared" si="16"/>
        <v>0</v>
      </c>
    </row>
    <row r="64" spans="2:55">
      <c r="C64" t="s">
        <v>9</v>
      </c>
      <c r="D64" s="19">
        <v>0</v>
      </c>
      <c r="E64" s="19">
        <v>0</v>
      </c>
      <c r="F64" s="19">
        <v>0</v>
      </c>
      <c r="G64" s="19">
        <v>0</v>
      </c>
      <c r="H64" s="19">
        <v>0</v>
      </c>
      <c r="I64" s="19">
        <v>0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9">
        <v>0</v>
      </c>
      <c r="Q64" s="19">
        <v>0</v>
      </c>
      <c r="R64" s="19">
        <v>0</v>
      </c>
      <c r="S64" s="19">
        <v>0</v>
      </c>
      <c r="T64" s="19">
        <v>0</v>
      </c>
      <c r="U64" s="19">
        <v>0</v>
      </c>
      <c r="V64" s="19">
        <v>0</v>
      </c>
      <c r="W64" s="19">
        <v>0</v>
      </c>
      <c r="X64" s="19">
        <v>0</v>
      </c>
      <c r="Y64" s="19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V64" t="s">
        <v>9</v>
      </c>
      <c r="AW64" s="6">
        <v>0</v>
      </c>
      <c r="AX64" s="6">
        <f t="shared" si="11"/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</row>
    <row r="65" spans="3:55">
      <c r="C65" t="s">
        <v>17</v>
      </c>
      <c r="D65" s="19">
        <v>0</v>
      </c>
      <c r="E65" s="19">
        <v>0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9">
        <v>0</v>
      </c>
      <c r="Q65" s="19">
        <v>0</v>
      </c>
      <c r="R65" s="19">
        <v>0</v>
      </c>
      <c r="S65" s="19">
        <v>0</v>
      </c>
      <c r="T65" s="19">
        <v>0</v>
      </c>
      <c r="U65" s="19">
        <v>0</v>
      </c>
      <c r="V65" s="19">
        <v>0</v>
      </c>
      <c r="W65" s="19">
        <v>0</v>
      </c>
      <c r="X65" s="19">
        <v>0</v>
      </c>
      <c r="Y65" s="19">
        <v>0</v>
      </c>
      <c r="Z65" s="19">
        <v>0</v>
      </c>
      <c r="AA65" s="19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V65" t="s">
        <v>17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</row>
    <row r="66" spans="3:55">
      <c r="C66" t="s">
        <v>20</v>
      </c>
      <c r="D66" s="19">
        <v>0</v>
      </c>
      <c r="E66" s="19">
        <v>0</v>
      </c>
      <c r="F66" s="19">
        <v>0</v>
      </c>
      <c r="G66" s="19">
        <v>0</v>
      </c>
      <c r="H66" s="19">
        <v>0</v>
      </c>
      <c r="I66" s="19">
        <v>0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9">
        <v>0</v>
      </c>
      <c r="Q66" s="19">
        <v>0</v>
      </c>
      <c r="R66" s="19">
        <v>0</v>
      </c>
      <c r="S66" s="19">
        <v>0</v>
      </c>
      <c r="T66" s="19">
        <v>0</v>
      </c>
      <c r="U66" s="19">
        <v>0</v>
      </c>
      <c r="V66" s="19">
        <v>0</v>
      </c>
      <c r="W66" s="19">
        <v>0</v>
      </c>
      <c r="X66" s="19">
        <v>0</v>
      </c>
      <c r="Y66" s="19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V66" t="s">
        <v>20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</row>
    <row r="67" spans="3:55">
      <c r="C67" t="s">
        <v>22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V67" t="s">
        <v>22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</row>
    <row r="68" spans="3:55">
      <c r="C68" t="s">
        <v>23</v>
      </c>
      <c r="D68" s="19">
        <v>0</v>
      </c>
      <c r="E68" s="19">
        <v>0</v>
      </c>
      <c r="F68" s="19">
        <v>0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9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V68" t="s">
        <v>23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</row>
    <row r="69" spans="3:55">
      <c r="C69" t="s">
        <v>24</v>
      </c>
      <c r="D69" s="19">
        <v>0</v>
      </c>
      <c r="E69" s="19">
        <v>0</v>
      </c>
      <c r="F69" s="19">
        <v>0</v>
      </c>
      <c r="G69" s="19">
        <v>0</v>
      </c>
      <c r="H69" s="19">
        <v>0</v>
      </c>
      <c r="I69" s="19">
        <v>0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9">
        <v>0</v>
      </c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>
        <v>0</v>
      </c>
      <c r="Y69" s="19">
        <v>0</v>
      </c>
      <c r="Z69" s="19">
        <v>0</v>
      </c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  <c r="AV69" t="s">
        <v>24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</row>
    <row r="70" spans="3:55"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</sheetData>
  <phoneticPr fontId="27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25"/>
  <sheetViews>
    <sheetView tabSelected="1" topLeftCell="N4" workbookViewId="0">
      <selection activeCell="W18" sqref="W18"/>
    </sheetView>
  </sheetViews>
  <sheetFormatPr defaultRowHeight="14.4"/>
  <cols>
    <col min="1" max="1" width="23.33203125" customWidth="1"/>
    <col min="2" max="2" width="10.21875" bestFit="1" customWidth="1"/>
    <col min="3" max="32" width="9.6640625" bestFit="1" customWidth="1"/>
  </cols>
  <sheetData>
    <row r="1" spans="1:32">
      <c r="A1" t="s">
        <v>25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18</v>
      </c>
      <c r="B2" s="19">
        <v>0</v>
      </c>
      <c r="C2" s="19">
        <v>0</v>
      </c>
      <c r="D2" s="19">
        <v>0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</row>
    <row r="3" spans="1:32">
      <c r="A3" t="s">
        <v>44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</row>
    <row r="4" spans="1:32">
      <c r="A4" t="s">
        <v>45</v>
      </c>
      <c r="B4" s="19">
        <v>0</v>
      </c>
      <c r="C4" s="19">
        <v>0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</row>
    <row r="5" spans="1:32">
      <c r="A5" t="s">
        <v>2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</row>
    <row r="6" spans="1:32">
      <c r="A6" s="40" t="s">
        <v>3</v>
      </c>
      <c r="B6" s="19">
        <f>Calculations!D16</f>
        <v>0</v>
      </c>
      <c r="C6" s="19">
        <f>Calculations!E16</f>
        <v>0</v>
      </c>
      <c r="D6" s="19">
        <f>Calculations!F16</f>
        <v>0</v>
      </c>
      <c r="E6" s="19">
        <f>Calculations!G16</f>
        <v>0</v>
      </c>
      <c r="F6" s="19">
        <f>Calculations!H16</f>
        <v>0</v>
      </c>
      <c r="G6" s="19">
        <f>Calculations!I16</f>
        <v>0</v>
      </c>
      <c r="H6" s="19">
        <f>Calculations!J16</f>
        <v>0</v>
      </c>
      <c r="I6" s="19">
        <f>Calculations!K16</f>
        <v>0</v>
      </c>
      <c r="J6" s="19">
        <f>Calculations!L16</f>
        <v>0</v>
      </c>
      <c r="K6" s="19">
        <f>Calculations!M16</f>
        <v>0</v>
      </c>
      <c r="L6" s="19">
        <f>Calculations!N16</f>
        <v>0</v>
      </c>
      <c r="M6" s="19">
        <f>Calculations!O16</f>
        <v>0</v>
      </c>
      <c r="N6" s="19">
        <f>Calculations!P16</f>
        <v>0</v>
      </c>
      <c r="O6" s="19">
        <f>Calculations!Q16</f>
        <v>0</v>
      </c>
      <c r="P6" s="19">
        <f>Calculations!R16</f>
        <v>0</v>
      </c>
      <c r="Q6" s="19">
        <f>Calculations!S16</f>
        <v>0</v>
      </c>
      <c r="R6" s="19">
        <f>Calculations!T16</f>
        <v>0</v>
      </c>
      <c r="S6" s="19">
        <f>Calculations!U16</f>
        <v>0</v>
      </c>
      <c r="T6" s="19">
        <f>Calculations!V16</f>
        <v>0</v>
      </c>
      <c r="U6" s="19">
        <f>Calculations!W16</f>
        <v>0</v>
      </c>
      <c r="V6" s="19">
        <f>Calculations!X16</f>
        <v>0</v>
      </c>
      <c r="W6" s="19">
        <f>Calculations!Y16</f>
        <v>0</v>
      </c>
      <c r="X6" s="19">
        <f>Calculations!Z16</f>
        <v>0</v>
      </c>
      <c r="Y6" s="19">
        <f>Calculations!AA16</f>
        <v>0</v>
      </c>
      <c r="Z6" s="19">
        <f>Calculations!AB16</f>
        <v>0</v>
      </c>
      <c r="AA6" s="19">
        <f>Calculations!AC16</f>
        <v>0</v>
      </c>
      <c r="AB6" s="19">
        <f>Calculations!AD16</f>
        <v>0</v>
      </c>
      <c r="AC6" s="19">
        <f>Calculations!AE16</f>
        <v>0</v>
      </c>
      <c r="AD6" s="19">
        <f>Calculations!AF16</f>
        <v>0</v>
      </c>
      <c r="AE6" s="19">
        <f>Calculations!AG16</f>
        <v>0</v>
      </c>
      <c r="AF6" s="19">
        <f>Calculations!AH16</f>
        <v>0</v>
      </c>
    </row>
    <row r="7" spans="1:32">
      <c r="A7" s="20" t="s">
        <v>19</v>
      </c>
      <c r="B7" s="19">
        <f>Calculations!D17</f>
        <v>0</v>
      </c>
      <c r="C7" s="19">
        <f>Calculations!E17</f>
        <v>0</v>
      </c>
      <c r="D7" s="19">
        <f>Calculations!F17</f>
        <v>0</v>
      </c>
      <c r="E7" s="19">
        <f>Calculations!G17</f>
        <v>0</v>
      </c>
      <c r="F7" s="19">
        <f>Calculations!H17</f>
        <v>0</v>
      </c>
      <c r="G7" s="19">
        <f>Calculations!I17</f>
        <v>0</v>
      </c>
      <c r="H7" s="19">
        <f>Calculations!J17</f>
        <v>0</v>
      </c>
      <c r="I7" s="19">
        <f>Calculations!K17</f>
        <v>0</v>
      </c>
      <c r="J7" s="19">
        <f>Calculations!L17</f>
        <v>0</v>
      </c>
      <c r="K7" s="19">
        <f>Calculations!M17</f>
        <v>0</v>
      </c>
      <c r="L7" s="19">
        <f>Calculations!N17</f>
        <v>0</v>
      </c>
      <c r="M7" s="19">
        <f>Calculations!O17</f>
        <v>0</v>
      </c>
      <c r="N7" s="19">
        <f>Calculations!P17</f>
        <v>0</v>
      </c>
      <c r="O7" s="19">
        <f>Calculations!Q17</f>
        <v>0</v>
      </c>
      <c r="P7" s="19">
        <f>Calculations!R17</f>
        <v>0</v>
      </c>
      <c r="Q7" s="19">
        <f>Calculations!S17</f>
        <v>0</v>
      </c>
      <c r="R7" s="19">
        <f>Calculations!T17</f>
        <v>0</v>
      </c>
      <c r="S7" s="19">
        <f>Calculations!U17</f>
        <v>0</v>
      </c>
      <c r="T7" s="19">
        <f>Calculations!V17</f>
        <v>0</v>
      </c>
      <c r="U7" s="19">
        <f>Calculations!W17</f>
        <v>0</v>
      </c>
      <c r="V7" s="19">
        <f>Calculations!X17</f>
        <v>0</v>
      </c>
      <c r="W7" s="19">
        <f>Calculations!Y17</f>
        <v>0</v>
      </c>
      <c r="X7" s="19">
        <f>Calculations!Z17</f>
        <v>0</v>
      </c>
      <c r="Y7" s="19">
        <f>Calculations!AA17</f>
        <v>0</v>
      </c>
      <c r="Z7" s="19">
        <f>Calculations!AB17</f>
        <v>0</v>
      </c>
      <c r="AA7" s="19">
        <f>Calculations!AC17</f>
        <v>0</v>
      </c>
      <c r="AB7" s="19">
        <f>Calculations!AD17</f>
        <v>0</v>
      </c>
      <c r="AC7" s="19">
        <f>Calculations!AE17</f>
        <v>0</v>
      </c>
      <c r="AD7" s="19">
        <f>Calculations!AF17</f>
        <v>0</v>
      </c>
      <c r="AE7" s="19">
        <f>Calculations!AG17</f>
        <v>0</v>
      </c>
      <c r="AF7" s="19">
        <f>Calculations!AH17</f>
        <v>0</v>
      </c>
    </row>
    <row r="8" spans="1:32" s="15" customFormat="1">
      <c r="A8" s="20" t="s">
        <v>4</v>
      </c>
      <c r="B8" s="19">
        <f>Calculations!D18</f>
        <v>1376.5727545176001</v>
      </c>
      <c r="C8" s="19">
        <f>Calculations!E18</f>
        <v>1376.5727545176001</v>
      </c>
      <c r="D8" s="19">
        <f>Calculations!F18</f>
        <v>1376.5727545176001</v>
      </c>
      <c r="E8" s="19">
        <f>Calculations!G18</f>
        <v>1376.5727545176001</v>
      </c>
      <c r="F8" s="19">
        <f>Calculations!H18</f>
        <v>1517.6353563479663</v>
      </c>
      <c r="G8" s="19">
        <f>Calculations!I18</f>
        <v>1673.1531749984022</v>
      </c>
      <c r="H8" s="19">
        <f>Calculations!J18</f>
        <v>1844.607491053584</v>
      </c>
      <c r="I8" s="19">
        <f>Calculations!K18</f>
        <v>1985.8475009056913</v>
      </c>
      <c r="J8" s="19">
        <f>Calculations!L18</f>
        <v>2137.9021368935892</v>
      </c>
      <c r="K8" s="19">
        <f>Calculations!M18</f>
        <v>2301.5994656435787</v>
      </c>
      <c r="L8" s="19">
        <f>Calculations!N18</f>
        <v>2477.8309581316794</v>
      </c>
      <c r="M8" s="19">
        <f>Calculations!O18</f>
        <v>2620.75454327224</v>
      </c>
      <c r="N8" s="19">
        <f>Calculations!P18</f>
        <v>2771.9220932088629</v>
      </c>
      <c r="O8" s="19">
        <f>Calculations!Q18</f>
        <v>2931.809127468237</v>
      </c>
      <c r="P8" s="19">
        <f>Calculations!R18</f>
        <v>3100.9185939838744</v>
      </c>
      <c r="Q8" s="19">
        <f>Calculations!S18</f>
        <v>3279.7824511920257</v>
      </c>
      <c r="R8" s="19">
        <f>Calculations!T18</f>
        <v>3468.9633413843535</v>
      </c>
      <c r="S8" s="19">
        <f>Calculations!U18</f>
        <v>3468.9633413843535</v>
      </c>
      <c r="T8" s="19">
        <f>Calculations!V18</f>
        <v>3468.9633413843535</v>
      </c>
      <c r="U8" s="19">
        <f>Calculations!W18</f>
        <v>3468.9633413843535</v>
      </c>
      <c r="V8" s="19">
        <f>Calculations!X18</f>
        <v>3468.9633413843535</v>
      </c>
      <c r="W8" s="19">
        <f>Calculations!Y18</f>
        <v>3468.9633413843535</v>
      </c>
      <c r="X8" s="19">
        <f>Calculations!Z18</f>
        <v>3468.9633413843535</v>
      </c>
      <c r="Y8" s="19">
        <f>Calculations!AA18</f>
        <v>3468.9633413843535</v>
      </c>
      <c r="Z8" s="19">
        <f>Calculations!AB18</f>
        <v>3468.9633413843535</v>
      </c>
      <c r="AA8" s="19">
        <f>Calculations!AC18</f>
        <v>3468.9633413843535</v>
      </c>
      <c r="AB8" s="19">
        <f>Calculations!AD18</f>
        <v>3468.9633413843535</v>
      </c>
      <c r="AC8" s="19">
        <f>Calculations!AE18</f>
        <v>3468.9633413843535</v>
      </c>
      <c r="AD8" s="19">
        <f>Calculations!AF18</f>
        <v>3468.9633413843535</v>
      </c>
      <c r="AE8" s="19">
        <f>Calculations!AG18</f>
        <v>3468.9633413843535</v>
      </c>
      <c r="AF8" s="19">
        <f>Calculations!AH18</f>
        <v>3468.9633413843535</v>
      </c>
    </row>
    <row r="9" spans="1:32">
      <c r="A9" t="s">
        <v>5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</row>
    <row r="10" spans="1:32">
      <c r="A10" t="s">
        <v>6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</row>
    <row r="11" spans="1:32">
      <c r="A11" t="s">
        <v>7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</row>
    <row r="12" spans="1:32">
      <c r="A12" t="s">
        <v>8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32">
      <c r="A13" t="s">
        <v>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32">
      <c r="A14" t="s">
        <v>17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32">
      <c r="A15" t="s">
        <v>20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2">
      <c r="A16" t="s">
        <v>22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t="s">
        <v>23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t="s">
        <v>24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46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47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48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49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50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7" t="s">
        <v>51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7" t="s">
        <v>52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</sheetData>
  <phoneticPr fontId="2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AF25"/>
  <sheetViews>
    <sheetView topLeftCell="N4" workbookViewId="0">
      <selection activeCell="B2" sqref="B2:AF25"/>
    </sheetView>
  </sheetViews>
  <sheetFormatPr defaultRowHeight="14.4"/>
  <cols>
    <col min="1" max="1" width="23.33203125" customWidth="1"/>
    <col min="2" max="32" width="9.6640625" bestFit="1" customWidth="1"/>
  </cols>
  <sheetData>
    <row r="1" spans="1:32">
      <c r="A1" t="s">
        <v>25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18</v>
      </c>
      <c r="B2" s="19">
        <v>0</v>
      </c>
      <c r="C2" s="19">
        <v>0</v>
      </c>
      <c r="D2" s="19">
        <v>0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</row>
    <row r="3" spans="1:32">
      <c r="A3" t="s">
        <v>44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</row>
    <row r="4" spans="1:32">
      <c r="A4" t="s">
        <v>45</v>
      </c>
      <c r="B4" s="19">
        <v>0</v>
      </c>
      <c r="C4" s="19">
        <v>0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</row>
    <row r="5" spans="1:32">
      <c r="A5" t="s">
        <v>2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</row>
    <row r="6" spans="1:32">
      <c r="A6" s="40" t="s">
        <v>3</v>
      </c>
      <c r="B6" s="19">
        <f>Calculations!D36</f>
        <v>0.09</v>
      </c>
      <c r="C6" s="19">
        <f>Calculations!E36</f>
        <v>0.09</v>
      </c>
      <c r="D6" s="19">
        <f>Calculations!F36</f>
        <v>0.09</v>
      </c>
      <c r="E6" s="19">
        <f>Calculations!G36</f>
        <v>0.09</v>
      </c>
      <c r="F6" s="19">
        <f>Calculations!H36</f>
        <v>9.922263943047599E-2</v>
      </c>
      <c r="G6" s="19">
        <f>Calculations!I36</f>
        <v>0.10939035750611388</v>
      </c>
      <c r="H6" s="19">
        <f>Calculations!J36</f>
        <v>0.1206</v>
      </c>
      <c r="I6" s="19">
        <f>Calculations!K36</f>
        <v>0.12983423832483468</v>
      </c>
      <c r="J6" s="19">
        <f>Calculations!L36</f>
        <v>0.13977553433988366</v>
      </c>
      <c r="K6" s="19">
        <f>Calculations!M36</f>
        <v>0.15047802684465644</v>
      </c>
      <c r="L6" s="19">
        <f>Calculations!N36</f>
        <v>0.16199999999999995</v>
      </c>
      <c r="M6" s="19">
        <f>Calculations!O36</f>
        <v>0.17134431007764503</v>
      </c>
      <c r="N6" s="19">
        <f>Calculations!P36</f>
        <v>0.18122760861718626</v>
      </c>
      <c r="O6" s="19">
        <f>Calculations!Q36</f>
        <v>0.19168098497242755</v>
      </c>
      <c r="P6" s="19">
        <f>Calculations!R36</f>
        <v>0.20273732175990156</v>
      </c>
      <c r="Q6" s="19">
        <f>Calculations!S36</f>
        <v>0.21443139829592514</v>
      </c>
      <c r="R6" s="19">
        <f>Calculations!T36</f>
        <v>0.22680000000000006</v>
      </c>
      <c r="S6" s="19">
        <f>Calculations!U36</f>
        <v>0.22680000000000006</v>
      </c>
      <c r="T6" s="19">
        <f>Calculations!V36</f>
        <v>0.22680000000000006</v>
      </c>
      <c r="U6" s="19">
        <f>Calculations!W36</f>
        <v>0.22680000000000006</v>
      </c>
      <c r="V6" s="19">
        <f>Calculations!X36</f>
        <v>0.22680000000000006</v>
      </c>
      <c r="W6" s="19">
        <f>Calculations!Y36</f>
        <v>0.22680000000000006</v>
      </c>
      <c r="X6" s="19">
        <f>Calculations!Z36</f>
        <v>0.22680000000000006</v>
      </c>
      <c r="Y6" s="19">
        <f>Calculations!AA36</f>
        <v>0.22680000000000006</v>
      </c>
      <c r="Z6" s="19">
        <f>Calculations!AB36</f>
        <v>0.22680000000000006</v>
      </c>
      <c r="AA6" s="19">
        <f>Calculations!AC36</f>
        <v>0.22680000000000006</v>
      </c>
      <c r="AB6" s="19">
        <f>Calculations!AD36</f>
        <v>0.22680000000000006</v>
      </c>
      <c r="AC6" s="19">
        <f>Calculations!AE36</f>
        <v>0.22680000000000006</v>
      </c>
      <c r="AD6" s="19">
        <f>Calculations!AF36</f>
        <v>0.22680000000000006</v>
      </c>
      <c r="AE6" s="19">
        <f>Calculations!AG36</f>
        <v>0.22680000000000006</v>
      </c>
      <c r="AF6" s="19">
        <f>Calculations!AH36</f>
        <v>0.22680000000000006</v>
      </c>
    </row>
    <row r="7" spans="1:32">
      <c r="A7" s="20" t="s">
        <v>19</v>
      </c>
      <c r="B7" s="19">
        <f>Calculations!D37</f>
        <v>8.4780999999999995</v>
      </c>
      <c r="C7" s="19">
        <f>Calculations!E37</f>
        <v>8.4780999999999995</v>
      </c>
      <c r="D7" s="19">
        <f>Calculations!F37</f>
        <v>8.4780999999999995</v>
      </c>
      <c r="E7" s="19">
        <f>Calculations!G37</f>
        <v>8.4780999999999995</v>
      </c>
      <c r="F7" s="19">
        <f>Calculations!H37</f>
        <v>9.3468828817279821</v>
      </c>
      <c r="G7" s="19">
        <f>Calculations!I37</f>
        <v>10.304693221917599</v>
      </c>
      <c r="H7" s="19">
        <f>Calculations!J37</f>
        <v>11.360653999999998</v>
      </c>
      <c r="I7" s="19">
        <f>Calculations!K37</f>
        <v>12.23052951046423</v>
      </c>
      <c r="J7" s="19">
        <f>Calculations!L37</f>
        <v>13.167010640966305</v>
      </c>
      <c r="K7" s="19">
        <f>Calculations!M37</f>
        <v>14.17519732657424</v>
      </c>
      <c r="L7" s="19">
        <f>Calculations!N37</f>
        <v>15.260579999999994</v>
      </c>
      <c r="M7" s="19">
        <f>Calculations!O37</f>
        <v>16.140824391880912</v>
      </c>
      <c r="N7" s="19">
        <f>Calculations!P37</f>
        <v>17.071842095748519</v>
      </c>
      <c r="O7" s="19">
        <f>Calculations!Q37</f>
        <v>18.056561763274864</v>
      </c>
      <c r="P7" s="19">
        <f>Calculations!R37</f>
        <v>19.098080973473568</v>
      </c>
      <c r="Q7" s="19">
        <f>Calculations!S37</f>
        <v>20.199675976585361</v>
      </c>
      <c r="R7" s="19">
        <f>Calculations!T37</f>
        <v>21.364812000000001</v>
      </c>
      <c r="S7" s="19">
        <f>Calculations!U37</f>
        <v>21.364812000000001</v>
      </c>
      <c r="T7" s="19">
        <f>Calculations!V37</f>
        <v>21.364812000000001</v>
      </c>
      <c r="U7" s="19">
        <f>Calculations!W37</f>
        <v>21.364812000000001</v>
      </c>
      <c r="V7" s="19">
        <f>Calculations!X37</f>
        <v>21.364812000000001</v>
      </c>
      <c r="W7" s="19">
        <f>Calculations!Y37</f>
        <v>21.364812000000001</v>
      </c>
      <c r="X7" s="19">
        <f>Calculations!Z37</f>
        <v>21.364812000000001</v>
      </c>
      <c r="Y7" s="19">
        <f>Calculations!AA37</f>
        <v>21.364812000000001</v>
      </c>
      <c r="Z7" s="19">
        <f>Calculations!AB37</f>
        <v>21.364812000000001</v>
      </c>
      <c r="AA7" s="19">
        <f>Calculations!AC37</f>
        <v>21.364812000000001</v>
      </c>
      <c r="AB7" s="19">
        <f>Calculations!AD37</f>
        <v>21.364812000000001</v>
      </c>
      <c r="AC7" s="19">
        <f>Calculations!AE37</f>
        <v>21.364812000000001</v>
      </c>
      <c r="AD7" s="19">
        <f>Calculations!AF37</f>
        <v>21.364812000000001</v>
      </c>
      <c r="AE7" s="19">
        <f>Calculations!AG37</f>
        <v>21.364812000000001</v>
      </c>
      <c r="AF7" s="19">
        <f>Calculations!AH37</f>
        <v>21.364812000000001</v>
      </c>
    </row>
    <row r="8" spans="1:32">
      <c r="A8" s="20" t="s">
        <v>4</v>
      </c>
      <c r="B8" s="19">
        <f>Calculations!D38</f>
        <v>240.72332048239997</v>
      </c>
      <c r="C8" s="19">
        <f>Calculations!E38</f>
        <v>240.72332048239997</v>
      </c>
      <c r="D8" s="19">
        <f>Calculations!F38</f>
        <v>240.72332048239997</v>
      </c>
      <c r="E8" s="19">
        <f>Calculations!G38</f>
        <v>240.72332048239997</v>
      </c>
      <c r="F8" s="19">
        <f>Calculations!H38</f>
        <v>265.39114700813434</v>
      </c>
      <c r="G8" s="19">
        <f>Calculations!I38</f>
        <v>292.58677875142843</v>
      </c>
      <c r="H8" s="19">
        <f>Calculations!J38</f>
        <v>322.56924944641599</v>
      </c>
      <c r="I8" s="19">
        <f>Calculations!K38</f>
        <v>347.26809957619417</v>
      </c>
      <c r="J8" s="19">
        <f>Calculations!L38</f>
        <v>373.85811942776132</v>
      </c>
      <c r="K8" s="19">
        <f>Calculations!M38</f>
        <v>402.48411424094917</v>
      </c>
      <c r="L8" s="19">
        <f>Calculations!N38</f>
        <v>433.30197686831991</v>
      </c>
      <c r="M8" s="19">
        <f>Calculations!O38</f>
        <v>458.29523630729631</v>
      </c>
      <c r="N8" s="19">
        <f>Calculations!P38</f>
        <v>484.73013010459874</v>
      </c>
      <c r="O8" s="19">
        <f>Calculations!Q38</f>
        <v>512.68981306555315</v>
      </c>
      <c r="P8" s="19">
        <f>Calculations!R38</f>
        <v>542.26223644169147</v>
      </c>
      <c r="Q8" s="19">
        <f>Calculations!S38</f>
        <v>573.54042459421282</v>
      </c>
      <c r="R8" s="19">
        <f>Calculations!T38</f>
        <v>606.62276761564829</v>
      </c>
      <c r="S8" s="19">
        <f>Calculations!U38</f>
        <v>606.62276761564829</v>
      </c>
      <c r="T8" s="19">
        <f>Calculations!V38</f>
        <v>606.62276761564829</v>
      </c>
      <c r="U8" s="19">
        <f>Calculations!W38</f>
        <v>606.62276761564829</v>
      </c>
      <c r="V8" s="19">
        <f>Calculations!X38</f>
        <v>606.62276761564829</v>
      </c>
      <c r="W8" s="19">
        <f>Calculations!Y38</f>
        <v>606.62276761564829</v>
      </c>
      <c r="X8" s="19">
        <f>Calculations!Z38</f>
        <v>606.62276761564829</v>
      </c>
      <c r="Y8" s="19">
        <f>Calculations!AA38</f>
        <v>606.62276761564829</v>
      </c>
      <c r="Z8" s="19">
        <f>Calculations!AB38</f>
        <v>606.62276761564829</v>
      </c>
      <c r="AA8" s="19">
        <f>Calculations!AC38</f>
        <v>606.62276761564829</v>
      </c>
      <c r="AB8" s="19">
        <f>Calculations!AD38</f>
        <v>606.62276761564829</v>
      </c>
      <c r="AC8" s="19">
        <f>Calculations!AE38</f>
        <v>606.62276761564829</v>
      </c>
      <c r="AD8" s="19">
        <f>Calculations!AF38</f>
        <v>606.62276761564829</v>
      </c>
      <c r="AE8" s="19">
        <f>Calculations!AG38</f>
        <v>606.62276761564829</v>
      </c>
      <c r="AF8" s="19">
        <f>Calculations!AH38</f>
        <v>606.62276761564829</v>
      </c>
    </row>
    <row r="9" spans="1:32">
      <c r="A9" t="s">
        <v>5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</row>
    <row r="10" spans="1:32">
      <c r="A10" t="s">
        <v>6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</row>
    <row r="11" spans="1:32">
      <c r="A11" t="s">
        <v>7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</row>
    <row r="12" spans="1:32">
      <c r="A12" t="s">
        <v>8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32">
      <c r="A13" t="s">
        <v>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32">
      <c r="A14" t="s">
        <v>17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32">
      <c r="A15" t="s">
        <v>20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2">
      <c r="A16" t="s">
        <v>22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t="s">
        <v>23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t="s">
        <v>24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46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47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48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49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50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7" t="s">
        <v>51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7" t="s">
        <v>52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</sheetData>
  <phoneticPr fontId="2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/>
  </sheetPr>
  <dimension ref="A1:AF25"/>
  <sheetViews>
    <sheetView topLeftCell="N4" workbookViewId="0">
      <selection activeCell="B2" sqref="B2:AF25"/>
    </sheetView>
  </sheetViews>
  <sheetFormatPr defaultRowHeight="14.4"/>
  <cols>
    <col min="1" max="1" width="23.33203125" customWidth="1"/>
    <col min="2" max="32" width="9.6640625" bestFit="1" customWidth="1"/>
  </cols>
  <sheetData>
    <row r="1" spans="1:32">
      <c r="A1" t="s">
        <v>25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18</v>
      </c>
      <c r="B2" s="19">
        <v>0</v>
      </c>
      <c r="C2" s="19">
        <v>0</v>
      </c>
      <c r="D2" s="19">
        <v>0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9">
        <v>0</v>
      </c>
      <c r="Q2" s="19">
        <v>0</v>
      </c>
      <c r="R2" s="19">
        <v>0</v>
      </c>
      <c r="S2" s="19">
        <v>0</v>
      </c>
      <c r="T2" s="19">
        <v>0</v>
      </c>
      <c r="U2" s="19">
        <v>0</v>
      </c>
      <c r="V2" s="19">
        <v>0</v>
      </c>
      <c r="W2" s="19">
        <v>0</v>
      </c>
      <c r="X2" s="19">
        <v>0</v>
      </c>
      <c r="Y2" s="19">
        <v>0</v>
      </c>
      <c r="Z2" s="19">
        <v>0</v>
      </c>
      <c r="AA2" s="19">
        <v>0</v>
      </c>
      <c r="AB2" s="19">
        <v>0</v>
      </c>
      <c r="AC2" s="19">
        <v>0</v>
      </c>
      <c r="AD2" s="19">
        <v>0</v>
      </c>
      <c r="AE2" s="19">
        <v>0</v>
      </c>
      <c r="AF2" s="19">
        <v>0</v>
      </c>
    </row>
    <row r="3" spans="1:32">
      <c r="A3" t="s">
        <v>44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>
        <v>0</v>
      </c>
      <c r="I3" s="19">
        <v>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19">
        <v>0</v>
      </c>
      <c r="AE3" s="19">
        <v>0</v>
      </c>
      <c r="AF3" s="19">
        <v>0</v>
      </c>
    </row>
    <row r="4" spans="1:32">
      <c r="A4" t="s">
        <v>45</v>
      </c>
      <c r="B4" s="19">
        <v>0</v>
      </c>
      <c r="C4" s="19">
        <v>0</v>
      </c>
      <c r="D4" s="19">
        <v>0</v>
      </c>
      <c r="E4" s="19">
        <v>0</v>
      </c>
      <c r="F4" s="19">
        <v>0</v>
      </c>
      <c r="G4" s="19">
        <v>0</v>
      </c>
      <c r="H4" s="19">
        <v>0</v>
      </c>
      <c r="I4" s="19">
        <v>0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  <c r="AF4" s="19">
        <v>0</v>
      </c>
    </row>
    <row r="5" spans="1:32">
      <c r="A5" t="s">
        <v>2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>
        <v>0</v>
      </c>
      <c r="I5" s="19">
        <v>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9">
        <v>0</v>
      </c>
      <c r="Q5" s="19">
        <v>0</v>
      </c>
      <c r="R5" s="19">
        <v>0</v>
      </c>
      <c r="S5" s="19">
        <v>0</v>
      </c>
      <c r="T5" s="19">
        <v>0</v>
      </c>
      <c r="U5" s="19">
        <v>0</v>
      </c>
      <c r="V5" s="19">
        <v>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0</v>
      </c>
      <c r="AF5" s="19">
        <v>0</v>
      </c>
    </row>
    <row r="6" spans="1:32">
      <c r="A6" s="40" t="s">
        <v>3</v>
      </c>
      <c r="B6" s="19">
        <f>Calculations!D57</f>
        <v>1.4237500000000001</v>
      </c>
      <c r="C6" s="19">
        <f>Calculations!E57</f>
        <v>1.4237500000000001</v>
      </c>
      <c r="D6" s="19">
        <f>Calculations!F57</f>
        <v>1.4237500000000001</v>
      </c>
      <c r="E6" s="19">
        <f>Calculations!G57</f>
        <v>1.4237500000000001</v>
      </c>
      <c r="F6" s="19">
        <f>Calculations!H57</f>
        <v>1.5240187107018845</v>
      </c>
      <c r="G6" s="19">
        <f>Calculations!I57</f>
        <v>1.6313489240171621</v>
      </c>
      <c r="H6" s="19">
        <f>Calculations!J57</f>
        <v>1.7462379518072288</v>
      </c>
      <c r="I6" s="19">
        <f>Calculations!K57</f>
        <v>1.8598773354549423</v>
      </c>
      <c r="J6" s="19">
        <f>Calculations!L57</f>
        <v>1.9809119939003814</v>
      </c>
      <c r="K6" s="19">
        <f>Calculations!M57</f>
        <v>2.1098231871396709</v>
      </c>
      <c r="L6" s="19">
        <f>Calculations!N57</f>
        <v>2.2471234939759031</v>
      </c>
      <c r="M6" s="19">
        <f>Calculations!O57</f>
        <v>2.3609278130498867</v>
      </c>
      <c r="N6" s="19">
        <f>Calculations!P57</f>
        <v>2.480495688543717</v>
      </c>
      <c r="O6" s="19">
        <f>Calculations!Q57</f>
        <v>2.6061190125654883</v>
      </c>
      <c r="P6" s="19">
        <f>Calculations!R57</f>
        <v>2.7381044599367037</v>
      </c>
      <c r="Q6" s="19">
        <f>Calculations!S57</f>
        <v>2.8767742368545699</v>
      </c>
      <c r="R6" s="19">
        <f>Calculations!T57</f>
        <v>3.0224668674698787</v>
      </c>
      <c r="S6" s="19">
        <f>Calculations!U57</f>
        <v>3.1755380203006873</v>
      </c>
      <c r="T6" s="19">
        <f>Calculations!V57</f>
        <v>3.336361376499259</v>
      </c>
      <c r="U6" s="19">
        <f>Calculations!W57</f>
        <v>3.5053295420919013</v>
      </c>
      <c r="V6" s="19">
        <f>Calculations!X57</f>
        <v>3.6828550064186811</v>
      </c>
      <c r="W6" s="19">
        <f>Calculations!Y57</f>
        <v>3.869371149112788</v>
      </c>
      <c r="X6" s="19">
        <f>Calculations!Z57</f>
        <v>4.0653332980778067</v>
      </c>
      <c r="Y6" s="19">
        <f>Calculations!AA57</f>
        <v>4.2712198410456574</v>
      </c>
      <c r="Z6" s="19">
        <f>Calculations!AB57</f>
        <v>4.4875333934287749</v>
      </c>
      <c r="AA6" s="19">
        <f>Calculations!AC57</f>
        <v>4.7148020253175043</v>
      </c>
      <c r="AB6" s="19">
        <f>Calculations!AD57</f>
        <v>4.9535805506181045</v>
      </c>
      <c r="AC6" s="19">
        <f>Calculations!AE57</f>
        <v>5.2044518814784224</v>
      </c>
      <c r="AD6" s="19">
        <f>Calculations!AF57</f>
        <v>5.4680284513077071</v>
      </c>
      <c r="AE6" s="19">
        <f>Calculations!AG57</f>
        <v>5.7449537098644656</v>
      </c>
      <c r="AF6" s="19">
        <f>Calculations!AH57</f>
        <v>6.0359036940622159</v>
      </c>
    </row>
    <row r="7" spans="1:32">
      <c r="A7" s="20" t="s">
        <v>19</v>
      </c>
      <c r="B7" s="19">
        <f>Calculations!D58</f>
        <v>4.7723199999999997</v>
      </c>
      <c r="C7" s="19">
        <f>Calculations!E58</f>
        <v>4.7723199999999997</v>
      </c>
      <c r="D7" s="19">
        <f>Calculations!F58</f>
        <v>4.7723199999999997</v>
      </c>
      <c r="E7" s="19">
        <f>Calculations!G58</f>
        <v>4.7723199999999997</v>
      </c>
      <c r="F7" s="19">
        <f>Calculations!H58</f>
        <v>5.1084143799521105</v>
      </c>
      <c r="G7" s="19">
        <f>Calculations!I58</f>
        <v>5.4681784702831129</v>
      </c>
      <c r="H7" s="19">
        <f>Calculations!J58</f>
        <v>5.8532792289156612</v>
      </c>
      <c r="I7" s="19">
        <f>Calculations!K58</f>
        <v>6.2341912593772282</v>
      </c>
      <c r="J7" s="19">
        <f>Calculations!L58</f>
        <v>6.6398917834807136</v>
      </c>
      <c r="K7" s="19">
        <f>Calculations!M58</f>
        <v>7.0719939543110737</v>
      </c>
      <c r="L7" s="19">
        <f>Calculations!N58</f>
        <v>7.5322159036144543</v>
      </c>
      <c r="M7" s="19">
        <f>Calculations!O58</f>
        <v>7.9136807871987589</v>
      </c>
      <c r="N7" s="19">
        <f>Calculations!P58</f>
        <v>8.3144647475687083</v>
      </c>
      <c r="O7" s="19">
        <f>Calculations!Q58</f>
        <v>8.7355461886191588</v>
      </c>
      <c r="P7" s="19">
        <f>Calculations!R58</f>
        <v>9.1779530649658483</v>
      </c>
      <c r="Q7" s="19">
        <f>Calculations!S58</f>
        <v>9.6427653914140805</v>
      </c>
      <c r="R7" s="19">
        <f>Calculations!T58</f>
        <v>10.131117879518067</v>
      </c>
      <c r="S7" s="19">
        <f>Calculations!U58</f>
        <v>10.644202707667338</v>
      </c>
      <c r="T7" s="19">
        <f>Calculations!V58</f>
        <v>11.183272431462644</v>
      </c>
      <c r="U7" s="19">
        <f>Calculations!W58</f>
        <v>11.749643041486229</v>
      </c>
      <c r="V7" s="19">
        <f>Calculations!X58</f>
        <v>12.344697175931165</v>
      </c>
      <c r="W7" s="19">
        <f>Calculations!Y58</f>
        <v>12.969887495932527</v>
      </c>
      <c r="X7" s="19">
        <f>Calculations!Z58</f>
        <v>13.626740231840332</v>
      </c>
      <c r="Y7" s="19">
        <f>Calculations!AA58</f>
        <v>14.316858909091488</v>
      </c>
      <c r="Z7" s="19">
        <f>Calculations!AB58</f>
        <v>15.041928262776473</v>
      </c>
      <c r="AA7" s="19">
        <f>Calculations!AC58</f>
        <v>15.80371835045705</v>
      </c>
      <c r="AB7" s="19">
        <f>Calculations!AD58</f>
        <v>16.604088873275352</v>
      </c>
      <c r="AC7" s="19">
        <f>Calculations!AE58</f>
        <v>17.444993715903138</v>
      </c>
      <c r="AD7" s="19">
        <f>Calculations!AF58</f>
        <v>18.328485716414246</v>
      </c>
      <c r="AE7" s="19">
        <f>Calculations!AG58</f>
        <v>19.256721677724581</v>
      </c>
      <c r="AF7" s="19">
        <f>Calculations!AH58</f>
        <v>20.231967632833697</v>
      </c>
    </row>
    <row r="8" spans="1:32">
      <c r="A8" s="20" t="s">
        <v>4</v>
      </c>
      <c r="B8" s="19">
        <f>Calculations!D59</f>
        <v>794.46575500000006</v>
      </c>
      <c r="C8" s="19">
        <f>Calculations!E59</f>
        <v>794.46575500000006</v>
      </c>
      <c r="D8" s="19">
        <f>Calculations!F59</f>
        <v>794.46575500000006</v>
      </c>
      <c r="E8" s="19">
        <f>Calculations!G59</f>
        <v>794.46575500000006</v>
      </c>
      <c r="F8" s="19">
        <f>Calculations!H59</f>
        <v>850.41662906542535</v>
      </c>
      <c r="G8" s="19">
        <f>Calculations!I59</f>
        <v>910.30788733115526</v>
      </c>
      <c r="H8" s="19">
        <f>Calculations!J59</f>
        <v>974.41703444578309</v>
      </c>
      <c r="I8" s="19">
        <f>Calculations!K59</f>
        <v>1037.8288684948895</v>
      </c>
      <c r="J8" s="19">
        <f>Calculations!L59</f>
        <v>1105.367334730551</v>
      </c>
      <c r="K8" s="19">
        <f>Calculations!M59</f>
        <v>1177.3009807110973</v>
      </c>
      <c r="L8" s="19">
        <f>Calculations!N59</f>
        <v>1253.9158301807227</v>
      </c>
      <c r="M8" s="19">
        <f>Calculations!O59</f>
        <v>1317.4196997332238</v>
      </c>
      <c r="N8" s="19">
        <f>Calculations!P59</f>
        <v>1384.1396874262541</v>
      </c>
      <c r="O8" s="19">
        <f>Calculations!Q59</f>
        <v>1454.2386717736229</v>
      </c>
      <c r="P8" s="19">
        <f>Calculations!R59</f>
        <v>1527.8877801808469</v>
      </c>
      <c r="Q8" s="19">
        <f>Calculations!S59</f>
        <v>1605.266806705682</v>
      </c>
      <c r="R8" s="19">
        <f>Calculations!T59</f>
        <v>1686.5646509759033</v>
      </c>
      <c r="S8" s="19">
        <f>Calculations!U59</f>
        <v>1771.9797793358321</v>
      </c>
      <c r="T8" s="19">
        <f>Calculations!V59</f>
        <v>1861.7207093473735</v>
      </c>
      <c r="U8" s="19">
        <f>Calculations!W59</f>
        <v>1956.0065188283381</v>
      </c>
      <c r="V8" s="19">
        <f>Calculations!X59</f>
        <v>2055.0673806707264</v>
      </c>
      <c r="W8" s="19">
        <f>Calculations!Y59</f>
        <v>2159.1451247445884</v>
      </c>
      <c r="X8" s="19">
        <f>Calculations!Z59</f>
        <v>2268.4938282591911</v>
      </c>
      <c r="Y8" s="19">
        <f>Calculations!AA59</f>
        <v>2383.3804360226982</v>
      </c>
      <c r="Z8" s="19">
        <f>Calculations!AB59</f>
        <v>2504.0854121145576</v>
      </c>
      <c r="AA8" s="19">
        <f>Calculations!AC59</f>
        <v>2630.9034245614735</v>
      </c>
      <c r="AB8" s="19">
        <f>Calculations!AD59</f>
        <v>2764.1440646884112</v>
      </c>
      <c r="AC8" s="19">
        <f>Calculations!AE59</f>
        <v>2904.1326029007359</v>
      </c>
      <c r="AD8" s="19">
        <f>Calculations!AF59</f>
        <v>3051.2107827425148</v>
      </c>
      <c r="AE8" s="19">
        <f>Calculations!AG59</f>
        <v>3205.737655169461</v>
      </c>
      <c r="AF8" s="19">
        <f>Calculations!AH59</f>
        <v>3368.0904550731684</v>
      </c>
    </row>
    <row r="9" spans="1:32">
      <c r="A9" t="s">
        <v>5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>
        <v>0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  <c r="U9" s="19">
        <v>0</v>
      </c>
      <c r="V9" s="19">
        <v>0</v>
      </c>
      <c r="W9" s="19">
        <v>0</v>
      </c>
      <c r="X9" s="19">
        <v>0</v>
      </c>
      <c r="Y9" s="19">
        <v>0</v>
      </c>
      <c r="Z9" s="19">
        <v>0</v>
      </c>
      <c r="AA9" s="19">
        <v>0</v>
      </c>
      <c r="AB9" s="19">
        <v>0</v>
      </c>
      <c r="AC9" s="19">
        <v>0</v>
      </c>
      <c r="AD9" s="19">
        <v>0</v>
      </c>
      <c r="AE9" s="19">
        <v>0</v>
      </c>
      <c r="AF9" s="19">
        <v>0</v>
      </c>
    </row>
    <row r="10" spans="1:32">
      <c r="A10" t="s">
        <v>6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>
        <v>0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</row>
    <row r="11" spans="1:32">
      <c r="A11" t="s">
        <v>7</v>
      </c>
      <c r="B11" s="19">
        <v>0</v>
      </c>
      <c r="C11" s="19">
        <v>0</v>
      </c>
      <c r="D11" s="19">
        <v>0</v>
      </c>
      <c r="E11" s="19">
        <v>0</v>
      </c>
      <c r="F11" s="19">
        <v>0</v>
      </c>
      <c r="G11" s="19">
        <v>0</v>
      </c>
      <c r="H11" s="19">
        <v>0</v>
      </c>
      <c r="I11" s="19">
        <v>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</row>
    <row r="12" spans="1:32">
      <c r="A12" t="s">
        <v>8</v>
      </c>
      <c r="B12" s="19">
        <v>0</v>
      </c>
      <c r="C12" s="19">
        <v>0</v>
      </c>
      <c r="D12" s="19">
        <v>0</v>
      </c>
      <c r="E12" s="19">
        <v>0</v>
      </c>
      <c r="F12" s="19">
        <v>0</v>
      </c>
      <c r="G12" s="19">
        <v>0</v>
      </c>
      <c r="H12" s="19">
        <v>0</v>
      </c>
      <c r="I12" s="19">
        <v>0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</row>
    <row r="13" spans="1:32">
      <c r="A13" t="s">
        <v>9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</row>
    <row r="14" spans="1:32">
      <c r="A14" t="s">
        <v>17</v>
      </c>
      <c r="B14" s="19">
        <v>0</v>
      </c>
      <c r="C14" s="19">
        <v>0</v>
      </c>
      <c r="D14" s="19">
        <v>0</v>
      </c>
      <c r="E14" s="19">
        <v>0</v>
      </c>
      <c r="F14" s="19">
        <v>0</v>
      </c>
      <c r="G14" s="19">
        <v>0</v>
      </c>
      <c r="H14" s="19">
        <v>0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</row>
    <row r="15" spans="1:32">
      <c r="A15" t="s">
        <v>20</v>
      </c>
      <c r="B15" s="19">
        <v>0</v>
      </c>
      <c r="C15" s="1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</row>
    <row r="16" spans="1:32">
      <c r="A16" t="s">
        <v>22</v>
      </c>
      <c r="B16" s="19">
        <v>0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</row>
    <row r="17" spans="1:32">
      <c r="A17" t="s">
        <v>23</v>
      </c>
      <c r="B17" s="19">
        <v>0</v>
      </c>
      <c r="C17" s="19">
        <v>0</v>
      </c>
      <c r="D17" s="19">
        <v>0</v>
      </c>
      <c r="E17" s="19">
        <v>0</v>
      </c>
      <c r="F17" s="19">
        <v>0</v>
      </c>
      <c r="G17" s="19">
        <v>0</v>
      </c>
      <c r="H17" s="19">
        <v>0</v>
      </c>
      <c r="I17" s="19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</row>
    <row r="18" spans="1:32">
      <c r="A18" t="s">
        <v>24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</row>
    <row r="19" spans="1:32">
      <c r="A19" s="16" t="s">
        <v>46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47</v>
      </c>
      <c r="B20" s="19">
        <v>0</v>
      </c>
      <c r="C20" s="19">
        <v>0</v>
      </c>
      <c r="D20" s="19">
        <v>0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48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49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50</v>
      </c>
      <c r="B23" s="19">
        <v>0</v>
      </c>
      <c r="C23" s="19">
        <v>0</v>
      </c>
      <c r="D23" s="19">
        <v>0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7" t="s">
        <v>51</v>
      </c>
      <c r="B24" s="19">
        <v>0</v>
      </c>
      <c r="C24" s="19">
        <v>0</v>
      </c>
      <c r="D24" s="19">
        <v>0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7" t="s">
        <v>52</v>
      </c>
      <c r="B25" s="19">
        <v>0</v>
      </c>
      <c r="C25" s="19">
        <v>0</v>
      </c>
      <c r="D25" s="19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</sheetData>
  <phoneticPr fontId="2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F28B27-650C-4743-B848-4F0FE2CA6A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0EBD66-FD1F-4E1B-8DAC-AE8E1225F2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f4d404-d193-41dc-bb72-733c1e7742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969A14-C99E-435B-AD67-22330AE0054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About</vt:lpstr>
      <vt:lpstr>SYDEC_2020</vt:lpstr>
      <vt:lpstr>SYDEC_2023</vt:lpstr>
      <vt:lpstr>Sheet3</vt:lpstr>
      <vt:lpstr>Calculations</vt:lpstr>
      <vt:lpstr>BDESC-urban-residential</vt:lpstr>
      <vt:lpstr>BDESC-rural-residential</vt:lpstr>
      <vt:lpstr>BDESC-commercial</vt:lpstr>
      <vt:lpstr>billion_kw_to_MW</vt:lpstr>
      <vt:lpstr>gigwatt_to_megawatt</vt:lpstr>
      <vt:lpstr>Percent_rural</vt:lpstr>
      <vt:lpstr>Percent_Urban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Rachel Goldstein</cp:lastModifiedBy>
  <dcterms:created xsi:type="dcterms:W3CDTF">2016-01-26T19:10:58Z</dcterms:created>
  <dcterms:modified xsi:type="dcterms:W3CDTF">2025-09-16T14:37:32Z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